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JPJ_Car_Viz\Forecasts\"/>
    </mc:Choice>
  </mc:AlternateContent>
  <xr:revisionPtr revIDLastSave="0" documentId="13_ncr:1_{C3FA615B-DC8E-45F9-B71D-BC6E36C526BA}" xr6:coauthVersionLast="47" xr6:coauthVersionMax="47" xr10:uidLastSave="{00000000-0000-0000-0000-000000000000}"/>
  <bookViews>
    <workbookView xWindow="19545" yWindow="2580" windowWidth="28020" windowHeight="18015" activeTab="1" xr2:uid="{E2726709-4FC2-451C-B1DF-FA398E98ADD9}"/>
  </bookViews>
  <sheets>
    <sheet name="Charts" sheetId="12" r:id="rId1"/>
    <sheet name="Consolidated" sheetId="1" r:id="rId2"/>
    <sheet name="m1_cv" sheetId="3" r:id="rId3"/>
    <sheet name="m2_cv" sheetId="6" r:id="rId4"/>
    <sheet name="m3_cv" sheetId="7" r:id="rId5"/>
    <sheet name="m4_cv" sheetId="8" r:id="rId6"/>
    <sheet name="m5_cv" sheetId="9" r:id="rId7"/>
    <sheet name="m6_cv" sheetId="10" r:id="rId8"/>
    <sheet name="m7_cv" sheetId="11" r:id="rId9"/>
  </sheets>
  <definedNames>
    <definedName name="_xlnm._FilterDatabase" localSheetId="1" hidden="1">Consolidated!$A$1:$M$456</definedName>
    <definedName name="ExternalData_1" localSheetId="2" hidden="1">m1_cv!$C$1:$H$466</definedName>
    <definedName name="ExternalData_1" localSheetId="3" hidden="1">m2_cv!$C$1:$H$466</definedName>
    <definedName name="ExternalData_1" localSheetId="4" hidden="1">m3_cv!$C$1:$H$466</definedName>
    <definedName name="ExternalData_1" localSheetId="6" hidden="1">m5_cv!$C$1:$H$466</definedName>
    <definedName name="ExternalData_2" localSheetId="5" hidden="1">m4_cv!$C$1:$H$466</definedName>
    <definedName name="ExternalData_2" localSheetId="7" hidden="1">m6_cv!$C$1:$H$466</definedName>
    <definedName name="ExternalData_3" localSheetId="8" hidden="1">m7_cv!$C$1:$H$466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9" i="1" l="1"/>
  <c r="T435" i="1"/>
  <c r="S435" i="1"/>
  <c r="R435" i="1" s="1"/>
  <c r="S436" i="1"/>
  <c r="V452" i="1"/>
  <c r="S438" i="1"/>
  <c r="S437" i="1"/>
  <c r="V455" i="1"/>
  <c r="T427" i="1"/>
  <c r="T428" i="1"/>
  <c r="T429" i="1"/>
  <c r="T430" i="1"/>
  <c r="T431" i="1"/>
  <c r="T432" i="1"/>
  <c r="T433" i="1"/>
  <c r="T434" i="1"/>
  <c r="T426" i="1"/>
  <c r="V456" i="1"/>
  <c r="V449" i="1"/>
  <c r="V448" i="1"/>
  <c r="V447" i="1"/>
  <c r="V446" i="1"/>
  <c r="V444" i="1"/>
  <c r="V441" i="1"/>
  <c r="V440" i="1"/>
  <c r="V439" i="1"/>
  <c r="V435" i="1"/>
  <c r="V434" i="1"/>
  <c r="V433" i="1"/>
  <c r="V432" i="1"/>
  <c r="V431" i="1"/>
  <c r="V430" i="1"/>
  <c r="V429" i="1"/>
  <c r="V428" i="1"/>
  <c r="V427" i="1"/>
  <c r="S442" i="1"/>
  <c r="S441" i="1"/>
  <c r="S440" i="1"/>
  <c r="R440" i="1" s="1"/>
  <c r="S439" i="1"/>
  <c r="R456" i="1"/>
  <c r="R452" i="1"/>
  <c r="R451" i="1"/>
  <c r="R450" i="1"/>
  <c r="R447" i="1"/>
  <c r="R445" i="1"/>
  <c r="R444" i="1"/>
  <c r="R443" i="1"/>
  <c r="R442" i="1"/>
  <c r="R441" i="1"/>
  <c r="R439" i="1"/>
  <c r="R438" i="1"/>
  <c r="R432" i="1"/>
  <c r="R431" i="1"/>
  <c r="R426" i="1"/>
  <c r="S444" i="1"/>
  <c r="S445" i="1"/>
  <c r="S446" i="1"/>
  <c r="R446" i="1" s="1"/>
  <c r="S447" i="1"/>
  <c r="S448" i="1"/>
  <c r="R448" i="1" s="1"/>
  <c r="S449" i="1"/>
  <c r="R449" i="1" s="1"/>
  <c r="S450" i="1"/>
  <c r="S451" i="1"/>
  <c r="S452" i="1"/>
  <c r="S453" i="1"/>
  <c r="R453" i="1" s="1"/>
  <c r="S454" i="1"/>
  <c r="R454" i="1" s="1"/>
  <c r="S455" i="1"/>
  <c r="R455" i="1" s="1"/>
  <c r="S456" i="1"/>
  <c r="S443" i="1"/>
  <c r="S427" i="1"/>
  <c r="R427" i="1" s="1"/>
  <c r="S428" i="1"/>
  <c r="R428" i="1" s="1"/>
  <c r="S429" i="1"/>
  <c r="R429" i="1" s="1"/>
  <c r="S430" i="1"/>
  <c r="R430" i="1" s="1"/>
  <c r="S431" i="1"/>
  <c r="S432" i="1"/>
  <c r="S433" i="1"/>
  <c r="R433" i="1" s="1"/>
  <c r="S434" i="1"/>
  <c r="R434" i="1" s="1"/>
  <c r="R436" i="1"/>
  <c r="R437" i="1"/>
  <c r="S426" i="1"/>
  <c r="Q457" i="1"/>
  <c r="P457" i="1"/>
  <c r="Y82" i="12"/>
  <c r="W83" i="12"/>
  <c r="Y83" i="12"/>
  <c r="W84" i="12"/>
  <c r="Y84" i="12"/>
  <c r="W85" i="12"/>
  <c r="Y85" i="12"/>
  <c r="W86" i="12"/>
  <c r="Y86" i="12"/>
  <c r="W87" i="12"/>
  <c r="Y87" i="12"/>
  <c r="W88" i="12"/>
  <c r="W89" i="12" s="1"/>
  <c r="W90" i="12" s="1"/>
  <c r="W91" i="12" s="1"/>
  <c r="W92" i="12" s="1"/>
  <c r="W93" i="12" s="1"/>
  <c r="W94" i="12" s="1"/>
  <c r="W95" i="12" s="1"/>
  <c r="W96" i="12" s="1"/>
  <c r="W97" i="12" s="1"/>
  <c r="W98" i="12" s="1"/>
  <c r="W99" i="12" s="1"/>
  <c r="W100" i="12" s="1"/>
  <c r="W101" i="12" s="1"/>
  <c r="W102" i="12" s="1"/>
  <c r="W103" i="12" s="1"/>
  <c r="W104" i="12" s="1"/>
  <c r="W105" i="12" s="1"/>
  <c r="W106" i="12" s="1"/>
  <c r="W107" i="12" s="1"/>
  <c r="W108" i="12" s="1"/>
  <c r="W109" i="12" s="1"/>
  <c r="W110" i="12" s="1"/>
  <c r="W111" i="12" s="1"/>
  <c r="W112" i="12" s="1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D60" i="12"/>
  <c r="E60" i="12" s="1"/>
  <c r="F60" i="12" s="1"/>
  <c r="G60" i="12" s="1"/>
  <c r="H60" i="12" s="1"/>
  <c r="I60" i="12" s="1"/>
  <c r="J60" i="12" s="1"/>
  <c r="K60" i="12" s="1"/>
  <c r="L60" i="12" s="1"/>
  <c r="M60" i="12" s="1"/>
  <c r="N60" i="12" s="1"/>
  <c r="O60" i="12" s="1"/>
  <c r="P60" i="12" s="1"/>
  <c r="Q60" i="12" s="1"/>
  <c r="R60" i="12" s="1"/>
  <c r="S60" i="12" s="1"/>
  <c r="T60" i="12" s="1"/>
  <c r="U60" i="12" s="1"/>
  <c r="V60" i="12" s="1"/>
  <c r="W60" i="12" s="1"/>
  <c r="X60" i="12" s="1"/>
  <c r="Y60" i="12" s="1"/>
  <c r="Z60" i="12" s="1"/>
  <c r="AA60" i="12" s="1"/>
  <c r="AB60" i="12" s="1"/>
  <c r="AC60" i="12" s="1"/>
  <c r="AD60" i="12" s="1"/>
  <c r="AE60" i="12" s="1"/>
  <c r="AF60" i="12" s="1"/>
  <c r="AG60" i="12" s="1"/>
  <c r="D5" i="12"/>
  <c r="D4" i="12"/>
  <c r="A3" i="10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A201" i="10"/>
  <c r="B201" i="10"/>
  <c r="A202" i="10"/>
  <c r="B202" i="10"/>
  <c r="A203" i="10"/>
  <c r="B203" i="10"/>
  <c r="A204" i="10"/>
  <c r="B204" i="10"/>
  <c r="A205" i="10"/>
  <c r="B205" i="10"/>
  <c r="A206" i="10"/>
  <c r="B206" i="10"/>
  <c r="A207" i="10"/>
  <c r="B207" i="10"/>
  <c r="A208" i="10"/>
  <c r="B208" i="10"/>
  <c r="A209" i="10"/>
  <c r="B209" i="10"/>
  <c r="A210" i="10"/>
  <c r="B210" i="10"/>
  <c r="A211" i="10"/>
  <c r="B211" i="10"/>
  <c r="A212" i="10"/>
  <c r="B212" i="10"/>
  <c r="A213" i="10"/>
  <c r="B213" i="10"/>
  <c r="A214" i="10"/>
  <c r="B214" i="10"/>
  <c r="A215" i="10"/>
  <c r="B215" i="10"/>
  <c r="A216" i="10"/>
  <c r="B216" i="10"/>
  <c r="A217" i="10"/>
  <c r="B217" i="10"/>
  <c r="A218" i="10"/>
  <c r="B218" i="10"/>
  <c r="A219" i="10"/>
  <c r="B219" i="10"/>
  <c r="A220" i="10"/>
  <c r="B220" i="10"/>
  <c r="A221" i="10"/>
  <c r="B221" i="10"/>
  <c r="A222" i="10"/>
  <c r="B222" i="10"/>
  <c r="A223" i="10"/>
  <c r="B223" i="10"/>
  <c r="A224" i="10"/>
  <c r="B224" i="10"/>
  <c r="A225" i="10"/>
  <c r="B225" i="10"/>
  <c r="A226" i="10"/>
  <c r="B226" i="10"/>
  <c r="A227" i="10"/>
  <c r="B227" i="10"/>
  <c r="A228" i="10"/>
  <c r="B228" i="10"/>
  <c r="A229" i="10"/>
  <c r="B229" i="10"/>
  <c r="A230" i="10"/>
  <c r="B230" i="10"/>
  <c r="A231" i="10"/>
  <c r="B231" i="10"/>
  <c r="A232" i="10"/>
  <c r="B232" i="10"/>
  <c r="A233" i="10"/>
  <c r="B233" i="10"/>
  <c r="A234" i="10"/>
  <c r="B234" i="10"/>
  <c r="A235" i="10"/>
  <c r="B235" i="10"/>
  <c r="A236" i="10"/>
  <c r="B236" i="10"/>
  <c r="A237" i="10"/>
  <c r="B237" i="10"/>
  <c r="A238" i="10"/>
  <c r="B238" i="10"/>
  <c r="A239" i="10"/>
  <c r="B239" i="10"/>
  <c r="A240" i="10"/>
  <c r="B240" i="10"/>
  <c r="A241" i="10"/>
  <c r="B241" i="10"/>
  <c r="A242" i="10"/>
  <c r="B242" i="10"/>
  <c r="A243" i="10"/>
  <c r="B243" i="10"/>
  <c r="A244" i="10"/>
  <c r="B244" i="10"/>
  <c r="A245" i="10"/>
  <c r="B245" i="10"/>
  <c r="A246" i="10"/>
  <c r="B246" i="10"/>
  <c r="A247" i="10"/>
  <c r="B247" i="10"/>
  <c r="A248" i="10"/>
  <c r="B248" i="10"/>
  <c r="A249" i="10"/>
  <c r="B249" i="10"/>
  <c r="A250" i="10"/>
  <c r="B250" i="10"/>
  <c r="A251" i="10"/>
  <c r="B251" i="10"/>
  <c r="A252" i="10"/>
  <c r="B252" i="10"/>
  <c r="A253" i="10"/>
  <c r="B253" i="10"/>
  <c r="A254" i="10"/>
  <c r="B254" i="10"/>
  <c r="A255" i="10"/>
  <c r="B255" i="10"/>
  <c r="A256" i="10"/>
  <c r="B256" i="10"/>
  <c r="A257" i="10"/>
  <c r="B257" i="10"/>
  <c r="A258" i="10"/>
  <c r="B258" i="10"/>
  <c r="A259" i="10"/>
  <c r="B259" i="10"/>
  <c r="A260" i="10"/>
  <c r="B260" i="10"/>
  <c r="A261" i="10"/>
  <c r="B261" i="10"/>
  <c r="A262" i="10"/>
  <c r="B262" i="10"/>
  <c r="A263" i="10"/>
  <c r="B263" i="10"/>
  <c r="A264" i="10"/>
  <c r="B264" i="10"/>
  <c r="A265" i="10"/>
  <c r="B265" i="10"/>
  <c r="A266" i="10"/>
  <c r="B266" i="10"/>
  <c r="A267" i="10"/>
  <c r="B267" i="10"/>
  <c r="A268" i="10"/>
  <c r="B268" i="10"/>
  <c r="A269" i="10"/>
  <c r="B269" i="10"/>
  <c r="A270" i="10"/>
  <c r="B270" i="10"/>
  <c r="A271" i="10"/>
  <c r="B271" i="10"/>
  <c r="A272" i="10"/>
  <c r="B272" i="10"/>
  <c r="A273" i="10"/>
  <c r="B273" i="10"/>
  <c r="A274" i="10"/>
  <c r="B274" i="10"/>
  <c r="A275" i="10"/>
  <c r="B275" i="10"/>
  <c r="A276" i="10"/>
  <c r="B276" i="10"/>
  <c r="A277" i="10"/>
  <c r="B277" i="10"/>
  <c r="A278" i="10"/>
  <c r="B278" i="10"/>
  <c r="A279" i="10"/>
  <c r="B279" i="10"/>
  <c r="A280" i="10"/>
  <c r="B280" i="10"/>
  <c r="A281" i="10"/>
  <c r="B281" i="10"/>
  <c r="A282" i="10"/>
  <c r="B282" i="10"/>
  <c r="A283" i="10"/>
  <c r="B283" i="10"/>
  <c r="A284" i="10"/>
  <c r="B284" i="10"/>
  <c r="A285" i="10"/>
  <c r="B285" i="10"/>
  <c r="A286" i="10"/>
  <c r="B286" i="10"/>
  <c r="A287" i="10"/>
  <c r="B287" i="10"/>
  <c r="A288" i="10"/>
  <c r="B288" i="10"/>
  <c r="A289" i="10"/>
  <c r="B289" i="10"/>
  <c r="A290" i="10"/>
  <c r="B290" i="10"/>
  <c r="A291" i="10"/>
  <c r="B291" i="10"/>
  <c r="A292" i="10"/>
  <c r="B292" i="10"/>
  <c r="A293" i="10"/>
  <c r="B293" i="10"/>
  <c r="A294" i="10"/>
  <c r="B294" i="10"/>
  <c r="A295" i="10"/>
  <c r="B295" i="10"/>
  <c r="A296" i="10"/>
  <c r="B296" i="10"/>
  <c r="A297" i="10"/>
  <c r="B297" i="10"/>
  <c r="A298" i="10"/>
  <c r="B298" i="10"/>
  <c r="A299" i="10"/>
  <c r="B299" i="10"/>
  <c r="A300" i="10"/>
  <c r="B300" i="10"/>
  <c r="A301" i="10"/>
  <c r="B301" i="10"/>
  <c r="A302" i="10"/>
  <c r="B302" i="10"/>
  <c r="A303" i="10"/>
  <c r="B303" i="10"/>
  <c r="A304" i="10"/>
  <c r="B304" i="10"/>
  <c r="A305" i="10"/>
  <c r="B305" i="10"/>
  <c r="A306" i="10"/>
  <c r="B306" i="10"/>
  <c r="A307" i="10"/>
  <c r="B307" i="10"/>
  <c r="A308" i="10"/>
  <c r="B308" i="10"/>
  <c r="A309" i="10"/>
  <c r="B309" i="10"/>
  <c r="A310" i="10"/>
  <c r="B310" i="10"/>
  <c r="A311" i="10"/>
  <c r="B311" i="10"/>
  <c r="A312" i="10"/>
  <c r="B312" i="10"/>
  <c r="A313" i="10"/>
  <c r="B313" i="10"/>
  <c r="A314" i="10"/>
  <c r="B314" i="10"/>
  <c r="A315" i="10"/>
  <c r="B315" i="10"/>
  <c r="A316" i="10"/>
  <c r="B316" i="10"/>
  <c r="A317" i="10"/>
  <c r="B317" i="10"/>
  <c r="A318" i="10"/>
  <c r="B318" i="10"/>
  <c r="A319" i="10"/>
  <c r="B319" i="10"/>
  <c r="A320" i="10"/>
  <c r="B320" i="10"/>
  <c r="A321" i="10"/>
  <c r="B321" i="10"/>
  <c r="A322" i="10"/>
  <c r="B322" i="10"/>
  <c r="A323" i="10"/>
  <c r="B323" i="10"/>
  <c r="A324" i="10"/>
  <c r="B324" i="10"/>
  <c r="A325" i="10"/>
  <c r="B325" i="10"/>
  <c r="A326" i="10"/>
  <c r="B326" i="10"/>
  <c r="A327" i="10"/>
  <c r="B327" i="10"/>
  <c r="A328" i="10"/>
  <c r="B328" i="10"/>
  <c r="A329" i="10"/>
  <c r="B329" i="10"/>
  <c r="A330" i="10"/>
  <c r="B330" i="10"/>
  <c r="A331" i="10"/>
  <c r="B331" i="10"/>
  <c r="A332" i="10"/>
  <c r="B332" i="10"/>
  <c r="A333" i="10"/>
  <c r="B333" i="10"/>
  <c r="A334" i="10"/>
  <c r="B334" i="10"/>
  <c r="A335" i="10"/>
  <c r="B335" i="10"/>
  <c r="A336" i="10"/>
  <c r="B336" i="10"/>
  <c r="A337" i="10"/>
  <c r="B337" i="10"/>
  <c r="A338" i="10"/>
  <c r="B338" i="10"/>
  <c r="A339" i="10"/>
  <c r="B339" i="10"/>
  <c r="A340" i="10"/>
  <c r="B340" i="10"/>
  <c r="A341" i="10"/>
  <c r="B341" i="10"/>
  <c r="A342" i="10"/>
  <c r="B342" i="10"/>
  <c r="A343" i="10"/>
  <c r="B343" i="10"/>
  <c r="A344" i="10"/>
  <c r="B344" i="10"/>
  <c r="A345" i="10"/>
  <c r="B345" i="10"/>
  <c r="A346" i="10"/>
  <c r="B346" i="10"/>
  <c r="A347" i="10"/>
  <c r="B347" i="10"/>
  <c r="A348" i="10"/>
  <c r="B348" i="10"/>
  <c r="A349" i="10"/>
  <c r="B349" i="10"/>
  <c r="A350" i="10"/>
  <c r="B350" i="10"/>
  <c r="A351" i="10"/>
  <c r="B351" i="10"/>
  <c r="A352" i="10"/>
  <c r="B352" i="10"/>
  <c r="A353" i="10"/>
  <c r="B353" i="10"/>
  <c r="A354" i="10"/>
  <c r="B354" i="10"/>
  <c r="A355" i="10"/>
  <c r="B355" i="10"/>
  <c r="A356" i="10"/>
  <c r="B356" i="10"/>
  <c r="A357" i="10"/>
  <c r="B357" i="10"/>
  <c r="A358" i="10"/>
  <c r="B358" i="10"/>
  <c r="A359" i="10"/>
  <c r="B359" i="10"/>
  <c r="A360" i="10"/>
  <c r="B360" i="10"/>
  <c r="A361" i="10"/>
  <c r="B361" i="10"/>
  <c r="A362" i="10"/>
  <c r="B362" i="10"/>
  <c r="A363" i="10"/>
  <c r="B363" i="10"/>
  <c r="A364" i="10"/>
  <c r="B364" i="10"/>
  <c r="A365" i="10"/>
  <c r="B365" i="10"/>
  <c r="A366" i="10"/>
  <c r="B366" i="10"/>
  <c r="A367" i="10"/>
  <c r="B367" i="10"/>
  <c r="A368" i="10"/>
  <c r="B368" i="10"/>
  <c r="A369" i="10"/>
  <c r="B369" i="10"/>
  <c r="A370" i="10"/>
  <c r="B370" i="10"/>
  <c r="A371" i="10"/>
  <c r="B371" i="10"/>
  <c r="A372" i="10"/>
  <c r="B372" i="10"/>
  <c r="A373" i="10"/>
  <c r="B373" i="10"/>
  <c r="A374" i="10"/>
  <c r="B374" i="10"/>
  <c r="A375" i="10"/>
  <c r="B375" i="10"/>
  <c r="A376" i="10"/>
  <c r="B376" i="10"/>
  <c r="A377" i="10"/>
  <c r="B377" i="10"/>
  <c r="A378" i="10"/>
  <c r="B378" i="10"/>
  <c r="A379" i="10"/>
  <c r="B379" i="10"/>
  <c r="A380" i="10"/>
  <c r="B380" i="10"/>
  <c r="A381" i="10"/>
  <c r="B381" i="10"/>
  <c r="A382" i="10"/>
  <c r="B382" i="10"/>
  <c r="A383" i="10"/>
  <c r="B383" i="10"/>
  <c r="A384" i="10"/>
  <c r="B384" i="10"/>
  <c r="A385" i="10"/>
  <c r="B385" i="10"/>
  <c r="A386" i="10"/>
  <c r="B386" i="10"/>
  <c r="A387" i="10"/>
  <c r="B387" i="10"/>
  <c r="A388" i="10"/>
  <c r="B388" i="10"/>
  <c r="A389" i="10"/>
  <c r="B389" i="10"/>
  <c r="A390" i="10"/>
  <c r="B390" i="10"/>
  <c r="A391" i="10"/>
  <c r="B391" i="10"/>
  <c r="A392" i="10"/>
  <c r="B392" i="10"/>
  <c r="A393" i="10"/>
  <c r="B393" i="10"/>
  <c r="A394" i="10"/>
  <c r="B394" i="10"/>
  <c r="A395" i="10"/>
  <c r="B395" i="10"/>
  <c r="A396" i="10"/>
  <c r="B396" i="10"/>
  <c r="A397" i="10"/>
  <c r="B397" i="10"/>
  <c r="A398" i="10"/>
  <c r="B398" i="10"/>
  <c r="A399" i="10"/>
  <c r="B399" i="10"/>
  <c r="A400" i="10"/>
  <c r="B400" i="10"/>
  <c r="A401" i="10"/>
  <c r="B401" i="10"/>
  <c r="A402" i="10"/>
  <c r="B402" i="10"/>
  <c r="A403" i="10"/>
  <c r="B403" i="10"/>
  <c r="A404" i="10"/>
  <c r="B404" i="10"/>
  <c r="A405" i="10"/>
  <c r="B405" i="10"/>
  <c r="A406" i="10"/>
  <c r="B406" i="10"/>
  <c r="A407" i="10"/>
  <c r="B407" i="10"/>
  <c r="A408" i="10"/>
  <c r="B408" i="10"/>
  <c r="A409" i="10"/>
  <c r="B409" i="10"/>
  <c r="A410" i="10"/>
  <c r="B410" i="10"/>
  <c r="A411" i="10"/>
  <c r="B411" i="10"/>
  <c r="A412" i="10"/>
  <c r="B412" i="10"/>
  <c r="A413" i="10"/>
  <c r="B413" i="10"/>
  <c r="A414" i="10"/>
  <c r="B414" i="10"/>
  <c r="A415" i="10"/>
  <c r="B415" i="10"/>
  <c r="A416" i="10"/>
  <c r="B416" i="10"/>
  <c r="A417" i="10"/>
  <c r="B417" i="10"/>
  <c r="A418" i="10"/>
  <c r="B418" i="10"/>
  <c r="A419" i="10"/>
  <c r="B419" i="10"/>
  <c r="A420" i="10"/>
  <c r="B420" i="10"/>
  <c r="A421" i="10"/>
  <c r="B421" i="10"/>
  <c r="A422" i="10"/>
  <c r="B422" i="10"/>
  <c r="A423" i="10"/>
  <c r="B423" i="10"/>
  <c r="A424" i="10"/>
  <c r="B424" i="10"/>
  <c r="A425" i="10"/>
  <c r="B425" i="10"/>
  <c r="A426" i="10"/>
  <c r="B426" i="10"/>
  <c r="A427" i="10"/>
  <c r="B427" i="10"/>
  <c r="A428" i="10"/>
  <c r="B428" i="10"/>
  <c r="A429" i="10"/>
  <c r="B429" i="10"/>
  <c r="A430" i="10"/>
  <c r="B430" i="10"/>
  <c r="A431" i="10"/>
  <c r="B431" i="10"/>
  <c r="A432" i="10"/>
  <c r="B432" i="10"/>
  <c r="A433" i="10"/>
  <c r="B433" i="10"/>
  <c r="A434" i="10"/>
  <c r="B434" i="10"/>
  <c r="A435" i="10"/>
  <c r="B435" i="10"/>
  <c r="A436" i="10"/>
  <c r="B436" i="10"/>
  <c r="A437" i="10"/>
  <c r="B437" i="10"/>
  <c r="A438" i="10"/>
  <c r="B438" i="10"/>
  <c r="A439" i="10"/>
  <c r="B439" i="10"/>
  <c r="A440" i="10"/>
  <c r="B440" i="10"/>
  <c r="A441" i="10"/>
  <c r="B441" i="10"/>
  <c r="A442" i="10"/>
  <c r="B442" i="10"/>
  <c r="A443" i="10"/>
  <c r="B443" i="10"/>
  <c r="A444" i="10"/>
  <c r="B444" i="10"/>
  <c r="A445" i="10"/>
  <c r="B445" i="10"/>
  <c r="A446" i="10"/>
  <c r="B446" i="10"/>
  <c r="A447" i="10"/>
  <c r="B447" i="10"/>
  <c r="A448" i="10"/>
  <c r="B448" i="10"/>
  <c r="A449" i="10"/>
  <c r="B449" i="10"/>
  <c r="A450" i="10"/>
  <c r="B450" i="10"/>
  <c r="A451" i="10"/>
  <c r="B451" i="10"/>
  <c r="A452" i="10"/>
  <c r="B452" i="10"/>
  <c r="A453" i="10"/>
  <c r="B453" i="10"/>
  <c r="A454" i="10"/>
  <c r="B454" i="10"/>
  <c r="A455" i="10"/>
  <c r="B455" i="10"/>
  <c r="A456" i="10"/>
  <c r="B456" i="10"/>
  <c r="A457" i="10"/>
  <c r="B457" i="10"/>
  <c r="A458" i="10"/>
  <c r="B458" i="10"/>
  <c r="A459" i="10"/>
  <c r="B459" i="10"/>
  <c r="A460" i="10"/>
  <c r="B460" i="10"/>
  <c r="A461" i="10"/>
  <c r="B461" i="10"/>
  <c r="A462" i="10"/>
  <c r="B462" i="10"/>
  <c r="A463" i="10"/>
  <c r="B463" i="10"/>
  <c r="A464" i="10"/>
  <c r="B464" i="10"/>
  <c r="A465" i="10"/>
  <c r="B465" i="10"/>
  <c r="A466" i="10"/>
  <c r="B466" i="10"/>
  <c r="B2" i="10"/>
  <c r="A2" i="10"/>
  <c r="A3" i="9"/>
  <c r="B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B93" i="9"/>
  <c r="A94" i="9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102" i="9"/>
  <c r="B102" i="9"/>
  <c r="A103" i="9"/>
  <c r="B103" i="9"/>
  <c r="A104" i="9"/>
  <c r="B104" i="9"/>
  <c r="A105" i="9"/>
  <c r="B105" i="9"/>
  <c r="A106" i="9"/>
  <c r="B106" i="9"/>
  <c r="A107" i="9"/>
  <c r="B107" i="9"/>
  <c r="A108" i="9"/>
  <c r="B108" i="9"/>
  <c r="A109" i="9"/>
  <c r="B109" i="9"/>
  <c r="A110" i="9"/>
  <c r="B110" i="9"/>
  <c r="A111" i="9"/>
  <c r="B111" i="9"/>
  <c r="A112" i="9"/>
  <c r="B112" i="9"/>
  <c r="A113" i="9"/>
  <c r="B113" i="9"/>
  <c r="A114" i="9"/>
  <c r="B114" i="9"/>
  <c r="A115" i="9"/>
  <c r="B115" i="9"/>
  <c r="A116" i="9"/>
  <c r="B116" i="9"/>
  <c r="A117" i="9"/>
  <c r="B117" i="9"/>
  <c r="A118" i="9"/>
  <c r="B118" i="9"/>
  <c r="A119" i="9"/>
  <c r="B119" i="9"/>
  <c r="A120" i="9"/>
  <c r="B120" i="9"/>
  <c r="A121" i="9"/>
  <c r="B121" i="9"/>
  <c r="A122" i="9"/>
  <c r="B122" i="9"/>
  <c r="A123" i="9"/>
  <c r="B123" i="9"/>
  <c r="A124" i="9"/>
  <c r="B124" i="9"/>
  <c r="A125" i="9"/>
  <c r="B125" i="9"/>
  <c r="A126" i="9"/>
  <c r="B126" i="9"/>
  <c r="A127" i="9"/>
  <c r="B127" i="9"/>
  <c r="A128" i="9"/>
  <c r="B128" i="9"/>
  <c r="A129" i="9"/>
  <c r="B129" i="9"/>
  <c r="A130" i="9"/>
  <c r="B130" i="9"/>
  <c r="A131" i="9"/>
  <c r="B131" i="9"/>
  <c r="A132" i="9"/>
  <c r="B132" i="9"/>
  <c r="A133" i="9"/>
  <c r="B133" i="9"/>
  <c r="A134" i="9"/>
  <c r="B134" i="9"/>
  <c r="A135" i="9"/>
  <c r="B135" i="9"/>
  <c r="A136" i="9"/>
  <c r="B136" i="9"/>
  <c r="A137" i="9"/>
  <c r="B137" i="9"/>
  <c r="A138" i="9"/>
  <c r="B138" i="9"/>
  <c r="A139" i="9"/>
  <c r="B139" i="9"/>
  <c r="A140" i="9"/>
  <c r="B140" i="9"/>
  <c r="A141" i="9"/>
  <c r="B141" i="9"/>
  <c r="A142" i="9"/>
  <c r="B142" i="9"/>
  <c r="A143" i="9"/>
  <c r="B143" i="9"/>
  <c r="A144" i="9"/>
  <c r="B144" i="9"/>
  <c r="A145" i="9"/>
  <c r="B145" i="9"/>
  <c r="A146" i="9"/>
  <c r="B146" i="9"/>
  <c r="A147" i="9"/>
  <c r="B147" i="9"/>
  <c r="A148" i="9"/>
  <c r="B148" i="9"/>
  <c r="A149" i="9"/>
  <c r="B149" i="9"/>
  <c r="A150" i="9"/>
  <c r="B150" i="9"/>
  <c r="A151" i="9"/>
  <c r="B151" i="9"/>
  <c r="A152" i="9"/>
  <c r="B152" i="9"/>
  <c r="A153" i="9"/>
  <c r="B153" i="9"/>
  <c r="A154" i="9"/>
  <c r="B154" i="9"/>
  <c r="A155" i="9"/>
  <c r="B155" i="9"/>
  <c r="A156" i="9"/>
  <c r="B156" i="9"/>
  <c r="A157" i="9"/>
  <c r="B157" i="9"/>
  <c r="A158" i="9"/>
  <c r="B158" i="9"/>
  <c r="A159" i="9"/>
  <c r="B159" i="9"/>
  <c r="A160" i="9"/>
  <c r="B160" i="9"/>
  <c r="A161" i="9"/>
  <c r="B161" i="9"/>
  <c r="A162" i="9"/>
  <c r="B162" i="9"/>
  <c r="A163" i="9"/>
  <c r="B163" i="9"/>
  <c r="A164" i="9"/>
  <c r="B164" i="9"/>
  <c r="A165" i="9"/>
  <c r="B165" i="9"/>
  <c r="A166" i="9"/>
  <c r="B166" i="9"/>
  <c r="A167" i="9"/>
  <c r="B167" i="9"/>
  <c r="A168" i="9"/>
  <c r="B168" i="9"/>
  <c r="A169" i="9"/>
  <c r="B169" i="9"/>
  <c r="A170" i="9"/>
  <c r="B170" i="9"/>
  <c r="A171" i="9"/>
  <c r="B171" i="9"/>
  <c r="A172" i="9"/>
  <c r="B172" i="9"/>
  <c r="A173" i="9"/>
  <c r="B173" i="9"/>
  <c r="A174" i="9"/>
  <c r="B174" i="9"/>
  <c r="A175" i="9"/>
  <c r="B175" i="9"/>
  <c r="A176" i="9"/>
  <c r="B176" i="9"/>
  <c r="A177" i="9"/>
  <c r="B177" i="9"/>
  <c r="A178" i="9"/>
  <c r="B178" i="9"/>
  <c r="A179" i="9"/>
  <c r="B179" i="9"/>
  <c r="A180" i="9"/>
  <c r="B180" i="9"/>
  <c r="A181" i="9"/>
  <c r="B181" i="9"/>
  <c r="A182" i="9"/>
  <c r="B182" i="9"/>
  <c r="A183" i="9"/>
  <c r="B183" i="9"/>
  <c r="A184" i="9"/>
  <c r="B184" i="9"/>
  <c r="A185" i="9"/>
  <c r="B185" i="9"/>
  <c r="A186" i="9"/>
  <c r="B186" i="9"/>
  <c r="A187" i="9"/>
  <c r="B187" i="9"/>
  <c r="A188" i="9"/>
  <c r="B188" i="9"/>
  <c r="A189" i="9"/>
  <c r="B189" i="9"/>
  <c r="A190" i="9"/>
  <c r="B190" i="9"/>
  <c r="A191" i="9"/>
  <c r="B191" i="9"/>
  <c r="A192" i="9"/>
  <c r="B192" i="9"/>
  <c r="A193" i="9"/>
  <c r="B193" i="9"/>
  <c r="A194" i="9"/>
  <c r="B194" i="9"/>
  <c r="A195" i="9"/>
  <c r="B195" i="9"/>
  <c r="A196" i="9"/>
  <c r="B196" i="9"/>
  <c r="A197" i="9"/>
  <c r="B197" i="9"/>
  <c r="A198" i="9"/>
  <c r="B198" i="9"/>
  <c r="A199" i="9"/>
  <c r="B199" i="9"/>
  <c r="A200" i="9"/>
  <c r="B200" i="9"/>
  <c r="A201" i="9"/>
  <c r="B201" i="9"/>
  <c r="A202" i="9"/>
  <c r="B202" i="9"/>
  <c r="A203" i="9"/>
  <c r="B203" i="9"/>
  <c r="A204" i="9"/>
  <c r="B204" i="9"/>
  <c r="A205" i="9"/>
  <c r="B205" i="9"/>
  <c r="A206" i="9"/>
  <c r="B206" i="9"/>
  <c r="A207" i="9"/>
  <c r="B207" i="9"/>
  <c r="A208" i="9"/>
  <c r="B208" i="9"/>
  <c r="A209" i="9"/>
  <c r="B209" i="9"/>
  <c r="A210" i="9"/>
  <c r="B210" i="9"/>
  <c r="A211" i="9"/>
  <c r="B211" i="9"/>
  <c r="A212" i="9"/>
  <c r="B212" i="9"/>
  <c r="A213" i="9"/>
  <c r="B213" i="9"/>
  <c r="A214" i="9"/>
  <c r="B214" i="9"/>
  <c r="A215" i="9"/>
  <c r="B215" i="9"/>
  <c r="A216" i="9"/>
  <c r="B216" i="9"/>
  <c r="A217" i="9"/>
  <c r="B217" i="9"/>
  <c r="A218" i="9"/>
  <c r="B218" i="9"/>
  <c r="A219" i="9"/>
  <c r="B219" i="9"/>
  <c r="A220" i="9"/>
  <c r="B220" i="9"/>
  <c r="A221" i="9"/>
  <c r="B221" i="9"/>
  <c r="A222" i="9"/>
  <c r="B222" i="9"/>
  <c r="A223" i="9"/>
  <c r="B223" i="9"/>
  <c r="A224" i="9"/>
  <c r="B224" i="9"/>
  <c r="A225" i="9"/>
  <c r="B225" i="9"/>
  <c r="A226" i="9"/>
  <c r="B226" i="9"/>
  <c r="A227" i="9"/>
  <c r="B227" i="9"/>
  <c r="A228" i="9"/>
  <c r="B228" i="9"/>
  <c r="A229" i="9"/>
  <c r="B229" i="9"/>
  <c r="A230" i="9"/>
  <c r="B230" i="9"/>
  <c r="A231" i="9"/>
  <c r="B231" i="9"/>
  <c r="A232" i="9"/>
  <c r="B232" i="9"/>
  <c r="A233" i="9"/>
  <c r="B233" i="9"/>
  <c r="A234" i="9"/>
  <c r="B234" i="9"/>
  <c r="A235" i="9"/>
  <c r="B235" i="9"/>
  <c r="A236" i="9"/>
  <c r="B236" i="9"/>
  <c r="A237" i="9"/>
  <c r="B237" i="9"/>
  <c r="A238" i="9"/>
  <c r="B238" i="9"/>
  <c r="A239" i="9"/>
  <c r="B239" i="9"/>
  <c r="A240" i="9"/>
  <c r="B240" i="9"/>
  <c r="A241" i="9"/>
  <c r="B241" i="9"/>
  <c r="A242" i="9"/>
  <c r="B242" i="9"/>
  <c r="A243" i="9"/>
  <c r="B243" i="9"/>
  <c r="A244" i="9"/>
  <c r="B244" i="9"/>
  <c r="A245" i="9"/>
  <c r="B245" i="9"/>
  <c r="A246" i="9"/>
  <c r="B246" i="9"/>
  <c r="A247" i="9"/>
  <c r="B247" i="9"/>
  <c r="A248" i="9"/>
  <c r="B248" i="9"/>
  <c r="A249" i="9"/>
  <c r="B249" i="9"/>
  <c r="A250" i="9"/>
  <c r="B250" i="9"/>
  <c r="A251" i="9"/>
  <c r="B251" i="9"/>
  <c r="A252" i="9"/>
  <c r="B252" i="9"/>
  <c r="A253" i="9"/>
  <c r="B253" i="9"/>
  <c r="A254" i="9"/>
  <c r="B254" i="9"/>
  <c r="A255" i="9"/>
  <c r="B255" i="9"/>
  <c r="A256" i="9"/>
  <c r="B256" i="9"/>
  <c r="A257" i="9"/>
  <c r="B257" i="9"/>
  <c r="A258" i="9"/>
  <c r="B258" i="9"/>
  <c r="A259" i="9"/>
  <c r="B259" i="9"/>
  <c r="A260" i="9"/>
  <c r="B260" i="9"/>
  <c r="A261" i="9"/>
  <c r="B261" i="9"/>
  <c r="A262" i="9"/>
  <c r="B262" i="9"/>
  <c r="A263" i="9"/>
  <c r="B263" i="9"/>
  <c r="A264" i="9"/>
  <c r="B264" i="9"/>
  <c r="A265" i="9"/>
  <c r="B265" i="9"/>
  <c r="A266" i="9"/>
  <c r="B266" i="9"/>
  <c r="A267" i="9"/>
  <c r="B267" i="9"/>
  <c r="A268" i="9"/>
  <c r="B268" i="9"/>
  <c r="A269" i="9"/>
  <c r="B269" i="9"/>
  <c r="A270" i="9"/>
  <c r="B270" i="9"/>
  <c r="A271" i="9"/>
  <c r="B271" i="9"/>
  <c r="A272" i="9"/>
  <c r="B272" i="9"/>
  <c r="A273" i="9"/>
  <c r="B273" i="9"/>
  <c r="A274" i="9"/>
  <c r="B274" i="9"/>
  <c r="A275" i="9"/>
  <c r="B275" i="9"/>
  <c r="A276" i="9"/>
  <c r="B276" i="9"/>
  <c r="A277" i="9"/>
  <c r="B277" i="9"/>
  <c r="A278" i="9"/>
  <c r="B278" i="9"/>
  <c r="A279" i="9"/>
  <c r="B279" i="9"/>
  <c r="A280" i="9"/>
  <c r="B280" i="9"/>
  <c r="A281" i="9"/>
  <c r="B281" i="9"/>
  <c r="A282" i="9"/>
  <c r="B282" i="9"/>
  <c r="A283" i="9"/>
  <c r="B283" i="9"/>
  <c r="A284" i="9"/>
  <c r="B284" i="9"/>
  <c r="A285" i="9"/>
  <c r="B285" i="9"/>
  <c r="A286" i="9"/>
  <c r="B286" i="9"/>
  <c r="A287" i="9"/>
  <c r="B287" i="9"/>
  <c r="A288" i="9"/>
  <c r="B288" i="9"/>
  <c r="A289" i="9"/>
  <c r="B289" i="9"/>
  <c r="A290" i="9"/>
  <c r="B290" i="9"/>
  <c r="A291" i="9"/>
  <c r="B291" i="9"/>
  <c r="A292" i="9"/>
  <c r="B292" i="9"/>
  <c r="A293" i="9"/>
  <c r="B293" i="9"/>
  <c r="A294" i="9"/>
  <c r="B294" i="9"/>
  <c r="A295" i="9"/>
  <c r="B295" i="9"/>
  <c r="A296" i="9"/>
  <c r="B296" i="9"/>
  <c r="A297" i="9"/>
  <c r="B297" i="9"/>
  <c r="A298" i="9"/>
  <c r="B298" i="9"/>
  <c r="A299" i="9"/>
  <c r="B299" i="9"/>
  <c r="A300" i="9"/>
  <c r="B300" i="9"/>
  <c r="A301" i="9"/>
  <c r="B301" i="9"/>
  <c r="A302" i="9"/>
  <c r="B302" i="9"/>
  <c r="A303" i="9"/>
  <c r="B303" i="9"/>
  <c r="A304" i="9"/>
  <c r="B304" i="9"/>
  <c r="A305" i="9"/>
  <c r="B305" i="9"/>
  <c r="A306" i="9"/>
  <c r="B306" i="9"/>
  <c r="A307" i="9"/>
  <c r="B307" i="9"/>
  <c r="A308" i="9"/>
  <c r="B308" i="9"/>
  <c r="A309" i="9"/>
  <c r="B309" i="9"/>
  <c r="A310" i="9"/>
  <c r="B310" i="9"/>
  <c r="A311" i="9"/>
  <c r="B311" i="9"/>
  <c r="A312" i="9"/>
  <c r="B312" i="9"/>
  <c r="A313" i="9"/>
  <c r="B313" i="9"/>
  <c r="A314" i="9"/>
  <c r="B314" i="9"/>
  <c r="A315" i="9"/>
  <c r="B315" i="9"/>
  <c r="A316" i="9"/>
  <c r="B316" i="9"/>
  <c r="A317" i="9"/>
  <c r="B317" i="9"/>
  <c r="A318" i="9"/>
  <c r="B318" i="9"/>
  <c r="A319" i="9"/>
  <c r="B319" i="9"/>
  <c r="A320" i="9"/>
  <c r="B320" i="9"/>
  <c r="A321" i="9"/>
  <c r="B321" i="9"/>
  <c r="A322" i="9"/>
  <c r="B322" i="9"/>
  <c r="A323" i="9"/>
  <c r="B323" i="9"/>
  <c r="A324" i="9"/>
  <c r="B324" i="9"/>
  <c r="A325" i="9"/>
  <c r="B325" i="9"/>
  <c r="A326" i="9"/>
  <c r="B326" i="9"/>
  <c r="A327" i="9"/>
  <c r="B327" i="9"/>
  <c r="A328" i="9"/>
  <c r="B328" i="9"/>
  <c r="A329" i="9"/>
  <c r="B329" i="9"/>
  <c r="A330" i="9"/>
  <c r="B330" i="9"/>
  <c r="A331" i="9"/>
  <c r="B331" i="9"/>
  <c r="A332" i="9"/>
  <c r="B332" i="9"/>
  <c r="A333" i="9"/>
  <c r="B333" i="9"/>
  <c r="A334" i="9"/>
  <c r="B334" i="9"/>
  <c r="A335" i="9"/>
  <c r="B335" i="9"/>
  <c r="A336" i="9"/>
  <c r="B336" i="9"/>
  <c r="A337" i="9"/>
  <c r="B337" i="9"/>
  <c r="A338" i="9"/>
  <c r="B338" i="9"/>
  <c r="A339" i="9"/>
  <c r="B339" i="9"/>
  <c r="A340" i="9"/>
  <c r="B340" i="9"/>
  <c r="A341" i="9"/>
  <c r="B341" i="9"/>
  <c r="A342" i="9"/>
  <c r="B342" i="9"/>
  <c r="A343" i="9"/>
  <c r="B343" i="9"/>
  <c r="A344" i="9"/>
  <c r="B344" i="9"/>
  <c r="A345" i="9"/>
  <c r="B345" i="9"/>
  <c r="A346" i="9"/>
  <c r="B346" i="9"/>
  <c r="A347" i="9"/>
  <c r="B347" i="9"/>
  <c r="A348" i="9"/>
  <c r="B348" i="9"/>
  <c r="A349" i="9"/>
  <c r="B349" i="9"/>
  <c r="A350" i="9"/>
  <c r="B350" i="9"/>
  <c r="A351" i="9"/>
  <c r="B351" i="9"/>
  <c r="A352" i="9"/>
  <c r="B352" i="9"/>
  <c r="A353" i="9"/>
  <c r="B353" i="9"/>
  <c r="A354" i="9"/>
  <c r="B354" i="9"/>
  <c r="A355" i="9"/>
  <c r="B355" i="9"/>
  <c r="A356" i="9"/>
  <c r="B356" i="9"/>
  <c r="A357" i="9"/>
  <c r="B357" i="9"/>
  <c r="A358" i="9"/>
  <c r="B358" i="9"/>
  <c r="A359" i="9"/>
  <c r="B359" i="9"/>
  <c r="A360" i="9"/>
  <c r="B360" i="9"/>
  <c r="A361" i="9"/>
  <c r="B361" i="9"/>
  <c r="A362" i="9"/>
  <c r="B362" i="9"/>
  <c r="A363" i="9"/>
  <c r="B363" i="9"/>
  <c r="A364" i="9"/>
  <c r="B364" i="9"/>
  <c r="A365" i="9"/>
  <c r="B365" i="9"/>
  <c r="A366" i="9"/>
  <c r="B366" i="9"/>
  <c r="A367" i="9"/>
  <c r="B367" i="9"/>
  <c r="A368" i="9"/>
  <c r="B368" i="9"/>
  <c r="A369" i="9"/>
  <c r="B369" i="9"/>
  <c r="A370" i="9"/>
  <c r="B370" i="9"/>
  <c r="A371" i="9"/>
  <c r="B371" i="9"/>
  <c r="A372" i="9"/>
  <c r="B372" i="9"/>
  <c r="A373" i="9"/>
  <c r="B373" i="9"/>
  <c r="A374" i="9"/>
  <c r="B374" i="9"/>
  <c r="A375" i="9"/>
  <c r="B375" i="9"/>
  <c r="A376" i="9"/>
  <c r="B376" i="9"/>
  <c r="A377" i="9"/>
  <c r="B377" i="9"/>
  <c r="A378" i="9"/>
  <c r="B378" i="9"/>
  <c r="A379" i="9"/>
  <c r="B379" i="9"/>
  <c r="A380" i="9"/>
  <c r="B380" i="9"/>
  <c r="A381" i="9"/>
  <c r="B381" i="9"/>
  <c r="A382" i="9"/>
  <c r="B382" i="9"/>
  <c r="A383" i="9"/>
  <c r="B383" i="9"/>
  <c r="A384" i="9"/>
  <c r="B384" i="9"/>
  <c r="A385" i="9"/>
  <c r="B385" i="9"/>
  <c r="A386" i="9"/>
  <c r="B386" i="9"/>
  <c r="A387" i="9"/>
  <c r="B387" i="9"/>
  <c r="A388" i="9"/>
  <c r="B388" i="9"/>
  <c r="A389" i="9"/>
  <c r="B389" i="9"/>
  <c r="A390" i="9"/>
  <c r="B390" i="9"/>
  <c r="A391" i="9"/>
  <c r="B391" i="9"/>
  <c r="A392" i="9"/>
  <c r="B392" i="9"/>
  <c r="A393" i="9"/>
  <c r="B393" i="9"/>
  <c r="A394" i="9"/>
  <c r="B394" i="9"/>
  <c r="A395" i="9"/>
  <c r="B395" i="9"/>
  <c r="A396" i="9"/>
  <c r="B396" i="9"/>
  <c r="A397" i="9"/>
  <c r="B397" i="9"/>
  <c r="A398" i="9"/>
  <c r="B398" i="9"/>
  <c r="A399" i="9"/>
  <c r="B399" i="9"/>
  <c r="A400" i="9"/>
  <c r="B400" i="9"/>
  <c r="A401" i="9"/>
  <c r="B401" i="9"/>
  <c r="A402" i="9"/>
  <c r="B402" i="9"/>
  <c r="A403" i="9"/>
  <c r="B403" i="9"/>
  <c r="A404" i="9"/>
  <c r="B404" i="9"/>
  <c r="A405" i="9"/>
  <c r="B405" i="9"/>
  <c r="A406" i="9"/>
  <c r="B406" i="9"/>
  <c r="A407" i="9"/>
  <c r="B407" i="9"/>
  <c r="A408" i="9"/>
  <c r="B408" i="9"/>
  <c r="A409" i="9"/>
  <c r="B409" i="9"/>
  <c r="A410" i="9"/>
  <c r="B410" i="9"/>
  <c r="A411" i="9"/>
  <c r="B411" i="9"/>
  <c r="A412" i="9"/>
  <c r="B412" i="9"/>
  <c r="A413" i="9"/>
  <c r="B413" i="9"/>
  <c r="A414" i="9"/>
  <c r="B414" i="9"/>
  <c r="A415" i="9"/>
  <c r="B415" i="9"/>
  <c r="A416" i="9"/>
  <c r="B416" i="9"/>
  <c r="A417" i="9"/>
  <c r="B417" i="9"/>
  <c r="A418" i="9"/>
  <c r="B418" i="9"/>
  <c r="A419" i="9"/>
  <c r="B419" i="9"/>
  <c r="A420" i="9"/>
  <c r="B420" i="9"/>
  <c r="A421" i="9"/>
  <c r="B421" i="9"/>
  <c r="A422" i="9"/>
  <c r="B422" i="9"/>
  <c r="A423" i="9"/>
  <c r="B423" i="9"/>
  <c r="A424" i="9"/>
  <c r="B424" i="9"/>
  <c r="A425" i="9"/>
  <c r="B425" i="9"/>
  <c r="A426" i="9"/>
  <c r="B426" i="9"/>
  <c r="A427" i="9"/>
  <c r="B427" i="9"/>
  <c r="A428" i="9"/>
  <c r="B428" i="9"/>
  <c r="A429" i="9"/>
  <c r="B429" i="9"/>
  <c r="A430" i="9"/>
  <c r="B430" i="9"/>
  <c r="A431" i="9"/>
  <c r="B431" i="9"/>
  <c r="A432" i="9"/>
  <c r="B432" i="9"/>
  <c r="A433" i="9"/>
  <c r="B433" i="9"/>
  <c r="A434" i="9"/>
  <c r="B434" i="9"/>
  <c r="A435" i="9"/>
  <c r="B435" i="9"/>
  <c r="A436" i="9"/>
  <c r="B436" i="9"/>
  <c r="A437" i="9"/>
  <c r="B437" i="9"/>
  <c r="A438" i="9"/>
  <c r="B438" i="9"/>
  <c r="A439" i="9"/>
  <c r="B439" i="9"/>
  <c r="A440" i="9"/>
  <c r="B440" i="9"/>
  <c r="A441" i="9"/>
  <c r="B441" i="9"/>
  <c r="A442" i="9"/>
  <c r="B442" i="9"/>
  <c r="A443" i="9"/>
  <c r="B443" i="9"/>
  <c r="A444" i="9"/>
  <c r="B444" i="9"/>
  <c r="A445" i="9"/>
  <c r="B445" i="9"/>
  <c r="A446" i="9"/>
  <c r="B446" i="9"/>
  <c r="A447" i="9"/>
  <c r="B447" i="9"/>
  <c r="A448" i="9"/>
  <c r="B448" i="9"/>
  <c r="A449" i="9"/>
  <c r="B449" i="9"/>
  <c r="A450" i="9"/>
  <c r="B450" i="9"/>
  <c r="A451" i="9"/>
  <c r="B451" i="9"/>
  <c r="A452" i="9"/>
  <c r="B452" i="9"/>
  <c r="A453" i="9"/>
  <c r="B453" i="9"/>
  <c r="A454" i="9"/>
  <c r="B454" i="9"/>
  <c r="A455" i="9"/>
  <c r="B455" i="9"/>
  <c r="A456" i="9"/>
  <c r="B456" i="9"/>
  <c r="A457" i="9"/>
  <c r="B457" i="9"/>
  <c r="A458" i="9"/>
  <c r="B458" i="9"/>
  <c r="A459" i="9"/>
  <c r="B459" i="9"/>
  <c r="A460" i="9"/>
  <c r="B460" i="9"/>
  <c r="A461" i="9"/>
  <c r="B461" i="9"/>
  <c r="A462" i="9"/>
  <c r="B462" i="9"/>
  <c r="A463" i="9"/>
  <c r="B463" i="9"/>
  <c r="A464" i="9"/>
  <c r="B464" i="9"/>
  <c r="A465" i="9"/>
  <c r="B465" i="9"/>
  <c r="A466" i="9"/>
  <c r="B466" i="9"/>
  <c r="B2" i="9"/>
  <c r="A2" i="9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A446" i="8"/>
  <c r="B446" i="8"/>
  <c r="A447" i="8"/>
  <c r="B447" i="8"/>
  <c r="A448" i="8"/>
  <c r="B448" i="8"/>
  <c r="A449" i="8"/>
  <c r="B449" i="8"/>
  <c r="A450" i="8"/>
  <c r="B450" i="8"/>
  <c r="A451" i="8"/>
  <c r="B451" i="8"/>
  <c r="A452" i="8"/>
  <c r="B452" i="8"/>
  <c r="A453" i="8"/>
  <c r="B453" i="8"/>
  <c r="A454" i="8"/>
  <c r="B454" i="8"/>
  <c r="A455" i="8"/>
  <c r="B455" i="8"/>
  <c r="A456" i="8"/>
  <c r="B456" i="8"/>
  <c r="A457" i="8"/>
  <c r="B457" i="8"/>
  <c r="A458" i="8"/>
  <c r="B458" i="8"/>
  <c r="A459" i="8"/>
  <c r="B459" i="8"/>
  <c r="A460" i="8"/>
  <c r="B460" i="8"/>
  <c r="A461" i="8"/>
  <c r="B461" i="8"/>
  <c r="A462" i="8"/>
  <c r="B462" i="8"/>
  <c r="A463" i="8"/>
  <c r="B463" i="8"/>
  <c r="A464" i="8"/>
  <c r="B464" i="8"/>
  <c r="A465" i="8"/>
  <c r="B465" i="8"/>
  <c r="A466" i="8"/>
  <c r="B466" i="8"/>
  <c r="B2" i="8"/>
  <c r="A2" i="8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B115" i="7"/>
  <c r="A116" i="7"/>
  <c r="B116" i="7"/>
  <c r="A117" i="7"/>
  <c r="B117" i="7"/>
  <c r="A118" i="7"/>
  <c r="B118" i="7"/>
  <c r="A119" i="7"/>
  <c r="B119" i="7"/>
  <c r="A120" i="7"/>
  <c r="B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A138" i="7"/>
  <c r="B138" i="7"/>
  <c r="A139" i="7"/>
  <c r="B139" i="7"/>
  <c r="A140" i="7"/>
  <c r="B140" i="7"/>
  <c r="A141" i="7"/>
  <c r="B141" i="7"/>
  <c r="A142" i="7"/>
  <c r="B142" i="7"/>
  <c r="A143" i="7"/>
  <c r="B143" i="7"/>
  <c r="A144" i="7"/>
  <c r="B144" i="7"/>
  <c r="A145" i="7"/>
  <c r="B145" i="7"/>
  <c r="A146" i="7"/>
  <c r="B146" i="7"/>
  <c r="A147" i="7"/>
  <c r="B147" i="7"/>
  <c r="A148" i="7"/>
  <c r="B148" i="7"/>
  <c r="A149" i="7"/>
  <c r="B149" i="7"/>
  <c r="A150" i="7"/>
  <c r="B150" i="7"/>
  <c r="A151" i="7"/>
  <c r="B151" i="7"/>
  <c r="A152" i="7"/>
  <c r="B152" i="7"/>
  <c r="A153" i="7"/>
  <c r="B153" i="7"/>
  <c r="A154" i="7"/>
  <c r="B154" i="7"/>
  <c r="A155" i="7"/>
  <c r="B155" i="7"/>
  <c r="A156" i="7"/>
  <c r="B156" i="7"/>
  <c r="A157" i="7"/>
  <c r="B157" i="7"/>
  <c r="A158" i="7"/>
  <c r="B158" i="7"/>
  <c r="A159" i="7"/>
  <c r="B159" i="7"/>
  <c r="A160" i="7"/>
  <c r="B160" i="7"/>
  <c r="A161" i="7"/>
  <c r="B161" i="7"/>
  <c r="A162" i="7"/>
  <c r="B162" i="7"/>
  <c r="A163" i="7"/>
  <c r="B163" i="7"/>
  <c r="A164" i="7"/>
  <c r="B164" i="7"/>
  <c r="A165" i="7"/>
  <c r="B165" i="7"/>
  <c r="A166" i="7"/>
  <c r="B166" i="7"/>
  <c r="A167" i="7"/>
  <c r="B167" i="7"/>
  <c r="A168" i="7"/>
  <c r="B168" i="7"/>
  <c r="A169" i="7"/>
  <c r="B169" i="7"/>
  <c r="A170" i="7"/>
  <c r="B170" i="7"/>
  <c r="A171" i="7"/>
  <c r="B171" i="7"/>
  <c r="A172" i="7"/>
  <c r="B172" i="7"/>
  <c r="A173" i="7"/>
  <c r="B173" i="7"/>
  <c r="A174" i="7"/>
  <c r="B174" i="7"/>
  <c r="A175" i="7"/>
  <c r="B175" i="7"/>
  <c r="A176" i="7"/>
  <c r="B176" i="7"/>
  <c r="A177" i="7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4" i="7"/>
  <c r="B184" i="7"/>
  <c r="A185" i="7"/>
  <c r="B185" i="7"/>
  <c r="A186" i="7"/>
  <c r="B186" i="7"/>
  <c r="A187" i="7"/>
  <c r="B187" i="7"/>
  <c r="A188" i="7"/>
  <c r="B188" i="7"/>
  <c r="A189" i="7"/>
  <c r="B189" i="7"/>
  <c r="A190" i="7"/>
  <c r="B190" i="7"/>
  <c r="A191" i="7"/>
  <c r="B191" i="7"/>
  <c r="A192" i="7"/>
  <c r="B192" i="7"/>
  <c r="A193" i="7"/>
  <c r="B193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3" i="7"/>
  <c r="B203" i="7"/>
  <c r="A204" i="7"/>
  <c r="B204" i="7"/>
  <c r="A205" i="7"/>
  <c r="B205" i="7"/>
  <c r="A206" i="7"/>
  <c r="B206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213" i="7"/>
  <c r="B213" i="7"/>
  <c r="A214" i="7"/>
  <c r="B214" i="7"/>
  <c r="A215" i="7"/>
  <c r="B215" i="7"/>
  <c r="A216" i="7"/>
  <c r="B216" i="7"/>
  <c r="A217" i="7"/>
  <c r="B217" i="7"/>
  <c r="A218" i="7"/>
  <c r="B218" i="7"/>
  <c r="A219" i="7"/>
  <c r="B219" i="7"/>
  <c r="A220" i="7"/>
  <c r="B220" i="7"/>
  <c r="A221" i="7"/>
  <c r="B221" i="7"/>
  <c r="A222" i="7"/>
  <c r="B222" i="7"/>
  <c r="A223" i="7"/>
  <c r="B223" i="7"/>
  <c r="A224" i="7"/>
  <c r="B224" i="7"/>
  <c r="A225" i="7"/>
  <c r="B225" i="7"/>
  <c r="A226" i="7"/>
  <c r="B226" i="7"/>
  <c r="A227" i="7"/>
  <c r="B227" i="7"/>
  <c r="A228" i="7"/>
  <c r="B228" i="7"/>
  <c r="A229" i="7"/>
  <c r="B229" i="7"/>
  <c r="A230" i="7"/>
  <c r="B230" i="7"/>
  <c r="A231" i="7"/>
  <c r="B231" i="7"/>
  <c r="A232" i="7"/>
  <c r="B232" i="7"/>
  <c r="A233" i="7"/>
  <c r="B233" i="7"/>
  <c r="A234" i="7"/>
  <c r="B234" i="7"/>
  <c r="A235" i="7"/>
  <c r="B235" i="7"/>
  <c r="A236" i="7"/>
  <c r="B236" i="7"/>
  <c r="A237" i="7"/>
  <c r="B237" i="7"/>
  <c r="A238" i="7"/>
  <c r="B238" i="7"/>
  <c r="A239" i="7"/>
  <c r="B239" i="7"/>
  <c r="A240" i="7"/>
  <c r="B240" i="7"/>
  <c r="A241" i="7"/>
  <c r="B241" i="7"/>
  <c r="A242" i="7"/>
  <c r="B242" i="7"/>
  <c r="A243" i="7"/>
  <c r="B243" i="7"/>
  <c r="A244" i="7"/>
  <c r="B244" i="7"/>
  <c r="A245" i="7"/>
  <c r="B245" i="7"/>
  <c r="A246" i="7"/>
  <c r="B246" i="7"/>
  <c r="A247" i="7"/>
  <c r="B247" i="7"/>
  <c r="A248" i="7"/>
  <c r="B248" i="7"/>
  <c r="A249" i="7"/>
  <c r="B249" i="7"/>
  <c r="A250" i="7"/>
  <c r="B250" i="7"/>
  <c r="A251" i="7"/>
  <c r="B251" i="7"/>
  <c r="A252" i="7"/>
  <c r="B252" i="7"/>
  <c r="A253" i="7"/>
  <c r="B253" i="7"/>
  <c r="A254" i="7"/>
  <c r="B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61" i="7"/>
  <c r="B261" i="7"/>
  <c r="A262" i="7"/>
  <c r="B262" i="7"/>
  <c r="A263" i="7"/>
  <c r="B263" i="7"/>
  <c r="A264" i="7"/>
  <c r="B264" i="7"/>
  <c r="A265" i="7"/>
  <c r="B265" i="7"/>
  <c r="A266" i="7"/>
  <c r="B266" i="7"/>
  <c r="A267" i="7"/>
  <c r="B267" i="7"/>
  <c r="A268" i="7"/>
  <c r="B268" i="7"/>
  <c r="A269" i="7"/>
  <c r="B269" i="7"/>
  <c r="A270" i="7"/>
  <c r="B270" i="7"/>
  <c r="A271" i="7"/>
  <c r="B271" i="7"/>
  <c r="A272" i="7"/>
  <c r="B272" i="7"/>
  <c r="A273" i="7"/>
  <c r="B273" i="7"/>
  <c r="A274" i="7"/>
  <c r="B274" i="7"/>
  <c r="A275" i="7"/>
  <c r="B275" i="7"/>
  <c r="A276" i="7"/>
  <c r="B276" i="7"/>
  <c r="A277" i="7"/>
  <c r="B277" i="7"/>
  <c r="A278" i="7"/>
  <c r="B278" i="7"/>
  <c r="A279" i="7"/>
  <c r="B279" i="7"/>
  <c r="A280" i="7"/>
  <c r="B280" i="7"/>
  <c r="A281" i="7"/>
  <c r="B281" i="7"/>
  <c r="A282" i="7"/>
  <c r="B282" i="7"/>
  <c r="A283" i="7"/>
  <c r="B283" i="7"/>
  <c r="A284" i="7"/>
  <c r="B284" i="7"/>
  <c r="A285" i="7"/>
  <c r="B285" i="7"/>
  <c r="A286" i="7"/>
  <c r="B286" i="7"/>
  <c r="A287" i="7"/>
  <c r="B287" i="7"/>
  <c r="A288" i="7"/>
  <c r="B288" i="7"/>
  <c r="A289" i="7"/>
  <c r="B289" i="7"/>
  <c r="A290" i="7"/>
  <c r="B290" i="7"/>
  <c r="A291" i="7"/>
  <c r="B291" i="7"/>
  <c r="A292" i="7"/>
  <c r="B292" i="7"/>
  <c r="A293" i="7"/>
  <c r="B293" i="7"/>
  <c r="A294" i="7"/>
  <c r="B294" i="7"/>
  <c r="A295" i="7"/>
  <c r="B295" i="7"/>
  <c r="A296" i="7"/>
  <c r="B296" i="7"/>
  <c r="A297" i="7"/>
  <c r="B297" i="7"/>
  <c r="A298" i="7"/>
  <c r="B298" i="7"/>
  <c r="A299" i="7"/>
  <c r="B299" i="7"/>
  <c r="A300" i="7"/>
  <c r="B300" i="7"/>
  <c r="A301" i="7"/>
  <c r="B301" i="7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312" i="7"/>
  <c r="B312" i="7"/>
  <c r="A313" i="7"/>
  <c r="B313" i="7"/>
  <c r="A314" i="7"/>
  <c r="B314" i="7"/>
  <c r="A315" i="7"/>
  <c r="B315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A328" i="7"/>
  <c r="B328" i="7"/>
  <c r="A329" i="7"/>
  <c r="B329" i="7"/>
  <c r="A330" i="7"/>
  <c r="B330" i="7"/>
  <c r="A331" i="7"/>
  <c r="B331" i="7"/>
  <c r="A332" i="7"/>
  <c r="B332" i="7"/>
  <c r="A333" i="7"/>
  <c r="B333" i="7"/>
  <c r="A334" i="7"/>
  <c r="B334" i="7"/>
  <c r="A335" i="7"/>
  <c r="B335" i="7"/>
  <c r="A336" i="7"/>
  <c r="B336" i="7"/>
  <c r="A337" i="7"/>
  <c r="B337" i="7"/>
  <c r="A338" i="7"/>
  <c r="B338" i="7"/>
  <c r="A339" i="7"/>
  <c r="B339" i="7"/>
  <c r="A340" i="7"/>
  <c r="B340" i="7"/>
  <c r="A341" i="7"/>
  <c r="B341" i="7"/>
  <c r="A342" i="7"/>
  <c r="B342" i="7"/>
  <c r="A343" i="7"/>
  <c r="B343" i="7"/>
  <c r="A344" i="7"/>
  <c r="B344" i="7"/>
  <c r="A345" i="7"/>
  <c r="B345" i="7"/>
  <c r="A346" i="7"/>
  <c r="B346" i="7"/>
  <c r="A347" i="7"/>
  <c r="B347" i="7"/>
  <c r="A348" i="7"/>
  <c r="B348" i="7"/>
  <c r="A349" i="7"/>
  <c r="B349" i="7"/>
  <c r="A350" i="7"/>
  <c r="B350" i="7"/>
  <c r="A351" i="7"/>
  <c r="B351" i="7"/>
  <c r="A352" i="7"/>
  <c r="B352" i="7"/>
  <c r="A353" i="7"/>
  <c r="B353" i="7"/>
  <c r="A354" i="7"/>
  <c r="B354" i="7"/>
  <c r="A355" i="7"/>
  <c r="B355" i="7"/>
  <c r="A356" i="7"/>
  <c r="B356" i="7"/>
  <c r="A357" i="7"/>
  <c r="B357" i="7"/>
  <c r="A358" i="7"/>
  <c r="B358" i="7"/>
  <c r="A359" i="7"/>
  <c r="B359" i="7"/>
  <c r="A360" i="7"/>
  <c r="B360" i="7"/>
  <c r="A361" i="7"/>
  <c r="B361" i="7"/>
  <c r="A362" i="7"/>
  <c r="B362" i="7"/>
  <c r="A363" i="7"/>
  <c r="B363" i="7"/>
  <c r="A364" i="7"/>
  <c r="B364" i="7"/>
  <c r="A365" i="7"/>
  <c r="B365" i="7"/>
  <c r="A366" i="7"/>
  <c r="B366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75" i="7"/>
  <c r="B375" i="7"/>
  <c r="A376" i="7"/>
  <c r="B376" i="7"/>
  <c r="A377" i="7"/>
  <c r="B377" i="7"/>
  <c r="A378" i="7"/>
  <c r="B378" i="7"/>
  <c r="A379" i="7"/>
  <c r="B379" i="7"/>
  <c r="A380" i="7"/>
  <c r="B380" i="7"/>
  <c r="A381" i="7"/>
  <c r="B381" i="7"/>
  <c r="A382" i="7"/>
  <c r="B382" i="7"/>
  <c r="A383" i="7"/>
  <c r="B383" i="7"/>
  <c r="A384" i="7"/>
  <c r="B384" i="7"/>
  <c r="A385" i="7"/>
  <c r="B385" i="7"/>
  <c r="A386" i="7"/>
  <c r="B386" i="7"/>
  <c r="A387" i="7"/>
  <c r="B387" i="7"/>
  <c r="A388" i="7"/>
  <c r="B388" i="7"/>
  <c r="A389" i="7"/>
  <c r="B389" i="7"/>
  <c r="A390" i="7"/>
  <c r="B390" i="7"/>
  <c r="A391" i="7"/>
  <c r="B391" i="7"/>
  <c r="A392" i="7"/>
  <c r="B392" i="7"/>
  <c r="A393" i="7"/>
  <c r="B393" i="7"/>
  <c r="A394" i="7"/>
  <c r="B394" i="7"/>
  <c r="A395" i="7"/>
  <c r="B395" i="7"/>
  <c r="A396" i="7"/>
  <c r="B396" i="7"/>
  <c r="A397" i="7"/>
  <c r="B397" i="7"/>
  <c r="A398" i="7"/>
  <c r="B398" i="7"/>
  <c r="A399" i="7"/>
  <c r="B399" i="7"/>
  <c r="A400" i="7"/>
  <c r="B400" i="7"/>
  <c r="A401" i="7"/>
  <c r="B401" i="7"/>
  <c r="A402" i="7"/>
  <c r="B402" i="7"/>
  <c r="A403" i="7"/>
  <c r="B403" i="7"/>
  <c r="A404" i="7"/>
  <c r="B404" i="7"/>
  <c r="A405" i="7"/>
  <c r="B405" i="7"/>
  <c r="A406" i="7"/>
  <c r="B406" i="7"/>
  <c r="A407" i="7"/>
  <c r="B407" i="7"/>
  <c r="A408" i="7"/>
  <c r="B408" i="7"/>
  <c r="A409" i="7"/>
  <c r="B409" i="7"/>
  <c r="A410" i="7"/>
  <c r="B410" i="7"/>
  <c r="A411" i="7"/>
  <c r="B411" i="7"/>
  <c r="A412" i="7"/>
  <c r="B412" i="7"/>
  <c r="A413" i="7"/>
  <c r="B413" i="7"/>
  <c r="A414" i="7"/>
  <c r="B414" i="7"/>
  <c r="A415" i="7"/>
  <c r="B415" i="7"/>
  <c r="A416" i="7"/>
  <c r="B416" i="7"/>
  <c r="A417" i="7"/>
  <c r="B417" i="7"/>
  <c r="A418" i="7"/>
  <c r="B418" i="7"/>
  <c r="A419" i="7"/>
  <c r="B419" i="7"/>
  <c r="A420" i="7"/>
  <c r="B420" i="7"/>
  <c r="A421" i="7"/>
  <c r="B421" i="7"/>
  <c r="A422" i="7"/>
  <c r="B422" i="7"/>
  <c r="A423" i="7"/>
  <c r="B423" i="7"/>
  <c r="A424" i="7"/>
  <c r="B424" i="7"/>
  <c r="A425" i="7"/>
  <c r="B425" i="7"/>
  <c r="A426" i="7"/>
  <c r="B426" i="7"/>
  <c r="A427" i="7"/>
  <c r="B427" i="7"/>
  <c r="A428" i="7"/>
  <c r="B428" i="7"/>
  <c r="A429" i="7"/>
  <c r="B429" i="7"/>
  <c r="A430" i="7"/>
  <c r="B430" i="7"/>
  <c r="A431" i="7"/>
  <c r="B431" i="7"/>
  <c r="A432" i="7"/>
  <c r="B432" i="7"/>
  <c r="A433" i="7"/>
  <c r="B433" i="7"/>
  <c r="A434" i="7"/>
  <c r="B434" i="7"/>
  <c r="A435" i="7"/>
  <c r="B435" i="7"/>
  <c r="A436" i="7"/>
  <c r="B436" i="7"/>
  <c r="A437" i="7"/>
  <c r="B437" i="7"/>
  <c r="A438" i="7"/>
  <c r="B438" i="7"/>
  <c r="A439" i="7"/>
  <c r="B439" i="7"/>
  <c r="A440" i="7"/>
  <c r="B440" i="7"/>
  <c r="A441" i="7"/>
  <c r="B441" i="7"/>
  <c r="A442" i="7"/>
  <c r="B442" i="7"/>
  <c r="A443" i="7"/>
  <c r="B443" i="7"/>
  <c r="A444" i="7"/>
  <c r="B444" i="7"/>
  <c r="A445" i="7"/>
  <c r="B445" i="7"/>
  <c r="A446" i="7"/>
  <c r="B446" i="7"/>
  <c r="A447" i="7"/>
  <c r="B447" i="7"/>
  <c r="A448" i="7"/>
  <c r="B448" i="7"/>
  <c r="A449" i="7"/>
  <c r="B449" i="7"/>
  <c r="A450" i="7"/>
  <c r="B450" i="7"/>
  <c r="A451" i="7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A461" i="7"/>
  <c r="B461" i="7"/>
  <c r="A462" i="7"/>
  <c r="B462" i="7"/>
  <c r="A463" i="7"/>
  <c r="B463" i="7"/>
  <c r="A464" i="7"/>
  <c r="B464" i="7"/>
  <c r="A465" i="7"/>
  <c r="B465" i="7"/>
  <c r="A466" i="7"/>
  <c r="B466" i="7"/>
  <c r="B2" i="7"/>
  <c r="A2" i="7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7" i="6"/>
  <c r="B107" i="6"/>
  <c r="A108" i="6"/>
  <c r="B108" i="6"/>
  <c r="A109" i="6"/>
  <c r="B109" i="6"/>
  <c r="A110" i="6"/>
  <c r="B110" i="6"/>
  <c r="A111" i="6"/>
  <c r="B111" i="6"/>
  <c r="A112" i="6"/>
  <c r="B112" i="6"/>
  <c r="A113" i="6"/>
  <c r="B113" i="6"/>
  <c r="A114" i="6"/>
  <c r="B114" i="6"/>
  <c r="A115" i="6"/>
  <c r="B115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24" i="6"/>
  <c r="B124" i="6"/>
  <c r="A125" i="6"/>
  <c r="B125" i="6"/>
  <c r="A126" i="6"/>
  <c r="B126" i="6"/>
  <c r="A127" i="6"/>
  <c r="B127" i="6"/>
  <c r="A128" i="6"/>
  <c r="B128" i="6"/>
  <c r="A129" i="6"/>
  <c r="B129" i="6"/>
  <c r="A130" i="6"/>
  <c r="B130" i="6"/>
  <c r="A131" i="6"/>
  <c r="B131" i="6"/>
  <c r="A132" i="6"/>
  <c r="B132" i="6"/>
  <c r="A133" i="6"/>
  <c r="B133" i="6"/>
  <c r="A134" i="6"/>
  <c r="B134" i="6"/>
  <c r="A135" i="6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B144" i="6"/>
  <c r="A145" i="6"/>
  <c r="B145" i="6"/>
  <c r="A146" i="6"/>
  <c r="B146" i="6"/>
  <c r="A147" i="6"/>
  <c r="B147" i="6"/>
  <c r="A148" i="6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B155" i="6"/>
  <c r="A156" i="6"/>
  <c r="B156" i="6"/>
  <c r="A157" i="6"/>
  <c r="B157" i="6"/>
  <c r="A158" i="6"/>
  <c r="B158" i="6"/>
  <c r="A159" i="6"/>
  <c r="B159" i="6"/>
  <c r="A160" i="6"/>
  <c r="B160" i="6"/>
  <c r="A161" i="6"/>
  <c r="B161" i="6"/>
  <c r="A162" i="6"/>
  <c r="B162" i="6"/>
  <c r="A163" i="6"/>
  <c r="B163" i="6"/>
  <c r="A164" i="6"/>
  <c r="B164" i="6"/>
  <c r="A165" i="6"/>
  <c r="B165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72" i="6"/>
  <c r="B172" i="6"/>
  <c r="A173" i="6"/>
  <c r="B173" i="6"/>
  <c r="A174" i="6"/>
  <c r="B174" i="6"/>
  <c r="A175" i="6"/>
  <c r="B175" i="6"/>
  <c r="A176" i="6"/>
  <c r="B176" i="6"/>
  <c r="A177" i="6"/>
  <c r="B177" i="6"/>
  <c r="A178" i="6"/>
  <c r="B178" i="6"/>
  <c r="A179" i="6"/>
  <c r="B179" i="6"/>
  <c r="A180" i="6"/>
  <c r="B180" i="6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91" i="6"/>
  <c r="B191" i="6"/>
  <c r="A192" i="6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B208" i="6"/>
  <c r="A209" i="6"/>
  <c r="B209" i="6"/>
  <c r="A210" i="6"/>
  <c r="B210" i="6"/>
  <c r="A211" i="6"/>
  <c r="B211" i="6"/>
  <c r="A212" i="6"/>
  <c r="B212" i="6"/>
  <c r="A213" i="6"/>
  <c r="B213" i="6"/>
  <c r="A214" i="6"/>
  <c r="B214" i="6"/>
  <c r="A215" i="6"/>
  <c r="B215" i="6"/>
  <c r="A216" i="6"/>
  <c r="B216" i="6"/>
  <c r="A217" i="6"/>
  <c r="B217" i="6"/>
  <c r="A218" i="6"/>
  <c r="B218" i="6"/>
  <c r="A219" i="6"/>
  <c r="B219" i="6"/>
  <c r="A220" i="6"/>
  <c r="B220" i="6"/>
  <c r="A221" i="6"/>
  <c r="B221" i="6"/>
  <c r="A222" i="6"/>
  <c r="B222" i="6"/>
  <c r="A223" i="6"/>
  <c r="B223" i="6"/>
  <c r="A224" i="6"/>
  <c r="B224" i="6"/>
  <c r="A225" i="6"/>
  <c r="B225" i="6"/>
  <c r="A226" i="6"/>
  <c r="B226" i="6"/>
  <c r="A227" i="6"/>
  <c r="B227" i="6"/>
  <c r="A228" i="6"/>
  <c r="B228" i="6"/>
  <c r="A229" i="6"/>
  <c r="B229" i="6"/>
  <c r="A230" i="6"/>
  <c r="B230" i="6"/>
  <c r="A231" i="6"/>
  <c r="B231" i="6"/>
  <c r="A232" i="6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B248" i="6"/>
  <c r="A249" i="6"/>
  <c r="B249" i="6"/>
  <c r="A250" i="6"/>
  <c r="B250" i="6"/>
  <c r="A251" i="6"/>
  <c r="B25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B275" i="6"/>
  <c r="A276" i="6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B288" i="6"/>
  <c r="A289" i="6"/>
  <c r="B289" i="6"/>
  <c r="A290" i="6"/>
  <c r="B290" i="6"/>
  <c r="A291" i="6"/>
  <c r="B291" i="6"/>
  <c r="A292" i="6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B319" i="6"/>
  <c r="A320" i="6"/>
  <c r="B320" i="6"/>
  <c r="A321" i="6"/>
  <c r="B321" i="6"/>
  <c r="A322" i="6"/>
  <c r="B322" i="6"/>
  <c r="A323" i="6"/>
  <c r="B323" i="6"/>
  <c r="A324" i="6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B335" i="6"/>
  <c r="A336" i="6"/>
  <c r="B336" i="6"/>
  <c r="A337" i="6"/>
  <c r="B337" i="6"/>
  <c r="A338" i="6"/>
  <c r="B338" i="6"/>
  <c r="A339" i="6"/>
  <c r="B339" i="6"/>
  <c r="A340" i="6"/>
  <c r="B340" i="6"/>
  <c r="A341" i="6"/>
  <c r="B341" i="6"/>
  <c r="A342" i="6"/>
  <c r="B342" i="6"/>
  <c r="A343" i="6"/>
  <c r="B343" i="6"/>
  <c r="A344" i="6"/>
  <c r="B344" i="6"/>
  <c r="A345" i="6"/>
  <c r="B345" i="6"/>
  <c r="A346" i="6"/>
  <c r="B346" i="6"/>
  <c r="A347" i="6"/>
  <c r="B347" i="6"/>
  <c r="A348" i="6"/>
  <c r="B348" i="6"/>
  <c r="A349" i="6"/>
  <c r="B349" i="6"/>
  <c r="A350" i="6"/>
  <c r="B350" i="6"/>
  <c r="A351" i="6"/>
  <c r="B351" i="6"/>
  <c r="A352" i="6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B372" i="6"/>
  <c r="A373" i="6"/>
  <c r="B373" i="6"/>
  <c r="A374" i="6"/>
  <c r="B374" i="6"/>
  <c r="A375" i="6"/>
  <c r="B375" i="6"/>
  <c r="A376" i="6"/>
  <c r="B376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B400" i="6"/>
  <c r="A401" i="6"/>
  <c r="B401" i="6"/>
  <c r="A402" i="6"/>
  <c r="B402" i="6"/>
  <c r="A403" i="6"/>
  <c r="B403" i="6"/>
  <c r="A404" i="6"/>
  <c r="B404" i="6"/>
  <c r="A405" i="6"/>
  <c r="B405" i="6"/>
  <c r="A406" i="6"/>
  <c r="B406" i="6"/>
  <c r="A407" i="6"/>
  <c r="B407" i="6"/>
  <c r="A408" i="6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B420" i="6"/>
  <c r="A421" i="6"/>
  <c r="B421" i="6"/>
  <c r="A422" i="6"/>
  <c r="B422" i="6"/>
  <c r="A423" i="6"/>
  <c r="B423" i="6"/>
  <c r="A424" i="6"/>
  <c r="B424" i="6"/>
  <c r="A425" i="6"/>
  <c r="B425" i="6"/>
  <c r="A426" i="6"/>
  <c r="B426" i="6"/>
  <c r="A427" i="6"/>
  <c r="B427" i="6"/>
  <c r="A428" i="6"/>
  <c r="B428" i="6"/>
  <c r="A429" i="6"/>
  <c r="B429" i="6"/>
  <c r="A430" i="6"/>
  <c r="B430" i="6"/>
  <c r="A431" i="6"/>
  <c r="B431" i="6"/>
  <c r="A432" i="6"/>
  <c r="B432" i="6"/>
  <c r="A433" i="6"/>
  <c r="B433" i="6"/>
  <c r="A434" i="6"/>
  <c r="B434" i="6"/>
  <c r="A435" i="6"/>
  <c r="B435" i="6"/>
  <c r="A436" i="6"/>
  <c r="B436" i="6"/>
  <c r="A437" i="6"/>
  <c r="B437" i="6"/>
  <c r="A438" i="6"/>
  <c r="B438" i="6"/>
  <c r="A439" i="6"/>
  <c r="B439" i="6"/>
  <c r="A440" i="6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B448" i="6"/>
  <c r="A449" i="6"/>
  <c r="B449" i="6"/>
  <c r="A450" i="6"/>
  <c r="B450" i="6"/>
  <c r="A451" i="6"/>
  <c r="B451" i="6"/>
  <c r="A452" i="6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B2" i="6"/>
  <c r="A2" i="6"/>
  <c r="B466" i="11"/>
  <c r="A466" i="11"/>
  <c r="B465" i="11"/>
  <c r="A465" i="11"/>
  <c r="B464" i="11"/>
  <c r="A464" i="11"/>
  <c r="B463" i="11"/>
  <c r="A463" i="11"/>
  <c r="B462" i="11"/>
  <c r="A462" i="11"/>
  <c r="B461" i="11"/>
  <c r="A461" i="11"/>
  <c r="B460" i="11"/>
  <c r="A460" i="11"/>
  <c r="B459" i="11"/>
  <c r="A459" i="11"/>
  <c r="B458" i="11"/>
  <c r="A458" i="11"/>
  <c r="B457" i="11"/>
  <c r="A457" i="11"/>
  <c r="B456" i="11"/>
  <c r="A456" i="11"/>
  <c r="B455" i="11"/>
  <c r="A455" i="11"/>
  <c r="B454" i="11"/>
  <c r="A454" i="11"/>
  <c r="B453" i="11"/>
  <c r="A453" i="11"/>
  <c r="B452" i="11"/>
  <c r="A452" i="11"/>
  <c r="B451" i="11"/>
  <c r="A451" i="11"/>
  <c r="B450" i="11"/>
  <c r="A450" i="11"/>
  <c r="B449" i="11"/>
  <c r="A449" i="11"/>
  <c r="B448" i="11"/>
  <c r="A448" i="11"/>
  <c r="B447" i="11"/>
  <c r="A447" i="11"/>
  <c r="B446" i="11"/>
  <c r="A446" i="11"/>
  <c r="B445" i="11"/>
  <c r="A445" i="11"/>
  <c r="B444" i="11"/>
  <c r="A444" i="11"/>
  <c r="B443" i="11"/>
  <c r="A443" i="11"/>
  <c r="B442" i="11"/>
  <c r="A442" i="11"/>
  <c r="B441" i="11"/>
  <c r="A441" i="11"/>
  <c r="B440" i="11"/>
  <c r="A440" i="11"/>
  <c r="B439" i="11"/>
  <c r="A439" i="11"/>
  <c r="B438" i="11"/>
  <c r="A438" i="11"/>
  <c r="B437" i="11"/>
  <c r="A437" i="11"/>
  <c r="B436" i="11"/>
  <c r="A436" i="11"/>
  <c r="B435" i="11"/>
  <c r="A435" i="11"/>
  <c r="B434" i="11"/>
  <c r="A434" i="11"/>
  <c r="B433" i="11"/>
  <c r="A433" i="11"/>
  <c r="B432" i="11"/>
  <c r="A432" i="11"/>
  <c r="B431" i="11"/>
  <c r="A431" i="11"/>
  <c r="B430" i="11"/>
  <c r="A430" i="11"/>
  <c r="B429" i="11"/>
  <c r="A429" i="11"/>
  <c r="B428" i="11"/>
  <c r="A428" i="11"/>
  <c r="B427" i="11"/>
  <c r="A427" i="11"/>
  <c r="B426" i="11"/>
  <c r="A426" i="11"/>
  <c r="B425" i="11"/>
  <c r="A425" i="11"/>
  <c r="B424" i="11"/>
  <c r="A424" i="11"/>
  <c r="B423" i="11"/>
  <c r="A423" i="11"/>
  <c r="B422" i="11"/>
  <c r="A422" i="11"/>
  <c r="B421" i="11"/>
  <c r="A421" i="11"/>
  <c r="B420" i="11"/>
  <c r="A420" i="11"/>
  <c r="B419" i="11"/>
  <c r="A419" i="11"/>
  <c r="B418" i="11"/>
  <c r="A418" i="11"/>
  <c r="B417" i="11"/>
  <c r="A417" i="11"/>
  <c r="B416" i="11"/>
  <c r="A416" i="11"/>
  <c r="B415" i="11"/>
  <c r="A415" i="11"/>
  <c r="B414" i="11"/>
  <c r="A414" i="11"/>
  <c r="B413" i="11"/>
  <c r="A413" i="11"/>
  <c r="B412" i="11"/>
  <c r="A412" i="11"/>
  <c r="B411" i="11"/>
  <c r="A411" i="11"/>
  <c r="B410" i="11"/>
  <c r="A410" i="11"/>
  <c r="B409" i="11"/>
  <c r="A409" i="11"/>
  <c r="B408" i="11"/>
  <c r="A408" i="11"/>
  <c r="B407" i="11"/>
  <c r="A407" i="11"/>
  <c r="B406" i="11"/>
  <c r="A406" i="11"/>
  <c r="B405" i="11"/>
  <c r="A405" i="11"/>
  <c r="B404" i="11"/>
  <c r="A404" i="11"/>
  <c r="B403" i="11"/>
  <c r="A403" i="11"/>
  <c r="B402" i="11"/>
  <c r="A402" i="11"/>
  <c r="B401" i="11"/>
  <c r="A401" i="11"/>
  <c r="B400" i="11"/>
  <c r="A400" i="11"/>
  <c r="B399" i="11"/>
  <c r="A399" i="11"/>
  <c r="B398" i="11"/>
  <c r="A398" i="11"/>
  <c r="B397" i="11"/>
  <c r="A397" i="11"/>
  <c r="B396" i="11"/>
  <c r="A396" i="11"/>
  <c r="B395" i="11"/>
  <c r="A395" i="11"/>
  <c r="B394" i="11"/>
  <c r="A394" i="11"/>
  <c r="B393" i="11"/>
  <c r="A393" i="11"/>
  <c r="B392" i="11"/>
  <c r="A392" i="11"/>
  <c r="B391" i="11"/>
  <c r="A391" i="11"/>
  <c r="B390" i="11"/>
  <c r="A390" i="11"/>
  <c r="B389" i="11"/>
  <c r="A389" i="11"/>
  <c r="B388" i="11"/>
  <c r="A388" i="11"/>
  <c r="B387" i="11"/>
  <c r="A387" i="11"/>
  <c r="B386" i="11"/>
  <c r="A386" i="11"/>
  <c r="B385" i="11"/>
  <c r="A385" i="11"/>
  <c r="B384" i="11"/>
  <c r="A384" i="11"/>
  <c r="B383" i="11"/>
  <c r="A383" i="11"/>
  <c r="B382" i="11"/>
  <c r="A382" i="11"/>
  <c r="B381" i="11"/>
  <c r="A381" i="11"/>
  <c r="B380" i="11"/>
  <c r="A380" i="11"/>
  <c r="B379" i="11"/>
  <c r="A379" i="11"/>
  <c r="B378" i="11"/>
  <c r="A378" i="11"/>
  <c r="B377" i="11"/>
  <c r="A377" i="11"/>
  <c r="B376" i="11"/>
  <c r="A376" i="11"/>
  <c r="B375" i="11"/>
  <c r="A375" i="11"/>
  <c r="B374" i="11"/>
  <c r="A374" i="11"/>
  <c r="B373" i="11"/>
  <c r="A373" i="11"/>
  <c r="B372" i="11"/>
  <c r="A372" i="11"/>
  <c r="B371" i="11"/>
  <c r="A371" i="11"/>
  <c r="B370" i="11"/>
  <c r="A370" i="11"/>
  <c r="B369" i="11"/>
  <c r="A369" i="11"/>
  <c r="B368" i="11"/>
  <c r="A368" i="11"/>
  <c r="B367" i="11"/>
  <c r="A367" i="11"/>
  <c r="B366" i="11"/>
  <c r="A366" i="11"/>
  <c r="B365" i="11"/>
  <c r="A365" i="11"/>
  <c r="B364" i="11"/>
  <c r="A364" i="11"/>
  <c r="B363" i="11"/>
  <c r="A363" i="11"/>
  <c r="B362" i="11"/>
  <c r="A362" i="11"/>
  <c r="B361" i="11"/>
  <c r="A361" i="11"/>
  <c r="B360" i="11"/>
  <c r="A360" i="11"/>
  <c r="B359" i="11"/>
  <c r="A359" i="11"/>
  <c r="B358" i="11"/>
  <c r="A358" i="11"/>
  <c r="B357" i="11"/>
  <c r="A357" i="11"/>
  <c r="B356" i="11"/>
  <c r="A356" i="11"/>
  <c r="B355" i="11"/>
  <c r="A355" i="11"/>
  <c r="B354" i="11"/>
  <c r="A354" i="11"/>
  <c r="B353" i="11"/>
  <c r="A353" i="11"/>
  <c r="B352" i="11"/>
  <c r="A352" i="11"/>
  <c r="B351" i="11"/>
  <c r="A351" i="11"/>
  <c r="B350" i="11"/>
  <c r="A350" i="11"/>
  <c r="B349" i="11"/>
  <c r="A349" i="11"/>
  <c r="B348" i="11"/>
  <c r="A348" i="11"/>
  <c r="B347" i="11"/>
  <c r="A347" i="11"/>
  <c r="B346" i="11"/>
  <c r="A346" i="11"/>
  <c r="B345" i="11"/>
  <c r="A345" i="11"/>
  <c r="B344" i="11"/>
  <c r="A344" i="11"/>
  <c r="B343" i="11"/>
  <c r="A343" i="11"/>
  <c r="B342" i="11"/>
  <c r="A342" i="11"/>
  <c r="B341" i="11"/>
  <c r="A341" i="11"/>
  <c r="B340" i="11"/>
  <c r="A340" i="11"/>
  <c r="B339" i="11"/>
  <c r="A339" i="11"/>
  <c r="B338" i="11"/>
  <c r="A338" i="11"/>
  <c r="B337" i="11"/>
  <c r="A337" i="11"/>
  <c r="B336" i="11"/>
  <c r="A336" i="11"/>
  <c r="B335" i="11"/>
  <c r="A335" i="11"/>
  <c r="B334" i="11"/>
  <c r="A334" i="11"/>
  <c r="B333" i="11"/>
  <c r="A333" i="11"/>
  <c r="B332" i="11"/>
  <c r="A332" i="11"/>
  <c r="B331" i="11"/>
  <c r="A331" i="11"/>
  <c r="B330" i="11"/>
  <c r="A330" i="11"/>
  <c r="B329" i="11"/>
  <c r="A329" i="11"/>
  <c r="B328" i="11"/>
  <c r="A328" i="11"/>
  <c r="B327" i="11"/>
  <c r="A327" i="11"/>
  <c r="B326" i="11"/>
  <c r="A326" i="11"/>
  <c r="B325" i="11"/>
  <c r="A325" i="11"/>
  <c r="B324" i="11"/>
  <c r="A324" i="11"/>
  <c r="B323" i="11"/>
  <c r="A323" i="11"/>
  <c r="B322" i="11"/>
  <c r="A322" i="11"/>
  <c r="B321" i="11"/>
  <c r="A321" i="11"/>
  <c r="B320" i="11"/>
  <c r="A320" i="11"/>
  <c r="B319" i="11"/>
  <c r="A319" i="11"/>
  <c r="B318" i="11"/>
  <c r="A318" i="11"/>
  <c r="B317" i="11"/>
  <c r="A317" i="11"/>
  <c r="B316" i="11"/>
  <c r="A316" i="11"/>
  <c r="B315" i="11"/>
  <c r="A315" i="11"/>
  <c r="B314" i="11"/>
  <c r="A314" i="11"/>
  <c r="B313" i="11"/>
  <c r="A313" i="11"/>
  <c r="B312" i="11"/>
  <c r="A312" i="11"/>
  <c r="B311" i="11"/>
  <c r="A311" i="11"/>
  <c r="B310" i="11"/>
  <c r="A310" i="11"/>
  <c r="B309" i="11"/>
  <c r="A309" i="11"/>
  <c r="B308" i="11"/>
  <c r="A308" i="11"/>
  <c r="B307" i="11"/>
  <c r="A307" i="11"/>
  <c r="B306" i="11"/>
  <c r="A306" i="11"/>
  <c r="B305" i="11"/>
  <c r="A305" i="11"/>
  <c r="B304" i="11"/>
  <c r="A304" i="11"/>
  <c r="B303" i="11"/>
  <c r="A303" i="11"/>
  <c r="B302" i="11"/>
  <c r="A302" i="11"/>
  <c r="B301" i="11"/>
  <c r="A301" i="11"/>
  <c r="B300" i="11"/>
  <c r="A300" i="11"/>
  <c r="B299" i="11"/>
  <c r="A299" i="11"/>
  <c r="B298" i="11"/>
  <c r="A298" i="11"/>
  <c r="B297" i="11"/>
  <c r="A297" i="11"/>
  <c r="B296" i="11"/>
  <c r="A296" i="11"/>
  <c r="B295" i="11"/>
  <c r="A295" i="11"/>
  <c r="B294" i="11"/>
  <c r="A294" i="11"/>
  <c r="B293" i="11"/>
  <c r="A293" i="11"/>
  <c r="B292" i="11"/>
  <c r="A292" i="11"/>
  <c r="B291" i="11"/>
  <c r="A291" i="11"/>
  <c r="B290" i="11"/>
  <c r="A290" i="11"/>
  <c r="B289" i="11"/>
  <c r="A289" i="11"/>
  <c r="B288" i="11"/>
  <c r="A288" i="11"/>
  <c r="B287" i="11"/>
  <c r="A287" i="11"/>
  <c r="B286" i="11"/>
  <c r="A286" i="11"/>
  <c r="B285" i="11"/>
  <c r="A285" i="11"/>
  <c r="B284" i="11"/>
  <c r="A284" i="11"/>
  <c r="B283" i="11"/>
  <c r="A283" i="11"/>
  <c r="B282" i="11"/>
  <c r="A282" i="11"/>
  <c r="B281" i="11"/>
  <c r="A281" i="11"/>
  <c r="B280" i="11"/>
  <c r="A280" i="11"/>
  <c r="B279" i="11"/>
  <c r="A279" i="11"/>
  <c r="B278" i="11"/>
  <c r="A278" i="11"/>
  <c r="B277" i="11"/>
  <c r="A277" i="11"/>
  <c r="B276" i="11"/>
  <c r="A276" i="11"/>
  <c r="B275" i="11"/>
  <c r="A275" i="11"/>
  <c r="B274" i="11"/>
  <c r="A274" i="11"/>
  <c r="B273" i="11"/>
  <c r="A273" i="11"/>
  <c r="B272" i="11"/>
  <c r="A272" i="11"/>
  <c r="B271" i="11"/>
  <c r="A271" i="11"/>
  <c r="B270" i="11"/>
  <c r="A270" i="11"/>
  <c r="B269" i="11"/>
  <c r="A269" i="11"/>
  <c r="B268" i="11"/>
  <c r="A268" i="11"/>
  <c r="B267" i="11"/>
  <c r="A267" i="11"/>
  <c r="B266" i="11"/>
  <c r="A266" i="11"/>
  <c r="B265" i="11"/>
  <c r="A265" i="11"/>
  <c r="B264" i="11"/>
  <c r="A264" i="11"/>
  <c r="B263" i="11"/>
  <c r="A263" i="11"/>
  <c r="B262" i="11"/>
  <c r="A262" i="11"/>
  <c r="B261" i="11"/>
  <c r="A261" i="11"/>
  <c r="B260" i="11"/>
  <c r="A260" i="11"/>
  <c r="B259" i="11"/>
  <c r="A259" i="11"/>
  <c r="B258" i="11"/>
  <c r="A258" i="11"/>
  <c r="B257" i="11"/>
  <c r="A257" i="11"/>
  <c r="B256" i="11"/>
  <c r="A256" i="11"/>
  <c r="B255" i="11"/>
  <c r="A255" i="11"/>
  <c r="B254" i="11"/>
  <c r="A254" i="11"/>
  <c r="B253" i="11"/>
  <c r="A253" i="11"/>
  <c r="B252" i="11"/>
  <c r="A252" i="11"/>
  <c r="B251" i="11"/>
  <c r="A251" i="11"/>
  <c r="B250" i="11"/>
  <c r="A250" i="11"/>
  <c r="B249" i="11"/>
  <c r="A249" i="11"/>
  <c r="B248" i="11"/>
  <c r="A248" i="11"/>
  <c r="B247" i="11"/>
  <c r="A247" i="11"/>
  <c r="B246" i="11"/>
  <c r="A246" i="11"/>
  <c r="B245" i="11"/>
  <c r="A245" i="11"/>
  <c r="B244" i="11"/>
  <c r="A244" i="11"/>
  <c r="B243" i="11"/>
  <c r="A243" i="11"/>
  <c r="B242" i="11"/>
  <c r="A242" i="11"/>
  <c r="B241" i="11"/>
  <c r="A241" i="11"/>
  <c r="B240" i="11"/>
  <c r="A240" i="11"/>
  <c r="B239" i="11"/>
  <c r="A239" i="11"/>
  <c r="B238" i="11"/>
  <c r="A238" i="11"/>
  <c r="B237" i="11"/>
  <c r="A237" i="11"/>
  <c r="B236" i="11"/>
  <c r="A236" i="11"/>
  <c r="B235" i="11"/>
  <c r="A235" i="11"/>
  <c r="B234" i="11"/>
  <c r="A234" i="11"/>
  <c r="B233" i="11"/>
  <c r="A233" i="11"/>
  <c r="B232" i="11"/>
  <c r="A232" i="11"/>
  <c r="B231" i="11"/>
  <c r="A231" i="11"/>
  <c r="B230" i="11"/>
  <c r="A230" i="11"/>
  <c r="B229" i="11"/>
  <c r="A229" i="11"/>
  <c r="B228" i="11"/>
  <c r="A228" i="11"/>
  <c r="B227" i="11"/>
  <c r="A227" i="11"/>
  <c r="B226" i="11"/>
  <c r="A226" i="11"/>
  <c r="B225" i="11"/>
  <c r="A225" i="11"/>
  <c r="B224" i="11"/>
  <c r="A224" i="11"/>
  <c r="B223" i="11"/>
  <c r="A223" i="11"/>
  <c r="B222" i="11"/>
  <c r="A222" i="11"/>
  <c r="B221" i="11"/>
  <c r="A221" i="11"/>
  <c r="B220" i="11"/>
  <c r="A220" i="11"/>
  <c r="B219" i="11"/>
  <c r="A219" i="11"/>
  <c r="B218" i="11"/>
  <c r="A218" i="11"/>
  <c r="B217" i="11"/>
  <c r="A217" i="11"/>
  <c r="B216" i="11"/>
  <c r="A216" i="11"/>
  <c r="B215" i="11"/>
  <c r="A215" i="11"/>
  <c r="B214" i="11"/>
  <c r="A214" i="11"/>
  <c r="B213" i="11"/>
  <c r="A213" i="11"/>
  <c r="B212" i="11"/>
  <c r="A212" i="11"/>
  <c r="B211" i="11"/>
  <c r="A211" i="11"/>
  <c r="B210" i="11"/>
  <c r="A210" i="11"/>
  <c r="B209" i="11"/>
  <c r="A209" i="11"/>
  <c r="B208" i="11"/>
  <c r="A208" i="11"/>
  <c r="B207" i="11"/>
  <c r="A207" i="11"/>
  <c r="B206" i="11"/>
  <c r="A206" i="11"/>
  <c r="B205" i="11"/>
  <c r="A205" i="11"/>
  <c r="B204" i="11"/>
  <c r="A204" i="11"/>
  <c r="B203" i="11"/>
  <c r="A203" i="11"/>
  <c r="B202" i="11"/>
  <c r="A202" i="11"/>
  <c r="B201" i="11"/>
  <c r="A201" i="11"/>
  <c r="B200" i="11"/>
  <c r="A200" i="11"/>
  <c r="B199" i="11"/>
  <c r="A199" i="11"/>
  <c r="B198" i="11"/>
  <c r="A198" i="11"/>
  <c r="B197" i="11"/>
  <c r="A197" i="11"/>
  <c r="B196" i="11"/>
  <c r="A196" i="11"/>
  <c r="B195" i="11"/>
  <c r="A195" i="11"/>
  <c r="B194" i="11"/>
  <c r="A194" i="11"/>
  <c r="B193" i="11"/>
  <c r="A193" i="11"/>
  <c r="B192" i="11"/>
  <c r="A192" i="11"/>
  <c r="B191" i="11"/>
  <c r="A191" i="11"/>
  <c r="B190" i="11"/>
  <c r="A190" i="11"/>
  <c r="B189" i="11"/>
  <c r="A189" i="11"/>
  <c r="B188" i="11"/>
  <c r="A188" i="11"/>
  <c r="B187" i="11"/>
  <c r="A187" i="11"/>
  <c r="B186" i="11"/>
  <c r="A186" i="11"/>
  <c r="B185" i="11"/>
  <c r="A185" i="11"/>
  <c r="B184" i="11"/>
  <c r="A184" i="11"/>
  <c r="B183" i="11"/>
  <c r="A183" i="11"/>
  <c r="B182" i="11"/>
  <c r="A182" i="11"/>
  <c r="B181" i="11"/>
  <c r="A181" i="11"/>
  <c r="B180" i="11"/>
  <c r="A180" i="11"/>
  <c r="B179" i="11"/>
  <c r="A179" i="11"/>
  <c r="B178" i="11"/>
  <c r="A178" i="11"/>
  <c r="B177" i="11"/>
  <c r="A177" i="11"/>
  <c r="B176" i="11"/>
  <c r="A176" i="11"/>
  <c r="B175" i="11"/>
  <c r="A175" i="11"/>
  <c r="B174" i="11"/>
  <c r="A174" i="11"/>
  <c r="B173" i="11"/>
  <c r="A173" i="11"/>
  <c r="B172" i="11"/>
  <c r="A172" i="11"/>
  <c r="B171" i="11"/>
  <c r="A171" i="11"/>
  <c r="B170" i="11"/>
  <c r="A170" i="11"/>
  <c r="B169" i="11"/>
  <c r="A169" i="11"/>
  <c r="B168" i="11"/>
  <c r="A168" i="11"/>
  <c r="B167" i="11"/>
  <c r="A167" i="11"/>
  <c r="B166" i="11"/>
  <c r="A166" i="11"/>
  <c r="B165" i="11"/>
  <c r="A165" i="11"/>
  <c r="B164" i="11"/>
  <c r="A164" i="11"/>
  <c r="B163" i="11"/>
  <c r="A163" i="11"/>
  <c r="B162" i="11"/>
  <c r="A162" i="11"/>
  <c r="B161" i="11"/>
  <c r="A161" i="11"/>
  <c r="B160" i="11"/>
  <c r="A160" i="11"/>
  <c r="B159" i="11"/>
  <c r="A159" i="11"/>
  <c r="B158" i="11"/>
  <c r="A158" i="11"/>
  <c r="B157" i="11"/>
  <c r="A157" i="11"/>
  <c r="B156" i="11"/>
  <c r="A156" i="11"/>
  <c r="B155" i="11"/>
  <c r="A155" i="11"/>
  <c r="B154" i="11"/>
  <c r="A154" i="11"/>
  <c r="B153" i="11"/>
  <c r="A153" i="11"/>
  <c r="B152" i="11"/>
  <c r="A152" i="11"/>
  <c r="B151" i="11"/>
  <c r="A151" i="11"/>
  <c r="B150" i="11"/>
  <c r="A150" i="11"/>
  <c r="B149" i="11"/>
  <c r="A149" i="11"/>
  <c r="B148" i="11"/>
  <c r="A148" i="11"/>
  <c r="B147" i="11"/>
  <c r="A147" i="11"/>
  <c r="B146" i="11"/>
  <c r="A146" i="11"/>
  <c r="B145" i="11"/>
  <c r="A145" i="11"/>
  <c r="B144" i="11"/>
  <c r="A144" i="11"/>
  <c r="B143" i="11"/>
  <c r="A143" i="11"/>
  <c r="B142" i="11"/>
  <c r="A142" i="11"/>
  <c r="B141" i="11"/>
  <c r="A141" i="11"/>
  <c r="B140" i="11"/>
  <c r="A140" i="11"/>
  <c r="B139" i="11"/>
  <c r="A139" i="11"/>
  <c r="B138" i="11"/>
  <c r="A138" i="11"/>
  <c r="B137" i="11"/>
  <c r="A137" i="11"/>
  <c r="B136" i="11"/>
  <c r="A136" i="11"/>
  <c r="B135" i="11"/>
  <c r="A135" i="11"/>
  <c r="B134" i="11"/>
  <c r="A134" i="11"/>
  <c r="B133" i="11"/>
  <c r="A133" i="11"/>
  <c r="B132" i="11"/>
  <c r="A132" i="11"/>
  <c r="B131" i="11"/>
  <c r="A131" i="11"/>
  <c r="B130" i="11"/>
  <c r="A130" i="11"/>
  <c r="B129" i="11"/>
  <c r="A129" i="11"/>
  <c r="B128" i="11"/>
  <c r="A128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2" i="3"/>
  <c r="F2" i="1" s="1"/>
  <c r="A3" i="1"/>
  <c r="A4" i="1" s="1"/>
  <c r="D2" i="1"/>
  <c r="B2" i="1"/>
  <c r="C2" i="1"/>
  <c r="V445" i="1" l="1"/>
  <c r="V436" i="1"/>
  <c r="V450" i="1"/>
  <c r="V437" i="1"/>
  <c r="V451" i="1"/>
  <c r="V438" i="1"/>
  <c r="V453" i="1"/>
  <c r="V442" i="1"/>
  <c r="V454" i="1"/>
  <c r="V443" i="1"/>
  <c r="S457" i="1"/>
  <c r="R457" i="1" s="1"/>
  <c r="W427" i="1"/>
  <c r="Y427" i="1" s="1"/>
  <c r="I2" i="1"/>
  <c r="C3" i="1"/>
  <c r="D3" i="1"/>
  <c r="E4" i="12"/>
  <c r="E5" i="12"/>
  <c r="B3" i="1"/>
  <c r="E2" i="1"/>
  <c r="F4" i="1"/>
  <c r="F3" i="1"/>
  <c r="A5" i="1"/>
  <c r="F5" i="1" s="1"/>
  <c r="C4" i="1"/>
  <c r="B4" i="1"/>
  <c r="D4" i="1"/>
  <c r="T447" i="1" l="1"/>
  <c r="T451" i="1"/>
  <c r="T452" i="1"/>
  <c r="T448" i="1"/>
  <c r="T440" i="1"/>
  <c r="T437" i="1"/>
  <c r="T449" i="1"/>
  <c r="T438" i="1"/>
  <c r="T450" i="1"/>
  <c r="T439" i="1"/>
  <c r="T441" i="1"/>
  <c r="T453" i="1"/>
  <c r="T442" i="1"/>
  <c r="T454" i="1"/>
  <c r="T443" i="1"/>
  <c r="T455" i="1"/>
  <c r="T444" i="1"/>
  <c r="T445" i="1"/>
  <c r="T446" i="1"/>
  <c r="T436" i="1"/>
  <c r="J2" i="1"/>
  <c r="K2" i="1"/>
  <c r="H2" i="1"/>
  <c r="L2" i="1"/>
  <c r="N2" i="1" s="1"/>
  <c r="M2" i="1"/>
  <c r="E3" i="1"/>
  <c r="G2" i="1"/>
  <c r="W434" i="1"/>
  <c r="Y434" i="1" s="1"/>
  <c r="W428" i="1"/>
  <c r="Y428" i="1" s="1"/>
  <c r="W429" i="1"/>
  <c r="Y429" i="1" s="1"/>
  <c r="W432" i="1"/>
  <c r="Y432" i="1" s="1"/>
  <c r="W431" i="1"/>
  <c r="Y431" i="1" s="1"/>
  <c r="W435" i="1"/>
  <c r="Y435" i="1" s="1"/>
  <c r="W430" i="1"/>
  <c r="Y430" i="1" s="1"/>
  <c r="W433" i="1"/>
  <c r="Y433" i="1" s="1"/>
  <c r="E4" i="1"/>
  <c r="F4" i="12"/>
  <c r="F5" i="12"/>
  <c r="A6" i="1"/>
  <c r="F6" i="1" s="1"/>
  <c r="B5" i="1"/>
  <c r="C5" i="1"/>
  <c r="D5" i="1"/>
  <c r="T456" i="1" l="1"/>
  <c r="W456" i="1" s="1"/>
  <c r="Y456" i="1" s="1"/>
  <c r="W446" i="1"/>
  <c r="Y446" i="1" s="1"/>
  <c r="W451" i="1"/>
  <c r="Y451" i="1" s="1"/>
  <c r="W439" i="1"/>
  <c r="Y439" i="1" s="1"/>
  <c r="W450" i="1"/>
  <c r="Y450" i="1" s="1"/>
  <c r="W448" i="1"/>
  <c r="Y448" i="1" s="1"/>
  <c r="W443" i="1"/>
  <c r="Y443" i="1" s="1"/>
  <c r="W438" i="1"/>
  <c r="Y438" i="1" s="1"/>
  <c r="W455" i="1"/>
  <c r="Y455" i="1" s="1"/>
  <c r="W445" i="1"/>
  <c r="Y445" i="1" s="1"/>
  <c r="W454" i="1"/>
  <c r="Y454" i="1" s="1"/>
  <c r="W444" i="1"/>
  <c r="Y444" i="1" s="1"/>
  <c r="W436" i="1"/>
  <c r="Y436" i="1" s="1"/>
  <c r="T457" i="1"/>
  <c r="W453" i="1"/>
  <c r="Y453" i="1" s="1"/>
  <c r="W452" i="1"/>
  <c r="Y452" i="1" s="1"/>
  <c r="W437" i="1"/>
  <c r="Y437" i="1" s="1"/>
  <c r="W449" i="1"/>
  <c r="Y449" i="1" s="1"/>
  <c r="W440" i="1"/>
  <c r="Y440" i="1" s="1"/>
  <c r="W442" i="1"/>
  <c r="Y442" i="1" s="1"/>
  <c r="W441" i="1"/>
  <c r="Y441" i="1" s="1"/>
  <c r="W447" i="1"/>
  <c r="Y447" i="1" s="1"/>
  <c r="M4" i="1"/>
  <c r="K4" i="1"/>
  <c r="I4" i="1"/>
  <c r="G4" i="1"/>
  <c r="H4" i="1"/>
  <c r="J4" i="1"/>
  <c r="L4" i="1"/>
  <c r="N4" i="1" s="1"/>
  <c r="I3" i="1"/>
  <c r="M3" i="1"/>
  <c r="K3" i="1"/>
  <c r="G3" i="1"/>
  <c r="L3" i="1"/>
  <c r="N3" i="1" s="1"/>
  <c r="J3" i="1"/>
  <c r="H3" i="1"/>
  <c r="G4" i="12"/>
  <c r="G5" i="12"/>
  <c r="E5" i="1"/>
  <c r="A7" i="1"/>
  <c r="F7" i="1" s="1"/>
  <c r="B6" i="1"/>
  <c r="C6" i="1"/>
  <c r="D6" i="1"/>
  <c r="M5" i="1" l="1"/>
  <c r="K5" i="1"/>
  <c r="I5" i="1"/>
  <c r="G5" i="1"/>
  <c r="L5" i="1"/>
  <c r="N5" i="1" s="1"/>
  <c r="H5" i="1"/>
  <c r="J5" i="1"/>
  <c r="H4" i="12"/>
  <c r="H5" i="12"/>
  <c r="E6" i="1"/>
  <c r="B7" i="1"/>
  <c r="C7" i="1"/>
  <c r="D7" i="1"/>
  <c r="A8" i="1"/>
  <c r="F8" i="1" s="1"/>
  <c r="M6" i="1" l="1"/>
  <c r="I6" i="1"/>
  <c r="K6" i="1"/>
  <c r="G6" i="1"/>
  <c r="J6" i="1"/>
  <c r="L6" i="1"/>
  <c r="N6" i="1" s="1"/>
  <c r="H6" i="1"/>
  <c r="E7" i="1"/>
  <c r="I4" i="12"/>
  <c r="I5" i="12"/>
  <c r="C8" i="1"/>
  <c r="D8" i="1"/>
  <c r="B8" i="1"/>
  <c r="A9" i="1"/>
  <c r="F9" i="1" s="1"/>
  <c r="M7" i="1" l="1"/>
  <c r="K7" i="1"/>
  <c r="I7" i="1"/>
  <c r="G7" i="1"/>
  <c r="J7" i="1"/>
  <c r="H7" i="1"/>
  <c r="L7" i="1"/>
  <c r="N7" i="1" s="1"/>
  <c r="E8" i="1"/>
  <c r="J4" i="12"/>
  <c r="J5" i="12"/>
  <c r="B9" i="1"/>
  <c r="A10" i="1"/>
  <c r="F10" i="1" s="1"/>
  <c r="C9" i="1"/>
  <c r="D9" i="1"/>
  <c r="I8" i="1" l="1"/>
  <c r="K8" i="1"/>
  <c r="G8" i="1"/>
  <c r="M8" i="1"/>
  <c r="J8" i="1"/>
  <c r="L8" i="1"/>
  <c r="N8" i="1" s="1"/>
  <c r="H8" i="1"/>
  <c r="K4" i="12"/>
  <c r="K5" i="12"/>
  <c r="C10" i="1"/>
  <c r="B10" i="1"/>
  <c r="A11" i="1"/>
  <c r="F11" i="1" s="1"/>
  <c r="D10" i="1"/>
  <c r="E9" i="1"/>
  <c r="I9" i="1" l="1"/>
  <c r="M9" i="1"/>
  <c r="K9" i="1"/>
  <c r="G9" i="1"/>
  <c r="J9" i="1"/>
  <c r="L9" i="1"/>
  <c r="N9" i="1" s="1"/>
  <c r="H9" i="1"/>
  <c r="E10" i="1"/>
  <c r="L4" i="12"/>
  <c r="L5" i="12"/>
  <c r="A12" i="1"/>
  <c r="F12" i="1" s="1"/>
  <c r="C11" i="1"/>
  <c r="D11" i="1"/>
  <c r="B11" i="1"/>
  <c r="E11" i="1" s="1"/>
  <c r="M11" i="1" l="1"/>
  <c r="I11" i="1"/>
  <c r="K11" i="1"/>
  <c r="G11" i="1"/>
  <c r="H11" i="1"/>
  <c r="L11" i="1"/>
  <c r="N11" i="1" s="1"/>
  <c r="J11" i="1"/>
  <c r="M10" i="1"/>
  <c r="I10" i="1"/>
  <c r="K10" i="1"/>
  <c r="G10" i="1"/>
  <c r="L10" i="1"/>
  <c r="J10" i="1"/>
  <c r="H10" i="1"/>
  <c r="M4" i="12"/>
  <c r="M5" i="12"/>
  <c r="D12" i="1"/>
  <c r="A13" i="1"/>
  <c r="F13" i="1" s="1"/>
  <c r="C12" i="1"/>
  <c r="B12" i="1"/>
  <c r="N10" i="1" l="1"/>
  <c r="E12" i="1"/>
  <c r="N5" i="12"/>
  <c r="N4" i="12"/>
  <c r="C13" i="1"/>
  <c r="D13" i="1"/>
  <c r="A14" i="1"/>
  <c r="F14" i="1" s="1"/>
  <c r="B13" i="1"/>
  <c r="M12" i="1" l="1"/>
  <c r="I12" i="1"/>
  <c r="K12" i="1"/>
  <c r="H12" i="1"/>
  <c r="J12" i="1"/>
  <c r="G12" i="1"/>
  <c r="L12" i="1"/>
  <c r="N12" i="1" s="1"/>
  <c r="E13" i="1"/>
  <c r="O5" i="12"/>
  <c r="O4" i="12"/>
  <c r="D14" i="1"/>
  <c r="A15" i="1"/>
  <c r="F15" i="1" s="1"/>
  <c r="C14" i="1"/>
  <c r="B14" i="1"/>
  <c r="M13" i="1" l="1"/>
  <c r="I13" i="1"/>
  <c r="J13" i="1"/>
  <c r="K13" i="1"/>
  <c r="G13" i="1"/>
  <c r="L13" i="1"/>
  <c r="N13" i="1" s="1"/>
  <c r="H13" i="1"/>
  <c r="E14" i="1"/>
  <c r="P4" i="12"/>
  <c r="P5" i="12"/>
  <c r="A16" i="1"/>
  <c r="F16" i="1" s="1"/>
  <c r="C15" i="1"/>
  <c r="D15" i="1"/>
  <c r="B15" i="1"/>
  <c r="M14" i="1" l="1"/>
  <c r="I14" i="1"/>
  <c r="K14" i="1"/>
  <c r="G14" i="1"/>
  <c r="J14" i="1"/>
  <c r="H14" i="1"/>
  <c r="L14" i="1"/>
  <c r="N14" i="1" s="1"/>
  <c r="E15" i="1"/>
  <c r="Q4" i="12"/>
  <c r="Q5" i="12"/>
  <c r="A17" i="1"/>
  <c r="F17" i="1" s="1"/>
  <c r="C16" i="1"/>
  <c r="D16" i="1"/>
  <c r="B16" i="1"/>
  <c r="M15" i="1" l="1"/>
  <c r="I15" i="1"/>
  <c r="K15" i="1"/>
  <c r="G15" i="1"/>
  <c r="L15" i="1"/>
  <c r="N15" i="1" s="1"/>
  <c r="J15" i="1"/>
  <c r="H15" i="1"/>
  <c r="E16" i="1"/>
  <c r="A18" i="1"/>
  <c r="F18" i="1" s="1"/>
  <c r="B17" i="1"/>
  <c r="C17" i="1"/>
  <c r="D17" i="1"/>
  <c r="M16" i="1" l="1"/>
  <c r="I16" i="1"/>
  <c r="K16" i="1"/>
  <c r="G16" i="1"/>
  <c r="H16" i="1"/>
  <c r="J16" i="1"/>
  <c r="L16" i="1"/>
  <c r="N16" i="1" s="1"/>
  <c r="E17" i="1"/>
  <c r="A19" i="1"/>
  <c r="F19" i="1" s="1"/>
  <c r="C18" i="1"/>
  <c r="D18" i="1"/>
  <c r="B18" i="1"/>
  <c r="E18" i="1" s="1"/>
  <c r="M18" i="1" l="1"/>
  <c r="K18" i="1"/>
  <c r="I18" i="1"/>
  <c r="G18" i="1"/>
  <c r="J18" i="1"/>
  <c r="L18" i="1"/>
  <c r="N18" i="1" s="1"/>
  <c r="H18" i="1"/>
  <c r="M17" i="1"/>
  <c r="I17" i="1"/>
  <c r="K17" i="1"/>
  <c r="G17" i="1"/>
  <c r="L17" i="1"/>
  <c r="N17" i="1" s="1"/>
  <c r="H17" i="1"/>
  <c r="J17" i="1"/>
  <c r="C19" i="1"/>
  <c r="D19" i="1"/>
  <c r="A20" i="1"/>
  <c r="F20" i="1" s="1"/>
  <c r="B19" i="1"/>
  <c r="E19" i="1" l="1"/>
  <c r="A21" i="1"/>
  <c r="F21" i="1" s="1"/>
  <c r="B20" i="1"/>
  <c r="C20" i="1"/>
  <c r="D20" i="1"/>
  <c r="M19" i="1" l="1"/>
  <c r="K19" i="1"/>
  <c r="I19" i="1"/>
  <c r="G19" i="1"/>
  <c r="J19" i="1"/>
  <c r="L19" i="1"/>
  <c r="N19" i="1" s="1"/>
  <c r="H19" i="1"/>
  <c r="E20" i="1"/>
  <c r="A22" i="1"/>
  <c r="F22" i="1" s="1"/>
  <c r="D21" i="1"/>
  <c r="C21" i="1"/>
  <c r="B21" i="1"/>
  <c r="M20" i="1" l="1"/>
  <c r="I20" i="1"/>
  <c r="K20" i="1"/>
  <c r="J20" i="1"/>
  <c r="G20" i="1"/>
  <c r="L20" i="1"/>
  <c r="N20" i="1" s="1"/>
  <c r="H20" i="1"/>
  <c r="E21" i="1"/>
  <c r="A23" i="1"/>
  <c r="F23" i="1" s="1"/>
  <c r="C22" i="1"/>
  <c r="D22" i="1"/>
  <c r="B22" i="1"/>
  <c r="I21" i="1" l="1"/>
  <c r="M21" i="1"/>
  <c r="K21" i="1"/>
  <c r="J21" i="1"/>
  <c r="G21" i="1"/>
  <c r="L21" i="1"/>
  <c r="N21" i="1" s="1"/>
  <c r="H21" i="1"/>
  <c r="E22" i="1"/>
  <c r="A24" i="1"/>
  <c r="F24" i="1" s="1"/>
  <c r="D23" i="1"/>
  <c r="C23" i="1"/>
  <c r="B23" i="1"/>
  <c r="I22" i="1" l="1"/>
  <c r="M22" i="1"/>
  <c r="K22" i="1"/>
  <c r="J22" i="1"/>
  <c r="G22" i="1"/>
  <c r="L22" i="1"/>
  <c r="N22" i="1" s="1"/>
  <c r="H22" i="1"/>
  <c r="E23" i="1"/>
  <c r="A25" i="1"/>
  <c r="F25" i="1" s="1"/>
  <c r="D24" i="1"/>
  <c r="C24" i="1"/>
  <c r="B24" i="1"/>
  <c r="M23" i="1" l="1"/>
  <c r="I23" i="1"/>
  <c r="K23" i="1"/>
  <c r="G23" i="1"/>
  <c r="J23" i="1"/>
  <c r="L23" i="1"/>
  <c r="N23" i="1" s="1"/>
  <c r="H23" i="1"/>
  <c r="E24" i="1"/>
  <c r="B25" i="1"/>
  <c r="C25" i="1"/>
  <c r="D25" i="1"/>
  <c r="A26" i="1"/>
  <c r="F26" i="1" s="1"/>
  <c r="M24" i="1" l="1"/>
  <c r="I24" i="1"/>
  <c r="K24" i="1"/>
  <c r="G24" i="1"/>
  <c r="L24" i="1"/>
  <c r="N24" i="1" s="1"/>
  <c r="J24" i="1"/>
  <c r="H24" i="1"/>
  <c r="A27" i="1"/>
  <c r="F27" i="1" s="1"/>
  <c r="C26" i="1"/>
  <c r="D26" i="1"/>
  <c r="B26" i="1"/>
  <c r="E26" i="1" s="1"/>
  <c r="E25" i="1"/>
  <c r="M25" i="1" l="1"/>
  <c r="I25" i="1"/>
  <c r="K25" i="1"/>
  <c r="J25" i="1"/>
  <c r="G25" i="1"/>
  <c r="L25" i="1"/>
  <c r="N25" i="1" s="1"/>
  <c r="H25" i="1"/>
  <c r="M26" i="1"/>
  <c r="I26" i="1"/>
  <c r="K26" i="1"/>
  <c r="G26" i="1"/>
  <c r="L26" i="1"/>
  <c r="J26" i="1"/>
  <c r="H26" i="1"/>
  <c r="A28" i="1"/>
  <c r="F28" i="1" s="1"/>
  <c r="C27" i="1"/>
  <c r="D27" i="1"/>
  <c r="B27" i="1"/>
  <c r="E27" i="1" l="1"/>
  <c r="N26" i="1"/>
  <c r="A29" i="1"/>
  <c r="F29" i="1" s="1"/>
  <c r="D28" i="1"/>
  <c r="B28" i="1"/>
  <c r="C28" i="1"/>
  <c r="I27" i="1" l="1"/>
  <c r="M27" i="1"/>
  <c r="G27" i="1"/>
  <c r="J27" i="1"/>
  <c r="K27" i="1"/>
  <c r="L27" i="1"/>
  <c r="N27" i="1" s="1"/>
  <c r="H27" i="1"/>
  <c r="E28" i="1"/>
  <c r="A30" i="1"/>
  <c r="F30" i="1" s="1"/>
  <c r="C29" i="1"/>
  <c r="D29" i="1"/>
  <c r="B29" i="1"/>
  <c r="E29" i="1" s="1"/>
  <c r="M29" i="1" l="1"/>
  <c r="I29" i="1"/>
  <c r="K29" i="1"/>
  <c r="J29" i="1"/>
  <c r="G29" i="1"/>
  <c r="L29" i="1"/>
  <c r="N29" i="1" s="1"/>
  <c r="H29" i="1"/>
  <c r="M28" i="1"/>
  <c r="I28" i="1"/>
  <c r="K28" i="1"/>
  <c r="G28" i="1"/>
  <c r="H28" i="1"/>
  <c r="J28" i="1"/>
  <c r="L28" i="1"/>
  <c r="N28" i="1" s="1"/>
  <c r="A31" i="1"/>
  <c r="F31" i="1" s="1"/>
  <c r="D30" i="1"/>
  <c r="C30" i="1"/>
  <c r="B30" i="1"/>
  <c r="E30" i="1" l="1"/>
  <c r="C31" i="1"/>
  <c r="D31" i="1"/>
  <c r="A32" i="1"/>
  <c r="F32" i="1" s="1"/>
  <c r="B31" i="1"/>
  <c r="E31" i="1" s="1"/>
  <c r="M30" i="1" l="1"/>
  <c r="K30" i="1"/>
  <c r="I30" i="1"/>
  <c r="G30" i="1"/>
  <c r="J30" i="1"/>
  <c r="L30" i="1"/>
  <c r="N30" i="1" s="1"/>
  <c r="H30" i="1"/>
  <c r="M31" i="1"/>
  <c r="I31" i="1"/>
  <c r="K31" i="1"/>
  <c r="J31" i="1"/>
  <c r="H31" i="1"/>
  <c r="G31" i="1"/>
  <c r="L31" i="1"/>
  <c r="N31" i="1" s="1"/>
  <c r="A33" i="1"/>
  <c r="F33" i="1" s="1"/>
  <c r="B32" i="1"/>
  <c r="C32" i="1"/>
  <c r="D32" i="1"/>
  <c r="E32" i="1" l="1"/>
  <c r="A34" i="1"/>
  <c r="F34" i="1" s="1"/>
  <c r="D33" i="1"/>
  <c r="B33" i="1"/>
  <c r="C33" i="1"/>
  <c r="M32" i="1" l="1"/>
  <c r="I32" i="1"/>
  <c r="J32" i="1"/>
  <c r="G32" i="1"/>
  <c r="K32" i="1"/>
  <c r="L32" i="1"/>
  <c r="H32" i="1"/>
  <c r="E33" i="1"/>
  <c r="D34" i="1"/>
  <c r="C34" i="1"/>
  <c r="A35" i="1"/>
  <c r="F35" i="1" s="1"/>
  <c r="B34" i="1"/>
  <c r="I33" i="1" l="1"/>
  <c r="M33" i="1"/>
  <c r="H33" i="1"/>
  <c r="K33" i="1"/>
  <c r="G33" i="1"/>
  <c r="J33" i="1"/>
  <c r="L33" i="1"/>
  <c r="N33" i="1" s="1"/>
  <c r="E34" i="1"/>
  <c r="N32" i="1"/>
  <c r="D35" i="1"/>
  <c r="C35" i="1"/>
  <c r="A36" i="1"/>
  <c r="F36" i="1" s="1"/>
  <c r="B35" i="1"/>
  <c r="M34" i="1" l="1"/>
  <c r="I34" i="1"/>
  <c r="K34" i="1"/>
  <c r="J34" i="1"/>
  <c r="G34" i="1"/>
  <c r="H34" i="1"/>
  <c r="L34" i="1"/>
  <c r="E35" i="1"/>
  <c r="C36" i="1"/>
  <c r="D36" i="1"/>
  <c r="A37" i="1"/>
  <c r="F37" i="1" s="1"/>
  <c r="B36" i="1"/>
  <c r="E36" i="1" l="1"/>
  <c r="H35" i="1"/>
  <c r="M35" i="1"/>
  <c r="I35" i="1"/>
  <c r="K35" i="1"/>
  <c r="G35" i="1"/>
  <c r="J35" i="1"/>
  <c r="L35" i="1"/>
  <c r="N35" i="1" s="1"/>
  <c r="N34" i="1"/>
  <c r="C37" i="1"/>
  <c r="D37" i="1"/>
  <c r="A38" i="1"/>
  <c r="F38" i="1" s="1"/>
  <c r="B37" i="1"/>
  <c r="E37" i="1" s="1"/>
  <c r="H36" i="1" l="1"/>
  <c r="M36" i="1"/>
  <c r="I36" i="1"/>
  <c r="K36" i="1"/>
  <c r="J36" i="1"/>
  <c r="G36" i="1"/>
  <c r="L36" i="1"/>
  <c r="N36" i="1" s="1"/>
  <c r="M37" i="1"/>
  <c r="H37" i="1"/>
  <c r="I37" i="1"/>
  <c r="K37" i="1"/>
  <c r="G37" i="1"/>
  <c r="L37" i="1"/>
  <c r="N37" i="1" s="1"/>
  <c r="J37" i="1"/>
  <c r="D38" i="1"/>
  <c r="A39" i="1"/>
  <c r="F39" i="1" s="1"/>
  <c r="C38" i="1"/>
  <c r="B38" i="1"/>
  <c r="E38" i="1" l="1"/>
  <c r="A40" i="1"/>
  <c r="F40" i="1" s="1"/>
  <c r="C39" i="1"/>
  <c r="D39" i="1"/>
  <c r="B39" i="1"/>
  <c r="E39" i="1" l="1"/>
  <c r="M38" i="1"/>
  <c r="H38" i="1"/>
  <c r="I38" i="1"/>
  <c r="K38" i="1"/>
  <c r="G38" i="1"/>
  <c r="L38" i="1"/>
  <c r="N38" i="1" s="1"/>
  <c r="J38" i="1"/>
  <c r="A41" i="1"/>
  <c r="F41" i="1" s="1"/>
  <c r="B40" i="1"/>
  <c r="C40" i="1"/>
  <c r="D40" i="1"/>
  <c r="I39" i="1" l="1"/>
  <c r="M39" i="1"/>
  <c r="H39" i="1"/>
  <c r="K39" i="1"/>
  <c r="J39" i="1"/>
  <c r="L39" i="1"/>
  <c r="N39" i="1" s="1"/>
  <c r="G39" i="1"/>
  <c r="E40" i="1"/>
  <c r="D41" i="1"/>
  <c r="A42" i="1"/>
  <c r="F42" i="1" s="1"/>
  <c r="B41" i="1"/>
  <c r="C41" i="1"/>
  <c r="H40" i="1" l="1"/>
  <c r="M40" i="1"/>
  <c r="K40" i="1"/>
  <c r="I40" i="1"/>
  <c r="G40" i="1"/>
  <c r="J40" i="1"/>
  <c r="L40" i="1"/>
  <c r="N40" i="1" s="1"/>
  <c r="E41" i="1"/>
  <c r="A43" i="1"/>
  <c r="F43" i="1" s="1"/>
  <c r="D42" i="1"/>
  <c r="C42" i="1"/>
  <c r="B42" i="1"/>
  <c r="E42" i="1" s="1"/>
  <c r="M42" i="1" l="1"/>
  <c r="H42" i="1"/>
  <c r="K42" i="1"/>
  <c r="I42" i="1"/>
  <c r="J42" i="1"/>
  <c r="G42" i="1"/>
  <c r="L42" i="1"/>
  <c r="N42" i="1" s="1"/>
  <c r="I41" i="1"/>
  <c r="H41" i="1"/>
  <c r="M41" i="1"/>
  <c r="J41" i="1"/>
  <c r="G41" i="1"/>
  <c r="K41" i="1"/>
  <c r="L41" i="1"/>
  <c r="C43" i="1"/>
  <c r="A44" i="1"/>
  <c r="F44" i="1" s="1"/>
  <c r="D43" i="1"/>
  <c r="B43" i="1"/>
  <c r="E43" i="1" s="1"/>
  <c r="H43" i="1" l="1"/>
  <c r="M43" i="1"/>
  <c r="K43" i="1"/>
  <c r="I43" i="1"/>
  <c r="G43" i="1"/>
  <c r="J43" i="1"/>
  <c r="L43" i="1"/>
  <c r="N43" i="1" s="1"/>
  <c r="N41" i="1"/>
  <c r="A45" i="1"/>
  <c r="F45" i="1" s="1"/>
  <c r="D44" i="1"/>
  <c r="B44" i="1"/>
  <c r="C44" i="1"/>
  <c r="E44" i="1" l="1"/>
  <c r="A46" i="1"/>
  <c r="F46" i="1" s="1"/>
  <c r="C45" i="1"/>
  <c r="D45" i="1"/>
  <c r="B45" i="1"/>
  <c r="E45" i="1" s="1"/>
  <c r="M44" i="1" l="1"/>
  <c r="I44" i="1"/>
  <c r="H44" i="1"/>
  <c r="K44" i="1"/>
  <c r="J44" i="1"/>
  <c r="G44" i="1"/>
  <c r="L44" i="1"/>
  <c r="N44" i="1" s="1"/>
  <c r="H45" i="1"/>
  <c r="M45" i="1"/>
  <c r="K45" i="1"/>
  <c r="I45" i="1"/>
  <c r="G45" i="1"/>
  <c r="J45" i="1"/>
  <c r="L45" i="1"/>
  <c r="N45" i="1" s="1"/>
  <c r="A47" i="1"/>
  <c r="F47" i="1" s="1"/>
  <c r="C46" i="1"/>
  <c r="D46" i="1"/>
  <c r="B46" i="1"/>
  <c r="E46" i="1" l="1"/>
  <c r="A48" i="1"/>
  <c r="F48" i="1" s="1"/>
  <c r="C47" i="1"/>
  <c r="D47" i="1"/>
  <c r="B47" i="1"/>
  <c r="E47" i="1" l="1"/>
  <c r="H46" i="1"/>
  <c r="I46" i="1"/>
  <c r="M46" i="1"/>
  <c r="J46" i="1"/>
  <c r="K46" i="1"/>
  <c r="G46" i="1"/>
  <c r="L46" i="1"/>
  <c r="N46" i="1" s="1"/>
  <c r="A49" i="1"/>
  <c r="F49" i="1" s="1"/>
  <c r="D48" i="1"/>
  <c r="B48" i="1"/>
  <c r="C48" i="1"/>
  <c r="M47" i="1" l="1"/>
  <c r="H47" i="1"/>
  <c r="I47" i="1"/>
  <c r="K47" i="1"/>
  <c r="G47" i="1"/>
  <c r="J47" i="1"/>
  <c r="L47" i="1"/>
  <c r="N47" i="1" s="1"/>
  <c r="E48" i="1"/>
  <c r="C49" i="1"/>
  <c r="A50" i="1"/>
  <c r="F50" i="1" s="1"/>
  <c r="B49" i="1"/>
  <c r="E49" i="1" s="1"/>
  <c r="D49" i="1"/>
  <c r="M49" i="1" l="1"/>
  <c r="I49" i="1"/>
  <c r="H49" i="1"/>
  <c r="K49" i="1"/>
  <c r="G49" i="1"/>
  <c r="L49" i="1"/>
  <c r="N49" i="1" s="1"/>
  <c r="J49" i="1"/>
  <c r="H48" i="1"/>
  <c r="M48" i="1"/>
  <c r="I48" i="1"/>
  <c r="K48" i="1"/>
  <c r="J48" i="1"/>
  <c r="G48" i="1"/>
  <c r="L48" i="1"/>
  <c r="N48" i="1" s="1"/>
  <c r="A51" i="1"/>
  <c r="F51" i="1" s="1"/>
  <c r="C50" i="1"/>
  <c r="D50" i="1"/>
  <c r="B50" i="1"/>
  <c r="E50" i="1" s="1"/>
  <c r="M50" i="1" l="1"/>
  <c r="H50" i="1"/>
  <c r="I50" i="1"/>
  <c r="K50" i="1"/>
  <c r="G50" i="1"/>
  <c r="L50" i="1"/>
  <c r="N50" i="1" s="1"/>
  <c r="J50" i="1"/>
  <c r="A52" i="1"/>
  <c r="F52" i="1" s="1"/>
  <c r="D51" i="1"/>
  <c r="B51" i="1"/>
  <c r="C51" i="1"/>
  <c r="E51" i="1" l="1"/>
  <c r="A53" i="1"/>
  <c r="F53" i="1" s="1"/>
  <c r="D52" i="1"/>
  <c r="B52" i="1"/>
  <c r="C52" i="1"/>
  <c r="I51" i="1" l="1"/>
  <c r="M51" i="1"/>
  <c r="H51" i="1"/>
  <c r="K51" i="1"/>
  <c r="G51" i="1"/>
  <c r="J51" i="1"/>
  <c r="L51" i="1"/>
  <c r="N51" i="1" s="1"/>
  <c r="E52" i="1"/>
  <c r="A54" i="1"/>
  <c r="F54" i="1" s="1"/>
  <c r="B53" i="1"/>
  <c r="C53" i="1"/>
  <c r="D53" i="1"/>
  <c r="H52" i="1" l="1"/>
  <c r="I52" i="1"/>
  <c r="M52" i="1"/>
  <c r="K52" i="1"/>
  <c r="G52" i="1"/>
  <c r="J52" i="1"/>
  <c r="L52" i="1"/>
  <c r="N52" i="1" s="1"/>
  <c r="A55" i="1"/>
  <c r="F55" i="1" s="1"/>
  <c r="D54" i="1"/>
  <c r="B54" i="1"/>
  <c r="C54" i="1"/>
  <c r="E53" i="1"/>
  <c r="M53" i="1" l="1"/>
  <c r="I53" i="1"/>
  <c r="H53" i="1"/>
  <c r="K53" i="1"/>
  <c r="J53" i="1"/>
  <c r="G53" i="1"/>
  <c r="L53" i="1"/>
  <c r="N53" i="1" s="1"/>
  <c r="E54" i="1"/>
  <c r="A56" i="1"/>
  <c r="F56" i="1" s="1"/>
  <c r="D55" i="1"/>
  <c r="C55" i="1"/>
  <c r="B55" i="1"/>
  <c r="E55" i="1" l="1"/>
  <c r="M54" i="1"/>
  <c r="I54" i="1"/>
  <c r="H54" i="1"/>
  <c r="K54" i="1"/>
  <c r="G54" i="1"/>
  <c r="J54" i="1"/>
  <c r="L54" i="1"/>
  <c r="N54" i="1" s="1"/>
  <c r="A57" i="1"/>
  <c r="F57" i="1" s="1"/>
  <c r="D56" i="1"/>
  <c r="B56" i="1"/>
  <c r="C56" i="1"/>
  <c r="M55" i="1" l="1"/>
  <c r="I55" i="1"/>
  <c r="H55" i="1"/>
  <c r="K55" i="1"/>
  <c r="J55" i="1"/>
  <c r="G55" i="1"/>
  <c r="L55" i="1"/>
  <c r="N55" i="1" s="1"/>
  <c r="E56" i="1"/>
  <c r="A58" i="1"/>
  <c r="F58" i="1" s="1"/>
  <c r="D57" i="1"/>
  <c r="C57" i="1"/>
  <c r="B57" i="1"/>
  <c r="M56" i="1" l="1"/>
  <c r="I56" i="1"/>
  <c r="H56" i="1"/>
  <c r="K56" i="1"/>
  <c r="G56" i="1"/>
  <c r="J56" i="1"/>
  <c r="L56" i="1"/>
  <c r="N56" i="1" s="1"/>
  <c r="E57" i="1"/>
  <c r="A59" i="1"/>
  <c r="F59" i="1" s="1"/>
  <c r="C58" i="1"/>
  <c r="D58" i="1"/>
  <c r="B58" i="1"/>
  <c r="H57" i="1" l="1"/>
  <c r="M57" i="1"/>
  <c r="K57" i="1"/>
  <c r="I57" i="1"/>
  <c r="G57" i="1"/>
  <c r="J57" i="1"/>
  <c r="L57" i="1"/>
  <c r="N57" i="1" s="1"/>
  <c r="E58" i="1"/>
  <c r="D59" i="1"/>
  <c r="A60" i="1"/>
  <c r="F60" i="1" s="1"/>
  <c r="C59" i="1"/>
  <c r="B59" i="1"/>
  <c r="H58" i="1" l="1"/>
  <c r="I58" i="1"/>
  <c r="M58" i="1"/>
  <c r="K58" i="1"/>
  <c r="G58" i="1"/>
  <c r="J58" i="1"/>
  <c r="L58" i="1"/>
  <c r="N58" i="1" s="1"/>
  <c r="E59" i="1"/>
  <c r="A61" i="1"/>
  <c r="F61" i="1" s="1"/>
  <c r="C60" i="1"/>
  <c r="D60" i="1"/>
  <c r="B60" i="1"/>
  <c r="E60" i="1" s="1"/>
  <c r="M59" i="1" l="1"/>
  <c r="H59" i="1"/>
  <c r="I59" i="1"/>
  <c r="K59" i="1"/>
  <c r="G59" i="1"/>
  <c r="J59" i="1"/>
  <c r="L59" i="1"/>
  <c r="N59" i="1" s="1"/>
  <c r="I60" i="1"/>
  <c r="H60" i="1"/>
  <c r="M60" i="1"/>
  <c r="J60" i="1"/>
  <c r="G60" i="1"/>
  <c r="K60" i="1"/>
  <c r="L60" i="1"/>
  <c r="N60" i="1" s="1"/>
  <c r="D61" i="1"/>
  <c r="A62" i="1"/>
  <c r="F62" i="1" s="1"/>
  <c r="C61" i="1"/>
  <c r="B61" i="1"/>
  <c r="E61" i="1" s="1"/>
  <c r="M61" i="1" l="1"/>
  <c r="I61" i="1"/>
  <c r="H61" i="1"/>
  <c r="K61" i="1"/>
  <c r="J61" i="1"/>
  <c r="G61" i="1"/>
  <c r="L61" i="1"/>
  <c r="N61" i="1" s="1"/>
  <c r="C62" i="1"/>
  <c r="D62" i="1"/>
  <c r="A63" i="1"/>
  <c r="F63" i="1" s="1"/>
  <c r="B62" i="1"/>
  <c r="E62" i="1" s="1"/>
  <c r="H62" i="1" l="1"/>
  <c r="M62" i="1"/>
  <c r="K62" i="1"/>
  <c r="I62" i="1"/>
  <c r="G62" i="1"/>
  <c r="L62" i="1"/>
  <c r="N62" i="1" s="1"/>
  <c r="J62" i="1"/>
  <c r="A64" i="1"/>
  <c r="F64" i="1" s="1"/>
  <c r="D63" i="1"/>
  <c r="C63" i="1"/>
  <c r="B63" i="1"/>
  <c r="E63" i="1" l="1"/>
  <c r="A65" i="1"/>
  <c r="F65" i="1" s="1"/>
  <c r="D64" i="1"/>
  <c r="B64" i="1"/>
  <c r="C64" i="1"/>
  <c r="I63" i="1" l="1"/>
  <c r="M63" i="1"/>
  <c r="H63" i="1"/>
  <c r="K63" i="1"/>
  <c r="G63" i="1"/>
  <c r="L63" i="1"/>
  <c r="N63" i="1" s="1"/>
  <c r="J63" i="1"/>
  <c r="E64" i="1"/>
  <c r="A66" i="1"/>
  <c r="F66" i="1" s="1"/>
  <c r="C65" i="1"/>
  <c r="B65" i="1"/>
  <c r="E65" i="1" s="1"/>
  <c r="D65" i="1"/>
  <c r="H65" i="1" l="1"/>
  <c r="M65" i="1"/>
  <c r="I65" i="1"/>
  <c r="G65" i="1"/>
  <c r="K65" i="1"/>
  <c r="J65" i="1"/>
  <c r="L65" i="1"/>
  <c r="N65" i="1" s="1"/>
  <c r="H64" i="1"/>
  <c r="M64" i="1"/>
  <c r="I64" i="1"/>
  <c r="K64" i="1"/>
  <c r="J64" i="1"/>
  <c r="G64" i="1"/>
  <c r="L64" i="1"/>
  <c r="N64" i="1" s="1"/>
  <c r="D66" i="1"/>
  <c r="A67" i="1"/>
  <c r="F67" i="1" s="1"/>
  <c r="C66" i="1"/>
  <c r="B66" i="1"/>
  <c r="E66" i="1" s="1"/>
  <c r="H66" i="1" l="1"/>
  <c r="M66" i="1"/>
  <c r="K66" i="1"/>
  <c r="I66" i="1"/>
  <c r="G66" i="1"/>
  <c r="J66" i="1"/>
  <c r="L66" i="1"/>
  <c r="N66" i="1" s="1"/>
  <c r="A68" i="1"/>
  <c r="F68" i="1" s="1"/>
  <c r="D67" i="1"/>
  <c r="C67" i="1"/>
  <c r="B67" i="1"/>
  <c r="E67" i="1" l="1"/>
  <c r="A69" i="1"/>
  <c r="F69" i="1" s="1"/>
  <c r="D68" i="1"/>
  <c r="B68" i="1"/>
  <c r="C68" i="1"/>
  <c r="M67" i="1" l="1"/>
  <c r="I67" i="1"/>
  <c r="H67" i="1"/>
  <c r="K67" i="1"/>
  <c r="J67" i="1"/>
  <c r="G67" i="1"/>
  <c r="L67" i="1"/>
  <c r="N67" i="1" s="1"/>
  <c r="E68" i="1"/>
  <c r="A70" i="1"/>
  <c r="F70" i="1" s="1"/>
  <c r="D69" i="1"/>
  <c r="C69" i="1"/>
  <c r="B69" i="1"/>
  <c r="M68" i="1" l="1"/>
  <c r="H68" i="1"/>
  <c r="K68" i="1"/>
  <c r="I68" i="1"/>
  <c r="G68" i="1"/>
  <c r="J68" i="1"/>
  <c r="L68" i="1"/>
  <c r="N68" i="1" s="1"/>
  <c r="E69" i="1"/>
  <c r="A71" i="1"/>
  <c r="F71" i="1" s="1"/>
  <c r="C70" i="1"/>
  <c r="D70" i="1"/>
  <c r="B70" i="1"/>
  <c r="M69" i="1" l="1"/>
  <c r="I69" i="1"/>
  <c r="H69" i="1"/>
  <c r="K69" i="1"/>
  <c r="G69" i="1"/>
  <c r="L69" i="1"/>
  <c r="N69" i="1" s="1"/>
  <c r="J69" i="1"/>
  <c r="E70" i="1"/>
  <c r="B71" i="1"/>
  <c r="A72" i="1"/>
  <c r="F72" i="1" s="1"/>
  <c r="C71" i="1"/>
  <c r="D71" i="1"/>
  <c r="I70" i="1" l="1"/>
  <c r="M70" i="1"/>
  <c r="H70" i="1"/>
  <c r="K70" i="1"/>
  <c r="G70" i="1"/>
  <c r="J70" i="1"/>
  <c r="L70" i="1"/>
  <c r="N70" i="1" s="1"/>
  <c r="A73" i="1"/>
  <c r="F73" i="1" s="1"/>
  <c r="D72" i="1"/>
  <c r="B72" i="1"/>
  <c r="C72" i="1"/>
  <c r="E71" i="1"/>
  <c r="M71" i="1" l="1"/>
  <c r="H71" i="1"/>
  <c r="I71" i="1"/>
  <c r="K71" i="1"/>
  <c r="G71" i="1"/>
  <c r="J71" i="1"/>
  <c r="L71" i="1"/>
  <c r="N71" i="1" s="1"/>
  <c r="E72" i="1"/>
  <c r="B73" i="1"/>
  <c r="D73" i="1"/>
  <c r="A74" i="1"/>
  <c r="F74" i="1" s="1"/>
  <c r="C73" i="1"/>
  <c r="I72" i="1" l="1"/>
  <c r="H72" i="1"/>
  <c r="M72" i="1"/>
  <c r="K72" i="1"/>
  <c r="G72" i="1"/>
  <c r="L72" i="1"/>
  <c r="N72" i="1" s="1"/>
  <c r="J72" i="1"/>
  <c r="C74" i="1"/>
  <c r="D74" i="1"/>
  <c r="A75" i="1"/>
  <c r="F75" i="1" s="1"/>
  <c r="B74" i="1"/>
  <c r="E74" i="1" s="1"/>
  <c r="E73" i="1"/>
  <c r="I74" i="1" l="1"/>
  <c r="H74" i="1"/>
  <c r="M74" i="1"/>
  <c r="K74" i="1"/>
  <c r="J74" i="1"/>
  <c r="L74" i="1"/>
  <c r="N74" i="1" s="1"/>
  <c r="G74" i="1"/>
  <c r="M73" i="1"/>
  <c r="I73" i="1"/>
  <c r="H73" i="1"/>
  <c r="K73" i="1"/>
  <c r="G73" i="1"/>
  <c r="L73" i="1"/>
  <c r="N73" i="1" s="1"/>
  <c r="J73" i="1"/>
  <c r="A76" i="1"/>
  <c r="F76" i="1" s="1"/>
  <c r="D75" i="1"/>
  <c r="C75" i="1"/>
  <c r="B75" i="1"/>
  <c r="E75" i="1" s="1"/>
  <c r="M75" i="1" l="1"/>
  <c r="H75" i="1"/>
  <c r="K75" i="1"/>
  <c r="I75" i="1"/>
  <c r="G75" i="1"/>
  <c r="L75" i="1"/>
  <c r="N75" i="1" s="1"/>
  <c r="J75" i="1"/>
  <c r="A77" i="1"/>
  <c r="F77" i="1" s="1"/>
  <c r="B76" i="1"/>
  <c r="D76" i="1"/>
  <c r="C76" i="1"/>
  <c r="E76" i="1" l="1"/>
  <c r="C77" i="1"/>
  <c r="B77" i="1"/>
  <c r="A78" i="1"/>
  <c r="F78" i="1" s="1"/>
  <c r="D77" i="1"/>
  <c r="E77" i="1" l="1"/>
  <c r="H76" i="1"/>
  <c r="M76" i="1"/>
  <c r="I76" i="1"/>
  <c r="K76" i="1"/>
  <c r="J76" i="1"/>
  <c r="L76" i="1"/>
  <c r="N76" i="1" s="1"/>
  <c r="G76" i="1"/>
  <c r="A79" i="1"/>
  <c r="F79" i="1" s="1"/>
  <c r="C78" i="1"/>
  <c r="D78" i="1"/>
  <c r="B78" i="1"/>
  <c r="E78" i="1" l="1"/>
  <c r="H77" i="1"/>
  <c r="M77" i="1"/>
  <c r="I77" i="1"/>
  <c r="K77" i="1"/>
  <c r="G77" i="1"/>
  <c r="J77" i="1"/>
  <c r="L77" i="1"/>
  <c r="N77" i="1" s="1"/>
  <c r="C79" i="1"/>
  <c r="A80" i="1"/>
  <c r="F80" i="1" s="1"/>
  <c r="B79" i="1"/>
  <c r="E79" i="1" s="1"/>
  <c r="D79" i="1"/>
  <c r="M79" i="1" l="1"/>
  <c r="H79" i="1"/>
  <c r="G79" i="1"/>
  <c r="J79" i="1"/>
  <c r="I79" i="1"/>
  <c r="K79" i="1"/>
  <c r="L79" i="1"/>
  <c r="N79" i="1" s="1"/>
  <c r="H78" i="1"/>
  <c r="M78" i="1"/>
  <c r="I78" i="1"/>
  <c r="K78" i="1"/>
  <c r="G78" i="1"/>
  <c r="J78" i="1"/>
  <c r="L78" i="1"/>
  <c r="N78" i="1" s="1"/>
  <c r="A81" i="1"/>
  <c r="F81" i="1" s="1"/>
  <c r="D80" i="1"/>
  <c r="C80" i="1"/>
  <c r="B80" i="1"/>
  <c r="E80" i="1" l="1"/>
  <c r="A82" i="1"/>
  <c r="F82" i="1" s="1"/>
  <c r="D81" i="1"/>
  <c r="C81" i="1"/>
  <c r="B81" i="1"/>
  <c r="E81" i="1" s="1"/>
  <c r="H81" i="1" l="1"/>
  <c r="M81" i="1"/>
  <c r="I81" i="1"/>
  <c r="K81" i="1"/>
  <c r="G81" i="1"/>
  <c r="J81" i="1"/>
  <c r="L81" i="1"/>
  <c r="N81" i="1" s="1"/>
  <c r="M80" i="1"/>
  <c r="I80" i="1"/>
  <c r="H80" i="1"/>
  <c r="K80" i="1"/>
  <c r="J80" i="1"/>
  <c r="G80" i="1"/>
  <c r="L80" i="1"/>
  <c r="N80" i="1" s="1"/>
  <c r="A83" i="1"/>
  <c r="F83" i="1" s="1"/>
  <c r="D82" i="1"/>
  <c r="C82" i="1"/>
  <c r="B82" i="1"/>
  <c r="E82" i="1" s="1"/>
  <c r="I82" i="1" l="1"/>
  <c r="M82" i="1"/>
  <c r="H82" i="1"/>
  <c r="K82" i="1"/>
  <c r="J82" i="1"/>
  <c r="G82" i="1"/>
  <c r="L82" i="1"/>
  <c r="N82" i="1" s="1"/>
  <c r="A84" i="1"/>
  <c r="F84" i="1" s="1"/>
  <c r="C83" i="1"/>
  <c r="D83" i="1"/>
  <c r="B83" i="1"/>
  <c r="E83" i="1" s="1"/>
  <c r="M83" i="1" l="1"/>
  <c r="H83" i="1"/>
  <c r="I83" i="1"/>
  <c r="K83" i="1"/>
  <c r="G83" i="1"/>
  <c r="J83" i="1"/>
  <c r="L83" i="1"/>
  <c r="N83" i="1" s="1"/>
  <c r="A85" i="1"/>
  <c r="F85" i="1" s="1"/>
  <c r="C84" i="1"/>
  <c r="D84" i="1"/>
  <c r="B84" i="1"/>
  <c r="E84" i="1" s="1"/>
  <c r="M84" i="1" l="1"/>
  <c r="H84" i="1"/>
  <c r="G84" i="1"/>
  <c r="K84" i="1"/>
  <c r="I84" i="1"/>
  <c r="L84" i="1"/>
  <c r="N84" i="1" s="1"/>
  <c r="J84" i="1"/>
  <c r="D85" i="1"/>
  <c r="A86" i="1"/>
  <c r="F86" i="1" s="1"/>
  <c r="C85" i="1"/>
  <c r="B85" i="1"/>
  <c r="E85" i="1" l="1"/>
  <c r="A87" i="1"/>
  <c r="F87" i="1" s="1"/>
  <c r="C86" i="1"/>
  <c r="D86" i="1"/>
  <c r="B86" i="1"/>
  <c r="E86" i="1" s="1"/>
  <c r="I86" i="1" l="1"/>
  <c r="H86" i="1"/>
  <c r="M86" i="1"/>
  <c r="G86" i="1"/>
  <c r="J86" i="1"/>
  <c r="K86" i="1"/>
  <c r="L86" i="1"/>
  <c r="N86" i="1" s="1"/>
  <c r="M85" i="1"/>
  <c r="I85" i="1"/>
  <c r="H85" i="1"/>
  <c r="K85" i="1"/>
  <c r="J85" i="1"/>
  <c r="G85" i="1"/>
  <c r="L85" i="1"/>
  <c r="A88" i="1"/>
  <c r="F88" i="1" s="1"/>
  <c r="D87" i="1"/>
  <c r="C87" i="1"/>
  <c r="B87" i="1"/>
  <c r="N85" i="1" l="1"/>
  <c r="E87" i="1"/>
  <c r="A89" i="1"/>
  <c r="F89" i="1" s="1"/>
  <c r="B88" i="1"/>
  <c r="C88" i="1"/>
  <c r="D88" i="1"/>
  <c r="I87" i="1" l="1"/>
  <c r="M87" i="1"/>
  <c r="H87" i="1"/>
  <c r="K87" i="1"/>
  <c r="G87" i="1"/>
  <c r="J87" i="1"/>
  <c r="L87" i="1"/>
  <c r="N87" i="1" s="1"/>
  <c r="E88" i="1"/>
  <c r="C89" i="1"/>
  <c r="D89" i="1"/>
  <c r="B89" i="1"/>
  <c r="E89" i="1" s="1"/>
  <c r="A90" i="1"/>
  <c r="F90" i="1" s="1"/>
  <c r="H89" i="1" l="1"/>
  <c r="M89" i="1"/>
  <c r="I89" i="1"/>
  <c r="K89" i="1"/>
  <c r="J89" i="1"/>
  <c r="G89" i="1"/>
  <c r="L89" i="1"/>
  <c r="N89" i="1" s="1"/>
  <c r="H88" i="1"/>
  <c r="K88" i="1"/>
  <c r="M88" i="1"/>
  <c r="I88" i="1"/>
  <c r="G88" i="1"/>
  <c r="L88" i="1"/>
  <c r="N88" i="1" s="1"/>
  <c r="J88" i="1"/>
  <c r="A91" i="1"/>
  <c r="F91" i="1" s="1"/>
  <c r="C90" i="1"/>
  <c r="B90" i="1"/>
  <c r="E90" i="1" s="1"/>
  <c r="D90" i="1"/>
  <c r="H90" i="1" l="1"/>
  <c r="M90" i="1"/>
  <c r="K90" i="1"/>
  <c r="I90" i="1"/>
  <c r="G90" i="1"/>
  <c r="J90" i="1"/>
  <c r="L90" i="1"/>
  <c r="N90" i="1" s="1"/>
  <c r="A92" i="1"/>
  <c r="F92" i="1" s="1"/>
  <c r="D91" i="1"/>
  <c r="C91" i="1"/>
  <c r="B91" i="1"/>
  <c r="E91" i="1" l="1"/>
  <c r="A93" i="1"/>
  <c r="F93" i="1" s="1"/>
  <c r="C92" i="1"/>
  <c r="D92" i="1"/>
  <c r="B92" i="1"/>
  <c r="E92" i="1" s="1"/>
  <c r="M92" i="1" l="1"/>
  <c r="I92" i="1"/>
  <c r="K92" i="1"/>
  <c r="G92" i="1"/>
  <c r="J92" i="1"/>
  <c r="H92" i="1"/>
  <c r="L92" i="1"/>
  <c r="N92" i="1" s="1"/>
  <c r="M91" i="1"/>
  <c r="H91" i="1"/>
  <c r="I91" i="1"/>
  <c r="K91" i="1"/>
  <c r="G91" i="1"/>
  <c r="L91" i="1"/>
  <c r="N91" i="1" s="1"/>
  <c r="J91" i="1"/>
  <c r="A94" i="1"/>
  <c r="F94" i="1" s="1"/>
  <c r="D93" i="1"/>
  <c r="C93" i="1"/>
  <c r="B93" i="1"/>
  <c r="E93" i="1" s="1"/>
  <c r="I93" i="1" l="1"/>
  <c r="M93" i="1"/>
  <c r="G93" i="1"/>
  <c r="H93" i="1"/>
  <c r="L93" i="1"/>
  <c r="N93" i="1" s="1"/>
  <c r="J93" i="1"/>
  <c r="K93" i="1"/>
  <c r="A95" i="1"/>
  <c r="F95" i="1" s="1"/>
  <c r="C94" i="1"/>
  <c r="D94" i="1"/>
  <c r="B94" i="1"/>
  <c r="E94" i="1" s="1"/>
  <c r="M94" i="1" l="1"/>
  <c r="K94" i="1"/>
  <c r="I94" i="1"/>
  <c r="H94" i="1"/>
  <c r="J94" i="1"/>
  <c r="G94" i="1"/>
  <c r="L94" i="1"/>
  <c r="N94" i="1" s="1"/>
  <c r="A96" i="1"/>
  <c r="F96" i="1" s="1"/>
  <c r="C95" i="1"/>
  <c r="D95" i="1"/>
  <c r="B95" i="1"/>
  <c r="E95" i="1" s="1"/>
  <c r="I95" i="1" l="1"/>
  <c r="M95" i="1"/>
  <c r="K95" i="1"/>
  <c r="H95" i="1"/>
  <c r="G95" i="1"/>
  <c r="J95" i="1"/>
  <c r="L95" i="1"/>
  <c r="N95" i="1" s="1"/>
  <c r="A97" i="1"/>
  <c r="F97" i="1" s="1"/>
  <c r="C96" i="1"/>
  <c r="D96" i="1"/>
  <c r="B96" i="1"/>
  <c r="E96" i="1" s="1"/>
  <c r="M96" i="1" l="1"/>
  <c r="K96" i="1"/>
  <c r="I96" i="1"/>
  <c r="G96" i="1"/>
  <c r="J96" i="1"/>
  <c r="H96" i="1"/>
  <c r="L96" i="1"/>
  <c r="N96" i="1" s="1"/>
  <c r="D97" i="1"/>
  <c r="A98" i="1"/>
  <c r="F98" i="1" s="1"/>
  <c r="B97" i="1"/>
  <c r="C97" i="1"/>
  <c r="E97" i="1" l="1"/>
  <c r="C98" i="1"/>
  <c r="D98" i="1"/>
  <c r="A99" i="1"/>
  <c r="F99" i="1" s="1"/>
  <c r="B98" i="1"/>
  <c r="E98" i="1" s="1"/>
  <c r="M98" i="1" l="1"/>
  <c r="I98" i="1"/>
  <c r="H98" i="1"/>
  <c r="G98" i="1"/>
  <c r="K98" i="1"/>
  <c r="J98" i="1"/>
  <c r="L98" i="1"/>
  <c r="N98" i="1" s="1"/>
  <c r="M97" i="1"/>
  <c r="I97" i="1"/>
  <c r="K97" i="1"/>
  <c r="G97" i="1"/>
  <c r="H97" i="1"/>
  <c r="L97" i="1"/>
  <c r="N97" i="1" s="1"/>
  <c r="J97" i="1"/>
  <c r="A100" i="1"/>
  <c r="F100" i="1" s="1"/>
  <c r="D99" i="1"/>
  <c r="C99" i="1"/>
  <c r="B99" i="1"/>
  <c r="E99" i="1" s="1"/>
  <c r="I99" i="1" l="1"/>
  <c r="M99" i="1"/>
  <c r="K99" i="1"/>
  <c r="H99" i="1"/>
  <c r="G99" i="1"/>
  <c r="L99" i="1"/>
  <c r="N99" i="1" s="1"/>
  <c r="J99" i="1"/>
  <c r="A101" i="1"/>
  <c r="F101" i="1" s="1"/>
  <c r="B100" i="1"/>
  <c r="D100" i="1"/>
  <c r="C100" i="1"/>
  <c r="E100" i="1" l="1"/>
  <c r="A102" i="1"/>
  <c r="F102" i="1" s="1"/>
  <c r="C101" i="1"/>
  <c r="D101" i="1"/>
  <c r="B101" i="1"/>
  <c r="E101" i="1" s="1"/>
  <c r="M101" i="1" l="1"/>
  <c r="I101" i="1"/>
  <c r="K101" i="1"/>
  <c r="H101" i="1"/>
  <c r="G101" i="1"/>
  <c r="J101" i="1"/>
  <c r="L101" i="1"/>
  <c r="N101" i="1" s="1"/>
  <c r="M100" i="1"/>
  <c r="I100" i="1"/>
  <c r="K100" i="1"/>
  <c r="G100" i="1"/>
  <c r="H100" i="1"/>
  <c r="L100" i="1"/>
  <c r="N100" i="1" s="1"/>
  <c r="J100" i="1"/>
  <c r="A103" i="1"/>
  <c r="F103" i="1" s="1"/>
  <c r="C102" i="1"/>
  <c r="D102" i="1"/>
  <c r="B102" i="1"/>
  <c r="E102" i="1" s="1"/>
  <c r="M102" i="1" l="1"/>
  <c r="I102" i="1"/>
  <c r="K102" i="1"/>
  <c r="J102" i="1"/>
  <c r="H102" i="1"/>
  <c r="G102" i="1"/>
  <c r="L102" i="1"/>
  <c r="N102" i="1" s="1"/>
  <c r="A104" i="1"/>
  <c r="F104" i="1" s="1"/>
  <c r="D103" i="1"/>
  <c r="C103" i="1"/>
  <c r="B103" i="1"/>
  <c r="E103" i="1" l="1"/>
  <c r="A105" i="1"/>
  <c r="F105" i="1" s="1"/>
  <c r="C104" i="1"/>
  <c r="D104" i="1"/>
  <c r="B104" i="1"/>
  <c r="E104" i="1" s="1"/>
  <c r="M104" i="1" l="1"/>
  <c r="I104" i="1"/>
  <c r="K104" i="1"/>
  <c r="J104" i="1"/>
  <c r="G104" i="1"/>
  <c r="H104" i="1"/>
  <c r="L104" i="1"/>
  <c r="N104" i="1" s="1"/>
  <c r="M103" i="1"/>
  <c r="I103" i="1"/>
  <c r="K103" i="1"/>
  <c r="G103" i="1"/>
  <c r="H103" i="1"/>
  <c r="J103" i="1"/>
  <c r="L103" i="1"/>
  <c r="N103" i="1" s="1"/>
  <c r="A106" i="1"/>
  <c r="F106" i="1" s="1"/>
  <c r="D105" i="1"/>
  <c r="C105" i="1"/>
  <c r="B105" i="1"/>
  <c r="E105" i="1" s="1"/>
  <c r="I105" i="1" l="1"/>
  <c r="M105" i="1"/>
  <c r="K105" i="1"/>
  <c r="G105" i="1"/>
  <c r="L105" i="1"/>
  <c r="N105" i="1" s="1"/>
  <c r="H105" i="1"/>
  <c r="J105" i="1"/>
  <c r="A107" i="1"/>
  <c r="F107" i="1" s="1"/>
  <c r="C106" i="1"/>
  <c r="D106" i="1"/>
  <c r="B106" i="1"/>
  <c r="E106" i="1" s="1"/>
  <c r="I106" i="1" l="1"/>
  <c r="M106" i="1"/>
  <c r="K106" i="1"/>
  <c r="G106" i="1"/>
  <c r="J106" i="1"/>
  <c r="H106" i="1"/>
  <c r="L106" i="1"/>
  <c r="N106" i="1" s="1"/>
  <c r="A108" i="1"/>
  <c r="F108" i="1" s="1"/>
  <c r="C107" i="1"/>
  <c r="D107" i="1"/>
  <c r="B107" i="1"/>
  <c r="E107" i="1" s="1"/>
  <c r="I107" i="1" l="1"/>
  <c r="M107" i="1"/>
  <c r="G107" i="1"/>
  <c r="H107" i="1"/>
  <c r="K107" i="1"/>
  <c r="J107" i="1"/>
  <c r="L107" i="1"/>
  <c r="N107" i="1" s="1"/>
  <c r="A109" i="1"/>
  <c r="F109" i="1" s="1"/>
  <c r="D108" i="1"/>
  <c r="C108" i="1"/>
  <c r="B108" i="1"/>
  <c r="E108" i="1" l="1"/>
  <c r="D109" i="1"/>
  <c r="A110" i="1"/>
  <c r="F110" i="1" s="1"/>
  <c r="C109" i="1"/>
  <c r="B109" i="1"/>
  <c r="E109" i="1" s="1"/>
  <c r="M109" i="1" l="1"/>
  <c r="I109" i="1"/>
  <c r="K109" i="1"/>
  <c r="G109" i="1"/>
  <c r="H109" i="1"/>
  <c r="L109" i="1"/>
  <c r="N109" i="1" s="1"/>
  <c r="J109" i="1"/>
  <c r="M108" i="1"/>
  <c r="K108" i="1"/>
  <c r="I108" i="1"/>
  <c r="G108" i="1"/>
  <c r="H108" i="1"/>
  <c r="L108" i="1"/>
  <c r="N108" i="1" s="1"/>
  <c r="J108" i="1"/>
  <c r="C110" i="1"/>
  <c r="A111" i="1"/>
  <c r="F111" i="1" s="1"/>
  <c r="D110" i="1"/>
  <c r="B110" i="1"/>
  <c r="E110" i="1" s="1"/>
  <c r="M110" i="1" l="1"/>
  <c r="K110" i="1"/>
  <c r="I110" i="1"/>
  <c r="H110" i="1"/>
  <c r="G110" i="1"/>
  <c r="J110" i="1"/>
  <c r="L110" i="1"/>
  <c r="N110" i="1" s="1"/>
  <c r="A112" i="1"/>
  <c r="F112" i="1" s="1"/>
  <c r="D111" i="1"/>
  <c r="C111" i="1"/>
  <c r="B111" i="1"/>
  <c r="E111" i="1" l="1"/>
  <c r="A113" i="1"/>
  <c r="F113" i="1" s="1"/>
  <c r="B112" i="1"/>
  <c r="C112" i="1"/>
  <c r="D112" i="1"/>
  <c r="I111" i="1" l="1"/>
  <c r="M111" i="1"/>
  <c r="K111" i="1"/>
  <c r="H111" i="1"/>
  <c r="G111" i="1"/>
  <c r="L111" i="1"/>
  <c r="N111" i="1" s="1"/>
  <c r="J111" i="1"/>
  <c r="E112" i="1"/>
  <c r="A114" i="1"/>
  <c r="F114" i="1" s="1"/>
  <c r="C113" i="1"/>
  <c r="D113" i="1"/>
  <c r="B113" i="1"/>
  <c r="M112" i="1" l="1"/>
  <c r="I112" i="1"/>
  <c r="G112" i="1"/>
  <c r="K112" i="1"/>
  <c r="J112" i="1"/>
  <c r="L112" i="1"/>
  <c r="N112" i="1" s="1"/>
  <c r="H112" i="1"/>
  <c r="E113" i="1"/>
  <c r="A115" i="1"/>
  <c r="F115" i="1" s="1"/>
  <c r="C114" i="1"/>
  <c r="D114" i="1"/>
  <c r="B114" i="1"/>
  <c r="I113" i="1" l="1"/>
  <c r="M113" i="1"/>
  <c r="K113" i="1"/>
  <c r="G113" i="1"/>
  <c r="J113" i="1"/>
  <c r="L113" i="1"/>
  <c r="N113" i="1" s="1"/>
  <c r="H113" i="1"/>
  <c r="E114" i="1"/>
  <c r="A116" i="1"/>
  <c r="F116" i="1" s="1"/>
  <c r="D115" i="1"/>
  <c r="C115" i="1"/>
  <c r="B115" i="1"/>
  <c r="I114" i="1" l="1"/>
  <c r="M114" i="1"/>
  <c r="K114" i="1"/>
  <c r="J114" i="1"/>
  <c r="G114" i="1"/>
  <c r="L114" i="1"/>
  <c r="N114" i="1" s="1"/>
  <c r="H114" i="1"/>
  <c r="E115" i="1"/>
  <c r="C116" i="1"/>
  <c r="D116" i="1"/>
  <c r="A117" i="1"/>
  <c r="F117" i="1" s="1"/>
  <c r="B116" i="1"/>
  <c r="M115" i="1" l="1"/>
  <c r="I115" i="1"/>
  <c r="K115" i="1"/>
  <c r="G115" i="1"/>
  <c r="J115" i="1"/>
  <c r="H115" i="1"/>
  <c r="L115" i="1"/>
  <c r="N115" i="1" s="1"/>
  <c r="E116" i="1"/>
  <c r="A118" i="1"/>
  <c r="F118" i="1" s="1"/>
  <c r="D117" i="1"/>
  <c r="C117" i="1"/>
  <c r="B117" i="1"/>
  <c r="M116" i="1" l="1"/>
  <c r="I116" i="1"/>
  <c r="K116" i="1"/>
  <c r="G116" i="1"/>
  <c r="J116" i="1"/>
  <c r="H116" i="1"/>
  <c r="L116" i="1"/>
  <c r="N116" i="1" s="1"/>
  <c r="E117" i="1"/>
  <c r="A119" i="1"/>
  <c r="F119" i="1" s="1"/>
  <c r="C118" i="1"/>
  <c r="D118" i="1"/>
  <c r="B118" i="1"/>
  <c r="I117" i="1" l="1"/>
  <c r="K117" i="1"/>
  <c r="M117" i="1"/>
  <c r="G117" i="1"/>
  <c r="H117" i="1"/>
  <c r="J117" i="1"/>
  <c r="L117" i="1"/>
  <c r="N117" i="1" s="1"/>
  <c r="E118" i="1"/>
  <c r="A120" i="1"/>
  <c r="F120" i="1" s="1"/>
  <c r="C119" i="1"/>
  <c r="D119" i="1"/>
  <c r="B119" i="1"/>
  <c r="I118" i="1" l="1"/>
  <c r="M118" i="1"/>
  <c r="K118" i="1"/>
  <c r="G118" i="1"/>
  <c r="J118" i="1"/>
  <c r="H118" i="1"/>
  <c r="L118" i="1"/>
  <c r="N118" i="1" s="1"/>
  <c r="E119" i="1"/>
  <c r="A121" i="1"/>
  <c r="F121" i="1" s="1"/>
  <c r="C120" i="1"/>
  <c r="D120" i="1"/>
  <c r="B120" i="1"/>
  <c r="M119" i="1" l="1"/>
  <c r="I119" i="1"/>
  <c r="K119" i="1"/>
  <c r="G119" i="1"/>
  <c r="L119" i="1"/>
  <c r="N119" i="1" s="1"/>
  <c r="H119" i="1"/>
  <c r="J119" i="1"/>
  <c r="E120" i="1"/>
  <c r="D121" i="1"/>
  <c r="A122" i="1"/>
  <c r="F122" i="1" s="1"/>
  <c r="C121" i="1"/>
  <c r="B121" i="1"/>
  <c r="I120" i="1" l="1"/>
  <c r="K120" i="1"/>
  <c r="M120" i="1"/>
  <c r="G120" i="1"/>
  <c r="H120" i="1"/>
  <c r="L120" i="1"/>
  <c r="N120" i="1" s="1"/>
  <c r="J120" i="1"/>
  <c r="E121" i="1"/>
  <c r="A123" i="1"/>
  <c r="F123" i="1" s="1"/>
  <c r="C122" i="1"/>
  <c r="D122" i="1"/>
  <c r="B122" i="1"/>
  <c r="M121" i="1" l="1"/>
  <c r="I121" i="1"/>
  <c r="K121" i="1"/>
  <c r="H121" i="1"/>
  <c r="G121" i="1"/>
  <c r="L121" i="1"/>
  <c r="N121" i="1" s="1"/>
  <c r="J121" i="1"/>
  <c r="E122" i="1"/>
  <c r="A124" i="1"/>
  <c r="F124" i="1" s="1"/>
  <c r="D123" i="1"/>
  <c r="C123" i="1"/>
  <c r="B123" i="1"/>
  <c r="E123" i="1" s="1"/>
  <c r="I123" i="1" l="1"/>
  <c r="M123" i="1"/>
  <c r="K123" i="1"/>
  <c r="H123" i="1"/>
  <c r="G123" i="1"/>
  <c r="J123" i="1"/>
  <c r="L123" i="1"/>
  <c r="N123" i="1" s="1"/>
  <c r="M122" i="1"/>
  <c r="I122" i="1"/>
  <c r="K122" i="1"/>
  <c r="G122" i="1"/>
  <c r="H122" i="1"/>
  <c r="L122" i="1"/>
  <c r="N122" i="1" s="1"/>
  <c r="J122" i="1"/>
  <c r="A125" i="1"/>
  <c r="F125" i="1" s="1"/>
  <c r="B124" i="1"/>
  <c r="C124" i="1"/>
  <c r="D124" i="1"/>
  <c r="E124" i="1" l="1"/>
  <c r="A126" i="1"/>
  <c r="F126" i="1" s="1"/>
  <c r="C125" i="1"/>
  <c r="D125" i="1"/>
  <c r="B125" i="1"/>
  <c r="E125" i="1" s="1"/>
  <c r="I125" i="1" l="1"/>
  <c r="M125" i="1"/>
  <c r="G125" i="1"/>
  <c r="K125" i="1"/>
  <c r="H125" i="1"/>
  <c r="J125" i="1"/>
  <c r="L125" i="1"/>
  <c r="N125" i="1" s="1"/>
  <c r="M124" i="1"/>
  <c r="I124" i="1"/>
  <c r="K124" i="1"/>
  <c r="G124" i="1"/>
  <c r="L124" i="1"/>
  <c r="N124" i="1" s="1"/>
  <c r="H124" i="1"/>
  <c r="J124" i="1"/>
  <c r="A127" i="1"/>
  <c r="F127" i="1" s="1"/>
  <c r="C126" i="1"/>
  <c r="D126" i="1"/>
  <c r="B126" i="1"/>
  <c r="E126" i="1" s="1"/>
  <c r="I126" i="1" l="1"/>
  <c r="M126" i="1"/>
  <c r="K126" i="1"/>
  <c r="G126" i="1"/>
  <c r="L126" i="1"/>
  <c r="N126" i="1" s="1"/>
  <c r="H126" i="1"/>
  <c r="J126" i="1"/>
  <c r="A128" i="1"/>
  <c r="F128" i="1" s="1"/>
  <c r="D127" i="1"/>
  <c r="C127" i="1"/>
  <c r="B127" i="1"/>
  <c r="E127" i="1" l="1"/>
  <c r="A129" i="1"/>
  <c r="F129" i="1" s="1"/>
  <c r="C128" i="1"/>
  <c r="D128" i="1"/>
  <c r="B128" i="1"/>
  <c r="E128" i="1" s="1"/>
  <c r="M128" i="1" l="1"/>
  <c r="I128" i="1"/>
  <c r="K128" i="1"/>
  <c r="H128" i="1"/>
  <c r="G128" i="1"/>
  <c r="J128" i="1"/>
  <c r="L128" i="1"/>
  <c r="N128" i="1" s="1"/>
  <c r="I127" i="1"/>
  <c r="M127" i="1"/>
  <c r="K127" i="1"/>
  <c r="G127" i="1"/>
  <c r="H127" i="1"/>
  <c r="L127" i="1"/>
  <c r="N127" i="1" s="1"/>
  <c r="J127" i="1"/>
  <c r="A130" i="1"/>
  <c r="F130" i="1" s="1"/>
  <c r="D129" i="1"/>
  <c r="C129" i="1"/>
  <c r="B129" i="1"/>
  <c r="E129" i="1" l="1"/>
  <c r="A131" i="1"/>
  <c r="F131" i="1" s="1"/>
  <c r="C130" i="1"/>
  <c r="D130" i="1"/>
  <c r="B130" i="1"/>
  <c r="E130" i="1" s="1"/>
  <c r="I130" i="1" l="1"/>
  <c r="M130" i="1"/>
  <c r="K130" i="1"/>
  <c r="G130" i="1"/>
  <c r="H130" i="1"/>
  <c r="J130" i="1"/>
  <c r="L130" i="1"/>
  <c r="N130" i="1" s="1"/>
  <c r="M129" i="1"/>
  <c r="I129" i="1"/>
  <c r="K129" i="1"/>
  <c r="G129" i="1"/>
  <c r="H129" i="1"/>
  <c r="J129" i="1"/>
  <c r="L129" i="1"/>
  <c r="N129" i="1" s="1"/>
  <c r="A132" i="1"/>
  <c r="F132" i="1" s="1"/>
  <c r="C131" i="1"/>
  <c r="D131" i="1"/>
  <c r="B131" i="1"/>
  <c r="E131" i="1" s="1"/>
  <c r="M131" i="1" l="1"/>
  <c r="K131" i="1"/>
  <c r="I131" i="1"/>
  <c r="G131" i="1"/>
  <c r="H131" i="1"/>
  <c r="L131" i="1"/>
  <c r="N131" i="1" s="1"/>
  <c r="J131" i="1"/>
  <c r="A133" i="1"/>
  <c r="F133" i="1" s="1"/>
  <c r="D132" i="1"/>
  <c r="B132" i="1"/>
  <c r="C132" i="1"/>
  <c r="E132" i="1" l="1"/>
  <c r="C133" i="1"/>
  <c r="D133" i="1"/>
  <c r="A134" i="1"/>
  <c r="F134" i="1" s="1"/>
  <c r="B133" i="1"/>
  <c r="E133" i="1" s="1"/>
  <c r="M133" i="1" l="1"/>
  <c r="I133" i="1"/>
  <c r="K133" i="1"/>
  <c r="G133" i="1"/>
  <c r="J133" i="1"/>
  <c r="H133" i="1"/>
  <c r="L133" i="1"/>
  <c r="N133" i="1" s="1"/>
  <c r="I132" i="1"/>
  <c r="M132" i="1"/>
  <c r="H132" i="1"/>
  <c r="K132" i="1"/>
  <c r="G132" i="1"/>
  <c r="J132" i="1"/>
  <c r="L132" i="1"/>
  <c r="N132" i="1" s="1"/>
  <c r="C134" i="1"/>
  <c r="A135" i="1"/>
  <c r="F135" i="1" s="1"/>
  <c r="D134" i="1"/>
  <c r="B134" i="1"/>
  <c r="E134" i="1" s="1"/>
  <c r="K134" i="1" l="1"/>
  <c r="M134" i="1"/>
  <c r="J134" i="1"/>
  <c r="G134" i="1"/>
  <c r="I134" i="1"/>
  <c r="H134" i="1"/>
  <c r="L134" i="1"/>
  <c r="N134" i="1" s="1"/>
  <c r="A136" i="1"/>
  <c r="F136" i="1" s="1"/>
  <c r="D135" i="1"/>
  <c r="C135" i="1"/>
  <c r="B135" i="1"/>
  <c r="E135" i="1" s="1"/>
  <c r="I135" i="1" l="1"/>
  <c r="K135" i="1"/>
  <c r="M135" i="1"/>
  <c r="G135" i="1"/>
  <c r="H135" i="1"/>
  <c r="J135" i="1"/>
  <c r="L135" i="1"/>
  <c r="N135" i="1" s="1"/>
  <c r="A137" i="1"/>
  <c r="F137" i="1" s="1"/>
  <c r="B136" i="1"/>
  <c r="C136" i="1"/>
  <c r="D136" i="1"/>
  <c r="E136" i="1" l="1"/>
  <c r="A138" i="1"/>
  <c r="F138" i="1" s="1"/>
  <c r="C137" i="1"/>
  <c r="D137" i="1"/>
  <c r="B137" i="1"/>
  <c r="E137" i="1" s="1"/>
  <c r="M137" i="1" l="1"/>
  <c r="I137" i="1"/>
  <c r="K137" i="1"/>
  <c r="G137" i="1"/>
  <c r="H137" i="1"/>
  <c r="L137" i="1"/>
  <c r="N137" i="1" s="1"/>
  <c r="J137" i="1"/>
  <c r="M136" i="1"/>
  <c r="I136" i="1"/>
  <c r="K136" i="1"/>
  <c r="H136" i="1"/>
  <c r="G136" i="1"/>
  <c r="J136" i="1"/>
  <c r="L136" i="1"/>
  <c r="N136" i="1" s="1"/>
  <c r="A139" i="1"/>
  <c r="F139" i="1" s="1"/>
  <c r="C138" i="1"/>
  <c r="D138" i="1"/>
  <c r="B138" i="1"/>
  <c r="E138" i="1" s="1"/>
  <c r="M138" i="1" l="1"/>
  <c r="I138" i="1"/>
  <c r="K138" i="1"/>
  <c r="H138" i="1"/>
  <c r="G138" i="1"/>
  <c r="J138" i="1"/>
  <c r="L138" i="1"/>
  <c r="N138" i="1" s="1"/>
  <c r="A140" i="1"/>
  <c r="F140" i="1" s="1"/>
  <c r="D139" i="1"/>
  <c r="C139" i="1"/>
  <c r="B139" i="1"/>
  <c r="E139" i="1" l="1"/>
  <c r="A141" i="1"/>
  <c r="F141" i="1" s="1"/>
  <c r="C140" i="1"/>
  <c r="B140" i="1"/>
  <c r="E140" i="1" s="1"/>
  <c r="D140" i="1"/>
  <c r="M140" i="1" l="1"/>
  <c r="I140" i="1"/>
  <c r="K140" i="1"/>
  <c r="H140" i="1"/>
  <c r="G140" i="1"/>
  <c r="L140" i="1"/>
  <c r="N140" i="1" s="1"/>
  <c r="J140" i="1"/>
  <c r="M139" i="1"/>
  <c r="K139" i="1"/>
  <c r="I139" i="1"/>
  <c r="G139" i="1"/>
  <c r="H139" i="1"/>
  <c r="L139" i="1"/>
  <c r="N139" i="1" s="1"/>
  <c r="J139" i="1"/>
  <c r="A142" i="1"/>
  <c r="F142" i="1" s="1"/>
  <c r="C141" i="1"/>
  <c r="D141" i="1"/>
  <c r="B141" i="1"/>
  <c r="E141" i="1" s="1"/>
  <c r="M141" i="1" l="1"/>
  <c r="K141" i="1"/>
  <c r="I141" i="1"/>
  <c r="H141" i="1"/>
  <c r="G141" i="1"/>
  <c r="L141" i="1"/>
  <c r="N141" i="1" s="1"/>
  <c r="J141" i="1"/>
  <c r="A143" i="1"/>
  <c r="F143" i="1" s="1"/>
  <c r="C142" i="1"/>
  <c r="D142" i="1"/>
  <c r="B142" i="1"/>
  <c r="E142" i="1" s="1"/>
  <c r="I142" i="1" l="1"/>
  <c r="M142" i="1"/>
  <c r="K142" i="1"/>
  <c r="H142" i="1"/>
  <c r="G142" i="1"/>
  <c r="L142" i="1"/>
  <c r="N142" i="1" s="1"/>
  <c r="J142" i="1"/>
  <c r="A144" i="1"/>
  <c r="F144" i="1" s="1"/>
  <c r="C143" i="1"/>
  <c r="D143" i="1"/>
  <c r="B143" i="1"/>
  <c r="E143" i="1" s="1"/>
  <c r="M143" i="1" l="1"/>
  <c r="I143" i="1"/>
  <c r="K143" i="1"/>
  <c r="H143" i="1"/>
  <c r="G143" i="1"/>
  <c r="J143" i="1"/>
  <c r="L143" i="1"/>
  <c r="N143" i="1" s="1"/>
  <c r="A145" i="1"/>
  <c r="F145" i="1" s="1"/>
  <c r="C144" i="1"/>
  <c r="D144" i="1"/>
  <c r="B144" i="1"/>
  <c r="E144" i="1" s="1"/>
  <c r="I144" i="1" l="1"/>
  <c r="M144" i="1"/>
  <c r="G144" i="1"/>
  <c r="H144" i="1"/>
  <c r="K144" i="1"/>
  <c r="L144" i="1"/>
  <c r="N144" i="1" s="1"/>
  <c r="J144" i="1"/>
  <c r="D145" i="1"/>
  <c r="A146" i="1"/>
  <c r="F146" i="1" s="1"/>
  <c r="C145" i="1"/>
  <c r="B145" i="1"/>
  <c r="E145" i="1" l="1"/>
  <c r="C146" i="1"/>
  <c r="A147" i="1"/>
  <c r="F147" i="1" s="1"/>
  <c r="D146" i="1"/>
  <c r="B146" i="1"/>
  <c r="E146" i="1" s="1"/>
  <c r="K146" i="1" l="1"/>
  <c r="I146" i="1"/>
  <c r="H146" i="1"/>
  <c r="G146" i="1"/>
  <c r="L146" i="1"/>
  <c r="N146" i="1" s="1"/>
  <c r="J146" i="1"/>
  <c r="M146" i="1"/>
  <c r="M145" i="1"/>
  <c r="K145" i="1"/>
  <c r="I145" i="1"/>
  <c r="H145" i="1"/>
  <c r="G145" i="1"/>
  <c r="L145" i="1"/>
  <c r="N145" i="1" s="1"/>
  <c r="J145" i="1"/>
  <c r="D147" i="1"/>
  <c r="A148" i="1"/>
  <c r="F148" i="1" s="1"/>
  <c r="C147" i="1"/>
  <c r="B147" i="1"/>
  <c r="E147" i="1" s="1"/>
  <c r="M147" i="1" l="1"/>
  <c r="I147" i="1"/>
  <c r="K147" i="1"/>
  <c r="H147" i="1"/>
  <c r="G147" i="1"/>
  <c r="L147" i="1"/>
  <c r="N147" i="1" s="1"/>
  <c r="J147" i="1"/>
  <c r="A149" i="1"/>
  <c r="F149" i="1" s="1"/>
  <c r="C148" i="1"/>
  <c r="B148" i="1"/>
  <c r="E148" i="1" s="1"/>
  <c r="D148" i="1"/>
  <c r="M148" i="1" l="1"/>
  <c r="K148" i="1"/>
  <c r="I148" i="1"/>
  <c r="J148" i="1"/>
  <c r="H148" i="1"/>
  <c r="G148" i="1"/>
  <c r="L148" i="1"/>
  <c r="N148" i="1" s="1"/>
  <c r="A150" i="1"/>
  <c r="F150" i="1" s="1"/>
  <c r="C149" i="1"/>
  <c r="D149" i="1"/>
  <c r="B149" i="1"/>
  <c r="E149" i="1" s="1"/>
  <c r="M149" i="1" l="1"/>
  <c r="K149" i="1"/>
  <c r="I149" i="1"/>
  <c r="G149" i="1"/>
  <c r="J149" i="1"/>
  <c r="H149" i="1"/>
  <c r="L149" i="1"/>
  <c r="N149" i="1" s="1"/>
  <c r="A151" i="1"/>
  <c r="F151" i="1" s="1"/>
  <c r="C150" i="1"/>
  <c r="D150" i="1"/>
  <c r="B150" i="1"/>
  <c r="E150" i="1" s="1"/>
  <c r="M150" i="1" l="1"/>
  <c r="I150" i="1"/>
  <c r="K150" i="1"/>
  <c r="H150" i="1"/>
  <c r="G150" i="1"/>
  <c r="J150" i="1"/>
  <c r="L150" i="1"/>
  <c r="N150" i="1" s="1"/>
  <c r="A152" i="1"/>
  <c r="F152" i="1" s="1"/>
  <c r="D151" i="1"/>
  <c r="C151" i="1"/>
  <c r="B151" i="1"/>
  <c r="E151" i="1" l="1"/>
  <c r="C152" i="1"/>
  <c r="A153" i="1"/>
  <c r="F153" i="1" s="1"/>
  <c r="D152" i="1"/>
  <c r="B152" i="1"/>
  <c r="E152" i="1" s="1"/>
  <c r="M152" i="1" l="1"/>
  <c r="I152" i="1"/>
  <c r="K152" i="1"/>
  <c r="G152" i="1"/>
  <c r="H152" i="1"/>
  <c r="L152" i="1"/>
  <c r="N152" i="1" s="1"/>
  <c r="J152" i="1"/>
  <c r="I151" i="1"/>
  <c r="M151" i="1"/>
  <c r="K151" i="1"/>
  <c r="J151" i="1"/>
  <c r="G151" i="1"/>
  <c r="H151" i="1"/>
  <c r="L151" i="1"/>
  <c r="N151" i="1" s="1"/>
  <c r="A154" i="1"/>
  <c r="F154" i="1" s="1"/>
  <c r="B153" i="1"/>
  <c r="D153" i="1"/>
  <c r="C153" i="1"/>
  <c r="E153" i="1" l="1"/>
  <c r="A155" i="1"/>
  <c r="F155" i="1" s="1"/>
  <c r="C154" i="1"/>
  <c r="D154" i="1"/>
  <c r="B154" i="1"/>
  <c r="E154" i="1" s="1"/>
  <c r="M154" i="1" l="1"/>
  <c r="I154" i="1"/>
  <c r="K154" i="1"/>
  <c r="H154" i="1"/>
  <c r="G154" i="1"/>
  <c r="L154" i="1"/>
  <c r="N154" i="1" s="1"/>
  <c r="J154" i="1"/>
  <c r="K153" i="1"/>
  <c r="I153" i="1"/>
  <c r="M153" i="1"/>
  <c r="G153" i="1"/>
  <c r="H153" i="1"/>
  <c r="L153" i="1"/>
  <c r="N153" i="1" s="1"/>
  <c r="J153" i="1"/>
  <c r="A156" i="1"/>
  <c r="F156" i="1" s="1"/>
  <c r="D155" i="1"/>
  <c r="B155" i="1"/>
  <c r="C155" i="1"/>
  <c r="E155" i="1" l="1"/>
  <c r="D156" i="1"/>
  <c r="B156" i="1"/>
  <c r="A157" i="1"/>
  <c r="F157" i="1" s="1"/>
  <c r="C156" i="1"/>
  <c r="M155" i="1" l="1"/>
  <c r="K155" i="1"/>
  <c r="I155" i="1"/>
  <c r="H155" i="1"/>
  <c r="G155" i="1"/>
  <c r="J155" i="1"/>
  <c r="L155" i="1"/>
  <c r="N155" i="1" s="1"/>
  <c r="D157" i="1"/>
  <c r="C157" i="1"/>
  <c r="A158" i="1"/>
  <c r="F158" i="1" s="1"/>
  <c r="B157" i="1"/>
  <c r="E156" i="1"/>
  <c r="M156" i="1" l="1"/>
  <c r="I156" i="1"/>
  <c r="K156" i="1"/>
  <c r="J156" i="1"/>
  <c r="H156" i="1"/>
  <c r="G156" i="1"/>
  <c r="L156" i="1"/>
  <c r="N156" i="1" s="1"/>
  <c r="E157" i="1"/>
  <c r="A159" i="1"/>
  <c r="F159" i="1" s="1"/>
  <c r="C158" i="1"/>
  <c r="D158" i="1"/>
  <c r="B158" i="1"/>
  <c r="M157" i="1" l="1"/>
  <c r="I157" i="1"/>
  <c r="K157" i="1"/>
  <c r="H157" i="1"/>
  <c r="J157" i="1"/>
  <c r="L157" i="1"/>
  <c r="N157" i="1" s="1"/>
  <c r="G157" i="1"/>
  <c r="E158" i="1"/>
  <c r="C159" i="1"/>
  <c r="B159" i="1"/>
  <c r="A160" i="1"/>
  <c r="F160" i="1" s="1"/>
  <c r="D159" i="1"/>
  <c r="M158" i="1" l="1"/>
  <c r="K158" i="1"/>
  <c r="H158" i="1"/>
  <c r="I158" i="1"/>
  <c r="G158" i="1"/>
  <c r="L158" i="1"/>
  <c r="N158" i="1" s="1"/>
  <c r="J158" i="1"/>
  <c r="E159" i="1"/>
  <c r="B160" i="1"/>
  <c r="A161" i="1"/>
  <c r="F161" i="1" s="1"/>
  <c r="C160" i="1"/>
  <c r="D160" i="1"/>
  <c r="M159" i="1" l="1"/>
  <c r="I159" i="1"/>
  <c r="K159" i="1"/>
  <c r="H159" i="1"/>
  <c r="G159" i="1"/>
  <c r="L159" i="1"/>
  <c r="N159" i="1" s="1"/>
  <c r="J159" i="1"/>
  <c r="C161" i="1"/>
  <c r="A162" i="1"/>
  <c r="F162" i="1" s="1"/>
  <c r="B161" i="1"/>
  <c r="E161" i="1" s="1"/>
  <c r="D161" i="1"/>
  <c r="E160" i="1"/>
  <c r="M161" i="1" l="1"/>
  <c r="K161" i="1"/>
  <c r="I161" i="1"/>
  <c r="H161" i="1"/>
  <c r="G161" i="1"/>
  <c r="J161" i="1"/>
  <c r="L161" i="1"/>
  <c r="N161" i="1" s="1"/>
  <c r="I160" i="1"/>
  <c r="M160" i="1"/>
  <c r="K160" i="1"/>
  <c r="J160" i="1"/>
  <c r="H160" i="1"/>
  <c r="G160" i="1"/>
  <c r="L160" i="1"/>
  <c r="N160" i="1" s="1"/>
  <c r="C162" i="1"/>
  <c r="A163" i="1"/>
  <c r="F163" i="1" s="1"/>
  <c r="D162" i="1"/>
  <c r="B162" i="1"/>
  <c r="E162" i="1" s="1"/>
  <c r="M162" i="1" l="1"/>
  <c r="I162" i="1"/>
  <c r="K162" i="1"/>
  <c r="G162" i="1"/>
  <c r="H162" i="1"/>
  <c r="J162" i="1"/>
  <c r="L162" i="1"/>
  <c r="N162" i="1" s="1"/>
  <c r="A164" i="1"/>
  <c r="F164" i="1" s="1"/>
  <c r="D163" i="1"/>
  <c r="C163" i="1"/>
  <c r="B163" i="1"/>
  <c r="E163" i="1" l="1"/>
  <c r="A165" i="1"/>
  <c r="F165" i="1" s="1"/>
  <c r="C164" i="1"/>
  <c r="B164" i="1"/>
  <c r="D164" i="1"/>
  <c r="M163" i="1" l="1"/>
  <c r="I163" i="1"/>
  <c r="K163" i="1"/>
  <c r="J163" i="1"/>
  <c r="G163" i="1"/>
  <c r="H163" i="1"/>
  <c r="L163" i="1"/>
  <c r="N163" i="1" s="1"/>
  <c r="E164" i="1"/>
  <c r="C165" i="1"/>
  <c r="A166" i="1"/>
  <c r="F166" i="1" s="1"/>
  <c r="D165" i="1"/>
  <c r="B165" i="1"/>
  <c r="M164" i="1" l="1"/>
  <c r="K164" i="1"/>
  <c r="I164" i="1"/>
  <c r="G164" i="1"/>
  <c r="H164" i="1"/>
  <c r="L164" i="1"/>
  <c r="N164" i="1" s="1"/>
  <c r="J164" i="1"/>
  <c r="E165" i="1"/>
  <c r="C166" i="1"/>
  <c r="B166" i="1"/>
  <c r="E166" i="1" s="1"/>
  <c r="A167" i="1"/>
  <c r="F167" i="1" s="1"/>
  <c r="D166" i="1"/>
  <c r="M166" i="1" l="1"/>
  <c r="I166" i="1"/>
  <c r="K166" i="1"/>
  <c r="H166" i="1"/>
  <c r="G166" i="1"/>
  <c r="J166" i="1"/>
  <c r="L166" i="1"/>
  <c r="N166" i="1" s="1"/>
  <c r="M165" i="1"/>
  <c r="I165" i="1"/>
  <c r="K165" i="1"/>
  <c r="H165" i="1"/>
  <c r="L165" i="1"/>
  <c r="N165" i="1" s="1"/>
  <c r="G165" i="1"/>
  <c r="J165" i="1"/>
  <c r="A168" i="1"/>
  <c r="F168" i="1" s="1"/>
  <c r="C167" i="1"/>
  <c r="B167" i="1"/>
  <c r="E167" i="1" s="1"/>
  <c r="D167" i="1"/>
  <c r="M167" i="1" l="1"/>
  <c r="K167" i="1"/>
  <c r="I167" i="1"/>
  <c r="J167" i="1"/>
  <c r="H167" i="1"/>
  <c r="G167" i="1"/>
  <c r="L167" i="1"/>
  <c r="N167" i="1" s="1"/>
  <c r="A169" i="1"/>
  <c r="F169" i="1" s="1"/>
  <c r="C168" i="1"/>
  <c r="D168" i="1"/>
  <c r="B168" i="1"/>
  <c r="E168" i="1" l="1"/>
  <c r="D169" i="1"/>
  <c r="A170" i="1"/>
  <c r="F170" i="1" s="1"/>
  <c r="C169" i="1"/>
  <c r="B169" i="1"/>
  <c r="E169" i="1" s="1"/>
  <c r="M168" i="1" l="1"/>
  <c r="I168" i="1"/>
  <c r="K168" i="1"/>
  <c r="H168" i="1"/>
  <c r="G168" i="1"/>
  <c r="J168" i="1"/>
  <c r="L168" i="1"/>
  <c r="N168" i="1" s="1"/>
  <c r="M169" i="1"/>
  <c r="I169" i="1"/>
  <c r="K169" i="1"/>
  <c r="G169" i="1"/>
  <c r="H169" i="1"/>
  <c r="J169" i="1"/>
  <c r="L169" i="1"/>
  <c r="N169" i="1" s="1"/>
  <c r="C170" i="1"/>
  <c r="A171" i="1"/>
  <c r="F171" i="1" s="1"/>
  <c r="D170" i="1"/>
  <c r="B170" i="1"/>
  <c r="E170" i="1" s="1"/>
  <c r="M170" i="1" l="1"/>
  <c r="I170" i="1"/>
  <c r="K170" i="1"/>
  <c r="J170" i="1"/>
  <c r="G170" i="1"/>
  <c r="H170" i="1"/>
  <c r="L170" i="1"/>
  <c r="N170" i="1" s="1"/>
  <c r="A172" i="1"/>
  <c r="F172" i="1" s="1"/>
  <c r="C171" i="1"/>
  <c r="D171" i="1"/>
  <c r="B171" i="1"/>
  <c r="E171" i="1" l="1"/>
  <c r="A173" i="1"/>
  <c r="F173" i="1" s="1"/>
  <c r="B172" i="1"/>
  <c r="C172" i="1"/>
  <c r="D172" i="1"/>
  <c r="M171" i="1" l="1"/>
  <c r="H171" i="1"/>
  <c r="I171" i="1"/>
  <c r="K171" i="1"/>
  <c r="G171" i="1"/>
  <c r="L171" i="1"/>
  <c r="N171" i="1" s="1"/>
  <c r="J171" i="1"/>
  <c r="E172" i="1"/>
  <c r="A174" i="1"/>
  <c r="F174" i="1" s="1"/>
  <c r="C173" i="1"/>
  <c r="D173" i="1"/>
  <c r="B173" i="1"/>
  <c r="M172" i="1" l="1"/>
  <c r="H172" i="1"/>
  <c r="K172" i="1"/>
  <c r="I172" i="1"/>
  <c r="G172" i="1"/>
  <c r="L172" i="1"/>
  <c r="N172" i="1" s="1"/>
  <c r="J172" i="1"/>
  <c r="E173" i="1"/>
  <c r="A175" i="1"/>
  <c r="F175" i="1" s="1"/>
  <c r="C174" i="1"/>
  <c r="D174" i="1"/>
  <c r="B174" i="1"/>
  <c r="M173" i="1" l="1"/>
  <c r="H173" i="1"/>
  <c r="K173" i="1"/>
  <c r="I173" i="1"/>
  <c r="G173" i="1"/>
  <c r="J173" i="1"/>
  <c r="L173" i="1"/>
  <c r="N173" i="1" s="1"/>
  <c r="E174" i="1"/>
  <c r="A176" i="1"/>
  <c r="F176" i="1" s="1"/>
  <c r="D175" i="1"/>
  <c r="C175" i="1"/>
  <c r="B175" i="1"/>
  <c r="M174" i="1" l="1"/>
  <c r="I174" i="1"/>
  <c r="K174" i="1"/>
  <c r="H174" i="1"/>
  <c r="G174" i="1"/>
  <c r="J174" i="1"/>
  <c r="L174" i="1"/>
  <c r="N174" i="1" s="1"/>
  <c r="E175" i="1"/>
  <c r="A177" i="1"/>
  <c r="F177" i="1" s="1"/>
  <c r="C176" i="1"/>
  <c r="B176" i="1"/>
  <c r="D176" i="1"/>
  <c r="M175" i="1" l="1"/>
  <c r="I175" i="1"/>
  <c r="K175" i="1"/>
  <c r="G175" i="1"/>
  <c r="H175" i="1"/>
  <c r="J175" i="1"/>
  <c r="L175" i="1"/>
  <c r="N175" i="1" s="1"/>
  <c r="E176" i="1"/>
  <c r="A178" i="1"/>
  <c r="F178" i="1" s="1"/>
  <c r="C177" i="1"/>
  <c r="D177" i="1"/>
  <c r="B177" i="1"/>
  <c r="E177" i="1" s="1"/>
  <c r="M177" i="1" l="1"/>
  <c r="K177" i="1"/>
  <c r="I177" i="1"/>
  <c r="G177" i="1"/>
  <c r="H177" i="1"/>
  <c r="L177" i="1"/>
  <c r="N177" i="1" s="1"/>
  <c r="J177" i="1"/>
  <c r="K176" i="1"/>
  <c r="M176" i="1"/>
  <c r="G176" i="1"/>
  <c r="H176" i="1"/>
  <c r="L176" i="1"/>
  <c r="J176" i="1"/>
  <c r="I176" i="1"/>
  <c r="A179" i="1"/>
  <c r="F179" i="1" s="1"/>
  <c r="C178" i="1"/>
  <c r="D178" i="1"/>
  <c r="B178" i="1"/>
  <c r="E178" i="1" s="1"/>
  <c r="M178" i="1" l="1"/>
  <c r="I178" i="1"/>
  <c r="K178" i="1"/>
  <c r="H178" i="1"/>
  <c r="G178" i="1"/>
  <c r="J178" i="1"/>
  <c r="L178" i="1"/>
  <c r="N178" i="1" s="1"/>
  <c r="N176" i="1"/>
  <c r="A180" i="1"/>
  <c r="F180" i="1" s="1"/>
  <c r="C179" i="1"/>
  <c r="D179" i="1"/>
  <c r="B179" i="1"/>
  <c r="E179" i="1" s="1"/>
  <c r="I179" i="1" l="1"/>
  <c r="M179" i="1"/>
  <c r="K179" i="1"/>
  <c r="H179" i="1"/>
  <c r="G179" i="1"/>
  <c r="J179" i="1"/>
  <c r="L179" i="1"/>
  <c r="N179" i="1" s="1"/>
  <c r="D180" i="1"/>
  <c r="A181" i="1"/>
  <c r="F181" i="1" s="1"/>
  <c r="C180" i="1"/>
  <c r="B180" i="1"/>
  <c r="E180" i="1" l="1"/>
  <c r="C181" i="1"/>
  <c r="D181" i="1"/>
  <c r="A182" i="1"/>
  <c r="F182" i="1" s="1"/>
  <c r="B181" i="1"/>
  <c r="E181" i="1" s="1"/>
  <c r="M181" i="1" l="1"/>
  <c r="I181" i="1"/>
  <c r="K181" i="1"/>
  <c r="G181" i="1"/>
  <c r="H181" i="1"/>
  <c r="J181" i="1"/>
  <c r="L181" i="1"/>
  <c r="N181" i="1" s="1"/>
  <c r="M180" i="1"/>
  <c r="I180" i="1"/>
  <c r="K180" i="1"/>
  <c r="H180" i="1"/>
  <c r="G180" i="1"/>
  <c r="J180" i="1"/>
  <c r="L180" i="1"/>
  <c r="N180" i="1" s="1"/>
  <c r="B182" i="1"/>
  <c r="C182" i="1"/>
  <c r="A183" i="1"/>
  <c r="F183" i="1" s="1"/>
  <c r="D182" i="1"/>
  <c r="A184" i="1" l="1"/>
  <c r="F184" i="1" s="1"/>
  <c r="C183" i="1"/>
  <c r="B183" i="1"/>
  <c r="E183" i="1" s="1"/>
  <c r="D183" i="1"/>
  <c r="E182" i="1"/>
  <c r="M182" i="1" l="1"/>
  <c r="I182" i="1"/>
  <c r="K182" i="1"/>
  <c r="J182" i="1"/>
  <c r="G182" i="1"/>
  <c r="H182" i="1"/>
  <c r="L182" i="1"/>
  <c r="N182" i="1" s="1"/>
  <c r="H183" i="1"/>
  <c r="M183" i="1"/>
  <c r="I183" i="1"/>
  <c r="K183" i="1"/>
  <c r="G183" i="1"/>
  <c r="L183" i="1"/>
  <c r="N183" i="1" s="1"/>
  <c r="J183" i="1"/>
  <c r="A185" i="1"/>
  <c r="F185" i="1" s="1"/>
  <c r="C184" i="1"/>
  <c r="B184" i="1"/>
  <c r="D184" i="1"/>
  <c r="E184" i="1" l="1"/>
  <c r="A186" i="1"/>
  <c r="F186" i="1" s="1"/>
  <c r="C185" i="1"/>
  <c r="D185" i="1"/>
  <c r="B185" i="1"/>
  <c r="E185" i="1" s="1"/>
  <c r="H185" i="1" l="1"/>
  <c r="M185" i="1"/>
  <c r="K185" i="1"/>
  <c r="I185" i="1"/>
  <c r="G185" i="1"/>
  <c r="J185" i="1"/>
  <c r="L185" i="1"/>
  <c r="N185" i="1" s="1"/>
  <c r="H184" i="1"/>
  <c r="M184" i="1"/>
  <c r="K184" i="1"/>
  <c r="I184" i="1"/>
  <c r="G184" i="1"/>
  <c r="L184" i="1"/>
  <c r="N184" i="1" s="1"/>
  <c r="J184" i="1"/>
  <c r="A187" i="1"/>
  <c r="F187" i="1" s="1"/>
  <c r="C186" i="1"/>
  <c r="B186" i="1"/>
  <c r="D186" i="1"/>
  <c r="E186" i="1" l="1"/>
  <c r="A188" i="1"/>
  <c r="F188" i="1" s="1"/>
  <c r="D187" i="1"/>
  <c r="C187" i="1"/>
  <c r="B187" i="1"/>
  <c r="E187" i="1" l="1"/>
  <c r="M186" i="1"/>
  <c r="H186" i="1"/>
  <c r="I186" i="1"/>
  <c r="K186" i="1"/>
  <c r="G186" i="1"/>
  <c r="J186" i="1"/>
  <c r="L186" i="1"/>
  <c r="N186" i="1" s="1"/>
  <c r="D188" i="1"/>
  <c r="A189" i="1"/>
  <c r="F189" i="1" s="1"/>
  <c r="C188" i="1"/>
  <c r="B188" i="1"/>
  <c r="E188" i="1" l="1"/>
  <c r="M187" i="1"/>
  <c r="H187" i="1"/>
  <c r="I187" i="1"/>
  <c r="K187" i="1"/>
  <c r="G187" i="1"/>
  <c r="J187" i="1"/>
  <c r="L187" i="1"/>
  <c r="N187" i="1" s="1"/>
  <c r="A190" i="1"/>
  <c r="F190" i="1" s="1"/>
  <c r="C189" i="1"/>
  <c r="B189" i="1"/>
  <c r="E189" i="1" s="1"/>
  <c r="D189" i="1"/>
  <c r="M189" i="1" l="1"/>
  <c r="K189" i="1"/>
  <c r="H189" i="1"/>
  <c r="I189" i="1"/>
  <c r="J189" i="1"/>
  <c r="G189" i="1"/>
  <c r="L189" i="1"/>
  <c r="N189" i="1" s="1"/>
  <c r="M188" i="1"/>
  <c r="H188" i="1"/>
  <c r="I188" i="1"/>
  <c r="K188" i="1"/>
  <c r="G188" i="1"/>
  <c r="L188" i="1"/>
  <c r="N188" i="1" s="1"/>
  <c r="J188" i="1"/>
  <c r="D190" i="1"/>
  <c r="A191" i="1"/>
  <c r="F191" i="1" s="1"/>
  <c r="B190" i="1"/>
  <c r="C190" i="1"/>
  <c r="E190" i="1" l="1"/>
  <c r="D191" i="1"/>
  <c r="A192" i="1"/>
  <c r="F192" i="1" s="1"/>
  <c r="C191" i="1"/>
  <c r="B191" i="1"/>
  <c r="E191" i="1" s="1"/>
  <c r="M190" i="1" l="1"/>
  <c r="I190" i="1"/>
  <c r="H190" i="1"/>
  <c r="K190" i="1"/>
  <c r="G190" i="1"/>
  <c r="J190" i="1"/>
  <c r="L190" i="1"/>
  <c r="N190" i="1" s="1"/>
  <c r="M191" i="1"/>
  <c r="H191" i="1"/>
  <c r="K191" i="1"/>
  <c r="I191" i="1"/>
  <c r="G191" i="1"/>
  <c r="J191" i="1"/>
  <c r="L191" i="1"/>
  <c r="N191" i="1" s="1"/>
  <c r="C192" i="1"/>
  <c r="D192" i="1"/>
  <c r="A193" i="1"/>
  <c r="F193" i="1" s="1"/>
  <c r="B192" i="1"/>
  <c r="E192" i="1" s="1"/>
  <c r="M192" i="1" l="1"/>
  <c r="I192" i="1"/>
  <c r="K192" i="1"/>
  <c r="H192" i="1"/>
  <c r="G192" i="1"/>
  <c r="J192" i="1"/>
  <c r="L192" i="1"/>
  <c r="N192" i="1" s="1"/>
  <c r="D193" i="1"/>
  <c r="C193" i="1"/>
  <c r="A194" i="1"/>
  <c r="F194" i="1" s="1"/>
  <c r="B193" i="1"/>
  <c r="E193" i="1" s="1"/>
  <c r="M193" i="1" l="1"/>
  <c r="H193" i="1"/>
  <c r="I193" i="1"/>
  <c r="G193" i="1"/>
  <c r="K193" i="1"/>
  <c r="J193" i="1"/>
  <c r="L193" i="1"/>
  <c r="N193" i="1" s="1"/>
  <c r="A195" i="1"/>
  <c r="F195" i="1" s="1"/>
  <c r="C194" i="1"/>
  <c r="D194" i="1"/>
  <c r="B194" i="1"/>
  <c r="E194" i="1" s="1"/>
  <c r="M194" i="1" l="1"/>
  <c r="H194" i="1"/>
  <c r="I194" i="1"/>
  <c r="K194" i="1"/>
  <c r="G194" i="1"/>
  <c r="J194" i="1"/>
  <c r="L194" i="1"/>
  <c r="N194" i="1" s="1"/>
  <c r="D195" i="1"/>
  <c r="A196" i="1"/>
  <c r="F196" i="1" s="1"/>
  <c r="C195" i="1"/>
  <c r="B195" i="1"/>
  <c r="E195" i="1" l="1"/>
  <c r="A197" i="1"/>
  <c r="F197" i="1" s="1"/>
  <c r="B196" i="1"/>
  <c r="C196" i="1"/>
  <c r="D196" i="1"/>
  <c r="H195" i="1" l="1"/>
  <c r="M195" i="1"/>
  <c r="I195" i="1"/>
  <c r="K195" i="1"/>
  <c r="G195" i="1"/>
  <c r="L195" i="1"/>
  <c r="N195" i="1" s="1"/>
  <c r="J195" i="1"/>
  <c r="E196" i="1"/>
  <c r="C197" i="1"/>
  <c r="A198" i="1"/>
  <c r="F198" i="1" s="1"/>
  <c r="D197" i="1"/>
  <c r="B197" i="1"/>
  <c r="H196" i="1" l="1"/>
  <c r="M196" i="1"/>
  <c r="K196" i="1"/>
  <c r="I196" i="1"/>
  <c r="G196" i="1"/>
  <c r="L196" i="1"/>
  <c r="N196" i="1" s="1"/>
  <c r="J196" i="1"/>
  <c r="E197" i="1"/>
  <c r="A199" i="1"/>
  <c r="F199" i="1" s="1"/>
  <c r="C198" i="1"/>
  <c r="D198" i="1"/>
  <c r="B198" i="1"/>
  <c r="H197" i="1" l="1"/>
  <c r="M197" i="1"/>
  <c r="K197" i="1"/>
  <c r="I197" i="1"/>
  <c r="G197" i="1"/>
  <c r="J197" i="1"/>
  <c r="L197" i="1"/>
  <c r="N197" i="1" s="1"/>
  <c r="E198" i="1"/>
  <c r="A200" i="1"/>
  <c r="F200" i="1" s="1"/>
  <c r="D199" i="1"/>
  <c r="C199" i="1"/>
  <c r="B199" i="1"/>
  <c r="M198" i="1" l="1"/>
  <c r="H198" i="1"/>
  <c r="I198" i="1"/>
  <c r="K198" i="1"/>
  <c r="G198" i="1"/>
  <c r="J198" i="1"/>
  <c r="L198" i="1"/>
  <c r="N198" i="1" s="1"/>
  <c r="E199" i="1"/>
  <c r="A201" i="1"/>
  <c r="F201" i="1" s="1"/>
  <c r="C200" i="1"/>
  <c r="D200" i="1"/>
  <c r="B200" i="1"/>
  <c r="H199" i="1" l="1"/>
  <c r="I199" i="1"/>
  <c r="M199" i="1"/>
  <c r="K199" i="1"/>
  <c r="G199" i="1"/>
  <c r="J199" i="1"/>
  <c r="L199" i="1"/>
  <c r="N199" i="1" s="1"/>
  <c r="E200" i="1"/>
  <c r="A202" i="1"/>
  <c r="F202" i="1" s="1"/>
  <c r="C201" i="1"/>
  <c r="D201" i="1"/>
  <c r="B201" i="1"/>
  <c r="M200" i="1" l="1"/>
  <c r="I200" i="1"/>
  <c r="K200" i="1"/>
  <c r="H200" i="1"/>
  <c r="L200" i="1"/>
  <c r="N200" i="1" s="1"/>
  <c r="J200" i="1"/>
  <c r="G200" i="1"/>
  <c r="E201" i="1"/>
  <c r="A203" i="1"/>
  <c r="F203" i="1" s="1"/>
  <c r="C202" i="1"/>
  <c r="D202" i="1"/>
  <c r="B202" i="1"/>
  <c r="M201" i="1" l="1"/>
  <c r="H201" i="1"/>
  <c r="K201" i="1"/>
  <c r="J201" i="1"/>
  <c r="G201" i="1"/>
  <c r="I201" i="1"/>
  <c r="L201" i="1"/>
  <c r="N201" i="1" s="1"/>
  <c r="E202" i="1"/>
  <c r="A204" i="1"/>
  <c r="F204" i="1" s="1"/>
  <c r="C203" i="1"/>
  <c r="D203" i="1"/>
  <c r="B203" i="1"/>
  <c r="M202" i="1" l="1"/>
  <c r="H202" i="1"/>
  <c r="I202" i="1"/>
  <c r="K202" i="1"/>
  <c r="G202" i="1"/>
  <c r="J202" i="1"/>
  <c r="L202" i="1"/>
  <c r="N202" i="1" s="1"/>
  <c r="E203" i="1"/>
  <c r="D204" i="1"/>
  <c r="A205" i="1"/>
  <c r="F205" i="1" s="1"/>
  <c r="C204" i="1"/>
  <c r="B204" i="1"/>
  <c r="M203" i="1" l="1"/>
  <c r="H203" i="1"/>
  <c r="K203" i="1"/>
  <c r="I203" i="1"/>
  <c r="G203" i="1"/>
  <c r="J203" i="1"/>
  <c r="L203" i="1"/>
  <c r="N203" i="1" s="1"/>
  <c r="E204" i="1"/>
  <c r="D205" i="1"/>
  <c r="A206" i="1"/>
  <c r="F206" i="1" s="1"/>
  <c r="C205" i="1"/>
  <c r="B205" i="1"/>
  <c r="M204" i="1" l="1"/>
  <c r="H204" i="1"/>
  <c r="I204" i="1"/>
  <c r="K204" i="1"/>
  <c r="J204" i="1"/>
  <c r="L204" i="1"/>
  <c r="N204" i="1" s="1"/>
  <c r="G204" i="1"/>
  <c r="E205" i="1"/>
  <c r="C206" i="1"/>
  <c r="A207" i="1"/>
  <c r="F207" i="1" s="1"/>
  <c r="D206" i="1"/>
  <c r="B206" i="1"/>
  <c r="M205" i="1" l="1"/>
  <c r="I205" i="1"/>
  <c r="K205" i="1"/>
  <c r="H205" i="1"/>
  <c r="G205" i="1"/>
  <c r="J205" i="1"/>
  <c r="L205" i="1"/>
  <c r="N205" i="1" s="1"/>
  <c r="E206" i="1"/>
  <c r="A208" i="1"/>
  <c r="F208" i="1" s="1"/>
  <c r="C207" i="1"/>
  <c r="D207" i="1"/>
  <c r="B207" i="1"/>
  <c r="M206" i="1" l="1"/>
  <c r="I206" i="1"/>
  <c r="H206" i="1"/>
  <c r="K206" i="1"/>
  <c r="G206" i="1"/>
  <c r="J206" i="1"/>
  <c r="L206" i="1"/>
  <c r="N206" i="1" s="1"/>
  <c r="E207" i="1"/>
  <c r="A209" i="1"/>
  <c r="F209" i="1" s="1"/>
  <c r="B208" i="1"/>
  <c r="C208" i="1"/>
  <c r="D208" i="1"/>
  <c r="H207" i="1" l="1"/>
  <c r="M207" i="1"/>
  <c r="I207" i="1"/>
  <c r="K207" i="1"/>
  <c r="L207" i="1"/>
  <c r="N207" i="1" s="1"/>
  <c r="J207" i="1"/>
  <c r="G207" i="1"/>
  <c r="E208" i="1"/>
  <c r="A210" i="1"/>
  <c r="F210" i="1" s="1"/>
  <c r="C209" i="1"/>
  <c r="D209" i="1"/>
  <c r="B209" i="1"/>
  <c r="E209" i="1" s="1"/>
  <c r="H209" i="1" l="1"/>
  <c r="M209" i="1"/>
  <c r="K209" i="1"/>
  <c r="I209" i="1"/>
  <c r="G209" i="1"/>
  <c r="L209" i="1"/>
  <c r="N209" i="1" s="1"/>
  <c r="J209" i="1"/>
  <c r="H208" i="1"/>
  <c r="M208" i="1"/>
  <c r="K208" i="1"/>
  <c r="I208" i="1"/>
  <c r="G208" i="1"/>
  <c r="L208" i="1"/>
  <c r="N208" i="1" s="1"/>
  <c r="J208" i="1"/>
  <c r="A211" i="1"/>
  <c r="F211" i="1" s="1"/>
  <c r="B210" i="1"/>
  <c r="C210" i="1"/>
  <c r="D210" i="1"/>
  <c r="E210" i="1" l="1"/>
  <c r="A212" i="1"/>
  <c r="F212" i="1" s="1"/>
  <c r="D211" i="1"/>
  <c r="B211" i="1"/>
  <c r="C211" i="1"/>
  <c r="I210" i="1" l="1"/>
  <c r="M210" i="1"/>
  <c r="H210" i="1"/>
  <c r="K210" i="1"/>
  <c r="G210" i="1"/>
  <c r="J210" i="1"/>
  <c r="L210" i="1"/>
  <c r="N210" i="1" s="1"/>
  <c r="E211" i="1"/>
  <c r="A213" i="1"/>
  <c r="F213" i="1" s="1"/>
  <c r="C212" i="1"/>
  <c r="B212" i="1"/>
  <c r="E212" i="1" s="1"/>
  <c r="D212" i="1"/>
  <c r="H212" i="1" l="1"/>
  <c r="M212" i="1"/>
  <c r="I212" i="1"/>
  <c r="G212" i="1"/>
  <c r="K212" i="1"/>
  <c r="L212" i="1"/>
  <c r="N212" i="1" s="1"/>
  <c r="J212" i="1"/>
  <c r="H211" i="1"/>
  <c r="M211" i="1"/>
  <c r="I211" i="1"/>
  <c r="K211" i="1"/>
  <c r="J211" i="1"/>
  <c r="G211" i="1"/>
  <c r="L211" i="1"/>
  <c r="N211" i="1" s="1"/>
  <c r="A214" i="1"/>
  <c r="F214" i="1" s="1"/>
  <c r="C213" i="1"/>
  <c r="D213" i="1"/>
  <c r="B213" i="1"/>
  <c r="E213" i="1" s="1"/>
  <c r="M213" i="1" l="1"/>
  <c r="I213" i="1"/>
  <c r="K213" i="1"/>
  <c r="H213" i="1"/>
  <c r="G213" i="1"/>
  <c r="L213" i="1"/>
  <c r="N213" i="1" s="1"/>
  <c r="J213" i="1"/>
  <c r="A215" i="1"/>
  <c r="F215" i="1" s="1"/>
  <c r="C214" i="1"/>
  <c r="D214" i="1"/>
  <c r="B214" i="1"/>
  <c r="E214" i="1" s="1"/>
  <c r="M214" i="1" l="1"/>
  <c r="H214" i="1"/>
  <c r="I214" i="1"/>
  <c r="K214" i="1"/>
  <c r="G214" i="1"/>
  <c r="J214" i="1"/>
  <c r="L214" i="1"/>
  <c r="N214" i="1" s="1"/>
  <c r="A216" i="1"/>
  <c r="F216" i="1" s="1"/>
  <c r="D215" i="1"/>
  <c r="C215" i="1"/>
  <c r="B215" i="1"/>
  <c r="E215" i="1" l="1"/>
  <c r="A217" i="1"/>
  <c r="F217" i="1" s="1"/>
  <c r="C216" i="1"/>
  <c r="D216" i="1"/>
  <c r="B216" i="1"/>
  <c r="E216" i="1" s="1"/>
  <c r="H216" i="1" l="1"/>
  <c r="M216" i="1"/>
  <c r="I216" i="1"/>
  <c r="K216" i="1"/>
  <c r="G216" i="1"/>
  <c r="L216" i="1"/>
  <c r="N216" i="1" s="1"/>
  <c r="J216" i="1"/>
  <c r="M215" i="1"/>
  <c r="H215" i="1"/>
  <c r="K215" i="1"/>
  <c r="I215" i="1"/>
  <c r="G215" i="1"/>
  <c r="J215" i="1"/>
  <c r="L215" i="1"/>
  <c r="N215" i="1" s="1"/>
  <c r="A218" i="1"/>
  <c r="F218" i="1" s="1"/>
  <c r="B217" i="1"/>
  <c r="C217" i="1"/>
  <c r="D217" i="1"/>
  <c r="E217" i="1" l="1"/>
  <c r="B218" i="1"/>
  <c r="C218" i="1"/>
  <c r="A219" i="1"/>
  <c r="F219" i="1" s="1"/>
  <c r="D218" i="1"/>
  <c r="H217" i="1" l="1"/>
  <c r="M217" i="1"/>
  <c r="I217" i="1"/>
  <c r="K217" i="1"/>
  <c r="G217" i="1"/>
  <c r="L217" i="1"/>
  <c r="N217" i="1" s="1"/>
  <c r="J217" i="1"/>
  <c r="A220" i="1"/>
  <c r="F220" i="1" s="1"/>
  <c r="D219" i="1"/>
  <c r="C219" i="1"/>
  <c r="B219" i="1"/>
  <c r="E218" i="1"/>
  <c r="H218" i="1" l="1"/>
  <c r="M218" i="1"/>
  <c r="I218" i="1"/>
  <c r="K218" i="1"/>
  <c r="J218" i="1"/>
  <c r="G218" i="1"/>
  <c r="L218" i="1"/>
  <c r="N218" i="1" s="1"/>
  <c r="E219" i="1"/>
  <c r="A221" i="1"/>
  <c r="F221" i="1" s="1"/>
  <c r="B220" i="1"/>
  <c r="C220" i="1"/>
  <c r="D220" i="1"/>
  <c r="H219" i="1" l="1"/>
  <c r="M219" i="1"/>
  <c r="I219" i="1"/>
  <c r="K219" i="1"/>
  <c r="G219" i="1"/>
  <c r="L219" i="1"/>
  <c r="N219" i="1" s="1"/>
  <c r="J219" i="1"/>
  <c r="E220" i="1"/>
  <c r="A222" i="1"/>
  <c r="F222" i="1" s="1"/>
  <c r="C221" i="1"/>
  <c r="D221" i="1"/>
  <c r="B221" i="1"/>
  <c r="E221" i="1" s="1"/>
  <c r="H221" i="1" l="1"/>
  <c r="M221" i="1"/>
  <c r="I221" i="1"/>
  <c r="K221" i="1"/>
  <c r="G221" i="1"/>
  <c r="L221" i="1"/>
  <c r="N221" i="1" s="1"/>
  <c r="J221" i="1"/>
  <c r="H220" i="1"/>
  <c r="I220" i="1"/>
  <c r="M220" i="1"/>
  <c r="K220" i="1"/>
  <c r="G220" i="1"/>
  <c r="J220" i="1"/>
  <c r="L220" i="1"/>
  <c r="N220" i="1" s="1"/>
  <c r="C222" i="1"/>
  <c r="A223" i="1"/>
  <c r="F223" i="1" s="1"/>
  <c r="D222" i="1"/>
  <c r="B222" i="1"/>
  <c r="E222" i="1" s="1"/>
  <c r="M222" i="1" l="1"/>
  <c r="I222" i="1"/>
  <c r="H222" i="1"/>
  <c r="G222" i="1"/>
  <c r="K222" i="1"/>
  <c r="J222" i="1"/>
  <c r="L222" i="1"/>
  <c r="N222" i="1" s="1"/>
  <c r="A224" i="1"/>
  <c r="F224" i="1" s="1"/>
  <c r="C223" i="1"/>
  <c r="B223" i="1"/>
  <c r="E223" i="1" s="1"/>
  <c r="D223" i="1"/>
  <c r="H223" i="1" l="1"/>
  <c r="I223" i="1"/>
  <c r="M223" i="1"/>
  <c r="K223" i="1"/>
  <c r="G223" i="1"/>
  <c r="L223" i="1"/>
  <c r="N223" i="1" s="1"/>
  <c r="J223" i="1"/>
  <c r="A225" i="1"/>
  <c r="F225" i="1" s="1"/>
  <c r="C224" i="1"/>
  <c r="B224" i="1"/>
  <c r="D224" i="1"/>
  <c r="E224" i="1" l="1"/>
  <c r="D225" i="1"/>
  <c r="A226" i="1"/>
  <c r="F226" i="1" s="1"/>
  <c r="B225" i="1"/>
  <c r="C225" i="1"/>
  <c r="M224" i="1" l="1"/>
  <c r="H224" i="1"/>
  <c r="I224" i="1"/>
  <c r="K224" i="1"/>
  <c r="G224" i="1"/>
  <c r="J224" i="1"/>
  <c r="L224" i="1"/>
  <c r="N224" i="1" s="1"/>
  <c r="E225" i="1"/>
  <c r="A227" i="1"/>
  <c r="F227" i="1" s="1"/>
  <c r="C226" i="1"/>
  <c r="D226" i="1"/>
  <c r="B226" i="1"/>
  <c r="H225" i="1" l="1"/>
  <c r="M225" i="1"/>
  <c r="I225" i="1"/>
  <c r="K225" i="1"/>
  <c r="G225" i="1"/>
  <c r="L225" i="1"/>
  <c r="N225" i="1" s="1"/>
  <c r="J225" i="1"/>
  <c r="E226" i="1"/>
  <c r="C227" i="1"/>
  <c r="D227" i="1"/>
  <c r="B227" i="1"/>
  <c r="E227" i="1" s="1"/>
  <c r="A228" i="1"/>
  <c r="F228" i="1" s="1"/>
  <c r="M226" i="1" l="1"/>
  <c r="H226" i="1"/>
  <c r="K226" i="1"/>
  <c r="I226" i="1"/>
  <c r="G226" i="1"/>
  <c r="J226" i="1"/>
  <c r="L226" i="1"/>
  <c r="N226" i="1" s="1"/>
  <c r="M227" i="1"/>
  <c r="H227" i="1"/>
  <c r="K227" i="1"/>
  <c r="I227" i="1"/>
  <c r="G227" i="1"/>
  <c r="L227" i="1"/>
  <c r="N227" i="1" s="1"/>
  <c r="J227" i="1"/>
  <c r="C228" i="1"/>
  <c r="D228" i="1"/>
  <c r="A229" i="1"/>
  <c r="F229" i="1" s="1"/>
  <c r="B228" i="1"/>
  <c r="E228" i="1" s="1"/>
  <c r="M228" i="1" l="1"/>
  <c r="H228" i="1"/>
  <c r="I228" i="1"/>
  <c r="G228" i="1"/>
  <c r="K228" i="1"/>
  <c r="L228" i="1"/>
  <c r="N228" i="1" s="1"/>
  <c r="J228" i="1"/>
  <c r="A230" i="1"/>
  <c r="F230" i="1" s="1"/>
  <c r="C229" i="1"/>
  <c r="D229" i="1"/>
  <c r="B229" i="1"/>
  <c r="E229" i="1" s="1"/>
  <c r="H229" i="1" l="1"/>
  <c r="I229" i="1"/>
  <c r="M229" i="1"/>
  <c r="K229" i="1"/>
  <c r="G229" i="1"/>
  <c r="J229" i="1"/>
  <c r="L229" i="1"/>
  <c r="N229" i="1" s="1"/>
  <c r="B230" i="1"/>
  <c r="A231" i="1"/>
  <c r="F231" i="1" s="1"/>
  <c r="C230" i="1"/>
  <c r="D230" i="1"/>
  <c r="A232" i="1" l="1"/>
  <c r="F232" i="1" s="1"/>
  <c r="B231" i="1"/>
  <c r="C231" i="1"/>
  <c r="D231" i="1"/>
  <c r="E230" i="1"/>
  <c r="H230" i="1" l="1"/>
  <c r="M230" i="1"/>
  <c r="I230" i="1"/>
  <c r="K230" i="1"/>
  <c r="G230" i="1"/>
  <c r="J230" i="1"/>
  <c r="L230" i="1"/>
  <c r="N230" i="1" s="1"/>
  <c r="E231" i="1"/>
  <c r="A233" i="1"/>
  <c r="F233" i="1" s="1"/>
  <c r="B232" i="1"/>
  <c r="C232" i="1"/>
  <c r="D232" i="1"/>
  <c r="H231" i="1" l="1"/>
  <c r="M231" i="1"/>
  <c r="I231" i="1"/>
  <c r="K231" i="1"/>
  <c r="G231" i="1"/>
  <c r="L231" i="1"/>
  <c r="N231" i="1" s="1"/>
  <c r="J231" i="1"/>
  <c r="E232" i="1"/>
  <c r="C233" i="1"/>
  <c r="D233" i="1"/>
  <c r="A234" i="1"/>
  <c r="F234" i="1" s="1"/>
  <c r="B233" i="1"/>
  <c r="E233" i="1" s="1"/>
  <c r="H233" i="1" l="1"/>
  <c r="I233" i="1"/>
  <c r="M233" i="1"/>
  <c r="K233" i="1"/>
  <c r="G233" i="1"/>
  <c r="L233" i="1"/>
  <c r="N233" i="1" s="1"/>
  <c r="J233" i="1"/>
  <c r="H232" i="1"/>
  <c r="M232" i="1"/>
  <c r="K232" i="1"/>
  <c r="G232" i="1"/>
  <c r="I232" i="1"/>
  <c r="L232" i="1"/>
  <c r="N232" i="1" s="1"/>
  <c r="J232" i="1"/>
  <c r="A235" i="1"/>
  <c r="F235" i="1" s="1"/>
  <c r="C234" i="1"/>
  <c r="D234" i="1"/>
  <c r="B234" i="1"/>
  <c r="E234" i="1" l="1"/>
  <c r="C235" i="1"/>
  <c r="A236" i="1"/>
  <c r="F236" i="1" s="1"/>
  <c r="D235" i="1"/>
  <c r="B235" i="1"/>
  <c r="E235" i="1" s="1"/>
  <c r="H235" i="1" l="1"/>
  <c r="M235" i="1"/>
  <c r="I235" i="1"/>
  <c r="G235" i="1"/>
  <c r="K235" i="1"/>
  <c r="L235" i="1"/>
  <c r="N235" i="1" s="1"/>
  <c r="J235" i="1"/>
  <c r="H234" i="1"/>
  <c r="M234" i="1"/>
  <c r="I234" i="1"/>
  <c r="K234" i="1"/>
  <c r="G234" i="1"/>
  <c r="J234" i="1"/>
  <c r="L234" i="1"/>
  <c r="N234" i="1" s="1"/>
  <c r="D236" i="1"/>
  <c r="A237" i="1"/>
  <c r="F237" i="1" s="1"/>
  <c r="B236" i="1"/>
  <c r="C236" i="1"/>
  <c r="E236" i="1" l="1"/>
  <c r="A238" i="1"/>
  <c r="F238" i="1" s="1"/>
  <c r="D237" i="1"/>
  <c r="B237" i="1"/>
  <c r="C237" i="1"/>
  <c r="M236" i="1" l="1"/>
  <c r="H236" i="1"/>
  <c r="I236" i="1"/>
  <c r="K236" i="1"/>
  <c r="G236" i="1"/>
  <c r="L236" i="1"/>
  <c r="N236" i="1" s="1"/>
  <c r="J236" i="1"/>
  <c r="E237" i="1"/>
  <c r="A239" i="1"/>
  <c r="F239" i="1" s="1"/>
  <c r="C238" i="1"/>
  <c r="B238" i="1"/>
  <c r="E238" i="1" s="1"/>
  <c r="D238" i="1"/>
  <c r="M238" i="1" l="1"/>
  <c r="K238" i="1"/>
  <c r="H238" i="1"/>
  <c r="I238" i="1"/>
  <c r="J238" i="1"/>
  <c r="G238" i="1"/>
  <c r="L238" i="1"/>
  <c r="N238" i="1" s="1"/>
  <c r="H237" i="1"/>
  <c r="M237" i="1"/>
  <c r="I237" i="1"/>
  <c r="K237" i="1"/>
  <c r="G237" i="1"/>
  <c r="J237" i="1"/>
  <c r="L237" i="1"/>
  <c r="N237" i="1" s="1"/>
  <c r="A240" i="1"/>
  <c r="F240" i="1" s="1"/>
  <c r="C239" i="1"/>
  <c r="D239" i="1"/>
  <c r="B239" i="1"/>
  <c r="E239" i="1" l="1"/>
  <c r="A241" i="1"/>
  <c r="F241" i="1" s="1"/>
  <c r="C240" i="1"/>
  <c r="B240" i="1"/>
  <c r="E240" i="1" s="1"/>
  <c r="D240" i="1"/>
  <c r="M240" i="1" l="1"/>
  <c r="H240" i="1"/>
  <c r="K240" i="1"/>
  <c r="G240" i="1"/>
  <c r="I240" i="1"/>
  <c r="L240" i="1"/>
  <c r="N240" i="1" s="1"/>
  <c r="J240" i="1"/>
  <c r="I239" i="1"/>
  <c r="M239" i="1"/>
  <c r="H239" i="1"/>
  <c r="K239" i="1"/>
  <c r="G239" i="1"/>
  <c r="L239" i="1"/>
  <c r="J239" i="1"/>
  <c r="A242" i="1"/>
  <c r="F242" i="1" s="1"/>
  <c r="B241" i="1"/>
  <c r="C241" i="1"/>
  <c r="D241" i="1"/>
  <c r="N239" i="1" l="1"/>
  <c r="E241" i="1"/>
  <c r="C242" i="1"/>
  <c r="A243" i="1"/>
  <c r="F243" i="1" s="1"/>
  <c r="D242" i="1"/>
  <c r="B242" i="1"/>
  <c r="E242" i="1" s="1"/>
  <c r="H242" i="1" l="1"/>
  <c r="M242" i="1"/>
  <c r="I242" i="1"/>
  <c r="K242" i="1"/>
  <c r="G242" i="1"/>
  <c r="L242" i="1"/>
  <c r="N242" i="1" s="1"/>
  <c r="J242" i="1"/>
  <c r="H241" i="1"/>
  <c r="M241" i="1"/>
  <c r="I241" i="1"/>
  <c r="K241" i="1"/>
  <c r="G241" i="1"/>
  <c r="J241" i="1"/>
  <c r="L241" i="1"/>
  <c r="A244" i="1"/>
  <c r="F244" i="1" s="1"/>
  <c r="C243" i="1"/>
  <c r="D243" i="1"/>
  <c r="B243" i="1"/>
  <c r="N241" i="1" l="1"/>
  <c r="E243" i="1"/>
  <c r="A245" i="1"/>
  <c r="F245" i="1" s="1"/>
  <c r="C244" i="1"/>
  <c r="D244" i="1"/>
  <c r="B244" i="1"/>
  <c r="E244" i="1" s="1"/>
  <c r="H244" i="1" l="1"/>
  <c r="M244" i="1"/>
  <c r="I244" i="1"/>
  <c r="K244" i="1"/>
  <c r="G244" i="1"/>
  <c r="L244" i="1"/>
  <c r="N244" i="1" s="1"/>
  <c r="J244" i="1"/>
  <c r="H243" i="1"/>
  <c r="M243" i="1"/>
  <c r="I243" i="1"/>
  <c r="K243" i="1"/>
  <c r="G243" i="1"/>
  <c r="L243" i="1"/>
  <c r="J243" i="1"/>
  <c r="A246" i="1"/>
  <c r="F246" i="1" s="1"/>
  <c r="D245" i="1"/>
  <c r="B245" i="1"/>
  <c r="C245" i="1"/>
  <c r="N243" i="1" l="1"/>
  <c r="E245" i="1"/>
  <c r="A247" i="1"/>
  <c r="F247" i="1" s="1"/>
  <c r="C246" i="1"/>
  <c r="D246" i="1"/>
  <c r="B246" i="1"/>
  <c r="E246" i="1" s="1"/>
  <c r="M246" i="1" l="1"/>
  <c r="H246" i="1"/>
  <c r="I246" i="1"/>
  <c r="J246" i="1"/>
  <c r="G246" i="1"/>
  <c r="K246" i="1"/>
  <c r="L246" i="1"/>
  <c r="N246" i="1" s="1"/>
  <c r="M245" i="1"/>
  <c r="H245" i="1"/>
  <c r="K245" i="1"/>
  <c r="I245" i="1"/>
  <c r="G245" i="1"/>
  <c r="L245" i="1"/>
  <c r="N245" i="1" s="1"/>
  <c r="J245" i="1"/>
  <c r="D247" i="1"/>
  <c r="A248" i="1"/>
  <c r="F248" i="1" s="1"/>
  <c r="C247" i="1"/>
  <c r="B247" i="1"/>
  <c r="E247" i="1" s="1"/>
  <c r="H247" i="1" l="1"/>
  <c r="M247" i="1"/>
  <c r="K247" i="1"/>
  <c r="I247" i="1"/>
  <c r="G247" i="1"/>
  <c r="L247" i="1"/>
  <c r="N247" i="1" s="1"/>
  <c r="J247" i="1"/>
  <c r="A249" i="1"/>
  <c r="F249" i="1" s="1"/>
  <c r="C248" i="1"/>
  <c r="B248" i="1"/>
  <c r="E248" i="1" s="1"/>
  <c r="D248" i="1"/>
  <c r="M248" i="1" l="1"/>
  <c r="H248" i="1"/>
  <c r="K248" i="1"/>
  <c r="I248" i="1"/>
  <c r="G248" i="1"/>
  <c r="J248" i="1"/>
  <c r="L248" i="1"/>
  <c r="N248" i="1" s="1"/>
  <c r="D249" i="1"/>
  <c r="C249" i="1"/>
  <c r="A250" i="1"/>
  <c r="F250" i="1" s="1"/>
  <c r="B249" i="1"/>
  <c r="E249" i="1" s="1"/>
  <c r="H249" i="1" l="1"/>
  <c r="M249" i="1"/>
  <c r="I249" i="1"/>
  <c r="K249" i="1"/>
  <c r="G249" i="1"/>
  <c r="J249" i="1"/>
  <c r="L249" i="1"/>
  <c r="N249" i="1" s="1"/>
  <c r="A251" i="1"/>
  <c r="F251" i="1" s="1"/>
  <c r="B250" i="1"/>
  <c r="C250" i="1"/>
  <c r="D250" i="1"/>
  <c r="E250" i="1" l="1"/>
  <c r="C251" i="1"/>
  <c r="A252" i="1"/>
  <c r="F252" i="1" s="1"/>
  <c r="B251" i="1"/>
  <c r="E251" i="1" s="1"/>
  <c r="D251" i="1"/>
  <c r="H251" i="1" l="1"/>
  <c r="M251" i="1"/>
  <c r="I251" i="1"/>
  <c r="K251" i="1"/>
  <c r="G251" i="1"/>
  <c r="J251" i="1"/>
  <c r="L251" i="1"/>
  <c r="N251" i="1" s="1"/>
  <c r="M250" i="1"/>
  <c r="K250" i="1"/>
  <c r="I250" i="1"/>
  <c r="H250" i="1"/>
  <c r="G250" i="1"/>
  <c r="L250" i="1"/>
  <c r="N250" i="1" s="1"/>
  <c r="J250" i="1"/>
  <c r="C252" i="1"/>
  <c r="D252" i="1"/>
  <c r="A253" i="1"/>
  <c r="F253" i="1" s="1"/>
  <c r="B252" i="1"/>
  <c r="E252" i="1" s="1"/>
  <c r="H252" i="1" l="1"/>
  <c r="M252" i="1"/>
  <c r="I252" i="1"/>
  <c r="K252" i="1"/>
  <c r="G252" i="1"/>
  <c r="J252" i="1"/>
  <c r="L252" i="1"/>
  <c r="N252" i="1" s="1"/>
  <c r="D253" i="1"/>
  <c r="A254" i="1"/>
  <c r="F254" i="1" s="1"/>
  <c r="C253" i="1"/>
  <c r="B253" i="1"/>
  <c r="E253" i="1" l="1"/>
  <c r="C254" i="1"/>
  <c r="A255" i="1"/>
  <c r="F255" i="1" s="1"/>
  <c r="B254" i="1"/>
  <c r="E254" i="1" s="1"/>
  <c r="D254" i="1"/>
  <c r="M254" i="1" l="1"/>
  <c r="I254" i="1"/>
  <c r="H254" i="1"/>
  <c r="K254" i="1"/>
  <c r="G254" i="1"/>
  <c r="J254" i="1"/>
  <c r="L254" i="1"/>
  <c r="N254" i="1" s="1"/>
  <c r="H253" i="1"/>
  <c r="M253" i="1"/>
  <c r="I253" i="1"/>
  <c r="K253" i="1"/>
  <c r="J253" i="1"/>
  <c r="G253" i="1"/>
  <c r="L253" i="1"/>
  <c r="N253" i="1" s="1"/>
  <c r="A256" i="1"/>
  <c r="F256" i="1" s="1"/>
  <c r="C255" i="1"/>
  <c r="D255" i="1"/>
  <c r="B255" i="1"/>
  <c r="E255" i="1" s="1"/>
  <c r="H255" i="1" l="1"/>
  <c r="M255" i="1"/>
  <c r="K255" i="1"/>
  <c r="I255" i="1"/>
  <c r="G255" i="1"/>
  <c r="L255" i="1"/>
  <c r="N255" i="1" s="1"/>
  <c r="J255" i="1"/>
  <c r="A257" i="1"/>
  <c r="F257" i="1" s="1"/>
  <c r="D256" i="1"/>
  <c r="B256" i="1"/>
  <c r="C256" i="1"/>
  <c r="E256" i="1" l="1"/>
  <c r="D257" i="1"/>
  <c r="B257" i="1"/>
  <c r="A258" i="1"/>
  <c r="F258" i="1" s="1"/>
  <c r="C257" i="1"/>
  <c r="H256" i="1" l="1"/>
  <c r="M256" i="1"/>
  <c r="I256" i="1"/>
  <c r="K256" i="1"/>
  <c r="G256" i="1"/>
  <c r="L256" i="1"/>
  <c r="N256" i="1" s="1"/>
  <c r="J256" i="1"/>
  <c r="A259" i="1"/>
  <c r="F259" i="1" s="1"/>
  <c r="D258" i="1"/>
  <c r="C258" i="1"/>
  <c r="B258" i="1"/>
  <c r="E257" i="1"/>
  <c r="E258" i="1" l="1"/>
  <c r="M257" i="1"/>
  <c r="H257" i="1"/>
  <c r="K257" i="1"/>
  <c r="I257" i="1"/>
  <c r="G257" i="1"/>
  <c r="L257" i="1"/>
  <c r="N257" i="1" s="1"/>
  <c r="J257" i="1"/>
  <c r="A260" i="1"/>
  <c r="F260" i="1" s="1"/>
  <c r="C259" i="1"/>
  <c r="D259" i="1"/>
  <c r="B259" i="1"/>
  <c r="E259" i="1" l="1"/>
  <c r="H258" i="1"/>
  <c r="M258" i="1"/>
  <c r="G258" i="1"/>
  <c r="I258" i="1"/>
  <c r="K258" i="1"/>
  <c r="J258" i="1"/>
  <c r="L258" i="1"/>
  <c r="N258" i="1" s="1"/>
  <c r="A261" i="1"/>
  <c r="F261" i="1" s="1"/>
  <c r="C260" i="1"/>
  <c r="D260" i="1"/>
  <c r="B260" i="1"/>
  <c r="M259" i="1" l="1"/>
  <c r="H259" i="1"/>
  <c r="K259" i="1"/>
  <c r="I259" i="1"/>
  <c r="G259" i="1"/>
  <c r="L259" i="1"/>
  <c r="N259" i="1" s="1"/>
  <c r="J259" i="1"/>
  <c r="E260" i="1"/>
  <c r="C261" i="1"/>
  <c r="D261" i="1"/>
  <c r="A262" i="1"/>
  <c r="F262" i="1" s="1"/>
  <c r="B261" i="1"/>
  <c r="M260" i="1" l="1"/>
  <c r="H260" i="1"/>
  <c r="K260" i="1"/>
  <c r="I260" i="1"/>
  <c r="G260" i="1"/>
  <c r="J260" i="1"/>
  <c r="L260" i="1"/>
  <c r="N260" i="1" s="1"/>
  <c r="E261" i="1"/>
  <c r="C262" i="1"/>
  <c r="D262" i="1"/>
  <c r="A263" i="1"/>
  <c r="F263" i="1" s="1"/>
  <c r="B262" i="1"/>
  <c r="H261" i="1" l="1"/>
  <c r="M261" i="1"/>
  <c r="I261" i="1"/>
  <c r="K261" i="1"/>
  <c r="G261" i="1"/>
  <c r="J261" i="1"/>
  <c r="L261" i="1"/>
  <c r="N261" i="1" s="1"/>
  <c r="E262" i="1"/>
  <c r="A264" i="1"/>
  <c r="F264" i="1" s="1"/>
  <c r="B263" i="1"/>
  <c r="C263" i="1"/>
  <c r="D263" i="1"/>
  <c r="H262" i="1" l="1"/>
  <c r="M262" i="1"/>
  <c r="I262" i="1"/>
  <c r="K262" i="1"/>
  <c r="G262" i="1"/>
  <c r="J262" i="1"/>
  <c r="L262" i="1"/>
  <c r="N262" i="1" s="1"/>
  <c r="E263" i="1"/>
  <c r="A265" i="1"/>
  <c r="F265" i="1" s="1"/>
  <c r="B264" i="1"/>
  <c r="C264" i="1"/>
  <c r="D264" i="1"/>
  <c r="M263" i="1" l="1"/>
  <c r="H263" i="1"/>
  <c r="K263" i="1"/>
  <c r="I263" i="1"/>
  <c r="G263" i="1"/>
  <c r="J263" i="1"/>
  <c r="L263" i="1"/>
  <c r="N263" i="1" s="1"/>
  <c r="E264" i="1"/>
  <c r="B265" i="1"/>
  <c r="A266" i="1"/>
  <c r="F266" i="1" s="1"/>
  <c r="C265" i="1"/>
  <c r="D265" i="1"/>
  <c r="H264" i="1" l="1"/>
  <c r="M264" i="1"/>
  <c r="I264" i="1"/>
  <c r="K264" i="1"/>
  <c r="G264" i="1"/>
  <c r="L264" i="1"/>
  <c r="N264" i="1" s="1"/>
  <c r="J264" i="1"/>
  <c r="A267" i="1"/>
  <c r="F267" i="1" s="1"/>
  <c r="C266" i="1"/>
  <c r="D266" i="1"/>
  <c r="B266" i="1"/>
  <c r="E266" i="1" s="1"/>
  <c r="E265" i="1"/>
  <c r="H266" i="1" l="1"/>
  <c r="I266" i="1"/>
  <c r="M266" i="1"/>
  <c r="K266" i="1"/>
  <c r="J266" i="1"/>
  <c r="G266" i="1"/>
  <c r="L266" i="1"/>
  <c r="N266" i="1" s="1"/>
  <c r="M265" i="1"/>
  <c r="H265" i="1"/>
  <c r="K265" i="1"/>
  <c r="I265" i="1"/>
  <c r="G265" i="1"/>
  <c r="L265" i="1"/>
  <c r="N265" i="1" s="1"/>
  <c r="J265" i="1"/>
  <c r="A268" i="1"/>
  <c r="F268" i="1" s="1"/>
  <c r="C267" i="1"/>
  <c r="D267" i="1"/>
  <c r="B267" i="1"/>
  <c r="E267" i="1" s="1"/>
  <c r="M267" i="1" l="1"/>
  <c r="K267" i="1"/>
  <c r="I267" i="1"/>
  <c r="G267" i="1"/>
  <c r="H267" i="1"/>
  <c r="L267" i="1"/>
  <c r="N267" i="1" s="1"/>
  <c r="J267" i="1"/>
  <c r="A269" i="1"/>
  <c r="F269" i="1" s="1"/>
  <c r="B268" i="1"/>
  <c r="C268" i="1"/>
  <c r="D268" i="1"/>
  <c r="E268" i="1" l="1"/>
  <c r="C269" i="1"/>
  <c r="D269" i="1"/>
  <c r="A270" i="1"/>
  <c r="F270" i="1" s="1"/>
  <c r="B269" i="1"/>
  <c r="E269" i="1" s="1"/>
  <c r="M268" i="1" l="1"/>
  <c r="H268" i="1"/>
  <c r="K268" i="1"/>
  <c r="I268" i="1"/>
  <c r="G268" i="1"/>
  <c r="L268" i="1"/>
  <c r="N268" i="1" s="1"/>
  <c r="J268" i="1"/>
  <c r="H269" i="1"/>
  <c r="M269" i="1"/>
  <c r="K269" i="1"/>
  <c r="I269" i="1"/>
  <c r="G269" i="1"/>
  <c r="J269" i="1"/>
  <c r="L269" i="1"/>
  <c r="N269" i="1" s="1"/>
  <c r="A271" i="1"/>
  <c r="F271" i="1" s="1"/>
  <c r="B270" i="1"/>
  <c r="C270" i="1"/>
  <c r="D270" i="1"/>
  <c r="E270" i="1" l="1"/>
  <c r="A272" i="1"/>
  <c r="F272" i="1" s="1"/>
  <c r="C271" i="1"/>
  <c r="D271" i="1"/>
  <c r="B271" i="1"/>
  <c r="E271" i="1" s="1"/>
  <c r="H271" i="1" l="1"/>
  <c r="I271" i="1"/>
  <c r="M271" i="1"/>
  <c r="K271" i="1"/>
  <c r="G271" i="1"/>
  <c r="J271" i="1"/>
  <c r="L271" i="1"/>
  <c r="N271" i="1" s="1"/>
  <c r="M270" i="1"/>
  <c r="H270" i="1"/>
  <c r="K270" i="1"/>
  <c r="I270" i="1"/>
  <c r="G270" i="1"/>
  <c r="L270" i="1"/>
  <c r="N270" i="1" s="1"/>
  <c r="J270" i="1"/>
  <c r="A273" i="1"/>
  <c r="F273" i="1" s="1"/>
  <c r="C272" i="1"/>
  <c r="D272" i="1"/>
  <c r="B272" i="1"/>
  <c r="E272" i="1" l="1"/>
  <c r="A274" i="1"/>
  <c r="F274" i="1" s="1"/>
  <c r="C273" i="1"/>
  <c r="D273" i="1"/>
  <c r="B273" i="1"/>
  <c r="E273" i="1" s="1"/>
  <c r="H273" i="1" l="1"/>
  <c r="I273" i="1"/>
  <c r="M273" i="1"/>
  <c r="N273" i="1" s="1"/>
  <c r="K273" i="1"/>
  <c r="G273" i="1"/>
  <c r="J273" i="1"/>
  <c r="L273" i="1"/>
  <c r="M272" i="1"/>
  <c r="H272" i="1"/>
  <c r="K272" i="1"/>
  <c r="I272" i="1"/>
  <c r="G272" i="1"/>
  <c r="L272" i="1"/>
  <c r="N272" i="1" s="1"/>
  <c r="J272" i="1"/>
  <c r="A275" i="1"/>
  <c r="F275" i="1" s="1"/>
  <c r="C274" i="1"/>
  <c r="B274" i="1"/>
  <c r="D274" i="1"/>
  <c r="E274" i="1" l="1"/>
  <c r="A276" i="1"/>
  <c r="F276" i="1" s="1"/>
  <c r="B275" i="1"/>
  <c r="D275" i="1"/>
  <c r="C275" i="1"/>
  <c r="H274" i="1" l="1"/>
  <c r="M274" i="1"/>
  <c r="K274" i="1"/>
  <c r="I274" i="1"/>
  <c r="G274" i="1"/>
  <c r="J274" i="1"/>
  <c r="L274" i="1"/>
  <c r="N274" i="1" s="1"/>
  <c r="E275" i="1"/>
  <c r="C276" i="1"/>
  <c r="A277" i="1"/>
  <c r="F277" i="1" s="1"/>
  <c r="D276" i="1"/>
  <c r="B276" i="1"/>
  <c r="E276" i="1" s="1"/>
  <c r="M275" i="1" l="1"/>
  <c r="I275" i="1"/>
  <c r="K275" i="1"/>
  <c r="G275" i="1"/>
  <c r="J275" i="1"/>
  <c r="H275" i="1"/>
  <c r="L275" i="1"/>
  <c r="N275" i="1" s="1"/>
  <c r="M276" i="1"/>
  <c r="K276" i="1"/>
  <c r="I276" i="1"/>
  <c r="H276" i="1"/>
  <c r="G276" i="1"/>
  <c r="L276" i="1"/>
  <c r="N276" i="1" s="1"/>
  <c r="J276" i="1"/>
  <c r="A278" i="1"/>
  <c r="F278" i="1" s="1"/>
  <c r="D277" i="1"/>
  <c r="B277" i="1"/>
  <c r="C277" i="1"/>
  <c r="E277" i="1" l="1"/>
  <c r="A279" i="1"/>
  <c r="F279" i="1" s="1"/>
  <c r="C278" i="1"/>
  <c r="D278" i="1"/>
  <c r="B278" i="1"/>
  <c r="E278" i="1" s="1"/>
  <c r="M278" i="1" l="1"/>
  <c r="I278" i="1"/>
  <c r="H278" i="1"/>
  <c r="K278" i="1"/>
  <c r="G278" i="1"/>
  <c r="J278" i="1"/>
  <c r="L278" i="1"/>
  <c r="N278" i="1" s="1"/>
  <c r="M277" i="1"/>
  <c r="K277" i="1"/>
  <c r="I277" i="1"/>
  <c r="G277" i="1"/>
  <c r="H277" i="1"/>
  <c r="L277" i="1"/>
  <c r="N277" i="1" s="1"/>
  <c r="J277" i="1"/>
  <c r="A280" i="1"/>
  <c r="F280" i="1" s="1"/>
  <c r="C279" i="1"/>
  <c r="D279" i="1"/>
  <c r="B279" i="1"/>
  <c r="E279" i="1" s="1"/>
  <c r="M279" i="1" l="1"/>
  <c r="K279" i="1"/>
  <c r="I279" i="1"/>
  <c r="G279" i="1"/>
  <c r="L279" i="1"/>
  <c r="N279" i="1" s="1"/>
  <c r="H279" i="1"/>
  <c r="J279" i="1"/>
  <c r="A281" i="1"/>
  <c r="F281" i="1" s="1"/>
  <c r="B280" i="1"/>
  <c r="C280" i="1"/>
  <c r="D280" i="1"/>
  <c r="E280" i="1" l="1"/>
  <c r="A282" i="1"/>
  <c r="F282" i="1" s="1"/>
  <c r="D281" i="1"/>
  <c r="C281" i="1"/>
  <c r="B281" i="1"/>
  <c r="E281" i="1" s="1"/>
  <c r="M281" i="1" l="1"/>
  <c r="I281" i="1"/>
  <c r="G281" i="1"/>
  <c r="H281" i="1"/>
  <c r="K281" i="1"/>
  <c r="J281" i="1"/>
  <c r="L281" i="1"/>
  <c r="N281" i="1" s="1"/>
  <c r="M280" i="1"/>
  <c r="I280" i="1"/>
  <c r="G280" i="1"/>
  <c r="J280" i="1"/>
  <c r="K280" i="1"/>
  <c r="H280" i="1"/>
  <c r="L280" i="1"/>
  <c r="N280" i="1" s="1"/>
  <c r="A283" i="1"/>
  <c r="F283" i="1" s="1"/>
  <c r="C282" i="1"/>
  <c r="B282" i="1"/>
  <c r="D282" i="1"/>
  <c r="E282" i="1" l="1"/>
  <c r="A284" i="1"/>
  <c r="F284" i="1" s="1"/>
  <c r="C283" i="1"/>
  <c r="D283" i="1"/>
  <c r="B283" i="1"/>
  <c r="E283" i="1" s="1"/>
  <c r="M283" i="1" l="1"/>
  <c r="I283" i="1"/>
  <c r="K283" i="1"/>
  <c r="G283" i="1"/>
  <c r="J283" i="1"/>
  <c r="H283" i="1"/>
  <c r="L283" i="1"/>
  <c r="N283" i="1" s="1"/>
  <c r="M282" i="1"/>
  <c r="I282" i="1"/>
  <c r="H282" i="1"/>
  <c r="G282" i="1"/>
  <c r="K282" i="1"/>
  <c r="J282" i="1"/>
  <c r="L282" i="1"/>
  <c r="N282" i="1" s="1"/>
  <c r="A285" i="1"/>
  <c r="F285" i="1" s="1"/>
  <c r="C284" i="1"/>
  <c r="D284" i="1"/>
  <c r="B284" i="1"/>
  <c r="E284" i="1" l="1"/>
  <c r="A286" i="1"/>
  <c r="F286" i="1" s="1"/>
  <c r="C285" i="1"/>
  <c r="B285" i="1"/>
  <c r="E285" i="1" s="1"/>
  <c r="D285" i="1"/>
  <c r="M285" i="1" l="1"/>
  <c r="I285" i="1"/>
  <c r="G285" i="1"/>
  <c r="K285" i="1"/>
  <c r="J285" i="1"/>
  <c r="H285" i="1"/>
  <c r="L285" i="1"/>
  <c r="N285" i="1" s="1"/>
  <c r="M284" i="1"/>
  <c r="K284" i="1"/>
  <c r="I284" i="1"/>
  <c r="G284" i="1"/>
  <c r="H284" i="1"/>
  <c r="J284" i="1"/>
  <c r="L284" i="1"/>
  <c r="N284" i="1" s="1"/>
  <c r="A287" i="1"/>
  <c r="F287" i="1" s="1"/>
  <c r="C286" i="1"/>
  <c r="D286" i="1"/>
  <c r="B286" i="1"/>
  <c r="E286" i="1" s="1"/>
  <c r="M286" i="1" l="1"/>
  <c r="K286" i="1"/>
  <c r="I286" i="1"/>
  <c r="H286" i="1"/>
  <c r="G286" i="1"/>
  <c r="J286" i="1"/>
  <c r="L286" i="1"/>
  <c r="N286" i="1" s="1"/>
  <c r="A288" i="1"/>
  <c r="F288" i="1" s="1"/>
  <c r="B287" i="1"/>
  <c r="D287" i="1"/>
  <c r="C287" i="1"/>
  <c r="E287" i="1" l="1"/>
  <c r="C288" i="1"/>
  <c r="B288" i="1"/>
  <c r="E288" i="1" s="1"/>
  <c r="D288" i="1"/>
  <c r="A289" i="1"/>
  <c r="F289" i="1" s="1"/>
  <c r="M288" i="1" l="1"/>
  <c r="K288" i="1"/>
  <c r="I288" i="1"/>
  <c r="G288" i="1"/>
  <c r="J288" i="1"/>
  <c r="H288" i="1"/>
  <c r="L288" i="1"/>
  <c r="N288" i="1" s="1"/>
  <c r="M287" i="1"/>
  <c r="K287" i="1"/>
  <c r="I287" i="1"/>
  <c r="H287" i="1"/>
  <c r="G287" i="1"/>
  <c r="J287" i="1"/>
  <c r="L287" i="1"/>
  <c r="N287" i="1" s="1"/>
  <c r="C289" i="1"/>
  <c r="D289" i="1"/>
  <c r="A290" i="1"/>
  <c r="F290" i="1" s="1"/>
  <c r="B289" i="1"/>
  <c r="E289" i="1" s="1"/>
  <c r="M289" i="1" l="1"/>
  <c r="I289" i="1"/>
  <c r="G289" i="1"/>
  <c r="K289" i="1"/>
  <c r="H289" i="1"/>
  <c r="J289" i="1"/>
  <c r="L289" i="1"/>
  <c r="N289" i="1" s="1"/>
  <c r="A291" i="1"/>
  <c r="F291" i="1" s="1"/>
  <c r="D290" i="1"/>
  <c r="B290" i="1"/>
  <c r="C290" i="1"/>
  <c r="E290" i="1" l="1"/>
  <c r="A292" i="1"/>
  <c r="F292" i="1" s="1"/>
  <c r="C291" i="1"/>
  <c r="D291" i="1"/>
  <c r="B291" i="1"/>
  <c r="E291" i="1" s="1"/>
  <c r="M291" i="1" l="1"/>
  <c r="K291" i="1"/>
  <c r="I291" i="1"/>
  <c r="G291" i="1"/>
  <c r="H291" i="1"/>
  <c r="J291" i="1"/>
  <c r="L291" i="1"/>
  <c r="N291" i="1" s="1"/>
  <c r="M290" i="1"/>
  <c r="I290" i="1"/>
  <c r="K290" i="1"/>
  <c r="H290" i="1"/>
  <c r="G290" i="1"/>
  <c r="J290" i="1"/>
  <c r="L290" i="1"/>
  <c r="N290" i="1" s="1"/>
  <c r="A293" i="1"/>
  <c r="F293" i="1" s="1"/>
  <c r="B292" i="1"/>
  <c r="C292" i="1"/>
  <c r="D292" i="1"/>
  <c r="E292" i="1" l="1"/>
  <c r="A294" i="1"/>
  <c r="F294" i="1" s="1"/>
  <c r="C293" i="1"/>
  <c r="B293" i="1"/>
  <c r="E293" i="1" s="1"/>
  <c r="D293" i="1"/>
  <c r="I292" i="1" l="1"/>
  <c r="M292" i="1"/>
  <c r="K292" i="1"/>
  <c r="G292" i="1"/>
  <c r="J292" i="1"/>
  <c r="H292" i="1"/>
  <c r="L292" i="1"/>
  <c r="N292" i="1" s="1"/>
  <c r="M293" i="1"/>
  <c r="K293" i="1"/>
  <c r="I293" i="1"/>
  <c r="G293" i="1"/>
  <c r="L293" i="1"/>
  <c r="N293" i="1" s="1"/>
  <c r="H293" i="1"/>
  <c r="J293" i="1"/>
  <c r="A295" i="1"/>
  <c r="F295" i="1" s="1"/>
  <c r="B294" i="1"/>
  <c r="C294" i="1"/>
  <c r="D294" i="1"/>
  <c r="E294" i="1" l="1"/>
  <c r="A296" i="1"/>
  <c r="F296" i="1" s="1"/>
  <c r="C295" i="1"/>
  <c r="D295" i="1"/>
  <c r="B295" i="1"/>
  <c r="E295" i="1" s="1"/>
  <c r="M295" i="1" l="1"/>
  <c r="I295" i="1"/>
  <c r="G295" i="1"/>
  <c r="K295" i="1"/>
  <c r="J295" i="1"/>
  <c r="H295" i="1"/>
  <c r="L295" i="1"/>
  <c r="N295" i="1" s="1"/>
  <c r="M294" i="1"/>
  <c r="K294" i="1"/>
  <c r="I294" i="1"/>
  <c r="G294" i="1"/>
  <c r="J294" i="1"/>
  <c r="H294" i="1"/>
  <c r="L294" i="1"/>
  <c r="N294" i="1" s="1"/>
  <c r="A297" i="1"/>
  <c r="F297" i="1" s="1"/>
  <c r="C296" i="1"/>
  <c r="D296" i="1"/>
  <c r="B296" i="1"/>
  <c r="E296" i="1" l="1"/>
  <c r="A298" i="1"/>
  <c r="F298" i="1" s="1"/>
  <c r="C297" i="1"/>
  <c r="B297" i="1"/>
  <c r="E297" i="1" s="1"/>
  <c r="D297" i="1"/>
  <c r="M297" i="1" l="1"/>
  <c r="I297" i="1"/>
  <c r="K297" i="1"/>
  <c r="G297" i="1"/>
  <c r="H297" i="1"/>
  <c r="J297" i="1"/>
  <c r="L297" i="1"/>
  <c r="N297" i="1" s="1"/>
  <c r="M296" i="1"/>
  <c r="I296" i="1"/>
  <c r="G296" i="1"/>
  <c r="K296" i="1"/>
  <c r="J296" i="1"/>
  <c r="L296" i="1"/>
  <c r="N296" i="1" s="1"/>
  <c r="H296" i="1"/>
  <c r="A299" i="1"/>
  <c r="F299" i="1" s="1"/>
  <c r="C298" i="1"/>
  <c r="B298" i="1"/>
  <c r="E298" i="1" s="1"/>
  <c r="D298" i="1"/>
  <c r="M298" i="1" l="1"/>
  <c r="K298" i="1"/>
  <c r="I298" i="1"/>
  <c r="H298" i="1"/>
  <c r="G298" i="1"/>
  <c r="L298" i="1"/>
  <c r="N298" i="1" s="1"/>
  <c r="J298" i="1"/>
  <c r="A300" i="1"/>
  <c r="F300" i="1" s="1"/>
  <c r="C299" i="1"/>
  <c r="B299" i="1"/>
  <c r="E299" i="1" s="1"/>
  <c r="D299" i="1"/>
  <c r="M299" i="1" l="1"/>
  <c r="I299" i="1"/>
  <c r="H299" i="1"/>
  <c r="K299" i="1"/>
  <c r="G299" i="1"/>
  <c r="J299" i="1"/>
  <c r="L299" i="1"/>
  <c r="N299" i="1" s="1"/>
  <c r="A301" i="1"/>
  <c r="F301" i="1" s="1"/>
  <c r="C300" i="1"/>
  <c r="D300" i="1"/>
  <c r="B300" i="1"/>
  <c r="E300" i="1" s="1"/>
  <c r="M300" i="1" l="1"/>
  <c r="I300" i="1"/>
  <c r="G300" i="1"/>
  <c r="H300" i="1"/>
  <c r="L300" i="1"/>
  <c r="N300" i="1" s="1"/>
  <c r="K300" i="1"/>
  <c r="J300" i="1"/>
  <c r="A302" i="1"/>
  <c r="F302" i="1" s="1"/>
  <c r="C301" i="1"/>
  <c r="D301" i="1"/>
  <c r="B301" i="1"/>
  <c r="E301" i="1" s="1"/>
  <c r="M301" i="1" l="1"/>
  <c r="K301" i="1"/>
  <c r="I301" i="1"/>
  <c r="G301" i="1"/>
  <c r="J301" i="1"/>
  <c r="H301" i="1"/>
  <c r="L301" i="1"/>
  <c r="N301" i="1" s="1"/>
  <c r="A303" i="1"/>
  <c r="F303" i="1" s="1"/>
  <c r="C302" i="1"/>
  <c r="B302" i="1"/>
  <c r="E302" i="1" s="1"/>
  <c r="D302" i="1"/>
  <c r="M302" i="1" l="1"/>
  <c r="I302" i="1"/>
  <c r="K302" i="1"/>
  <c r="G302" i="1"/>
  <c r="H302" i="1"/>
  <c r="L302" i="1"/>
  <c r="N302" i="1" s="1"/>
  <c r="J302" i="1"/>
  <c r="A304" i="1"/>
  <c r="F304" i="1" s="1"/>
  <c r="C303" i="1"/>
  <c r="B303" i="1"/>
  <c r="E303" i="1" s="1"/>
  <c r="D303" i="1"/>
  <c r="M303" i="1" l="1"/>
  <c r="K303" i="1"/>
  <c r="G303" i="1"/>
  <c r="H303" i="1"/>
  <c r="J303" i="1"/>
  <c r="L303" i="1"/>
  <c r="N303" i="1" s="1"/>
  <c r="I303" i="1"/>
  <c r="A305" i="1"/>
  <c r="F305" i="1" s="1"/>
  <c r="B304" i="1"/>
  <c r="C304" i="1"/>
  <c r="D304" i="1"/>
  <c r="E304" i="1" l="1"/>
  <c r="A306" i="1"/>
  <c r="F306" i="1" s="1"/>
  <c r="C305" i="1"/>
  <c r="B305" i="1"/>
  <c r="E305" i="1" s="1"/>
  <c r="D305" i="1"/>
  <c r="M305" i="1" l="1"/>
  <c r="K305" i="1"/>
  <c r="I305" i="1"/>
  <c r="G305" i="1"/>
  <c r="L305" i="1"/>
  <c r="N305" i="1" s="1"/>
  <c r="H305" i="1"/>
  <c r="J305" i="1"/>
  <c r="M304" i="1"/>
  <c r="K304" i="1"/>
  <c r="I304" i="1"/>
  <c r="G304" i="1"/>
  <c r="J304" i="1"/>
  <c r="H304" i="1"/>
  <c r="L304" i="1"/>
  <c r="N304" i="1" s="1"/>
  <c r="A307" i="1"/>
  <c r="F307" i="1" s="1"/>
  <c r="B306" i="1"/>
  <c r="C306" i="1"/>
  <c r="D306" i="1"/>
  <c r="E306" i="1" l="1"/>
  <c r="A308" i="1"/>
  <c r="F308" i="1" s="1"/>
  <c r="C307" i="1"/>
  <c r="D307" i="1"/>
  <c r="B307" i="1"/>
  <c r="E307" i="1" s="1"/>
  <c r="I307" i="1" l="1"/>
  <c r="K307" i="1"/>
  <c r="M307" i="1"/>
  <c r="G307" i="1"/>
  <c r="H307" i="1"/>
  <c r="L307" i="1"/>
  <c r="N307" i="1" s="1"/>
  <c r="J307" i="1"/>
  <c r="M306" i="1"/>
  <c r="I306" i="1"/>
  <c r="G306" i="1"/>
  <c r="H306" i="1"/>
  <c r="K306" i="1"/>
  <c r="J306" i="1"/>
  <c r="L306" i="1"/>
  <c r="N306" i="1" s="1"/>
  <c r="A309" i="1"/>
  <c r="F309" i="1" s="1"/>
  <c r="C308" i="1"/>
  <c r="D308" i="1"/>
  <c r="B308" i="1"/>
  <c r="E308" i="1" s="1"/>
  <c r="M308" i="1" l="1"/>
  <c r="G308" i="1"/>
  <c r="I308" i="1"/>
  <c r="K308" i="1"/>
  <c r="J308" i="1"/>
  <c r="H308" i="1"/>
  <c r="L308" i="1"/>
  <c r="N308" i="1" s="1"/>
  <c r="A310" i="1"/>
  <c r="F310" i="1" s="1"/>
  <c r="C309" i="1"/>
  <c r="B309" i="1"/>
  <c r="E309" i="1" s="1"/>
  <c r="D309" i="1"/>
  <c r="M309" i="1" l="1"/>
  <c r="I309" i="1"/>
  <c r="K309" i="1"/>
  <c r="G309" i="1"/>
  <c r="H309" i="1"/>
  <c r="L309" i="1"/>
  <c r="N309" i="1" s="1"/>
  <c r="J309" i="1"/>
  <c r="A311" i="1"/>
  <c r="F311" i="1" s="1"/>
  <c r="C310" i="1"/>
  <c r="B310" i="1"/>
  <c r="E310" i="1" s="1"/>
  <c r="D310" i="1"/>
  <c r="M310" i="1" l="1"/>
  <c r="I310" i="1"/>
  <c r="G310" i="1"/>
  <c r="J310" i="1"/>
  <c r="L310" i="1"/>
  <c r="N310" i="1" s="1"/>
  <c r="K310" i="1"/>
  <c r="H310" i="1"/>
  <c r="A312" i="1"/>
  <c r="F312" i="1" s="1"/>
  <c r="B311" i="1"/>
  <c r="C311" i="1"/>
  <c r="D311" i="1"/>
  <c r="E311" i="1" l="1"/>
  <c r="A313" i="1"/>
  <c r="F313" i="1" s="1"/>
  <c r="C312" i="1"/>
  <c r="D312" i="1"/>
  <c r="B312" i="1"/>
  <c r="E312" i="1" s="1"/>
  <c r="M312" i="1" l="1"/>
  <c r="K312" i="1"/>
  <c r="I312" i="1"/>
  <c r="G312" i="1"/>
  <c r="L312" i="1"/>
  <c r="N312" i="1" s="1"/>
  <c r="J312" i="1"/>
  <c r="H312" i="1"/>
  <c r="M311" i="1"/>
  <c r="K311" i="1"/>
  <c r="I311" i="1"/>
  <c r="H311" i="1"/>
  <c r="G311" i="1"/>
  <c r="J311" i="1"/>
  <c r="L311" i="1"/>
  <c r="N311" i="1" s="1"/>
  <c r="C313" i="1"/>
  <c r="D313" i="1"/>
  <c r="B313" i="1"/>
  <c r="E313" i="1" s="1"/>
  <c r="A314" i="1"/>
  <c r="F314" i="1" s="1"/>
  <c r="M313" i="1" l="1"/>
  <c r="K313" i="1"/>
  <c r="G313" i="1"/>
  <c r="I313" i="1"/>
  <c r="J313" i="1"/>
  <c r="H313" i="1"/>
  <c r="L313" i="1"/>
  <c r="N313" i="1" s="1"/>
  <c r="A315" i="1"/>
  <c r="F315" i="1" s="1"/>
  <c r="C314" i="1"/>
  <c r="D314" i="1"/>
  <c r="B314" i="1"/>
  <c r="E314" i="1" s="1"/>
  <c r="I314" i="1" l="1"/>
  <c r="K314" i="1"/>
  <c r="M314" i="1"/>
  <c r="G314" i="1"/>
  <c r="H314" i="1"/>
  <c r="L314" i="1"/>
  <c r="N314" i="1" s="1"/>
  <c r="J314" i="1"/>
  <c r="A316" i="1"/>
  <c r="F316" i="1" s="1"/>
  <c r="C315" i="1"/>
  <c r="B315" i="1"/>
  <c r="E315" i="1" s="1"/>
  <c r="D315" i="1"/>
  <c r="M315" i="1" l="1"/>
  <c r="I315" i="1"/>
  <c r="H315" i="1"/>
  <c r="K315" i="1"/>
  <c r="G315" i="1"/>
  <c r="J315" i="1"/>
  <c r="L315" i="1"/>
  <c r="N315" i="1" s="1"/>
  <c r="B316" i="1"/>
  <c r="A317" i="1"/>
  <c r="F317" i="1" s="1"/>
  <c r="C316" i="1"/>
  <c r="D316" i="1"/>
  <c r="D317" i="1" l="1"/>
  <c r="A318" i="1"/>
  <c r="F318" i="1" s="1"/>
  <c r="B317" i="1"/>
  <c r="C317" i="1"/>
  <c r="E316" i="1"/>
  <c r="M316" i="1" l="1"/>
  <c r="I316" i="1"/>
  <c r="K316" i="1"/>
  <c r="H316" i="1"/>
  <c r="G316" i="1"/>
  <c r="L316" i="1"/>
  <c r="N316" i="1" s="1"/>
  <c r="J316" i="1"/>
  <c r="E317" i="1"/>
  <c r="A319" i="1"/>
  <c r="F319" i="1" s="1"/>
  <c r="B318" i="1"/>
  <c r="C318" i="1"/>
  <c r="D318" i="1"/>
  <c r="M317" i="1" l="1"/>
  <c r="K317" i="1"/>
  <c r="I317" i="1"/>
  <c r="G317" i="1"/>
  <c r="H317" i="1"/>
  <c r="L317" i="1"/>
  <c r="N317" i="1" s="1"/>
  <c r="J317" i="1"/>
  <c r="E318" i="1"/>
  <c r="A320" i="1"/>
  <c r="F320" i="1" s="1"/>
  <c r="C319" i="1"/>
  <c r="D319" i="1"/>
  <c r="B319" i="1"/>
  <c r="M318" i="1" l="1"/>
  <c r="K318" i="1"/>
  <c r="G318" i="1"/>
  <c r="H318" i="1"/>
  <c r="I318" i="1"/>
  <c r="L318" i="1"/>
  <c r="N318" i="1" s="1"/>
  <c r="J318" i="1"/>
  <c r="E319" i="1"/>
  <c r="C320" i="1"/>
  <c r="B320" i="1"/>
  <c r="E320" i="1" s="1"/>
  <c r="A321" i="1"/>
  <c r="F321" i="1" s="1"/>
  <c r="D320" i="1"/>
  <c r="M320" i="1" l="1"/>
  <c r="I320" i="1"/>
  <c r="K320" i="1"/>
  <c r="H320" i="1"/>
  <c r="G320" i="1"/>
  <c r="J320" i="1"/>
  <c r="L320" i="1"/>
  <c r="N320" i="1" s="1"/>
  <c r="M319" i="1"/>
  <c r="I319" i="1"/>
  <c r="K319" i="1"/>
  <c r="H319" i="1"/>
  <c r="G319" i="1"/>
  <c r="L319" i="1"/>
  <c r="N319" i="1" s="1"/>
  <c r="J319" i="1"/>
  <c r="A322" i="1"/>
  <c r="F322" i="1" s="1"/>
  <c r="B321" i="1"/>
  <c r="D321" i="1"/>
  <c r="C321" i="1"/>
  <c r="E321" i="1" l="1"/>
  <c r="A323" i="1"/>
  <c r="F323" i="1" s="1"/>
  <c r="B322" i="1"/>
  <c r="C322" i="1"/>
  <c r="D322" i="1"/>
  <c r="M321" i="1" l="1"/>
  <c r="I321" i="1"/>
  <c r="K321" i="1"/>
  <c r="G321" i="1"/>
  <c r="L321" i="1"/>
  <c r="N321" i="1" s="1"/>
  <c r="J321" i="1"/>
  <c r="H321" i="1"/>
  <c r="E322" i="1"/>
  <c r="C323" i="1"/>
  <c r="B323" i="1"/>
  <c r="E323" i="1" s="1"/>
  <c r="A324" i="1"/>
  <c r="F324" i="1" s="1"/>
  <c r="D323" i="1"/>
  <c r="M323" i="1" l="1"/>
  <c r="K323" i="1"/>
  <c r="I323" i="1"/>
  <c r="G323" i="1"/>
  <c r="L323" i="1"/>
  <c r="N323" i="1" s="1"/>
  <c r="J323" i="1"/>
  <c r="H323" i="1"/>
  <c r="I322" i="1"/>
  <c r="M322" i="1"/>
  <c r="K322" i="1"/>
  <c r="H322" i="1"/>
  <c r="J322" i="1"/>
  <c r="L322" i="1"/>
  <c r="N322" i="1" s="1"/>
  <c r="G322" i="1"/>
  <c r="D324" i="1"/>
  <c r="B324" i="1"/>
  <c r="A325" i="1"/>
  <c r="F325" i="1" s="1"/>
  <c r="C324" i="1"/>
  <c r="A326" i="1" l="1"/>
  <c r="F326" i="1" s="1"/>
  <c r="C325" i="1"/>
  <c r="D325" i="1"/>
  <c r="B325" i="1"/>
  <c r="E325" i="1" s="1"/>
  <c r="E324" i="1"/>
  <c r="M324" i="1" l="1"/>
  <c r="K324" i="1"/>
  <c r="I324" i="1"/>
  <c r="G324" i="1"/>
  <c r="H324" i="1"/>
  <c r="L324" i="1"/>
  <c r="N324" i="1" s="1"/>
  <c r="J324" i="1"/>
  <c r="M325" i="1"/>
  <c r="I325" i="1"/>
  <c r="K325" i="1"/>
  <c r="G325" i="1"/>
  <c r="H325" i="1"/>
  <c r="L325" i="1"/>
  <c r="N325" i="1" s="1"/>
  <c r="J325" i="1"/>
  <c r="A327" i="1"/>
  <c r="F327" i="1" s="1"/>
  <c r="D326" i="1"/>
  <c r="B326" i="1"/>
  <c r="C326" i="1"/>
  <c r="E326" i="1" l="1"/>
  <c r="A328" i="1"/>
  <c r="F328" i="1" s="1"/>
  <c r="C327" i="1"/>
  <c r="B327" i="1"/>
  <c r="D327" i="1"/>
  <c r="M326" i="1" l="1"/>
  <c r="I326" i="1"/>
  <c r="K326" i="1"/>
  <c r="G326" i="1"/>
  <c r="L326" i="1"/>
  <c r="N326" i="1" s="1"/>
  <c r="H326" i="1"/>
  <c r="J326" i="1"/>
  <c r="E327" i="1"/>
  <c r="A329" i="1"/>
  <c r="F329" i="1" s="1"/>
  <c r="C328" i="1"/>
  <c r="B328" i="1"/>
  <c r="D328" i="1"/>
  <c r="M327" i="1" l="1"/>
  <c r="I327" i="1"/>
  <c r="K327" i="1"/>
  <c r="H327" i="1"/>
  <c r="G327" i="1"/>
  <c r="J327" i="1"/>
  <c r="L327" i="1"/>
  <c r="N327" i="1" s="1"/>
  <c r="E328" i="1"/>
  <c r="A330" i="1"/>
  <c r="F330" i="1" s="1"/>
  <c r="B329" i="1"/>
  <c r="C329" i="1"/>
  <c r="D329" i="1"/>
  <c r="M328" i="1" l="1"/>
  <c r="I328" i="1"/>
  <c r="K328" i="1"/>
  <c r="H328" i="1"/>
  <c r="G328" i="1"/>
  <c r="L328" i="1"/>
  <c r="N328" i="1" s="1"/>
  <c r="J328" i="1"/>
  <c r="E329" i="1"/>
  <c r="A331" i="1"/>
  <c r="F331" i="1" s="1"/>
  <c r="C330" i="1"/>
  <c r="D330" i="1"/>
  <c r="B330" i="1"/>
  <c r="M329" i="1" l="1"/>
  <c r="K329" i="1"/>
  <c r="I329" i="1"/>
  <c r="H329" i="1"/>
  <c r="J329" i="1"/>
  <c r="L329" i="1"/>
  <c r="N329" i="1" s="1"/>
  <c r="G329" i="1"/>
  <c r="E330" i="1"/>
  <c r="A332" i="1"/>
  <c r="F332" i="1" s="1"/>
  <c r="C331" i="1"/>
  <c r="D331" i="1"/>
  <c r="B331" i="1"/>
  <c r="M330" i="1" l="1"/>
  <c r="I330" i="1"/>
  <c r="G330" i="1"/>
  <c r="H330" i="1"/>
  <c r="L330" i="1"/>
  <c r="N330" i="1" s="1"/>
  <c r="K330" i="1"/>
  <c r="J330" i="1"/>
  <c r="E331" i="1"/>
  <c r="A333" i="1"/>
  <c r="F333" i="1" s="1"/>
  <c r="C332" i="1"/>
  <c r="D332" i="1"/>
  <c r="B332" i="1"/>
  <c r="M331" i="1" l="1"/>
  <c r="I331" i="1"/>
  <c r="K331" i="1"/>
  <c r="H331" i="1"/>
  <c r="G331" i="1"/>
  <c r="L331" i="1"/>
  <c r="N331" i="1" s="1"/>
  <c r="J331" i="1"/>
  <c r="E332" i="1"/>
  <c r="A334" i="1"/>
  <c r="F334" i="1" s="1"/>
  <c r="C333" i="1"/>
  <c r="B333" i="1"/>
  <c r="D333" i="1"/>
  <c r="M332" i="1" l="1"/>
  <c r="I332" i="1"/>
  <c r="H332" i="1"/>
  <c r="G332" i="1"/>
  <c r="K332" i="1"/>
  <c r="J332" i="1"/>
  <c r="L332" i="1"/>
  <c r="N332" i="1" s="1"/>
  <c r="E333" i="1"/>
  <c r="A335" i="1"/>
  <c r="F335" i="1" s="1"/>
  <c r="C334" i="1"/>
  <c r="B334" i="1"/>
  <c r="D334" i="1"/>
  <c r="I333" i="1" l="1"/>
  <c r="K333" i="1"/>
  <c r="M333" i="1"/>
  <c r="H333" i="1"/>
  <c r="G333" i="1"/>
  <c r="L333" i="1"/>
  <c r="N333" i="1" s="1"/>
  <c r="J333" i="1"/>
  <c r="E334" i="1"/>
  <c r="A336" i="1"/>
  <c r="F336" i="1" s="1"/>
  <c r="C335" i="1"/>
  <c r="D335" i="1"/>
  <c r="B335" i="1"/>
  <c r="M334" i="1" l="1"/>
  <c r="I334" i="1"/>
  <c r="K334" i="1"/>
  <c r="G334" i="1"/>
  <c r="H334" i="1"/>
  <c r="J334" i="1"/>
  <c r="L334" i="1"/>
  <c r="N334" i="1" s="1"/>
  <c r="E335" i="1"/>
  <c r="A337" i="1"/>
  <c r="F337" i="1" s="1"/>
  <c r="D336" i="1"/>
  <c r="B336" i="1"/>
  <c r="C336" i="1"/>
  <c r="M335" i="1" l="1"/>
  <c r="I335" i="1"/>
  <c r="H335" i="1"/>
  <c r="K335" i="1"/>
  <c r="L335" i="1"/>
  <c r="N335" i="1" s="1"/>
  <c r="J335" i="1"/>
  <c r="G335" i="1"/>
  <c r="E336" i="1"/>
  <c r="C337" i="1"/>
  <c r="D337" i="1"/>
  <c r="B337" i="1"/>
  <c r="E337" i="1" s="1"/>
  <c r="A338" i="1"/>
  <c r="F338" i="1" s="1"/>
  <c r="M337" i="1" l="1"/>
  <c r="I337" i="1"/>
  <c r="K337" i="1"/>
  <c r="H337" i="1"/>
  <c r="G337" i="1"/>
  <c r="L337" i="1"/>
  <c r="N337" i="1" s="1"/>
  <c r="J337" i="1"/>
  <c r="M336" i="1"/>
  <c r="H336" i="1"/>
  <c r="K336" i="1"/>
  <c r="I336" i="1"/>
  <c r="L336" i="1"/>
  <c r="N336" i="1" s="1"/>
  <c r="J336" i="1"/>
  <c r="G336" i="1"/>
  <c r="C338" i="1"/>
  <c r="D338" i="1"/>
  <c r="A339" i="1"/>
  <c r="F339" i="1" s="1"/>
  <c r="B338" i="1"/>
  <c r="E338" i="1" s="1"/>
  <c r="M338" i="1" l="1"/>
  <c r="I338" i="1"/>
  <c r="G338" i="1"/>
  <c r="K338" i="1"/>
  <c r="H338" i="1"/>
  <c r="L338" i="1"/>
  <c r="N338" i="1" s="1"/>
  <c r="J338" i="1"/>
  <c r="A340" i="1"/>
  <c r="F340" i="1" s="1"/>
  <c r="C339" i="1"/>
  <c r="B339" i="1"/>
  <c r="E339" i="1" s="1"/>
  <c r="D339" i="1"/>
  <c r="M339" i="1" l="1"/>
  <c r="I339" i="1"/>
  <c r="K339" i="1"/>
  <c r="G339" i="1"/>
  <c r="H339" i="1"/>
  <c r="J339" i="1"/>
  <c r="L339" i="1"/>
  <c r="N339" i="1" s="1"/>
  <c r="A341" i="1"/>
  <c r="F341" i="1" s="1"/>
  <c r="B340" i="1"/>
  <c r="C340" i="1"/>
  <c r="D340" i="1"/>
  <c r="E340" i="1" l="1"/>
  <c r="A342" i="1"/>
  <c r="F342" i="1" s="1"/>
  <c r="B341" i="1"/>
  <c r="C341" i="1"/>
  <c r="D341" i="1"/>
  <c r="M340" i="1" l="1"/>
  <c r="I340" i="1"/>
  <c r="K340" i="1"/>
  <c r="G340" i="1"/>
  <c r="L340" i="1"/>
  <c r="N340" i="1" s="1"/>
  <c r="J340" i="1"/>
  <c r="H340" i="1"/>
  <c r="E341" i="1"/>
  <c r="A343" i="1"/>
  <c r="F343" i="1" s="1"/>
  <c r="D342" i="1"/>
  <c r="B342" i="1"/>
  <c r="C342" i="1"/>
  <c r="M341" i="1" l="1"/>
  <c r="I341" i="1"/>
  <c r="H341" i="1"/>
  <c r="G341" i="1"/>
  <c r="K341" i="1"/>
  <c r="J341" i="1"/>
  <c r="L341" i="1"/>
  <c r="N341" i="1" s="1"/>
  <c r="E342" i="1"/>
  <c r="A344" i="1"/>
  <c r="F344" i="1" s="1"/>
  <c r="C343" i="1"/>
  <c r="D343" i="1"/>
  <c r="B343" i="1"/>
  <c r="M342" i="1" l="1"/>
  <c r="I342" i="1"/>
  <c r="K342" i="1"/>
  <c r="H342" i="1"/>
  <c r="G342" i="1"/>
  <c r="L342" i="1"/>
  <c r="N342" i="1" s="1"/>
  <c r="J342" i="1"/>
  <c r="E343" i="1"/>
  <c r="A345" i="1"/>
  <c r="F345" i="1" s="1"/>
  <c r="C344" i="1"/>
  <c r="D344" i="1"/>
  <c r="B344" i="1"/>
  <c r="M343" i="1" l="1"/>
  <c r="I343" i="1"/>
  <c r="K343" i="1"/>
  <c r="G343" i="1"/>
  <c r="H343" i="1"/>
  <c r="L343" i="1"/>
  <c r="N343" i="1" s="1"/>
  <c r="J343" i="1"/>
  <c r="E344" i="1"/>
  <c r="A346" i="1"/>
  <c r="F346" i="1" s="1"/>
  <c r="C345" i="1"/>
  <c r="D345" i="1"/>
  <c r="B345" i="1"/>
  <c r="M344" i="1" l="1"/>
  <c r="I344" i="1"/>
  <c r="K344" i="1"/>
  <c r="H344" i="1"/>
  <c r="G344" i="1"/>
  <c r="L344" i="1"/>
  <c r="N344" i="1" s="1"/>
  <c r="J344" i="1"/>
  <c r="E345" i="1"/>
  <c r="A347" i="1"/>
  <c r="F347" i="1" s="1"/>
  <c r="C346" i="1"/>
  <c r="D346" i="1"/>
  <c r="B346" i="1"/>
  <c r="M345" i="1" l="1"/>
  <c r="I345" i="1"/>
  <c r="K345" i="1"/>
  <c r="H345" i="1"/>
  <c r="G345" i="1"/>
  <c r="L345" i="1"/>
  <c r="N345" i="1" s="1"/>
  <c r="J345" i="1"/>
  <c r="E346" i="1"/>
  <c r="B347" i="1"/>
  <c r="A348" i="1"/>
  <c r="F348" i="1" s="1"/>
  <c r="C347" i="1"/>
  <c r="D347" i="1"/>
  <c r="M346" i="1" l="1"/>
  <c r="I346" i="1"/>
  <c r="H346" i="1"/>
  <c r="K346" i="1"/>
  <c r="G346" i="1"/>
  <c r="J346" i="1"/>
  <c r="L346" i="1"/>
  <c r="N346" i="1" s="1"/>
  <c r="A349" i="1"/>
  <c r="F349" i="1" s="1"/>
  <c r="C348" i="1"/>
  <c r="D348" i="1"/>
  <c r="B348" i="1"/>
  <c r="E347" i="1"/>
  <c r="M347" i="1" l="1"/>
  <c r="I347" i="1"/>
  <c r="H347" i="1"/>
  <c r="K347" i="1"/>
  <c r="G347" i="1"/>
  <c r="L347" i="1"/>
  <c r="N347" i="1" s="1"/>
  <c r="J347" i="1"/>
  <c r="E348" i="1"/>
  <c r="A350" i="1"/>
  <c r="F350" i="1" s="1"/>
  <c r="C349" i="1"/>
  <c r="D349" i="1"/>
  <c r="B349" i="1"/>
  <c r="E349" i="1" s="1"/>
  <c r="M349" i="1" l="1"/>
  <c r="H349" i="1"/>
  <c r="I349" i="1"/>
  <c r="K349" i="1"/>
  <c r="G349" i="1"/>
  <c r="L349" i="1"/>
  <c r="N349" i="1" s="1"/>
  <c r="J349" i="1"/>
  <c r="M348" i="1"/>
  <c r="K348" i="1"/>
  <c r="I348" i="1"/>
  <c r="H348" i="1"/>
  <c r="G348" i="1"/>
  <c r="J348" i="1"/>
  <c r="L348" i="1"/>
  <c r="N348" i="1" s="1"/>
  <c r="A351" i="1"/>
  <c r="F351" i="1" s="1"/>
  <c r="C350" i="1"/>
  <c r="D350" i="1"/>
  <c r="B350" i="1"/>
  <c r="E350" i="1" l="1"/>
  <c r="C351" i="1"/>
  <c r="A352" i="1"/>
  <c r="F352" i="1" s="1"/>
  <c r="D351" i="1"/>
  <c r="B351" i="1"/>
  <c r="E351" i="1" s="1"/>
  <c r="M350" i="1" l="1"/>
  <c r="I350" i="1"/>
  <c r="K350" i="1"/>
  <c r="H350" i="1"/>
  <c r="G350" i="1"/>
  <c r="J350" i="1"/>
  <c r="L350" i="1"/>
  <c r="N350" i="1" s="1"/>
  <c r="M351" i="1"/>
  <c r="I351" i="1"/>
  <c r="H351" i="1"/>
  <c r="K351" i="1"/>
  <c r="G351" i="1"/>
  <c r="L351" i="1"/>
  <c r="N351" i="1" s="1"/>
  <c r="J351" i="1"/>
  <c r="A353" i="1"/>
  <c r="F353" i="1" s="1"/>
  <c r="B352" i="1"/>
  <c r="C352" i="1"/>
  <c r="D352" i="1"/>
  <c r="E352" i="1" l="1"/>
  <c r="C353" i="1"/>
  <c r="A354" i="1"/>
  <c r="F354" i="1" s="1"/>
  <c r="D353" i="1"/>
  <c r="B353" i="1"/>
  <c r="E353" i="1" s="1"/>
  <c r="I352" i="1" l="1"/>
  <c r="K352" i="1"/>
  <c r="M352" i="1"/>
  <c r="H352" i="1"/>
  <c r="L352" i="1"/>
  <c r="N352" i="1" s="1"/>
  <c r="G352" i="1"/>
  <c r="J352" i="1"/>
  <c r="M353" i="1"/>
  <c r="I353" i="1"/>
  <c r="K353" i="1"/>
  <c r="H353" i="1"/>
  <c r="G353" i="1"/>
  <c r="J353" i="1"/>
  <c r="L353" i="1"/>
  <c r="N353" i="1" s="1"/>
  <c r="D354" i="1"/>
  <c r="A355" i="1"/>
  <c r="F355" i="1" s="1"/>
  <c r="B354" i="1"/>
  <c r="C354" i="1"/>
  <c r="E354" i="1" l="1"/>
  <c r="A356" i="1"/>
  <c r="F356" i="1" s="1"/>
  <c r="C355" i="1"/>
  <c r="D355" i="1"/>
  <c r="B355" i="1"/>
  <c r="E355" i="1" s="1"/>
  <c r="M354" i="1" l="1"/>
  <c r="I354" i="1"/>
  <c r="K354" i="1"/>
  <c r="H354" i="1"/>
  <c r="L354" i="1"/>
  <c r="N354" i="1" s="1"/>
  <c r="J354" i="1"/>
  <c r="G354" i="1"/>
  <c r="M355" i="1"/>
  <c r="I355" i="1"/>
  <c r="K355" i="1"/>
  <c r="G355" i="1"/>
  <c r="H355" i="1"/>
  <c r="J355" i="1"/>
  <c r="L355" i="1"/>
  <c r="N355" i="1" s="1"/>
  <c r="A357" i="1"/>
  <c r="F357" i="1" s="1"/>
  <c r="C356" i="1"/>
  <c r="D356" i="1"/>
  <c r="B356" i="1"/>
  <c r="E356" i="1" s="1"/>
  <c r="M356" i="1" l="1"/>
  <c r="I356" i="1"/>
  <c r="K356" i="1"/>
  <c r="H356" i="1"/>
  <c r="G356" i="1"/>
  <c r="L356" i="1"/>
  <c r="N356" i="1" s="1"/>
  <c r="J356" i="1"/>
  <c r="A358" i="1"/>
  <c r="F358" i="1" s="1"/>
  <c r="C357" i="1"/>
  <c r="D357" i="1"/>
  <c r="B357" i="1"/>
  <c r="E357" i="1" s="1"/>
  <c r="M357" i="1" l="1"/>
  <c r="I357" i="1"/>
  <c r="K357" i="1"/>
  <c r="H357" i="1"/>
  <c r="G357" i="1"/>
  <c r="J357" i="1"/>
  <c r="L357" i="1"/>
  <c r="N357" i="1" s="1"/>
  <c r="C358" i="1"/>
  <c r="D358" i="1"/>
  <c r="B358" i="1"/>
  <c r="E358" i="1" s="1"/>
  <c r="A359" i="1"/>
  <c r="F359" i="1" s="1"/>
  <c r="M358" i="1" l="1"/>
  <c r="I358" i="1"/>
  <c r="K358" i="1"/>
  <c r="H358" i="1"/>
  <c r="G358" i="1"/>
  <c r="J358" i="1"/>
  <c r="L358" i="1"/>
  <c r="N358" i="1" s="1"/>
  <c r="A360" i="1"/>
  <c r="F360" i="1" s="1"/>
  <c r="B359" i="1"/>
  <c r="C359" i="1"/>
  <c r="D359" i="1"/>
  <c r="E359" i="1" l="1"/>
  <c r="C360" i="1"/>
  <c r="A361" i="1"/>
  <c r="F361" i="1" s="1"/>
  <c r="B360" i="1"/>
  <c r="D360" i="1"/>
  <c r="M359" i="1" l="1"/>
  <c r="I359" i="1"/>
  <c r="H359" i="1"/>
  <c r="K359" i="1"/>
  <c r="L359" i="1"/>
  <c r="N359" i="1" s="1"/>
  <c r="G359" i="1"/>
  <c r="J359" i="1"/>
  <c r="E360" i="1"/>
  <c r="C361" i="1"/>
  <c r="A362" i="1"/>
  <c r="F362" i="1" s="1"/>
  <c r="D361" i="1"/>
  <c r="B361" i="1"/>
  <c r="M360" i="1" l="1"/>
  <c r="I360" i="1"/>
  <c r="K360" i="1"/>
  <c r="H360" i="1"/>
  <c r="G360" i="1"/>
  <c r="L360" i="1"/>
  <c r="N360" i="1" s="1"/>
  <c r="J360" i="1"/>
  <c r="E361" i="1"/>
  <c r="A363" i="1"/>
  <c r="F363" i="1" s="1"/>
  <c r="C362" i="1"/>
  <c r="D362" i="1"/>
  <c r="B362" i="1"/>
  <c r="M361" i="1" l="1"/>
  <c r="I361" i="1"/>
  <c r="K361" i="1"/>
  <c r="H361" i="1"/>
  <c r="G361" i="1"/>
  <c r="L361" i="1"/>
  <c r="N361" i="1" s="1"/>
  <c r="J361" i="1"/>
  <c r="E362" i="1"/>
  <c r="A364" i="1"/>
  <c r="F364" i="1" s="1"/>
  <c r="D363" i="1"/>
  <c r="B363" i="1"/>
  <c r="C363" i="1"/>
  <c r="M362" i="1" l="1"/>
  <c r="H362" i="1"/>
  <c r="I362" i="1"/>
  <c r="G362" i="1"/>
  <c r="K362" i="1"/>
  <c r="L362" i="1"/>
  <c r="N362" i="1" s="1"/>
  <c r="J362" i="1"/>
  <c r="E363" i="1"/>
  <c r="A365" i="1"/>
  <c r="F365" i="1" s="1"/>
  <c r="B364" i="1"/>
  <c r="C364" i="1"/>
  <c r="D364" i="1"/>
  <c r="M363" i="1" l="1"/>
  <c r="I363" i="1"/>
  <c r="K363" i="1"/>
  <c r="L363" i="1"/>
  <c r="N363" i="1" s="1"/>
  <c r="G363" i="1"/>
  <c r="J363" i="1"/>
  <c r="H363" i="1"/>
  <c r="E364" i="1"/>
  <c r="A366" i="1"/>
  <c r="F366" i="1" s="1"/>
  <c r="C365" i="1"/>
  <c r="D365" i="1"/>
  <c r="B365" i="1"/>
  <c r="M364" i="1" l="1"/>
  <c r="I364" i="1"/>
  <c r="H364" i="1"/>
  <c r="G364" i="1"/>
  <c r="K364" i="1"/>
  <c r="J364" i="1"/>
  <c r="L364" i="1"/>
  <c r="N364" i="1" s="1"/>
  <c r="E365" i="1"/>
  <c r="A367" i="1"/>
  <c r="F367" i="1" s="1"/>
  <c r="C366" i="1"/>
  <c r="D366" i="1"/>
  <c r="B366" i="1"/>
  <c r="M365" i="1" l="1"/>
  <c r="I365" i="1"/>
  <c r="H365" i="1"/>
  <c r="G365" i="1"/>
  <c r="K365" i="1"/>
  <c r="J365" i="1"/>
  <c r="L365" i="1"/>
  <c r="N365" i="1" s="1"/>
  <c r="E366" i="1"/>
  <c r="A368" i="1"/>
  <c r="F368" i="1" s="1"/>
  <c r="C367" i="1"/>
  <c r="D367" i="1"/>
  <c r="B367" i="1"/>
  <c r="M366" i="1" l="1"/>
  <c r="I366" i="1"/>
  <c r="K366" i="1"/>
  <c r="H366" i="1"/>
  <c r="G366" i="1"/>
  <c r="J366" i="1"/>
  <c r="L366" i="1"/>
  <c r="N366" i="1" s="1"/>
  <c r="E367" i="1"/>
  <c r="C368" i="1"/>
  <c r="D368" i="1"/>
  <c r="B368" i="1"/>
  <c r="E368" i="1" s="1"/>
  <c r="A369" i="1"/>
  <c r="F369" i="1" s="1"/>
  <c r="H368" i="1" l="1"/>
  <c r="M368" i="1"/>
  <c r="I368" i="1"/>
  <c r="K368" i="1"/>
  <c r="G368" i="1"/>
  <c r="L368" i="1"/>
  <c r="N368" i="1" s="1"/>
  <c r="J368" i="1"/>
  <c r="M367" i="1"/>
  <c r="H367" i="1"/>
  <c r="I367" i="1"/>
  <c r="K367" i="1"/>
  <c r="G367" i="1"/>
  <c r="L367" i="1"/>
  <c r="N367" i="1" s="1"/>
  <c r="J367" i="1"/>
  <c r="B369" i="1"/>
  <c r="A370" i="1"/>
  <c r="F370" i="1" s="1"/>
  <c r="C369" i="1"/>
  <c r="D369" i="1"/>
  <c r="A371" i="1" l="1"/>
  <c r="F371" i="1" s="1"/>
  <c r="B370" i="1"/>
  <c r="C370" i="1"/>
  <c r="D370" i="1"/>
  <c r="E369" i="1"/>
  <c r="M369" i="1" l="1"/>
  <c r="H369" i="1"/>
  <c r="I369" i="1"/>
  <c r="G369" i="1"/>
  <c r="K369" i="1"/>
  <c r="L369" i="1"/>
  <c r="N369" i="1" s="1"/>
  <c r="J369" i="1"/>
  <c r="E370" i="1"/>
  <c r="B371" i="1"/>
  <c r="A372" i="1"/>
  <c r="F372" i="1" s="1"/>
  <c r="C371" i="1"/>
  <c r="D371" i="1"/>
  <c r="M370" i="1" l="1"/>
  <c r="H370" i="1"/>
  <c r="I370" i="1"/>
  <c r="K370" i="1"/>
  <c r="G370" i="1"/>
  <c r="J370" i="1"/>
  <c r="L370" i="1"/>
  <c r="N370" i="1" s="1"/>
  <c r="A373" i="1"/>
  <c r="F373" i="1" s="1"/>
  <c r="B372" i="1"/>
  <c r="D372" i="1"/>
  <c r="C372" i="1"/>
  <c r="E371" i="1"/>
  <c r="M371" i="1" l="1"/>
  <c r="H371" i="1"/>
  <c r="K371" i="1"/>
  <c r="I371" i="1"/>
  <c r="G371" i="1"/>
  <c r="J371" i="1"/>
  <c r="L371" i="1"/>
  <c r="N371" i="1" s="1"/>
  <c r="E372" i="1"/>
  <c r="A374" i="1"/>
  <c r="F374" i="1" s="1"/>
  <c r="D373" i="1"/>
  <c r="B373" i="1"/>
  <c r="C373" i="1"/>
  <c r="M372" i="1" l="1"/>
  <c r="H372" i="1"/>
  <c r="I372" i="1"/>
  <c r="K372" i="1"/>
  <c r="G372" i="1"/>
  <c r="L372" i="1"/>
  <c r="N372" i="1" s="1"/>
  <c r="J372" i="1"/>
  <c r="E373" i="1"/>
  <c r="A375" i="1"/>
  <c r="F375" i="1" s="1"/>
  <c r="D374" i="1"/>
  <c r="B374" i="1"/>
  <c r="C374" i="1"/>
  <c r="M373" i="1" l="1"/>
  <c r="H373" i="1"/>
  <c r="I373" i="1"/>
  <c r="K373" i="1"/>
  <c r="J373" i="1"/>
  <c r="G373" i="1"/>
  <c r="L373" i="1"/>
  <c r="N373" i="1" s="1"/>
  <c r="E374" i="1"/>
  <c r="A376" i="1"/>
  <c r="F376" i="1" s="1"/>
  <c r="D375" i="1"/>
  <c r="B375" i="1"/>
  <c r="C375" i="1"/>
  <c r="H374" i="1" l="1"/>
  <c r="M374" i="1"/>
  <c r="K374" i="1"/>
  <c r="I374" i="1"/>
  <c r="G374" i="1"/>
  <c r="L374" i="1"/>
  <c r="N374" i="1" s="1"/>
  <c r="J374" i="1"/>
  <c r="E375" i="1"/>
  <c r="A377" i="1"/>
  <c r="F377" i="1" s="1"/>
  <c r="C376" i="1"/>
  <c r="D376" i="1"/>
  <c r="B376" i="1"/>
  <c r="M375" i="1" l="1"/>
  <c r="H375" i="1"/>
  <c r="I375" i="1"/>
  <c r="K375" i="1"/>
  <c r="G375" i="1"/>
  <c r="L375" i="1"/>
  <c r="N375" i="1" s="1"/>
  <c r="J375" i="1"/>
  <c r="E376" i="1"/>
  <c r="A378" i="1"/>
  <c r="F378" i="1" s="1"/>
  <c r="D377" i="1"/>
  <c r="C377" i="1"/>
  <c r="B377" i="1"/>
  <c r="M376" i="1" l="1"/>
  <c r="H376" i="1"/>
  <c r="K376" i="1"/>
  <c r="I376" i="1"/>
  <c r="G376" i="1"/>
  <c r="L376" i="1"/>
  <c r="N376" i="1" s="1"/>
  <c r="J376" i="1"/>
  <c r="E377" i="1"/>
  <c r="A379" i="1"/>
  <c r="F379" i="1" s="1"/>
  <c r="C378" i="1"/>
  <c r="B378" i="1"/>
  <c r="E378" i="1" s="1"/>
  <c r="D378" i="1"/>
  <c r="M378" i="1" l="1"/>
  <c r="K378" i="1"/>
  <c r="H378" i="1"/>
  <c r="I378" i="1"/>
  <c r="L378" i="1"/>
  <c r="N378" i="1" s="1"/>
  <c r="J378" i="1"/>
  <c r="G378" i="1"/>
  <c r="H377" i="1"/>
  <c r="M377" i="1"/>
  <c r="K377" i="1"/>
  <c r="I377" i="1"/>
  <c r="G377" i="1"/>
  <c r="J377" i="1"/>
  <c r="L377" i="1"/>
  <c r="N377" i="1" s="1"/>
  <c r="A380" i="1"/>
  <c r="F380" i="1" s="1"/>
  <c r="C379" i="1"/>
  <c r="D379" i="1"/>
  <c r="B379" i="1"/>
  <c r="E379" i="1" s="1"/>
  <c r="M379" i="1" l="1"/>
  <c r="H379" i="1"/>
  <c r="I379" i="1"/>
  <c r="K379" i="1"/>
  <c r="G379" i="1"/>
  <c r="L379" i="1"/>
  <c r="N379" i="1" s="1"/>
  <c r="J379" i="1"/>
  <c r="A381" i="1"/>
  <c r="F381" i="1" s="1"/>
  <c r="C380" i="1"/>
  <c r="D380" i="1"/>
  <c r="B380" i="1"/>
  <c r="E380" i="1" s="1"/>
  <c r="M380" i="1" l="1"/>
  <c r="H380" i="1"/>
  <c r="I380" i="1"/>
  <c r="K380" i="1"/>
  <c r="L380" i="1"/>
  <c r="N380" i="1" s="1"/>
  <c r="G380" i="1"/>
  <c r="J380" i="1"/>
  <c r="A382" i="1"/>
  <c r="F382" i="1" s="1"/>
  <c r="C381" i="1"/>
  <c r="B381" i="1"/>
  <c r="E381" i="1" s="1"/>
  <c r="D381" i="1"/>
  <c r="M381" i="1" l="1"/>
  <c r="H381" i="1"/>
  <c r="K381" i="1"/>
  <c r="I381" i="1"/>
  <c r="G381" i="1"/>
  <c r="L381" i="1"/>
  <c r="N381" i="1" s="1"/>
  <c r="J381" i="1"/>
  <c r="A383" i="1"/>
  <c r="F383" i="1" s="1"/>
  <c r="B382" i="1"/>
  <c r="C382" i="1"/>
  <c r="D382" i="1"/>
  <c r="E382" i="1" l="1"/>
  <c r="A384" i="1"/>
  <c r="F384" i="1" s="1"/>
  <c r="B383" i="1"/>
  <c r="D383" i="1"/>
  <c r="C383" i="1"/>
  <c r="M382" i="1" l="1"/>
  <c r="H382" i="1"/>
  <c r="I382" i="1"/>
  <c r="K382" i="1"/>
  <c r="G382" i="1"/>
  <c r="J382" i="1"/>
  <c r="L382" i="1"/>
  <c r="N382" i="1" s="1"/>
  <c r="E383" i="1"/>
  <c r="A385" i="1"/>
  <c r="F385" i="1" s="1"/>
  <c r="C384" i="1"/>
  <c r="D384" i="1"/>
  <c r="B384" i="1"/>
  <c r="M383" i="1" l="1"/>
  <c r="H383" i="1"/>
  <c r="K383" i="1"/>
  <c r="I383" i="1"/>
  <c r="G383" i="1"/>
  <c r="L383" i="1"/>
  <c r="N383" i="1" s="1"/>
  <c r="J383" i="1"/>
  <c r="E384" i="1"/>
  <c r="A386" i="1"/>
  <c r="F386" i="1" s="1"/>
  <c r="C385" i="1"/>
  <c r="D385" i="1"/>
  <c r="B385" i="1"/>
  <c r="M384" i="1" l="1"/>
  <c r="H384" i="1"/>
  <c r="I384" i="1"/>
  <c r="K384" i="1"/>
  <c r="G384" i="1"/>
  <c r="L384" i="1"/>
  <c r="N384" i="1" s="1"/>
  <c r="J384" i="1"/>
  <c r="E385" i="1"/>
  <c r="A387" i="1"/>
  <c r="F387" i="1" s="1"/>
  <c r="C386" i="1"/>
  <c r="B386" i="1"/>
  <c r="E386" i="1" s="1"/>
  <c r="D386" i="1"/>
  <c r="H386" i="1" l="1"/>
  <c r="M386" i="1"/>
  <c r="K386" i="1"/>
  <c r="I386" i="1"/>
  <c r="G386" i="1"/>
  <c r="L386" i="1"/>
  <c r="J386" i="1"/>
  <c r="M385" i="1"/>
  <c r="H385" i="1"/>
  <c r="K385" i="1"/>
  <c r="I385" i="1"/>
  <c r="G385" i="1"/>
  <c r="L385" i="1"/>
  <c r="N385" i="1" s="1"/>
  <c r="J385" i="1"/>
  <c r="N386" i="1"/>
  <c r="A388" i="1"/>
  <c r="F388" i="1" s="1"/>
  <c r="C387" i="1"/>
  <c r="D387" i="1"/>
  <c r="B387" i="1"/>
  <c r="E387" i="1" s="1"/>
  <c r="M387" i="1" l="1"/>
  <c r="H387" i="1"/>
  <c r="I387" i="1"/>
  <c r="K387" i="1"/>
  <c r="G387" i="1"/>
  <c r="L387" i="1"/>
  <c r="N387" i="1" s="1"/>
  <c r="J387" i="1"/>
  <c r="D388" i="1"/>
  <c r="A389" i="1"/>
  <c r="F389" i="1" s="1"/>
  <c r="B388" i="1"/>
  <c r="C388" i="1"/>
  <c r="E388" i="1" l="1"/>
  <c r="A390" i="1"/>
  <c r="F390" i="1" s="1"/>
  <c r="B389" i="1"/>
  <c r="C389" i="1"/>
  <c r="D389" i="1"/>
  <c r="M388" i="1" l="1"/>
  <c r="H388" i="1"/>
  <c r="K388" i="1"/>
  <c r="I388" i="1"/>
  <c r="G388" i="1"/>
  <c r="L388" i="1"/>
  <c r="N388" i="1" s="1"/>
  <c r="J388" i="1"/>
  <c r="E389" i="1"/>
  <c r="A391" i="1"/>
  <c r="F391" i="1" s="1"/>
  <c r="C390" i="1"/>
  <c r="D390" i="1"/>
  <c r="B390" i="1"/>
  <c r="E390" i="1" s="1"/>
  <c r="H390" i="1" l="1"/>
  <c r="M390" i="1"/>
  <c r="K390" i="1"/>
  <c r="I390" i="1"/>
  <c r="G390" i="1"/>
  <c r="L390" i="1"/>
  <c r="N390" i="1" s="1"/>
  <c r="J390" i="1"/>
  <c r="H389" i="1"/>
  <c r="K389" i="1"/>
  <c r="I389" i="1"/>
  <c r="J389" i="1"/>
  <c r="G389" i="1"/>
  <c r="L389" i="1"/>
  <c r="N389" i="1" s="1"/>
  <c r="M389" i="1"/>
  <c r="A392" i="1"/>
  <c r="F392" i="1" s="1"/>
  <c r="C391" i="1"/>
  <c r="D391" i="1"/>
  <c r="B391" i="1"/>
  <c r="E391" i="1" l="1"/>
  <c r="A393" i="1"/>
  <c r="F393" i="1" s="1"/>
  <c r="C392" i="1"/>
  <c r="D392" i="1"/>
  <c r="B392" i="1"/>
  <c r="E392" i="1" s="1"/>
  <c r="H392" i="1" l="1"/>
  <c r="I392" i="1"/>
  <c r="G392" i="1"/>
  <c r="M392" i="1"/>
  <c r="L392" i="1"/>
  <c r="N392" i="1" s="1"/>
  <c r="K392" i="1"/>
  <c r="J392" i="1"/>
  <c r="M391" i="1"/>
  <c r="H391" i="1"/>
  <c r="K391" i="1"/>
  <c r="I391" i="1"/>
  <c r="G391" i="1"/>
  <c r="L391" i="1"/>
  <c r="N391" i="1" s="1"/>
  <c r="J391" i="1"/>
  <c r="A394" i="1"/>
  <c r="F394" i="1" s="1"/>
  <c r="C393" i="1"/>
  <c r="B393" i="1"/>
  <c r="E393" i="1" s="1"/>
  <c r="D393" i="1"/>
  <c r="H393" i="1" l="1"/>
  <c r="K393" i="1"/>
  <c r="G393" i="1"/>
  <c r="M393" i="1"/>
  <c r="I393" i="1"/>
  <c r="L393" i="1"/>
  <c r="N393" i="1" s="1"/>
  <c r="J393" i="1"/>
  <c r="A395" i="1"/>
  <c r="F395" i="1" s="1"/>
  <c r="B394" i="1"/>
  <c r="D394" i="1"/>
  <c r="C394" i="1"/>
  <c r="E394" i="1" l="1"/>
  <c r="B395" i="1"/>
  <c r="A396" i="1"/>
  <c r="F396" i="1" s="1"/>
  <c r="C395" i="1"/>
  <c r="D395" i="1"/>
  <c r="M394" i="1" l="1"/>
  <c r="I394" i="1"/>
  <c r="K394" i="1"/>
  <c r="J394" i="1"/>
  <c r="H394" i="1"/>
  <c r="G394" i="1"/>
  <c r="L394" i="1"/>
  <c r="N394" i="1" s="1"/>
  <c r="A397" i="1"/>
  <c r="F397" i="1" s="1"/>
  <c r="B396" i="1"/>
  <c r="C396" i="1"/>
  <c r="D396" i="1"/>
  <c r="E395" i="1"/>
  <c r="H395" i="1" l="1"/>
  <c r="G395" i="1"/>
  <c r="I395" i="1"/>
  <c r="M395" i="1"/>
  <c r="L395" i="1"/>
  <c r="N395" i="1" s="1"/>
  <c r="K395" i="1"/>
  <c r="J395" i="1"/>
  <c r="E396" i="1"/>
  <c r="A398" i="1"/>
  <c r="F398" i="1" s="1"/>
  <c r="C397" i="1"/>
  <c r="D397" i="1"/>
  <c r="B397" i="1"/>
  <c r="M396" i="1" l="1"/>
  <c r="K396" i="1"/>
  <c r="G396" i="1"/>
  <c r="L396" i="1"/>
  <c r="N396" i="1" s="1"/>
  <c r="I396" i="1"/>
  <c r="H396" i="1"/>
  <c r="J396" i="1"/>
  <c r="E397" i="1"/>
  <c r="A399" i="1"/>
  <c r="F399" i="1" s="1"/>
  <c r="C398" i="1"/>
  <c r="D398" i="1"/>
  <c r="B398" i="1"/>
  <c r="H397" i="1" l="1"/>
  <c r="L397" i="1"/>
  <c r="N397" i="1" s="1"/>
  <c r="M397" i="1"/>
  <c r="K397" i="1"/>
  <c r="I397" i="1"/>
  <c r="J397" i="1"/>
  <c r="G397" i="1"/>
  <c r="E398" i="1"/>
  <c r="A400" i="1"/>
  <c r="F400" i="1" s="1"/>
  <c r="C399" i="1"/>
  <c r="B399" i="1"/>
  <c r="D399" i="1"/>
  <c r="E399" i="1" l="1"/>
  <c r="G398" i="1"/>
  <c r="J398" i="1"/>
  <c r="K398" i="1"/>
  <c r="H398" i="1"/>
  <c r="I398" i="1"/>
  <c r="M398" i="1"/>
  <c r="L398" i="1"/>
  <c r="N398" i="1" s="1"/>
  <c r="A401" i="1"/>
  <c r="F401" i="1" s="1"/>
  <c r="B400" i="1"/>
  <c r="C400" i="1"/>
  <c r="D400" i="1"/>
  <c r="M399" i="1" l="1"/>
  <c r="H399" i="1"/>
  <c r="K399" i="1"/>
  <c r="L399" i="1"/>
  <c r="N399" i="1" s="1"/>
  <c r="J399" i="1"/>
  <c r="G399" i="1"/>
  <c r="I399" i="1"/>
  <c r="E400" i="1"/>
  <c r="C401" i="1"/>
  <c r="A402" i="1"/>
  <c r="F402" i="1" s="1"/>
  <c r="B401" i="1"/>
  <c r="E401" i="1" s="1"/>
  <c r="D401" i="1"/>
  <c r="K401" i="1" l="1"/>
  <c r="M401" i="1"/>
  <c r="J401" i="1"/>
  <c r="I401" i="1"/>
  <c r="H401" i="1"/>
  <c r="G401" i="1"/>
  <c r="L401" i="1"/>
  <c r="N401" i="1" s="1"/>
  <c r="H400" i="1"/>
  <c r="K400" i="1"/>
  <c r="I400" i="1"/>
  <c r="L400" i="1"/>
  <c r="G400" i="1"/>
  <c r="J400" i="1"/>
  <c r="M400" i="1"/>
  <c r="A403" i="1"/>
  <c r="F403" i="1" s="1"/>
  <c r="C402" i="1"/>
  <c r="D402" i="1"/>
  <c r="B402" i="1"/>
  <c r="E402" i="1" s="1"/>
  <c r="N400" i="1" l="1"/>
  <c r="H402" i="1"/>
  <c r="J402" i="1"/>
  <c r="I402" i="1"/>
  <c r="K402" i="1"/>
  <c r="G402" i="1"/>
  <c r="L402" i="1"/>
  <c r="N402" i="1" s="1"/>
  <c r="M402" i="1"/>
  <c r="A404" i="1"/>
  <c r="F404" i="1" s="1"/>
  <c r="C403" i="1"/>
  <c r="D403" i="1"/>
  <c r="B403" i="1"/>
  <c r="E403" i="1" l="1"/>
  <c r="A405" i="1"/>
  <c r="F405" i="1" s="1"/>
  <c r="C404" i="1"/>
  <c r="D404" i="1"/>
  <c r="B404" i="1"/>
  <c r="E404" i="1" s="1"/>
  <c r="L404" i="1" l="1"/>
  <c r="N404" i="1" s="1"/>
  <c r="H404" i="1"/>
  <c r="G404" i="1"/>
  <c r="I404" i="1"/>
  <c r="M404" i="1"/>
  <c r="K404" i="1"/>
  <c r="J404" i="1"/>
  <c r="M403" i="1"/>
  <c r="L403" i="1"/>
  <c r="N403" i="1" s="1"/>
  <c r="K403" i="1"/>
  <c r="I403" i="1"/>
  <c r="J403" i="1"/>
  <c r="H403" i="1"/>
  <c r="G403" i="1"/>
  <c r="B405" i="1"/>
  <c r="A406" i="1"/>
  <c r="F406" i="1" s="1"/>
  <c r="C405" i="1"/>
  <c r="D405" i="1"/>
  <c r="A407" i="1" l="1"/>
  <c r="F407" i="1" s="1"/>
  <c r="C406" i="1"/>
  <c r="B406" i="1"/>
  <c r="E406" i="1" s="1"/>
  <c r="D406" i="1"/>
  <c r="E405" i="1"/>
  <c r="L405" i="1" l="1"/>
  <c r="N405" i="1" s="1"/>
  <c r="M405" i="1"/>
  <c r="K405" i="1"/>
  <c r="G405" i="1"/>
  <c r="H405" i="1"/>
  <c r="J405" i="1"/>
  <c r="I405" i="1"/>
  <c r="J406" i="1"/>
  <c r="G406" i="1"/>
  <c r="K406" i="1"/>
  <c r="L406" i="1"/>
  <c r="N406" i="1" s="1"/>
  <c r="M406" i="1"/>
  <c r="H406" i="1"/>
  <c r="I406" i="1"/>
  <c r="A408" i="1"/>
  <c r="F408" i="1" s="1"/>
  <c r="B407" i="1"/>
  <c r="C407" i="1"/>
  <c r="D407" i="1"/>
  <c r="E407" i="1" l="1"/>
  <c r="A409" i="1"/>
  <c r="F409" i="1" s="1"/>
  <c r="B408" i="1"/>
  <c r="C408" i="1"/>
  <c r="D408" i="1"/>
  <c r="I407" i="1" l="1"/>
  <c r="J407" i="1"/>
  <c r="L407" i="1"/>
  <c r="K407" i="1"/>
  <c r="G407" i="1"/>
  <c r="M407" i="1"/>
  <c r="H407" i="1"/>
  <c r="E408" i="1"/>
  <c r="C409" i="1"/>
  <c r="D409" i="1"/>
  <c r="B409" i="1"/>
  <c r="E409" i="1" s="1"/>
  <c r="A410" i="1"/>
  <c r="F410" i="1" s="1"/>
  <c r="G409" i="1" l="1"/>
  <c r="H409" i="1"/>
  <c r="J409" i="1"/>
  <c r="I409" i="1"/>
  <c r="M409" i="1"/>
  <c r="K409" i="1"/>
  <c r="L409" i="1"/>
  <c r="N409" i="1" s="1"/>
  <c r="N407" i="1"/>
  <c r="L408" i="1"/>
  <c r="I408" i="1"/>
  <c r="J408" i="1"/>
  <c r="K408" i="1"/>
  <c r="M408" i="1"/>
  <c r="G408" i="1"/>
  <c r="H408" i="1"/>
  <c r="A411" i="1"/>
  <c r="F411" i="1" s="1"/>
  <c r="C410" i="1"/>
  <c r="D410" i="1"/>
  <c r="B410" i="1"/>
  <c r="N408" i="1" l="1"/>
  <c r="E410" i="1"/>
  <c r="A412" i="1"/>
  <c r="F412" i="1" s="1"/>
  <c r="C411" i="1"/>
  <c r="D411" i="1"/>
  <c r="B411" i="1"/>
  <c r="E411" i="1" s="1"/>
  <c r="H411" i="1" l="1"/>
  <c r="G411" i="1"/>
  <c r="M411" i="1"/>
  <c r="K411" i="1"/>
  <c r="I411" i="1"/>
  <c r="L411" i="1"/>
  <c r="N411" i="1" s="1"/>
  <c r="J411" i="1"/>
  <c r="L410" i="1"/>
  <c r="N410" i="1" s="1"/>
  <c r="M410" i="1"/>
  <c r="K410" i="1"/>
  <c r="G410" i="1"/>
  <c r="H410" i="1"/>
  <c r="I410" i="1"/>
  <c r="J410" i="1"/>
  <c r="A413" i="1"/>
  <c r="F413" i="1" s="1"/>
  <c r="B412" i="1"/>
  <c r="C412" i="1"/>
  <c r="D412" i="1"/>
  <c r="E412" i="1" l="1"/>
  <c r="A414" i="1"/>
  <c r="F414" i="1" s="1"/>
  <c r="B413" i="1"/>
  <c r="C413" i="1"/>
  <c r="D413" i="1"/>
  <c r="J412" i="1" l="1"/>
  <c r="K412" i="1"/>
  <c r="M412" i="1"/>
  <c r="L412" i="1"/>
  <c r="N412" i="1" s="1"/>
  <c r="I412" i="1"/>
  <c r="H412" i="1"/>
  <c r="G412" i="1"/>
  <c r="E413" i="1"/>
  <c r="C414" i="1"/>
  <c r="A415" i="1"/>
  <c r="F415" i="1" s="1"/>
  <c r="D414" i="1"/>
  <c r="B414" i="1"/>
  <c r="L413" i="1" l="1"/>
  <c r="N413" i="1" s="1"/>
  <c r="K413" i="1"/>
  <c r="M413" i="1"/>
  <c r="H413" i="1"/>
  <c r="J413" i="1"/>
  <c r="I413" i="1"/>
  <c r="G413" i="1"/>
  <c r="E414" i="1"/>
  <c r="A416" i="1"/>
  <c r="F416" i="1" s="1"/>
  <c r="C415" i="1"/>
  <c r="D415" i="1"/>
  <c r="B415" i="1"/>
  <c r="I414" i="1" l="1"/>
  <c r="K414" i="1"/>
  <c r="J414" i="1"/>
  <c r="H414" i="1"/>
  <c r="G414" i="1"/>
  <c r="M414" i="1"/>
  <c r="L414" i="1"/>
  <c r="N414" i="1" s="1"/>
  <c r="E415" i="1"/>
  <c r="C416" i="1"/>
  <c r="D416" i="1"/>
  <c r="A417" i="1"/>
  <c r="F417" i="1" s="1"/>
  <c r="B416" i="1"/>
  <c r="M415" i="1" l="1"/>
  <c r="I415" i="1"/>
  <c r="G415" i="1"/>
  <c r="J415" i="1"/>
  <c r="L415" i="1"/>
  <c r="N415" i="1" s="1"/>
  <c r="K415" i="1"/>
  <c r="H415" i="1"/>
  <c r="E416" i="1"/>
  <c r="A418" i="1"/>
  <c r="F418" i="1" s="1"/>
  <c r="C417" i="1"/>
  <c r="D417" i="1"/>
  <c r="B417" i="1"/>
  <c r="I416" i="1" l="1"/>
  <c r="H416" i="1"/>
  <c r="G416" i="1"/>
  <c r="M416" i="1"/>
  <c r="K416" i="1"/>
  <c r="L416" i="1"/>
  <c r="N416" i="1" s="1"/>
  <c r="J416" i="1"/>
  <c r="E417" i="1"/>
  <c r="A419" i="1"/>
  <c r="F419" i="1" s="1"/>
  <c r="C418" i="1"/>
  <c r="D418" i="1"/>
  <c r="B418" i="1"/>
  <c r="K417" i="1" l="1"/>
  <c r="L417" i="1"/>
  <c r="N417" i="1" s="1"/>
  <c r="M417" i="1"/>
  <c r="H417" i="1"/>
  <c r="J417" i="1"/>
  <c r="I417" i="1"/>
  <c r="G417" i="1"/>
  <c r="E418" i="1"/>
  <c r="B419" i="1"/>
  <c r="A420" i="1"/>
  <c r="F420" i="1" s="1"/>
  <c r="C419" i="1"/>
  <c r="D419" i="1"/>
  <c r="G418" i="1" l="1"/>
  <c r="J418" i="1"/>
  <c r="M418" i="1"/>
  <c r="K418" i="1"/>
  <c r="L418" i="1"/>
  <c r="N418" i="1" s="1"/>
  <c r="I418" i="1"/>
  <c r="H418" i="1"/>
  <c r="A421" i="1"/>
  <c r="F421" i="1" s="1"/>
  <c r="B420" i="1"/>
  <c r="C420" i="1"/>
  <c r="D420" i="1"/>
  <c r="E419" i="1"/>
  <c r="I419" i="1" l="1"/>
  <c r="J419" i="1"/>
  <c r="L419" i="1"/>
  <c r="K419" i="1"/>
  <c r="H419" i="1"/>
  <c r="G419" i="1"/>
  <c r="M419" i="1"/>
  <c r="E420" i="1"/>
  <c r="D421" i="1"/>
  <c r="B421" i="1"/>
  <c r="A422" i="1"/>
  <c r="F422" i="1" s="1"/>
  <c r="C421" i="1"/>
  <c r="M420" i="1" l="1"/>
  <c r="H420" i="1"/>
  <c r="K420" i="1"/>
  <c r="L420" i="1"/>
  <c r="N420" i="1" s="1"/>
  <c r="J420" i="1"/>
  <c r="G420" i="1"/>
  <c r="I420" i="1"/>
  <c r="N419" i="1"/>
  <c r="A423" i="1"/>
  <c r="F423" i="1" s="1"/>
  <c r="C422" i="1"/>
  <c r="D422" i="1"/>
  <c r="B422" i="1"/>
  <c r="E422" i="1" s="1"/>
  <c r="E421" i="1"/>
  <c r="G421" i="1" l="1"/>
  <c r="H421" i="1"/>
  <c r="J421" i="1"/>
  <c r="I421" i="1"/>
  <c r="M421" i="1"/>
  <c r="L421" i="1"/>
  <c r="N421" i="1" s="1"/>
  <c r="K421" i="1"/>
  <c r="L422" i="1"/>
  <c r="N422" i="1" s="1"/>
  <c r="M422" i="1"/>
  <c r="I422" i="1"/>
  <c r="K422" i="1"/>
  <c r="J422" i="1"/>
  <c r="G422" i="1"/>
  <c r="H422" i="1"/>
  <c r="A424" i="1"/>
  <c r="F424" i="1" s="1"/>
  <c r="C423" i="1"/>
  <c r="B423" i="1"/>
  <c r="E423" i="1" s="1"/>
  <c r="D423" i="1"/>
  <c r="H423" i="1" l="1"/>
  <c r="G423" i="1"/>
  <c r="K423" i="1"/>
  <c r="M423" i="1"/>
  <c r="L423" i="1"/>
  <c r="N423" i="1" s="1"/>
  <c r="I423" i="1"/>
  <c r="J423" i="1"/>
  <c r="A425" i="1"/>
  <c r="F425" i="1" s="1"/>
  <c r="C424" i="1"/>
  <c r="B424" i="1"/>
  <c r="E424" i="1" s="1"/>
  <c r="D424" i="1"/>
  <c r="J424" i="1" l="1"/>
  <c r="K424" i="1"/>
  <c r="M424" i="1"/>
  <c r="L424" i="1"/>
  <c r="N424" i="1" s="1"/>
  <c r="I424" i="1"/>
  <c r="H424" i="1"/>
  <c r="G424" i="1"/>
  <c r="A426" i="1"/>
  <c r="F426" i="1" s="1"/>
  <c r="D425" i="1"/>
  <c r="C425" i="1"/>
  <c r="B425" i="1"/>
  <c r="E425" i="1" s="1"/>
  <c r="L425" i="1" l="1"/>
  <c r="N425" i="1" s="1"/>
  <c r="K425" i="1"/>
  <c r="J425" i="1"/>
  <c r="M425" i="1"/>
  <c r="I425" i="1"/>
  <c r="G425" i="1"/>
  <c r="H425" i="1"/>
  <c r="A427" i="1"/>
  <c r="F427" i="1" s="1"/>
  <c r="B426" i="1"/>
  <c r="D426" i="1"/>
  <c r="C426" i="1"/>
  <c r="X427" i="1" l="1"/>
  <c r="E426" i="1"/>
  <c r="A428" i="1"/>
  <c r="F428" i="1" s="1"/>
  <c r="C427" i="1"/>
  <c r="D427" i="1"/>
  <c r="B427" i="1"/>
  <c r="E427" i="1" s="1"/>
  <c r="M427" i="1" l="1"/>
  <c r="J427" i="1"/>
  <c r="H427" i="1"/>
  <c r="L427" i="1"/>
  <c r="N427" i="1" s="1"/>
  <c r="K427" i="1"/>
  <c r="I427" i="1"/>
  <c r="G427" i="1"/>
  <c r="H426" i="1"/>
  <c r="I426" i="1"/>
  <c r="K426" i="1"/>
  <c r="J426" i="1"/>
  <c r="G426" i="1"/>
  <c r="L426" i="1"/>
  <c r="N426" i="1" s="1"/>
  <c r="M426" i="1"/>
  <c r="X428" i="1"/>
  <c r="A429" i="1"/>
  <c r="F429" i="1" s="1"/>
  <c r="C428" i="1"/>
  <c r="D428" i="1"/>
  <c r="B428" i="1"/>
  <c r="E428" i="1" s="1"/>
  <c r="G428" i="1" l="1"/>
  <c r="I428" i="1"/>
  <c r="H428" i="1"/>
  <c r="M428" i="1"/>
  <c r="J428" i="1"/>
  <c r="L428" i="1"/>
  <c r="N428" i="1" s="1"/>
  <c r="K428" i="1"/>
  <c r="X429" i="1"/>
  <c r="A430" i="1"/>
  <c r="F430" i="1" s="1"/>
  <c r="C429" i="1"/>
  <c r="D429" i="1"/>
  <c r="B429" i="1"/>
  <c r="E429" i="1" s="1"/>
  <c r="X430" i="1" l="1"/>
  <c r="K429" i="1"/>
  <c r="L429" i="1"/>
  <c r="N429" i="1" s="1"/>
  <c r="M429" i="1"/>
  <c r="J429" i="1"/>
  <c r="I429" i="1"/>
  <c r="G429" i="1"/>
  <c r="H429" i="1"/>
  <c r="A431" i="1"/>
  <c r="F431" i="1" s="1"/>
  <c r="X431" i="1" s="1"/>
  <c r="C430" i="1"/>
  <c r="D430" i="1"/>
  <c r="B430" i="1"/>
  <c r="E430" i="1" s="1"/>
  <c r="H430" i="1" l="1"/>
  <c r="G430" i="1"/>
  <c r="K430" i="1"/>
  <c r="L430" i="1"/>
  <c r="N430" i="1" s="1"/>
  <c r="J430" i="1"/>
  <c r="M430" i="1"/>
  <c r="I430" i="1"/>
  <c r="A432" i="1"/>
  <c r="F432" i="1" s="1"/>
  <c r="X432" i="1" s="1"/>
  <c r="B431" i="1"/>
  <c r="C431" i="1"/>
  <c r="D431" i="1"/>
  <c r="E431" i="1" l="1"/>
  <c r="A433" i="1"/>
  <c r="F433" i="1" s="1"/>
  <c r="X433" i="1" s="1"/>
  <c r="B432" i="1"/>
  <c r="C432" i="1"/>
  <c r="D432" i="1"/>
  <c r="I431" i="1" l="1"/>
  <c r="J431" i="1"/>
  <c r="L431" i="1"/>
  <c r="K431" i="1"/>
  <c r="H431" i="1"/>
  <c r="G431" i="1"/>
  <c r="M431" i="1"/>
  <c r="E432" i="1"/>
  <c r="D433" i="1"/>
  <c r="A434" i="1"/>
  <c r="F434" i="1" s="1"/>
  <c r="X434" i="1" s="1"/>
  <c r="C433" i="1"/>
  <c r="B433" i="1"/>
  <c r="M432" i="1" l="1"/>
  <c r="L432" i="1"/>
  <c r="N432" i="1" s="1"/>
  <c r="J432" i="1"/>
  <c r="H432" i="1"/>
  <c r="K432" i="1"/>
  <c r="I432" i="1"/>
  <c r="G432" i="1"/>
  <c r="N431" i="1"/>
  <c r="E433" i="1"/>
  <c r="A435" i="1"/>
  <c r="F435" i="1" s="1"/>
  <c r="X435" i="1" s="1"/>
  <c r="C434" i="1"/>
  <c r="B434" i="1"/>
  <c r="D434" i="1"/>
  <c r="G433" i="1" l="1"/>
  <c r="H433" i="1"/>
  <c r="J433" i="1"/>
  <c r="I433" i="1"/>
  <c r="K433" i="1"/>
  <c r="M433" i="1"/>
  <c r="L433" i="1"/>
  <c r="E434" i="1"/>
  <c r="C435" i="1"/>
  <c r="D435" i="1"/>
  <c r="A436" i="1"/>
  <c r="F436" i="1" s="1"/>
  <c r="X436" i="1" s="1"/>
  <c r="B435" i="1"/>
  <c r="E435" i="1" s="1"/>
  <c r="H435" i="1" l="1"/>
  <c r="G435" i="1"/>
  <c r="M435" i="1"/>
  <c r="K435" i="1"/>
  <c r="L435" i="1"/>
  <c r="N435" i="1" s="1"/>
  <c r="I435" i="1"/>
  <c r="J435" i="1"/>
  <c r="M434" i="1"/>
  <c r="I434" i="1"/>
  <c r="H434" i="1"/>
  <c r="L434" i="1"/>
  <c r="N434" i="1" s="1"/>
  <c r="K434" i="1"/>
  <c r="J434" i="1"/>
  <c r="G434" i="1"/>
  <c r="N433" i="1"/>
  <c r="A437" i="1"/>
  <c r="F437" i="1" s="1"/>
  <c r="X437" i="1" s="1"/>
  <c r="B436" i="1"/>
  <c r="C436" i="1"/>
  <c r="D436" i="1"/>
  <c r="E436" i="1" l="1"/>
  <c r="A438" i="1"/>
  <c r="F438" i="1" s="1"/>
  <c r="X438" i="1" s="1"/>
  <c r="B437" i="1"/>
  <c r="C437" i="1"/>
  <c r="D437" i="1"/>
  <c r="M436" i="1" l="1"/>
  <c r="L436" i="1"/>
  <c r="N436" i="1" s="1"/>
  <c r="J436" i="1"/>
  <c r="K436" i="1"/>
  <c r="I436" i="1"/>
  <c r="H436" i="1"/>
  <c r="G436" i="1"/>
  <c r="E437" i="1"/>
  <c r="A439" i="1"/>
  <c r="F439" i="1" s="1"/>
  <c r="X439" i="1" s="1"/>
  <c r="B438" i="1"/>
  <c r="C438" i="1"/>
  <c r="D438" i="1"/>
  <c r="K437" i="1" l="1"/>
  <c r="L437" i="1"/>
  <c r="J437" i="1"/>
  <c r="H437" i="1"/>
  <c r="I437" i="1"/>
  <c r="M437" i="1"/>
  <c r="G437" i="1"/>
  <c r="E438" i="1"/>
  <c r="A440" i="1"/>
  <c r="F440" i="1" s="1"/>
  <c r="X440" i="1" s="1"/>
  <c r="C439" i="1"/>
  <c r="D439" i="1"/>
  <c r="B439" i="1"/>
  <c r="E439" i="1" s="1"/>
  <c r="M439" i="1" l="1"/>
  <c r="I439" i="1"/>
  <c r="G439" i="1"/>
  <c r="J439" i="1"/>
  <c r="H439" i="1"/>
  <c r="L439" i="1"/>
  <c r="N439" i="1" s="1"/>
  <c r="K439" i="1"/>
  <c r="H438" i="1"/>
  <c r="I438" i="1"/>
  <c r="K438" i="1"/>
  <c r="J438" i="1"/>
  <c r="M438" i="1"/>
  <c r="G438" i="1"/>
  <c r="L438" i="1"/>
  <c r="N438" i="1" s="1"/>
  <c r="N437" i="1"/>
  <c r="C440" i="1"/>
  <c r="A441" i="1"/>
  <c r="F441" i="1" s="1"/>
  <c r="X441" i="1" s="1"/>
  <c r="D440" i="1"/>
  <c r="B440" i="1"/>
  <c r="E440" i="1" s="1"/>
  <c r="G440" i="1" l="1"/>
  <c r="I440" i="1"/>
  <c r="H440" i="1"/>
  <c r="L440" i="1"/>
  <c r="N440" i="1" s="1"/>
  <c r="M440" i="1"/>
  <c r="K440" i="1"/>
  <c r="J440" i="1"/>
  <c r="A442" i="1"/>
  <c r="F442" i="1" s="1"/>
  <c r="X442" i="1" s="1"/>
  <c r="C441" i="1"/>
  <c r="B441" i="1"/>
  <c r="E441" i="1" s="1"/>
  <c r="D441" i="1"/>
  <c r="K441" i="1" l="1"/>
  <c r="L441" i="1"/>
  <c r="N441" i="1" s="1"/>
  <c r="M441" i="1"/>
  <c r="J441" i="1"/>
  <c r="I441" i="1"/>
  <c r="H441" i="1"/>
  <c r="G441" i="1"/>
  <c r="A443" i="1"/>
  <c r="F443" i="1" s="1"/>
  <c r="X443" i="1" s="1"/>
  <c r="C442" i="1"/>
  <c r="B442" i="1"/>
  <c r="E442" i="1" s="1"/>
  <c r="D442" i="1"/>
  <c r="G442" i="1" l="1"/>
  <c r="J442" i="1"/>
  <c r="M442" i="1"/>
  <c r="K442" i="1"/>
  <c r="L442" i="1"/>
  <c r="N442" i="1" s="1"/>
  <c r="I442" i="1"/>
  <c r="H442" i="1"/>
  <c r="A444" i="1"/>
  <c r="F444" i="1" s="1"/>
  <c r="X444" i="1" s="1"/>
  <c r="D443" i="1"/>
  <c r="B443" i="1"/>
  <c r="C443" i="1"/>
  <c r="E443" i="1" l="1"/>
  <c r="A445" i="1"/>
  <c r="F445" i="1" s="1"/>
  <c r="X445" i="1" s="1"/>
  <c r="C444" i="1"/>
  <c r="B444" i="1"/>
  <c r="E444" i="1" s="1"/>
  <c r="D444" i="1"/>
  <c r="M444" i="1" l="1"/>
  <c r="L444" i="1"/>
  <c r="N444" i="1" s="1"/>
  <c r="H444" i="1"/>
  <c r="K444" i="1"/>
  <c r="J444" i="1"/>
  <c r="I444" i="1"/>
  <c r="G444" i="1"/>
  <c r="I443" i="1"/>
  <c r="J443" i="1"/>
  <c r="L443" i="1"/>
  <c r="K443" i="1"/>
  <c r="H443" i="1"/>
  <c r="G443" i="1"/>
  <c r="M443" i="1"/>
  <c r="A446" i="1"/>
  <c r="F446" i="1" s="1"/>
  <c r="X446" i="1" s="1"/>
  <c r="C445" i="1"/>
  <c r="D445" i="1"/>
  <c r="B445" i="1"/>
  <c r="N443" i="1" l="1"/>
  <c r="E445" i="1"/>
  <c r="A447" i="1"/>
  <c r="F447" i="1" s="1"/>
  <c r="X447" i="1" s="1"/>
  <c r="C446" i="1"/>
  <c r="B446" i="1"/>
  <c r="E446" i="1" s="1"/>
  <c r="D446" i="1"/>
  <c r="L446" i="1" l="1"/>
  <c r="N446" i="1" s="1"/>
  <c r="M446" i="1"/>
  <c r="I446" i="1"/>
  <c r="H446" i="1"/>
  <c r="G446" i="1"/>
  <c r="K446" i="1"/>
  <c r="J446" i="1"/>
  <c r="G445" i="1"/>
  <c r="H445" i="1"/>
  <c r="J445" i="1"/>
  <c r="I445" i="1"/>
  <c r="M445" i="1"/>
  <c r="K445" i="1"/>
  <c r="L445" i="1"/>
  <c r="N445" i="1" s="1"/>
  <c r="A448" i="1"/>
  <c r="F448" i="1" s="1"/>
  <c r="X448" i="1" s="1"/>
  <c r="B447" i="1"/>
  <c r="C447" i="1"/>
  <c r="D447" i="1"/>
  <c r="E447" i="1" l="1"/>
  <c r="A449" i="1"/>
  <c r="F449" i="1" s="1"/>
  <c r="X449" i="1" s="1"/>
  <c r="B448" i="1"/>
  <c r="C448" i="1"/>
  <c r="D448" i="1"/>
  <c r="H447" i="1" l="1"/>
  <c r="G447" i="1"/>
  <c r="K447" i="1"/>
  <c r="L447" i="1"/>
  <c r="N447" i="1" s="1"/>
  <c r="M447" i="1"/>
  <c r="J447" i="1"/>
  <c r="I447" i="1"/>
  <c r="E448" i="1"/>
  <c r="A450" i="1"/>
  <c r="F450" i="1" s="1"/>
  <c r="X450" i="1" s="1"/>
  <c r="B449" i="1"/>
  <c r="C449" i="1"/>
  <c r="D449" i="1"/>
  <c r="K448" i="1" l="1"/>
  <c r="J448" i="1"/>
  <c r="M448" i="1"/>
  <c r="L448" i="1"/>
  <c r="N448" i="1" s="1"/>
  <c r="G448" i="1"/>
  <c r="I448" i="1"/>
  <c r="H448" i="1"/>
  <c r="E449" i="1"/>
  <c r="A451" i="1"/>
  <c r="F451" i="1" s="1"/>
  <c r="X451" i="1" s="1"/>
  <c r="B450" i="1"/>
  <c r="C450" i="1"/>
  <c r="D450" i="1"/>
  <c r="I449" i="1" l="1"/>
  <c r="L449" i="1"/>
  <c r="N449" i="1" s="1"/>
  <c r="J449" i="1"/>
  <c r="M449" i="1"/>
  <c r="K449" i="1"/>
  <c r="G449" i="1"/>
  <c r="H449" i="1"/>
  <c r="E450" i="1"/>
  <c r="A452" i="1"/>
  <c r="F452" i="1" s="1"/>
  <c r="X452" i="1" s="1"/>
  <c r="D451" i="1"/>
  <c r="B451" i="1"/>
  <c r="C451" i="1"/>
  <c r="I450" i="1" l="1"/>
  <c r="H450" i="1"/>
  <c r="K450" i="1"/>
  <c r="J450" i="1"/>
  <c r="G450" i="1"/>
  <c r="L450" i="1"/>
  <c r="N450" i="1" s="1"/>
  <c r="M450" i="1"/>
  <c r="E451" i="1"/>
  <c r="A453" i="1"/>
  <c r="F453" i="1" s="1"/>
  <c r="X453" i="1" s="1"/>
  <c r="C452" i="1"/>
  <c r="B452" i="1"/>
  <c r="E452" i="1" s="1"/>
  <c r="D452" i="1"/>
  <c r="G452" i="1" l="1"/>
  <c r="I452" i="1"/>
  <c r="H452" i="1"/>
  <c r="L452" i="1"/>
  <c r="J452" i="1"/>
  <c r="M452" i="1"/>
  <c r="N452" i="1" s="1"/>
  <c r="K452" i="1"/>
  <c r="M451" i="1"/>
  <c r="L451" i="1"/>
  <c r="N451" i="1" s="1"/>
  <c r="K451" i="1"/>
  <c r="J451" i="1"/>
  <c r="H451" i="1"/>
  <c r="I451" i="1"/>
  <c r="G451" i="1"/>
  <c r="A454" i="1"/>
  <c r="F454" i="1" s="1"/>
  <c r="X454" i="1" s="1"/>
  <c r="C453" i="1"/>
  <c r="D453" i="1"/>
  <c r="B453" i="1"/>
  <c r="E453" i="1" l="1"/>
  <c r="A455" i="1"/>
  <c r="F455" i="1" s="1"/>
  <c r="X455" i="1" s="1"/>
  <c r="C454" i="1"/>
  <c r="D454" i="1"/>
  <c r="B454" i="1"/>
  <c r="E454" i="1" s="1"/>
  <c r="L453" i="1" l="1"/>
  <c r="N453" i="1" s="1"/>
  <c r="K453" i="1"/>
  <c r="M453" i="1"/>
  <c r="J453" i="1"/>
  <c r="I453" i="1"/>
  <c r="G453" i="1"/>
  <c r="H453" i="1"/>
  <c r="G454" i="1"/>
  <c r="J454" i="1"/>
  <c r="M454" i="1"/>
  <c r="L454" i="1"/>
  <c r="N454" i="1" s="1"/>
  <c r="H454" i="1"/>
  <c r="I454" i="1"/>
  <c r="K454" i="1"/>
  <c r="A456" i="1"/>
  <c r="F456" i="1" s="1"/>
  <c r="X456" i="1" s="1"/>
  <c r="D455" i="1"/>
  <c r="B455" i="1"/>
  <c r="C455" i="1"/>
  <c r="G6" i="12" l="1"/>
  <c r="H6" i="12"/>
  <c r="I6" i="12"/>
  <c r="J6" i="12"/>
  <c r="K6" i="12"/>
  <c r="L6" i="12"/>
  <c r="M6" i="12"/>
  <c r="N6" i="12"/>
  <c r="O6" i="12"/>
  <c r="P6" i="12"/>
  <c r="Q6" i="12"/>
  <c r="E455" i="1"/>
  <c r="C456" i="1"/>
  <c r="D456" i="1"/>
  <c r="B456" i="1"/>
  <c r="I14" i="12" l="1"/>
  <c r="M14" i="12"/>
  <c r="G14" i="12"/>
  <c r="J14" i="12"/>
  <c r="N14" i="12"/>
  <c r="K14" i="12"/>
  <c r="F14" i="12"/>
  <c r="H14" i="12"/>
  <c r="C14" i="12"/>
  <c r="E14" i="12"/>
  <c r="L14" i="12"/>
  <c r="O14" i="12"/>
  <c r="P14" i="12"/>
  <c r="D69" i="12"/>
  <c r="C69" i="12"/>
  <c r="F69" i="12"/>
  <c r="E69" i="12"/>
  <c r="G69" i="12"/>
  <c r="H69" i="12"/>
  <c r="I69" i="12"/>
  <c r="J69" i="12"/>
  <c r="L69" i="12"/>
  <c r="K69" i="12"/>
  <c r="M69" i="12"/>
  <c r="O69" i="12"/>
  <c r="N69" i="12"/>
  <c r="S69" i="12"/>
  <c r="P69" i="12"/>
  <c r="Q69" i="12"/>
  <c r="R69" i="12"/>
  <c r="T69" i="12"/>
  <c r="V69" i="12"/>
  <c r="U69" i="12"/>
  <c r="X69" i="12"/>
  <c r="W69" i="12"/>
  <c r="Z69" i="12"/>
  <c r="Y69" i="12"/>
  <c r="AA69" i="12"/>
  <c r="AD69" i="12"/>
  <c r="AC69" i="12"/>
  <c r="AB69" i="12"/>
  <c r="AE69" i="12"/>
  <c r="J455" i="1"/>
  <c r="I455" i="1"/>
  <c r="L455" i="1"/>
  <c r="N455" i="1" s="1"/>
  <c r="AF69" i="12" s="1"/>
  <c r="K455" i="1"/>
  <c r="H455" i="1"/>
  <c r="G455" i="1"/>
  <c r="M455" i="1"/>
  <c r="P23" i="12"/>
  <c r="O23" i="12"/>
  <c r="N23" i="12"/>
  <c r="M23" i="12"/>
  <c r="L23" i="12"/>
  <c r="K23" i="12"/>
  <c r="J23" i="12"/>
  <c r="I23" i="12"/>
  <c r="H23" i="12"/>
  <c r="G23" i="12"/>
  <c r="E456" i="1"/>
  <c r="D12" i="12"/>
  <c r="F11" i="12"/>
  <c r="F10" i="12"/>
  <c r="F8" i="12"/>
  <c r="E13" i="12"/>
  <c r="F12" i="12"/>
  <c r="D13" i="12"/>
  <c r="D8" i="12"/>
  <c r="D11" i="12"/>
  <c r="E10" i="12"/>
  <c r="D7" i="12"/>
  <c r="F7" i="12"/>
  <c r="E7" i="12"/>
  <c r="F13" i="12"/>
  <c r="G8" i="12"/>
  <c r="G17" i="12" s="1"/>
  <c r="I7" i="12"/>
  <c r="I16" i="12" s="1"/>
  <c r="E9" i="12"/>
  <c r="E8" i="12"/>
  <c r="G10" i="12"/>
  <c r="G19" i="12" s="1"/>
  <c r="I10" i="12"/>
  <c r="I19" i="12" s="1"/>
  <c r="H11" i="12"/>
  <c r="H20" i="12" s="1"/>
  <c r="H7" i="12"/>
  <c r="H16" i="12" s="1"/>
  <c r="I8" i="12"/>
  <c r="I17" i="12" s="1"/>
  <c r="G11" i="12"/>
  <c r="G20" i="12" s="1"/>
  <c r="I13" i="12"/>
  <c r="I22" i="12" s="1"/>
  <c r="G13" i="12"/>
  <c r="G22" i="12" s="1"/>
  <c r="J10" i="12"/>
  <c r="J19" i="12" s="1"/>
  <c r="I9" i="12"/>
  <c r="I18" i="12" s="1"/>
  <c r="H10" i="12"/>
  <c r="H19" i="12" s="1"/>
  <c r="J11" i="12"/>
  <c r="J20" i="12" s="1"/>
  <c r="J12" i="12"/>
  <c r="J21" i="12" s="1"/>
  <c r="H12" i="12"/>
  <c r="H21" i="12" s="1"/>
  <c r="J8" i="12"/>
  <c r="J17" i="12" s="1"/>
  <c r="J9" i="12"/>
  <c r="J18" i="12" s="1"/>
  <c r="G12" i="12"/>
  <c r="G21" i="12" s="1"/>
  <c r="L8" i="12"/>
  <c r="L17" i="12" s="1"/>
  <c r="J13" i="12"/>
  <c r="J22" i="12" s="1"/>
  <c r="I11" i="12"/>
  <c r="I20" i="12" s="1"/>
  <c r="H13" i="12"/>
  <c r="H22" i="12" s="1"/>
  <c r="I12" i="12"/>
  <c r="I21" i="12" s="1"/>
  <c r="M12" i="12"/>
  <c r="M21" i="12" s="1"/>
  <c r="K10" i="12"/>
  <c r="K19" i="12" s="1"/>
  <c r="K12" i="12"/>
  <c r="K21" i="12" s="1"/>
  <c r="L13" i="12"/>
  <c r="L22" i="12" s="1"/>
  <c r="J7" i="12"/>
  <c r="J16" i="12" s="1"/>
  <c r="K9" i="12"/>
  <c r="K18" i="12" s="1"/>
  <c r="L12" i="12"/>
  <c r="L21" i="12" s="1"/>
  <c r="M9" i="12"/>
  <c r="M18" i="12" s="1"/>
  <c r="K8" i="12"/>
  <c r="K17" i="12" s="1"/>
  <c r="L11" i="12"/>
  <c r="L20" i="12" s="1"/>
  <c r="K11" i="12"/>
  <c r="K20" i="12" s="1"/>
  <c r="K13" i="12"/>
  <c r="K22" i="12" s="1"/>
  <c r="M13" i="12"/>
  <c r="M22" i="12" s="1"/>
  <c r="K7" i="12"/>
  <c r="K16" i="12" s="1"/>
  <c r="L7" i="12"/>
  <c r="L16" i="12" s="1"/>
  <c r="M11" i="12"/>
  <c r="M20" i="12" s="1"/>
  <c r="M10" i="12"/>
  <c r="M19" i="12" s="1"/>
  <c r="L9" i="12"/>
  <c r="L18" i="12" s="1"/>
  <c r="L10" i="12"/>
  <c r="L19" i="12" s="1"/>
  <c r="P12" i="12"/>
  <c r="P21" i="12" s="1"/>
  <c r="N12" i="12"/>
  <c r="N21" i="12" s="1"/>
  <c r="M7" i="12"/>
  <c r="M16" i="12" s="1"/>
  <c r="M8" i="12"/>
  <c r="M17" i="12" s="1"/>
  <c r="N8" i="12"/>
  <c r="N17" i="12" s="1"/>
  <c r="N7" i="12"/>
  <c r="N16" i="12" s="1"/>
  <c r="O12" i="12"/>
  <c r="O21" i="12" s="1"/>
  <c r="N13" i="12"/>
  <c r="N22" i="12" s="1"/>
  <c r="O10" i="12"/>
  <c r="O19" i="12" s="1"/>
  <c r="O13" i="12"/>
  <c r="O22" i="12" s="1"/>
  <c r="P8" i="12"/>
  <c r="P17" i="12" s="1"/>
  <c r="P13" i="12"/>
  <c r="P22" i="12" s="1"/>
  <c r="O8" i="12"/>
  <c r="O17" i="12" s="1"/>
  <c r="O9" i="12"/>
  <c r="O18" i="12" s="1"/>
  <c r="P10" i="12"/>
  <c r="P19" i="12" s="1"/>
  <c r="P7" i="12"/>
  <c r="P16" i="12" s="1"/>
  <c r="P9" i="12"/>
  <c r="P18" i="12" s="1"/>
  <c r="O7" i="12"/>
  <c r="O16" i="12" s="1"/>
  <c r="O11" i="12"/>
  <c r="O20" i="12" s="1"/>
  <c r="P11" i="12"/>
  <c r="P20" i="12" s="1"/>
  <c r="D61" i="12"/>
  <c r="D78" i="12" s="1"/>
  <c r="AB68" i="12"/>
  <c r="AB64" i="12"/>
  <c r="D62" i="12"/>
  <c r="L68" i="12"/>
  <c r="V64" i="12"/>
  <c r="L64" i="12"/>
  <c r="V68" i="12"/>
  <c r="O63" i="12"/>
  <c r="L63" i="12"/>
  <c r="Y66" i="12"/>
  <c r="E61" i="12"/>
  <c r="E78" i="12" s="1"/>
  <c r="T67" i="12"/>
  <c r="I66" i="12"/>
  <c r="AA62" i="12"/>
  <c r="M68" i="12"/>
  <c r="W67" i="12"/>
  <c r="K63" i="12"/>
  <c r="N68" i="12"/>
  <c r="P62" i="12"/>
  <c r="T66" i="12"/>
  <c r="R67" i="12"/>
  <c r="M67" i="12"/>
  <c r="Y64" i="12"/>
  <c r="L61" i="12"/>
  <c r="L78" i="12" s="1"/>
  <c r="J63" i="12"/>
  <c r="N61" i="12"/>
  <c r="N78" i="12" s="1"/>
  <c r="R61" i="12"/>
  <c r="R78" i="12" s="1"/>
  <c r="V63" i="12"/>
  <c r="O66" i="12"/>
  <c r="AA61" i="12"/>
  <c r="AA78" i="12" s="1"/>
  <c r="AG61" i="12"/>
  <c r="J62" i="12"/>
  <c r="AF61" i="12"/>
  <c r="W61" i="12"/>
  <c r="W78" i="12" s="1"/>
  <c r="AD68" i="12"/>
  <c r="C67" i="12"/>
  <c r="U66" i="12"/>
  <c r="U62" i="12"/>
  <c r="M61" i="12"/>
  <c r="M78" i="12" s="1"/>
  <c r="J66" i="12"/>
  <c r="Z64" i="12"/>
  <c r="Q67" i="12"/>
  <c r="L62" i="12"/>
  <c r="AC68" i="12"/>
  <c r="J65" i="12"/>
  <c r="O62" i="12"/>
  <c r="R64" i="12"/>
  <c r="R73" i="12" s="1"/>
  <c r="M64" i="12"/>
  <c r="W68" i="12"/>
  <c r="J67" i="12"/>
  <c r="N63" i="12"/>
  <c r="K68" i="12"/>
  <c r="M63" i="12"/>
  <c r="M72" i="12" s="1"/>
  <c r="Z67" i="12"/>
  <c r="X66" i="12"/>
  <c r="AA63" i="12"/>
  <c r="M62" i="12"/>
  <c r="T61" i="12"/>
  <c r="T78" i="12" s="1"/>
  <c r="X67" i="12"/>
  <c r="F65" i="12"/>
  <c r="Z66" i="12"/>
  <c r="U68" i="12"/>
  <c r="AD66" i="12"/>
  <c r="P68" i="12"/>
  <c r="Q65" i="12"/>
  <c r="AC66" i="12"/>
  <c r="J64" i="12"/>
  <c r="Q62" i="12"/>
  <c r="L66" i="12"/>
  <c r="L75" i="12" s="1"/>
  <c r="C66" i="12"/>
  <c r="G61" i="12"/>
  <c r="G78" i="12" s="1"/>
  <c r="K67" i="12"/>
  <c r="AB61" i="12"/>
  <c r="AB78" i="12" s="1"/>
  <c r="N62" i="12"/>
  <c r="AA65" i="12"/>
  <c r="AA74" i="12" s="1"/>
  <c r="U67" i="12"/>
  <c r="Q66" i="12"/>
  <c r="F66" i="12"/>
  <c r="C65" i="12"/>
  <c r="E67" i="12"/>
  <c r="E76" i="12" s="1"/>
  <c r="AB66" i="12"/>
  <c r="N65" i="12"/>
  <c r="AB63" i="12"/>
  <c r="K66" i="12"/>
  <c r="AE61" i="12"/>
  <c r="AE78" i="12" s="1"/>
  <c r="S62" i="12"/>
  <c r="F68" i="12"/>
  <c r="C64" i="12"/>
  <c r="T68" i="12"/>
  <c r="T77" i="12" s="1"/>
  <c r="O64" i="12"/>
  <c r="W66" i="12"/>
  <c r="W75" i="12" s="1"/>
  <c r="Y65" i="12"/>
  <c r="AA68" i="12"/>
  <c r="AA77" i="12" s="1"/>
  <c r="S65" i="12"/>
  <c r="F64" i="12"/>
  <c r="Z61" i="12"/>
  <c r="Z78" i="12" s="1"/>
  <c r="F63" i="12"/>
  <c r="P65" i="12"/>
  <c r="T65" i="12"/>
  <c r="T74" i="12" s="1"/>
  <c r="S64" i="12"/>
  <c r="S63" i="12"/>
  <c r="S67" i="12"/>
  <c r="L67" i="12"/>
  <c r="L76" i="12" s="1"/>
  <c r="X62" i="12"/>
  <c r="V67" i="12"/>
  <c r="W64" i="12"/>
  <c r="W73" i="12" s="1"/>
  <c r="AB67" i="12"/>
  <c r="AB76" i="12" s="1"/>
  <c r="C63" i="12"/>
  <c r="P61" i="12"/>
  <c r="P78" i="12" s="1"/>
  <c r="AA67" i="12"/>
  <c r="AA76" i="12" s="1"/>
  <c r="R68" i="12"/>
  <c r="R77" i="12" s="1"/>
  <c r="Q61" i="12"/>
  <c r="Q78" i="12" s="1"/>
  <c r="AD61" i="12"/>
  <c r="AD78" i="12" s="1"/>
  <c r="U61" i="12"/>
  <c r="U78" i="12" s="1"/>
  <c r="AC61" i="12"/>
  <c r="AC78" i="12" s="1"/>
  <c r="R63" i="12"/>
  <c r="R72" i="12" s="1"/>
  <c r="J61" i="12"/>
  <c r="J78" i="12" s="1"/>
  <c r="W63" i="12"/>
  <c r="W72" i="12" s="1"/>
  <c r="V61" i="12"/>
  <c r="V78" i="12" s="1"/>
  <c r="Y63" i="12"/>
  <c r="P64" i="12"/>
  <c r="P73" i="12" s="1"/>
  <c r="M65" i="12"/>
  <c r="M74" i="12" s="1"/>
  <c r="X63" i="12"/>
  <c r="AB62" i="12"/>
  <c r="AB71" i="12" s="1"/>
  <c r="E68" i="12"/>
  <c r="E77" i="12" s="1"/>
  <c r="AB65" i="12"/>
  <c r="AB74" i="12" s="1"/>
  <c r="L65" i="12"/>
  <c r="L74" i="12" s="1"/>
  <c r="AD64" i="12"/>
  <c r="N66" i="12"/>
  <c r="K65" i="12"/>
  <c r="Q64" i="12"/>
  <c r="K64" i="12"/>
  <c r="AD67" i="12"/>
  <c r="F67" i="12"/>
  <c r="I61" i="12"/>
  <c r="I78" i="12" s="1"/>
  <c r="S68" i="12"/>
  <c r="H61" i="12"/>
  <c r="H78" i="12" s="1"/>
  <c r="C62" i="12"/>
  <c r="R65" i="12"/>
  <c r="R74" i="12" s="1"/>
  <c r="X68" i="12"/>
  <c r="AD65" i="12"/>
  <c r="G64" i="12"/>
  <c r="Z62" i="12"/>
  <c r="U64" i="12"/>
  <c r="U73" i="12" s="1"/>
  <c r="AA64" i="12"/>
  <c r="AA73" i="12" s="1"/>
  <c r="W62" i="12"/>
  <c r="W71" i="12" s="1"/>
  <c r="E62" i="12"/>
  <c r="E71" i="12" s="1"/>
  <c r="AC65" i="12"/>
  <c r="E63" i="12"/>
  <c r="E72" i="12" s="1"/>
  <c r="P67" i="12"/>
  <c r="AC62" i="12"/>
  <c r="T62" i="12"/>
  <c r="T71" i="12" s="1"/>
  <c r="S66" i="12"/>
  <c r="K61" i="12"/>
  <c r="K78" i="12" s="1"/>
  <c r="D66" i="12"/>
  <c r="D75" i="12" s="1"/>
  <c r="W65" i="12"/>
  <c r="W74" i="12" s="1"/>
  <c r="G63" i="12"/>
  <c r="C68" i="12"/>
  <c r="AC63" i="12"/>
  <c r="E66" i="12"/>
  <c r="E75" i="12" s="1"/>
  <c r="O68" i="12"/>
  <c r="Z63" i="12"/>
  <c r="Z68" i="12"/>
  <c r="G65" i="12"/>
  <c r="AA66" i="12"/>
  <c r="AA75" i="12" s="1"/>
  <c r="F61" i="12"/>
  <c r="F78" i="12" s="1"/>
  <c r="T63" i="12"/>
  <c r="T72" i="12" s="1"/>
  <c r="AD62" i="12"/>
  <c r="AD71" i="12" s="1"/>
  <c r="E64" i="12"/>
  <c r="E73" i="12" s="1"/>
  <c r="Y61" i="12"/>
  <c r="Y78" i="12" s="1"/>
  <c r="V62" i="12"/>
  <c r="D67" i="12"/>
  <c r="D76" i="12" s="1"/>
  <c r="Q63" i="12"/>
  <c r="U63" i="12"/>
  <c r="U72" i="12" s="1"/>
  <c r="D63" i="12"/>
  <c r="D72" i="12" s="1"/>
  <c r="AC67" i="12"/>
  <c r="O65" i="12"/>
  <c r="V65" i="12"/>
  <c r="Q68" i="12"/>
  <c r="E65" i="12"/>
  <c r="E74" i="12" s="1"/>
  <c r="X65" i="12"/>
  <c r="C61" i="12"/>
  <c r="C78" i="12" s="1"/>
  <c r="O61" i="12"/>
  <c r="O78" i="12" s="1"/>
  <c r="Y67" i="12"/>
  <c r="X64" i="12"/>
  <c r="P66" i="12"/>
  <c r="P75" i="12" s="1"/>
  <c r="Z65" i="12"/>
  <c r="U65" i="12"/>
  <c r="U74" i="12" s="1"/>
  <c r="D68" i="12"/>
  <c r="D77" i="12" s="1"/>
  <c r="T64" i="12"/>
  <c r="T73" i="12" s="1"/>
  <c r="G66" i="12"/>
  <c r="M66" i="12"/>
  <c r="M75" i="12" s="1"/>
  <c r="N67" i="12"/>
  <c r="AC64" i="12"/>
  <c r="G68" i="12"/>
  <c r="S61" i="12"/>
  <c r="S78" i="12" s="1"/>
  <c r="G62" i="12"/>
  <c r="P63" i="12"/>
  <c r="P72" i="12" s="1"/>
  <c r="V66" i="12"/>
  <c r="G67" i="12"/>
  <c r="G76" i="12" s="1"/>
  <c r="K62" i="12"/>
  <c r="K71" i="12" s="1"/>
  <c r="D64" i="12"/>
  <c r="D73" i="12" s="1"/>
  <c r="Y62" i="12"/>
  <c r="D65" i="12"/>
  <c r="D74" i="12" s="1"/>
  <c r="H63" i="12"/>
  <c r="H72" i="12" s="1"/>
  <c r="H64" i="12"/>
  <c r="H73" i="12" s="1"/>
  <c r="O67" i="12"/>
  <c r="O76" i="12" s="1"/>
  <c r="Y68" i="12"/>
  <c r="X61" i="12"/>
  <c r="X78" i="12" s="1"/>
  <c r="H65" i="12"/>
  <c r="H74" i="12" s="1"/>
  <c r="R62" i="12"/>
  <c r="R71" i="12" s="1"/>
  <c r="H67" i="12"/>
  <c r="H76" i="12" s="1"/>
  <c r="R66" i="12"/>
  <c r="R75" i="12" s="1"/>
  <c r="H62" i="12"/>
  <c r="H71" i="12" s="1"/>
  <c r="N64" i="12"/>
  <c r="H66" i="12"/>
  <c r="H75" i="12" s="1"/>
  <c r="AD63" i="12"/>
  <c r="AD72" i="12" s="1"/>
  <c r="F62" i="12"/>
  <c r="I63" i="12"/>
  <c r="D10" i="12"/>
  <c r="D9" i="12"/>
  <c r="E11" i="12"/>
  <c r="H8" i="12"/>
  <c r="H17" i="12" s="1"/>
  <c r="H9" i="12"/>
  <c r="H18" i="12" s="1"/>
  <c r="G7" i="12"/>
  <c r="G16" i="12" s="1"/>
  <c r="G9" i="12"/>
  <c r="G18" i="12" s="1"/>
  <c r="E12" i="12"/>
  <c r="F9" i="12"/>
  <c r="N11" i="12"/>
  <c r="N20" i="12" s="1"/>
  <c r="N9" i="12"/>
  <c r="N18" i="12" s="1"/>
  <c r="N10" i="12"/>
  <c r="N19" i="12" s="1"/>
  <c r="AE68" i="12"/>
  <c r="AE77" i="12" s="1"/>
  <c r="AE63" i="12"/>
  <c r="AE72" i="12" s="1"/>
  <c r="AE66" i="12"/>
  <c r="AE75" i="12" s="1"/>
  <c r="AE62" i="12"/>
  <c r="AE71" i="12" s="1"/>
  <c r="F6" i="12"/>
  <c r="E6" i="12"/>
  <c r="D6" i="12"/>
  <c r="C6" i="12"/>
  <c r="H456" i="1" l="1"/>
  <c r="AG63" i="12" s="1"/>
  <c r="AG72" i="12" s="1"/>
  <c r="M456" i="1"/>
  <c r="AG68" i="12" s="1"/>
  <c r="AG77" i="12" s="1"/>
  <c r="L456" i="1"/>
  <c r="J456" i="1"/>
  <c r="AG65" i="12" s="1"/>
  <c r="AG74" i="12" s="1"/>
  <c r="K456" i="1"/>
  <c r="AG66" i="12" s="1"/>
  <c r="AG75" i="12" s="1"/>
  <c r="I456" i="1"/>
  <c r="AG64" i="12" s="1"/>
  <c r="AG73" i="12" s="1"/>
  <c r="G456" i="1"/>
  <c r="AG62" i="12" s="1"/>
  <c r="AG71" i="12" s="1"/>
  <c r="AF78" i="12"/>
  <c r="AB75" i="12"/>
  <c r="M71" i="12"/>
  <c r="P76" i="12"/>
  <c r="Q72" i="12"/>
  <c r="I72" i="12"/>
  <c r="Q77" i="12"/>
  <c r="Y71" i="12"/>
  <c r="D71" i="12"/>
  <c r="AC76" i="12"/>
  <c r="AC71" i="12"/>
  <c r="AC74" i="12"/>
  <c r="AC73" i="12"/>
  <c r="AC72" i="12"/>
  <c r="L71" i="12"/>
  <c r="Q73" i="12"/>
  <c r="W77" i="12"/>
  <c r="AD74" i="12"/>
  <c r="AD73" i="12"/>
  <c r="Y77" i="12"/>
  <c r="AD76" i="12"/>
  <c r="O74" i="12"/>
  <c r="G73" i="12"/>
  <c r="M73" i="12"/>
  <c r="AA72" i="12"/>
  <c r="Y76" i="12"/>
  <c r="V75" i="12"/>
  <c r="Z74" i="12"/>
  <c r="G74" i="12"/>
  <c r="N75" i="12"/>
  <c r="N74" i="12"/>
  <c r="Z77" i="12"/>
  <c r="G71" i="12"/>
  <c r="Z72" i="12"/>
  <c r="G77" i="12"/>
  <c r="F71" i="12"/>
  <c r="V71" i="12"/>
  <c r="N76" i="12"/>
  <c r="G72" i="12"/>
  <c r="N73" i="12"/>
  <c r="G75" i="12"/>
  <c r="N71" i="12"/>
  <c r="V74" i="12"/>
  <c r="Z71" i="12"/>
  <c r="N72" i="12"/>
  <c r="C72" i="12"/>
  <c r="K75" i="12"/>
  <c r="K76" i="12"/>
  <c r="F74" i="12"/>
  <c r="U75" i="12"/>
  <c r="W76" i="12"/>
  <c r="L77" i="12"/>
  <c r="S75" i="12"/>
  <c r="K74" i="12"/>
  <c r="F73" i="12"/>
  <c r="AB72" i="12"/>
  <c r="X76" i="12"/>
  <c r="C76" i="12"/>
  <c r="J72" i="12"/>
  <c r="M77" i="12"/>
  <c r="X77" i="12"/>
  <c r="S74" i="12"/>
  <c r="C75" i="12"/>
  <c r="O71" i="12"/>
  <c r="AD77" i="12"/>
  <c r="AA71" i="12"/>
  <c r="AB73" i="12"/>
  <c r="V76" i="12"/>
  <c r="J74" i="12"/>
  <c r="Y73" i="12"/>
  <c r="I75" i="12"/>
  <c r="AB77" i="12"/>
  <c r="X73" i="12"/>
  <c r="C71" i="12"/>
  <c r="X71" i="12"/>
  <c r="Y74" i="12"/>
  <c r="Q71" i="12"/>
  <c r="AC77" i="12"/>
  <c r="T76" i="12"/>
  <c r="O77" i="12"/>
  <c r="C74" i="12"/>
  <c r="J73" i="12"/>
  <c r="X75" i="12"/>
  <c r="J71" i="12"/>
  <c r="M76" i="12"/>
  <c r="S77" i="12"/>
  <c r="S76" i="12"/>
  <c r="O73" i="12"/>
  <c r="F75" i="12"/>
  <c r="AC75" i="12"/>
  <c r="Z76" i="12"/>
  <c r="Q76" i="12"/>
  <c r="R76" i="12"/>
  <c r="Y75" i="12"/>
  <c r="S72" i="12"/>
  <c r="Q75" i="12"/>
  <c r="Q74" i="12"/>
  <c r="Z73" i="12"/>
  <c r="T75" i="12"/>
  <c r="L72" i="12"/>
  <c r="X74" i="12"/>
  <c r="C77" i="12"/>
  <c r="F76" i="12"/>
  <c r="X72" i="12"/>
  <c r="S73" i="12"/>
  <c r="C73" i="12"/>
  <c r="U76" i="12"/>
  <c r="P77" i="12"/>
  <c r="K77" i="12"/>
  <c r="J75" i="12"/>
  <c r="P71" i="12"/>
  <c r="O72" i="12"/>
  <c r="F77" i="12"/>
  <c r="AD75" i="12"/>
  <c r="O75" i="12"/>
  <c r="N77" i="12"/>
  <c r="V77" i="12"/>
  <c r="K73" i="12"/>
  <c r="P74" i="12"/>
  <c r="S71" i="12"/>
  <c r="U77" i="12"/>
  <c r="J76" i="12"/>
  <c r="V72" i="12"/>
  <c r="K72" i="12"/>
  <c r="L73" i="12"/>
  <c r="Y72" i="12"/>
  <c r="F72" i="12"/>
  <c r="Z75" i="12"/>
  <c r="U71" i="12"/>
  <c r="V73" i="12"/>
  <c r="E16" i="12"/>
  <c r="D21" i="12"/>
  <c r="F16" i="12"/>
  <c r="F23" i="12"/>
  <c r="D16" i="12"/>
  <c r="E19" i="12"/>
  <c r="E20" i="12"/>
  <c r="D20" i="12"/>
  <c r="D18" i="12"/>
  <c r="D17" i="12"/>
  <c r="D22" i="12"/>
  <c r="D19" i="12"/>
  <c r="E17" i="12"/>
  <c r="F21" i="12"/>
  <c r="E18" i="12"/>
  <c r="E22" i="12"/>
  <c r="E23" i="12"/>
  <c r="F17" i="12"/>
  <c r="F18" i="12"/>
  <c r="F19" i="12"/>
  <c r="C23" i="12"/>
  <c r="E21" i="12"/>
  <c r="F22" i="12"/>
  <c r="F20" i="12"/>
  <c r="AE65" i="12"/>
  <c r="AE74" i="12" s="1"/>
  <c r="AE67" i="12"/>
  <c r="AE76" i="12" s="1"/>
  <c r="AE64" i="12"/>
  <c r="AE73" i="12" s="1"/>
  <c r="Q11" i="12"/>
  <c r="Q20" i="12" s="1"/>
  <c r="Q7" i="12"/>
  <c r="Q16" i="12" s="1"/>
  <c r="Q13" i="12"/>
  <c r="Q22" i="12" s="1"/>
  <c r="N456" i="1" l="1"/>
  <c r="AG67" i="12"/>
  <c r="AG76" i="12" s="1"/>
  <c r="C8" i="12"/>
  <c r="C17" i="12" s="1"/>
  <c r="AF63" i="12"/>
  <c r="AF72" i="12" s="1"/>
  <c r="AI72" i="12" s="1"/>
  <c r="Q8" i="12"/>
  <c r="Q17" i="12" s="1"/>
  <c r="C9" i="12"/>
  <c r="C18" i="12" s="1"/>
  <c r="I64" i="12"/>
  <c r="I73" i="12" s="1"/>
  <c r="AF64" i="12"/>
  <c r="AF73" i="12" s="1"/>
  <c r="I67" i="12"/>
  <c r="I76" i="12" s="1"/>
  <c r="C12" i="12"/>
  <c r="C21" i="12" s="1"/>
  <c r="AF67" i="12"/>
  <c r="AF76" i="12" s="1"/>
  <c r="I65" i="12"/>
  <c r="I74" i="12" s="1"/>
  <c r="C10" i="12"/>
  <c r="C19" i="12" s="1"/>
  <c r="AF65" i="12"/>
  <c r="AF74" i="12" s="1"/>
  <c r="C13" i="12"/>
  <c r="C22" i="12" s="1"/>
  <c r="S22" i="12" s="1"/>
  <c r="H68" i="12"/>
  <c r="H77" i="12" s="1"/>
  <c r="J68" i="12"/>
  <c r="J77" i="12" s="1"/>
  <c r="I68" i="12"/>
  <c r="I77" i="12" s="1"/>
  <c r="AF68" i="12"/>
  <c r="AF77" i="12" s="1"/>
  <c r="Q10" i="12"/>
  <c r="Q19" i="12" s="1"/>
  <c r="I62" i="12"/>
  <c r="I71" i="12" s="1"/>
  <c r="C7" i="12"/>
  <c r="C16" i="12" s="1"/>
  <c r="S16" i="12" s="1"/>
  <c r="AF62" i="12"/>
  <c r="AF71" i="12" s="1"/>
  <c r="Q9" i="12"/>
  <c r="Q18" i="12" s="1"/>
  <c r="C11" i="12"/>
  <c r="C20" i="12" s="1"/>
  <c r="S20" i="12" s="1"/>
  <c r="AF66" i="12"/>
  <c r="AF75" i="12" s="1"/>
  <c r="AI75" i="12" s="1"/>
  <c r="Q12" i="12"/>
  <c r="Q21" i="12" s="1"/>
  <c r="D14" i="12" l="1"/>
  <c r="D23" i="12" s="1"/>
  <c r="AG69" i="12"/>
  <c r="AG78" i="12" s="1"/>
  <c r="AI78" i="12" s="1"/>
  <c r="Q14" i="12"/>
  <c r="Q23" i="12" s="1"/>
  <c r="AI74" i="12"/>
  <c r="AI71" i="12"/>
  <c r="AI76" i="12"/>
  <c r="AI73" i="12"/>
  <c r="AI77" i="12"/>
  <c r="S18" i="12"/>
  <c r="S17" i="12"/>
  <c r="S19" i="12"/>
  <c r="S21" i="12"/>
  <c r="S23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BC8EC-4B3F-4407-90FB-74AE34296AB5}" keepAlive="1" name="Query - m1_crossvalid" description="Connection to the 'm1_crossvalid' query in the workbook." type="5" refreshedVersion="8" background="1" saveData="1">
    <dbPr connection="Provider=Microsoft.Mashup.OleDb.1;Data Source=$Workbook$;Location=m1_crossvalid;Extended Properties=&quot;&quot;" command="SELECT * FROM [m1_crossvalid]"/>
  </connection>
  <connection id="2" xr16:uid="{6F98798B-CF1A-4AA1-AAAC-1D40A10F0C98}" keepAlive="1" name="Query - m2_crossvalid" description="Connection to the 'm2_crossvalid' query in the workbook." type="5" refreshedVersion="8" background="1" saveData="1">
    <dbPr connection="Provider=Microsoft.Mashup.OleDb.1;Data Source=$Workbook$;Location=m2_crossvalid;Extended Properties=&quot;&quot;" command="SELECT * FROM [m2_crossvalid]"/>
  </connection>
  <connection id="3" xr16:uid="{7F1A5EB2-42B0-49A8-B108-1E3B2D1D8603}" keepAlive="1" name="Query - m3_crossvalid" description="Connection to the 'm3_crossvalid' query in the workbook." type="5" refreshedVersion="8" background="1" saveData="1">
    <dbPr connection="Provider=Microsoft.Mashup.OleDb.1;Data Source=$Workbook$;Location=m3_crossvalid;Extended Properties=&quot;&quot;" command="SELECT * FROM [m3_crossvalid]"/>
  </connection>
  <connection id="4" xr16:uid="{3D25AC86-1BEC-4DD5-BDEC-F011B0944D96}" keepAlive="1" name="Query - m4_crossvalid" description="Connection to the 'm4_crossvalid' query in the workbook." type="5" refreshedVersion="8" background="1" saveData="1">
    <dbPr connection="Provider=Microsoft.Mashup.OleDb.1;Data Source=$Workbook$;Location=m4_crossvalid;Extended Properties=&quot;&quot;" command="SELECT * FROM [m4_crossvalid]"/>
  </connection>
  <connection id="5" xr16:uid="{5B604287-C1FD-43C5-881A-F8049CA387FF}" keepAlive="1" name="Query - m5_crossvalid" description="Connection to the 'm5_crossvalid' query in the workbook." type="5" refreshedVersion="8" background="1" saveData="1">
    <dbPr connection="Provider=Microsoft.Mashup.OleDb.1;Data Source=$Workbook$;Location=m5_crossvalid;Extended Properties=&quot;&quot;" command="SELECT * FROM [m5_crossvalid]"/>
  </connection>
  <connection id="6" xr16:uid="{62CC73F8-7A50-48B8-A9E2-378A43533994}" keepAlive="1" name="Query - m6_crossvalid" description="Connection to the 'm6_crossvalid' query in the workbook." type="5" refreshedVersion="8" background="1" saveData="1">
    <dbPr connection="Provider=Microsoft.Mashup.OleDb.1;Data Source=$Workbook$;Location=m6_crossvalid;Extended Properties=&quot;&quot;" command="SELECT * FROM [m6_crossvalid]"/>
  </connection>
  <connection id="7" xr16:uid="{E4A77E77-9EDC-41B5-90AE-207635629A96}" keepAlive="1" name="Query - m7_crossvalid" description="Connection to the 'm7_crossvalid' query in the workbook." type="5" refreshedVersion="8" background="1" saveData="1">
    <dbPr connection="Provider=Microsoft.Mashup.OleDb.1;Data Source=$Workbook$;Location=m7_crossvalid;Extended Properties=&quot;&quot;" command="SELECT * FROM [m7_crossvalid]"/>
  </connection>
</connections>
</file>

<file path=xl/sharedStrings.xml><?xml version="1.0" encoding="utf-8"?>
<sst xmlns="http://schemas.openxmlformats.org/spreadsheetml/2006/main" count="124" uniqueCount="30">
  <si>
    <t>y</t>
  </si>
  <si>
    <t>ds</t>
  </si>
  <si>
    <t>yhat</t>
  </si>
  <si>
    <t>yhat_lower</t>
  </si>
  <si>
    <t>yhat_upper</t>
  </si>
  <si>
    <t>cutoff</t>
  </si>
  <si>
    <t>Cutoff</t>
  </si>
  <si>
    <t>Date</t>
  </si>
  <si>
    <t>Year</t>
  </si>
  <si>
    <t>Month</t>
  </si>
  <si>
    <t>Day</t>
  </si>
  <si>
    <t>Actual</t>
  </si>
  <si>
    <t>M1</t>
  </si>
  <si>
    <t>M2</t>
  </si>
  <si>
    <t>M3</t>
  </si>
  <si>
    <t>M4</t>
  </si>
  <si>
    <t>M5</t>
  </si>
  <si>
    <t>M6</t>
  </si>
  <si>
    <t>M7</t>
  </si>
  <si>
    <t>ds_Date</t>
  </si>
  <si>
    <t>cutoff_Date</t>
  </si>
  <si>
    <t>Yearly Seasonality Cross-Validation</t>
  </si>
  <si>
    <t>Monthly Seasonality Cross-Validation</t>
  </si>
  <si>
    <t>M6xM7</t>
  </si>
  <si>
    <t>MSE</t>
  </si>
  <si>
    <t>Diff</t>
  </si>
  <si>
    <t>Adj</t>
  </si>
  <si>
    <t>Adj NoDiff</t>
  </si>
  <si>
    <t>Adj No Diff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</si>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</sst>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yyyy\-mm\-dd"/>
    <numFmt numFmtId="168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168" fontId="0" fillId="0" borderId="0" xfId="1" applyNumberFormat="1" applyFont="1"/>
    <xf numFmtId="0" fontId="2" fillId="3" borderId="0" xfId="0" applyFont="1" applyFill="1" applyAlignment="1">
      <alignment horizontal="center"/>
    </xf>
    <xf numFmtId="9" fontId="0" fillId="0" borderId="0" xfId="2" applyFont="1"/>
    <xf numFmtId="11" fontId="0" fillId="0" borderId="0" xfId="0" applyNumberFormat="1"/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5" borderId="1" xfId="0" applyFill="1" applyBorder="1"/>
    <xf numFmtId="0" fontId="2" fillId="5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4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Charts!$C$6:$Q$6</c:f>
              <c:numCache>
                <c:formatCode>General</c:formatCode>
                <c:ptCount val="15"/>
                <c:pt idx="0">
                  <c:v>53930</c:v>
                </c:pt>
                <c:pt idx="1">
                  <c:v>67327</c:v>
                </c:pt>
                <c:pt idx="2">
                  <c:v>77121</c:v>
                </c:pt>
                <c:pt idx="3">
                  <c:v>65200</c:v>
                </c:pt>
                <c:pt idx="4">
                  <c:v>74393</c:v>
                </c:pt>
                <c:pt idx="5">
                  <c:v>58858</c:v>
                </c:pt>
                <c:pt idx="6">
                  <c:v>75663</c:v>
                </c:pt>
                <c:pt idx="7">
                  <c:v>78978</c:v>
                </c:pt>
                <c:pt idx="8">
                  <c:v>62598</c:v>
                </c:pt>
                <c:pt idx="9">
                  <c:v>81413</c:v>
                </c:pt>
                <c:pt idx="10">
                  <c:v>77876</c:v>
                </c:pt>
                <c:pt idx="11">
                  <c:v>96970</c:v>
                </c:pt>
                <c:pt idx="12">
                  <c:v>67995</c:v>
                </c:pt>
                <c:pt idx="13">
                  <c:v>56690</c:v>
                </c:pt>
                <c:pt idx="14">
                  <c:v>67846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E-48D0-B9EE-2FF302A5141B}"/>
            </c:ext>
          </c:extLst>
        </c:ser>
        <c:ser>
          <c:idx val="1"/>
          <c:order val="1"/>
          <c:tx>
            <c:strRef>
              <c:f>Charts!$B$7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Charts!$C$7:$Q$7</c:f>
              <c:numCache>
                <c:formatCode>General</c:formatCode>
                <c:ptCount val="15"/>
                <c:pt idx="0">
                  <c:v>73955</c:v>
                </c:pt>
                <c:pt idx="1">
                  <c:v>68102</c:v>
                </c:pt>
                <c:pt idx="2">
                  <c:v>85688</c:v>
                </c:pt>
                <c:pt idx="3">
                  <c:v>75093</c:v>
                </c:pt>
                <c:pt idx="4">
                  <c:v>75430</c:v>
                </c:pt>
                <c:pt idx="5">
                  <c:v>75499</c:v>
                </c:pt>
                <c:pt idx="6">
                  <c:v>77712</c:v>
                </c:pt>
                <c:pt idx="7">
                  <c:v>82371</c:v>
                </c:pt>
                <c:pt idx="8">
                  <c:v>76731</c:v>
                </c:pt>
                <c:pt idx="9">
                  <c:v>84925</c:v>
                </c:pt>
                <c:pt idx="10">
                  <c:v>76079</c:v>
                </c:pt>
                <c:pt idx="11">
                  <c:v>91725</c:v>
                </c:pt>
                <c:pt idx="12">
                  <c:v>70726</c:v>
                </c:pt>
                <c:pt idx="13">
                  <c:v>69871</c:v>
                </c:pt>
                <c:pt idx="14">
                  <c:v>88381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E-48D0-B9EE-2FF302A5141B}"/>
            </c:ext>
          </c:extLst>
        </c:ser>
        <c:ser>
          <c:idx val="2"/>
          <c:order val="2"/>
          <c:tx>
            <c:strRef>
              <c:f>Charts!$B$8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Charts!$C$8:$Q$8</c:f>
              <c:numCache>
                <c:formatCode>General</c:formatCode>
                <c:ptCount val="15"/>
                <c:pt idx="0">
                  <c:v>73148</c:v>
                </c:pt>
                <c:pt idx="1">
                  <c:v>58587</c:v>
                </c:pt>
                <c:pt idx="2">
                  <c:v>83786</c:v>
                </c:pt>
                <c:pt idx="3">
                  <c:v>70245</c:v>
                </c:pt>
                <c:pt idx="4">
                  <c:v>74723</c:v>
                </c:pt>
                <c:pt idx="5">
                  <c:v>70027</c:v>
                </c:pt>
                <c:pt idx="6">
                  <c:v>78078</c:v>
                </c:pt>
                <c:pt idx="7">
                  <c:v>79767</c:v>
                </c:pt>
                <c:pt idx="8">
                  <c:v>72231</c:v>
                </c:pt>
                <c:pt idx="9">
                  <c:v>84170</c:v>
                </c:pt>
                <c:pt idx="10">
                  <c:v>71388</c:v>
                </c:pt>
                <c:pt idx="11">
                  <c:v>90831</c:v>
                </c:pt>
                <c:pt idx="12">
                  <c:v>71943</c:v>
                </c:pt>
                <c:pt idx="13">
                  <c:v>60011</c:v>
                </c:pt>
                <c:pt idx="14">
                  <c:v>88468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8E-48D0-B9EE-2FF302A5141B}"/>
            </c:ext>
          </c:extLst>
        </c:ser>
        <c:ser>
          <c:idx val="3"/>
          <c:order val="3"/>
          <c:tx>
            <c:strRef>
              <c:f>Charts!$B$9</c:f>
              <c:strCache>
                <c:ptCount val="1"/>
                <c:pt idx="0">
                  <c:v>M3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Charts!$C$9:$Q$9</c:f>
              <c:numCache>
                <c:formatCode>General</c:formatCode>
                <c:ptCount val="15"/>
                <c:pt idx="0">
                  <c:v>71732</c:v>
                </c:pt>
                <c:pt idx="1">
                  <c:v>59376</c:v>
                </c:pt>
                <c:pt idx="2">
                  <c:v>79445</c:v>
                </c:pt>
                <c:pt idx="3">
                  <c:v>71266</c:v>
                </c:pt>
                <c:pt idx="4">
                  <c:v>76738</c:v>
                </c:pt>
                <c:pt idx="5">
                  <c:v>67278</c:v>
                </c:pt>
                <c:pt idx="6">
                  <c:v>83376</c:v>
                </c:pt>
                <c:pt idx="7">
                  <c:v>77931</c:v>
                </c:pt>
                <c:pt idx="8">
                  <c:v>66522</c:v>
                </c:pt>
                <c:pt idx="9">
                  <c:v>83546</c:v>
                </c:pt>
                <c:pt idx="10">
                  <c:v>74282</c:v>
                </c:pt>
                <c:pt idx="11">
                  <c:v>92691</c:v>
                </c:pt>
                <c:pt idx="12">
                  <c:v>74900</c:v>
                </c:pt>
                <c:pt idx="13">
                  <c:v>53677</c:v>
                </c:pt>
                <c:pt idx="14">
                  <c:v>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8E-48D0-B9EE-2FF302A5141B}"/>
            </c:ext>
          </c:extLst>
        </c:ser>
        <c:ser>
          <c:idx val="4"/>
          <c:order val="4"/>
          <c:tx>
            <c:strRef>
              <c:f>Charts!$B$10</c:f>
              <c:strCache>
                <c:ptCount val="1"/>
                <c:pt idx="0">
                  <c:v>M4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Charts!$C$10:$Q$10</c:f>
              <c:numCache>
                <c:formatCode>General</c:formatCode>
                <c:ptCount val="15"/>
                <c:pt idx="0">
                  <c:v>71428</c:v>
                </c:pt>
                <c:pt idx="1">
                  <c:v>59336</c:v>
                </c:pt>
                <c:pt idx="2">
                  <c:v>79613</c:v>
                </c:pt>
                <c:pt idx="3">
                  <c:v>71388</c:v>
                </c:pt>
                <c:pt idx="4">
                  <c:v>76741</c:v>
                </c:pt>
                <c:pt idx="5">
                  <c:v>67298</c:v>
                </c:pt>
                <c:pt idx="6">
                  <c:v>83116</c:v>
                </c:pt>
                <c:pt idx="7">
                  <c:v>77954</c:v>
                </c:pt>
                <c:pt idx="8">
                  <c:v>66671</c:v>
                </c:pt>
                <c:pt idx="9">
                  <c:v>83438</c:v>
                </c:pt>
                <c:pt idx="10">
                  <c:v>74076</c:v>
                </c:pt>
                <c:pt idx="11">
                  <c:v>92644</c:v>
                </c:pt>
                <c:pt idx="12">
                  <c:v>74796</c:v>
                </c:pt>
                <c:pt idx="13">
                  <c:v>53613</c:v>
                </c:pt>
                <c:pt idx="14">
                  <c:v>71386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8E-48D0-B9EE-2FF302A5141B}"/>
            </c:ext>
          </c:extLst>
        </c:ser>
        <c:ser>
          <c:idx val="5"/>
          <c:order val="5"/>
          <c:tx>
            <c:strRef>
              <c:f>Charts!$B$11</c:f>
              <c:strCache>
                <c:ptCount val="1"/>
                <c:pt idx="0">
                  <c:v>M5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Charts!$C$11:$Q$11</c:f>
              <c:numCache>
                <c:formatCode>General</c:formatCode>
                <c:ptCount val="15"/>
                <c:pt idx="0">
                  <c:v>70060</c:v>
                </c:pt>
                <c:pt idx="1">
                  <c:v>62532</c:v>
                </c:pt>
                <c:pt idx="2">
                  <c:v>75376</c:v>
                </c:pt>
                <c:pt idx="3">
                  <c:v>70823</c:v>
                </c:pt>
                <c:pt idx="4">
                  <c:v>73655</c:v>
                </c:pt>
                <c:pt idx="5">
                  <c:v>65980</c:v>
                </c:pt>
                <c:pt idx="6">
                  <c:v>78782</c:v>
                </c:pt>
                <c:pt idx="7">
                  <c:v>75943</c:v>
                </c:pt>
                <c:pt idx="8">
                  <c:v>66509</c:v>
                </c:pt>
                <c:pt idx="9">
                  <c:v>80161</c:v>
                </c:pt>
                <c:pt idx="10">
                  <c:v>74187</c:v>
                </c:pt>
                <c:pt idx="11">
                  <c:v>89790</c:v>
                </c:pt>
                <c:pt idx="12">
                  <c:v>73837</c:v>
                </c:pt>
                <c:pt idx="13">
                  <c:v>61740</c:v>
                </c:pt>
                <c:pt idx="14">
                  <c:v>66867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8E-48D0-B9EE-2FF302A5141B}"/>
            </c:ext>
          </c:extLst>
        </c:ser>
        <c:ser>
          <c:idx val="6"/>
          <c:order val="6"/>
          <c:tx>
            <c:strRef>
              <c:f>Charts!$B$12</c:f>
              <c:strCache>
                <c:ptCount val="1"/>
                <c:pt idx="0">
                  <c:v>M6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Charts!$C$12:$Q$12</c:f>
              <c:numCache>
                <c:formatCode>General</c:formatCode>
                <c:ptCount val="15"/>
                <c:pt idx="0">
                  <c:v>63584</c:v>
                </c:pt>
                <c:pt idx="1">
                  <c:v>77838</c:v>
                </c:pt>
                <c:pt idx="2">
                  <c:v>58330</c:v>
                </c:pt>
                <c:pt idx="3">
                  <c:v>81731</c:v>
                </c:pt>
                <c:pt idx="4">
                  <c:v>57672</c:v>
                </c:pt>
                <c:pt idx="5">
                  <c:v>60920</c:v>
                </c:pt>
                <c:pt idx="6">
                  <c:v>89410</c:v>
                </c:pt>
                <c:pt idx="7">
                  <c:v>66922</c:v>
                </c:pt>
                <c:pt idx="8">
                  <c:v>66371</c:v>
                </c:pt>
                <c:pt idx="9">
                  <c:v>84622</c:v>
                </c:pt>
                <c:pt idx="10">
                  <c:v>56453</c:v>
                </c:pt>
                <c:pt idx="11">
                  <c:v>84572</c:v>
                </c:pt>
                <c:pt idx="12">
                  <c:v>73258</c:v>
                </c:pt>
                <c:pt idx="13">
                  <c:v>52606</c:v>
                </c:pt>
                <c:pt idx="14">
                  <c:v>64540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8E-48D0-B9EE-2FF302A5141B}"/>
            </c:ext>
          </c:extLst>
        </c:ser>
        <c:ser>
          <c:idx val="7"/>
          <c:order val="7"/>
          <c:tx>
            <c:strRef>
              <c:f>Charts!$B$13</c:f>
              <c:strCache>
                <c:ptCount val="1"/>
                <c:pt idx="0">
                  <c:v>M7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Charts!$C$13:$Q$13</c:f>
              <c:numCache>
                <c:formatCode>General</c:formatCode>
                <c:ptCount val="15"/>
                <c:pt idx="0">
                  <c:v>70335</c:v>
                </c:pt>
                <c:pt idx="1">
                  <c:v>63165</c:v>
                </c:pt>
                <c:pt idx="2">
                  <c:v>75633</c:v>
                </c:pt>
                <c:pt idx="3">
                  <c:v>70957</c:v>
                </c:pt>
                <c:pt idx="4">
                  <c:v>73963</c:v>
                </c:pt>
                <c:pt idx="5">
                  <c:v>66271</c:v>
                </c:pt>
                <c:pt idx="6">
                  <c:v>78756</c:v>
                </c:pt>
                <c:pt idx="7">
                  <c:v>75987</c:v>
                </c:pt>
                <c:pt idx="8">
                  <c:v>66459</c:v>
                </c:pt>
                <c:pt idx="9">
                  <c:v>79737</c:v>
                </c:pt>
                <c:pt idx="10">
                  <c:v>74524</c:v>
                </c:pt>
                <c:pt idx="11">
                  <c:v>89870</c:v>
                </c:pt>
                <c:pt idx="12">
                  <c:v>73240</c:v>
                </c:pt>
                <c:pt idx="13">
                  <c:v>61591</c:v>
                </c:pt>
                <c:pt idx="14">
                  <c:v>67336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8E-48D0-B9EE-2FF302A5141B}"/>
            </c:ext>
          </c:extLst>
        </c:ser>
        <c:ser>
          <c:idx val="8"/>
          <c:order val="8"/>
          <c:tx>
            <c:strRef>
              <c:f>Charts!$B$14</c:f>
              <c:strCache>
                <c:ptCount val="1"/>
                <c:pt idx="0">
                  <c:v>M6xM7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Charts!$C$14:$Q$14</c:f>
              <c:numCache>
                <c:formatCode>General</c:formatCode>
                <c:ptCount val="15"/>
                <c:pt idx="0">
                  <c:v>68703</c:v>
                </c:pt>
                <c:pt idx="1">
                  <c:v>82055</c:v>
                </c:pt>
                <c:pt idx="2">
                  <c:v>77422</c:v>
                </c:pt>
                <c:pt idx="3">
                  <c:v>71216</c:v>
                </c:pt>
                <c:pt idx="4">
                  <c:v>66720</c:v>
                </c:pt>
                <c:pt idx="5">
                  <c:v>64345</c:v>
                </c:pt>
                <c:pt idx="6">
                  <c:v>74007</c:v>
                </c:pt>
                <c:pt idx="7">
                  <c:v>76969</c:v>
                </c:pt>
                <c:pt idx="8">
                  <c:v>62171</c:v>
                </c:pt>
                <c:pt idx="9">
                  <c:v>73723</c:v>
                </c:pt>
                <c:pt idx="10">
                  <c:v>72905</c:v>
                </c:pt>
                <c:pt idx="11">
                  <c:v>79911</c:v>
                </c:pt>
                <c:pt idx="12">
                  <c:v>71837</c:v>
                </c:pt>
                <c:pt idx="13">
                  <c:v>59419</c:v>
                </c:pt>
                <c:pt idx="14">
                  <c:v>54239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8E-48D0-B9EE-2FF302A5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502143"/>
        <c:axId val="1239505503"/>
      </c:lineChart>
      <c:catAx>
        <c:axId val="12395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5503"/>
        <c:crosses val="autoZero"/>
        <c:auto val="1"/>
        <c:lblAlgn val="ctr"/>
        <c:lblOffset val="100"/>
        <c:noMultiLvlLbl val="0"/>
      </c:catAx>
      <c:valAx>
        <c:axId val="1239505503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Charts!$C$61:$AG$61</c:f>
              <c:numCache>
                <c:formatCode>_(* #,##0_);_(* \(#,##0\);_(* "-"??_);_(@_)</c:formatCode>
                <c:ptCount val="31"/>
                <c:pt idx="0">
                  <c:v>385.53333333333336</c:v>
                </c:pt>
                <c:pt idx="1">
                  <c:v>454.33333333333331</c:v>
                </c:pt>
                <c:pt idx="2">
                  <c:v>558.4</c:v>
                </c:pt>
                <c:pt idx="3">
                  <c:v>654.4</c:v>
                </c:pt>
                <c:pt idx="4">
                  <c:v>755.4666666666667</c:v>
                </c:pt>
                <c:pt idx="5">
                  <c:v>865.6</c:v>
                </c:pt>
                <c:pt idx="6">
                  <c:v>822.66666666666663</c:v>
                </c:pt>
                <c:pt idx="7">
                  <c:v>875.26666666666665</c:v>
                </c:pt>
                <c:pt idx="8">
                  <c:v>1185.5333333333333</c:v>
                </c:pt>
                <c:pt idx="9">
                  <c:v>1537.5333333333333</c:v>
                </c:pt>
                <c:pt idx="10">
                  <c:v>1506.4666666666667</c:v>
                </c:pt>
                <c:pt idx="11">
                  <c:v>1624.1333333333334</c:v>
                </c:pt>
                <c:pt idx="12">
                  <c:v>1729.2666666666667</c:v>
                </c:pt>
                <c:pt idx="13">
                  <c:v>1766.6</c:v>
                </c:pt>
                <c:pt idx="14">
                  <c:v>1543.8666666666666</c:v>
                </c:pt>
                <c:pt idx="15">
                  <c:v>1863.6666666666667</c:v>
                </c:pt>
                <c:pt idx="16">
                  <c:v>2483</c:v>
                </c:pt>
                <c:pt idx="17">
                  <c:v>2168.2666666666669</c:v>
                </c:pt>
                <c:pt idx="18">
                  <c:v>2256.0666666666666</c:v>
                </c:pt>
                <c:pt idx="19">
                  <c:v>1948.2666666666667</c:v>
                </c:pt>
                <c:pt idx="20">
                  <c:v>2252.2666666666669</c:v>
                </c:pt>
                <c:pt idx="21">
                  <c:v>2200.7333333333331</c:v>
                </c:pt>
                <c:pt idx="22">
                  <c:v>2563.9333333333334</c:v>
                </c:pt>
                <c:pt idx="23">
                  <c:v>3148.9333333333334</c:v>
                </c:pt>
                <c:pt idx="24">
                  <c:v>2965.2666666666669</c:v>
                </c:pt>
                <c:pt idx="25">
                  <c:v>3921.6666666666665</c:v>
                </c:pt>
                <c:pt idx="26">
                  <c:v>4421.4666666666662</c:v>
                </c:pt>
                <c:pt idx="27">
                  <c:v>5782.8666666666668</c:v>
                </c:pt>
                <c:pt idx="28">
                  <c:v>5638.6153846153848</c:v>
                </c:pt>
                <c:pt idx="29">
                  <c:v>7961.3076923076924</c:v>
                </c:pt>
                <c:pt idx="30">
                  <c:v>8048.5555555555557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B-4D36-B66C-7934F719A04C}"/>
            </c:ext>
          </c:extLst>
        </c:ser>
        <c:ser>
          <c:idx val="1"/>
          <c:order val="1"/>
          <c:tx>
            <c:strRef>
              <c:f>Charts!$B$62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Charts!$C$62:$AG$62</c:f>
              <c:numCache>
                <c:formatCode>_(* #,##0_);_(* \(#,##0\);_(* "-"??_);_(@_)</c:formatCode>
                <c:ptCount val="31"/>
                <c:pt idx="0">
                  <c:v>2482.0666666666666</c:v>
                </c:pt>
                <c:pt idx="1">
                  <c:v>2754.4</c:v>
                </c:pt>
                <c:pt idx="2">
                  <c:v>2975</c:v>
                </c:pt>
                <c:pt idx="3">
                  <c:v>2882</c:v>
                </c:pt>
                <c:pt idx="4">
                  <c:v>2823.3333333333335</c:v>
                </c:pt>
                <c:pt idx="5">
                  <c:v>2831.0666666666666</c:v>
                </c:pt>
                <c:pt idx="6">
                  <c:v>2660.5333333333333</c:v>
                </c:pt>
                <c:pt idx="7">
                  <c:v>2446.3333333333335</c:v>
                </c:pt>
                <c:pt idx="8">
                  <c:v>2692.7333333333331</c:v>
                </c:pt>
                <c:pt idx="9">
                  <c:v>2888.9333333333334</c:v>
                </c:pt>
                <c:pt idx="10">
                  <c:v>2773.6666666666665</c:v>
                </c:pt>
                <c:pt idx="11">
                  <c:v>2695.1333333333332</c:v>
                </c:pt>
                <c:pt idx="12">
                  <c:v>2686.1333333333332</c:v>
                </c:pt>
                <c:pt idx="13">
                  <c:v>2502</c:v>
                </c:pt>
                <c:pt idx="14">
                  <c:v>2277.3333333333335</c:v>
                </c:pt>
                <c:pt idx="15">
                  <c:v>2517.4666666666667</c:v>
                </c:pt>
                <c:pt idx="16">
                  <c:v>2711.0666666666666</c:v>
                </c:pt>
                <c:pt idx="17">
                  <c:v>2596.7333333333331</c:v>
                </c:pt>
                <c:pt idx="18">
                  <c:v>2522.9333333333334</c:v>
                </c:pt>
                <c:pt idx="19">
                  <c:v>2522.1333333333332</c:v>
                </c:pt>
                <c:pt idx="20">
                  <c:v>2349.1999999999998</c:v>
                </c:pt>
                <c:pt idx="21">
                  <c:v>2138.9333333333334</c:v>
                </c:pt>
                <c:pt idx="22">
                  <c:v>2395.8000000000002</c:v>
                </c:pt>
                <c:pt idx="23">
                  <c:v>2607.9333333333334</c:v>
                </c:pt>
                <c:pt idx="24">
                  <c:v>2513.8000000000002</c:v>
                </c:pt>
                <c:pt idx="25">
                  <c:v>2461.1333333333332</c:v>
                </c:pt>
                <c:pt idx="26">
                  <c:v>2488.9333333333334</c:v>
                </c:pt>
                <c:pt idx="27">
                  <c:v>2330.6</c:v>
                </c:pt>
                <c:pt idx="28">
                  <c:v>2331.7692307692309</c:v>
                </c:pt>
                <c:pt idx="29">
                  <c:v>2512.3846153846152</c:v>
                </c:pt>
                <c:pt idx="30">
                  <c:v>2378.2222222222222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B-4D36-B66C-7934F719A04C}"/>
            </c:ext>
          </c:extLst>
        </c:ser>
        <c:ser>
          <c:idx val="2"/>
          <c:order val="2"/>
          <c:tx>
            <c:strRef>
              <c:f>Charts!$B$63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Charts!$C$63:$AG$63</c:f>
              <c:numCache>
                <c:formatCode>_(* #,##0_);_(* \(#,##0\);_(* "-"??_);_(@_)</c:formatCode>
                <c:ptCount val="31"/>
                <c:pt idx="0">
                  <c:v>4603.4666666666662</c:v>
                </c:pt>
                <c:pt idx="1">
                  <c:v>3469.0666666666666</c:v>
                </c:pt>
                <c:pt idx="2">
                  <c:v>2075.3333333333335</c:v>
                </c:pt>
                <c:pt idx="3">
                  <c:v>1295.5333333333333</c:v>
                </c:pt>
                <c:pt idx="4">
                  <c:v>1051.2</c:v>
                </c:pt>
                <c:pt idx="5">
                  <c:v>1217.4666666666667</c:v>
                </c:pt>
                <c:pt idx="6">
                  <c:v>1236.8</c:v>
                </c:pt>
                <c:pt idx="7">
                  <c:v>1203.4000000000001</c:v>
                </c:pt>
                <c:pt idx="8">
                  <c:v>1392</c:v>
                </c:pt>
                <c:pt idx="9">
                  <c:v>1585.2</c:v>
                </c:pt>
                <c:pt idx="10">
                  <c:v>1648.4</c:v>
                </c:pt>
                <c:pt idx="11">
                  <c:v>1730.2</c:v>
                </c:pt>
                <c:pt idx="12">
                  <c:v>1860.3333333333333</c:v>
                </c:pt>
                <c:pt idx="13">
                  <c:v>1691.8</c:v>
                </c:pt>
                <c:pt idx="14">
                  <c:v>1536.4666666666667</c:v>
                </c:pt>
                <c:pt idx="15">
                  <c:v>1874.4666666666667</c:v>
                </c:pt>
                <c:pt idx="16">
                  <c:v>2267.8666666666668</c:v>
                </c:pt>
                <c:pt idx="17">
                  <c:v>2326.9333333333334</c:v>
                </c:pt>
                <c:pt idx="18">
                  <c:v>2302.5333333333333</c:v>
                </c:pt>
                <c:pt idx="19">
                  <c:v>2283.9333333333334</c:v>
                </c:pt>
                <c:pt idx="20">
                  <c:v>2172.9333333333334</c:v>
                </c:pt>
                <c:pt idx="21">
                  <c:v>2190</c:v>
                </c:pt>
                <c:pt idx="22">
                  <c:v>2713.2666666666669</c:v>
                </c:pt>
                <c:pt idx="23">
                  <c:v>3083.3333333333335</c:v>
                </c:pt>
                <c:pt idx="24">
                  <c:v>3005.6666666666665</c:v>
                </c:pt>
                <c:pt idx="25">
                  <c:v>3030.3333333333335</c:v>
                </c:pt>
                <c:pt idx="26">
                  <c:v>3465.9333333333334</c:v>
                </c:pt>
                <c:pt idx="27">
                  <c:v>4145.666666666667</c:v>
                </c:pt>
                <c:pt idx="28">
                  <c:v>4981.2307692307695</c:v>
                </c:pt>
                <c:pt idx="29">
                  <c:v>5837.6153846153848</c:v>
                </c:pt>
                <c:pt idx="30">
                  <c:v>5540.5555555555557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1B-4D36-B66C-7934F719A04C}"/>
            </c:ext>
          </c:extLst>
        </c:ser>
        <c:ser>
          <c:idx val="3"/>
          <c:order val="3"/>
          <c:tx>
            <c:strRef>
              <c:f>Charts!$B$64</c:f>
              <c:strCache>
                <c:ptCount val="1"/>
                <c:pt idx="0">
                  <c:v>M3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Charts!$C$64:$AG$64</c:f>
              <c:numCache>
                <c:formatCode>_(* #,##0_);_(* \(#,##0\);_(* "-"??_);_(@_)</c:formatCode>
                <c:ptCount val="31"/>
                <c:pt idx="0">
                  <c:v>4041.4666666666667</c:v>
                </c:pt>
                <c:pt idx="1">
                  <c:v>3444.6666666666665</c:v>
                </c:pt>
                <c:pt idx="2">
                  <c:v>2119.2666666666669</c:v>
                </c:pt>
                <c:pt idx="3">
                  <c:v>1368.9333333333334</c:v>
                </c:pt>
                <c:pt idx="4">
                  <c:v>1091.0666666666666</c:v>
                </c:pt>
                <c:pt idx="5">
                  <c:v>1223.5333333333333</c:v>
                </c:pt>
                <c:pt idx="6">
                  <c:v>1226.9333333333334</c:v>
                </c:pt>
                <c:pt idx="7">
                  <c:v>1153.8</c:v>
                </c:pt>
                <c:pt idx="8">
                  <c:v>1451</c:v>
                </c:pt>
                <c:pt idx="9">
                  <c:v>1617.4666666666667</c:v>
                </c:pt>
                <c:pt idx="10">
                  <c:v>1587</c:v>
                </c:pt>
                <c:pt idx="11">
                  <c:v>1753.1333333333334</c:v>
                </c:pt>
                <c:pt idx="12">
                  <c:v>1932.8666666666666</c:v>
                </c:pt>
                <c:pt idx="13">
                  <c:v>1797.2</c:v>
                </c:pt>
                <c:pt idx="14">
                  <c:v>1474.9333333333334</c:v>
                </c:pt>
                <c:pt idx="15">
                  <c:v>1803.6</c:v>
                </c:pt>
                <c:pt idx="16">
                  <c:v>2165</c:v>
                </c:pt>
                <c:pt idx="17">
                  <c:v>2132.0666666666666</c:v>
                </c:pt>
                <c:pt idx="18">
                  <c:v>2426.5333333333333</c:v>
                </c:pt>
                <c:pt idx="19">
                  <c:v>2013.4666666666667</c:v>
                </c:pt>
                <c:pt idx="20">
                  <c:v>2110.5333333333333</c:v>
                </c:pt>
                <c:pt idx="21">
                  <c:v>2149.4</c:v>
                </c:pt>
                <c:pt idx="22">
                  <c:v>2542.7333333333331</c:v>
                </c:pt>
                <c:pt idx="23">
                  <c:v>3034.5333333333333</c:v>
                </c:pt>
                <c:pt idx="24">
                  <c:v>2789</c:v>
                </c:pt>
                <c:pt idx="25">
                  <c:v>3176.0666666666666</c:v>
                </c:pt>
                <c:pt idx="26">
                  <c:v>3374.3333333333335</c:v>
                </c:pt>
                <c:pt idx="27">
                  <c:v>4138.666666666667</c:v>
                </c:pt>
                <c:pt idx="28">
                  <c:v>4906</c:v>
                </c:pt>
                <c:pt idx="29">
                  <c:v>5812</c:v>
                </c:pt>
                <c:pt idx="30">
                  <c:v>5326.333333333333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1B-4D36-B66C-7934F719A04C}"/>
            </c:ext>
          </c:extLst>
        </c:ser>
        <c:ser>
          <c:idx val="4"/>
          <c:order val="4"/>
          <c:tx>
            <c:strRef>
              <c:f>Charts!$B$65</c:f>
              <c:strCache>
                <c:ptCount val="1"/>
                <c:pt idx="0">
                  <c:v>M4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Charts!$C$65:$AG$65</c:f>
              <c:numCache>
                <c:formatCode>_(* #,##0_);_(* \(#,##0\);_(* "-"??_);_(@_)</c:formatCode>
                <c:ptCount val="31"/>
                <c:pt idx="0">
                  <c:v>4038.9333333333334</c:v>
                </c:pt>
                <c:pt idx="1">
                  <c:v>3442.1333333333332</c:v>
                </c:pt>
                <c:pt idx="2">
                  <c:v>2120.3333333333335</c:v>
                </c:pt>
                <c:pt idx="3">
                  <c:v>1369.3333333333333</c:v>
                </c:pt>
                <c:pt idx="4">
                  <c:v>1089.8666666666666</c:v>
                </c:pt>
                <c:pt idx="5">
                  <c:v>1221.7333333333333</c:v>
                </c:pt>
                <c:pt idx="6">
                  <c:v>1224.5999999999999</c:v>
                </c:pt>
                <c:pt idx="7">
                  <c:v>1153.5333333333333</c:v>
                </c:pt>
                <c:pt idx="8">
                  <c:v>1449.4666666666667</c:v>
                </c:pt>
                <c:pt idx="9">
                  <c:v>1615.6666666666667</c:v>
                </c:pt>
                <c:pt idx="10">
                  <c:v>1586.0666666666666</c:v>
                </c:pt>
                <c:pt idx="11">
                  <c:v>1752.4</c:v>
                </c:pt>
                <c:pt idx="12">
                  <c:v>1931.0666666666666</c:v>
                </c:pt>
                <c:pt idx="13">
                  <c:v>1794.7333333333333</c:v>
                </c:pt>
                <c:pt idx="14">
                  <c:v>1474.9333333333334</c:v>
                </c:pt>
                <c:pt idx="15">
                  <c:v>1804</c:v>
                </c:pt>
                <c:pt idx="16">
                  <c:v>2162.4666666666667</c:v>
                </c:pt>
                <c:pt idx="17">
                  <c:v>2129.2666666666669</c:v>
                </c:pt>
                <c:pt idx="18">
                  <c:v>2424.8000000000002</c:v>
                </c:pt>
                <c:pt idx="19">
                  <c:v>2010.1333333333334</c:v>
                </c:pt>
                <c:pt idx="20">
                  <c:v>2108.1999999999998</c:v>
                </c:pt>
                <c:pt idx="21">
                  <c:v>2147.2666666666669</c:v>
                </c:pt>
                <c:pt idx="22">
                  <c:v>2541.1333333333332</c:v>
                </c:pt>
                <c:pt idx="23">
                  <c:v>3032.2</c:v>
                </c:pt>
                <c:pt idx="24">
                  <c:v>2788.0666666666666</c:v>
                </c:pt>
                <c:pt idx="25">
                  <c:v>3172.7333333333331</c:v>
                </c:pt>
                <c:pt idx="26">
                  <c:v>3371</c:v>
                </c:pt>
                <c:pt idx="27">
                  <c:v>4135.666666666667</c:v>
                </c:pt>
                <c:pt idx="28">
                  <c:v>4900.3076923076924</c:v>
                </c:pt>
                <c:pt idx="29">
                  <c:v>5808.8461538461543</c:v>
                </c:pt>
                <c:pt idx="30">
                  <c:v>5322.5555555555557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1B-4D36-B66C-7934F719A04C}"/>
            </c:ext>
          </c:extLst>
        </c:ser>
        <c:ser>
          <c:idx val="5"/>
          <c:order val="5"/>
          <c:tx>
            <c:strRef>
              <c:f>Charts!$B$66</c:f>
              <c:strCache>
                <c:ptCount val="1"/>
                <c:pt idx="0">
                  <c:v>M5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Charts!$C$66:$AG$66</c:f>
              <c:numCache>
                <c:formatCode>_(* #,##0_);_(* \(#,##0\);_(* "-"??_);_(@_)</c:formatCode>
                <c:ptCount val="31"/>
                <c:pt idx="0">
                  <c:v>1197.2666666666667</c:v>
                </c:pt>
                <c:pt idx="1">
                  <c:v>1310.9333333333334</c:v>
                </c:pt>
                <c:pt idx="2">
                  <c:v>1189.7333333333333</c:v>
                </c:pt>
                <c:pt idx="3">
                  <c:v>1186.6666666666667</c:v>
                </c:pt>
                <c:pt idx="4">
                  <c:v>1159.4666666666667</c:v>
                </c:pt>
                <c:pt idx="5">
                  <c:v>1184.7333333333333</c:v>
                </c:pt>
                <c:pt idx="6">
                  <c:v>1017.3333333333334</c:v>
                </c:pt>
                <c:pt idx="7">
                  <c:v>1335.5333333333333</c:v>
                </c:pt>
                <c:pt idx="8">
                  <c:v>1617.8</c:v>
                </c:pt>
                <c:pt idx="9">
                  <c:v>1724.4666666666667</c:v>
                </c:pt>
                <c:pt idx="10">
                  <c:v>1605.6</c:v>
                </c:pt>
                <c:pt idx="11">
                  <c:v>1672.2</c:v>
                </c:pt>
                <c:pt idx="12">
                  <c:v>1774.2666666666667</c:v>
                </c:pt>
                <c:pt idx="13">
                  <c:v>1674.9333333333334</c:v>
                </c:pt>
                <c:pt idx="14">
                  <c:v>1467.8</c:v>
                </c:pt>
                <c:pt idx="15">
                  <c:v>1865.0666666666666</c:v>
                </c:pt>
                <c:pt idx="16">
                  <c:v>2181.1333333333332</c:v>
                </c:pt>
                <c:pt idx="17">
                  <c:v>2049.3333333333335</c:v>
                </c:pt>
                <c:pt idx="18">
                  <c:v>2303.3333333333335</c:v>
                </c:pt>
                <c:pt idx="19">
                  <c:v>1987.8</c:v>
                </c:pt>
                <c:pt idx="20">
                  <c:v>2204.2666666666669</c:v>
                </c:pt>
                <c:pt idx="21">
                  <c:v>2305.8000000000002</c:v>
                </c:pt>
                <c:pt idx="22">
                  <c:v>2515.6</c:v>
                </c:pt>
                <c:pt idx="23">
                  <c:v>3050.3333333333335</c:v>
                </c:pt>
                <c:pt idx="24">
                  <c:v>3078.2</c:v>
                </c:pt>
                <c:pt idx="25">
                  <c:v>3467.7333333333331</c:v>
                </c:pt>
                <c:pt idx="26">
                  <c:v>3846.4</c:v>
                </c:pt>
                <c:pt idx="27">
                  <c:v>4589.3999999999996</c:v>
                </c:pt>
                <c:pt idx="28">
                  <c:v>4888.3846153846152</c:v>
                </c:pt>
                <c:pt idx="29">
                  <c:v>7509.6153846153848</c:v>
                </c:pt>
                <c:pt idx="30">
                  <c:v>8513.4444444444453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1B-4D36-B66C-7934F719A04C}"/>
            </c:ext>
          </c:extLst>
        </c:ser>
        <c:ser>
          <c:idx val="6"/>
          <c:order val="6"/>
          <c:tx>
            <c:strRef>
              <c:f>Charts!$B$67</c:f>
              <c:strCache>
                <c:ptCount val="1"/>
                <c:pt idx="0">
                  <c:v>M6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Charts!$C$67:$AG$67</c:f>
              <c:numCache>
                <c:formatCode>_(* #,##0_);_(* \(#,##0\);_(* "-"??_);_(@_)</c:formatCode>
                <c:ptCount val="31"/>
                <c:pt idx="0">
                  <c:v>370.06666666666666</c:v>
                </c:pt>
                <c:pt idx="1">
                  <c:v>394.26666666666665</c:v>
                </c:pt>
                <c:pt idx="2">
                  <c:v>658.06666666666672</c:v>
                </c:pt>
                <c:pt idx="3">
                  <c:v>646.26666666666665</c:v>
                </c:pt>
                <c:pt idx="4">
                  <c:v>598.93333333333328</c:v>
                </c:pt>
                <c:pt idx="5">
                  <c:v>614.4</c:v>
                </c:pt>
                <c:pt idx="6">
                  <c:v>592.20000000000005</c:v>
                </c:pt>
                <c:pt idx="7">
                  <c:v>1035.0666666666666</c:v>
                </c:pt>
                <c:pt idx="8">
                  <c:v>1189.4666666666667</c:v>
                </c:pt>
                <c:pt idx="9">
                  <c:v>1333.0666666666666</c:v>
                </c:pt>
                <c:pt idx="10">
                  <c:v>1224.8666666666666</c:v>
                </c:pt>
                <c:pt idx="11">
                  <c:v>1313.5333333333333</c:v>
                </c:pt>
                <c:pt idx="12">
                  <c:v>1434.5333333333333</c:v>
                </c:pt>
                <c:pt idx="13">
                  <c:v>1434.4</c:v>
                </c:pt>
                <c:pt idx="14">
                  <c:v>1330.4</c:v>
                </c:pt>
                <c:pt idx="15">
                  <c:v>1596.8666666666666</c:v>
                </c:pt>
                <c:pt idx="16">
                  <c:v>1884.6</c:v>
                </c:pt>
                <c:pt idx="17">
                  <c:v>1734.7333333333333</c:v>
                </c:pt>
                <c:pt idx="18">
                  <c:v>2103.1999999999998</c:v>
                </c:pt>
                <c:pt idx="19">
                  <c:v>1845.6666666666667</c:v>
                </c:pt>
                <c:pt idx="20">
                  <c:v>2113.8000000000002</c:v>
                </c:pt>
                <c:pt idx="21">
                  <c:v>2154.0666666666666</c:v>
                </c:pt>
                <c:pt idx="22">
                  <c:v>2396.7333333333331</c:v>
                </c:pt>
                <c:pt idx="23">
                  <c:v>3346.6</c:v>
                </c:pt>
                <c:pt idx="24">
                  <c:v>3531.3333333333335</c:v>
                </c:pt>
                <c:pt idx="25">
                  <c:v>3866.8666666666668</c:v>
                </c:pt>
                <c:pt idx="26">
                  <c:v>4515.4666666666662</c:v>
                </c:pt>
                <c:pt idx="27">
                  <c:v>5217.6000000000004</c:v>
                </c:pt>
                <c:pt idx="28">
                  <c:v>4677.4615384615381</c:v>
                </c:pt>
                <c:pt idx="29">
                  <c:v>9273.9230769230762</c:v>
                </c:pt>
                <c:pt idx="30">
                  <c:v>11145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1B-4D36-B66C-7934F719A04C}"/>
            </c:ext>
          </c:extLst>
        </c:ser>
        <c:ser>
          <c:idx val="7"/>
          <c:order val="7"/>
          <c:tx>
            <c:strRef>
              <c:f>Charts!$B$68</c:f>
              <c:strCache>
                <c:ptCount val="1"/>
                <c:pt idx="0">
                  <c:v>M7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Charts!$C$68:$AG$68</c:f>
              <c:numCache>
                <c:formatCode>_(* #,##0_);_(* \(#,##0\);_(* "-"??_);_(@_)</c:formatCode>
                <c:ptCount val="31"/>
                <c:pt idx="0">
                  <c:v>1172.5333333333333</c:v>
                </c:pt>
                <c:pt idx="1">
                  <c:v>1167.6666666666667</c:v>
                </c:pt>
                <c:pt idx="2">
                  <c:v>1167.2</c:v>
                </c:pt>
                <c:pt idx="3">
                  <c:v>1233.3333333333333</c:v>
                </c:pt>
                <c:pt idx="4">
                  <c:v>1142.8</c:v>
                </c:pt>
                <c:pt idx="5">
                  <c:v>1150.0666666666666</c:v>
                </c:pt>
                <c:pt idx="6">
                  <c:v>1005.1333333333333</c:v>
                </c:pt>
                <c:pt idx="7">
                  <c:v>1372.1333333333334</c:v>
                </c:pt>
                <c:pt idx="8">
                  <c:v>1654.7333333333333</c:v>
                </c:pt>
                <c:pt idx="9">
                  <c:v>1710.1333333333334</c:v>
                </c:pt>
                <c:pt idx="10">
                  <c:v>1558.3333333333333</c:v>
                </c:pt>
                <c:pt idx="11">
                  <c:v>1661.5333333333333</c:v>
                </c:pt>
                <c:pt idx="12">
                  <c:v>1800.6666666666667</c:v>
                </c:pt>
                <c:pt idx="13">
                  <c:v>1696.5333333333333</c:v>
                </c:pt>
                <c:pt idx="14">
                  <c:v>1465.4</c:v>
                </c:pt>
                <c:pt idx="15">
                  <c:v>1848</c:v>
                </c:pt>
                <c:pt idx="16">
                  <c:v>2172.2666666666669</c:v>
                </c:pt>
                <c:pt idx="17">
                  <c:v>2048.0666666666666</c:v>
                </c:pt>
                <c:pt idx="18">
                  <c:v>2311.9333333333334</c:v>
                </c:pt>
                <c:pt idx="19">
                  <c:v>2018.2666666666667</c:v>
                </c:pt>
                <c:pt idx="20">
                  <c:v>2209.3333333333335</c:v>
                </c:pt>
                <c:pt idx="21">
                  <c:v>2266.8000000000002</c:v>
                </c:pt>
                <c:pt idx="22">
                  <c:v>2498.4666666666667</c:v>
                </c:pt>
                <c:pt idx="23">
                  <c:v>3126.2666666666669</c:v>
                </c:pt>
                <c:pt idx="24">
                  <c:v>3167.6</c:v>
                </c:pt>
                <c:pt idx="25">
                  <c:v>3453.0666666666666</c:v>
                </c:pt>
                <c:pt idx="26">
                  <c:v>3802.0666666666666</c:v>
                </c:pt>
                <c:pt idx="27">
                  <c:v>4590.4666666666662</c:v>
                </c:pt>
                <c:pt idx="28">
                  <c:v>4921.2307692307695</c:v>
                </c:pt>
                <c:pt idx="29">
                  <c:v>7613.5384615384619</c:v>
                </c:pt>
                <c:pt idx="30">
                  <c:v>8645.5555555555547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1B-4D36-B66C-7934F719A04C}"/>
            </c:ext>
          </c:extLst>
        </c:ser>
        <c:ser>
          <c:idx val="8"/>
          <c:order val="8"/>
          <c:tx>
            <c:strRef>
              <c:f>Charts!$B$69</c:f>
              <c:strCache>
                <c:ptCount val="1"/>
                <c:pt idx="0">
                  <c:v>M6xM7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Charts!$C$60:$AG$60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Charts!$C$69:$AG$69</c:f>
              <c:numCache>
                <c:formatCode>_(* #,##0_);_(* \(#,##0\);_(* "-"??_);_(@_)</c:formatCode>
                <c:ptCount val="31"/>
                <c:pt idx="0">
                  <c:v>370.06666666666666</c:v>
                </c:pt>
                <c:pt idx="1">
                  <c:v>394.26666666666665</c:v>
                </c:pt>
                <c:pt idx="2">
                  <c:v>658.06666666666672</c:v>
                </c:pt>
                <c:pt idx="3">
                  <c:v>646.26666666666665</c:v>
                </c:pt>
                <c:pt idx="4">
                  <c:v>707.73333333333335</c:v>
                </c:pt>
                <c:pt idx="5">
                  <c:v>882.4666666666667</c:v>
                </c:pt>
                <c:pt idx="6">
                  <c:v>798.93333333333328</c:v>
                </c:pt>
                <c:pt idx="7">
                  <c:v>1203.8</c:v>
                </c:pt>
                <c:pt idx="8">
                  <c:v>1422.4</c:v>
                </c:pt>
                <c:pt idx="9">
                  <c:v>1521.8</c:v>
                </c:pt>
                <c:pt idx="10">
                  <c:v>1458.3333333333333</c:v>
                </c:pt>
                <c:pt idx="11">
                  <c:v>1557.3333333333333</c:v>
                </c:pt>
                <c:pt idx="12">
                  <c:v>1690.9333333333334</c:v>
                </c:pt>
                <c:pt idx="13">
                  <c:v>1696.5333333333333</c:v>
                </c:pt>
                <c:pt idx="14">
                  <c:v>1465.4</c:v>
                </c:pt>
                <c:pt idx="15">
                  <c:v>1848</c:v>
                </c:pt>
                <c:pt idx="16">
                  <c:v>2172.2666666666669</c:v>
                </c:pt>
                <c:pt idx="17">
                  <c:v>2048.0666666666666</c:v>
                </c:pt>
                <c:pt idx="18">
                  <c:v>2311.9333333333334</c:v>
                </c:pt>
                <c:pt idx="19">
                  <c:v>2018.2666666666667</c:v>
                </c:pt>
                <c:pt idx="20">
                  <c:v>2209.3333333333335</c:v>
                </c:pt>
                <c:pt idx="21">
                  <c:v>2266.8000000000002</c:v>
                </c:pt>
                <c:pt idx="22">
                  <c:v>2498.4666666666667</c:v>
                </c:pt>
                <c:pt idx="23">
                  <c:v>3346.6</c:v>
                </c:pt>
                <c:pt idx="24">
                  <c:v>3531.3333333333335</c:v>
                </c:pt>
                <c:pt idx="25">
                  <c:v>3866.8666666666668</c:v>
                </c:pt>
                <c:pt idx="26">
                  <c:v>4515.4666666666662</c:v>
                </c:pt>
                <c:pt idx="27">
                  <c:v>5217.6000000000004</c:v>
                </c:pt>
                <c:pt idx="28">
                  <c:v>4921.2307692307695</c:v>
                </c:pt>
                <c:pt idx="29">
                  <c:v>7613.5384615384619</c:v>
                </c:pt>
                <c:pt idx="30">
                  <c:v>8645.5555555555547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1B-4D36-B66C-7934F719A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502143"/>
        <c:axId val="1239505503"/>
      </c:lineChart>
      <c:catAx>
        <c:axId val="12395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5503"/>
        <c:crosses val="autoZero"/>
        <c:auto val="1"/>
        <c:lblAlgn val="ctr"/>
        <c:lblOffset val="100"/>
        <c:noMultiLvlLbl val="0"/>
      </c:catAx>
      <c:valAx>
        <c:axId val="123950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Consolidated!$V$426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Consolidated!$V$427:$V$456</c:f>
              <c:numCache>
                <c:formatCode>General</c:formatCode>
                <c:ptCount val="30"/>
                <c:pt idx="0">
                  <c:v>931</c:v>
                </c:pt>
                <c:pt idx="1">
                  <c:v>2344</c:v>
                </c:pt>
                <c:pt idx="2">
                  <c:v>3529</c:v>
                </c:pt>
                <c:pt idx="3">
                  <c:v>4610</c:v>
                </c:pt>
                <c:pt idx="4">
                  <c:v>5599</c:v>
                </c:pt>
                <c:pt idx="5">
                  <c:v>5618</c:v>
                </c:pt>
                <c:pt idx="6">
                  <c:v>5746</c:v>
                </c:pt>
                <c:pt idx="7">
                  <c:v>7444</c:v>
                </c:pt>
                <c:pt idx="8">
                  <c:v>9551</c:v>
                </c:pt>
                <c:pt idx="9">
                  <c:v>12172</c:v>
                </c:pt>
                <c:pt idx="10">
                  <c:v>14795</c:v>
                </c:pt>
                <c:pt idx="11">
                  <c:v>17572</c:v>
                </c:pt>
                <c:pt idx="12">
                  <c:v>18238</c:v>
                </c:pt>
                <c:pt idx="13">
                  <c:v>18402</c:v>
                </c:pt>
                <c:pt idx="14">
                  <c:v>21106</c:v>
                </c:pt>
                <c:pt idx="15">
                  <c:v>24198</c:v>
                </c:pt>
                <c:pt idx="16">
                  <c:v>27498</c:v>
                </c:pt>
                <c:pt idx="17">
                  <c:v>30953</c:v>
                </c:pt>
                <c:pt idx="18">
                  <c:v>30953</c:v>
                </c:pt>
                <c:pt idx="19">
                  <c:v>30953</c:v>
                </c:pt>
                <c:pt idx="20">
                  <c:v>30953</c:v>
                </c:pt>
                <c:pt idx="21">
                  <c:v>30953</c:v>
                </c:pt>
                <c:pt idx="22">
                  <c:v>33038</c:v>
                </c:pt>
                <c:pt idx="23">
                  <c:v>35946</c:v>
                </c:pt>
                <c:pt idx="24">
                  <c:v>39808</c:v>
                </c:pt>
                <c:pt idx="25">
                  <c:v>41815</c:v>
                </c:pt>
                <c:pt idx="26">
                  <c:v>42581</c:v>
                </c:pt>
                <c:pt idx="27">
                  <c:v>42581</c:v>
                </c:pt>
                <c:pt idx="28">
                  <c:v>48848</c:v>
                </c:pt>
                <c:pt idx="29">
                  <c:v>59875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4-450B-AA3F-D8707A5CAE25}"/>
            </c:ext>
          </c:extLst>
        </c:ser>
        <c:ser>
          <c:idx val="1"/>
          <c:order val="1"/>
          <c:tx>
            <c:strRef>
              <c:f>Consolidated!$W$426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Consolidated!$W$427:$W$456</c:f>
              <c:numCache>
                <c:formatCode>General</c:formatCode>
                <c:ptCount val="30"/>
                <c:pt idx="0">
                  <c:v>931</c:v>
                </c:pt>
                <c:pt idx="1">
                  <c:v>2344</c:v>
                </c:pt>
                <c:pt idx="2">
                  <c:v>3529</c:v>
                </c:pt>
                <c:pt idx="3">
                  <c:v>4610</c:v>
                </c:pt>
                <c:pt idx="4">
                  <c:v>5599</c:v>
                </c:pt>
                <c:pt idx="5">
                  <c:v>5618</c:v>
                </c:pt>
                <c:pt idx="6">
                  <c:v>5746</c:v>
                </c:pt>
                <c:pt idx="7">
                  <c:v>7444</c:v>
                </c:pt>
                <c:pt idx="8">
                  <c:v>9551</c:v>
                </c:pt>
                <c:pt idx="9">
                  <c:v>12561</c:v>
                </c:pt>
                <c:pt idx="10">
                  <c:v>15573</c:v>
                </c:pt>
                <c:pt idx="11">
                  <c:v>18762</c:v>
                </c:pt>
                <c:pt idx="12">
                  <c:v>19527</c:v>
                </c:pt>
                <c:pt idx="13">
                  <c:v>19715</c:v>
                </c:pt>
                <c:pt idx="14">
                  <c:v>22820</c:v>
                </c:pt>
                <c:pt idx="15">
                  <c:v>26370</c:v>
                </c:pt>
                <c:pt idx="16">
                  <c:v>30159</c:v>
                </c:pt>
                <c:pt idx="17">
                  <c:v>34126</c:v>
                </c:pt>
                <c:pt idx="18">
                  <c:v>34126</c:v>
                </c:pt>
                <c:pt idx="19">
                  <c:v>34126</c:v>
                </c:pt>
                <c:pt idx="20">
                  <c:v>34126</c:v>
                </c:pt>
                <c:pt idx="21">
                  <c:v>34126</c:v>
                </c:pt>
                <c:pt idx="22">
                  <c:v>36520</c:v>
                </c:pt>
                <c:pt idx="23">
                  <c:v>39859</c:v>
                </c:pt>
                <c:pt idx="24">
                  <c:v>44294</c:v>
                </c:pt>
                <c:pt idx="25">
                  <c:v>46599</c:v>
                </c:pt>
                <c:pt idx="26">
                  <c:v>47479</c:v>
                </c:pt>
                <c:pt idx="27">
                  <c:v>47479</c:v>
                </c:pt>
                <c:pt idx="28">
                  <c:v>54675</c:v>
                </c:pt>
                <c:pt idx="29">
                  <c:v>67336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4-450B-AA3F-D8707A5CAE25}"/>
            </c:ext>
          </c:extLst>
        </c:ser>
        <c:ser>
          <c:idx val="2"/>
          <c:order val="2"/>
          <c:tx>
            <c:strRef>
              <c:f>Consolidated!$X$426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Consolidated!$X$427:$X$456</c:f>
              <c:numCache>
                <c:formatCode>General</c:formatCode>
                <c:ptCount val="30"/>
                <c:pt idx="0">
                  <c:v>657</c:v>
                </c:pt>
                <c:pt idx="1">
                  <c:v>1456</c:v>
                </c:pt>
                <c:pt idx="2">
                  <c:v>2451</c:v>
                </c:pt>
                <c:pt idx="3">
                  <c:v>3765</c:v>
                </c:pt>
                <c:pt idx="4">
                  <c:v>5382</c:v>
                </c:pt>
                <c:pt idx="5">
                  <c:v>5602</c:v>
                </c:pt>
                <c:pt idx="6">
                  <c:v>5645</c:v>
                </c:pt>
                <c:pt idx="7">
                  <c:v>7411</c:v>
                </c:pt>
                <c:pt idx="8">
                  <c:v>9581</c:v>
                </c:pt>
                <c:pt idx="9">
                  <c:v>12488</c:v>
                </c:pt>
                <c:pt idx="10">
                  <c:v>15508</c:v>
                </c:pt>
                <c:pt idx="11">
                  <c:v>19059</c:v>
                </c:pt>
                <c:pt idx="12">
                  <c:v>20147</c:v>
                </c:pt>
                <c:pt idx="13">
                  <c:v>20375</c:v>
                </c:pt>
                <c:pt idx="14">
                  <c:v>24325</c:v>
                </c:pt>
                <c:pt idx="15">
                  <c:v>30132</c:v>
                </c:pt>
                <c:pt idx="16">
                  <c:v>35427</c:v>
                </c:pt>
                <c:pt idx="17">
                  <c:v>38984</c:v>
                </c:pt>
                <c:pt idx="18">
                  <c:v>39045</c:v>
                </c:pt>
                <c:pt idx="19">
                  <c:v>39048</c:v>
                </c:pt>
                <c:pt idx="20">
                  <c:v>39054</c:v>
                </c:pt>
                <c:pt idx="21">
                  <c:v>39077</c:v>
                </c:pt>
                <c:pt idx="22">
                  <c:v>40051</c:v>
                </c:pt>
                <c:pt idx="23">
                  <c:v>41803</c:v>
                </c:pt>
                <c:pt idx="24">
                  <c:v>44687</c:v>
                </c:pt>
                <c:pt idx="25">
                  <c:v>48284</c:v>
                </c:pt>
                <c:pt idx="26">
                  <c:v>49491</c:v>
                </c:pt>
                <c:pt idx="27">
                  <c:v>49674</c:v>
                </c:pt>
                <c:pt idx="28">
                  <c:v>54633</c:v>
                </c:pt>
                <c:pt idx="29">
                  <c:v>67846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4-450B-AA3F-D8707A5C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656271"/>
        <c:axId val="1615656751"/>
      </c:lineChart>
      <c:catAx>
        <c:axId val="16156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56751"/>
        <c:crosses val="autoZero"/>
        <c:auto val="1"/>
        <c:lblAlgn val="ctr"/>
        <c:lblOffset val="100"/>
        <c:noMultiLvlLbl val="0"/>
      </c:catAx>
      <c:valAx>
        <c:axId val="16156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0</xdr:rowOff>
    </xdr:from>
    <xdr:to>
      <xdr:col>21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F6FF0-8FD0-F9C3-41A4-91B12224A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80</xdr:row>
      <xdr:rowOff>0</xdr:rowOff>
    </xdr:from>
    <xdr:to>
      <xdr:col>21</xdr:col>
      <xdr:colOff>0</xdr:colOff>
      <xdr:row>111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155C5D-931B-4A85-86D6-E97C5B85E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429</xdr:row>
      <xdr:rowOff>0</xdr:rowOff>
    </xdr:from>
    <xdr:to>
      <xdr:col>35</xdr:col>
      <xdr:colOff>0</xdr:colOff>
      <xdr:row>450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4229A-16B9-BB3A-523B-8193948A4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6D43EE-BF26-426C-A112-0339AAB6003C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0D002B-373D-44A4-93D6-1BBCB6B8CC0E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963B3F-F4F3-4826-9315-064DE7E360D3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F85173B-6DE3-4E11-A56E-C35C539707B2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4639AEF-4A2E-45A7-8A39-F98ED0DFF74A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9EBC0E3-02BC-4273-8084-47B0001F9168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70538F0-EA2A-4B5A-8F7D-315D2675C227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1BB5C-715A-457A-BC48-4FB47F61B0B7}" name="m1_crossvalid" displayName="m1_crossvalid" ref="C1:H466" tableType="queryTable" totalsRowShown="0">
  <autoFilter ref="C1:H466" xr:uid="{3E61BB5C-715A-457A-BC48-4FB47F61B0B7}"/>
  <tableColumns count="6">
    <tableColumn id="1" xr3:uid="{CCBD5760-1DE2-4356-8832-533612D54EA4}" uniqueName="1" name="y" queryTableFieldId="1"/>
    <tableColumn id="2" xr3:uid="{9CEECA89-5080-4B36-8809-D075D217F6BF}" uniqueName="2" name="ds" queryTableFieldId="2" dataDxfId="13"/>
    <tableColumn id="3" xr3:uid="{0B2ED828-1E61-4343-A974-829C945901B2}" uniqueName="3" name="yhat" queryTableFieldId="3"/>
    <tableColumn id="4" xr3:uid="{F2491E67-B08A-463E-8343-530316DB1318}" uniqueName="4" name="yhat_lower" queryTableFieldId="4"/>
    <tableColumn id="5" xr3:uid="{75516A46-F4F0-4A07-845F-7F99D21FF77C}" uniqueName="5" name="yhat_upper" queryTableFieldId="5"/>
    <tableColumn id="6" xr3:uid="{340566BA-EFE6-466F-A19B-1D146A3C3AE3}" uniqueName="6" name="cutoff" queryTableFieldId="6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B23C5-3020-4C45-9D2D-A1CDAD9B6996}" name="m2_crossvalid" displayName="m2_crossvalid" ref="C1:H466" tableType="queryTable" totalsRowShown="0">
  <autoFilter ref="C1:H466" xr:uid="{44EB23C5-3020-4C45-9D2D-A1CDAD9B6996}"/>
  <tableColumns count="6">
    <tableColumn id="1" xr3:uid="{E9767CF7-F26B-4301-B358-E78296543FF0}" uniqueName="1" name="y" queryTableFieldId="1"/>
    <tableColumn id="2" xr3:uid="{A4604EB9-653B-435F-91EA-F0D76C1C1848}" uniqueName="2" name="ds" queryTableFieldId="2" dataDxfId="11"/>
    <tableColumn id="3" xr3:uid="{94AD0398-CD6B-43B6-A25D-B4367A481058}" uniqueName="3" name="yhat" queryTableFieldId="3"/>
    <tableColumn id="4" xr3:uid="{11A8FC64-E7E8-4C83-A801-18E464C0B2B2}" uniqueName="4" name="yhat_lower" queryTableFieldId="4"/>
    <tableColumn id="5" xr3:uid="{1F5F5BD7-F2F4-4E18-8D79-E92EBF2B8CAA}" uniqueName="5" name="yhat_upper" queryTableFieldId="5"/>
    <tableColumn id="6" xr3:uid="{44EE5EFC-2812-48E8-8D9F-D7ED89FC2127}" uniqueName="6" name="cutoff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1E792-1EA0-4E09-95D8-CAA6E1C7D036}" name="m3_crossvalid" displayName="m3_crossvalid" ref="C1:H466" tableType="queryTable" totalsRowShown="0">
  <autoFilter ref="C1:H466" xr:uid="{2DC1E792-1EA0-4E09-95D8-CAA6E1C7D036}"/>
  <tableColumns count="6">
    <tableColumn id="1" xr3:uid="{BA0BA192-D057-438C-B9D9-8977C84C12B3}" uniqueName="1" name="y" queryTableFieldId="1"/>
    <tableColumn id="2" xr3:uid="{839F49CF-7C4B-4E1C-9CB4-664BD03167D6}" uniqueName="2" name="ds" queryTableFieldId="2" dataDxfId="9"/>
    <tableColumn id="3" xr3:uid="{BA7639FC-ABD4-4789-A8B4-B7415065ABBD}" uniqueName="3" name="yhat" queryTableFieldId="3"/>
    <tableColumn id="4" xr3:uid="{4B0C6DB9-869A-4037-B7C4-E15F4FFCB065}" uniqueName="4" name="yhat_lower" queryTableFieldId="4"/>
    <tableColumn id="5" xr3:uid="{892C2503-C93B-4442-B6FB-BA46255A40C1}" uniqueName="5" name="yhat_upper" queryTableFieldId="5"/>
    <tableColumn id="6" xr3:uid="{4FEEE012-69E3-43B4-93CC-7629CFB4B591}" uniqueName="6" name="cutoff" queryTableFieldId="6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B98ED-7198-4023-8F96-BB50D59131D8}" name="m4_crossvalid" displayName="m4_crossvalid" ref="C1:H466" tableType="queryTable" totalsRowShown="0">
  <autoFilter ref="C1:H466" xr:uid="{6CDB98ED-7198-4023-8F96-BB50D59131D8}"/>
  <tableColumns count="6">
    <tableColumn id="1" xr3:uid="{FA05686E-8536-4F07-B86C-D36FE8FD3EA9}" uniqueName="1" name="y" queryTableFieldId="1"/>
    <tableColumn id="2" xr3:uid="{CBFFA5C2-4AC0-4C41-ABA8-86D62220EFC8}" uniqueName="2" name="ds" queryTableFieldId="2" dataDxfId="7"/>
    <tableColumn id="3" xr3:uid="{7689AB0B-5A00-460E-9183-B01AD201DC02}" uniqueName="3" name="yhat" queryTableFieldId="3"/>
    <tableColumn id="4" xr3:uid="{3990862C-44C3-4D83-9E7D-87A7F824E197}" uniqueName="4" name="yhat_lower" queryTableFieldId="4"/>
    <tableColumn id="5" xr3:uid="{E1A7289D-33DB-45D3-811B-19CD8B5CCCB3}" uniqueName="5" name="yhat_upper" queryTableFieldId="5"/>
    <tableColumn id="6" xr3:uid="{EFBE31E5-FF88-4596-863A-C1AAC8DCFE47}" uniqueName="6" name="cutoff" queryTableFieldId="6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6D0D9-12C4-4733-AA4B-A8F00ADDB992}" name="m5_crossvalid" displayName="m5_crossvalid" ref="C1:H466" tableType="queryTable" totalsRowShown="0">
  <autoFilter ref="C1:H466" xr:uid="{9496D0D9-12C4-4733-AA4B-A8F00ADDB992}"/>
  <tableColumns count="6">
    <tableColumn id="1" xr3:uid="{7CF17BC0-081E-453E-A47D-4916AF53E6EC}" uniqueName="1" name="y" queryTableFieldId="1"/>
    <tableColumn id="2" xr3:uid="{13F3D4E4-7125-4D3F-8E2A-B64FE41CF010}" uniqueName="2" name="ds" queryTableFieldId="2" dataDxfId="5"/>
    <tableColumn id="3" xr3:uid="{49E48BED-F790-4EDC-A28C-EBAEF18E5630}" uniqueName="3" name="yhat" queryTableFieldId="3"/>
    <tableColumn id="4" xr3:uid="{FDEFA3A8-330A-4663-B532-77F3D96D4132}" uniqueName="4" name="yhat_lower" queryTableFieldId="4"/>
    <tableColumn id="5" xr3:uid="{005E1F6D-791F-463C-9227-EADA7F932F7D}" uniqueName="5" name="yhat_upper" queryTableFieldId="5"/>
    <tableColumn id="6" xr3:uid="{A1CF5187-23CA-41F6-A3C0-26CA22142C4C}" uniqueName="6" name="cutoff" queryTableFieldId="6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14DA53-1B54-400C-BC2B-186ACABBC0D9}" name="m6_crossvalid" displayName="m6_crossvalid" ref="C1:H466" tableType="queryTable" totalsRowShown="0">
  <autoFilter ref="C1:H466" xr:uid="{BD14DA53-1B54-400C-BC2B-186ACABBC0D9}"/>
  <tableColumns count="6">
    <tableColumn id="1" xr3:uid="{6CF33ADB-9F4D-401D-BBBA-52353E1EA2F3}" uniqueName="1" name="y" queryTableFieldId="1"/>
    <tableColumn id="2" xr3:uid="{59890D8B-5C7D-43FD-B318-B1779EB1FD6D}" uniqueName="2" name="ds" queryTableFieldId="2" dataDxfId="3"/>
    <tableColumn id="3" xr3:uid="{C126F6E3-D9A3-4EED-B57E-2991D23F3B31}" uniqueName="3" name="yhat" queryTableFieldId="3"/>
    <tableColumn id="4" xr3:uid="{4C789294-CB80-4C55-B763-1DE09B97FD63}" uniqueName="4" name="yhat_lower" queryTableFieldId="4"/>
    <tableColumn id="5" xr3:uid="{6955C262-8E6D-42DD-A54E-98DD76D23D75}" uniqueName="5" name="yhat_upper" queryTableFieldId="5"/>
    <tableColumn id="6" xr3:uid="{F4C51E0E-5FB4-40FE-990B-72AEB198EC7C}" uniqueName="6" name="cutoff" queryTableFieldId="6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3FD98F-E10D-41FC-80D4-D24EF4223C8D}" name="m7_crossvalid" displayName="m7_crossvalid" ref="C1:H466" tableType="queryTable" totalsRowShown="0">
  <autoFilter ref="C1:H466" xr:uid="{6E3FD98F-E10D-41FC-80D4-D24EF4223C8D}"/>
  <tableColumns count="6">
    <tableColumn id="1" xr3:uid="{46AA8957-082A-4B23-B1B9-B65A41FB5557}" uniqueName="1" name="y" queryTableFieldId="1"/>
    <tableColumn id="2" xr3:uid="{E6EE2838-AEA8-4FE1-ABC5-95A2F63B2FFF}" uniqueName="2" name="ds" queryTableFieldId="2" dataDxfId="1"/>
    <tableColumn id="3" xr3:uid="{49935305-389F-4C0A-A3E3-699504663F54}" uniqueName="3" name="yhat" queryTableFieldId="3"/>
    <tableColumn id="4" xr3:uid="{7FA60CFA-19D9-4B75-A8A4-8DDE3E87079B}" uniqueName="4" name="yhat_lower" queryTableFieldId="4"/>
    <tableColumn id="5" xr3:uid="{0595D1C4-0027-4D77-B7B2-FF2298217936}" uniqueName="5" name="yhat_upper" queryTableFieldId="5"/>
    <tableColumn id="6" xr3:uid="{F16E752C-CCCC-4D30-870B-4A2C3452C8AC}" uniqueName="6" name="cutoff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D443-B544-41F2-8649-AFAA7E9F360E}">
  <dimension ref="A2:AI112"/>
  <sheetViews>
    <sheetView showGridLines="0" topLeftCell="A73" zoomScaleNormal="100" workbookViewId="0">
      <selection activeCell="C76" sqref="C76:N76"/>
    </sheetView>
  </sheetViews>
  <sheetFormatPr defaultRowHeight="15" outlineLevelRow="1" x14ac:dyDescent="0.25"/>
  <cols>
    <col min="3" max="3" width="10" bestFit="1" customWidth="1"/>
    <col min="4" max="10" width="9.28515625" bestFit="1" customWidth="1"/>
    <col min="11" max="18" width="9.85546875" bestFit="1" customWidth="1"/>
    <col min="19" max="19" width="10.5703125" bestFit="1" customWidth="1"/>
    <col min="20" max="33" width="9.85546875" bestFit="1" customWidth="1"/>
  </cols>
  <sheetData>
    <row r="2" spans="1:19" x14ac:dyDescent="0.25">
      <c r="A2" s="4" t="s">
        <v>21</v>
      </c>
    </row>
    <row r="4" spans="1:19" x14ac:dyDescent="0.25">
      <c r="B4" s="9" t="s">
        <v>8</v>
      </c>
      <c r="C4" s="9">
        <v>2025</v>
      </c>
      <c r="D4" s="9">
        <f>IF(C5=12,C4+1,C4)</f>
        <v>2025</v>
      </c>
      <c r="E4" s="9">
        <f t="shared" ref="E4:Q4" si="0">IF(D5=12,D4+1,D4)</f>
        <v>2025</v>
      </c>
      <c r="F4" s="9">
        <f t="shared" si="0"/>
        <v>2025</v>
      </c>
      <c r="G4" s="9">
        <f t="shared" si="0"/>
        <v>2025</v>
      </c>
      <c r="H4" s="9">
        <f t="shared" si="0"/>
        <v>2025</v>
      </c>
      <c r="I4" s="9">
        <f t="shared" si="0"/>
        <v>2025</v>
      </c>
      <c r="J4" s="9">
        <f t="shared" si="0"/>
        <v>2025</v>
      </c>
      <c r="K4" s="9">
        <f t="shared" si="0"/>
        <v>2025</v>
      </c>
      <c r="L4" s="9">
        <f t="shared" si="0"/>
        <v>2025</v>
      </c>
      <c r="M4" s="9">
        <f t="shared" si="0"/>
        <v>2025</v>
      </c>
      <c r="N4" s="9">
        <f t="shared" si="0"/>
        <v>2025</v>
      </c>
      <c r="O4" s="9">
        <f t="shared" si="0"/>
        <v>2026</v>
      </c>
      <c r="P4" s="9">
        <f t="shared" si="0"/>
        <v>2026</v>
      </c>
      <c r="Q4" s="9">
        <f t="shared" si="0"/>
        <v>2026</v>
      </c>
    </row>
    <row r="5" spans="1:19" x14ac:dyDescent="0.25">
      <c r="B5" s="9" t="s">
        <v>9</v>
      </c>
      <c r="C5" s="9">
        <v>1</v>
      </c>
      <c r="D5" s="9">
        <f>IF(C5=12,1,C5+1)</f>
        <v>2</v>
      </c>
      <c r="E5" s="9">
        <f t="shared" ref="E5:Q5" si="1">IF(D5=12,1,D5+1)</f>
        <v>3</v>
      </c>
      <c r="F5" s="9">
        <f t="shared" si="1"/>
        <v>4</v>
      </c>
      <c r="G5" s="9">
        <f t="shared" si="1"/>
        <v>5</v>
      </c>
      <c r="H5" s="9">
        <f t="shared" si="1"/>
        <v>6</v>
      </c>
      <c r="I5" s="9">
        <f t="shared" si="1"/>
        <v>7</v>
      </c>
      <c r="J5" s="9">
        <f t="shared" si="1"/>
        <v>8</v>
      </c>
      <c r="K5" s="9">
        <f t="shared" si="1"/>
        <v>9</v>
      </c>
      <c r="L5" s="9">
        <f t="shared" si="1"/>
        <v>10</v>
      </c>
      <c r="M5" s="9">
        <f t="shared" si="1"/>
        <v>11</v>
      </c>
      <c r="N5" s="9">
        <f t="shared" si="1"/>
        <v>12</v>
      </c>
      <c r="O5" s="9">
        <f t="shared" si="1"/>
        <v>1</v>
      </c>
      <c r="P5" s="9">
        <f t="shared" si="1"/>
        <v>2</v>
      </c>
      <c r="Q5" s="9">
        <f t="shared" si="1"/>
        <v>3</v>
      </c>
    </row>
    <row r="6" spans="1:19" x14ac:dyDescent="0.25">
      <c r="B6" t="s">
        <v>11</v>
      </c>
      <c r="C6">
        <f>SUMIFS(Consolidated!$F:$F,Consolidated!$B:$B,C$4,Consolidated!$C:$C,C$5)</f>
        <v>53930</v>
      </c>
      <c r="D6">
        <f>SUMIFS(Consolidated!$F:$F,Consolidated!$B:$B,D$4,Consolidated!$C:$C,D$5)</f>
        <v>67327</v>
      </c>
      <c r="E6">
        <f>SUMIFS(Consolidated!$F:$F,Consolidated!$B:$B,E$4,Consolidated!$C:$C,E$5)</f>
        <v>77121</v>
      </c>
      <c r="F6">
        <f>SUMIFS(Consolidated!$F:$F,Consolidated!$B:$B,F$4,Consolidated!$C:$C,F$5)</f>
        <v>65200</v>
      </c>
      <c r="G6">
        <f>SUMIFS(Consolidated!$F:$F,Consolidated!$B:$B,G$4,Consolidated!$C:$C,G$5)</f>
        <v>74393</v>
      </c>
      <c r="H6">
        <f>SUMIFS(Consolidated!$F:$F,Consolidated!$B:$B,H$4,Consolidated!$C:$C,H$5)</f>
        <v>58858</v>
      </c>
      <c r="I6">
        <f>SUMIFS(Consolidated!$F:$F,Consolidated!$B:$B,I$4,Consolidated!$C:$C,I$5)</f>
        <v>75663</v>
      </c>
      <c r="J6">
        <f>SUMIFS(Consolidated!$F:$F,Consolidated!$B:$B,J$4,Consolidated!$C:$C,J$5)</f>
        <v>78978</v>
      </c>
      <c r="K6">
        <f>SUMIFS(Consolidated!$F:$F,Consolidated!$B:$B,K$4,Consolidated!$C:$C,K$5)</f>
        <v>62598</v>
      </c>
      <c r="L6">
        <f>SUMIFS(Consolidated!$F:$F,Consolidated!$B:$B,L$4,Consolidated!$C:$C,L$5)</f>
        <v>81413</v>
      </c>
      <c r="M6">
        <f>SUMIFS(Consolidated!$F:$F,Consolidated!$B:$B,M$4,Consolidated!$C:$C,M$5)</f>
        <v>77876</v>
      </c>
      <c r="N6">
        <f>SUMIFS(Consolidated!$F:$F,Consolidated!$B:$B,N$4,Consolidated!$C:$C,N$5)</f>
        <v>96970</v>
      </c>
      <c r="O6">
        <f>SUMIFS(Consolidated!$F:$F,Consolidated!$B:$B,O$4,Consolidated!$C:$C,O$5)</f>
        <v>67995</v>
      </c>
      <c r="P6">
        <f>SUMIFS(Consolidated!$F:$F,Consolidated!$B:$B,P$4,Consolidated!$C:$C,P$5)</f>
        <v>56690</v>
      </c>
      <c r="Q6">
        <f>SUMIFS(Consolidated!$F:$F,Consolidated!$B:$B,Q$4,Consolidated!$C:$C,Q$5)</f>
        <v>67846</v>
      </c>
    </row>
    <row r="7" spans="1:19" x14ac:dyDescent="0.25">
      <c r="B7" t="s">
        <v>12</v>
      </c>
      <c r="C7">
        <f>SUMIFS(Consolidated!$G:$G,Consolidated!$B:$B,C$4,Consolidated!$C:$C,C$5)</f>
        <v>73955</v>
      </c>
      <c r="D7">
        <f>SUMIFS(Consolidated!$G:$G,Consolidated!$B:$B,D$4,Consolidated!$C:$C,D$5)</f>
        <v>68102</v>
      </c>
      <c r="E7">
        <f>SUMIFS(Consolidated!$G:$G,Consolidated!$B:$B,E$4,Consolidated!$C:$C,E$5)</f>
        <v>85688</v>
      </c>
      <c r="F7">
        <f>SUMIFS(Consolidated!$G:$G,Consolidated!$B:$B,F$4,Consolidated!$C:$C,F$5)</f>
        <v>75093</v>
      </c>
      <c r="G7">
        <f>SUMIFS(Consolidated!$G:$G,Consolidated!$B:$B,G$4,Consolidated!$C:$C,G$5)</f>
        <v>75430</v>
      </c>
      <c r="H7">
        <f>SUMIFS(Consolidated!$G:$G,Consolidated!$B:$B,H$4,Consolidated!$C:$C,H$5)</f>
        <v>75499</v>
      </c>
      <c r="I7">
        <f>SUMIFS(Consolidated!$G:$G,Consolidated!$B:$B,I$4,Consolidated!$C:$C,I$5)</f>
        <v>77712</v>
      </c>
      <c r="J7">
        <f>SUMIFS(Consolidated!$G:$G,Consolidated!$B:$B,J$4,Consolidated!$C:$C,J$5)</f>
        <v>82371</v>
      </c>
      <c r="K7">
        <f>SUMIFS(Consolidated!$G:$G,Consolidated!$B:$B,K$4,Consolidated!$C:$C,K$5)</f>
        <v>76731</v>
      </c>
      <c r="L7">
        <f>SUMIFS(Consolidated!$G:$G,Consolidated!$B:$B,L$4,Consolidated!$C:$C,L$5)</f>
        <v>84925</v>
      </c>
      <c r="M7">
        <f>SUMIFS(Consolidated!$G:$G,Consolidated!$B:$B,M$4,Consolidated!$C:$C,M$5)</f>
        <v>76079</v>
      </c>
      <c r="N7">
        <f>SUMIFS(Consolidated!$G:$G,Consolidated!$B:$B,N$4,Consolidated!$C:$C,N$5)</f>
        <v>91725</v>
      </c>
      <c r="O7">
        <f>SUMIFS(Consolidated!$G:$G,Consolidated!$B:$B,O$4,Consolidated!$C:$C,O$5)</f>
        <v>70726</v>
      </c>
      <c r="P7">
        <f>SUMIFS(Consolidated!$G:$G,Consolidated!$B:$B,P$4,Consolidated!$C:$C,P$5)</f>
        <v>69871</v>
      </c>
      <c r="Q7">
        <f>SUMIFS(Consolidated!$G:$G,Consolidated!$B:$B,Q$4,Consolidated!$C:$C,Q$5)</f>
        <v>88381</v>
      </c>
    </row>
    <row r="8" spans="1:19" x14ac:dyDescent="0.25">
      <c r="B8" t="s">
        <v>13</v>
      </c>
      <c r="C8">
        <f>SUMIFS(Consolidated!$H:$H,Consolidated!$B:$B,C$4,Consolidated!$C:$C,C$5)</f>
        <v>73148</v>
      </c>
      <c r="D8">
        <f>SUMIFS(Consolidated!$H:$H,Consolidated!$B:$B,D$4,Consolidated!$C:$C,D$5)</f>
        <v>58587</v>
      </c>
      <c r="E8">
        <f>SUMIFS(Consolidated!$H:$H,Consolidated!$B:$B,E$4,Consolidated!$C:$C,E$5)</f>
        <v>83786</v>
      </c>
      <c r="F8">
        <f>SUMIFS(Consolidated!$H:$H,Consolidated!$B:$B,F$4,Consolidated!$C:$C,F$5)</f>
        <v>70245</v>
      </c>
      <c r="G8">
        <f>SUMIFS(Consolidated!$H:$H,Consolidated!$B:$B,G$4,Consolidated!$C:$C,G$5)</f>
        <v>74723</v>
      </c>
      <c r="H8">
        <f>SUMIFS(Consolidated!$H:$H,Consolidated!$B:$B,H$4,Consolidated!$C:$C,H$5)</f>
        <v>70027</v>
      </c>
      <c r="I8">
        <f>SUMIFS(Consolidated!$H:$H,Consolidated!$B:$B,I$4,Consolidated!$C:$C,I$5)</f>
        <v>78078</v>
      </c>
      <c r="J8">
        <f>SUMIFS(Consolidated!$H:$H,Consolidated!$B:$B,J$4,Consolidated!$C:$C,J$5)</f>
        <v>79767</v>
      </c>
      <c r="K8">
        <f>SUMIFS(Consolidated!$H:$H,Consolidated!$B:$B,K$4,Consolidated!$C:$C,K$5)</f>
        <v>72231</v>
      </c>
      <c r="L8">
        <f>SUMIFS(Consolidated!$H:$H,Consolidated!$B:$B,L$4,Consolidated!$C:$C,L$5)</f>
        <v>84170</v>
      </c>
      <c r="M8">
        <f>SUMIFS(Consolidated!$H:$H,Consolidated!$B:$B,M$4,Consolidated!$C:$C,M$5)</f>
        <v>71388</v>
      </c>
      <c r="N8">
        <f>SUMIFS(Consolidated!$H:$H,Consolidated!$B:$B,N$4,Consolidated!$C:$C,N$5)</f>
        <v>90831</v>
      </c>
      <c r="O8">
        <f>SUMIFS(Consolidated!$H:$H,Consolidated!$B:$B,O$4,Consolidated!$C:$C,O$5)</f>
        <v>71943</v>
      </c>
      <c r="P8">
        <f>SUMIFS(Consolidated!$H:$H,Consolidated!$B:$B,P$4,Consolidated!$C:$C,P$5)</f>
        <v>60011</v>
      </c>
      <c r="Q8">
        <f>SUMIFS(Consolidated!$H:$H,Consolidated!$B:$B,Q$4,Consolidated!$C:$C,Q$5)</f>
        <v>88468</v>
      </c>
    </row>
    <row r="9" spans="1:19" x14ac:dyDescent="0.25">
      <c r="B9" t="s">
        <v>14</v>
      </c>
      <c r="C9">
        <f>SUMIFS(Consolidated!$I:$I,Consolidated!$B:$B,C$4,Consolidated!$C:$C,C$5)</f>
        <v>71732</v>
      </c>
      <c r="D9">
        <f>SUMIFS(Consolidated!$I:$I,Consolidated!$B:$B,D$4,Consolidated!$C:$C,D$5)</f>
        <v>59376</v>
      </c>
      <c r="E9">
        <f>SUMIFS(Consolidated!$I:$I,Consolidated!$B:$B,E$4,Consolidated!$C:$C,E$5)</f>
        <v>79445</v>
      </c>
      <c r="F9">
        <f>SUMIFS(Consolidated!$I:$I,Consolidated!$B:$B,F$4,Consolidated!$C:$C,F$5)</f>
        <v>71266</v>
      </c>
      <c r="G9">
        <f>SUMIFS(Consolidated!$I:$I,Consolidated!$B:$B,G$4,Consolidated!$C:$C,G$5)</f>
        <v>76738</v>
      </c>
      <c r="H9">
        <f>SUMIFS(Consolidated!$I:$I,Consolidated!$B:$B,H$4,Consolidated!$C:$C,H$5)</f>
        <v>67278</v>
      </c>
      <c r="I9">
        <f>SUMIFS(Consolidated!$I:$I,Consolidated!$B:$B,I$4,Consolidated!$C:$C,I$5)</f>
        <v>83376</v>
      </c>
      <c r="J9">
        <f>SUMIFS(Consolidated!$I:$I,Consolidated!$B:$B,J$4,Consolidated!$C:$C,J$5)</f>
        <v>77931</v>
      </c>
      <c r="K9">
        <f>SUMIFS(Consolidated!$I:$I,Consolidated!$B:$B,K$4,Consolidated!$C:$C,K$5)</f>
        <v>66522</v>
      </c>
      <c r="L9">
        <f>SUMIFS(Consolidated!$I:$I,Consolidated!$B:$B,L$4,Consolidated!$C:$C,L$5)</f>
        <v>83546</v>
      </c>
      <c r="M9">
        <f>SUMIFS(Consolidated!$I:$I,Consolidated!$B:$B,M$4,Consolidated!$C:$C,M$5)</f>
        <v>74282</v>
      </c>
      <c r="N9">
        <f>SUMIFS(Consolidated!$I:$I,Consolidated!$B:$B,N$4,Consolidated!$C:$C,N$5)</f>
        <v>92691</v>
      </c>
      <c r="O9">
        <f>SUMIFS(Consolidated!$I:$I,Consolidated!$B:$B,O$4,Consolidated!$C:$C,O$5)</f>
        <v>74900</v>
      </c>
      <c r="P9">
        <f>SUMIFS(Consolidated!$I:$I,Consolidated!$B:$B,P$4,Consolidated!$C:$C,P$5)</f>
        <v>53677</v>
      </c>
      <c r="Q9">
        <f>SUMIFS(Consolidated!$I:$I,Consolidated!$B:$B,Q$4,Consolidated!$C:$C,Q$5)</f>
        <v>71599</v>
      </c>
    </row>
    <row r="10" spans="1:19" x14ac:dyDescent="0.25">
      <c r="B10" t="s">
        <v>15</v>
      </c>
      <c r="C10">
        <f>SUMIFS(Consolidated!$J:$J,Consolidated!$B:$B,C$4,Consolidated!$C:$C,C$5)</f>
        <v>71428</v>
      </c>
      <c r="D10">
        <f>SUMIFS(Consolidated!$J:$J,Consolidated!$B:$B,D$4,Consolidated!$C:$C,D$5)</f>
        <v>59336</v>
      </c>
      <c r="E10">
        <f>SUMIFS(Consolidated!$J:$J,Consolidated!$B:$B,E$4,Consolidated!$C:$C,E$5)</f>
        <v>79613</v>
      </c>
      <c r="F10">
        <f>SUMIFS(Consolidated!$J:$J,Consolidated!$B:$B,F$4,Consolidated!$C:$C,F$5)</f>
        <v>71388</v>
      </c>
      <c r="G10">
        <f>SUMIFS(Consolidated!$J:$J,Consolidated!$B:$B,G$4,Consolidated!$C:$C,G$5)</f>
        <v>76741</v>
      </c>
      <c r="H10">
        <f>SUMIFS(Consolidated!$J:$J,Consolidated!$B:$B,H$4,Consolidated!$C:$C,H$5)</f>
        <v>67298</v>
      </c>
      <c r="I10">
        <f>SUMIFS(Consolidated!$J:$J,Consolidated!$B:$B,I$4,Consolidated!$C:$C,I$5)</f>
        <v>83116</v>
      </c>
      <c r="J10">
        <f>SUMIFS(Consolidated!$J:$J,Consolidated!$B:$B,J$4,Consolidated!$C:$C,J$5)</f>
        <v>77954</v>
      </c>
      <c r="K10">
        <f>SUMIFS(Consolidated!$J:$J,Consolidated!$B:$B,K$4,Consolidated!$C:$C,K$5)</f>
        <v>66671</v>
      </c>
      <c r="L10">
        <f>SUMIFS(Consolidated!$J:$J,Consolidated!$B:$B,L$4,Consolidated!$C:$C,L$5)</f>
        <v>83438</v>
      </c>
      <c r="M10">
        <f>SUMIFS(Consolidated!$J:$J,Consolidated!$B:$B,M$4,Consolidated!$C:$C,M$5)</f>
        <v>74076</v>
      </c>
      <c r="N10">
        <f>SUMIFS(Consolidated!$J:$J,Consolidated!$B:$B,N$4,Consolidated!$C:$C,N$5)</f>
        <v>92644</v>
      </c>
      <c r="O10">
        <f>SUMIFS(Consolidated!$J:$J,Consolidated!$B:$B,O$4,Consolidated!$C:$C,O$5)</f>
        <v>74796</v>
      </c>
      <c r="P10">
        <f>SUMIFS(Consolidated!$J:$J,Consolidated!$B:$B,P$4,Consolidated!$C:$C,P$5)</f>
        <v>53613</v>
      </c>
      <c r="Q10">
        <f>SUMIFS(Consolidated!$J:$J,Consolidated!$B:$B,Q$4,Consolidated!$C:$C,Q$5)</f>
        <v>71386</v>
      </c>
    </row>
    <row r="11" spans="1:19" x14ac:dyDescent="0.25">
      <c r="B11" t="s">
        <v>16</v>
      </c>
      <c r="C11">
        <f>SUMIFS(Consolidated!$K:$K,Consolidated!$B:$B,C$4,Consolidated!$C:$C,C$5)</f>
        <v>70060</v>
      </c>
      <c r="D11">
        <f>SUMIFS(Consolidated!$K:$K,Consolidated!$B:$B,D$4,Consolidated!$C:$C,D$5)</f>
        <v>62532</v>
      </c>
      <c r="E11">
        <f>SUMIFS(Consolidated!$K:$K,Consolidated!$B:$B,E$4,Consolidated!$C:$C,E$5)</f>
        <v>75376</v>
      </c>
      <c r="F11">
        <f>SUMIFS(Consolidated!$K:$K,Consolidated!$B:$B,F$4,Consolidated!$C:$C,F$5)</f>
        <v>70823</v>
      </c>
      <c r="G11">
        <f>SUMIFS(Consolidated!$K:$K,Consolidated!$B:$B,G$4,Consolidated!$C:$C,G$5)</f>
        <v>73655</v>
      </c>
      <c r="H11">
        <f>SUMIFS(Consolidated!$K:$K,Consolidated!$B:$B,H$4,Consolidated!$C:$C,H$5)</f>
        <v>65980</v>
      </c>
      <c r="I11">
        <f>SUMIFS(Consolidated!$K:$K,Consolidated!$B:$B,I$4,Consolidated!$C:$C,I$5)</f>
        <v>78782</v>
      </c>
      <c r="J11">
        <f>SUMIFS(Consolidated!$K:$K,Consolidated!$B:$B,J$4,Consolidated!$C:$C,J$5)</f>
        <v>75943</v>
      </c>
      <c r="K11">
        <f>SUMIFS(Consolidated!$K:$K,Consolidated!$B:$B,K$4,Consolidated!$C:$C,K$5)</f>
        <v>66509</v>
      </c>
      <c r="L11">
        <f>SUMIFS(Consolidated!$K:$K,Consolidated!$B:$B,L$4,Consolidated!$C:$C,L$5)</f>
        <v>80161</v>
      </c>
      <c r="M11">
        <f>SUMIFS(Consolidated!$K:$K,Consolidated!$B:$B,M$4,Consolidated!$C:$C,M$5)</f>
        <v>74187</v>
      </c>
      <c r="N11">
        <f>SUMIFS(Consolidated!$K:$K,Consolidated!$B:$B,N$4,Consolidated!$C:$C,N$5)</f>
        <v>89790</v>
      </c>
      <c r="O11">
        <f>SUMIFS(Consolidated!$K:$K,Consolidated!$B:$B,O$4,Consolidated!$C:$C,O$5)</f>
        <v>73837</v>
      </c>
      <c r="P11">
        <f>SUMIFS(Consolidated!$K:$K,Consolidated!$B:$B,P$4,Consolidated!$C:$C,P$5)</f>
        <v>61740</v>
      </c>
      <c r="Q11">
        <f>SUMIFS(Consolidated!$K:$K,Consolidated!$B:$B,Q$4,Consolidated!$C:$C,Q$5)</f>
        <v>66867</v>
      </c>
    </row>
    <row r="12" spans="1:19" x14ac:dyDescent="0.25">
      <c r="B12" t="s">
        <v>17</v>
      </c>
      <c r="C12">
        <f>SUMIFS(Consolidated!$L:$L,Consolidated!$B:$B,C$4,Consolidated!$C:$C,C$5)</f>
        <v>63584</v>
      </c>
      <c r="D12">
        <f>SUMIFS(Consolidated!$L:$L,Consolidated!$B:$B,D$4,Consolidated!$C:$C,D$5)</f>
        <v>77838</v>
      </c>
      <c r="E12">
        <f>SUMIFS(Consolidated!$L:$L,Consolidated!$B:$B,E$4,Consolidated!$C:$C,E$5)</f>
        <v>58330</v>
      </c>
      <c r="F12">
        <f>SUMIFS(Consolidated!$L:$L,Consolidated!$B:$B,F$4,Consolidated!$C:$C,F$5)</f>
        <v>81731</v>
      </c>
      <c r="G12">
        <f>SUMIFS(Consolidated!$L:$L,Consolidated!$B:$B,G$4,Consolidated!$C:$C,G$5)</f>
        <v>57672</v>
      </c>
      <c r="H12">
        <f>SUMIFS(Consolidated!$L:$L,Consolidated!$B:$B,H$4,Consolidated!$C:$C,H$5)</f>
        <v>60920</v>
      </c>
      <c r="I12">
        <f>SUMIFS(Consolidated!$L:$L,Consolidated!$B:$B,I$4,Consolidated!$C:$C,I$5)</f>
        <v>89410</v>
      </c>
      <c r="J12">
        <f>SUMIFS(Consolidated!$L:$L,Consolidated!$B:$B,J$4,Consolidated!$C:$C,J$5)</f>
        <v>66922</v>
      </c>
      <c r="K12">
        <f>SUMIFS(Consolidated!$L:$L,Consolidated!$B:$B,K$4,Consolidated!$C:$C,K$5)</f>
        <v>66371</v>
      </c>
      <c r="L12">
        <f>SUMIFS(Consolidated!$L:$L,Consolidated!$B:$B,L$4,Consolidated!$C:$C,L$5)</f>
        <v>84622</v>
      </c>
      <c r="M12">
        <f>SUMIFS(Consolidated!$L:$L,Consolidated!$B:$B,M$4,Consolidated!$C:$C,M$5)</f>
        <v>56453</v>
      </c>
      <c r="N12">
        <f>SUMIFS(Consolidated!$L:$L,Consolidated!$B:$B,N$4,Consolidated!$C:$C,N$5)</f>
        <v>84572</v>
      </c>
      <c r="O12">
        <f>SUMIFS(Consolidated!$L:$L,Consolidated!$B:$B,O$4,Consolidated!$C:$C,O$5)</f>
        <v>73258</v>
      </c>
      <c r="P12">
        <f>SUMIFS(Consolidated!$L:$L,Consolidated!$B:$B,P$4,Consolidated!$C:$C,P$5)</f>
        <v>52606</v>
      </c>
      <c r="Q12">
        <f>SUMIFS(Consolidated!$L:$L,Consolidated!$B:$B,Q$4,Consolidated!$C:$C,Q$5)</f>
        <v>64540</v>
      </c>
    </row>
    <row r="13" spans="1:19" x14ac:dyDescent="0.25">
      <c r="B13" t="s">
        <v>18</v>
      </c>
      <c r="C13">
        <f>SUMIFS(Consolidated!$M:$M,Consolidated!$B:$B,C$4,Consolidated!$C:$C,C$5)</f>
        <v>70335</v>
      </c>
      <c r="D13">
        <f>SUMIFS(Consolidated!$M:$M,Consolidated!$B:$B,D$4,Consolidated!$C:$C,D$5)</f>
        <v>63165</v>
      </c>
      <c r="E13">
        <f>SUMIFS(Consolidated!$M:$M,Consolidated!$B:$B,E$4,Consolidated!$C:$C,E$5)</f>
        <v>75633</v>
      </c>
      <c r="F13">
        <f>SUMIFS(Consolidated!$M:$M,Consolidated!$B:$B,F$4,Consolidated!$C:$C,F$5)</f>
        <v>70957</v>
      </c>
      <c r="G13">
        <f>SUMIFS(Consolidated!$M:$M,Consolidated!$B:$B,G$4,Consolidated!$C:$C,G$5)</f>
        <v>73963</v>
      </c>
      <c r="H13">
        <f>SUMIFS(Consolidated!$M:$M,Consolidated!$B:$B,H$4,Consolidated!$C:$C,H$5)</f>
        <v>66271</v>
      </c>
      <c r="I13">
        <f>SUMIFS(Consolidated!$M:$M,Consolidated!$B:$B,I$4,Consolidated!$C:$C,I$5)</f>
        <v>78756</v>
      </c>
      <c r="J13">
        <f>SUMIFS(Consolidated!$M:$M,Consolidated!$B:$B,J$4,Consolidated!$C:$C,J$5)</f>
        <v>75987</v>
      </c>
      <c r="K13">
        <f>SUMIFS(Consolidated!$M:$M,Consolidated!$B:$B,K$4,Consolidated!$C:$C,K$5)</f>
        <v>66459</v>
      </c>
      <c r="L13">
        <f>SUMIFS(Consolidated!$M:$M,Consolidated!$B:$B,L$4,Consolidated!$C:$C,L$5)</f>
        <v>79737</v>
      </c>
      <c r="M13">
        <f>SUMIFS(Consolidated!$M:$M,Consolidated!$B:$B,M$4,Consolidated!$C:$C,M$5)</f>
        <v>74524</v>
      </c>
      <c r="N13">
        <f>SUMIFS(Consolidated!$M:$M,Consolidated!$B:$B,N$4,Consolidated!$C:$C,N$5)</f>
        <v>89870</v>
      </c>
      <c r="O13">
        <f>SUMIFS(Consolidated!$M:$M,Consolidated!$B:$B,O$4,Consolidated!$C:$C,O$5)</f>
        <v>73240</v>
      </c>
      <c r="P13">
        <f>SUMIFS(Consolidated!$M:$M,Consolidated!$B:$B,P$4,Consolidated!$C:$C,P$5)</f>
        <v>61591</v>
      </c>
      <c r="Q13">
        <f>SUMIFS(Consolidated!$M:$M,Consolidated!$B:$B,Q$4,Consolidated!$C:$C,Q$5)</f>
        <v>67336</v>
      </c>
    </row>
    <row r="14" spans="1:19" x14ac:dyDescent="0.25">
      <c r="B14" t="s">
        <v>23</v>
      </c>
      <c r="C14">
        <f>SUMIFS(Consolidated!$N:$N,Consolidated!$B:$B,C$4,Consolidated!$C:$C,C$5)</f>
        <v>68703</v>
      </c>
      <c r="D14">
        <f>SUMIFS(Consolidated!$N:$N,Consolidated!$B:$B,D$4,Consolidated!$C:$C,D$5)</f>
        <v>82055</v>
      </c>
      <c r="E14">
        <f>SUMIFS(Consolidated!$N:$N,Consolidated!$B:$B,E$4,Consolidated!$C:$C,E$5)</f>
        <v>77422</v>
      </c>
      <c r="F14">
        <f>SUMIFS(Consolidated!$N:$N,Consolidated!$B:$B,F$4,Consolidated!$C:$C,F$5)</f>
        <v>71216</v>
      </c>
      <c r="G14">
        <f>SUMIFS(Consolidated!$N:$N,Consolidated!$B:$B,G$4,Consolidated!$C:$C,G$5)</f>
        <v>66720</v>
      </c>
      <c r="H14">
        <f>SUMIFS(Consolidated!$N:$N,Consolidated!$B:$B,H$4,Consolidated!$C:$C,H$5)</f>
        <v>64345</v>
      </c>
      <c r="I14">
        <f>SUMIFS(Consolidated!$N:$N,Consolidated!$B:$B,I$4,Consolidated!$C:$C,I$5)</f>
        <v>74007</v>
      </c>
      <c r="J14">
        <f>SUMIFS(Consolidated!$N:$N,Consolidated!$B:$B,J$4,Consolidated!$C:$C,J$5)</f>
        <v>76969</v>
      </c>
      <c r="K14">
        <f>SUMIFS(Consolidated!$N:$N,Consolidated!$B:$B,K$4,Consolidated!$C:$C,K$5)</f>
        <v>62171</v>
      </c>
      <c r="L14">
        <f>SUMIFS(Consolidated!$N:$N,Consolidated!$B:$B,L$4,Consolidated!$C:$C,L$5)</f>
        <v>73723</v>
      </c>
      <c r="M14">
        <f>SUMIFS(Consolidated!$N:$N,Consolidated!$B:$B,M$4,Consolidated!$C:$C,M$5)</f>
        <v>72905</v>
      </c>
      <c r="N14">
        <f>SUMIFS(Consolidated!$N:$N,Consolidated!$B:$B,N$4,Consolidated!$C:$C,N$5)</f>
        <v>79911</v>
      </c>
      <c r="O14">
        <f>SUMIFS(Consolidated!$N:$N,Consolidated!$B:$B,O$4,Consolidated!$C:$C,O$5)</f>
        <v>71837</v>
      </c>
      <c r="P14">
        <f>SUMIFS(Consolidated!$N:$N,Consolidated!$B:$B,P$4,Consolidated!$C:$C,P$5)</f>
        <v>59419</v>
      </c>
      <c r="Q14">
        <f>SUMIFS(Consolidated!$N:$N,Consolidated!$B:$B,Q$4,Consolidated!$C:$C,Q$5)</f>
        <v>54239</v>
      </c>
    </row>
    <row r="15" spans="1:19" x14ac:dyDescent="0.25">
      <c r="A15" s="4" t="s">
        <v>24</v>
      </c>
    </row>
    <row r="16" spans="1:19" outlineLevel="1" x14ac:dyDescent="0.25">
      <c r="B16" t="s">
        <v>12</v>
      </c>
      <c r="C16" s="11">
        <f>(C7-C$6)^2</f>
        <v>401000625</v>
      </c>
      <c r="D16" s="11">
        <f t="shared" ref="D16:Q16" si="2">(D7-D$6)^2</f>
        <v>600625</v>
      </c>
      <c r="E16" s="11">
        <f t="shared" si="2"/>
        <v>73393489</v>
      </c>
      <c r="F16" s="11">
        <f t="shared" si="2"/>
        <v>97871449</v>
      </c>
      <c r="G16" s="11">
        <f t="shared" si="2"/>
        <v>1075369</v>
      </c>
      <c r="H16" s="11">
        <f t="shared" si="2"/>
        <v>276922881</v>
      </c>
      <c r="I16" s="11">
        <f t="shared" si="2"/>
        <v>4198401</v>
      </c>
      <c r="J16" s="11">
        <f t="shared" si="2"/>
        <v>11512449</v>
      </c>
      <c r="K16" s="11">
        <f t="shared" si="2"/>
        <v>199741689</v>
      </c>
      <c r="L16" s="11">
        <f t="shared" si="2"/>
        <v>12334144</v>
      </c>
      <c r="M16" s="11">
        <f t="shared" si="2"/>
        <v>3229209</v>
      </c>
      <c r="N16" s="11">
        <f t="shared" si="2"/>
        <v>27510025</v>
      </c>
      <c r="O16" s="11">
        <f t="shared" si="2"/>
        <v>7458361</v>
      </c>
      <c r="P16" s="11">
        <f t="shared" si="2"/>
        <v>173738761</v>
      </c>
      <c r="Q16" s="11">
        <f t="shared" si="2"/>
        <v>421686225</v>
      </c>
      <c r="S16" s="8">
        <f>SQRT(AVERAGE(C16:Q16))</f>
        <v>10684.174284114488</v>
      </c>
    </row>
    <row r="17" spans="2:19" outlineLevel="1" x14ac:dyDescent="0.25">
      <c r="B17" t="s">
        <v>13</v>
      </c>
      <c r="C17" s="11">
        <f t="shared" ref="C17:Q17" si="3">(C8-C$6)^2</f>
        <v>369331524</v>
      </c>
      <c r="D17" s="11">
        <f t="shared" si="3"/>
        <v>76387600</v>
      </c>
      <c r="E17" s="11">
        <f t="shared" si="3"/>
        <v>44422225</v>
      </c>
      <c r="F17" s="11">
        <f t="shared" si="3"/>
        <v>25452025</v>
      </c>
      <c r="G17" s="11">
        <f t="shared" si="3"/>
        <v>108900</v>
      </c>
      <c r="H17" s="11">
        <f t="shared" si="3"/>
        <v>124746561</v>
      </c>
      <c r="I17" s="11">
        <f t="shared" si="3"/>
        <v>5832225</v>
      </c>
      <c r="J17" s="11">
        <f t="shared" si="3"/>
        <v>622521</v>
      </c>
      <c r="K17" s="11">
        <f t="shared" si="3"/>
        <v>92794689</v>
      </c>
      <c r="L17" s="11">
        <f t="shared" si="3"/>
        <v>7601049</v>
      </c>
      <c r="M17" s="11">
        <f t="shared" si="3"/>
        <v>42094144</v>
      </c>
      <c r="N17" s="11">
        <f t="shared" si="3"/>
        <v>37687321</v>
      </c>
      <c r="O17" s="11">
        <f t="shared" si="3"/>
        <v>15586704</v>
      </c>
      <c r="P17" s="11">
        <f t="shared" si="3"/>
        <v>11029041</v>
      </c>
      <c r="Q17" s="11">
        <f t="shared" si="3"/>
        <v>425266884</v>
      </c>
      <c r="S17" s="8">
        <f t="shared" ref="S17:S23" si="4">SQRT(AVERAGE(C17:Q17))</f>
        <v>9233.8630882926427</v>
      </c>
    </row>
    <row r="18" spans="2:19" outlineLevel="1" x14ac:dyDescent="0.25">
      <c r="B18" t="s">
        <v>14</v>
      </c>
      <c r="C18" s="11">
        <f t="shared" ref="C18:Q18" si="5">(C9-C$6)^2</f>
        <v>316911204</v>
      </c>
      <c r="D18" s="11">
        <f t="shared" si="5"/>
        <v>63218401</v>
      </c>
      <c r="E18" s="11">
        <f t="shared" si="5"/>
        <v>5400976</v>
      </c>
      <c r="F18" s="11">
        <f t="shared" si="5"/>
        <v>36796356</v>
      </c>
      <c r="G18" s="11">
        <f t="shared" si="5"/>
        <v>5499025</v>
      </c>
      <c r="H18" s="11">
        <f t="shared" si="5"/>
        <v>70896400</v>
      </c>
      <c r="I18" s="11">
        <f t="shared" si="5"/>
        <v>59490369</v>
      </c>
      <c r="J18" s="11">
        <f t="shared" si="5"/>
        <v>1096209</v>
      </c>
      <c r="K18" s="11">
        <f t="shared" si="5"/>
        <v>15397776</v>
      </c>
      <c r="L18" s="11">
        <f t="shared" si="5"/>
        <v>4549689</v>
      </c>
      <c r="M18" s="11">
        <f t="shared" si="5"/>
        <v>12916836</v>
      </c>
      <c r="N18" s="11">
        <f t="shared" si="5"/>
        <v>18309841</v>
      </c>
      <c r="O18" s="11">
        <f t="shared" si="5"/>
        <v>47679025</v>
      </c>
      <c r="P18" s="11">
        <f t="shared" si="5"/>
        <v>9078169</v>
      </c>
      <c r="Q18" s="11">
        <f t="shared" si="5"/>
        <v>14085009</v>
      </c>
      <c r="S18" s="8">
        <f t="shared" si="4"/>
        <v>6739.561236955019</v>
      </c>
    </row>
    <row r="19" spans="2:19" outlineLevel="1" x14ac:dyDescent="0.25">
      <c r="B19" t="s">
        <v>15</v>
      </c>
      <c r="C19" s="11">
        <f t="shared" ref="C19:Q19" si="6">(C10-C$6)^2</f>
        <v>306180004</v>
      </c>
      <c r="D19" s="11">
        <f t="shared" si="6"/>
        <v>63856081</v>
      </c>
      <c r="E19" s="11">
        <f t="shared" si="6"/>
        <v>6210064</v>
      </c>
      <c r="F19" s="11">
        <f t="shared" si="6"/>
        <v>38291344</v>
      </c>
      <c r="G19" s="11">
        <f t="shared" si="6"/>
        <v>5513104</v>
      </c>
      <c r="H19" s="11">
        <f t="shared" si="6"/>
        <v>71233600</v>
      </c>
      <c r="I19" s="11">
        <f t="shared" si="6"/>
        <v>55547209</v>
      </c>
      <c r="J19" s="11">
        <f t="shared" si="6"/>
        <v>1048576</v>
      </c>
      <c r="K19" s="11">
        <f t="shared" si="6"/>
        <v>16589329</v>
      </c>
      <c r="L19" s="11">
        <f t="shared" si="6"/>
        <v>4100625</v>
      </c>
      <c r="M19" s="11">
        <f t="shared" si="6"/>
        <v>14440000</v>
      </c>
      <c r="N19" s="11">
        <f t="shared" si="6"/>
        <v>18714276</v>
      </c>
      <c r="O19" s="11">
        <f t="shared" si="6"/>
        <v>46253601</v>
      </c>
      <c r="P19" s="11">
        <f t="shared" si="6"/>
        <v>9467929</v>
      </c>
      <c r="Q19" s="11">
        <f t="shared" si="6"/>
        <v>12531600</v>
      </c>
      <c r="S19" s="8">
        <f t="shared" si="4"/>
        <v>6683.1995431330142</v>
      </c>
    </row>
    <row r="20" spans="2:19" outlineLevel="1" x14ac:dyDescent="0.25">
      <c r="B20" t="s">
        <v>16</v>
      </c>
      <c r="C20" s="11">
        <f t="shared" ref="C20:Q20" si="7">(C11-C$6)^2</f>
        <v>260176900</v>
      </c>
      <c r="D20" s="11">
        <f t="shared" si="7"/>
        <v>22992025</v>
      </c>
      <c r="E20" s="11">
        <f t="shared" si="7"/>
        <v>3045025</v>
      </c>
      <c r="F20" s="11">
        <f t="shared" si="7"/>
        <v>31618129</v>
      </c>
      <c r="G20" s="11">
        <f t="shared" si="7"/>
        <v>544644</v>
      </c>
      <c r="H20" s="11">
        <f t="shared" si="7"/>
        <v>50722884</v>
      </c>
      <c r="I20" s="11">
        <f t="shared" si="7"/>
        <v>9728161</v>
      </c>
      <c r="J20" s="11">
        <f t="shared" si="7"/>
        <v>9211225</v>
      </c>
      <c r="K20" s="11">
        <f t="shared" si="7"/>
        <v>15295921</v>
      </c>
      <c r="L20" s="11">
        <f t="shared" si="7"/>
        <v>1567504</v>
      </c>
      <c r="M20" s="11">
        <f t="shared" si="7"/>
        <v>13608721</v>
      </c>
      <c r="N20" s="11">
        <f t="shared" si="7"/>
        <v>51552400</v>
      </c>
      <c r="O20" s="11">
        <f t="shared" si="7"/>
        <v>34128964</v>
      </c>
      <c r="P20" s="11">
        <f t="shared" si="7"/>
        <v>25502500</v>
      </c>
      <c r="Q20" s="11">
        <f t="shared" si="7"/>
        <v>958441</v>
      </c>
      <c r="S20" s="8">
        <f t="shared" si="4"/>
        <v>5947.848036615148</v>
      </c>
    </row>
    <row r="21" spans="2:19" outlineLevel="1" x14ac:dyDescent="0.25">
      <c r="B21" t="s">
        <v>17</v>
      </c>
      <c r="C21" s="11">
        <f t="shared" ref="C21:Q21" si="8">(C12-C$6)^2</f>
        <v>93199716</v>
      </c>
      <c r="D21" s="11">
        <f t="shared" si="8"/>
        <v>110481121</v>
      </c>
      <c r="E21" s="11">
        <f t="shared" si="8"/>
        <v>353101681</v>
      </c>
      <c r="F21" s="11">
        <f t="shared" si="8"/>
        <v>273273961</v>
      </c>
      <c r="G21" s="11">
        <f t="shared" si="8"/>
        <v>279591841</v>
      </c>
      <c r="H21" s="11">
        <f t="shared" si="8"/>
        <v>4251844</v>
      </c>
      <c r="I21" s="11">
        <f t="shared" si="8"/>
        <v>188980009</v>
      </c>
      <c r="J21" s="11">
        <f t="shared" si="8"/>
        <v>145347136</v>
      </c>
      <c r="K21" s="11">
        <f t="shared" si="8"/>
        <v>14235529</v>
      </c>
      <c r="L21" s="11">
        <f t="shared" si="8"/>
        <v>10297681</v>
      </c>
      <c r="M21" s="11">
        <f t="shared" si="8"/>
        <v>458944929</v>
      </c>
      <c r="N21" s="11">
        <f t="shared" si="8"/>
        <v>153710404</v>
      </c>
      <c r="O21" s="11">
        <f t="shared" si="8"/>
        <v>27699169</v>
      </c>
      <c r="P21" s="11">
        <f t="shared" si="8"/>
        <v>16679056</v>
      </c>
      <c r="Q21" s="11">
        <f>(Q12-Q$6)^2</f>
        <v>10929636</v>
      </c>
      <c r="S21" s="8">
        <f t="shared" si="4"/>
        <v>11946.334760084366</v>
      </c>
    </row>
    <row r="22" spans="2:19" outlineLevel="1" x14ac:dyDescent="0.25">
      <c r="B22" t="s">
        <v>18</v>
      </c>
      <c r="C22" s="11">
        <f t="shared" ref="C22:Q22" si="9">(C13-C$6)^2</f>
        <v>269124025</v>
      </c>
      <c r="D22" s="11">
        <f t="shared" si="9"/>
        <v>17322244</v>
      </c>
      <c r="E22" s="11">
        <f t="shared" si="9"/>
        <v>2214144</v>
      </c>
      <c r="F22" s="11">
        <f t="shared" si="9"/>
        <v>33143049</v>
      </c>
      <c r="G22" s="11">
        <f t="shared" si="9"/>
        <v>184900</v>
      </c>
      <c r="H22" s="11">
        <f t="shared" si="9"/>
        <v>54952569</v>
      </c>
      <c r="I22" s="11">
        <f t="shared" si="9"/>
        <v>9566649</v>
      </c>
      <c r="J22" s="11">
        <f t="shared" si="9"/>
        <v>8946081</v>
      </c>
      <c r="K22" s="11">
        <f t="shared" si="9"/>
        <v>14907321</v>
      </c>
      <c r="L22" s="11">
        <f t="shared" si="9"/>
        <v>2808976</v>
      </c>
      <c r="M22" s="11">
        <f t="shared" si="9"/>
        <v>11235904</v>
      </c>
      <c r="N22" s="11">
        <f t="shared" si="9"/>
        <v>50410000</v>
      </c>
      <c r="O22" s="11">
        <f t="shared" si="9"/>
        <v>27510025</v>
      </c>
      <c r="P22" s="11">
        <f t="shared" si="9"/>
        <v>24019801</v>
      </c>
      <c r="Q22" s="11">
        <f t="shared" si="9"/>
        <v>260100</v>
      </c>
      <c r="S22" s="8">
        <f t="shared" si="4"/>
        <v>5925.1204657233202</v>
      </c>
    </row>
    <row r="23" spans="2:19" outlineLevel="1" x14ac:dyDescent="0.25">
      <c r="B23" t="s">
        <v>23</v>
      </c>
      <c r="C23" s="11">
        <f t="shared" ref="C23:Q23" si="10">(C14-C$6)^2</f>
        <v>218241529</v>
      </c>
      <c r="D23" s="11">
        <f t="shared" si="10"/>
        <v>216913984</v>
      </c>
      <c r="E23" s="11">
        <f t="shared" si="10"/>
        <v>90601</v>
      </c>
      <c r="F23" s="11">
        <f t="shared" si="10"/>
        <v>36192256</v>
      </c>
      <c r="G23" s="11">
        <f t="shared" si="10"/>
        <v>58874929</v>
      </c>
      <c r="H23" s="11">
        <f t="shared" si="10"/>
        <v>30107169</v>
      </c>
      <c r="I23" s="11">
        <f t="shared" si="10"/>
        <v>2742336</v>
      </c>
      <c r="J23" s="11">
        <f t="shared" si="10"/>
        <v>4036081</v>
      </c>
      <c r="K23" s="11">
        <f t="shared" si="10"/>
        <v>182329</v>
      </c>
      <c r="L23" s="11">
        <f t="shared" si="10"/>
        <v>59136100</v>
      </c>
      <c r="M23" s="11">
        <f t="shared" si="10"/>
        <v>24710841</v>
      </c>
      <c r="N23" s="11">
        <f t="shared" si="10"/>
        <v>291009481</v>
      </c>
      <c r="O23" s="11">
        <f t="shared" si="10"/>
        <v>14760964</v>
      </c>
      <c r="P23" s="11">
        <f t="shared" si="10"/>
        <v>7447441</v>
      </c>
      <c r="Q23" s="11">
        <f t="shared" si="10"/>
        <v>185150449</v>
      </c>
      <c r="S23" s="8">
        <f t="shared" si="4"/>
        <v>8754.4140866193902</v>
      </c>
    </row>
    <row r="58" spans="1:33" x14ac:dyDescent="0.25">
      <c r="A58" s="4" t="s">
        <v>22</v>
      </c>
    </row>
    <row r="60" spans="1:33" x14ac:dyDescent="0.25">
      <c r="B60" s="9" t="s">
        <v>10</v>
      </c>
      <c r="C60" s="9">
        <v>1</v>
      </c>
      <c r="D60" s="9">
        <f>C60+1</f>
        <v>2</v>
      </c>
      <c r="E60" s="9">
        <f t="shared" ref="E60:AL60" si="11">D60+1</f>
        <v>3</v>
      </c>
      <c r="F60" s="9">
        <f t="shared" si="11"/>
        <v>4</v>
      </c>
      <c r="G60" s="9">
        <f t="shared" si="11"/>
        <v>5</v>
      </c>
      <c r="H60" s="9">
        <f t="shared" si="11"/>
        <v>6</v>
      </c>
      <c r="I60" s="9">
        <f t="shared" si="11"/>
        <v>7</v>
      </c>
      <c r="J60" s="9">
        <f t="shared" si="11"/>
        <v>8</v>
      </c>
      <c r="K60" s="9">
        <f t="shared" si="11"/>
        <v>9</v>
      </c>
      <c r="L60" s="9">
        <f t="shared" si="11"/>
        <v>10</v>
      </c>
      <c r="M60" s="9">
        <f t="shared" si="11"/>
        <v>11</v>
      </c>
      <c r="N60" s="9">
        <f t="shared" si="11"/>
        <v>12</v>
      </c>
      <c r="O60" s="9">
        <f t="shared" si="11"/>
        <v>13</v>
      </c>
      <c r="P60" s="9">
        <f t="shared" si="11"/>
        <v>14</v>
      </c>
      <c r="Q60" s="9">
        <f t="shared" si="11"/>
        <v>15</v>
      </c>
      <c r="R60" s="9">
        <f t="shared" si="11"/>
        <v>16</v>
      </c>
      <c r="S60" s="9">
        <f t="shared" si="11"/>
        <v>17</v>
      </c>
      <c r="T60" s="9">
        <f t="shared" si="11"/>
        <v>18</v>
      </c>
      <c r="U60" s="9">
        <f t="shared" si="11"/>
        <v>19</v>
      </c>
      <c r="V60" s="9">
        <f t="shared" si="11"/>
        <v>20</v>
      </c>
      <c r="W60" s="9">
        <f t="shared" si="11"/>
        <v>21</v>
      </c>
      <c r="X60" s="9">
        <f t="shared" si="11"/>
        <v>22</v>
      </c>
      <c r="Y60" s="9">
        <f t="shared" si="11"/>
        <v>23</v>
      </c>
      <c r="Z60" s="9">
        <f t="shared" si="11"/>
        <v>24</v>
      </c>
      <c r="AA60" s="9">
        <f t="shared" si="11"/>
        <v>25</v>
      </c>
      <c r="AB60" s="9">
        <f t="shared" si="11"/>
        <v>26</v>
      </c>
      <c r="AC60" s="9">
        <f t="shared" si="11"/>
        <v>27</v>
      </c>
      <c r="AD60" s="9">
        <f t="shared" si="11"/>
        <v>28</v>
      </c>
      <c r="AE60" s="9">
        <f t="shared" si="11"/>
        <v>29</v>
      </c>
      <c r="AF60" s="9">
        <f t="shared" si="11"/>
        <v>30</v>
      </c>
      <c r="AG60" s="9">
        <f t="shared" si="11"/>
        <v>31</v>
      </c>
    </row>
    <row r="61" spans="1:33" x14ac:dyDescent="0.25">
      <c r="B61" t="s">
        <v>11</v>
      </c>
      <c r="C61" s="8">
        <f>AVERAGEIFS(Consolidated!$F:$F,Consolidated!$D:$D,C$60)</f>
        <v>385.53333333333336</v>
      </c>
      <c r="D61" s="8">
        <f>AVERAGEIFS(Consolidated!$F:$F,Consolidated!$D:$D,D$60)</f>
        <v>454.33333333333331</v>
      </c>
      <c r="E61" s="8">
        <f>AVERAGEIFS(Consolidated!$F:$F,Consolidated!$D:$D,E$60)</f>
        <v>558.4</v>
      </c>
      <c r="F61" s="8">
        <f>AVERAGEIFS(Consolidated!$F:$F,Consolidated!$D:$D,F$60)</f>
        <v>654.4</v>
      </c>
      <c r="G61" s="8">
        <f>AVERAGEIFS(Consolidated!$F:$F,Consolidated!$D:$D,G$60)</f>
        <v>755.4666666666667</v>
      </c>
      <c r="H61" s="8">
        <f>AVERAGEIFS(Consolidated!$F:$F,Consolidated!$D:$D,H$60)</f>
        <v>865.6</v>
      </c>
      <c r="I61" s="8">
        <f>AVERAGEIFS(Consolidated!$F:$F,Consolidated!$D:$D,I$60)</f>
        <v>822.66666666666663</v>
      </c>
      <c r="J61" s="8">
        <f>AVERAGEIFS(Consolidated!$F:$F,Consolidated!$D:$D,J$60)</f>
        <v>875.26666666666665</v>
      </c>
      <c r="K61" s="8">
        <f>AVERAGEIFS(Consolidated!$F:$F,Consolidated!$D:$D,K$60)</f>
        <v>1185.5333333333333</v>
      </c>
      <c r="L61" s="8">
        <f>AVERAGEIFS(Consolidated!$F:$F,Consolidated!$D:$D,L$60)</f>
        <v>1537.5333333333333</v>
      </c>
      <c r="M61" s="8">
        <f>AVERAGEIFS(Consolidated!$F:$F,Consolidated!$D:$D,M$60)</f>
        <v>1506.4666666666667</v>
      </c>
      <c r="N61" s="8">
        <f>AVERAGEIFS(Consolidated!$F:$F,Consolidated!$D:$D,N$60)</f>
        <v>1624.1333333333334</v>
      </c>
      <c r="O61" s="8">
        <f>AVERAGEIFS(Consolidated!$F:$F,Consolidated!$D:$D,O$60)</f>
        <v>1729.2666666666667</v>
      </c>
      <c r="P61" s="8">
        <f>AVERAGEIFS(Consolidated!$F:$F,Consolidated!$D:$D,P$60)</f>
        <v>1766.6</v>
      </c>
      <c r="Q61" s="8">
        <f>AVERAGEIFS(Consolidated!$F:$F,Consolidated!$D:$D,Q$60)</f>
        <v>1543.8666666666666</v>
      </c>
      <c r="R61" s="8">
        <f>AVERAGEIFS(Consolidated!$F:$F,Consolidated!$D:$D,R$60)</f>
        <v>1863.6666666666667</v>
      </c>
      <c r="S61" s="8">
        <f>AVERAGEIFS(Consolidated!$F:$F,Consolidated!$D:$D,S$60)</f>
        <v>2483</v>
      </c>
      <c r="T61" s="8">
        <f>AVERAGEIFS(Consolidated!$F:$F,Consolidated!$D:$D,T$60)</f>
        <v>2168.2666666666669</v>
      </c>
      <c r="U61" s="8">
        <f>AVERAGEIFS(Consolidated!$F:$F,Consolidated!$D:$D,U$60)</f>
        <v>2256.0666666666666</v>
      </c>
      <c r="V61" s="8">
        <f>AVERAGEIFS(Consolidated!$F:$F,Consolidated!$D:$D,V$60)</f>
        <v>1948.2666666666667</v>
      </c>
      <c r="W61" s="8">
        <f>AVERAGEIFS(Consolidated!$F:$F,Consolidated!$D:$D,W$60)</f>
        <v>2252.2666666666669</v>
      </c>
      <c r="X61" s="8">
        <f>AVERAGEIFS(Consolidated!$F:$F,Consolidated!$D:$D,X$60)</f>
        <v>2200.7333333333331</v>
      </c>
      <c r="Y61" s="8">
        <f>AVERAGEIFS(Consolidated!$F:$F,Consolidated!$D:$D,Y$60)</f>
        <v>2563.9333333333334</v>
      </c>
      <c r="Z61" s="8">
        <f>AVERAGEIFS(Consolidated!$F:$F,Consolidated!$D:$D,Z$60)</f>
        <v>3148.9333333333334</v>
      </c>
      <c r="AA61" s="8">
        <f>AVERAGEIFS(Consolidated!$F:$F,Consolidated!$D:$D,AA$60)</f>
        <v>2965.2666666666669</v>
      </c>
      <c r="AB61" s="8">
        <f>AVERAGEIFS(Consolidated!$F:$F,Consolidated!$D:$D,AB$60)</f>
        <v>3921.6666666666665</v>
      </c>
      <c r="AC61" s="8">
        <f>AVERAGEIFS(Consolidated!$F:$F,Consolidated!$D:$D,AC$60)</f>
        <v>4421.4666666666662</v>
      </c>
      <c r="AD61" s="8">
        <f>AVERAGEIFS(Consolidated!$F:$F,Consolidated!$D:$D,AD$60)</f>
        <v>5782.8666666666668</v>
      </c>
      <c r="AE61" s="8">
        <f>AVERAGEIFS(Consolidated!$F:$F,Consolidated!$D:$D,AE$60)</f>
        <v>5638.6153846153848</v>
      </c>
      <c r="AF61" s="8">
        <f>AVERAGEIFS(Consolidated!$F:$F,Consolidated!$D:$D,AF$60)</f>
        <v>7961.3076923076924</v>
      </c>
      <c r="AG61" s="8">
        <f>AVERAGEIFS(Consolidated!$F:$F,Consolidated!$D:$D,AG$60)</f>
        <v>8048.5555555555557</v>
      </c>
    </row>
    <row r="62" spans="1:33" x14ac:dyDescent="0.25">
      <c r="B62" t="s">
        <v>12</v>
      </c>
      <c r="C62" s="8">
        <f>AVERAGEIFS(Consolidated!$G:$G,Consolidated!$D:$D,C$60)</f>
        <v>2482.0666666666666</v>
      </c>
      <c r="D62" s="8">
        <f>AVERAGEIFS(Consolidated!$G:$G,Consolidated!$D:$D,D$60)</f>
        <v>2754.4</v>
      </c>
      <c r="E62" s="8">
        <f>AVERAGEIFS(Consolidated!$G:$G,Consolidated!$D:$D,E$60)</f>
        <v>2975</v>
      </c>
      <c r="F62" s="8">
        <f>AVERAGEIFS(Consolidated!$G:$G,Consolidated!$D:$D,F$60)</f>
        <v>2882</v>
      </c>
      <c r="G62" s="8">
        <f>AVERAGEIFS(Consolidated!$G:$G,Consolidated!$D:$D,G$60)</f>
        <v>2823.3333333333335</v>
      </c>
      <c r="H62" s="8">
        <f>AVERAGEIFS(Consolidated!$G:$G,Consolidated!$D:$D,H$60)</f>
        <v>2831.0666666666666</v>
      </c>
      <c r="I62" s="8">
        <f>AVERAGEIFS(Consolidated!$G:$G,Consolidated!$D:$D,I$60)</f>
        <v>2660.5333333333333</v>
      </c>
      <c r="J62" s="8">
        <f>AVERAGEIFS(Consolidated!$G:$G,Consolidated!$D:$D,J$60)</f>
        <v>2446.3333333333335</v>
      </c>
      <c r="K62" s="8">
        <f>AVERAGEIFS(Consolidated!$G:$G,Consolidated!$D:$D,K$60)</f>
        <v>2692.7333333333331</v>
      </c>
      <c r="L62" s="8">
        <f>AVERAGEIFS(Consolidated!$G:$G,Consolidated!$D:$D,L$60)</f>
        <v>2888.9333333333334</v>
      </c>
      <c r="M62" s="8">
        <f>AVERAGEIFS(Consolidated!$G:$G,Consolidated!$D:$D,M$60)</f>
        <v>2773.6666666666665</v>
      </c>
      <c r="N62" s="8">
        <f>AVERAGEIFS(Consolidated!$G:$G,Consolidated!$D:$D,N$60)</f>
        <v>2695.1333333333332</v>
      </c>
      <c r="O62" s="8">
        <f>AVERAGEIFS(Consolidated!$G:$G,Consolidated!$D:$D,O$60)</f>
        <v>2686.1333333333332</v>
      </c>
      <c r="P62" s="8">
        <f>AVERAGEIFS(Consolidated!$G:$G,Consolidated!$D:$D,P$60)</f>
        <v>2502</v>
      </c>
      <c r="Q62" s="8">
        <f>AVERAGEIFS(Consolidated!$G:$G,Consolidated!$D:$D,Q$60)</f>
        <v>2277.3333333333335</v>
      </c>
      <c r="R62" s="8">
        <f>AVERAGEIFS(Consolidated!$G:$G,Consolidated!$D:$D,R$60)</f>
        <v>2517.4666666666667</v>
      </c>
      <c r="S62" s="8">
        <f>AVERAGEIFS(Consolidated!$G:$G,Consolidated!$D:$D,S$60)</f>
        <v>2711.0666666666666</v>
      </c>
      <c r="T62" s="8">
        <f>AVERAGEIFS(Consolidated!$G:$G,Consolidated!$D:$D,T$60)</f>
        <v>2596.7333333333331</v>
      </c>
      <c r="U62" s="8">
        <f>AVERAGEIFS(Consolidated!$G:$G,Consolidated!$D:$D,U$60)</f>
        <v>2522.9333333333334</v>
      </c>
      <c r="V62" s="8">
        <f>AVERAGEIFS(Consolidated!$G:$G,Consolidated!$D:$D,V$60)</f>
        <v>2522.1333333333332</v>
      </c>
      <c r="W62" s="8">
        <f>AVERAGEIFS(Consolidated!$G:$G,Consolidated!$D:$D,W$60)</f>
        <v>2349.1999999999998</v>
      </c>
      <c r="X62" s="8">
        <f>AVERAGEIFS(Consolidated!$G:$G,Consolidated!$D:$D,X$60)</f>
        <v>2138.9333333333334</v>
      </c>
      <c r="Y62" s="8">
        <f>AVERAGEIFS(Consolidated!$G:$G,Consolidated!$D:$D,Y$60)</f>
        <v>2395.8000000000002</v>
      </c>
      <c r="Z62" s="8">
        <f>AVERAGEIFS(Consolidated!$G:$G,Consolidated!$D:$D,Z$60)</f>
        <v>2607.9333333333334</v>
      </c>
      <c r="AA62" s="8">
        <f>AVERAGEIFS(Consolidated!$G:$G,Consolidated!$D:$D,AA$60)</f>
        <v>2513.8000000000002</v>
      </c>
      <c r="AB62" s="8">
        <f>AVERAGEIFS(Consolidated!$G:$G,Consolidated!$D:$D,AB$60)</f>
        <v>2461.1333333333332</v>
      </c>
      <c r="AC62" s="8">
        <f>AVERAGEIFS(Consolidated!$G:$G,Consolidated!$D:$D,AC$60)</f>
        <v>2488.9333333333334</v>
      </c>
      <c r="AD62" s="8">
        <f>AVERAGEIFS(Consolidated!$G:$G,Consolidated!$D:$D,AD$60)</f>
        <v>2330.6</v>
      </c>
      <c r="AE62" s="8">
        <f>AVERAGEIFS(Consolidated!$G:$G,Consolidated!$D:$D,AE$60)</f>
        <v>2331.7692307692309</v>
      </c>
      <c r="AF62" s="8">
        <f>AVERAGEIFS(Consolidated!$G:$G,Consolidated!$D:$D,AF$60)</f>
        <v>2512.3846153846152</v>
      </c>
      <c r="AG62" s="8">
        <f>AVERAGEIFS(Consolidated!$G:$G,Consolidated!$D:$D,AG$60)</f>
        <v>2378.2222222222222</v>
      </c>
    </row>
    <row r="63" spans="1:33" x14ac:dyDescent="0.25">
      <c r="B63" t="s">
        <v>13</v>
      </c>
      <c r="C63" s="8">
        <f>AVERAGEIFS(Consolidated!$H:$H,Consolidated!$D:$D,C$60)</f>
        <v>4603.4666666666662</v>
      </c>
      <c r="D63" s="8">
        <f>AVERAGEIFS(Consolidated!$H:$H,Consolidated!$D:$D,D$60)</f>
        <v>3469.0666666666666</v>
      </c>
      <c r="E63" s="8">
        <f>AVERAGEIFS(Consolidated!$H:$H,Consolidated!$D:$D,E$60)</f>
        <v>2075.3333333333335</v>
      </c>
      <c r="F63" s="8">
        <f>AVERAGEIFS(Consolidated!$H:$H,Consolidated!$D:$D,F$60)</f>
        <v>1295.5333333333333</v>
      </c>
      <c r="G63" s="8">
        <f>AVERAGEIFS(Consolidated!$H:$H,Consolidated!$D:$D,G$60)</f>
        <v>1051.2</v>
      </c>
      <c r="H63" s="8">
        <f>AVERAGEIFS(Consolidated!$H:$H,Consolidated!$D:$D,H$60)</f>
        <v>1217.4666666666667</v>
      </c>
      <c r="I63" s="8">
        <f>AVERAGEIFS(Consolidated!$H:$H,Consolidated!$D:$D,I$60)</f>
        <v>1236.8</v>
      </c>
      <c r="J63" s="8">
        <f>AVERAGEIFS(Consolidated!$H:$H,Consolidated!$D:$D,J$60)</f>
        <v>1203.4000000000001</v>
      </c>
      <c r="K63" s="8">
        <f>AVERAGEIFS(Consolidated!$H:$H,Consolidated!$D:$D,K$60)</f>
        <v>1392</v>
      </c>
      <c r="L63" s="8">
        <f>AVERAGEIFS(Consolidated!$H:$H,Consolidated!$D:$D,L$60)</f>
        <v>1585.2</v>
      </c>
      <c r="M63" s="8">
        <f>AVERAGEIFS(Consolidated!$H:$H,Consolidated!$D:$D,M$60)</f>
        <v>1648.4</v>
      </c>
      <c r="N63" s="8">
        <f>AVERAGEIFS(Consolidated!$H:$H,Consolidated!$D:$D,N$60)</f>
        <v>1730.2</v>
      </c>
      <c r="O63" s="8">
        <f>AVERAGEIFS(Consolidated!$H:$H,Consolidated!$D:$D,O$60)</f>
        <v>1860.3333333333333</v>
      </c>
      <c r="P63" s="8">
        <f>AVERAGEIFS(Consolidated!$H:$H,Consolidated!$D:$D,P$60)</f>
        <v>1691.8</v>
      </c>
      <c r="Q63" s="8">
        <f>AVERAGEIFS(Consolidated!$H:$H,Consolidated!$D:$D,Q$60)</f>
        <v>1536.4666666666667</v>
      </c>
      <c r="R63" s="8">
        <f>AVERAGEIFS(Consolidated!$H:$H,Consolidated!$D:$D,R$60)</f>
        <v>1874.4666666666667</v>
      </c>
      <c r="S63" s="8">
        <f>AVERAGEIFS(Consolidated!$H:$H,Consolidated!$D:$D,S$60)</f>
        <v>2267.8666666666668</v>
      </c>
      <c r="T63" s="8">
        <f>AVERAGEIFS(Consolidated!$H:$H,Consolidated!$D:$D,T$60)</f>
        <v>2326.9333333333334</v>
      </c>
      <c r="U63" s="8">
        <f>AVERAGEIFS(Consolidated!$H:$H,Consolidated!$D:$D,U$60)</f>
        <v>2302.5333333333333</v>
      </c>
      <c r="V63" s="8">
        <f>AVERAGEIFS(Consolidated!$H:$H,Consolidated!$D:$D,V$60)</f>
        <v>2283.9333333333334</v>
      </c>
      <c r="W63" s="8">
        <f>AVERAGEIFS(Consolidated!$H:$H,Consolidated!$D:$D,W$60)</f>
        <v>2172.9333333333334</v>
      </c>
      <c r="X63" s="8">
        <f>AVERAGEIFS(Consolidated!$H:$H,Consolidated!$D:$D,X$60)</f>
        <v>2190</v>
      </c>
      <c r="Y63" s="8">
        <f>AVERAGEIFS(Consolidated!$H:$H,Consolidated!$D:$D,Y$60)</f>
        <v>2713.2666666666669</v>
      </c>
      <c r="Z63" s="8">
        <f>AVERAGEIFS(Consolidated!$H:$H,Consolidated!$D:$D,Z$60)</f>
        <v>3083.3333333333335</v>
      </c>
      <c r="AA63" s="8">
        <f>AVERAGEIFS(Consolidated!$H:$H,Consolidated!$D:$D,AA$60)</f>
        <v>3005.6666666666665</v>
      </c>
      <c r="AB63" s="8">
        <f>AVERAGEIFS(Consolidated!$H:$H,Consolidated!$D:$D,AB$60)</f>
        <v>3030.3333333333335</v>
      </c>
      <c r="AC63" s="8">
        <f>AVERAGEIFS(Consolidated!$H:$H,Consolidated!$D:$D,AC$60)</f>
        <v>3465.9333333333334</v>
      </c>
      <c r="AD63" s="8">
        <f>AVERAGEIFS(Consolidated!$H:$H,Consolidated!$D:$D,AD$60)</f>
        <v>4145.666666666667</v>
      </c>
      <c r="AE63" s="8">
        <f>AVERAGEIFS(Consolidated!$H:$H,Consolidated!$D:$D,AE$60)</f>
        <v>4981.2307692307695</v>
      </c>
      <c r="AF63" s="8">
        <f>AVERAGEIFS(Consolidated!$H:$H,Consolidated!$D:$D,AF$60)</f>
        <v>5837.6153846153848</v>
      </c>
      <c r="AG63" s="8">
        <f>AVERAGEIFS(Consolidated!$H:$H,Consolidated!$D:$D,AG$60)</f>
        <v>5540.5555555555557</v>
      </c>
    </row>
    <row r="64" spans="1:33" x14ac:dyDescent="0.25">
      <c r="B64" t="s">
        <v>14</v>
      </c>
      <c r="C64" s="8">
        <f>AVERAGEIFS(Consolidated!$I:$I,Consolidated!$D:$D,C$60)</f>
        <v>4041.4666666666667</v>
      </c>
      <c r="D64" s="8">
        <f>AVERAGEIFS(Consolidated!$I:$I,Consolidated!$D:$D,D$60)</f>
        <v>3444.6666666666665</v>
      </c>
      <c r="E64" s="8">
        <f>AVERAGEIFS(Consolidated!$I:$I,Consolidated!$D:$D,E$60)</f>
        <v>2119.2666666666669</v>
      </c>
      <c r="F64" s="8">
        <f>AVERAGEIFS(Consolidated!$I:$I,Consolidated!$D:$D,F$60)</f>
        <v>1368.9333333333334</v>
      </c>
      <c r="G64" s="8">
        <f>AVERAGEIFS(Consolidated!$I:$I,Consolidated!$D:$D,G$60)</f>
        <v>1091.0666666666666</v>
      </c>
      <c r="H64" s="8">
        <f>AVERAGEIFS(Consolidated!$I:$I,Consolidated!$D:$D,H$60)</f>
        <v>1223.5333333333333</v>
      </c>
      <c r="I64" s="8">
        <f>AVERAGEIFS(Consolidated!$I:$I,Consolidated!$D:$D,I$60)</f>
        <v>1226.9333333333334</v>
      </c>
      <c r="J64" s="8">
        <f>AVERAGEIFS(Consolidated!$I:$I,Consolidated!$D:$D,J$60)</f>
        <v>1153.8</v>
      </c>
      <c r="K64" s="8">
        <f>AVERAGEIFS(Consolidated!$I:$I,Consolidated!$D:$D,K$60)</f>
        <v>1451</v>
      </c>
      <c r="L64" s="8">
        <f>AVERAGEIFS(Consolidated!$I:$I,Consolidated!$D:$D,L$60)</f>
        <v>1617.4666666666667</v>
      </c>
      <c r="M64" s="8">
        <f>AVERAGEIFS(Consolidated!$I:$I,Consolidated!$D:$D,M$60)</f>
        <v>1587</v>
      </c>
      <c r="N64" s="8">
        <f>AVERAGEIFS(Consolidated!$I:$I,Consolidated!$D:$D,N$60)</f>
        <v>1753.1333333333334</v>
      </c>
      <c r="O64" s="8">
        <f>AVERAGEIFS(Consolidated!$I:$I,Consolidated!$D:$D,O$60)</f>
        <v>1932.8666666666666</v>
      </c>
      <c r="P64" s="8">
        <f>AVERAGEIFS(Consolidated!$I:$I,Consolidated!$D:$D,P$60)</f>
        <v>1797.2</v>
      </c>
      <c r="Q64" s="8">
        <f>AVERAGEIFS(Consolidated!$I:$I,Consolidated!$D:$D,Q$60)</f>
        <v>1474.9333333333334</v>
      </c>
      <c r="R64" s="8">
        <f>AVERAGEIFS(Consolidated!$I:$I,Consolidated!$D:$D,R$60)</f>
        <v>1803.6</v>
      </c>
      <c r="S64" s="8">
        <f>AVERAGEIFS(Consolidated!$I:$I,Consolidated!$D:$D,S$60)</f>
        <v>2165</v>
      </c>
      <c r="T64" s="8">
        <f>AVERAGEIFS(Consolidated!$I:$I,Consolidated!$D:$D,T$60)</f>
        <v>2132.0666666666666</v>
      </c>
      <c r="U64" s="8">
        <f>AVERAGEIFS(Consolidated!$I:$I,Consolidated!$D:$D,U$60)</f>
        <v>2426.5333333333333</v>
      </c>
      <c r="V64" s="8">
        <f>AVERAGEIFS(Consolidated!$I:$I,Consolidated!$D:$D,V$60)</f>
        <v>2013.4666666666667</v>
      </c>
      <c r="W64" s="8">
        <f>AVERAGEIFS(Consolidated!$I:$I,Consolidated!$D:$D,W$60)</f>
        <v>2110.5333333333333</v>
      </c>
      <c r="X64" s="8">
        <f>AVERAGEIFS(Consolidated!$I:$I,Consolidated!$D:$D,X$60)</f>
        <v>2149.4</v>
      </c>
      <c r="Y64" s="8">
        <f>AVERAGEIFS(Consolidated!$I:$I,Consolidated!$D:$D,Y$60)</f>
        <v>2542.7333333333331</v>
      </c>
      <c r="Z64" s="8">
        <f>AVERAGEIFS(Consolidated!$I:$I,Consolidated!$D:$D,Z$60)</f>
        <v>3034.5333333333333</v>
      </c>
      <c r="AA64" s="8">
        <f>AVERAGEIFS(Consolidated!$I:$I,Consolidated!$D:$D,AA$60)</f>
        <v>2789</v>
      </c>
      <c r="AB64" s="8">
        <f>AVERAGEIFS(Consolidated!$I:$I,Consolidated!$D:$D,AB$60)</f>
        <v>3176.0666666666666</v>
      </c>
      <c r="AC64" s="8">
        <f>AVERAGEIFS(Consolidated!$I:$I,Consolidated!$D:$D,AC$60)</f>
        <v>3374.3333333333335</v>
      </c>
      <c r="AD64" s="8">
        <f>AVERAGEIFS(Consolidated!$I:$I,Consolidated!$D:$D,AD$60)</f>
        <v>4138.666666666667</v>
      </c>
      <c r="AE64" s="8">
        <f>AVERAGEIFS(Consolidated!$I:$I,Consolidated!$D:$D,AE$60)</f>
        <v>4906</v>
      </c>
      <c r="AF64" s="8">
        <f>AVERAGEIFS(Consolidated!$I:$I,Consolidated!$D:$D,AF$60)</f>
        <v>5812</v>
      </c>
      <c r="AG64" s="8">
        <f>AVERAGEIFS(Consolidated!$I:$I,Consolidated!$D:$D,AG$60)</f>
        <v>5326.333333333333</v>
      </c>
    </row>
    <row r="65" spans="1:35" x14ac:dyDescent="0.25">
      <c r="B65" t="s">
        <v>15</v>
      </c>
      <c r="C65" s="8">
        <f>AVERAGEIFS(Consolidated!$J:$J,Consolidated!$D:$D,C$60)</f>
        <v>4038.9333333333334</v>
      </c>
      <c r="D65" s="8">
        <f>AVERAGEIFS(Consolidated!$J:$J,Consolidated!$D:$D,D$60)</f>
        <v>3442.1333333333332</v>
      </c>
      <c r="E65" s="8">
        <f>AVERAGEIFS(Consolidated!$J:$J,Consolidated!$D:$D,E$60)</f>
        <v>2120.3333333333335</v>
      </c>
      <c r="F65" s="8">
        <f>AVERAGEIFS(Consolidated!$J:$J,Consolidated!$D:$D,F$60)</f>
        <v>1369.3333333333333</v>
      </c>
      <c r="G65" s="8">
        <f>AVERAGEIFS(Consolidated!$J:$J,Consolidated!$D:$D,G$60)</f>
        <v>1089.8666666666666</v>
      </c>
      <c r="H65" s="8">
        <f>AVERAGEIFS(Consolidated!$J:$J,Consolidated!$D:$D,H$60)</f>
        <v>1221.7333333333333</v>
      </c>
      <c r="I65" s="8">
        <f>AVERAGEIFS(Consolidated!$J:$J,Consolidated!$D:$D,I$60)</f>
        <v>1224.5999999999999</v>
      </c>
      <c r="J65" s="8">
        <f>AVERAGEIFS(Consolidated!$J:$J,Consolidated!$D:$D,J$60)</f>
        <v>1153.5333333333333</v>
      </c>
      <c r="K65" s="8">
        <f>AVERAGEIFS(Consolidated!$J:$J,Consolidated!$D:$D,K$60)</f>
        <v>1449.4666666666667</v>
      </c>
      <c r="L65" s="8">
        <f>AVERAGEIFS(Consolidated!$J:$J,Consolidated!$D:$D,L$60)</f>
        <v>1615.6666666666667</v>
      </c>
      <c r="M65" s="8">
        <f>AVERAGEIFS(Consolidated!$J:$J,Consolidated!$D:$D,M$60)</f>
        <v>1586.0666666666666</v>
      </c>
      <c r="N65" s="8">
        <f>AVERAGEIFS(Consolidated!$J:$J,Consolidated!$D:$D,N$60)</f>
        <v>1752.4</v>
      </c>
      <c r="O65" s="8">
        <f>AVERAGEIFS(Consolidated!$J:$J,Consolidated!$D:$D,O$60)</f>
        <v>1931.0666666666666</v>
      </c>
      <c r="P65" s="8">
        <f>AVERAGEIFS(Consolidated!$J:$J,Consolidated!$D:$D,P$60)</f>
        <v>1794.7333333333333</v>
      </c>
      <c r="Q65" s="8">
        <f>AVERAGEIFS(Consolidated!$J:$J,Consolidated!$D:$D,Q$60)</f>
        <v>1474.9333333333334</v>
      </c>
      <c r="R65" s="8">
        <f>AVERAGEIFS(Consolidated!$J:$J,Consolidated!$D:$D,R$60)</f>
        <v>1804</v>
      </c>
      <c r="S65" s="8">
        <f>AVERAGEIFS(Consolidated!$J:$J,Consolidated!$D:$D,S$60)</f>
        <v>2162.4666666666667</v>
      </c>
      <c r="T65" s="8">
        <f>AVERAGEIFS(Consolidated!$J:$J,Consolidated!$D:$D,T$60)</f>
        <v>2129.2666666666669</v>
      </c>
      <c r="U65" s="8">
        <f>AVERAGEIFS(Consolidated!$J:$J,Consolidated!$D:$D,U$60)</f>
        <v>2424.8000000000002</v>
      </c>
      <c r="V65" s="8">
        <f>AVERAGEIFS(Consolidated!$J:$J,Consolidated!$D:$D,V$60)</f>
        <v>2010.1333333333334</v>
      </c>
      <c r="W65" s="8">
        <f>AVERAGEIFS(Consolidated!$J:$J,Consolidated!$D:$D,W$60)</f>
        <v>2108.1999999999998</v>
      </c>
      <c r="X65" s="8">
        <f>AVERAGEIFS(Consolidated!$J:$J,Consolidated!$D:$D,X$60)</f>
        <v>2147.2666666666669</v>
      </c>
      <c r="Y65" s="8">
        <f>AVERAGEIFS(Consolidated!$J:$J,Consolidated!$D:$D,Y$60)</f>
        <v>2541.1333333333332</v>
      </c>
      <c r="Z65" s="8">
        <f>AVERAGEIFS(Consolidated!$J:$J,Consolidated!$D:$D,Z$60)</f>
        <v>3032.2</v>
      </c>
      <c r="AA65" s="8">
        <f>AVERAGEIFS(Consolidated!$J:$J,Consolidated!$D:$D,AA$60)</f>
        <v>2788.0666666666666</v>
      </c>
      <c r="AB65" s="8">
        <f>AVERAGEIFS(Consolidated!$J:$J,Consolidated!$D:$D,AB$60)</f>
        <v>3172.7333333333331</v>
      </c>
      <c r="AC65" s="8">
        <f>AVERAGEIFS(Consolidated!$J:$J,Consolidated!$D:$D,AC$60)</f>
        <v>3371</v>
      </c>
      <c r="AD65" s="8">
        <f>AVERAGEIFS(Consolidated!$J:$J,Consolidated!$D:$D,AD$60)</f>
        <v>4135.666666666667</v>
      </c>
      <c r="AE65" s="8">
        <f>AVERAGEIFS(Consolidated!$J:$J,Consolidated!$D:$D,AE$60)</f>
        <v>4900.3076923076924</v>
      </c>
      <c r="AF65" s="8">
        <f>AVERAGEIFS(Consolidated!$J:$J,Consolidated!$D:$D,AF$60)</f>
        <v>5808.8461538461543</v>
      </c>
      <c r="AG65" s="8">
        <f>AVERAGEIFS(Consolidated!$J:$J,Consolidated!$D:$D,AG$60)</f>
        <v>5322.5555555555557</v>
      </c>
    </row>
    <row r="66" spans="1:35" x14ac:dyDescent="0.25">
      <c r="B66" t="s">
        <v>16</v>
      </c>
      <c r="C66" s="8">
        <f>AVERAGEIFS(Consolidated!$K:$K,Consolidated!$D:$D,C$60)</f>
        <v>1197.2666666666667</v>
      </c>
      <c r="D66" s="8">
        <f>AVERAGEIFS(Consolidated!$K:$K,Consolidated!$D:$D,D$60)</f>
        <v>1310.9333333333334</v>
      </c>
      <c r="E66" s="8">
        <f>AVERAGEIFS(Consolidated!$K:$K,Consolidated!$D:$D,E$60)</f>
        <v>1189.7333333333333</v>
      </c>
      <c r="F66" s="8">
        <f>AVERAGEIFS(Consolidated!$K:$K,Consolidated!$D:$D,F$60)</f>
        <v>1186.6666666666667</v>
      </c>
      <c r="G66" s="8">
        <f>AVERAGEIFS(Consolidated!$K:$K,Consolidated!$D:$D,G$60)</f>
        <v>1159.4666666666667</v>
      </c>
      <c r="H66" s="8">
        <f>AVERAGEIFS(Consolidated!$K:$K,Consolidated!$D:$D,H$60)</f>
        <v>1184.7333333333333</v>
      </c>
      <c r="I66" s="8">
        <f>AVERAGEIFS(Consolidated!$K:$K,Consolidated!$D:$D,I$60)</f>
        <v>1017.3333333333334</v>
      </c>
      <c r="J66" s="8">
        <f>AVERAGEIFS(Consolidated!$K:$K,Consolidated!$D:$D,J$60)</f>
        <v>1335.5333333333333</v>
      </c>
      <c r="K66" s="8">
        <f>AVERAGEIFS(Consolidated!$K:$K,Consolidated!$D:$D,K$60)</f>
        <v>1617.8</v>
      </c>
      <c r="L66" s="8">
        <f>AVERAGEIFS(Consolidated!$K:$K,Consolidated!$D:$D,L$60)</f>
        <v>1724.4666666666667</v>
      </c>
      <c r="M66" s="8">
        <f>AVERAGEIFS(Consolidated!$K:$K,Consolidated!$D:$D,M$60)</f>
        <v>1605.6</v>
      </c>
      <c r="N66" s="8">
        <f>AVERAGEIFS(Consolidated!$K:$K,Consolidated!$D:$D,N$60)</f>
        <v>1672.2</v>
      </c>
      <c r="O66" s="8">
        <f>AVERAGEIFS(Consolidated!$K:$K,Consolidated!$D:$D,O$60)</f>
        <v>1774.2666666666667</v>
      </c>
      <c r="P66" s="8">
        <f>AVERAGEIFS(Consolidated!$K:$K,Consolidated!$D:$D,P$60)</f>
        <v>1674.9333333333334</v>
      </c>
      <c r="Q66" s="8">
        <f>AVERAGEIFS(Consolidated!$K:$K,Consolidated!$D:$D,Q$60)</f>
        <v>1467.8</v>
      </c>
      <c r="R66" s="8">
        <f>AVERAGEIFS(Consolidated!$K:$K,Consolidated!$D:$D,R$60)</f>
        <v>1865.0666666666666</v>
      </c>
      <c r="S66" s="8">
        <f>AVERAGEIFS(Consolidated!$K:$K,Consolidated!$D:$D,S$60)</f>
        <v>2181.1333333333332</v>
      </c>
      <c r="T66" s="8">
        <f>AVERAGEIFS(Consolidated!$K:$K,Consolidated!$D:$D,T$60)</f>
        <v>2049.3333333333335</v>
      </c>
      <c r="U66" s="8">
        <f>AVERAGEIFS(Consolidated!$K:$K,Consolidated!$D:$D,U$60)</f>
        <v>2303.3333333333335</v>
      </c>
      <c r="V66" s="8">
        <f>AVERAGEIFS(Consolidated!$K:$K,Consolidated!$D:$D,V$60)</f>
        <v>1987.8</v>
      </c>
      <c r="W66" s="8">
        <f>AVERAGEIFS(Consolidated!$K:$K,Consolidated!$D:$D,W$60)</f>
        <v>2204.2666666666669</v>
      </c>
      <c r="X66" s="8">
        <f>AVERAGEIFS(Consolidated!$K:$K,Consolidated!$D:$D,X$60)</f>
        <v>2305.8000000000002</v>
      </c>
      <c r="Y66" s="8">
        <f>AVERAGEIFS(Consolidated!$K:$K,Consolidated!$D:$D,Y$60)</f>
        <v>2515.6</v>
      </c>
      <c r="Z66" s="8">
        <f>AVERAGEIFS(Consolidated!$K:$K,Consolidated!$D:$D,Z$60)</f>
        <v>3050.3333333333335</v>
      </c>
      <c r="AA66" s="8">
        <f>AVERAGEIFS(Consolidated!$K:$K,Consolidated!$D:$D,AA$60)</f>
        <v>3078.2</v>
      </c>
      <c r="AB66" s="8">
        <f>AVERAGEIFS(Consolidated!$K:$K,Consolidated!$D:$D,AB$60)</f>
        <v>3467.7333333333331</v>
      </c>
      <c r="AC66" s="8">
        <f>AVERAGEIFS(Consolidated!$K:$K,Consolidated!$D:$D,AC$60)</f>
        <v>3846.4</v>
      </c>
      <c r="AD66" s="8">
        <f>AVERAGEIFS(Consolidated!$K:$K,Consolidated!$D:$D,AD$60)</f>
        <v>4589.3999999999996</v>
      </c>
      <c r="AE66" s="8">
        <f>AVERAGEIFS(Consolidated!$K:$K,Consolidated!$D:$D,AE$60)</f>
        <v>4888.3846153846152</v>
      </c>
      <c r="AF66" s="8">
        <f>AVERAGEIFS(Consolidated!$K:$K,Consolidated!$D:$D,AF$60)</f>
        <v>7509.6153846153848</v>
      </c>
      <c r="AG66" s="8">
        <f>AVERAGEIFS(Consolidated!$K:$K,Consolidated!$D:$D,AG$60)</f>
        <v>8513.4444444444453</v>
      </c>
    </row>
    <row r="67" spans="1:35" x14ac:dyDescent="0.25">
      <c r="B67" t="s">
        <v>17</v>
      </c>
      <c r="C67" s="8">
        <f>AVERAGEIFS(Consolidated!$L:$L,Consolidated!$D:$D,C$60)</f>
        <v>370.06666666666666</v>
      </c>
      <c r="D67" s="8">
        <f>AVERAGEIFS(Consolidated!$L:$L,Consolidated!$D:$D,D$60)</f>
        <v>394.26666666666665</v>
      </c>
      <c r="E67" s="8">
        <f>AVERAGEIFS(Consolidated!$L:$L,Consolidated!$D:$D,E$60)</f>
        <v>658.06666666666672</v>
      </c>
      <c r="F67" s="8">
        <f>AVERAGEIFS(Consolidated!$L:$L,Consolidated!$D:$D,F$60)</f>
        <v>646.26666666666665</v>
      </c>
      <c r="G67" s="8">
        <f>AVERAGEIFS(Consolidated!$L:$L,Consolidated!$D:$D,G$60)</f>
        <v>598.93333333333328</v>
      </c>
      <c r="H67" s="8">
        <f>AVERAGEIFS(Consolidated!$L:$L,Consolidated!$D:$D,H$60)</f>
        <v>614.4</v>
      </c>
      <c r="I67" s="8">
        <f>AVERAGEIFS(Consolidated!$L:$L,Consolidated!$D:$D,I$60)</f>
        <v>592.20000000000005</v>
      </c>
      <c r="J67" s="8">
        <f>AVERAGEIFS(Consolidated!$L:$L,Consolidated!$D:$D,J$60)</f>
        <v>1035.0666666666666</v>
      </c>
      <c r="K67" s="8">
        <f>AVERAGEIFS(Consolidated!$L:$L,Consolidated!$D:$D,K$60)</f>
        <v>1189.4666666666667</v>
      </c>
      <c r="L67" s="8">
        <f>AVERAGEIFS(Consolidated!$L:$L,Consolidated!$D:$D,L$60)</f>
        <v>1333.0666666666666</v>
      </c>
      <c r="M67" s="8">
        <f>AVERAGEIFS(Consolidated!$L:$L,Consolidated!$D:$D,M$60)</f>
        <v>1224.8666666666666</v>
      </c>
      <c r="N67" s="8">
        <f>AVERAGEIFS(Consolidated!$L:$L,Consolidated!$D:$D,N$60)</f>
        <v>1313.5333333333333</v>
      </c>
      <c r="O67" s="8">
        <f>AVERAGEIFS(Consolidated!$L:$L,Consolidated!$D:$D,O$60)</f>
        <v>1434.5333333333333</v>
      </c>
      <c r="P67" s="8">
        <f>AVERAGEIFS(Consolidated!$L:$L,Consolidated!$D:$D,P$60)</f>
        <v>1434.4</v>
      </c>
      <c r="Q67" s="8">
        <f>AVERAGEIFS(Consolidated!$L:$L,Consolidated!$D:$D,Q$60)</f>
        <v>1330.4</v>
      </c>
      <c r="R67" s="8">
        <f>AVERAGEIFS(Consolidated!$L:$L,Consolidated!$D:$D,R$60)</f>
        <v>1596.8666666666666</v>
      </c>
      <c r="S67" s="8">
        <f>AVERAGEIFS(Consolidated!$L:$L,Consolidated!$D:$D,S$60)</f>
        <v>1884.6</v>
      </c>
      <c r="T67" s="8">
        <f>AVERAGEIFS(Consolidated!$L:$L,Consolidated!$D:$D,T$60)</f>
        <v>1734.7333333333333</v>
      </c>
      <c r="U67" s="8">
        <f>AVERAGEIFS(Consolidated!$L:$L,Consolidated!$D:$D,U$60)</f>
        <v>2103.1999999999998</v>
      </c>
      <c r="V67" s="8">
        <f>AVERAGEIFS(Consolidated!$L:$L,Consolidated!$D:$D,V$60)</f>
        <v>1845.6666666666667</v>
      </c>
      <c r="W67" s="8">
        <f>AVERAGEIFS(Consolidated!$L:$L,Consolidated!$D:$D,W$60)</f>
        <v>2113.8000000000002</v>
      </c>
      <c r="X67" s="8">
        <f>AVERAGEIFS(Consolidated!$L:$L,Consolidated!$D:$D,X$60)</f>
        <v>2154.0666666666666</v>
      </c>
      <c r="Y67" s="8">
        <f>AVERAGEIFS(Consolidated!$L:$L,Consolidated!$D:$D,Y$60)</f>
        <v>2396.7333333333331</v>
      </c>
      <c r="Z67" s="8">
        <f>AVERAGEIFS(Consolidated!$L:$L,Consolidated!$D:$D,Z$60)</f>
        <v>3346.6</v>
      </c>
      <c r="AA67" s="8">
        <f>AVERAGEIFS(Consolidated!$L:$L,Consolidated!$D:$D,AA$60)</f>
        <v>3531.3333333333335</v>
      </c>
      <c r="AB67" s="8">
        <f>AVERAGEIFS(Consolidated!$L:$L,Consolidated!$D:$D,AB$60)</f>
        <v>3866.8666666666668</v>
      </c>
      <c r="AC67" s="8">
        <f>AVERAGEIFS(Consolidated!$L:$L,Consolidated!$D:$D,AC$60)</f>
        <v>4515.4666666666662</v>
      </c>
      <c r="AD67" s="8">
        <f>AVERAGEIFS(Consolidated!$L:$L,Consolidated!$D:$D,AD$60)</f>
        <v>5217.6000000000004</v>
      </c>
      <c r="AE67" s="8">
        <f>AVERAGEIFS(Consolidated!$L:$L,Consolidated!$D:$D,AE$60)</f>
        <v>4677.4615384615381</v>
      </c>
      <c r="AF67" s="8">
        <f>AVERAGEIFS(Consolidated!$L:$L,Consolidated!$D:$D,AF$60)</f>
        <v>9273.9230769230762</v>
      </c>
      <c r="AG67" s="8">
        <f>AVERAGEIFS(Consolidated!$L:$L,Consolidated!$D:$D,AG$60)</f>
        <v>11145</v>
      </c>
    </row>
    <row r="68" spans="1:35" x14ac:dyDescent="0.25">
      <c r="B68" t="s">
        <v>18</v>
      </c>
      <c r="C68" s="8">
        <f>AVERAGEIFS(Consolidated!$M:$M,Consolidated!$D:$D,C$60)</f>
        <v>1172.5333333333333</v>
      </c>
      <c r="D68" s="8">
        <f>AVERAGEIFS(Consolidated!$M:$M,Consolidated!$D:$D,D$60)</f>
        <v>1167.6666666666667</v>
      </c>
      <c r="E68" s="8">
        <f>AVERAGEIFS(Consolidated!$M:$M,Consolidated!$D:$D,E$60)</f>
        <v>1167.2</v>
      </c>
      <c r="F68" s="8">
        <f>AVERAGEIFS(Consolidated!$M:$M,Consolidated!$D:$D,F$60)</f>
        <v>1233.3333333333333</v>
      </c>
      <c r="G68" s="8">
        <f>AVERAGEIFS(Consolidated!$M:$M,Consolidated!$D:$D,G$60)</f>
        <v>1142.8</v>
      </c>
      <c r="H68" s="8">
        <f>AVERAGEIFS(Consolidated!$M:$M,Consolidated!$D:$D,H$60)</f>
        <v>1150.0666666666666</v>
      </c>
      <c r="I68" s="8">
        <f>AVERAGEIFS(Consolidated!$M:$M,Consolidated!$D:$D,I$60)</f>
        <v>1005.1333333333333</v>
      </c>
      <c r="J68" s="8">
        <f>AVERAGEIFS(Consolidated!$M:$M,Consolidated!$D:$D,J$60)</f>
        <v>1372.1333333333334</v>
      </c>
      <c r="K68" s="8">
        <f>AVERAGEIFS(Consolidated!$M:$M,Consolidated!$D:$D,K$60)</f>
        <v>1654.7333333333333</v>
      </c>
      <c r="L68" s="8">
        <f>AVERAGEIFS(Consolidated!$M:$M,Consolidated!$D:$D,L$60)</f>
        <v>1710.1333333333334</v>
      </c>
      <c r="M68" s="8">
        <f>AVERAGEIFS(Consolidated!$M:$M,Consolidated!$D:$D,M$60)</f>
        <v>1558.3333333333333</v>
      </c>
      <c r="N68" s="8">
        <f>AVERAGEIFS(Consolidated!$M:$M,Consolidated!$D:$D,N$60)</f>
        <v>1661.5333333333333</v>
      </c>
      <c r="O68" s="8">
        <f>AVERAGEIFS(Consolidated!$M:$M,Consolidated!$D:$D,O$60)</f>
        <v>1800.6666666666667</v>
      </c>
      <c r="P68" s="8">
        <f>AVERAGEIFS(Consolidated!$M:$M,Consolidated!$D:$D,P$60)</f>
        <v>1696.5333333333333</v>
      </c>
      <c r="Q68" s="8">
        <f>AVERAGEIFS(Consolidated!$M:$M,Consolidated!$D:$D,Q$60)</f>
        <v>1465.4</v>
      </c>
      <c r="R68" s="8">
        <f>AVERAGEIFS(Consolidated!$M:$M,Consolidated!$D:$D,R$60)</f>
        <v>1848</v>
      </c>
      <c r="S68" s="8">
        <f>AVERAGEIFS(Consolidated!$M:$M,Consolidated!$D:$D,S$60)</f>
        <v>2172.2666666666669</v>
      </c>
      <c r="T68" s="8">
        <f>AVERAGEIFS(Consolidated!$M:$M,Consolidated!$D:$D,T$60)</f>
        <v>2048.0666666666666</v>
      </c>
      <c r="U68" s="8">
        <f>AVERAGEIFS(Consolidated!$M:$M,Consolidated!$D:$D,U$60)</f>
        <v>2311.9333333333334</v>
      </c>
      <c r="V68" s="8">
        <f>AVERAGEIFS(Consolidated!$M:$M,Consolidated!$D:$D,V$60)</f>
        <v>2018.2666666666667</v>
      </c>
      <c r="W68" s="8">
        <f>AVERAGEIFS(Consolidated!$M:$M,Consolidated!$D:$D,W$60)</f>
        <v>2209.3333333333335</v>
      </c>
      <c r="X68" s="8">
        <f>AVERAGEIFS(Consolidated!$M:$M,Consolidated!$D:$D,X$60)</f>
        <v>2266.8000000000002</v>
      </c>
      <c r="Y68" s="8">
        <f>AVERAGEIFS(Consolidated!$M:$M,Consolidated!$D:$D,Y$60)</f>
        <v>2498.4666666666667</v>
      </c>
      <c r="Z68" s="8">
        <f>AVERAGEIFS(Consolidated!$M:$M,Consolidated!$D:$D,Z$60)</f>
        <v>3126.2666666666669</v>
      </c>
      <c r="AA68" s="8">
        <f>AVERAGEIFS(Consolidated!$M:$M,Consolidated!$D:$D,AA$60)</f>
        <v>3167.6</v>
      </c>
      <c r="AB68" s="8">
        <f>AVERAGEIFS(Consolidated!$M:$M,Consolidated!$D:$D,AB$60)</f>
        <v>3453.0666666666666</v>
      </c>
      <c r="AC68" s="8">
        <f>AVERAGEIFS(Consolidated!$M:$M,Consolidated!$D:$D,AC$60)</f>
        <v>3802.0666666666666</v>
      </c>
      <c r="AD68" s="8">
        <f>AVERAGEIFS(Consolidated!$M:$M,Consolidated!$D:$D,AD$60)</f>
        <v>4590.4666666666662</v>
      </c>
      <c r="AE68" s="8">
        <f>AVERAGEIFS(Consolidated!$M:$M,Consolidated!$D:$D,AE$60)</f>
        <v>4921.2307692307695</v>
      </c>
      <c r="AF68" s="8">
        <f>AVERAGEIFS(Consolidated!$M:$M,Consolidated!$D:$D,AF$60)</f>
        <v>7613.5384615384619</v>
      </c>
      <c r="AG68" s="8">
        <f>AVERAGEIFS(Consolidated!$M:$M,Consolidated!$D:$D,AG$60)</f>
        <v>8645.5555555555547</v>
      </c>
    </row>
    <row r="69" spans="1:35" x14ac:dyDescent="0.25">
      <c r="B69" t="s">
        <v>23</v>
      </c>
      <c r="C69" s="8">
        <f>AVERAGEIFS(Consolidated!$N:$N,Consolidated!$D:$D,C$60)</f>
        <v>370.06666666666666</v>
      </c>
      <c r="D69" s="8">
        <f>AVERAGEIFS(Consolidated!$N:$N,Consolidated!$D:$D,D$60)</f>
        <v>394.26666666666665</v>
      </c>
      <c r="E69" s="8">
        <f>AVERAGEIFS(Consolidated!$N:$N,Consolidated!$D:$D,E$60)</f>
        <v>658.06666666666672</v>
      </c>
      <c r="F69" s="8">
        <f>AVERAGEIFS(Consolidated!$N:$N,Consolidated!$D:$D,F$60)</f>
        <v>646.26666666666665</v>
      </c>
      <c r="G69" s="8">
        <f>AVERAGEIFS(Consolidated!$N:$N,Consolidated!$D:$D,G$60)</f>
        <v>707.73333333333335</v>
      </c>
      <c r="H69" s="8">
        <f>AVERAGEIFS(Consolidated!$N:$N,Consolidated!$D:$D,H$60)</f>
        <v>882.4666666666667</v>
      </c>
      <c r="I69" s="8">
        <f>AVERAGEIFS(Consolidated!$N:$N,Consolidated!$D:$D,I$60)</f>
        <v>798.93333333333328</v>
      </c>
      <c r="J69" s="8">
        <f>AVERAGEIFS(Consolidated!$N:$N,Consolidated!$D:$D,J$60)</f>
        <v>1203.8</v>
      </c>
      <c r="K69" s="8">
        <f>AVERAGEIFS(Consolidated!$N:$N,Consolidated!$D:$D,K$60)</f>
        <v>1422.4</v>
      </c>
      <c r="L69" s="8">
        <f>AVERAGEIFS(Consolidated!$N:$N,Consolidated!$D:$D,L$60)</f>
        <v>1521.8</v>
      </c>
      <c r="M69" s="8">
        <f>AVERAGEIFS(Consolidated!$N:$N,Consolidated!$D:$D,M$60)</f>
        <v>1458.3333333333333</v>
      </c>
      <c r="N69" s="8">
        <f>AVERAGEIFS(Consolidated!$N:$N,Consolidated!$D:$D,N$60)</f>
        <v>1557.3333333333333</v>
      </c>
      <c r="O69" s="8">
        <f>AVERAGEIFS(Consolidated!$N:$N,Consolidated!$D:$D,O$60)</f>
        <v>1690.9333333333334</v>
      </c>
      <c r="P69" s="8">
        <f>AVERAGEIFS(Consolidated!$N:$N,Consolidated!$D:$D,P$60)</f>
        <v>1696.5333333333333</v>
      </c>
      <c r="Q69" s="8">
        <f>AVERAGEIFS(Consolidated!$N:$N,Consolidated!$D:$D,Q$60)</f>
        <v>1465.4</v>
      </c>
      <c r="R69" s="8">
        <f>AVERAGEIFS(Consolidated!$N:$N,Consolidated!$D:$D,R$60)</f>
        <v>1848</v>
      </c>
      <c r="S69" s="8">
        <f>AVERAGEIFS(Consolidated!$N:$N,Consolidated!$D:$D,S$60)</f>
        <v>2172.2666666666669</v>
      </c>
      <c r="T69" s="8">
        <f>AVERAGEIFS(Consolidated!$N:$N,Consolidated!$D:$D,T$60)</f>
        <v>2048.0666666666666</v>
      </c>
      <c r="U69" s="8">
        <f>AVERAGEIFS(Consolidated!$N:$N,Consolidated!$D:$D,U$60)</f>
        <v>2311.9333333333334</v>
      </c>
      <c r="V69" s="8">
        <f>AVERAGEIFS(Consolidated!$N:$N,Consolidated!$D:$D,V$60)</f>
        <v>2018.2666666666667</v>
      </c>
      <c r="W69" s="8">
        <f>AVERAGEIFS(Consolidated!$N:$N,Consolidated!$D:$D,W$60)</f>
        <v>2209.3333333333335</v>
      </c>
      <c r="X69" s="8">
        <f>AVERAGEIFS(Consolidated!$N:$N,Consolidated!$D:$D,X$60)</f>
        <v>2266.8000000000002</v>
      </c>
      <c r="Y69" s="8">
        <f>AVERAGEIFS(Consolidated!$N:$N,Consolidated!$D:$D,Y$60)</f>
        <v>2498.4666666666667</v>
      </c>
      <c r="Z69" s="8">
        <f>AVERAGEIFS(Consolidated!$N:$N,Consolidated!$D:$D,Z$60)</f>
        <v>3346.6</v>
      </c>
      <c r="AA69" s="8">
        <f>AVERAGEIFS(Consolidated!$N:$N,Consolidated!$D:$D,AA$60)</f>
        <v>3531.3333333333335</v>
      </c>
      <c r="AB69" s="8">
        <f>AVERAGEIFS(Consolidated!$N:$N,Consolidated!$D:$D,AB$60)</f>
        <v>3866.8666666666668</v>
      </c>
      <c r="AC69" s="8">
        <f>AVERAGEIFS(Consolidated!$N:$N,Consolidated!$D:$D,AC$60)</f>
        <v>4515.4666666666662</v>
      </c>
      <c r="AD69" s="8">
        <f>AVERAGEIFS(Consolidated!$N:$N,Consolidated!$D:$D,AD$60)</f>
        <v>5217.6000000000004</v>
      </c>
      <c r="AE69" s="8">
        <f>AVERAGEIFS(Consolidated!$N:$N,Consolidated!$D:$D,AE$60)</f>
        <v>4921.2307692307695</v>
      </c>
      <c r="AF69" s="8">
        <f>AVERAGEIFS(Consolidated!$N:$N,Consolidated!$D:$D,AF$60)</f>
        <v>7613.5384615384619</v>
      </c>
      <c r="AG69" s="8">
        <f>AVERAGEIFS(Consolidated!$N:$N,Consolidated!$D:$D,AG$60)</f>
        <v>8645.5555555555547</v>
      </c>
    </row>
    <row r="70" spans="1:35" x14ac:dyDescent="0.25">
      <c r="A70" s="4" t="s">
        <v>24</v>
      </c>
    </row>
    <row r="71" spans="1:35" outlineLevel="1" x14ac:dyDescent="0.25">
      <c r="B71" t="s">
        <v>12</v>
      </c>
      <c r="C71" s="11">
        <f>(C62-C$61)^2</f>
        <v>4395452.0177777773</v>
      </c>
      <c r="D71" s="11">
        <f t="shared" ref="D71:Q71" si="12">(D62-D$61)^2</f>
        <v>5290306.6711111106</v>
      </c>
      <c r="E71" s="11">
        <f t="shared" si="12"/>
        <v>5839955.5599999996</v>
      </c>
      <c r="F71" s="11">
        <f t="shared" si="12"/>
        <v>4962201.76</v>
      </c>
      <c r="G71" s="11">
        <f t="shared" si="12"/>
        <v>4276072.5511111114</v>
      </c>
      <c r="H71" s="11">
        <f t="shared" si="12"/>
        <v>3863059.2177777779</v>
      </c>
      <c r="I71" s="11">
        <f t="shared" si="12"/>
        <v>3377753.8844444449</v>
      </c>
      <c r="J71" s="11">
        <f t="shared" si="12"/>
        <v>2468250.4711111118</v>
      </c>
      <c r="K71" s="11">
        <f t="shared" si="12"/>
        <v>2271651.8399999994</v>
      </c>
      <c r="L71" s="11">
        <f t="shared" si="12"/>
        <v>1826281.9600000002</v>
      </c>
      <c r="M71" s="11">
        <f t="shared" si="12"/>
        <v>1605795.8399999996</v>
      </c>
      <c r="N71" s="11">
        <f t="shared" si="12"/>
        <v>1147040.9999999995</v>
      </c>
      <c r="O71" s="11">
        <f t="shared" si="12"/>
        <v>915593.81777777756</v>
      </c>
      <c r="P71" s="11">
        <f t="shared" si="12"/>
        <v>540813.16000000015</v>
      </c>
      <c r="Q71" s="11">
        <f t="shared" si="12"/>
        <v>537973.35111111146</v>
      </c>
      <c r="R71" s="11">
        <f t="shared" ref="R71:AG71" si="13">(R62-R$61)^2</f>
        <v>427454.43999999994</v>
      </c>
      <c r="S71" s="11">
        <f t="shared" si="13"/>
        <v>52014.404444444415</v>
      </c>
      <c r="T71" s="11">
        <f t="shared" si="13"/>
        <v>183583.68444444408</v>
      </c>
      <c r="U71" s="11">
        <f t="shared" si="13"/>
        <v>71217.817777777847</v>
      </c>
      <c r="V71" s="11">
        <f t="shared" si="13"/>
        <v>329322.95111111098</v>
      </c>
      <c r="W71" s="11">
        <f t="shared" si="13"/>
        <v>9396.071111111034</v>
      </c>
      <c r="X71" s="11">
        <f t="shared" si="13"/>
        <v>3819.2399999999661</v>
      </c>
      <c r="Y71" s="11">
        <f t="shared" si="13"/>
        <v>28268.817777777738</v>
      </c>
      <c r="Z71" s="11">
        <f t="shared" si="13"/>
        <v>292681</v>
      </c>
      <c r="AA71" s="11">
        <f t="shared" si="13"/>
        <v>203822.15111111113</v>
      </c>
      <c r="AB71" s="11">
        <f t="shared" si="13"/>
        <v>2133157.6177777778</v>
      </c>
      <c r="AC71" s="11">
        <f t="shared" si="13"/>
        <v>3734685.0844444428</v>
      </c>
      <c r="AD71" s="11">
        <f t="shared" si="13"/>
        <v>11918145.137777779</v>
      </c>
      <c r="AE71" s="11">
        <f t="shared" si="13"/>
        <v>10935231.485207099</v>
      </c>
      <c r="AF71" s="11">
        <f t="shared" si="13"/>
        <v>29690762.698224854</v>
      </c>
      <c r="AG71" s="11">
        <f t="shared" si="13"/>
        <v>32152680.111111119</v>
      </c>
      <c r="AI71" s="8">
        <f>SQRT(AVERAGE(C71:AG71))</f>
        <v>2090.5659506500911</v>
      </c>
    </row>
    <row r="72" spans="1:35" outlineLevel="1" x14ac:dyDescent="0.25">
      <c r="B72" t="s">
        <v>13</v>
      </c>
      <c r="C72" s="11">
        <f t="shared" ref="C72:Q78" si="14">(C63-C$61)^2</f>
        <v>17790961.604444437</v>
      </c>
      <c r="D72" s="11">
        <f t="shared" si="14"/>
        <v>9088617.0711111091</v>
      </c>
      <c r="E72" s="11">
        <f t="shared" si="14"/>
        <v>2301086.7377777779</v>
      </c>
      <c r="F72" s="11">
        <f t="shared" si="14"/>
        <v>411051.95111111109</v>
      </c>
      <c r="G72" s="11">
        <f t="shared" si="14"/>
        <v>87458.204444444447</v>
      </c>
      <c r="H72" s="11">
        <f t="shared" si="14"/>
        <v>123810.15111111112</v>
      </c>
      <c r="I72" s="11">
        <f t="shared" si="14"/>
        <v>171506.41777777777</v>
      </c>
      <c r="J72" s="11">
        <f t="shared" si="14"/>
        <v>107671.48444444452</v>
      </c>
      <c r="K72" s="11">
        <f t="shared" si="14"/>
        <v>42628.484444444453</v>
      </c>
      <c r="L72" s="11">
        <f t="shared" si="14"/>
        <v>2272.1111111111181</v>
      </c>
      <c r="M72" s="11">
        <f t="shared" si="14"/>
        <v>20145.071111111127</v>
      </c>
      <c r="N72" s="11">
        <f t="shared" si="14"/>
        <v>11250.137777777765</v>
      </c>
      <c r="O72" s="11">
        <f t="shared" si="14"/>
        <v>17178.471111111096</v>
      </c>
      <c r="P72" s="11">
        <f t="shared" si="14"/>
        <v>5595.0399999999936</v>
      </c>
      <c r="Q72" s="11">
        <f t="shared" si="14"/>
        <v>54.75999999999798</v>
      </c>
      <c r="R72" s="11">
        <f t="shared" ref="R72:AG72" si="15">(R63-R$61)^2</f>
        <v>116.63999999999902</v>
      </c>
      <c r="S72" s="11">
        <f t="shared" si="15"/>
        <v>46282.351111111057</v>
      </c>
      <c r="T72" s="11">
        <f t="shared" si="15"/>
        <v>25175.111111111062</v>
      </c>
      <c r="U72" s="11">
        <f t="shared" si="15"/>
        <v>2159.151111111114</v>
      </c>
      <c r="V72" s="11">
        <f t="shared" si="15"/>
        <v>112672.11111111117</v>
      </c>
      <c r="W72" s="11">
        <f t="shared" si="15"/>
        <v>6293.7777777778019</v>
      </c>
      <c r="X72" s="11">
        <f t="shared" si="15"/>
        <v>115.20444444443989</v>
      </c>
      <c r="Y72" s="11">
        <f t="shared" si="15"/>
        <v>22300.444444444489</v>
      </c>
      <c r="Z72" s="11">
        <f t="shared" si="15"/>
        <v>4303.3599999999878</v>
      </c>
      <c r="AA72" s="11">
        <f t="shared" si="15"/>
        <v>1632.1599999999705</v>
      </c>
      <c r="AB72" s="11">
        <f t="shared" si="15"/>
        <v>794475.11111111054</v>
      </c>
      <c r="AC72" s="11">
        <f t="shared" si="15"/>
        <v>913043.95111111016</v>
      </c>
      <c r="AD72" s="11">
        <f t="shared" si="15"/>
        <v>2680423.8399999994</v>
      </c>
      <c r="AE72" s="11">
        <f t="shared" si="15"/>
        <v>432154.53254437854</v>
      </c>
      <c r="AF72" s="11">
        <f t="shared" si="15"/>
        <v>4510069.0177514786</v>
      </c>
      <c r="AG72" s="11">
        <f t="shared" si="15"/>
        <v>6290064</v>
      </c>
      <c r="AI72" s="8">
        <f t="shared" ref="AI72:AI78" si="16">SQRT(AVERAGE(C72:AG72))</f>
        <v>1218.4412101640485</v>
      </c>
    </row>
    <row r="73" spans="1:35" outlineLevel="1" x14ac:dyDescent="0.25">
      <c r="B73" t="s">
        <v>14</v>
      </c>
      <c r="C73" s="11">
        <f t="shared" si="14"/>
        <v>13365848.537777778</v>
      </c>
      <c r="D73" s="11">
        <f t="shared" si="14"/>
        <v>8942093.4444444422</v>
      </c>
      <c r="E73" s="11">
        <f t="shared" si="14"/>
        <v>2436304.7511111116</v>
      </c>
      <c r="F73" s="11">
        <f t="shared" si="14"/>
        <v>510557.88444444456</v>
      </c>
      <c r="G73" s="11">
        <f t="shared" si="14"/>
        <v>112627.35999999994</v>
      </c>
      <c r="H73" s="11">
        <f t="shared" si="14"/>
        <v>128116.27111111107</v>
      </c>
      <c r="I73" s="11">
        <f t="shared" si="14"/>
        <v>163431.53777777785</v>
      </c>
      <c r="J73" s="11">
        <f t="shared" si="14"/>
        <v>77580.81777777776</v>
      </c>
      <c r="K73" s="11">
        <f t="shared" si="14"/>
        <v>70472.551111111126</v>
      </c>
      <c r="L73" s="11">
        <f t="shared" si="14"/>
        <v>6389.3377777777878</v>
      </c>
      <c r="M73" s="11">
        <f t="shared" si="14"/>
        <v>6485.617777777773</v>
      </c>
      <c r="N73" s="11">
        <f t="shared" si="14"/>
        <v>16641</v>
      </c>
      <c r="O73" s="11">
        <f t="shared" si="14"/>
        <v>41452.959999999963</v>
      </c>
      <c r="P73" s="11">
        <f t="shared" si="14"/>
        <v>936.36000000000831</v>
      </c>
      <c r="Q73" s="11">
        <f t="shared" si="14"/>
        <v>4751.8044444444213</v>
      </c>
      <c r="R73" s="11">
        <f t="shared" ref="R73:AG73" si="17">(R64-R$61)^2</f>
        <v>3608.0044444444643</v>
      </c>
      <c r="S73" s="11">
        <f t="shared" si="17"/>
        <v>101124</v>
      </c>
      <c r="T73" s="11">
        <f t="shared" si="17"/>
        <v>1310.4400000000198</v>
      </c>
      <c r="U73" s="11">
        <f t="shared" si="17"/>
        <v>29058.884444444455</v>
      </c>
      <c r="V73" s="11">
        <f t="shared" si="17"/>
        <v>4251.0400000000063</v>
      </c>
      <c r="W73" s="11">
        <f t="shared" si="17"/>
        <v>20088.337777777848</v>
      </c>
      <c r="X73" s="11">
        <f t="shared" si="17"/>
        <v>2635.1111111110799</v>
      </c>
      <c r="Y73" s="11">
        <f t="shared" si="17"/>
        <v>449.44000000001159</v>
      </c>
      <c r="Z73" s="11">
        <f t="shared" si="17"/>
        <v>13087.360000000021</v>
      </c>
      <c r="AA73" s="11">
        <f t="shared" si="17"/>
        <v>31069.937777777854</v>
      </c>
      <c r="AB73" s="11">
        <f t="shared" si="17"/>
        <v>555919.35999999987</v>
      </c>
      <c r="AC73" s="11">
        <f t="shared" si="17"/>
        <v>1096488.2177777765</v>
      </c>
      <c r="AD73" s="11">
        <f t="shared" si="17"/>
        <v>2703393.6399999992</v>
      </c>
      <c r="AE73" s="11">
        <f t="shared" si="17"/>
        <v>536725.30177514814</v>
      </c>
      <c r="AF73" s="11">
        <f t="shared" si="17"/>
        <v>4619523.5562130185</v>
      </c>
      <c r="AG73" s="11">
        <f t="shared" si="17"/>
        <v>7410493.8271604963</v>
      </c>
      <c r="AI73" s="8">
        <f t="shared" si="16"/>
        <v>1177.9276046273587</v>
      </c>
    </row>
    <row r="74" spans="1:35" outlineLevel="1" x14ac:dyDescent="0.25">
      <c r="B74" t="s">
        <v>15</v>
      </c>
      <c r="C74" s="11">
        <f t="shared" si="14"/>
        <v>13347331.560000001</v>
      </c>
      <c r="D74" s="11">
        <f t="shared" si="14"/>
        <v>8926948.839999998</v>
      </c>
      <c r="E74" s="11">
        <f t="shared" si="14"/>
        <v>2439635.7377777779</v>
      </c>
      <c r="F74" s="11">
        <f t="shared" si="14"/>
        <v>511129.67111111106</v>
      </c>
      <c r="G74" s="11">
        <f t="shared" si="14"/>
        <v>111823.35999999991</v>
      </c>
      <c r="H74" s="11">
        <f t="shared" si="14"/>
        <v>126830.95111111111</v>
      </c>
      <c r="I74" s="11">
        <f t="shared" si="14"/>
        <v>161550.4044444444</v>
      </c>
      <c r="J74" s="11">
        <f t="shared" si="14"/>
        <v>77432.337777777764</v>
      </c>
      <c r="K74" s="11">
        <f t="shared" si="14"/>
        <v>69660.804444444482</v>
      </c>
      <c r="L74" s="11">
        <f t="shared" si="14"/>
        <v>6104.8177777777946</v>
      </c>
      <c r="M74" s="11">
        <f t="shared" si="14"/>
        <v>6336.1599999999853</v>
      </c>
      <c r="N74" s="11">
        <f t="shared" si="14"/>
        <v>16452.337777777775</v>
      </c>
      <c r="O74" s="11">
        <f t="shared" si="14"/>
        <v>40723.239999999983</v>
      </c>
      <c r="P74" s="11">
        <f t="shared" si="14"/>
        <v>791.48444444445045</v>
      </c>
      <c r="Q74" s="11">
        <f t="shared" si="14"/>
        <v>4751.8044444444213</v>
      </c>
      <c r="R74" s="11">
        <f t="shared" ref="R74:AG74" si="18">(R65-R$61)^2</f>
        <v>3560.11111111112</v>
      </c>
      <c r="S74" s="11">
        <f t="shared" si="18"/>
        <v>102741.61777777776</v>
      </c>
      <c r="T74" s="11">
        <f t="shared" si="18"/>
        <v>1521</v>
      </c>
      <c r="U74" s="11">
        <f t="shared" si="18"/>
        <v>28470.937777777861</v>
      </c>
      <c r="V74" s="11">
        <f t="shared" si="18"/>
        <v>3827.4844444444593</v>
      </c>
      <c r="W74" s="11">
        <f t="shared" si="18"/>
        <v>20755.204444444556</v>
      </c>
      <c r="X74" s="11">
        <f t="shared" si="18"/>
        <v>2858.6844444443991</v>
      </c>
      <c r="Y74" s="11">
        <f t="shared" si="18"/>
        <v>519.84000000000833</v>
      </c>
      <c r="Z74" s="11">
        <f t="shared" si="18"/>
        <v>13626.671111111167</v>
      </c>
      <c r="AA74" s="11">
        <f t="shared" si="18"/>
        <v>31399.840000000098</v>
      </c>
      <c r="AB74" s="11">
        <f t="shared" si="18"/>
        <v>560901.13777777785</v>
      </c>
      <c r="AC74" s="11">
        <f t="shared" si="18"/>
        <v>1103480.217777777</v>
      </c>
      <c r="AD74" s="11">
        <f t="shared" si="18"/>
        <v>2713267.8399999994</v>
      </c>
      <c r="AE74" s="11">
        <f t="shared" si="18"/>
        <v>545098.24852071016</v>
      </c>
      <c r="AF74" s="11">
        <f t="shared" si="18"/>
        <v>4633090.6745562116</v>
      </c>
      <c r="AG74" s="11">
        <f t="shared" si="18"/>
        <v>7431076</v>
      </c>
      <c r="AI74" s="8">
        <f t="shared" si="16"/>
        <v>1178.3490230095542</v>
      </c>
    </row>
    <row r="75" spans="1:35" outlineLevel="1" x14ac:dyDescent="0.25">
      <c r="B75" t="s">
        <v>16</v>
      </c>
      <c r="C75" s="11">
        <f t="shared" si="14"/>
        <v>658911.00444444444</v>
      </c>
      <c r="D75" s="11">
        <f t="shared" si="14"/>
        <v>733763.56000000029</v>
      </c>
      <c r="E75" s="11">
        <f t="shared" si="14"/>
        <v>398581.77777777781</v>
      </c>
      <c r="F75" s="11">
        <f t="shared" si="14"/>
        <v>283307.80444444454</v>
      </c>
      <c r="G75" s="11">
        <f t="shared" si="14"/>
        <v>163216</v>
      </c>
      <c r="H75" s="11">
        <f t="shared" si="14"/>
        <v>101846.08444444444</v>
      </c>
      <c r="I75" s="11">
        <f t="shared" si="14"/>
        <v>37895.111111111139</v>
      </c>
      <c r="J75" s="11">
        <f t="shared" si="14"/>
        <v>211845.40444444443</v>
      </c>
      <c r="K75" s="11">
        <f t="shared" si="14"/>
        <v>186854.47111111111</v>
      </c>
      <c r="L75" s="11">
        <f t="shared" si="14"/>
        <v>34944.07111111113</v>
      </c>
      <c r="M75" s="11">
        <f t="shared" si="14"/>
        <v>9827.4177777777531</v>
      </c>
      <c r="N75" s="11">
        <f t="shared" si="14"/>
        <v>2310.4044444444385</v>
      </c>
      <c r="O75" s="11">
        <f t="shared" si="14"/>
        <v>2025</v>
      </c>
      <c r="P75" s="11">
        <f t="shared" si="14"/>
        <v>8402.7777777777501</v>
      </c>
      <c r="Q75" s="11">
        <f t="shared" si="14"/>
        <v>5786.1377777777689</v>
      </c>
      <c r="R75" s="11">
        <f t="shared" ref="R75:AG75" si="19">(R66-R$61)^2</f>
        <v>1.959999999999618</v>
      </c>
      <c r="S75" s="11">
        <f t="shared" si="19"/>
        <v>91123.484444444519</v>
      </c>
      <c r="T75" s="11">
        <f t="shared" si="19"/>
        <v>14145.137777777793</v>
      </c>
      <c r="U75" s="11">
        <f t="shared" si="19"/>
        <v>2234.137777777798</v>
      </c>
      <c r="V75" s="11">
        <f t="shared" si="19"/>
        <v>1562.8844444444421</v>
      </c>
      <c r="W75" s="11">
        <f t="shared" si="19"/>
        <v>2304</v>
      </c>
      <c r="X75" s="11">
        <f t="shared" si="19"/>
        <v>11039.004444444527</v>
      </c>
      <c r="Y75" s="11">
        <f t="shared" si="19"/>
        <v>2336.1111111111259</v>
      </c>
      <c r="Z75" s="11">
        <f t="shared" si="19"/>
        <v>9721.9599999999828</v>
      </c>
      <c r="AA75" s="11">
        <f t="shared" si="19"/>
        <v>12753.937777777688</v>
      </c>
      <c r="AB75" s="11">
        <f t="shared" si="19"/>
        <v>206055.47111111117</v>
      </c>
      <c r="AC75" s="11">
        <f t="shared" si="19"/>
        <v>330701.67111111054</v>
      </c>
      <c r="AD75" s="11">
        <f t="shared" si="19"/>
        <v>1424362.6844444457</v>
      </c>
      <c r="AE75" s="11">
        <f t="shared" si="19"/>
        <v>562846.20710059209</v>
      </c>
      <c r="AF75" s="11">
        <f t="shared" si="19"/>
        <v>204025.94082840229</v>
      </c>
      <c r="AG75" s="11">
        <f t="shared" si="19"/>
        <v>216121.67901234634</v>
      </c>
      <c r="AI75" s="8">
        <f t="shared" si="16"/>
        <v>437.39895784543506</v>
      </c>
    </row>
    <row r="76" spans="1:35" outlineLevel="1" x14ac:dyDescent="0.25">
      <c r="B76" t="s">
        <v>17</v>
      </c>
      <c r="C76" s="11">
        <f t="shared" si="14"/>
        <v>239.21777777777871</v>
      </c>
      <c r="D76" s="11">
        <f t="shared" si="14"/>
        <v>3608.0044444444438</v>
      </c>
      <c r="E76" s="11">
        <f t="shared" si="14"/>
        <v>9933.4444444444598</v>
      </c>
      <c r="F76" s="11">
        <f t="shared" si="14"/>
        <v>66.151111111110993</v>
      </c>
      <c r="G76" s="11">
        <f t="shared" si="14"/>
        <v>24502.684444444472</v>
      </c>
      <c r="H76" s="11">
        <f t="shared" si="14"/>
        <v>63101.440000000024</v>
      </c>
      <c r="I76" s="11">
        <f t="shared" si="14"/>
        <v>53114.884444444404</v>
      </c>
      <c r="J76" s="11">
        <f t="shared" si="14"/>
        <v>25536.039999999986</v>
      </c>
      <c r="K76" s="11">
        <f t="shared" si="14"/>
        <v>15.471111111111588</v>
      </c>
      <c r="L76" s="11">
        <f t="shared" si="14"/>
        <v>41806.617777777792</v>
      </c>
      <c r="M76" s="11">
        <f t="shared" si="14"/>
        <v>79298.56000000007</v>
      </c>
      <c r="N76" s="11">
        <f t="shared" si="14"/>
        <v>96472.360000000088</v>
      </c>
      <c r="O76" s="11">
        <f t="shared" si="14"/>
        <v>86867.737777777787</v>
      </c>
      <c r="P76" s="11">
        <f t="shared" si="14"/>
        <v>110356.83999999988</v>
      </c>
      <c r="Q76" s="11">
        <f t="shared" si="14"/>
        <v>45568.017777777692</v>
      </c>
      <c r="R76" s="11">
        <f t="shared" ref="R76:AG76" si="20">(R67-R$61)^2</f>
        <v>71182.240000000093</v>
      </c>
      <c r="S76" s="11">
        <f t="shared" si="20"/>
        <v>358082.56000000011</v>
      </c>
      <c r="T76" s="11">
        <f t="shared" si="20"/>
        <v>187951.15111111128</v>
      </c>
      <c r="U76" s="11">
        <f t="shared" si="20"/>
        <v>23368.217777777816</v>
      </c>
      <c r="V76" s="11">
        <f t="shared" si="20"/>
        <v>10526.759999999982</v>
      </c>
      <c r="W76" s="11">
        <f t="shared" si="20"/>
        <v>19173.017777777786</v>
      </c>
      <c r="X76" s="11">
        <f t="shared" si="20"/>
        <v>2177.7777777777637</v>
      </c>
      <c r="Y76" s="11">
        <f t="shared" si="20"/>
        <v>27955.840000000091</v>
      </c>
      <c r="Z76" s="11">
        <f t="shared" si="20"/>
        <v>39072.111111111051</v>
      </c>
      <c r="AA76" s="11">
        <f t="shared" si="20"/>
        <v>320431.47111111105</v>
      </c>
      <c r="AB76" s="11">
        <f t="shared" si="20"/>
        <v>3003.03999999997</v>
      </c>
      <c r="AC76" s="11">
        <f t="shared" si="20"/>
        <v>8836</v>
      </c>
      <c r="AD76" s="11">
        <f t="shared" si="20"/>
        <v>319526.40444444417</v>
      </c>
      <c r="AE76" s="11">
        <f t="shared" si="20"/>
        <v>923816.71597633231</v>
      </c>
      <c r="AF76" s="11">
        <f t="shared" si="20"/>
        <v>1722959.1479289921</v>
      </c>
      <c r="AG76" s="11">
        <f t="shared" si="20"/>
        <v>9587968.1975308638</v>
      </c>
      <c r="AI76" s="8">
        <f t="shared" si="16"/>
        <v>678.38798784581752</v>
      </c>
    </row>
    <row r="77" spans="1:35" outlineLevel="1" x14ac:dyDescent="0.25">
      <c r="B77" t="s">
        <v>18</v>
      </c>
      <c r="C77" s="11">
        <f t="shared" si="14"/>
        <v>619369</v>
      </c>
      <c r="D77" s="11">
        <f t="shared" si="14"/>
        <v>508844.44444444467</v>
      </c>
      <c r="E77" s="11">
        <f t="shared" si="14"/>
        <v>370637.44000000006</v>
      </c>
      <c r="F77" s="11">
        <f t="shared" si="14"/>
        <v>335163.80444444437</v>
      </c>
      <c r="G77" s="11">
        <f t="shared" si="14"/>
        <v>150027.11111111107</v>
      </c>
      <c r="H77" s="11">
        <f t="shared" si="14"/>
        <v>80921.284444444391</v>
      </c>
      <c r="I77" s="11">
        <f t="shared" si="14"/>
        <v>33294.084444444452</v>
      </c>
      <c r="J77" s="11">
        <f t="shared" si="14"/>
        <v>246876.48444444456</v>
      </c>
      <c r="K77" s="11">
        <f t="shared" si="14"/>
        <v>220148.64000000004</v>
      </c>
      <c r="L77" s="11">
        <f t="shared" si="14"/>
        <v>29790.760000000046</v>
      </c>
      <c r="M77" s="11">
        <f t="shared" si="14"/>
        <v>2690.1511111110999</v>
      </c>
      <c r="N77" s="11">
        <f t="shared" si="14"/>
        <v>1398.7599999999898</v>
      </c>
      <c r="O77" s="11">
        <f t="shared" si="14"/>
        <v>5097.9600000000128</v>
      </c>
      <c r="P77" s="11">
        <f t="shared" si="14"/>
        <v>4909.3377777777696</v>
      </c>
      <c r="Q77" s="11">
        <f t="shared" si="14"/>
        <v>6157.0177777777471</v>
      </c>
      <c r="R77" s="11">
        <f t="shared" ref="R77:AG77" si="21">(R68-R$61)^2</f>
        <v>245.44444444444682</v>
      </c>
      <c r="S77" s="11">
        <f t="shared" si="21"/>
        <v>96555.204444444316</v>
      </c>
      <c r="T77" s="11">
        <f t="shared" si="21"/>
        <v>14448.040000000066</v>
      </c>
      <c r="U77" s="11">
        <f t="shared" si="21"/>
        <v>3121.0844444444579</v>
      </c>
      <c r="V77" s="11">
        <f t="shared" si="21"/>
        <v>4900</v>
      </c>
      <c r="W77" s="11">
        <f t="shared" si="21"/>
        <v>1843.2711111111164</v>
      </c>
      <c r="X77" s="11">
        <f t="shared" si="21"/>
        <v>4364.8044444444968</v>
      </c>
      <c r="Y77" s="11">
        <f t="shared" si="21"/>
        <v>4285.8844444444485</v>
      </c>
      <c r="Z77" s="11">
        <f t="shared" si="21"/>
        <v>513.77777777777089</v>
      </c>
      <c r="AA77" s="11">
        <f t="shared" si="21"/>
        <v>40938.777777777657</v>
      </c>
      <c r="AB77" s="11">
        <f t="shared" si="21"/>
        <v>219585.9599999999</v>
      </c>
      <c r="AC77" s="11">
        <f t="shared" si="21"/>
        <v>383656.35999999952</v>
      </c>
      <c r="AD77" s="11">
        <f t="shared" si="21"/>
        <v>1421817.7600000014</v>
      </c>
      <c r="AE77" s="11">
        <f t="shared" si="21"/>
        <v>514640.68639053236</v>
      </c>
      <c r="AF77" s="11">
        <f t="shared" si="21"/>
        <v>120943.43786982229</v>
      </c>
      <c r="AG77" s="11">
        <f t="shared" si="21"/>
        <v>356408.99999999889</v>
      </c>
      <c r="AI77" s="8">
        <f t="shared" si="16"/>
        <v>432.68090653018425</v>
      </c>
    </row>
    <row r="78" spans="1:35" outlineLevel="1" x14ac:dyDescent="0.25">
      <c r="B78" t="s">
        <v>23</v>
      </c>
      <c r="C78" s="11">
        <f t="shared" si="14"/>
        <v>239.21777777777871</v>
      </c>
      <c r="D78" s="11">
        <f t="shared" si="14"/>
        <v>3608.0044444444438</v>
      </c>
      <c r="E78" s="11">
        <f t="shared" si="14"/>
        <v>9933.4444444444598</v>
      </c>
      <c r="F78" s="11">
        <f t="shared" si="14"/>
        <v>66.151111111110993</v>
      </c>
      <c r="G78" s="11">
        <f t="shared" si="14"/>
        <v>2278.4711111111124</v>
      </c>
      <c r="H78" s="11">
        <f t="shared" si="14"/>
        <v>284.4844444444447</v>
      </c>
      <c r="I78" s="11">
        <f t="shared" si="14"/>
        <v>563.27111111111185</v>
      </c>
      <c r="J78" s="11">
        <f t="shared" si="14"/>
        <v>107934.15111111109</v>
      </c>
      <c r="K78" s="11">
        <f t="shared" si="14"/>
        <v>56105.817777777833</v>
      </c>
      <c r="L78" s="11">
        <f t="shared" si="14"/>
        <v>247.53777777777825</v>
      </c>
      <c r="M78" s="11">
        <f t="shared" si="14"/>
        <v>2316.8177777777878</v>
      </c>
      <c r="N78" s="11">
        <f t="shared" si="14"/>
        <v>4462.2400000000243</v>
      </c>
      <c r="O78" s="11">
        <f t="shared" si="14"/>
        <v>1469.4444444444387</v>
      </c>
      <c r="P78" s="11">
        <f t="shared" si="14"/>
        <v>4909.3377777777696</v>
      </c>
      <c r="Q78" s="11">
        <f t="shared" si="14"/>
        <v>6157.0177777777471</v>
      </c>
      <c r="R78" s="11">
        <f t="shared" ref="R78:AG78" si="22">(R69-R$61)^2</f>
        <v>245.44444444444682</v>
      </c>
      <c r="S78" s="11">
        <f t="shared" si="22"/>
        <v>96555.204444444316</v>
      </c>
      <c r="T78" s="11">
        <f t="shared" si="22"/>
        <v>14448.040000000066</v>
      </c>
      <c r="U78" s="11">
        <f t="shared" si="22"/>
        <v>3121.0844444444579</v>
      </c>
      <c r="V78" s="11">
        <f t="shared" si="22"/>
        <v>4900</v>
      </c>
      <c r="W78" s="11">
        <f t="shared" si="22"/>
        <v>1843.2711111111164</v>
      </c>
      <c r="X78" s="11">
        <f t="shared" si="22"/>
        <v>4364.8044444444968</v>
      </c>
      <c r="Y78" s="11">
        <f t="shared" si="22"/>
        <v>4285.8844444444485</v>
      </c>
      <c r="Z78" s="11">
        <f t="shared" si="22"/>
        <v>39072.111111111051</v>
      </c>
      <c r="AA78" s="11">
        <f t="shared" si="22"/>
        <v>320431.47111111105</v>
      </c>
      <c r="AB78" s="11">
        <f t="shared" si="22"/>
        <v>3003.03999999997</v>
      </c>
      <c r="AC78" s="11">
        <f t="shared" si="22"/>
        <v>8836</v>
      </c>
      <c r="AD78" s="11">
        <f t="shared" si="22"/>
        <v>319526.40444444417</v>
      </c>
      <c r="AE78" s="11">
        <f t="shared" si="22"/>
        <v>514640.68639053236</v>
      </c>
      <c r="AF78" s="11">
        <f t="shared" si="22"/>
        <v>120943.43786982229</v>
      </c>
      <c r="AG78" s="11">
        <f t="shared" si="22"/>
        <v>356408.99999999889</v>
      </c>
      <c r="AI78" s="8">
        <f t="shared" si="16"/>
        <v>254.83715819786298</v>
      </c>
    </row>
    <row r="81" spans="23:25" x14ac:dyDescent="0.25">
      <c r="W81" s="5"/>
      <c r="X81" s="5" t="s">
        <v>17</v>
      </c>
      <c r="Y81" s="5" t="s">
        <v>18</v>
      </c>
    </row>
    <row r="82" spans="23:25" x14ac:dyDescent="0.25">
      <c r="W82">
        <v>1</v>
      </c>
      <c r="X82" s="10">
        <v>1</v>
      </c>
      <c r="Y82" s="10">
        <f>1-X82</f>
        <v>0</v>
      </c>
    </row>
    <row r="83" spans="23:25" x14ac:dyDescent="0.25">
      <c r="W83">
        <f>W82+1</f>
        <v>2</v>
      </c>
      <c r="X83" s="10">
        <v>1</v>
      </c>
      <c r="Y83" s="10">
        <f>1-X83</f>
        <v>0</v>
      </c>
    </row>
    <row r="84" spans="23:25" x14ac:dyDescent="0.25">
      <c r="W84">
        <f>W83+1</f>
        <v>3</v>
      </c>
      <c r="X84" s="10">
        <v>1</v>
      </c>
      <c r="Y84" s="10">
        <f>1-X84</f>
        <v>0</v>
      </c>
    </row>
    <row r="85" spans="23:25" x14ac:dyDescent="0.25">
      <c r="W85">
        <f>W84+1</f>
        <v>4</v>
      </c>
      <c r="X85" s="10">
        <v>1</v>
      </c>
      <c r="Y85" s="10">
        <f>1-X85</f>
        <v>0</v>
      </c>
    </row>
    <row r="86" spans="23:25" x14ac:dyDescent="0.25">
      <c r="W86">
        <f>W85+1</f>
        <v>5</v>
      </c>
      <c r="X86" s="10">
        <v>0.8</v>
      </c>
      <c r="Y86" s="10">
        <f>1-X86</f>
        <v>0.19999999999999996</v>
      </c>
    </row>
    <row r="87" spans="23:25" x14ac:dyDescent="0.25">
      <c r="W87">
        <f>W86+1</f>
        <v>6</v>
      </c>
      <c r="X87" s="10">
        <v>0.5</v>
      </c>
      <c r="Y87" s="10">
        <f>1-X87</f>
        <v>0.5</v>
      </c>
    </row>
    <row r="88" spans="23:25" x14ac:dyDescent="0.25">
      <c r="W88">
        <f>W87+1</f>
        <v>7</v>
      </c>
      <c r="X88" s="10">
        <v>0.5</v>
      </c>
      <c r="Y88" s="10">
        <f>1-X88</f>
        <v>0.5</v>
      </c>
    </row>
    <row r="89" spans="23:25" x14ac:dyDescent="0.25">
      <c r="W89">
        <f>W88+1</f>
        <v>8</v>
      </c>
      <c r="X89" s="10">
        <v>0.5</v>
      </c>
      <c r="Y89" s="10">
        <f>1-X89</f>
        <v>0.5</v>
      </c>
    </row>
    <row r="90" spans="23:25" x14ac:dyDescent="0.25">
      <c r="W90">
        <f>W89+1</f>
        <v>9</v>
      </c>
      <c r="X90" s="10">
        <v>0.5</v>
      </c>
      <c r="Y90" s="10">
        <f>1-X90</f>
        <v>0.5</v>
      </c>
    </row>
    <row r="91" spans="23:25" x14ac:dyDescent="0.25">
      <c r="W91">
        <f>W90+1</f>
        <v>10</v>
      </c>
      <c r="X91" s="10">
        <v>0.5</v>
      </c>
      <c r="Y91" s="10">
        <f>1-X91</f>
        <v>0.5</v>
      </c>
    </row>
    <row r="92" spans="23:25" x14ac:dyDescent="0.25">
      <c r="W92">
        <f>W91+1</f>
        <v>11</v>
      </c>
      <c r="X92" s="10">
        <v>0.3</v>
      </c>
      <c r="Y92" s="10">
        <f>1-X92</f>
        <v>0.7</v>
      </c>
    </row>
    <row r="93" spans="23:25" x14ac:dyDescent="0.25">
      <c r="W93">
        <f>W92+1</f>
        <v>12</v>
      </c>
      <c r="X93" s="10">
        <v>0.3</v>
      </c>
      <c r="Y93" s="10">
        <f>1-X93</f>
        <v>0.7</v>
      </c>
    </row>
    <row r="94" spans="23:25" x14ac:dyDescent="0.25">
      <c r="W94">
        <f>W93+1</f>
        <v>13</v>
      </c>
      <c r="X94" s="10">
        <v>0.3</v>
      </c>
      <c r="Y94" s="10">
        <f>1-X94</f>
        <v>0.7</v>
      </c>
    </row>
    <row r="95" spans="23:25" x14ac:dyDescent="0.25">
      <c r="W95">
        <f>W94+1</f>
        <v>14</v>
      </c>
      <c r="X95" s="10">
        <v>0</v>
      </c>
      <c r="Y95" s="10">
        <f>1-X95</f>
        <v>1</v>
      </c>
    </row>
    <row r="96" spans="23:25" x14ac:dyDescent="0.25">
      <c r="W96">
        <f>W95+1</f>
        <v>15</v>
      </c>
      <c r="X96" s="10">
        <v>0</v>
      </c>
      <c r="Y96" s="10">
        <f>1-X96</f>
        <v>1</v>
      </c>
    </row>
    <row r="97" spans="23:25" x14ac:dyDescent="0.25">
      <c r="W97">
        <f>W96+1</f>
        <v>16</v>
      </c>
      <c r="X97" s="10">
        <v>0</v>
      </c>
      <c r="Y97" s="10">
        <f>1-X97</f>
        <v>1</v>
      </c>
    </row>
    <row r="98" spans="23:25" x14ac:dyDescent="0.25">
      <c r="W98">
        <f>W97+1</f>
        <v>17</v>
      </c>
      <c r="X98" s="10">
        <v>0</v>
      </c>
      <c r="Y98" s="10">
        <f>1-X98</f>
        <v>1</v>
      </c>
    </row>
    <row r="99" spans="23:25" x14ac:dyDescent="0.25">
      <c r="W99">
        <f>W98+1</f>
        <v>18</v>
      </c>
      <c r="X99" s="10">
        <v>0</v>
      </c>
      <c r="Y99" s="10">
        <f>1-X99</f>
        <v>1</v>
      </c>
    </row>
    <row r="100" spans="23:25" x14ac:dyDescent="0.25">
      <c r="W100">
        <f>W99+1</f>
        <v>19</v>
      </c>
      <c r="X100" s="10">
        <v>0</v>
      </c>
      <c r="Y100" s="10">
        <f>1-X100</f>
        <v>1</v>
      </c>
    </row>
    <row r="101" spans="23:25" x14ac:dyDescent="0.25">
      <c r="W101">
        <f>W100+1</f>
        <v>20</v>
      </c>
      <c r="X101" s="10">
        <v>0</v>
      </c>
      <c r="Y101" s="10">
        <f>1-X101</f>
        <v>1</v>
      </c>
    </row>
    <row r="102" spans="23:25" x14ac:dyDescent="0.25">
      <c r="W102">
        <f>W101+1</f>
        <v>21</v>
      </c>
      <c r="X102" s="10">
        <v>0</v>
      </c>
      <c r="Y102" s="10">
        <f>1-X102</f>
        <v>1</v>
      </c>
    </row>
    <row r="103" spans="23:25" x14ac:dyDescent="0.25">
      <c r="W103">
        <f>W102+1</f>
        <v>22</v>
      </c>
      <c r="X103" s="10">
        <v>0</v>
      </c>
      <c r="Y103" s="10">
        <f>1-X103</f>
        <v>1</v>
      </c>
    </row>
    <row r="104" spans="23:25" x14ac:dyDescent="0.25">
      <c r="W104">
        <f>W103+1</f>
        <v>23</v>
      </c>
      <c r="X104" s="10">
        <v>0</v>
      </c>
      <c r="Y104" s="10">
        <f>1-X104</f>
        <v>1</v>
      </c>
    </row>
    <row r="105" spans="23:25" x14ac:dyDescent="0.25">
      <c r="W105">
        <f>W104+1</f>
        <v>24</v>
      </c>
      <c r="X105" s="10">
        <v>1</v>
      </c>
      <c r="Y105" s="10">
        <f>1-X105</f>
        <v>0</v>
      </c>
    </row>
    <row r="106" spans="23:25" x14ac:dyDescent="0.25">
      <c r="W106">
        <f>W105+1</f>
        <v>25</v>
      </c>
      <c r="X106" s="10">
        <v>1</v>
      </c>
      <c r="Y106" s="10">
        <f>1-X106</f>
        <v>0</v>
      </c>
    </row>
    <row r="107" spans="23:25" x14ac:dyDescent="0.25">
      <c r="W107">
        <f>W106+1</f>
        <v>26</v>
      </c>
      <c r="X107" s="10">
        <v>1</v>
      </c>
      <c r="Y107" s="10">
        <f>1-X107</f>
        <v>0</v>
      </c>
    </row>
    <row r="108" spans="23:25" x14ac:dyDescent="0.25">
      <c r="W108">
        <f>W107+1</f>
        <v>27</v>
      </c>
      <c r="X108" s="10">
        <v>1</v>
      </c>
      <c r="Y108" s="10">
        <f>1-X108</f>
        <v>0</v>
      </c>
    </row>
    <row r="109" spans="23:25" x14ac:dyDescent="0.25">
      <c r="W109">
        <f>W108+1</f>
        <v>28</v>
      </c>
      <c r="X109" s="10">
        <v>1</v>
      </c>
      <c r="Y109" s="10">
        <f>1-X109</f>
        <v>0</v>
      </c>
    </row>
    <row r="110" spans="23:25" x14ac:dyDescent="0.25">
      <c r="W110">
        <f>W109+1</f>
        <v>29</v>
      </c>
      <c r="X110" s="10">
        <v>0</v>
      </c>
      <c r="Y110" s="10">
        <f>1-X110</f>
        <v>1</v>
      </c>
    </row>
    <row r="111" spans="23:25" x14ac:dyDescent="0.25">
      <c r="W111">
        <f>W110+1</f>
        <v>30</v>
      </c>
      <c r="X111" s="10">
        <v>0</v>
      </c>
      <c r="Y111" s="10">
        <f>1-X111</f>
        <v>1</v>
      </c>
    </row>
    <row r="112" spans="23:25" x14ac:dyDescent="0.25">
      <c r="W112">
        <f>W111+1</f>
        <v>31</v>
      </c>
      <c r="X112" s="10">
        <v>0</v>
      </c>
      <c r="Y112" s="10">
        <f>1-X112</f>
        <v>1</v>
      </c>
    </row>
  </sheetData>
  <phoneticPr fontId="3" type="noConversion"/>
  <conditionalFormatting sqref="S16:S2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{BA440AAF-89E2-4EF8-9DFB-4B22BAB2B970}</x14:id>
        </ext>
      </extLst>
    </cfRule>
  </conditionalFormatting>
  <conditionalFormatting sqref="AI71:AI7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{A3FF20E9-3889-497B-BFC3-4911E539C39E}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440AAF-89E2-4EF8-9DFB-4B22BAB2B9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S16:S23</xm:sqref>
        </x14:conditionalFormatting>
        <x14:conditionalFormatting xmlns:xm="http://schemas.microsoft.com/office/excel/2006/main">
          <x14:cfRule type="dataBar" id="{A3FF20E9-3889-497B-BFC3-4911E539C3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AI71:AI78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28D5-E78B-4B73-B990-591C587F86FC}">
  <dimension ref="A1:Y459"/>
  <sheetViews>
    <sheetView showGridLines="0" tabSelected="1" topLeftCell="N1" workbookViewId="0">
      <pane ySplit="1" topLeftCell="A417" activePane="bottomLeft" state="frozen"/>
      <selection pane="bottomLeft" activeCell="AF459" sqref="AF459"/>
    </sheetView>
  </sheetViews>
  <sheetFormatPr defaultRowHeight="15" x14ac:dyDescent="0.25"/>
  <cols>
    <col min="1" max="1" width="14.5703125" bestFit="1" customWidth="1"/>
    <col min="5" max="5" width="10.42578125" bestFit="1" customWidth="1"/>
    <col min="22" max="24" width="11.42578125" bestFit="1" customWidth="1"/>
    <col min="25" max="25" width="11" customWidth="1"/>
  </cols>
  <sheetData>
    <row r="1" spans="1:14" s="5" customFormat="1" x14ac:dyDescent="0.25">
      <c r="A1" s="9" t="s">
        <v>7</v>
      </c>
      <c r="B1" s="9" t="s">
        <v>8</v>
      </c>
      <c r="C1" s="9" t="s">
        <v>9</v>
      </c>
      <c r="D1" s="9" t="s">
        <v>10</v>
      </c>
      <c r="E1" s="9" t="s">
        <v>6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23</v>
      </c>
    </row>
    <row r="2" spans="1:14" x14ac:dyDescent="0.25">
      <c r="A2" s="3">
        <v>45658</v>
      </c>
      <c r="B2">
        <f>YEAR($A2)</f>
        <v>2025</v>
      </c>
      <c r="C2">
        <f>MONTH($A2)</f>
        <v>1</v>
      </c>
      <c r="D2">
        <f>DAY($A2)</f>
        <v>1</v>
      </c>
      <c r="E2" s="2">
        <f>DATE($B2,$C2,1)-1</f>
        <v>45657</v>
      </c>
      <c r="F2" s="12">
        <f>_xlfn.XLOOKUP($A2,m1_cv!$B:$B,m1_cv!$C:$C)</f>
        <v>90</v>
      </c>
      <c r="G2">
        <f>MAX(0,ROUND(SUMIFS(m1_cv!$E:$E,m1_cv!$A:$A,$E2,m1_cv!$B:$B,$A2),0))</f>
        <v>3522</v>
      </c>
      <c r="H2">
        <f>MAX(0,ROUND(SUMIFS(m2_cv!$E:$E,m2_cv!$A:$A,$E2,m2_cv!$B:$B,$A2),0))</f>
        <v>4096</v>
      </c>
      <c r="I2">
        <f>MAX(0,ROUND(SUMIFS(m3_cv!$E:$E,m3_cv!$A:$A,$E2,m3_cv!$B:$B,$A2),0))</f>
        <v>2895</v>
      </c>
      <c r="J2">
        <f>MAX(0,ROUND(SUMIFS(m4_cv!$E:$E,m4_cv!$A:$A,$E2,m4_cv!$B:$B,$A2),0))</f>
        <v>2889</v>
      </c>
      <c r="K2">
        <f>MAX(0,ROUND(SUMIFS(m5_cv!$E:$E,m5_cv!$A:$A,$E2,m5_cv!$B:$B,$A2),0))</f>
        <v>642</v>
      </c>
      <c r="L2">
        <f>MAX(0,ROUND(SUMIFS(m6_cv!$E:$E,m6_cv!$A:$A,$E2,m6_cv!$B:$B,$A2),0))</f>
        <v>94</v>
      </c>
      <c r="M2">
        <f>MAX(0,ROUND(SUMIFS(m7_cv!$E:$E,m7_cv!$A:$A,$E2,m7_cv!$B:$B,$A2),0))</f>
        <v>536</v>
      </c>
      <c r="N2">
        <f>ROUND(_xlfn.XLOOKUP($D2,Charts!$W$82:$W$112,Charts!$X$82:$X$112)*$L2+_xlfn.XLOOKUP($D2,Charts!$W$82:$W$112,Charts!$Y$82:$Y$112)*$M2,0)</f>
        <v>94</v>
      </c>
    </row>
    <row r="3" spans="1:14" x14ac:dyDescent="0.25">
      <c r="A3" s="3">
        <f>A2+1</f>
        <v>45659</v>
      </c>
      <c r="B3">
        <f t="shared" ref="B3:B66" si="0">YEAR(A3)</f>
        <v>2025</v>
      </c>
      <c r="C3">
        <f t="shared" ref="C3:C66" si="1">MONTH($A3)</f>
        <v>1</v>
      </c>
      <c r="D3">
        <f t="shared" ref="D3:D66" si="2">DAY($A3)</f>
        <v>2</v>
      </c>
      <c r="E3" s="2">
        <f t="shared" ref="E3:E66" si="3">DATE($B3,$C3,1)-1</f>
        <v>45657</v>
      </c>
      <c r="F3" s="12">
        <f>_xlfn.XLOOKUP($A3,m1_cv!$B:$B,m1_cv!$C:$C)</f>
        <v>541</v>
      </c>
      <c r="G3">
        <f>MAX(0,ROUND(SUMIFS(m1_cv!$E:$E,m1_cv!$A:$A,$E3,m1_cv!$B:$B,$A3),0))</f>
        <v>3467</v>
      </c>
      <c r="H3">
        <f>MAX(0,ROUND(SUMIFS(m2_cv!$E:$E,m2_cv!$A:$A,$E3,m2_cv!$B:$B,$A3),0))</f>
        <v>2253</v>
      </c>
      <c r="I3">
        <f>MAX(0,ROUND(SUMIFS(m3_cv!$E:$E,m3_cv!$A:$A,$E3,m3_cv!$B:$B,$A3),0))</f>
        <v>2572</v>
      </c>
      <c r="J3">
        <f>MAX(0,ROUND(SUMIFS(m4_cv!$E:$E,m4_cv!$A:$A,$E3,m4_cv!$B:$B,$A3),0))</f>
        <v>2563</v>
      </c>
      <c r="K3">
        <f>MAX(0,ROUND(SUMIFS(m5_cv!$E:$E,m5_cv!$A:$A,$E3,m5_cv!$B:$B,$A3),0))</f>
        <v>1719</v>
      </c>
      <c r="L3">
        <f>MAX(0,ROUND(SUMIFS(m6_cv!$E:$E,m6_cv!$A:$A,$E3,m6_cv!$B:$B,$A3),0))</f>
        <v>556</v>
      </c>
      <c r="M3">
        <f>MAX(0,ROUND(SUMIFS(m7_cv!$E:$E,m7_cv!$A:$A,$E3,m7_cv!$B:$B,$A3),0))</f>
        <v>1817</v>
      </c>
      <c r="N3">
        <f>ROUND(_xlfn.XLOOKUP($D3,Charts!$W$82:$W$112,Charts!$X$82:$X$112)*$L3+_xlfn.XLOOKUP($D3,Charts!$W$82:$W$112,Charts!$Y$82:$Y$112)*$M3,0)</f>
        <v>556</v>
      </c>
    </row>
    <row r="4" spans="1:14" x14ac:dyDescent="0.25">
      <c r="A4" s="3">
        <f t="shared" ref="A4:A67" si="4">A3+1</f>
        <v>45660</v>
      </c>
      <c r="B4">
        <f t="shared" si="0"/>
        <v>2025</v>
      </c>
      <c r="C4">
        <f t="shared" si="1"/>
        <v>1</v>
      </c>
      <c r="D4">
        <f t="shared" si="2"/>
        <v>3</v>
      </c>
      <c r="E4" s="2">
        <f t="shared" si="3"/>
        <v>45657</v>
      </c>
      <c r="F4" s="12">
        <f>_xlfn.XLOOKUP($A4,m1_cv!$B:$B,m1_cv!$C:$C)</f>
        <v>563</v>
      </c>
      <c r="G4">
        <f>MAX(0,ROUND(SUMIFS(m1_cv!$E:$E,m1_cv!$A:$A,$E4,m1_cv!$B:$B,$A4),0))</f>
        <v>3307</v>
      </c>
      <c r="H4">
        <f>MAX(0,ROUND(SUMIFS(m2_cv!$E:$E,m2_cv!$A:$A,$E4,m2_cv!$B:$B,$A4),0))</f>
        <v>1153</v>
      </c>
      <c r="I4">
        <f>MAX(0,ROUND(SUMIFS(m3_cv!$E:$E,m3_cv!$A:$A,$E4,m3_cv!$B:$B,$A4),0))</f>
        <v>1356</v>
      </c>
      <c r="J4">
        <f>MAX(0,ROUND(SUMIFS(m4_cv!$E:$E,m4_cv!$A:$A,$E4,m4_cv!$B:$B,$A4),0))</f>
        <v>1348</v>
      </c>
      <c r="K4">
        <f>MAX(0,ROUND(SUMIFS(m5_cv!$E:$E,m5_cv!$A:$A,$E4,m5_cv!$B:$B,$A4),0))</f>
        <v>1735</v>
      </c>
      <c r="L4">
        <f>MAX(0,ROUND(SUMIFS(m6_cv!$E:$E,m6_cv!$A:$A,$E4,m6_cv!$B:$B,$A4),0))</f>
        <v>649</v>
      </c>
      <c r="M4">
        <f>MAX(0,ROUND(SUMIFS(m7_cv!$E:$E,m7_cv!$A:$A,$E4,m7_cv!$B:$B,$A4),0))</f>
        <v>1861</v>
      </c>
      <c r="N4">
        <f>ROUND(_xlfn.XLOOKUP($D4,Charts!$W$82:$W$112,Charts!$X$82:$X$112)*$L4+_xlfn.XLOOKUP($D4,Charts!$W$82:$W$112,Charts!$Y$82:$Y$112)*$M4,0)</f>
        <v>649</v>
      </c>
    </row>
    <row r="5" spans="1:14" x14ac:dyDescent="0.25">
      <c r="A5" s="3">
        <f t="shared" si="4"/>
        <v>45661</v>
      </c>
      <c r="B5">
        <f t="shared" si="0"/>
        <v>2025</v>
      </c>
      <c r="C5">
        <f t="shared" si="1"/>
        <v>1</v>
      </c>
      <c r="D5">
        <f t="shared" si="2"/>
        <v>4</v>
      </c>
      <c r="E5" s="2">
        <f t="shared" si="3"/>
        <v>45657</v>
      </c>
      <c r="F5" s="12">
        <f>_xlfn.XLOOKUP($A5,m1_cv!$B:$B,m1_cv!$C:$C)</f>
        <v>42</v>
      </c>
      <c r="G5">
        <f>MAX(0,ROUND(SUMIFS(m1_cv!$E:$E,m1_cv!$A:$A,$E5,m1_cv!$B:$B,$A5),0))</f>
        <v>1098</v>
      </c>
      <c r="H5">
        <f>MAX(0,ROUND(SUMIFS(m2_cv!$E:$E,m2_cv!$A:$A,$E5,m2_cv!$B:$B,$A5),0))</f>
        <v>0</v>
      </c>
      <c r="I5">
        <f>MAX(0,ROUND(SUMIFS(m3_cv!$E:$E,m3_cv!$A:$A,$E5,m3_cv!$B:$B,$A5),0))</f>
        <v>0</v>
      </c>
      <c r="J5">
        <f>MAX(0,ROUND(SUMIFS(m4_cv!$E:$E,m4_cv!$A:$A,$E5,m4_cv!$B:$B,$A5),0))</f>
        <v>0</v>
      </c>
      <c r="K5">
        <f>MAX(0,ROUND(SUMIFS(m5_cv!$E:$E,m5_cv!$A:$A,$E5,m5_cv!$B:$B,$A5),0))</f>
        <v>0</v>
      </c>
      <c r="L5">
        <f>MAX(0,ROUND(SUMIFS(m6_cv!$E:$E,m6_cv!$A:$A,$E5,m6_cv!$B:$B,$A5),0))</f>
        <v>112</v>
      </c>
      <c r="M5">
        <f>MAX(0,ROUND(SUMIFS(m7_cv!$E:$E,m7_cv!$A:$A,$E5,m7_cv!$B:$B,$A5),0))</f>
        <v>0</v>
      </c>
      <c r="N5">
        <f>ROUND(_xlfn.XLOOKUP($D5,Charts!$W$82:$W$112,Charts!$X$82:$X$112)*$L5+_xlfn.XLOOKUP($D5,Charts!$W$82:$W$112,Charts!$Y$82:$Y$112)*$M5,0)</f>
        <v>112</v>
      </c>
    </row>
    <row r="6" spans="1:14" x14ac:dyDescent="0.25">
      <c r="A6" s="3">
        <f t="shared" si="4"/>
        <v>45662</v>
      </c>
      <c r="B6">
        <f t="shared" si="0"/>
        <v>2025</v>
      </c>
      <c r="C6">
        <f t="shared" si="1"/>
        <v>1</v>
      </c>
      <c r="D6">
        <f t="shared" si="2"/>
        <v>5</v>
      </c>
      <c r="E6" s="2">
        <f t="shared" si="3"/>
        <v>45657</v>
      </c>
      <c r="F6" s="12">
        <f>_xlfn.XLOOKUP($A6,m1_cv!$B:$B,m1_cv!$C:$C)</f>
        <v>22</v>
      </c>
      <c r="G6">
        <f>MAX(0,ROUND(SUMIFS(m1_cv!$E:$E,m1_cv!$A:$A,$E6,m1_cv!$B:$B,$A6),0))</f>
        <v>505</v>
      </c>
      <c r="H6">
        <f>MAX(0,ROUND(SUMIFS(m2_cv!$E:$E,m2_cv!$A:$A,$E6,m2_cv!$B:$B,$A6),0))</f>
        <v>0</v>
      </c>
      <c r="I6">
        <f>MAX(0,ROUND(SUMIFS(m3_cv!$E:$E,m3_cv!$A:$A,$E6,m3_cv!$B:$B,$A6),0))</f>
        <v>0</v>
      </c>
      <c r="J6">
        <f>MAX(0,ROUND(SUMIFS(m4_cv!$E:$E,m4_cv!$A:$A,$E6,m4_cv!$B:$B,$A6),0))</f>
        <v>0</v>
      </c>
      <c r="K6">
        <f>MAX(0,ROUND(SUMIFS(m5_cv!$E:$E,m5_cv!$A:$A,$E6,m5_cv!$B:$B,$A6),0))</f>
        <v>0</v>
      </c>
      <c r="L6">
        <f>MAX(0,ROUND(SUMIFS(m6_cv!$E:$E,m6_cv!$A:$A,$E6,m6_cv!$B:$B,$A6),0))</f>
        <v>49</v>
      </c>
      <c r="M6">
        <f>MAX(0,ROUND(SUMIFS(m7_cv!$E:$E,m7_cv!$A:$A,$E6,m7_cv!$B:$B,$A6),0))</f>
        <v>0</v>
      </c>
      <c r="N6">
        <f>ROUND(_xlfn.XLOOKUP($D6,Charts!$W$82:$W$112,Charts!$X$82:$X$112)*$L6+_xlfn.XLOOKUP($D6,Charts!$W$82:$W$112,Charts!$Y$82:$Y$112)*$M6,0)</f>
        <v>39</v>
      </c>
    </row>
    <row r="7" spans="1:14" x14ac:dyDescent="0.25">
      <c r="A7" s="3">
        <f t="shared" si="4"/>
        <v>45663</v>
      </c>
      <c r="B7">
        <f t="shared" si="0"/>
        <v>2025</v>
      </c>
      <c r="C7">
        <f t="shared" si="1"/>
        <v>1</v>
      </c>
      <c r="D7">
        <f t="shared" si="2"/>
        <v>6</v>
      </c>
      <c r="E7" s="2">
        <f t="shared" si="3"/>
        <v>45657</v>
      </c>
      <c r="F7" s="12">
        <f>_xlfn.XLOOKUP($A7,m1_cv!$B:$B,m1_cv!$C:$C)</f>
        <v>533</v>
      </c>
      <c r="G7">
        <f>MAX(0,ROUND(SUMIFS(m1_cv!$E:$E,m1_cv!$A:$A,$E7,m1_cv!$B:$B,$A7),0))</f>
        <v>2745</v>
      </c>
      <c r="H7">
        <f>MAX(0,ROUND(SUMIFS(m2_cv!$E:$E,m2_cv!$A:$A,$E7,m2_cv!$B:$B,$A7),0))</f>
        <v>1504</v>
      </c>
      <c r="I7">
        <f>MAX(0,ROUND(SUMIFS(m3_cv!$E:$E,m3_cv!$A:$A,$E7,m3_cv!$B:$B,$A7),0))</f>
        <v>1781</v>
      </c>
      <c r="J7">
        <f>MAX(0,ROUND(SUMIFS(m4_cv!$E:$E,m4_cv!$A:$A,$E7,m4_cv!$B:$B,$A7),0))</f>
        <v>1771</v>
      </c>
      <c r="K7">
        <f>MAX(0,ROUND(SUMIFS(m5_cv!$E:$E,m5_cv!$A:$A,$E7,m5_cv!$B:$B,$A7),0))</f>
        <v>1407</v>
      </c>
      <c r="L7">
        <f>MAX(0,ROUND(SUMIFS(m6_cv!$E:$E,m6_cv!$A:$A,$E7,m6_cv!$B:$B,$A7),0))</f>
        <v>606</v>
      </c>
      <c r="M7">
        <f>MAX(0,ROUND(SUMIFS(m7_cv!$E:$E,m7_cv!$A:$A,$E7,m7_cv!$B:$B,$A7),0))</f>
        <v>1439</v>
      </c>
      <c r="N7">
        <f>ROUND(_xlfn.XLOOKUP($D7,Charts!$W$82:$W$112,Charts!$X$82:$X$112)*$L7+_xlfn.XLOOKUP($D7,Charts!$W$82:$W$112,Charts!$Y$82:$Y$112)*$M7,0)</f>
        <v>1023</v>
      </c>
    </row>
    <row r="8" spans="1:14" x14ac:dyDescent="0.25">
      <c r="A8" s="3">
        <f t="shared" si="4"/>
        <v>45664</v>
      </c>
      <c r="B8">
        <f t="shared" si="0"/>
        <v>2025</v>
      </c>
      <c r="C8">
        <f t="shared" si="1"/>
        <v>1</v>
      </c>
      <c r="D8">
        <f t="shared" si="2"/>
        <v>7</v>
      </c>
      <c r="E8" s="2">
        <f t="shared" si="3"/>
        <v>45657</v>
      </c>
      <c r="F8" s="12">
        <f>_xlfn.XLOOKUP($A8,m1_cv!$B:$B,m1_cv!$C:$C)</f>
        <v>712</v>
      </c>
      <c r="G8">
        <f>MAX(0,ROUND(SUMIFS(m1_cv!$E:$E,m1_cv!$A:$A,$E8,m1_cv!$B:$B,$A8),0))</f>
        <v>3284</v>
      </c>
      <c r="H8">
        <f>MAX(0,ROUND(SUMIFS(m2_cv!$E:$E,m2_cv!$A:$A,$E8,m2_cv!$B:$B,$A8),0))</f>
        <v>2043</v>
      </c>
      <c r="I8">
        <f>MAX(0,ROUND(SUMIFS(m3_cv!$E:$E,m3_cv!$A:$A,$E8,m3_cv!$B:$B,$A8),0))</f>
        <v>2024</v>
      </c>
      <c r="J8">
        <f>MAX(0,ROUND(SUMIFS(m4_cv!$E:$E,m4_cv!$A:$A,$E8,m4_cv!$B:$B,$A8),0))</f>
        <v>2016</v>
      </c>
      <c r="K8">
        <f>MAX(0,ROUND(SUMIFS(m5_cv!$E:$E,m5_cv!$A:$A,$E8,m5_cv!$B:$B,$A8),0))</f>
        <v>1505</v>
      </c>
      <c r="L8">
        <f>MAX(0,ROUND(SUMIFS(m6_cv!$E:$E,m6_cv!$A:$A,$E8,m6_cv!$B:$B,$A8),0))</f>
        <v>706</v>
      </c>
      <c r="M8">
        <f>MAX(0,ROUND(SUMIFS(m7_cv!$E:$E,m7_cv!$A:$A,$E8,m7_cv!$B:$B,$A8),0))</f>
        <v>1636</v>
      </c>
      <c r="N8">
        <f>ROUND(_xlfn.XLOOKUP($D8,Charts!$W$82:$W$112,Charts!$X$82:$X$112)*$L8+_xlfn.XLOOKUP($D8,Charts!$W$82:$W$112,Charts!$Y$82:$Y$112)*$M8,0)</f>
        <v>1171</v>
      </c>
    </row>
    <row r="9" spans="1:14" x14ac:dyDescent="0.25">
      <c r="A9" s="3">
        <f t="shared" si="4"/>
        <v>45665</v>
      </c>
      <c r="B9">
        <f t="shared" si="0"/>
        <v>2025</v>
      </c>
      <c r="C9">
        <f t="shared" si="1"/>
        <v>1</v>
      </c>
      <c r="D9">
        <f t="shared" si="2"/>
        <v>8</v>
      </c>
      <c r="E9" s="2">
        <f t="shared" si="3"/>
        <v>45657</v>
      </c>
      <c r="F9" s="12">
        <f>_xlfn.XLOOKUP($A9,m1_cv!$B:$B,m1_cv!$C:$C)</f>
        <v>904</v>
      </c>
      <c r="G9">
        <f>MAX(0,ROUND(SUMIFS(m1_cv!$E:$E,m1_cv!$A:$A,$E9,m1_cv!$B:$B,$A9),0))</f>
        <v>3230</v>
      </c>
      <c r="H9">
        <f>MAX(0,ROUND(SUMIFS(m2_cv!$E:$E,m2_cv!$A:$A,$E9,m2_cv!$B:$B,$A9),0))</f>
        <v>1850</v>
      </c>
      <c r="I9">
        <f>MAX(0,ROUND(SUMIFS(m3_cv!$E:$E,m3_cv!$A:$A,$E9,m3_cv!$B:$B,$A9),0))</f>
        <v>1871</v>
      </c>
      <c r="J9">
        <f>MAX(0,ROUND(SUMIFS(m4_cv!$E:$E,m4_cv!$A:$A,$E9,m4_cv!$B:$B,$A9),0))</f>
        <v>1860</v>
      </c>
      <c r="K9">
        <f>MAX(0,ROUND(SUMIFS(m5_cv!$E:$E,m5_cv!$A:$A,$E9,m5_cv!$B:$B,$A9),0))</f>
        <v>2143</v>
      </c>
      <c r="L9">
        <f>MAX(0,ROUND(SUMIFS(m6_cv!$E:$E,m6_cv!$A:$A,$E9,m6_cv!$B:$B,$A9),0))</f>
        <v>1300</v>
      </c>
      <c r="M9">
        <f>MAX(0,ROUND(SUMIFS(m7_cv!$E:$E,m7_cv!$A:$A,$E9,m7_cv!$B:$B,$A9),0))</f>
        <v>2181</v>
      </c>
      <c r="N9">
        <f>ROUND(_xlfn.XLOOKUP($D9,Charts!$W$82:$W$112,Charts!$X$82:$X$112)*$L9+_xlfn.XLOOKUP($D9,Charts!$W$82:$W$112,Charts!$Y$82:$Y$112)*$M9,0)</f>
        <v>1741</v>
      </c>
    </row>
    <row r="10" spans="1:14" x14ac:dyDescent="0.25">
      <c r="A10" s="3">
        <f t="shared" si="4"/>
        <v>45666</v>
      </c>
      <c r="B10">
        <f t="shared" si="0"/>
        <v>2025</v>
      </c>
      <c r="C10">
        <f t="shared" si="1"/>
        <v>1</v>
      </c>
      <c r="D10">
        <f t="shared" si="2"/>
        <v>9</v>
      </c>
      <c r="E10" s="2">
        <f t="shared" si="3"/>
        <v>45657</v>
      </c>
      <c r="F10" s="12">
        <f>_xlfn.XLOOKUP($A10,m1_cv!$B:$B,m1_cv!$C:$C)</f>
        <v>1135</v>
      </c>
      <c r="G10">
        <f>MAX(0,ROUND(SUMIFS(m1_cv!$E:$E,m1_cv!$A:$A,$E10,m1_cv!$B:$B,$A10),0))</f>
        <v>3181</v>
      </c>
      <c r="H10">
        <f>MAX(0,ROUND(SUMIFS(m2_cv!$E:$E,m2_cv!$A:$A,$E10,m2_cv!$B:$B,$A10),0))</f>
        <v>1773</v>
      </c>
      <c r="I10">
        <f>MAX(0,ROUND(SUMIFS(m3_cv!$E:$E,m3_cv!$A:$A,$E10,m3_cv!$B:$B,$A10),0))</f>
        <v>1784</v>
      </c>
      <c r="J10">
        <f>MAX(0,ROUND(SUMIFS(m4_cv!$E:$E,m4_cv!$A:$A,$E10,m4_cv!$B:$B,$A10),0))</f>
        <v>1773</v>
      </c>
      <c r="K10">
        <f>MAX(0,ROUND(SUMIFS(m5_cv!$E:$E,m5_cv!$A:$A,$E10,m5_cv!$B:$B,$A10),0))</f>
        <v>2064</v>
      </c>
      <c r="L10">
        <f>MAX(0,ROUND(SUMIFS(m6_cv!$E:$E,m6_cv!$A:$A,$E10,m6_cv!$B:$B,$A10),0))</f>
        <v>1317</v>
      </c>
      <c r="M10">
        <f>MAX(0,ROUND(SUMIFS(m7_cv!$E:$E,m7_cv!$A:$A,$E10,m7_cv!$B:$B,$A10),0))</f>
        <v>1983</v>
      </c>
      <c r="N10">
        <f>ROUND(_xlfn.XLOOKUP($D10,Charts!$W$82:$W$112,Charts!$X$82:$X$112)*$L10+_xlfn.XLOOKUP($D10,Charts!$W$82:$W$112,Charts!$Y$82:$Y$112)*$M10,0)</f>
        <v>1650</v>
      </c>
    </row>
    <row r="11" spans="1:14" x14ac:dyDescent="0.25">
      <c r="A11" s="3">
        <f t="shared" si="4"/>
        <v>45667</v>
      </c>
      <c r="B11">
        <f t="shared" si="0"/>
        <v>2025</v>
      </c>
      <c r="C11">
        <f t="shared" si="1"/>
        <v>1</v>
      </c>
      <c r="D11">
        <f t="shared" si="2"/>
        <v>10</v>
      </c>
      <c r="E11" s="2">
        <f t="shared" si="3"/>
        <v>45657</v>
      </c>
      <c r="F11" s="12">
        <f>_xlfn.XLOOKUP($A11,m1_cv!$B:$B,m1_cv!$C:$C)</f>
        <v>1270</v>
      </c>
      <c r="G11">
        <f>MAX(0,ROUND(SUMIFS(m1_cv!$E:$E,m1_cv!$A:$A,$E11,m1_cv!$B:$B,$A11),0))</f>
        <v>3030</v>
      </c>
      <c r="H11">
        <f>MAX(0,ROUND(SUMIFS(m2_cv!$E:$E,m2_cv!$A:$A,$E11,m2_cv!$B:$B,$A11),0))</f>
        <v>1814</v>
      </c>
      <c r="I11">
        <f>MAX(0,ROUND(SUMIFS(m3_cv!$E:$E,m3_cv!$A:$A,$E11,m3_cv!$B:$B,$A11),0))</f>
        <v>1785</v>
      </c>
      <c r="J11">
        <f>MAX(0,ROUND(SUMIFS(m4_cv!$E:$E,m4_cv!$A:$A,$E11,m4_cv!$B:$B,$A11),0))</f>
        <v>1775</v>
      </c>
      <c r="K11">
        <f>MAX(0,ROUND(SUMIFS(m5_cv!$E:$E,m5_cv!$A:$A,$E11,m5_cv!$B:$B,$A11),0))</f>
        <v>1944</v>
      </c>
      <c r="L11">
        <f>MAX(0,ROUND(SUMIFS(m6_cv!$E:$E,m6_cv!$A:$A,$E11,m6_cv!$B:$B,$A11),0))</f>
        <v>1210</v>
      </c>
      <c r="M11">
        <f>MAX(0,ROUND(SUMIFS(m7_cv!$E:$E,m7_cv!$A:$A,$E11,m7_cv!$B:$B,$A11),0))</f>
        <v>1913</v>
      </c>
      <c r="N11">
        <f>ROUND(_xlfn.XLOOKUP($D11,Charts!$W$82:$W$112,Charts!$X$82:$X$112)*$L11+_xlfn.XLOOKUP($D11,Charts!$W$82:$W$112,Charts!$Y$82:$Y$112)*$M11,0)</f>
        <v>1562</v>
      </c>
    </row>
    <row r="12" spans="1:14" x14ac:dyDescent="0.25">
      <c r="A12" s="3">
        <f t="shared" si="4"/>
        <v>45668</v>
      </c>
      <c r="B12">
        <f t="shared" si="0"/>
        <v>2025</v>
      </c>
      <c r="C12">
        <f t="shared" si="1"/>
        <v>1</v>
      </c>
      <c r="D12">
        <f t="shared" si="2"/>
        <v>11</v>
      </c>
      <c r="E12" s="2">
        <f t="shared" si="3"/>
        <v>45657</v>
      </c>
      <c r="F12" s="12">
        <f>_xlfn.XLOOKUP($A12,m1_cv!$B:$B,m1_cv!$C:$C)</f>
        <v>203</v>
      </c>
      <c r="G12">
        <f>MAX(0,ROUND(SUMIFS(m1_cv!$E:$E,m1_cv!$A:$A,$E12,m1_cv!$B:$B,$A12),0))</f>
        <v>834</v>
      </c>
      <c r="H12">
        <f>MAX(0,ROUND(SUMIFS(m2_cv!$E:$E,m2_cv!$A:$A,$E12,m2_cv!$B:$B,$A12),0))</f>
        <v>0</v>
      </c>
      <c r="I12">
        <f>MAX(0,ROUND(SUMIFS(m3_cv!$E:$E,m3_cv!$A:$A,$E12,m3_cv!$B:$B,$A12),0))</f>
        <v>0</v>
      </c>
      <c r="J12">
        <f>MAX(0,ROUND(SUMIFS(m4_cv!$E:$E,m4_cv!$A:$A,$E12,m4_cv!$B:$B,$A12),0))</f>
        <v>0</v>
      </c>
      <c r="K12">
        <f>MAX(0,ROUND(SUMIFS(m5_cv!$E:$E,m5_cv!$A:$A,$E12,m5_cv!$B:$B,$A12),0))</f>
        <v>0</v>
      </c>
      <c r="L12">
        <f>MAX(0,ROUND(SUMIFS(m6_cv!$E:$E,m6_cv!$A:$A,$E12,m6_cv!$B:$B,$A12),0))</f>
        <v>225</v>
      </c>
      <c r="M12">
        <f>MAX(0,ROUND(SUMIFS(m7_cv!$E:$E,m7_cv!$A:$A,$E12,m7_cv!$B:$B,$A12),0))</f>
        <v>0</v>
      </c>
      <c r="N12">
        <f>ROUND(_xlfn.XLOOKUP($D12,Charts!$W$82:$W$112,Charts!$X$82:$X$112)*$L12+_xlfn.XLOOKUP($D12,Charts!$W$82:$W$112,Charts!$Y$82:$Y$112)*$M12,0)</f>
        <v>68</v>
      </c>
    </row>
    <row r="13" spans="1:14" x14ac:dyDescent="0.25">
      <c r="A13" s="3">
        <f t="shared" si="4"/>
        <v>45669</v>
      </c>
      <c r="B13">
        <f t="shared" si="0"/>
        <v>2025</v>
      </c>
      <c r="C13">
        <f t="shared" si="1"/>
        <v>1</v>
      </c>
      <c r="D13">
        <f t="shared" si="2"/>
        <v>12</v>
      </c>
      <c r="E13" s="2">
        <f t="shared" si="3"/>
        <v>45657</v>
      </c>
      <c r="F13" s="12">
        <f>_xlfn.XLOOKUP($A13,m1_cv!$B:$B,m1_cv!$C:$C)</f>
        <v>41</v>
      </c>
      <c r="G13">
        <f>MAX(0,ROUND(SUMIFS(m1_cv!$E:$E,m1_cv!$A:$A,$E13,m1_cv!$B:$B,$A13),0))</f>
        <v>257</v>
      </c>
      <c r="H13">
        <f>MAX(0,ROUND(SUMIFS(m2_cv!$E:$E,m2_cv!$A:$A,$E13,m2_cv!$B:$B,$A13),0))</f>
        <v>0</v>
      </c>
      <c r="I13">
        <f>MAX(0,ROUND(SUMIFS(m3_cv!$E:$E,m3_cv!$A:$A,$E13,m3_cv!$B:$B,$A13),0))</f>
        <v>0</v>
      </c>
      <c r="J13">
        <f>MAX(0,ROUND(SUMIFS(m4_cv!$E:$E,m4_cv!$A:$A,$E13,m4_cv!$B:$B,$A13),0))</f>
        <v>0</v>
      </c>
      <c r="K13">
        <f>MAX(0,ROUND(SUMIFS(m5_cv!$E:$E,m5_cv!$A:$A,$E13,m5_cv!$B:$B,$A13),0))</f>
        <v>0</v>
      </c>
      <c r="L13">
        <f>MAX(0,ROUND(SUMIFS(m6_cv!$E:$E,m6_cv!$A:$A,$E13,m6_cv!$B:$B,$A13),0))</f>
        <v>104</v>
      </c>
      <c r="M13">
        <f>MAX(0,ROUND(SUMIFS(m7_cv!$E:$E,m7_cv!$A:$A,$E13,m7_cv!$B:$B,$A13),0))</f>
        <v>0</v>
      </c>
      <c r="N13">
        <f>ROUND(_xlfn.XLOOKUP($D13,Charts!$W$82:$W$112,Charts!$X$82:$X$112)*$L13+_xlfn.XLOOKUP($D13,Charts!$W$82:$W$112,Charts!$Y$82:$Y$112)*$M13,0)</f>
        <v>31</v>
      </c>
    </row>
    <row r="14" spans="1:14" x14ac:dyDescent="0.25">
      <c r="A14" s="3">
        <f t="shared" si="4"/>
        <v>45670</v>
      </c>
      <c r="B14">
        <f t="shared" si="0"/>
        <v>2025</v>
      </c>
      <c r="C14">
        <f t="shared" si="1"/>
        <v>1</v>
      </c>
      <c r="D14">
        <f t="shared" si="2"/>
        <v>13</v>
      </c>
      <c r="E14" s="2">
        <f t="shared" si="3"/>
        <v>45657</v>
      </c>
      <c r="F14" s="12">
        <f>_xlfn.XLOOKUP($A14,m1_cv!$B:$B,m1_cv!$C:$C)</f>
        <v>1313</v>
      </c>
      <c r="G14">
        <f>MAX(0,ROUND(SUMIFS(m1_cv!$E:$E,m1_cv!$A:$A,$E14,m1_cv!$B:$B,$A14),0))</f>
        <v>2515</v>
      </c>
      <c r="H14">
        <f>MAX(0,ROUND(SUMIFS(m2_cv!$E:$E,m2_cv!$A:$A,$E14,m2_cv!$B:$B,$A14),0))</f>
        <v>1705</v>
      </c>
      <c r="I14">
        <f>MAX(0,ROUND(SUMIFS(m3_cv!$E:$E,m3_cv!$A:$A,$E14,m3_cv!$B:$B,$A14),0))</f>
        <v>1860</v>
      </c>
      <c r="J14">
        <f>MAX(0,ROUND(SUMIFS(m4_cv!$E:$E,m4_cv!$A:$A,$E14,m4_cv!$B:$B,$A14),0))</f>
        <v>1848</v>
      </c>
      <c r="K14">
        <f>MAX(0,ROUND(SUMIFS(m5_cv!$E:$E,m5_cv!$A:$A,$E14,m5_cv!$B:$B,$A14),0))</f>
        <v>1766</v>
      </c>
      <c r="L14">
        <f>MAX(0,ROUND(SUMIFS(m6_cv!$E:$E,m6_cv!$A:$A,$E14,m6_cv!$B:$B,$A14),0))</f>
        <v>1363</v>
      </c>
      <c r="M14">
        <f>MAX(0,ROUND(SUMIFS(m7_cv!$E:$E,m7_cv!$A:$A,$E14,m7_cv!$B:$B,$A14),0))</f>
        <v>1798</v>
      </c>
      <c r="N14">
        <f>ROUND(_xlfn.XLOOKUP($D14,Charts!$W$82:$W$112,Charts!$X$82:$X$112)*$L14+_xlfn.XLOOKUP($D14,Charts!$W$82:$W$112,Charts!$Y$82:$Y$112)*$M14,0)</f>
        <v>1668</v>
      </c>
    </row>
    <row r="15" spans="1:14" x14ac:dyDescent="0.25">
      <c r="A15" s="3">
        <f t="shared" si="4"/>
        <v>45671</v>
      </c>
      <c r="B15">
        <f t="shared" si="0"/>
        <v>2025</v>
      </c>
      <c r="C15">
        <f t="shared" si="1"/>
        <v>1</v>
      </c>
      <c r="D15">
        <f t="shared" si="2"/>
        <v>14</v>
      </c>
      <c r="E15" s="2">
        <f t="shared" si="3"/>
        <v>45657</v>
      </c>
      <c r="F15" s="12">
        <f>_xlfn.XLOOKUP($A15,m1_cv!$B:$B,m1_cv!$C:$C)</f>
        <v>1609</v>
      </c>
      <c r="G15">
        <f>MAX(0,ROUND(SUMIFS(m1_cv!$E:$E,m1_cv!$A:$A,$E15,m1_cv!$B:$B,$A15),0))</f>
        <v>3074</v>
      </c>
      <c r="H15">
        <f>MAX(0,ROUND(SUMIFS(m2_cv!$E:$E,m2_cv!$A:$A,$E15,m2_cv!$B:$B,$A15),0))</f>
        <v>2224</v>
      </c>
      <c r="I15">
        <f>MAX(0,ROUND(SUMIFS(m3_cv!$E:$E,m3_cv!$A:$A,$E15,m3_cv!$B:$B,$A15),0))</f>
        <v>2086</v>
      </c>
      <c r="J15">
        <f>MAX(0,ROUND(SUMIFS(m4_cv!$E:$E,m4_cv!$A:$A,$E15,m4_cv!$B:$B,$A15),0))</f>
        <v>2075</v>
      </c>
      <c r="K15">
        <f>MAX(0,ROUND(SUMIFS(m5_cv!$E:$E,m5_cv!$A:$A,$E15,m5_cv!$B:$B,$A15),0))</f>
        <v>2187</v>
      </c>
      <c r="L15">
        <f>MAX(0,ROUND(SUMIFS(m6_cv!$E:$E,m6_cv!$A:$A,$E15,m6_cv!$B:$B,$A15),0))</f>
        <v>1797</v>
      </c>
      <c r="M15">
        <f>MAX(0,ROUND(SUMIFS(m7_cv!$E:$E,m7_cv!$A:$A,$E15,m7_cv!$B:$B,$A15),0))</f>
        <v>2199</v>
      </c>
      <c r="N15">
        <f>ROUND(_xlfn.XLOOKUP($D15,Charts!$W$82:$W$112,Charts!$X$82:$X$112)*$L15+_xlfn.XLOOKUP($D15,Charts!$W$82:$W$112,Charts!$Y$82:$Y$112)*$M15,0)</f>
        <v>2199</v>
      </c>
    </row>
    <row r="16" spans="1:14" x14ac:dyDescent="0.25">
      <c r="A16" s="3">
        <f t="shared" si="4"/>
        <v>45672</v>
      </c>
      <c r="B16">
        <f t="shared" si="0"/>
        <v>2025</v>
      </c>
      <c r="C16">
        <f t="shared" si="1"/>
        <v>1</v>
      </c>
      <c r="D16">
        <f t="shared" si="2"/>
        <v>15</v>
      </c>
      <c r="E16" s="2">
        <f t="shared" si="3"/>
        <v>45657</v>
      </c>
      <c r="F16" s="12">
        <f>_xlfn.XLOOKUP($A16,m1_cv!$B:$B,m1_cv!$C:$C)</f>
        <v>2010</v>
      </c>
      <c r="G16">
        <f>MAX(0,ROUND(SUMIFS(m1_cv!$E:$E,m1_cv!$A:$A,$E16,m1_cv!$B:$B,$A16),0))</f>
        <v>3041</v>
      </c>
      <c r="H16">
        <f>MAX(0,ROUND(SUMIFS(m2_cv!$E:$E,m2_cv!$A:$A,$E16,m2_cv!$B:$B,$A16),0))</f>
        <v>2348</v>
      </c>
      <c r="I16">
        <f>MAX(0,ROUND(SUMIFS(m3_cv!$E:$E,m3_cv!$A:$A,$E16,m3_cv!$B:$B,$A16),0))</f>
        <v>2271</v>
      </c>
      <c r="J16">
        <f>MAX(0,ROUND(SUMIFS(m4_cv!$E:$E,m4_cv!$A:$A,$E16,m4_cv!$B:$B,$A16),0))</f>
        <v>2257</v>
      </c>
      <c r="K16">
        <f>MAX(0,ROUND(SUMIFS(m5_cv!$E:$E,m5_cv!$A:$A,$E16,m5_cv!$B:$B,$A16),0))</f>
        <v>2402</v>
      </c>
      <c r="L16">
        <f>MAX(0,ROUND(SUMIFS(m6_cv!$E:$E,m6_cv!$A:$A,$E16,m6_cv!$B:$B,$A16),0))</f>
        <v>2006</v>
      </c>
      <c r="M16">
        <f>MAX(0,ROUND(SUMIFS(m7_cv!$E:$E,m7_cv!$A:$A,$E16,m7_cv!$B:$B,$A16),0))</f>
        <v>2388</v>
      </c>
      <c r="N16">
        <f>ROUND(_xlfn.XLOOKUP($D16,Charts!$W$82:$W$112,Charts!$X$82:$X$112)*$L16+_xlfn.XLOOKUP($D16,Charts!$W$82:$W$112,Charts!$Y$82:$Y$112)*$M16,0)</f>
        <v>2388</v>
      </c>
    </row>
    <row r="17" spans="1:14" x14ac:dyDescent="0.25">
      <c r="A17" s="3">
        <f t="shared" si="4"/>
        <v>45673</v>
      </c>
      <c r="B17">
        <f t="shared" si="0"/>
        <v>2025</v>
      </c>
      <c r="C17">
        <f t="shared" si="1"/>
        <v>1</v>
      </c>
      <c r="D17">
        <f t="shared" si="2"/>
        <v>16</v>
      </c>
      <c r="E17" s="2">
        <f t="shared" si="3"/>
        <v>45657</v>
      </c>
      <c r="F17" s="12">
        <f>_xlfn.XLOOKUP($A17,m1_cv!$B:$B,m1_cv!$C:$C)</f>
        <v>2206</v>
      </c>
      <c r="G17">
        <f>MAX(0,ROUND(SUMIFS(m1_cv!$E:$E,m1_cv!$A:$A,$E17,m1_cv!$B:$B,$A17),0))</f>
        <v>3015</v>
      </c>
      <c r="H17">
        <f>MAX(0,ROUND(SUMIFS(m2_cv!$E:$E,m2_cv!$A:$A,$E17,m2_cv!$B:$B,$A17),0))</f>
        <v>2575</v>
      </c>
      <c r="I17">
        <f>MAX(0,ROUND(SUMIFS(m3_cv!$E:$E,m3_cv!$A:$A,$E17,m3_cv!$B:$B,$A17),0))</f>
        <v>2522</v>
      </c>
      <c r="J17">
        <f>MAX(0,ROUND(SUMIFS(m4_cv!$E:$E,m4_cv!$A:$A,$E17,m4_cv!$B:$B,$A17),0))</f>
        <v>2509</v>
      </c>
      <c r="K17">
        <f>MAX(0,ROUND(SUMIFS(m5_cv!$E:$E,m5_cv!$A:$A,$E17,m5_cv!$B:$B,$A17),0))</f>
        <v>2531</v>
      </c>
      <c r="L17">
        <f>MAX(0,ROUND(SUMIFS(m6_cv!$E:$E,m6_cv!$A:$A,$E17,m6_cv!$B:$B,$A17),0))</f>
        <v>2292</v>
      </c>
      <c r="M17">
        <f>MAX(0,ROUND(SUMIFS(m7_cv!$E:$E,m7_cv!$A:$A,$E17,m7_cv!$B:$B,$A17),0))</f>
        <v>2551</v>
      </c>
      <c r="N17">
        <f>ROUND(_xlfn.XLOOKUP($D17,Charts!$W$82:$W$112,Charts!$X$82:$X$112)*$L17+_xlfn.XLOOKUP($D17,Charts!$W$82:$W$112,Charts!$Y$82:$Y$112)*$M17,0)</f>
        <v>2551</v>
      </c>
    </row>
    <row r="18" spans="1:14" x14ac:dyDescent="0.25">
      <c r="A18" s="3">
        <f t="shared" si="4"/>
        <v>45674</v>
      </c>
      <c r="B18">
        <f t="shared" si="0"/>
        <v>2025</v>
      </c>
      <c r="C18">
        <f t="shared" si="1"/>
        <v>1</v>
      </c>
      <c r="D18">
        <f t="shared" si="2"/>
        <v>17</v>
      </c>
      <c r="E18" s="2">
        <f t="shared" si="3"/>
        <v>45657</v>
      </c>
      <c r="F18" s="12">
        <f>_xlfn.XLOOKUP($A18,m1_cv!$B:$B,m1_cv!$C:$C)</f>
        <v>2291</v>
      </c>
      <c r="G18">
        <f>MAX(0,ROUND(SUMIFS(m1_cv!$E:$E,m1_cv!$A:$A,$E18,m1_cv!$B:$B,$A18),0))</f>
        <v>2888</v>
      </c>
      <c r="H18">
        <f>MAX(0,ROUND(SUMIFS(m2_cv!$E:$E,m2_cv!$A:$A,$E18,m2_cv!$B:$B,$A18),0))</f>
        <v>2614</v>
      </c>
      <c r="I18">
        <f>MAX(0,ROUND(SUMIFS(m3_cv!$E:$E,m3_cv!$A:$A,$E18,m3_cv!$B:$B,$A18),0))</f>
        <v>2547</v>
      </c>
      <c r="J18">
        <f>MAX(0,ROUND(SUMIFS(m4_cv!$E:$E,m4_cv!$A:$A,$E18,m4_cv!$B:$B,$A18),0))</f>
        <v>2535</v>
      </c>
      <c r="K18">
        <f>MAX(0,ROUND(SUMIFS(m5_cv!$E:$E,m5_cv!$A:$A,$E18,m5_cv!$B:$B,$A18),0))</f>
        <v>2440</v>
      </c>
      <c r="L18">
        <f>MAX(0,ROUND(SUMIFS(m6_cv!$E:$E,m6_cv!$A:$A,$E18,m6_cv!$B:$B,$A18),0))</f>
        <v>2217</v>
      </c>
      <c r="M18">
        <f>MAX(0,ROUND(SUMIFS(m7_cv!$E:$E,m7_cv!$A:$A,$E18,m7_cv!$B:$B,$A18),0))</f>
        <v>2459</v>
      </c>
      <c r="N18">
        <f>ROUND(_xlfn.XLOOKUP($D18,Charts!$W$82:$W$112,Charts!$X$82:$X$112)*$L18+_xlfn.XLOOKUP($D18,Charts!$W$82:$W$112,Charts!$Y$82:$Y$112)*$M18,0)</f>
        <v>2459</v>
      </c>
    </row>
    <row r="19" spans="1:14" x14ac:dyDescent="0.25">
      <c r="A19" s="3">
        <f t="shared" si="4"/>
        <v>45675</v>
      </c>
      <c r="B19">
        <f t="shared" si="0"/>
        <v>2025</v>
      </c>
      <c r="C19">
        <f t="shared" si="1"/>
        <v>1</v>
      </c>
      <c r="D19">
        <f t="shared" si="2"/>
        <v>18</v>
      </c>
      <c r="E19" s="2">
        <f t="shared" si="3"/>
        <v>45657</v>
      </c>
      <c r="F19" s="12">
        <f>_xlfn.XLOOKUP($A19,m1_cv!$B:$B,m1_cv!$C:$C)</f>
        <v>401</v>
      </c>
      <c r="G19">
        <f>MAX(0,ROUND(SUMIFS(m1_cv!$E:$E,m1_cv!$A:$A,$E19,m1_cv!$B:$B,$A19),0))</f>
        <v>716</v>
      </c>
      <c r="H19">
        <f>MAX(0,ROUND(SUMIFS(m2_cv!$E:$E,m2_cv!$A:$A,$E19,m2_cv!$B:$B,$A19),0))</f>
        <v>420</v>
      </c>
      <c r="I19">
        <f>MAX(0,ROUND(SUMIFS(m3_cv!$E:$E,m3_cv!$A:$A,$E19,m3_cv!$B:$B,$A19),0))</f>
        <v>392</v>
      </c>
      <c r="J19">
        <f>MAX(0,ROUND(SUMIFS(m4_cv!$E:$E,m4_cv!$A:$A,$E19,m4_cv!$B:$B,$A19),0))</f>
        <v>377</v>
      </c>
      <c r="K19">
        <f>MAX(0,ROUND(SUMIFS(m5_cv!$E:$E,m5_cv!$A:$A,$E19,m5_cv!$B:$B,$A19),0))</f>
        <v>233</v>
      </c>
      <c r="L19">
        <f>MAX(0,ROUND(SUMIFS(m6_cv!$E:$E,m6_cv!$A:$A,$E19,m6_cv!$B:$B,$A19),0))</f>
        <v>411</v>
      </c>
      <c r="M19">
        <f>MAX(0,ROUND(SUMIFS(m7_cv!$E:$E,m7_cv!$A:$A,$E19,m7_cv!$B:$B,$A19),0))</f>
        <v>265</v>
      </c>
      <c r="N19">
        <f>ROUND(_xlfn.XLOOKUP($D19,Charts!$W$82:$W$112,Charts!$X$82:$X$112)*$L19+_xlfn.XLOOKUP($D19,Charts!$W$82:$W$112,Charts!$Y$82:$Y$112)*$M19,0)</f>
        <v>265</v>
      </c>
    </row>
    <row r="20" spans="1:14" x14ac:dyDescent="0.25">
      <c r="A20" s="3">
        <f t="shared" si="4"/>
        <v>45676</v>
      </c>
      <c r="B20">
        <f t="shared" si="0"/>
        <v>2025</v>
      </c>
      <c r="C20">
        <f t="shared" si="1"/>
        <v>1</v>
      </c>
      <c r="D20">
        <f t="shared" si="2"/>
        <v>19</v>
      </c>
      <c r="E20" s="2">
        <f t="shared" si="3"/>
        <v>45657</v>
      </c>
      <c r="F20" s="12">
        <f>_xlfn.XLOOKUP($A20,m1_cv!$B:$B,m1_cv!$C:$C)</f>
        <v>129</v>
      </c>
      <c r="G20">
        <f>MAX(0,ROUND(SUMIFS(m1_cv!$E:$E,m1_cv!$A:$A,$E20,m1_cv!$B:$B,$A20),0))</f>
        <v>162</v>
      </c>
      <c r="H20">
        <f>MAX(0,ROUND(SUMIFS(m2_cv!$E:$E,m2_cv!$A:$A,$E20,m2_cv!$B:$B,$A20),0))</f>
        <v>0</v>
      </c>
      <c r="I20">
        <f>MAX(0,ROUND(SUMIFS(m3_cv!$E:$E,m3_cv!$A:$A,$E20,m3_cv!$B:$B,$A20),0))</f>
        <v>0</v>
      </c>
      <c r="J20">
        <f>MAX(0,ROUND(SUMIFS(m4_cv!$E:$E,m4_cv!$A:$A,$E20,m4_cv!$B:$B,$A20),0))</f>
        <v>0</v>
      </c>
      <c r="K20">
        <f>MAX(0,ROUND(SUMIFS(m5_cv!$E:$E,m5_cv!$A:$A,$E20,m5_cv!$B:$B,$A20),0))</f>
        <v>0</v>
      </c>
      <c r="L20">
        <f>MAX(0,ROUND(SUMIFS(m6_cv!$E:$E,m6_cv!$A:$A,$E20,m6_cv!$B:$B,$A20),0))</f>
        <v>188</v>
      </c>
      <c r="M20">
        <f>MAX(0,ROUND(SUMIFS(m7_cv!$E:$E,m7_cv!$A:$A,$E20,m7_cv!$B:$B,$A20),0))</f>
        <v>0</v>
      </c>
      <c r="N20">
        <f>ROUND(_xlfn.XLOOKUP($D20,Charts!$W$82:$W$112,Charts!$X$82:$X$112)*$L20+_xlfn.XLOOKUP($D20,Charts!$W$82:$W$112,Charts!$Y$82:$Y$112)*$M20,0)</f>
        <v>0</v>
      </c>
    </row>
    <row r="21" spans="1:14" x14ac:dyDescent="0.25">
      <c r="A21" s="3">
        <f t="shared" si="4"/>
        <v>45677</v>
      </c>
      <c r="B21">
        <f t="shared" si="0"/>
        <v>2025</v>
      </c>
      <c r="C21">
        <f t="shared" si="1"/>
        <v>1</v>
      </c>
      <c r="D21">
        <f t="shared" si="2"/>
        <v>20</v>
      </c>
      <c r="E21" s="2">
        <f t="shared" si="3"/>
        <v>45657</v>
      </c>
      <c r="F21" s="12">
        <f>_xlfn.XLOOKUP($A21,m1_cv!$B:$B,m1_cv!$C:$C)</f>
        <v>2385</v>
      </c>
      <c r="G21">
        <f>MAX(0,ROUND(SUMIFS(m1_cv!$E:$E,m1_cv!$A:$A,$E21,m1_cv!$B:$B,$A21),0))</f>
        <v>2443</v>
      </c>
      <c r="H21">
        <f>MAX(0,ROUND(SUMIFS(m2_cv!$E:$E,m2_cv!$A:$A,$E21,m2_cv!$B:$B,$A21),0))</f>
        <v>2130</v>
      </c>
      <c r="I21">
        <f>MAX(0,ROUND(SUMIFS(m3_cv!$E:$E,m3_cv!$A:$A,$E21,m3_cv!$B:$B,$A21),0))</f>
        <v>2244</v>
      </c>
      <c r="J21">
        <f>MAX(0,ROUND(SUMIFS(m4_cv!$E:$E,m4_cv!$A:$A,$E21,m4_cv!$B:$B,$A21),0))</f>
        <v>2229</v>
      </c>
      <c r="K21">
        <f>MAX(0,ROUND(SUMIFS(m5_cv!$E:$E,m5_cv!$A:$A,$E21,m5_cv!$B:$B,$A21),0))</f>
        <v>2395</v>
      </c>
      <c r="L21">
        <f>MAX(0,ROUND(SUMIFS(m6_cv!$E:$E,m6_cv!$A:$A,$E21,m6_cv!$B:$B,$A21),0))</f>
        <v>2464</v>
      </c>
      <c r="M21">
        <f>MAX(0,ROUND(SUMIFS(m7_cv!$E:$E,m7_cv!$A:$A,$E21,m7_cv!$B:$B,$A21),0))</f>
        <v>2394</v>
      </c>
      <c r="N21">
        <f>ROUND(_xlfn.XLOOKUP($D21,Charts!$W$82:$W$112,Charts!$X$82:$X$112)*$L21+_xlfn.XLOOKUP($D21,Charts!$W$82:$W$112,Charts!$Y$82:$Y$112)*$M21,0)</f>
        <v>2394</v>
      </c>
    </row>
    <row r="22" spans="1:14" x14ac:dyDescent="0.25">
      <c r="A22" s="3">
        <f t="shared" si="4"/>
        <v>45678</v>
      </c>
      <c r="B22">
        <f t="shared" si="0"/>
        <v>2025</v>
      </c>
      <c r="C22">
        <f t="shared" si="1"/>
        <v>1</v>
      </c>
      <c r="D22">
        <f t="shared" si="2"/>
        <v>21</v>
      </c>
      <c r="E22" s="2">
        <f t="shared" si="3"/>
        <v>45657</v>
      </c>
      <c r="F22" s="12">
        <f>_xlfn.XLOOKUP($A22,m1_cv!$B:$B,m1_cv!$C:$C)</f>
        <v>3051</v>
      </c>
      <c r="G22">
        <f>MAX(0,ROUND(SUMIFS(m1_cv!$E:$E,m1_cv!$A:$A,$E22,m1_cv!$B:$B,$A22),0))</f>
        <v>3024</v>
      </c>
      <c r="H22">
        <f>MAX(0,ROUND(SUMIFS(m2_cv!$E:$E,m2_cv!$A:$A,$E22,m2_cv!$B:$B,$A22),0))</f>
        <v>2973</v>
      </c>
      <c r="I22">
        <f>MAX(0,ROUND(SUMIFS(m3_cv!$E:$E,m3_cv!$A:$A,$E22,m3_cv!$B:$B,$A22),0))</f>
        <v>2831</v>
      </c>
      <c r="J22">
        <f>MAX(0,ROUND(SUMIFS(m4_cv!$E:$E,m4_cv!$A:$A,$E22,m4_cv!$B:$B,$A22),0))</f>
        <v>2819</v>
      </c>
      <c r="K22">
        <f>MAX(0,ROUND(SUMIFS(m5_cv!$E:$E,m5_cv!$A:$A,$E22,m5_cv!$B:$B,$A22),0))</f>
        <v>2930</v>
      </c>
      <c r="L22">
        <f>MAX(0,ROUND(SUMIFS(m6_cv!$E:$E,m6_cv!$A:$A,$E22,m6_cv!$B:$B,$A22),0))</f>
        <v>3320</v>
      </c>
      <c r="M22">
        <f>MAX(0,ROUND(SUMIFS(m7_cv!$E:$E,m7_cv!$A:$A,$E22,m7_cv!$B:$B,$A22),0))</f>
        <v>2794</v>
      </c>
      <c r="N22">
        <f>ROUND(_xlfn.XLOOKUP($D22,Charts!$W$82:$W$112,Charts!$X$82:$X$112)*$L22+_xlfn.XLOOKUP($D22,Charts!$W$82:$W$112,Charts!$Y$82:$Y$112)*$M22,0)</f>
        <v>2794</v>
      </c>
    </row>
    <row r="23" spans="1:14" x14ac:dyDescent="0.25">
      <c r="A23" s="3">
        <f t="shared" si="4"/>
        <v>45679</v>
      </c>
      <c r="B23">
        <f t="shared" si="0"/>
        <v>2025</v>
      </c>
      <c r="C23">
        <f t="shared" si="1"/>
        <v>1</v>
      </c>
      <c r="D23">
        <f t="shared" si="2"/>
        <v>22</v>
      </c>
      <c r="E23" s="2">
        <f t="shared" si="3"/>
        <v>45657</v>
      </c>
      <c r="F23" s="12">
        <f>_xlfn.XLOOKUP($A23,m1_cv!$B:$B,m1_cv!$C:$C)</f>
        <v>2878</v>
      </c>
      <c r="G23">
        <f>MAX(0,ROUND(SUMIFS(m1_cv!$E:$E,m1_cv!$A:$A,$E23,m1_cv!$B:$B,$A23),0))</f>
        <v>3013</v>
      </c>
      <c r="H23">
        <f>MAX(0,ROUND(SUMIFS(m2_cv!$E:$E,m2_cv!$A:$A,$E23,m2_cv!$B:$B,$A23),0))</f>
        <v>3325</v>
      </c>
      <c r="I23">
        <f>MAX(0,ROUND(SUMIFS(m3_cv!$E:$E,m3_cv!$A:$A,$E23,m3_cv!$B:$B,$A23),0))</f>
        <v>3307</v>
      </c>
      <c r="J23">
        <f>MAX(0,ROUND(SUMIFS(m4_cv!$E:$E,m4_cv!$A:$A,$E23,m4_cv!$B:$B,$A23),0))</f>
        <v>3293</v>
      </c>
      <c r="K23">
        <f>MAX(0,ROUND(SUMIFS(m5_cv!$E:$E,m5_cv!$A:$A,$E23,m5_cv!$B:$B,$A23),0))</f>
        <v>3106</v>
      </c>
      <c r="L23">
        <f>MAX(0,ROUND(SUMIFS(m6_cv!$E:$E,m6_cv!$A:$A,$E23,m6_cv!$B:$B,$A23),0))</f>
        <v>3675</v>
      </c>
      <c r="M23">
        <f>MAX(0,ROUND(SUMIFS(m7_cv!$E:$E,m7_cv!$A:$A,$E23,m7_cv!$B:$B,$A23),0))</f>
        <v>3185</v>
      </c>
      <c r="N23">
        <f>ROUND(_xlfn.XLOOKUP($D23,Charts!$W$82:$W$112,Charts!$X$82:$X$112)*$L23+_xlfn.XLOOKUP($D23,Charts!$W$82:$W$112,Charts!$Y$82:$Y$112)*$M23,0)</f>
        <v>3185</v>
      </c>
    </row>
    <row r="24" spans="1:14" x14ac:dyDescent="0.25">
      <c r="A24" s="3">
        <f t="shared" si="4"/>
        <v>45680</v>
      </c>
      <c r="B24">
        <f t="shared" si="0"/>
        <v>2025</v>
      </c>
      <c r="C24">
        <f t="shared" si="1"/>
        <v>1</v>
      </c>
      <c r="D24">
        <f t="shared" si="2"/>
        <v>23</v>
      </c>
      <c r="E24" s="2">
        <f t="shared" si="3"/>
        <v>45657</v>
      </c>
      <c r="F24" s="12">
        <f>_xlfn.XLOOKUP($A24,m1_cv!$B:$B,m1_cv!$C:$C)</f>
        <v>4853</v>
      </c>
      <c r="G24">
        <f>MAX(0,ROUND(SUMIFS(m1_cv!$E:$E,m1_cv!$A:$A,$E24,m1_cv!$B:$B,$A24),0))</f>
        <v>3007</v>
      </c>
      <c r="H24">
        <f>MAX(0,ROUND(SUMIFS(m2_cv!$E:$E,m2_cv!$A:$A,$E24,m2_cv!$B:$B,$A24),0))</f>
        <v>3455</v>
      </c>
      <c r="I24">
        <f>MAX(0,ROUND(SUMIFS(m3_cv!$E:$E,m3_cv!$A:$A,$E24,m3_cv!$B:$B,$A24),0))</f>
        <v>3522</v>
      </c>
      <c r="J24">
        <f>MAX(0,ROUND(SUMIFS(m4_cv!$E:$E,m4_cv!$A:$A,$E24,m4_cv!$B:$B,$A24),0))</f>
        <v>3510</v>
      </c>
      <c r="K24">
        <f>MAX(0,ROUND(SUMIFS(m5_cv!$E:$E,m5_cv!$A:$A,$E24,m5_cv!$B:$B,$A24),0))</f>
        <v>3047</v>
      </c>
      <c r="L24">
        <f>MAX(0,ROUND(SUMIFS(m6_cv!$E:$E,m6_cv!$A:$A,$E24,m6_cv!$B:$B,$A24),0))</f>
        <v>3893</v>
      </c>
      <c r="M24">
        <f>MAX(0,ROUND(SUMIFS(m7_cv!$E:$E,m7_cv!$A:$A,$E24,m7_cv!$B:$B,$A24),0))</f>
        <v>3230</v>
      </c>
      <c r="N24">
        <f>ROUND(_xlfn.XLOOKUP($D24,Charts!$W$82:$W$112,Charts!$X$82:$X$112)*$L24+_xlfn.XLOOKUP($D24,Charts!$W$82:$W$112,Charts!$Y$82:$Y$112)*$M24,0)</f>
        <v>3230</v>
      </c>
    </row>
    <row r="25" spans="1:14" x14ac:dyDescent="0.25">
      <c r="A25" s="3">
        <f t="shared" si="4"/>
        <v>45681</v>
      </c>
      <c r="B25">
        <f t="shared" si="0"/>
        <v>2025</v>
      </c>
      <c r="C25">
        <f t="shared" si="1"/>
        <v>1</v>
      </c>
      <c r="D25">
        <f t="shared" si="2"/>
        <v>24</v>
      </c>
      <c r="E25" s="2">
        <f t="shared" si="3"/>
        <v>45657</v>
      </c>
      <c r="F25" s="12">
        <f>_xlfn.XLOOKUP($A25,m1_cv!$B:$B,m1_cv!$C:$C)</f>
        <v>5202</v>
      </c>
      <c r="G25">
        <f>MAX(0,ROUND(SUMIFS(m1_cv!$E:$E,m1_cv!$A:$A,$E25,m1_cv!$B:$B,$A25),0))</f>
        <v>2898</v>
      </c>
      <c r="H25">
        <f>MAX(0,ROUND(SUMIFS(m2_cv!$E:$E,m2_cv!$A:$A,$E25,m2_cv!$B:$B,$A25),0))</f>
        <v>3204</v>
      </c>
      <c r="I25">
        <f>MAX(0,ROUND(SUMIFS(m3_cv!$E:$E,m3_cv!$A:$A,$E25,m3_cv!$B:$B,$A25),0))</f>
        <v>3298</v>
      </c>
      <c r="J25">
        <f>MAX(0,ROUND(SUMIFS(m4_cv!$E:$E,m4_cv!$A:$A,$E25,m4_cv!$B:$B,$A25),0))</f>
        <v>3288</v>
      </c>
      <c r="K25">
        <f>MAX(0,ROUND(SUMIFS(m5_cv!$E:$E,m5_cv!$A:$A,$E25,m5_cv!$B:$B,$A25),0))</f>
        <v>2779</v>
      </c>
      <c r="L25">
        <f>MAX(0,ROUND(SUMIFS(m6_cv!$E:$E,m6_cv!$A:$A,$E25,m6_cv!$B:$B,$A25),0))</f>
        <v>3317</v>
      </c>
      <c r="M25">
        <f>MAX(0,ROUND(SUMIFS(m7_cv!$E:$E,m7_cv!$A:$A,$E25,m7_cv!$B:$B,$A25),0))</f>
        <v>2642</v>
      </c>
      <c r="N25">
        <f>ROUND(_xlfn.XLOOKUP($D25,Charts!$W$82:$W$112,Charts!$X$82:$X$112)*$L25+_xlfn.XLOOKUP($D25,Charts!$W$82:$W$112,Charts!$Y$82:$Y$112)*$M25,0)</f>
        <v>3317</v>
      </c>
    </row>
    <row r="26" spans="1:14" x14ac:dyDescent="0.25">
      <c r="A26" s="3">
        <f t="shared" si="4"/>
        <v>45682</v>
      </c>
      <c r="B26">
        <f t="shared" si="0"/>
        <v>2025</v>
      </c>
      <c r="C26">
        <f t="shared" si="1"/>
        <v>1</v>
      </c>
      <c r="D26">
        <f t="shared" si="2"/>
        <v>25</v>
      </c>
      <c r="E26" s="2">
        <f t="shared" si="3"/>
        <v>45657</v>
      </c>
      <c r="F26" s="12">
        <f>_xlfn.XLOOKUP($A26,m1_cv!$B:$B,m1_cv!$C:$C)</f>
        <v>1624</v>
      </c>
      <c r="G26">
        <f>MAX(0,ROUND(SUMIFS(m1_cv!$E:$E,m1_cv!$A:$A,$E26,m1_cv!$B:$B,$A26),0))</f>
        <v>743</v>
      </c>
      <c r="H26">
        <f>MAX(0,ROUND(SUMIFS(m2_cv!$E:$E,m2_cv!$A:$A,$E26,m2_cv!$B:$B,$A26),0))</f>
        <v>956</v>
      </c>
      <c r="I26">
        <f>MAX(0,ROUND(SUMIFS(m3_cv!$E:$E,m3_cv!$A:$A,$E26,m3_cv!$B:$B,$A26),0))</f>
        <v>1110</v>
      </c>
      <c r="J26">
        <f>MAX(0,ROUND(SUMIFS(m4_cv!$E:$E,m4_cv!$A:$A,$E26,m4_cv!$B:$B,$A26),0))</f>
        <v>1098</v>
      </c>
      <c r="K26">
        <f>MAX(0,ROUND(SUMIFS(m5_cv!$E:$E,m5_cv!$A:$A,$E26,m5_cv!$B:$B,$A26),0))</f>
        <v>1461</v>
      </c>
      <c r="L26">
        <f>MAX(0,ROUND(SUMIFS(m6_cv!$E:$E,m6_cv!$A:$A,$E26,m6_cv!$B:$B,$A26),0))</f>
        <v>980</v>
      </c>
      <c r="M26">
        <f>MAX(0,ROUND(SUMIFS(m7_cv!$E:$E,m7_cv!$A:$A,$E26,m7_cv!$B:$B,$A26),0))</f>
        <v>1373</v>
      </c>
      <c r="N26">
        <f>ROUND(_xlfn.XLOOKUP($D26,Charts!$W$82:$W$112,Charts!$X$82:$X$112)*$L26+_xlfn.XLOOKUP($D26,Charts!$W$82:$W$112,Charts!$Y$82:$Y$112)*$M26,0)</f>
        <v>980</v>
      </c>
    </row>
    <row r="27" spans="1:14" x14ac:dyDescent="0.25">
      <c r="A27" s="3">
        <f t="shared" si="4"/>
        <v>45683</v>
      </c>
      <c r="B27">
        <f t="shared" si="0"/>
        <v>2025</v>
      </c>
      <c r="C27">
        <f t="shared" si="1"/>
        <v>1</v>
      </c>
      <c r="D27">
        <f t="shared" si="2"/>
        <v>26</v>
      </c>
      <c r="E27" s="2">
        <f t="shared" si="3"/>
        <v>45657</v>
      </c>
      <c r="F27" s="12">
        <f>_xlfn.XLOOKUP($A27,m1_cv!$B:$B,m1_cv!$C:$C)</f>
        <v>454</v>
      </c>
      <c r="G27">
        <f>MAX(0,ROUND(SUMIFS(m1_cv!$E:$E,m1_cv!$A:$A,$E27,m1_cv!$B:$B,$A27),0))</f>
        <v>204</v>
      </c>
      <c r="H27">
        <f>MAX(0,ROUND(SUMIFS(m2_cv!$E:$E,m2_cv!$A:$A,$E27,m2_cv!$B:$B,$A27),0))</f>
        <v>844</v>
      </c>
      <c r="I27">
        <f>MAX(0,ROUND(SUMIFS(m3_cv!$E:$E,m3_cv!$A:$A,$E27,m3_cv!$B:$B,$A27),0))</f>
        <v>1017</v>
      </c>
      <c r="J27">
        <f>MAX(0,ROUND(SUMIFS(m4_cv!$E:$E,m4_cv!$A:$A,$E27,m4_cv!$B:$B,$A27),0))</f>
        <v>1007</v>
      </c>
      <c r="K27">
        <f>MAX(0,ROUND(SUMIFS(m5_cv!$E:$E,m5_cv!$A:$A,$E27,m5_cv!$B:$B,$A27),0))</f>
        <v>1300</v>
      </c>
      <c r="L27">
        <f>MAX(0,ROUND(SUMIFS(m6_cv!$E:$E,m6_cv!$A:$A,$E27,m6_cv!$B:$B,$A27),0))</f>
        <v>425</v>
      </c>
      <c r="M27">
        <f>MAX(0,ROUND(SUMIFS(m7_cv!$E:$E,m7_cv!$A:$A,$E27,m7_cv!$B:$B,$A27),0))</f>
        <v>1391</v>
      </c>
      <c r="N27">
        <f>ROUND(_xlfn.XLOOKUP($D27,Charts!$W$82:$W$112,Charts!$X$82:$X$112)*$L27+_xlfn.XLOOKUP($D27,Charts!$W$82:$W$112,Charts!$Y$82:$Y$112)*$M27,0)</f>
        <v>425</v>
      </c>
    </row>
    <row r="28" spans="1:14" x14ac:dyDescent="0.25">
      <c r="A28" s="3">
        <f t="shared" si="4"/>
        <v>45684</v>
      </c>
      <c r="B28">
        <f t="shared" si="0"/>
        <v>2025</v>
      </c>
      <c r="C28">
        <f t="shared" si="1"/>
        <v>1</v>
      </c>
      <c r="D28">
        <f t="shared" si="2"/>
        <v>27</v>
      </c>
      <c r="E28" s="2">
        <f t="shared" si="3"/>
        <v>45657</v>
      </c>
      <c r="F28" s="12">
        <f>_xlfn.XLOOKUP($A28,m1_cv!$B:$B,m1_cv!$C:$C)</f>
        <v>5598</v>
      </c>
      <c r="G28">
        <f>MAX(0,ROUND(SUMIFS(m1_cv!$E:$E,m1_cv!$A:$A,$E28,m1_cv!$B:$B,$A28),0))</f>
        <v>2498</v>
      </c>
      <c r="H28">
        <f>MAX(0,ROUND(SUMIFS(m2_cv!$E:$E,m2_cv!$A:$A,$E28,m2_cv!$B:$B,$A28),0))</f>
        <v>4229</v>
      </c>
      <c r="I28">
        <f>MAX(0,ROUND(SUMIFS(m3_cv!$E:$E,m3_cv!$A:$A,$E28,m3_cv!$B:$B,$A28),0))</f>
        <v>4565</v>
      </c>
      <c r="J28">
        <f>MAX(0,ROUND(SUMIFS(m4_cv!$E:$E,m4_cv!$A:$A,$E28,m4_cv!$B:$B,$A28),0))</f>
        <v>4552</v>
      </c>
      <c r="K28">
        <f>MAX(0,ROUND(SUMIFS(m5_cv!$E:$E,m5_cv!$A:$A,$E28,m5_cv!$B:$B,$A28),0))</f>
        <v>4345</v>
      </c>
      <c r="L28">
        <f>MAX(0,ROUND(SUMIFS(m6_cv!$E:$E,m6_cv!$A:$A,$E28,m6_cv!$B:$B,$A28),0))</f>
        <v>5628</v>
      </c>
      <c r="M28">
        <f>MAX(0,ROUND(SUMIFS(m7_cv!$E:$E,m7_cv!$A:$A,$E28,m7_cv!$B:$B,$A28),0))</f>
        <v>4363</v>
      </c>
      <c r="N28">
        <f>ROUND(_xlfn.XLOOKUP($D28,Charts!$W$82:$W$112,Charts!$X$82:$X$112)*$L28+_xlfn.XLOOKUP($D28,Charts!$W$82:$W$112,Charts!$Y$82:$Y$112)*$M28,0)</f>
        <v>5628</v>
      </c>
    </row>
    <row r="29" spans="1:14" x14ac:dyDescent="0.25">
      <c r="A29" s="3">
        <f t="shared" si="4"/>
        <v>45685</v>
      </c>
      <c r="B29">
        <f t="shared" si="0"/>
        <v>2025</v>
      </c>
      <c r="C29">
        <f t="shared" si="1"/>
        <v>1</v>
      </c>
      <c r="D29">
        <f t="shared" si="2"/>
        <v>28</v>
      </c>
      <c r="E29" s="2">
        <f t="shared" si="3"/>
        <v>45657</v>
      </c>
      <c r="F29" s="12">
        <f>_xlfn.XLOOKUP($A29,m1_cv!$B:$B,m1_cv!$C:$C)</f>
        <v>5264</v>
      </c>
      <c r="G29">
        <f>MAX(0,ROUND(SUMIFS(m1_cv!$E:$E,m1_cv!$A:$A,$E29,m1_cv!$B:$B,$A29),0))</f>
        <v>3090</v>
      </c>
      <c r="H29">
        <f>MAX(0,ROUND(SUMIFS(m2_cv!$E:$E,m2_cv!$A:$A,$E29,m2_cv!$B:$B,$A29),0))</f>
        <v>6074</v>
      </c>
      <c r="I29">
        <f>MAX(0,ROUND(SUMIFS(m3_cv!$E:$E,m3_cv!$A:$A,$E29,m3_cv!$B:$B,$A29),0))</f>
        <v>6172</v>
      </c>
      <c r="J29">
        <f>MAX(0,ROUND(SUMIFS(m4_cv!$E:$E,m4_cv!$A:$A,$E29,m4_cv!$B:$B,$A29),0))</f>
        <v>6159</v>
      </c>
      <c r="K29">
        <f>MAX(0,ROUND(SUMIFS(m5_cv!$E:$E,m5_cv!$A:$A,$E29,m5_cv!$B:$B,$A29),0))</f>
        <v>5173</v>
      </c>
      <c r="L29">
        <f>MAX(0,ROUND(SUMIFS(m6_cv!$E:$E,m6_cv!$A:$A,$E29,m6_cv!$B:$B,$A29),0))</f>
        <v>7737</v>
      </c>
      <c r="M29">
        <f>MAX(0,ROUND(SUMIFS(m7_cv!$E:$E,m7_cv!$A:$A,$E29,m7_cv!$B:$B,$A29),0))</f>
        <v>5150</v>
      </c>
      <c r="N29">
        <f>ROUND(_xlfn.XLOOKUP($D29,Charts!$W$82:$W$112,Charts!$X$82:$X$112)*$L29+_xlfn.XLOOKUP($D29,Charts!$W$82:$W$112,Charts!$Y$82:$Y$112)*$M29,0)</f>
        <v>7737</v>
      </c>
    </row>
    <row r="30" spans="1:14" x14ac:dyDescent="0.25">
      <c r="A30" s="3">
        <f t="shared" si="4"/>
        <v>45686</v>
      </c>
      <c r="B30">
        <f t="shared" si="0"/>
        <v>2025</v>
      </c>
      <c r="C30">
        <f t="shared" si="1"/>
        <v>1</v>
      </c>
      <c r="D30">
        <f t="shared" si="2"/>
        <v>29</v>
      </c>
      <c r="E30" s="2">
        <f t="shared" si="3"/>
        <v>45657</v>
      </c>
      <c r="F30" s="12">
        <f>_xlfn.XLOOKUP($A30,m1_cv!$B:$B,m1_cv!$C:$C)</f>
        <v>310</v>
      </c>
      <c r="G30">
        <f>MAX(0,ROUND(SUMIFS(m1_cv!$E:$E,m1_cv!$A:$A,$E30,m1_cv!$B:$B,$A30),0))</f>
        <v>3088</v>
      </c>
      <c r="H30">
        <f>MAX(0,ROUND(SUMIFS(m2_cv!$E:$E,m2_cv!$A:$A,$E30,m2_cv!$B:$B,$A30),0))</f>
        <v>6770</v>
      </c>
      <c r="I30">
        <f>MAX(0,ROUND(SUMIFS(m3_cv!$E:$E,m3_cv!$A:$A,$E30,m3_cv!$B:$B,$A30),0))</f>
        <v>5792</v>
      </c>
      <c r="J30">
        <f>MAX(0,ROUND(SUMIFS(m4_cv!$E:$E,m4_cv!$A:$A,$E30,m4_cv!$B:$B,$A30),0))</f>
        <v>5776</v>
      </c>
      <c r="K30">
        <f>MAX(0,ROUND(SUMIFS(m5_cv!$E:$E,m5_cv!$A:$A,$E30,m5_cv!$B:$B,$A30),0))</f>
        <v>4406</v>
      </c>
      <c r="L30">
        <f>MAX(0,ROUND(SUMIFS(m6_cv!$E:$E,m6_cv!$A:$A,$E30,m6_cv!$B:$B,$A30),0))</f>
        <v>126</v>
      </c>
      <c r="M30">
        <f>MAX(0,ROUND(SUMIFS(m7_cv!$E:$E,m7_cv!$A:$A,$E30,m7_cv!$B:$B,$A30),0))</f>
        <v>4568</v>
      </c>
      <c r="N30">
        <f>ROUND(_xlfn.XLOOKUP($D30,Charts!$W$82:$W$112,Charts!$X$82:$X$112)*$L30+_xlfn.XLOOKUP($D30,Charts!$W$82:$W$112,Charts!$Y$82:$Y$112)*$M30,0)</f>
        <v>4568</v>
      </c>
    </row>
    <row r="31" spans="1:14" x14ac:dyDescent="0.25">
      <c r="A31" s="3">
        <f t="shared" si="4"/>
        <v>45687</v>
      </c>
      <c r="B31">
        <f t="shared" si="0"/>
        <v>2025</v>
      </c>
      <c r="C31">
        <f t="shared" si="1"/>
        <v>1</v>
      </c>
      <c r="D31">
        <f t="shared" si="2"/>
        <v>30</v>
      </c>
      <c r="E31" s="2">
        <f t="shared" si="3"/>
        <v>45657</v>
      </c>
      <c r="F31" s="12">
        <f>_xlfn.XLOOKUP($A31,m1_cv!$B:$B,m1_cv!$C:$C)</f>
        <v>255</v>
      </c>
      <c r="G31">
        <f>MAX(0,ROUND(SUMIFS(m1_cv!$E:$E,m1_cv!$A:$A,$E31,m1_cv!$B:$B,$A31),0))</f>
        <v>3090</v>
      </c>
      <c r="H31">
        <f>MAX(0,ROUND(SUMIFS(m2_cv!$E:$E,m2_cv!$A:$A,$E31,m2_cv!$B:$B,$A31),0))</f>
        <v>6266</v>
      </c>
      <c r="I31">
        <f>MAX(0,ROUND(SUMIFS(m3_cv!$E:$E,m3_cv!$A:$A,$E31,m3_cv!$B:$B,$A31),0))</f>
        <v>5336</v>
      </c>
      <c r="J31">
        <f>MAX(0,ROUND(SUMIFS(m4_cv!$E:$E,m4_cv!$A:$A,$E31,m4_cv!$B:$B,$A31),0))</f>
        <v>5321</v>
      </c>
      <c r="K31">
        <f>MAX(0,ROUND(SUMIFS(m5_cv!$E:$E,m5_cv!$A:$A,$E31,m5_cv!$B:$B,$A31),0))</f>
        <v>6179</v>
      </c>
      <c r="L31">
        <f>MAX(0,ROUND(SUMIFS(m6_cv!$E:$E,m6_cv!$A:$A,$E31,m6_cv!$B:$B,$A31),0))</f>
        <v>219</v>
      </c>
      <c r="M31">
        <f>MAX(0,ROUND(SUMIFS(m7_cv!$E:$E,m7_cv!$A:$A,$E31,m7_cv!$B:$B,$A31),0))</f>
        <v>6152</v>
      </c>
      <c r="N31">
        <f>ROUND(_xlfn.XLOOKUP($D31,Charts!$W$82:$W$112,Charts!$X$82:$X$112)*$L31+_xlfn.XLOOKUP($D31,Charts!$W$82:$W$112,Charts!$Y$82:$Y$112)*$M31,0)</f>
        <v>6152</v>
      </c>
    </row>
    <row r="32" spans="1:14" x14ac:dyDescent="0.25">
      <c r="A32" s="3">
        <f t="shared" si="4"/>
        <v>45688</v>
      </c>
      <c r="B32">
        <f t="shared" si="0"/>
        <v>2025</v>
      </c>
      <c r="C32">
        <f t="shared" si="1"/>
        <v>1</v>
      </c>
      <c r="D32">
        <f t="shared" si="2"/>
        <v>31</v>
      </c>
      <c r="E32" s="2">
        <f t="shared" si="3"/>
        <v>45657</v>
      </c>
      <c r="F32" s="12">
        <f>_xlfn.XLOOKUP($A32,m1_cv!$B:$B,m1_cv!$C:$C)</f>
        <v>6041</v>
      </c>
      <c r="G32">
        <f>MAX(0,ROUND(SUMIFS(m1_cv!$E:$E,m1_cv!$A:$A,$E32,m1_cv!$B:$B,$A32),0))</f>
        <v>2986</v>
      </c>
      <c r="H32">
        <f>MAX(0,ROUND(SUMIFS(m2_cv!$E:$E,m2_cv!$A:$A,$E32,m2_cv!$B:$B,$A32),0))</f>
        <v>4550</v>
      </c>
      <c r="I32">
        <f>MAX(0,ROUND(SUMIFS(m3_cv!$E:$E,m3_cv!$A:$A,$E32,m3_cv!$B:$B,$A32),0))</f>
        <v>4792</v>
      </c>
      <c r="J32">
        <f>MAX(0,ROUND(SUMIFS(m4_cv!$E:$E,m4_cv!$A:$A,$E32,m4_cv!$B:$B,$A32),0))</f>
        <v>4780</v>
      </c>
      <c r="K32">
        <f>MAX(0,ROUND(SUMIFS(m5_cv!$E:$E,m5_cv!$A:$A,$E32,m5_cv!$B:$B,$A32),0))</f>
        <v>8221</v>
      </c>
      <c r="L32">
        <f>MAX(0,ROUND(SUMIFS(m6_cv!$E:$E,m6_cv!$A:$A,$E32,m6_cv!$B:$B,$A32),0))</f>
        <v>14598</v>
      </c>
      <c r="M32">
        <f>MAX(0,ROUND(SUMIFS(m7_cv!$E:$E,m7_cv!$A:$A,$E32,m7_cv!$B:$B,$A32),0))</f>
        <v>8067</v>
      </c>
      <c r="N32">
        <f>ROUND(_xlfn.XLOOKUP($D32,Charts!$W$82:$W$112,Charts!$X$82:$X$112)*$L32+_xlfn.XLOOKUP($D32,Charts!$W$82:$W$112,Charts!$Y$82:$Y$112)*$M32,0)</f>
        <v>8067</v>
      </c>
    </row>
    <row r="33" spans="1:14" x14ac:dyDescent="0.25">
      <c r="A33" s="3">
        <f t="shared" si="4"/>
        <v>45689</v>
      </c>
      <c r="B33">
        <f t="shared" si="0"/>
        <v>2025</v>
      </c>
      <c r="C33">
        <f t="shared" si="1"/>
        <v>2</v>
      </c>
      <c r="D33">
        <f t="shared" si="2"/>
        <v>1</v>
      </c>
      <c r="E33" s="2">
        <f t="shared" si="3"/>
        <v>45688</v>
      </c>
      <c r="F33" s="12">
        <f>_xlfn.XLOOKUP($A33,m1_cv!$B:$B,m1_cv!$C:$C)</f>
        <v>47</v>
      </c>
      <c r="G33">
        <f>MAX(0,ROUND(SUMIFS(m1_cv!$E:$E,m1_cv!$A:$A,$E33,m1_cv!$B:$B,$A33),0))</f>
        <v>933</v>
      </c>
      <c r="H33">
        <f>MAX(0,ROUND(SUMIFS(m2_cv!$E:$E,m2_cv!$A:$A,$E33,m2_cv!$B:$B,$A33),0))</f>
        <v>215</v>
      </c>
      <c r="I33">
        <f>MAX(0,ROUND(SUMIFS(m3_cv!$E:$E,m3_cv!$A:$A,$E33,m3_cv!$B:$B,$A33),0))</f>
        <v>0</v>
      </c>
      <c r="J33">
        <f>MAX(0,ROUND(SUMIFS(m4_cv!$E:$E,m4_cv!$A:$A,$E33,m4_cv!$B:$B,$A33),0))</f>
        <v>0</v>
      </c>
      <c r="K33">
        <f>MAX(0,ROUND(SUMIFS(m5_cv!$E:$E,m5_cv!$A:$A,$E33,m5_cv!$B:$B,$A33),0))</f>
        <v>0</v>
      </c>
      <c r="L33">
        <f>MAX(0,ROUND(SUMIFS(m6_cv!$E:$E,m6_cv!$A:$A,$E33,m6_cv!$B:$B,$A33),0))</f>
        <v>15</v>
      </c>
      <c r="M33">
        <f>MAX(0,ROUND(SUMIFS(m7_cv!$E:$E,m7_cv!$A:$A,$E33,m7_cv!$B:$B,$A33),0))</f>
        <v>0</v>
      </c>
      <c r="N33">
        <f>ROUND(_xlfn.XLOOKUP($D33,Charts!$W$82:$W$112,Charts!$X$82:$X$112)*$L33+_xlfn.XLOOKUP($D33,Charts!$W$82:$W$112,Charts!$Y$82:$Y$112)*$M33,0)</f>
        <v>15</v>
      </c>
    </row>
    <row r="34" spans="1:14" x14ac:dyDescent="0.25">
      <c r="A34" s="3">
        <f t="shared" si="4"/>
        <v>45690</v>
      </c>
      <c r="B34">
        <f t="shared" si="0"/>
        <v>2025</v>
      </c>
      <c r="C34">
        <f t="shared" si="1"/>
        <v>2</v>
      </c>
      <c r="D34">
        <f t="shared" si="2"/>
        <v>2</v>
      </c>
      <c r="E34" s="2">
        <f t="shared" si="3"/>
        <v>45688</v>
      </c>
      <c r="F34" s="12">
        <f>_xlfn.XLOOKUP($A34,m1_cv!$B:$B,m1_cv!$C:$C)</f>
        <v>14</v>
      </c>
      <c r="G34">
        <f>MAX(0,ROUND(SUMIFS(m1_cv!$E:$E,m1_cv!$A:$A,$E34,m1_cv!$B:$B,$A34),0))</f>
        <v>392</v>
      </c>
      <c r="H34">
        <f>MAX(0,ROUND(SUMIFS(m2_cv!$E:$E,m2_cv!$A:$A,$E34,m2_cv!$B:$B,$A34),0))</f>
        <v>0</v>
      </c>
      <c r="I34">
        <f>MAX(0,ROUND(SUMIFS(m3_cv!$E:$E,m3_cv!$A:$A,$E34,m3_cv!$B:$B,$A34),0))</f>
        <v>0</v>
      </c>
      <c r="J34">
        <f>MAX(0,ROUND(SUMIFS(m4_cv!$E:$E,m4_cv!$A:$A,$E34,m4_cv!$B:$B,$A34),0))</f>
        <v>0</v>
      </c>
      <c r="K34">
        <f>MAX(0,ROUND(SUMIFS(m5_cv!$E:$E,m5_cv!$A:$A,$E34,m5_cv!$B:$B,$A34),0))</f>
        <v>0</v>
      </c>
      <c r="L34">
        <f>MAX(0,ROUND(SUMIFS(m6_cv!$E:$E,m6_cv!$A:$A,$E34,m6_cv!$B:$B,$A34),0))</f>
        <v>40</v>
      </c>
      <c r="M34">
        <f>MAX(0,ROUND(SUMIFS(m7_cv!$E:$E,m7_cv!$A:$A,$E34,m7_cv!$B:$B,$A34),0))</f>
        <v>0</v>
      </c>
      <c r="N34">
        <f>ROUND(_xlfn.XLOOKUP($D34,Charts!$W$82:$W$112,Charts!$X$82:$X$112)*$L34+_xlfn.XLOOKUP($D34,Charts!$W$82:$W$112,Charts!$Y$82:$Y$112)*$M34,0)</f>
        <v>40</v>
      </c>
    </row>
    <row r="35" spans="1:14" x14ac:dyDescent="0.25">
      <c r="A35" s="3">
        <f t="shared" si="4"/>
        <v>45691</v>
      </c>
      <c r="B35">
        <f t="shared" si="0"/>
        <v>2025</v>
      </c>
      <c r="C35">
        <f t="shared" si="1"/>
        <v>2</v>
      </c>
      <c r="D35">
        <f t="shared" si="2"/>
        <v>3</v>
      </c>
      <c r="E35" s="2">
        <f t="shared" si="3"/>
        <v>45688</v>
      </c>
      <c r="F35" s="12">
        <f>_xlfn.XLOOKUP($A35,m1_cv!$B:$B,m1_cv!$C:$C)</f>
        <v>454</v>
      </c>
      <c r="G35">
        <f>MAX(0,ROUND(SUMIFS(m1_cv!$E:$E,m1_cv!$A:$A,$E35,m1_cv!$B:$B,$A35),0))</f>
        <v>2676</v>
      </c>
      <c r="H35">
        <f>MAX(0,ROUND(SUMIFS(m2_cv!$E:$E,m2_cv!$A:$A,$E35,m2_cv!$B:$B,$A35),0))</f>
        <v>260</v>
      </c>
      <c r="I35">
        <f>MAX(0,ROUND(SUMIFS(m3_cv!$E:$E,m3_cv!$A:$A,$E35,m3_cv!$B:$B,$A35),0))</f>
        <v>905</v>
      </c>
      <c r="J35">
        <f>MAX(0,ROUND(SUMIFS(m4_cv!$E:$E,m4_cv!$A:$A,$E35,m4_cv!$B:$B,$A35),0))</f>
        <v>904</v>
      </c>
      <c r="K35">
        <f>MAX(0,ROUND(SUMIFS(m5_cv!$E:$E,m5_cv!$A:$A,$E35,m5_cv!$B:$B,$A35),0))</f>
        <v>1149</v>
      </c>
      <c r="L35">
        <f>MAX(0,ROUND(SUMIFS(m6_cv!$E:$E,m6_cv!$A:$A,$E35,m6_cv!$B:$B,$A35),0))</f>
        <v>696</v>
      </c>
      <c r="M35">
        <f>MAX(0,ROUND(SUMIFS(m7_cv!$E:$E,m7_cv!$A:$A,$E35,m7_cv!$B:$B,$A35),0))</f>
        <v>1190</v>
      </c>
      <c r="N35">
        <f>ROUND(_xlfn.XLOOKUP($D35,Charts!$W$82:$W$112,Charts!$X$82:$X$112)*$L35+_xlfn.XLOOKUP($D35,Charts!$W$82:$W$112,Charts!$Y$82:$Y$112)*$M35,0)</f>
        <v>696</v>
      </c>
    </row>
    <row r="36" spans="1:14" x14ac:dyDescent="0.25">
      <c r="A36" s="3">
        <f t="shared" si="4"/>
        <v>45692</v>
      </c>
      <c r="B36">
        <f t="shared" si="0"/>
        <v>2025</v>
      </c>
      <c r="C36">
        <f t="shared" si="1"/>
        <v>2</v>
      </c>
      <c r="D36">
        <f t="shared" si="2"/>
        <v>4</v>
      </c>
      <c r="E36" s="2">
        <f t="shared" si="3"/>
        <v>45688</v>
      </c>
      <c r="F36" s="12">
        <f>_xlfn.XLOOKUP($A36,m1_cv!$B:$B,m1_cv!$C:$C)</f>
        <v>626</v>
      </c>
      <c r="G36">
        <f>MAX(0,ROUND(SUMIFS(m1_cv!$E:$E,m1_cv!$A:$A,$E36,m1_cv!$B:$B,$A36),0))</f>
        <v>3246</v>
      </c>
      <c r="H36">
        <f>MAX(0,ROUND(SUMIFS(m2_cv!$E:$E,m2_cv!$A:$A,$E36,m2_cv!$B:$B,$A36),0))</f>
        <v>1150</v>
      </c>
      <c r="I36">
        <f>MAX(0,ROUND(SUMIFS(m3_cv!$E:$E,m3_cv!$A:$A,$E36,m3_cv!$B:$B,$A36),0))</f>
        <v>1546</v>
      </c>
      <c r="J36">
        <f>MAX(0,ROUND(SUMIFS(m4_cv!$E:$E,m4_cv!$A:$A,$E36,m4_cv!$B:$B,$A36),0))</f>
        <v>1545</v>
      </c>
      <c r="K36">
        <f>MAX(0,ROUND(SUMIFS(m5_cv!$E:$E,m5_cv!$A:$A,$E36,m5_cv!$B:$B,$A36),0))</f>
        <v>1632</v>
      </c>
      <c r="L36">
        <f>MAX(0,ROUND(SUMIFS(m6_cv!$E:$E,m6_cv!$A:$A,$E36,m6_cv!$B:$B,$A36),0))</f>
        <v>931</v>
      </c>
      <c r="M36">
        <f>MAX(0,ROUND(SUMIFS(m7_cv!$E:$E,m7_cv!$A:$A,$E36,m7_cv!$B:$B,$A36),0))</f>
        <v>1502</v>
      </c>
      <c r="N36">
        <f>ROUND(_xlfn.XLOOKUP($D36,Charts!$W$82:$W$112,Charts!$X$82:$X$112)*$L36+_xlfn.XLOOKUP($D36,Charts!$W$82:$W$112,Charts!$Y$82:$Y$112)*$M36,0)</f>
        <v>931</v>
      </c>
    </row>
    <row r="37" spans="1:14" x14ac:dyDescent="0.25">
      <c r="A37" s="3">
        <f t="shared" si="4"/>
        <v>45693</v>
      </c>
      <c r="B37">
        <f t="shared" si="0"/>
        <v>2025</v>
      </c>
      <c r="C37">
        <f t="shared" si="1"/>
        <v>2</v>
      </c>
      <c r="D37">
        <f t="shared" si="2"/>
        <v>5</v>
      </c>
      <c r="E37" s="2">
        <f t="shared" si="3"/>
        <v>45688</v>
      </c>
      <c r="F37" s="12">
        <f>_xlfn.XLOOKUP($A37,m1_cv!$B:$B,m1_cv!$C:$C)</f>
        <v>886</v>
      </c>
      <c r="G37">
        <f>MAX(0,ROUND(SUMIFS(m1_cv!$E:$E,m1_cv!$A:$A,$E37,m1_cv!$B:$B,$A37),0))</f>
        <v>3179</v>
      </c>
      <c r="H37">
        <f>MAX(0,ROUND(SUMIFS(m2_cv!$E:$E,m2_cv!$A:$A,$E37,m2_cv!$B:$B,$A37),0))</f>
        <v>1575</v>
      </c>
      <c r="I37">
        <f>MAX(0,ROUND(SUMIFS(m3_cv!$E:$E,m3_cv!$A:$A,$E37,m3_cv!$B:$B,$A37),0))</f>
        <v>2019</v>
      </c>
      <c r="J37">
        <f>MAX(0,ROUND(SUMIFS(m4_cv!$E:$E,m4_cv!$A:$A,$E37,m4_cv!$B:$B,$A37),0))</f>
        <v>2018</v>
      </c>
      <c r="K37">
        <f>MAX(0,ROUND(SUMIFS(m5_cv!$E:$E,m5_cv!$A:$A,$E37,m5_cv!$B:$B,$A37),0))</f>
        <v>1671</v>
      </c>
      <c r="L37">
        <f>MAX(0,ROUND(SUMIFS(m6_cv!$E:$E,m6_cv!$A:$A,$E37,m6_cv!$B:$B,$A37),0))</f>
        <v>1063</v>
      </c>
      <c r="M37">
        <f>MAX(0,ROUND(SUMIFS(m7_cv!$E:$E,m7_cv!$A:$A,$E37,m7_cv!$B:$B,$A37),0))</f>
        <v>1591</v>
      </c>
      <c r="N37">
        <f>ROUND(_xlfn.XLOOKUP($D37,Charts!$W$82:$W$112,Charts!$X$82:$X$112)*$L37+_xlfn.XLOOKUP($D37,Charts!$W$82:$W$112,Charts!$Y$82:$Y$112)*$M37,0)</f>
        <v>1169</v>
      </c>
    </row>
    <row r="38" spans="1:14" x14ac:dyDescent="0.25">
      <c r="A38" s="3">
        <f t="shared" si="4"/>
        <v>45694</v>
      </c>
      <c r="B38">
        <f t="shared" si="0"/>
        <v>2025</v>
      </c>
      <c r="C38">
        <f t="shared" si="1"/>
        <v>2</v>
      </c>
      <c r="D38">
        <f t="shared" si="2"/>
        <v>6</v>
      </c>
      <c r="E38" s="2">
        <f t="shared" si="3"/>
        <v>45688</v>
      </c>
      <c r="F38" s="12">
        <f>_xlfn.XLOOKUP($A38,m1_cv!$B:$B,m1_cv!$C:$C)</f>
        <v>1159</v>
      </c>
      <c r="G38">
        <f>MAX(0,ROUND(SUMIFS(m1_cv!$E:$E,m1_cv!$A:$A,$E38,m1_cv!$B:$B,$A38),0))</f>
        <v>3181</v>
      </c>
      <c r="H38">
        <f>MAX(0,ROUND(SUMIFS(m2_cv!$E:$E,m2_cv!$A:$A,$E38,m2_cv!$B:$B,$A38),0))</f>
        <v>1786</v>
      </c>
      <c r="I38">
        <f>MAX(0,ROUND(SUMIFS(m3_cv!$E:$E,m3_cv!$A:$A,$E38,m3_cv!$B:$B,$A38),0))</f>
        <v>2138</v>
      </c>
      <c r="J38">
        <f>MAX(0,ROUND(SUMIFS(m4_cv!$E:$E,m4_cv!$A:$A,$E38,m4_cv!$B:$B,$A38),0))</f>
        <v>2137</v>
      </c>
      <c r="K38">
        <f>MAX(0,ROUND(SUMIFS(m5_cv!$E:$E,m5_cv!$A:$A,$E38,m5_cv!$B:$B,$A38),0))</f>
        <v>1483</v>
      </c>
      <c r="L38">
        <f>MAX(0,ROUND(SUMIFS(m6_cv!$E:$E,m6_cv!$A:$A,$E38,m6_cv!$B:$B,$A38),0))</f>
        <v>1120</v>
      </c>
      <c r="M38">
        <f>MAX(0,ROUND(SUMIFS(m7_cv!$E:$E,m7_cv!$A:$A,$E38,m7_cv!$B:$B,$A38),0))</f>
        <v>1568</v>
      </c>
      <c r="N38">
        <f>ROUND(_xlfn.XLOOKUP($D38,Charts!$W$82:$W$112,Charts!$X$82:$X$112)*$L38+_xlfn.XLOOKUP($D38,Charts!$W$82:$W$112,Charts!$Y$82:$Y$112)*$M38,0)</f>
        <v>1344</v>
      </c>
    </row>
    <row r="39" spans="1:14" x14ac:dyDescent="0.25">
      <c r="A39" s="3">
        <f t="shared" si="4"/>
        <v>45695</v>
      </c>
      <c r="B39">
        <f t="shared" si="0"/>
        <v>2025</v>
      </c>
      <c r="C39">
        <f t="shared" si="1"/>
        <v>2</v>
      </c>
      <c r="D39">
        <f t="shared" si="2"/>
        <v>7</v>
      </c>
      <c r="E39" s="2">
        <f t="shared" si="3"/>
        <v>45688</v>
      </c>
      <c r="F39" s="12">
        <f>_xlfn.XLOOKUP($A39,m1_cv!$B:$B,m1_cv!$C:$C)</f>
        <v>1342</v>
      </c>
      <c r="G39">
        <f>MAX(0,ROUND(SUMIFS(m1_cv!$E:$E,m1_cv!$A:$A,$E39,m1_cv!$B:$B,$A39),0))</f>
        <v>3102</v>
      </c>
      <c r="H39">
        <f>MAX(0,ROUND(SUMIFS(m2_cv!$E:$E,m2_cv!$A:$A,$E39,m2_cv!$B:$B,$A39),0))</f>
        <v>1624</v>
      </c>
      <c r="I39">
        <f>MAX(0,ROUND(SUMIFS(m3_cv!$E:$E,m3_cv!$A:$A,$E39,m3_cv!$B:$B,$A39),0))</f>
        <v>1844</v>
      </c>
      <c r="J39">
        <f>MAX(0,ROUND(SUMIFS(m4_cv!$E:$E,m4_cv!$A:$A,$E39,m4_cv!$B:$B,$A39),0))</f>
        <v>1843</v>
      </c>
      <c r="K39">
        <f>MAX(0,ROUND(SUMIFS(m5_cv!$E:$E,m5_cv!$A:$A,$E39,m5_cv!$B:$B,$A39),0))</f>
        <v>1167</v>
      </c>
      <c r="L39">
        <f>MAX(0,ROUND(SUMIFS(m6_cv!$E:$E,m6_cv!$A:$A,$E39,m6_cv!$B:$B,$A39),0))</f>
        <v>903</v>
      </c>
      <c r="M39">
        <f>MAX(0,ROUND(SUMIFS(m7_cv!$E:$E,m7_cv!$A:$A,$E39,m7_cv!$B:$B,$A39),0))</f>
        <v>1290</v>
      </c>
      <c r="N39">
        <f>ROUND(_xlfn.XLOOKUP($D39,Charts!$W$82:$W$112,Charts!$X$82:$X$112)*$L39+_xlfn.XLOOKUP($D39,Charts!$W$82:$W$112,Charts!$Y$82:$Y$112)*$M39,0)</f>
        <v>1097</v>
      </c>
    </row>
    <row r="40" spans="1:14" x14ac:dyDescent="0.25">
      <c r="A40" s="3">
        <f t="shared" si="4"/>
        <v>45696</v>
      </c>
      <c r="B40">
        <f t="shared" si="0"/>
        <v>2025</v>
      </c>
      <c r="C40">
        <f t="shared" si="1"/>
        <v>2</v>
      </c>
      <c r="D40">
        <f t="shared" si="2"/>
        <v>8</v>
      </c>
      <c r="E40" s="2">
        <f t="shared" si="3"/>
        <v>45688</v>
      </c>
      <c r="F40" s="12">
        <f>_xlfn.XLOOKUP($A40,m1_cv!$B:$B,m1_cv!$C:$C)</f>
        <v>301</v>
      </c>
      <c r="G40">
        <f>MAX(0,ROUND(SUMIFS(m1_cv!$E:$E,m1_cv!$A:$A,$E40,m1_cv!$B:$B,$A40),0))</f>
        <v>927</v>
      </c>
      <c r="H40">
        <f>MAX(0,ROUND(SUMIFS(m2_cv!$E:$E,m2_cv!$A:$A,$E40,m2_cv!$B:$B,$A40),0))</f>
        <v>0</v>
      </c>
      <c r="I40">
        <f>MAX(0,ROUND(SUMIFS(m3_cv!$E:$E,m3_cv!$A:$A,$E40,m3_cv!$B:$B,$A40),0))</f>
        <v>0</v>
      </c>
      <c r="J40">
        <f>MAX(0,ROUND(SUMIFS(m4_cv!$E:$E,m4_cv!$A:$A,$E40,m4_cv!$B:$B,$A40),0))</f>
        <v>0</v>
      </c>
      <c r="K40">
        <f>MAX(0,ROUND(SUMIFS(m5_cv!$E:$E,m5_cv!$A:$A,$E40,m5_cv!$B:$B,$A40),0))</f>
        <v>0</v>
      </c>
      <c r="L40">
        <f>MAX(0,ROUND(SUMIFS(m6_cv!$E:$E,m6_cv!$A:$A,$E40,m6_cv!$B:$B,$A40),0))</f>
        <v>257</v>
      </c>
      <c r="M40">
        <f>MAX(0,ROUND(SUMIFS(m7_cv!$E:$E,m7_cv!$A:$A,$E40,m7_cv!$B:$B,$A40),0))</f>
        <v>0</v>
      </c>
      <c r="N40">
        <f>ROUND(_xlfn.XLOOKUP($D40,Charts!$W$82:$W$112,Charts!$X$82:$X$112)*$L40+_xlfn.XLOOKUP($D40,Charts!$W$82:$W$112,Charts!$Y$82:$Y$112)*$M40,0)</f>
        <v>129</v>
      </c>
    </row>
    <row r="41" spans="1:14" x14ac:dyDescent="0.25">
      <c r="A41" s="3">
        <f t="shared" si="4"/>
        <v>45697</v>
      </c>
      <c r="B41">
        <f t="shared" si="0"/>
        <v>2025</v>
      </c>
      <c r="C41">
        <f t="shared" si="1"/>
        <v>2</v>
      </c>
      <c r="D41">
        <f t="shared" si="2"/>
        <v>9</v>
      </c>
      <c r="E41" s="2">
        <f t="shared" si="3"/>
        <v>45688</v>
      </c>
      <c r="F41" s="12">
        <f>_xlfn.XLOOKUP($A41,m1_cv!$B:$B,m1_cv!$C:$C)</f>
        <v>54</v>
      </c>
      <c r="G41">
        <f>MAX(0,ROUND(SUMIFS(m1_cv!$E:$E,m1_cv!$A:$A,$E41,m1_cv!$B:$B,$A41),0))</f>
        <v>376</v>
      </c>
      <c r="H41">
        <f>MAX(0,ROUND(SUMIFS(m2_cv!$E:$E,m2_cv!$A:$A,$E41,m2_cv!$B:$B,$A41),0))</f>
        <v>0</v>
      </c>
      <c r="I41">
        <f>MAX(0,ROUND(SUMIFS(m3_cv!$E:$E,m3_cv!$A:$A,$E41,m3_cv!$B:$B,$A41),0))</f>
        <v>0</v>
      </c>
      <c r="J41">
        <f>MAX(0,ROUND(SUMIFS(m4_cv!$E:$E,m4_cv!$A:$A,$E41,m4_cv!$B:$B,$A41),0))</f>
        <v>0</v>
      </c>
      <c r="K41">
        <f>MAX(0,ROUND(SUMIFS(m5_cv!$E:$E,m5_cv!$A:$A,$E41,m5_cv!$B:$B,$A41),0))</f>
        <v>0</v>
      </c>
      <c r="L41">
        <f>MAX(0,ROUND(SUMIFS(m6_cv!$E:$E,m6_cv!$A:$A,$E41,m6_cv!$B:$B,$A41),0))</f>
        <v>101</v>
      </c>
      <c r="M41">
        <f>MAX(0,ROUND(SUMIFS(m7_cv!$E:$E,m7_cv!$A:$A,$E41,m7_cv!$B:$B,$A41),0))</f>
        <v>0</v>
      </c>
      <c r="N41">
        <f>ROUND(_xlfn.XLOOKUP($D41,Charts!$W$82:$W$112,Charts!$X$82:$X$112)*$L41+_xlfn.XLOOKUP($D41,Charts!$W$82:$W$112,Charts!$Y$82:$Y$112)*$M41,0)</f>
        <v>51</v>
      </c>
    </row>
    <row r="42" spans="1:14" x14ac:dyDescent="0.25">
      <c r="A42" s="3">
        <f t="shared" si="4"/>
        <v>45698</v>
      </c>
      <c r="B42">
        <f t="shared" si="0"/>
        <v>2025</v>
      </c>
      <c r="C42">
        <f t="shared" si="1"/>
        <v>2</v>
      </c>
      <c r="D42">
        <f t="shared" si="2"/>
        <v>10</v>
      </c>
      <c r="E42" s="2">
        <f t="shared" si="3"/>
        <v>45688</v>
      </c>
      <c r="F42" s="12">
        <f>_xlfn.XLOOKUP($A42,m1_cv!$B:$B,m1_cv!$C:$C)</f>
        <v>1577</v>
      </c>
      <c r="G42">
        <f>MAX(0,ROUND(SUMIFS(m1_cv!$E:$E,m1_cv!$A:$A,$E42,m1_cv!$B:$B,$A42),0))</f>
        <v>2654</v>
      </c>
      <c r="H42">
        <f>MAX(0,ROUND(SUMIFS(m2_cv!$E:$E,m2_cv!$A:$A,$E42,m2_cv!$B:$B,$A42),0))</f>
        <v>1547</v>
      </c>
      <c r="I42">
        <f>MAX(0,ROUND(SUMIFS(m3_cv!$E:$E,m3_cv!$A:$A,$E42,m3_cv!$B:$B,$A42),0))</f>
        <v>2087</v>
      </c>
      <c r="J42">
        <f>MAX(0,ROUND(SUMIFS(m4_cv!$E:$E,m4_cv!$A:$A,$E42,m4_cv!$B:$B,$A42),0))</f>
        <v>2085</v>
      </c>
      <c r="K42">
        <f>MAX(0,ROUND(SUMIFS(m5_cv!$E:$E,m5_cv!$A:$A,$E42,m5_cv!$B:$B,$A42),0))</f>
        <v>1877</v>
      </c>
      <c r="L42">
        <f>MAX(0,ROUND(SUMIFS(m6_cv!$E:$E,m6_cv!$A:$A,$E42,m6_cv!$B:$B,$A42),0))</f>
        <v>1272</v>
      </c>
      <c r="M42">
        <f>MAX(0,ROUND(SUMIFS(m7_cv!$E:$E,m7_cv!$A:$A,$E42,m7_cv!$B:$B,$A42),0))</f>
        <v>1876</v>
      </c>
      <c r="N42">
        <f>ROUND(_xlfn.XLOOKUP($D42,Charts!$W$82:$W$112,Charts!$X$82:$X$112)*$L42+_xlfn.XLOOKUP($D42,Charts!$W$82:$W$112,Charts!$Y$82:$Y$112)*$M42,0)</f>
        <v>1574</v>
      </c>
    </row>
    <row r="43" spans="1:14" x14ac:dyDescent="0.25">
      <c r="A43" s="3">
        <f t="shared" si="4"/>
        <v>45699</v>
      </c>
      <c r="B43">
        <f t="shared" si="0"/>
        <v>2025</v>
      </c>
      <c r="C43">
        <f t="shared" si="1"/>
        <v>2</v>
      </c>
      <c r="D43">
        <f t="shared" si="2"/>
        <v>11</v>
      </c>
      <c r="E43" s="2">
        <f t="shared" si="3"/>
        <v>45688</v>
      </c>
      <c r="F43" s="12">
        <f>_xlfn.XLOOKUP($A43,m1_cv!$B:$B,m1_cv!$C:$C)</f>
        <v>555</v>
      </c>
      <c r="G43">
        <f>MAX(0,ROUND(SUMIFS(m1_cv!$E:$E,m1_cv!$A:$A,$E43,m1_cv!$B:$B,$A43),0))</f>
        <v>3221</v>
      </c>
      <c r="H43">
        <f>MAX(0,ROUND(SUMIFS(m2_cv!$E:$E,m2_cv!$A:$A,$E43,m2_cv!$B:$B,$A43),0))</f>
        <v>2321</v>
      </c>
      <c r="I43">
        <f>MAX(0,ROUND(SUMIFS(m3_cv!$E:$E,m3_cv!$A:$A,$E43,m3_cv!$B:$B,$A43),0))</f>
        <v>1040</v>
      </c>
      <c r="J43">
        <f>MAX(0,ROUND(SUMIFS(m4_cv!$E:$E,m4_cv!$A:$A,$E43,m4_cv!$B:$B,$A43),0))</f>
        <v>1035</v>
      </c>
      <c r="K43">
        <f>MAX(0,ROUND(SUMIFS(m5_cv!$E:$E,m5_cv!$A:$A,$E43,m5_cv!$B:$B,$A43),0))</f>
        <v>701</v>
      </c>
      <c r="L43">
        <f>MAX(0,ROUND(SUMIFS(m6_cv!$E:$E,m6_cv!$A:$A,$E43,m6_cv!$B:$B,$A43),0))</f>
        <v>199</v>
      </c>
      <c r="M43">
        <f>MAX(0,ROUND(SUMIFS(m7_cv!$E:$E,m7_cv!$A:$A,$E43,m7_cv!$B:$B,$A43),0))</f>
        <v>732</v>
      </c>
      <c r="N43">
        <f>ROUND(_xlfn.XLOOKUP($D43,Charts!$W$82:$W$112,Charts!$X$82:$X$112)*$L43+_xlfn.XLOOKUP($D43,Charts!$W$82:$W$112,Charts!$Y$82:$Y$112)*$M43,0)</f>
        <v>572</v>
      </c>
    </row>
    <row r="44" spans="1:14" x14ac:dyDescent="0.25">
      <c r="A44" s="3">
        <f t="shared" si="4"/>
        <v>45700</v>
      </c>
      <c r="B44">
        <f t="shared" si="0"/>
        <v>2025</v>
      </c>
      <c r="C44">
        <f t="shared" si="1"/>
        <v>2</v>
      </c>
      <c r="D44">
        <f t="shared" si="2"/>
        <v>12</v>
      </c>
      <c r="E44" s="2">
        <f t="shared" si="3"/>
        <v>45688</v>
      </c>
      <c r="F44" s="12">
        <f>_xlfn.XLOOKUP($A44,m1_cv!$B:$B,m1_cv!$C:$C)</f>
        <v>1823</v>
      </c>
      <c r="G44">
        <f>MAX(0,ROUND(SUMIFS(m1_cv!$E:$E,m1_cv!$A:$A,$E44,m1_cv!$B:$B,$A44),0))</f>
        <v>3154</v>
      </c>
      <c r="H44">
        <f>MAX(0,ROUND(SUMIFS(m2_cv!$E:$E,m2_cv!$A:$A,$E44,m2_cv!$B:$B,$A44),0))</f>
        <v>2307</v>
      </c>
      <c r="I44">
        <f>MAX(0,ROUND(SUMIFS(m3_cv!$E:$E,m3_cv!$A:$A,$E44,m3_cv!$B:$B,$A44),0))</f>
        <v>2630</v>
      </c>
      <c r="J44">
        <f>MAX(0,ROUND(SUMIFS(m4_cv!$E:$E,m4_cv!$A:$A,$E44,m4_cv!$B:$B,$A44),0))</f>
        <v>2629</v>
      </c>
      <c r="K44">
        <f>MAX(0,ROUND(SUMIFS(m5_cv!$E:$E,m5_cv!$A:$A,$E44,m5_cv!$B:$B,$A44),0))</f>
        <v>2291</v>
      </c>
      <c r="L44">
        <f>MAX(0,ROUND(SUMIFS(m6_cv!$E:$E,m6_cv!$A:$A,$E44,m6_cv!$B:$B,$A44),0))</f>
        <v>1969</v>
      </c>
      <c r="M44">
        <f>MAX(0,ROUND(SUMIFS(m7_cv!$E:$E,m7_cv!$A:$A,$E44,m7_cv!$B:$B,$A44),0))</f>
        <v>2312</v>
      </c>
      <c r="N44">
        <f>ROUND(_xlfn.XLOOKUP($D44,Charts!$W$82:$W$112,Charts!$X$82:$X$112)*$L44+_xlfn.XLOOKUP($D44,Charts!$W$82:$W$112,Charts!$Y$82:$Y$112)*$M44,0)</f>
        <v>2209</v>
      </c>
    </row>
    <row r="45" spans="1:14" x14ac:dyDescent="0.25">
      <c r="A45" s="3">
        <f t="shared" si="4"/>
        <v>45701</v>
      </c>
      <c r="B45">
        <f t="shared" si="0"/>
        <v>2025</v>
      </c>
      <c r="C45">
        <f t="shared" si="1"/>
        <v>2</v>
      </c>
      <c r="D45">
        <f t="shared" si="2"/>
        <v>13</v>
      </c>
      <c r="E45" s="2">
        <f t="shared" si="3"/>
        <v>45688</v>
      </c>
      <c r="F45" s="12">
        <f>_xlfn.XLOOKUP($A45,m1_cv!$B:$B,m1_cv!$C:$C)</f>
        <v>2210</v>
      </c>
      <c r="G45">
        <f>MAX(0,ROUND(SUMIFS(m1_cv!$E:$E,m1_cv!$A:$A,$E45,m1_cv!$B:$B,$A45),0))</f>
        <v>3161</v>
      </c>
      <c r="H45">
        <f>MAX(0,ROUND(SUMIFS(m2_cv!$E:$E,m2_cv!$A:$A,$E45,m2_cv!$B:$B,$A45),0))</f>
        <v>2281</v>
      </c>
      <c r="I45">
        <f>MAX(0,ROUND(SUMIFS(m3_cv!$E:$E,m3_cv!$A:$A,$E45,m3_cv!$B:$B,$A45),0))</f>
        <v>2463</v>
      </c>
      <c r="J45">
        <f>MAX(0,ROUND(SUMIFS(m4_cv!$E:$E,m4_cv!$A:$A,$E45,m4_cv!$B:$B,$A45),0))</f>
        <v>2462</v>
      </c>
      <c r="K45">
        <f>MAX(0,ROUND(SUMIFS(m5_cv!$E:$E,m5_cv!$A:$A,$E45,m5_cv!$B:$B,$A45),0))</f>
        <v>2314</v>
      </c>
      <c r="L45">
        <f>MAX(0,ROUND(SUMIFS(m6_cv!$E:$E,m6_cv!$A:$A,$E45,m6_cv!$B:$B,$A45),0))</f>
        <v>2194</v>
      </c>
      <c r="M45">
        <f>MAX(0,ROUND(SUMIFS(m7_cv!$E:$E,m7_cv!$A:$A,$E45,m7_cv!$B:$B,$A45),0))</f>
        <v>2311</v>
      </c>
      <c r="N45">
        <f>ROUND(_xlfn.XLOOKUP($D45,Charts!$W$82:$W$112,Charts!$X$82:$X$112)*$L45+_xlfn.XLOOKUP($D45,Charts!$W$82:$W$112,Charts!$Y$82:$Y$112)*$M45,0)</f>
        <v>2276</v>
      </c>
    </row>
    <row r="46" spans="1:14" x14ac:dyDescent="0.25">
      <c r="A46" s="3">
        <f t="shared" si="4"/>
        <v>45702</v>
      </c>
      <c r="B46">
        <f t="shared" si="0"/>
        <v>2025</v>
      </c>
      <c r="C46">
        <f t="shared" si="1"/>
        <v>2</v>
      </c>
      <c r="D46">
        <f t="shared" si="2"/>
        <v>14</v>
      </c>
      <c r="E46" s="2">
        <f t="shared" si="3"/>
        <v>45688</v>
      </c>
      <c r="F46" s="12">
        <f>_xlfn.XLOOKUP($A46,m1_cv!$B:$B,m1_cv!$C:$C)</f>
        <v>2308</v>
      </c>
      <c r="G46">
        <f>MAX(0,ROUND(SUMIFS(m1_cv!$E:$E,m1_cv!$A:$A,$E46,m1_cv!$B:$B,$A46),0))</f>
        <v>3090</v>
      </c>
      <c r="H46">
        <f>MAX(0,ROUND(SUMIFS(m2_cv!$E:$E,m2_cv!$A:$A,$E46,m2_cv!$B:$B,$A46),0))</f>
        <v>2279</v>
      </c>
      <c r="I46">
        <f>MAX(0,ROUND(SUMIFS(m3_cv!$E:$E,m3_cv!$A:$A,$E46,m3_cv!$B:$B,$A46),0))</f>
        <v>2295</v>
      </c>
      <c r="J46">
        <f>MAX(0,ROUND(SUMIFS(m4_cv!$E:$E,m4_cv!$A:$A,$E46,m4_cv!$B:$B,$A46),0))</f>
        <v>2294</v>
      </c>
      <c r="K46">
        <f>MAX(0,ROUND(SUMIFS(m5_cv!$E:$E,m5_cv!$A:$A,$E46,m5_cv!$B:$B,$A46),0))</f>
        <v>2330</v>
      </c>
      <c r="L46">
        <f>MAX(0,ROUND(SUMIFS(m6_cv!$E:$E,m6_cv!$A:$A,$E46,m6_cv!$B:$B,$A46),0))</f>
        <v>1975</v>
      </c>
      <c r="M46">
        <f>MAX(0,ROUND(SUMIFS(m7_cv!$E:$E,m7_cv!$A:$A,$E46,m7_cv!$B:$B,$A46),0))</f>
        <v>2316</v>
      </c>
      <c r="N46">
        <f>ROUND(_xlfn.XLOOKUP($D46,Charts!$W$82:$W$112,Charts!$X$82:$X$112)*$L46+_xlfn.XLOOKUP($D46,Charts!$W$82:$W$112,Charts!$Y$82:$Y$112)*$M46,0)</f>
        <v>2316</v>
      </c>
    </row>
    <row r="47" spans="1:14" x14ac:dyDescent="0.25">
      <c r="A47" s="3">
        <f t="shared" si="4"/>
        <v>45703</v>
      </c>
      <c r="B47">
        <f t="shared" si="0"/>
        <v>2025</v>
      </c>
      <c r="C47">
        <f t="shared" si="1"/>
        <v>2</v>
      </c>
      <c r="D47">
        <f t="shared" si="2"/>
        <v>15</v>
      </c>
      <c r="E47" s="2">
        <f t="shared" si="3"/>
        <v>45688</v>
      </c>
      <c r="F47" s="12">
        <f>_xlfn.XLOOKUP($A47,m1_cv!$B:$B,m1_cv!$C:$C)</f>
        <v>485</v>
      </c>
      <c r="G47">
        <f>MAX(0,ROUND(SUMIFS(m1_cv!$E:$E,m1_cv!$A:$A,$E47,m1_cv!$B:$B,$A47),0))</f>
        <v>924</v>
      </c>
      <c r="H47">
        <f>MAX(0,ROUND(SUMIFS(m2_cv!$E:$E,m2_cv!$A:$A,$E47,m2_cv!$B:$B,$A47),0))</f>
        <v>346</v>
      </c>
      <c r="I47">
        <f>MAX(0,ROUND(SUMIFS(m3_cv!$E:$E,m3_cv!$A:$A,$E47,m3_cv!$B:$B,$A47),0))</f>
        <v>366</v>
      </c>
      <c r="J47">
        <f>MAX(0,ROUND(SUMIFS(m4_cv!$E:$E,m4_cv!$A:$A,$E47,m4_cv!$B:$B,$A47),0))</f>
        <v>364</v>
      </c>
      <c r="K47">
        <f>MAX(0,ROUND(SUMIFS(m5_cv!$E:$E,m5_cv!$A:$A,$E47,m5_cv!$B:$B,$A47),0))</f>
        <v>334</v>
      </c>
      <c r="L47">
        <f>MAX(0,ROUND(SUMIFS(m6_cv!$E:$E,m6_cv!$A:$A,$E47,m6_cv!$B:$B,$A47),0))</f>
        <v>338</v>
      </c>
      <c r="M47">
        <f>MAX(0,ROUND(SUMIFS(m7_cv!$E:$E,m7_cv!$A:$A,$E47,m7_cv!$B:$B,$A47),0))</f>
        <v>331</v>
      </c>
      <c r="N47">
        <f>ROUND(_xlfn.XLOOKUP($D47,Charts!$W$82:$W$112,Charts!$X$82:$X$112)*$L47+_xlfn.XLOOKUP($D47,Charts!$W$82:$W$112,Charts!$Y$82:$Y$112)*$M47,0)</f>
        <v>331</v>
      </c>
    </row>
    <row r="48" spans="1:14" x14ac:dyDescent="0.25">
      <c r="A48" s="3">
        <f t="shared" si="4"/>
        <v>45704</v>
      </c>
      <c r="B48">
        <f t="shared" si="0"/>
        <v>2025</v>
      </c>
      <c r="C48">
        <f t="shared" si="1"/>
        <v>2</v>
      </c>
      <c r="D48">
        <f t="shared" si="2"/>
        <v>16</v>
      </c>
      <c r="E48" s="2">
        <f t="shared" si="3"/>
        <v>45688</v>
      </c>
      <c r="F48" s="12">
        <f>_xlfn.XLOOKUP($A48,m1_cv!$B:$B,m1_cv!$C:$C)</f>
        <v>118</v>
      </c>
      <c r="G48">
        <f>MAX(0,ROUND(SUMIFS(m1_cv!$E:$E,m1_cv!$A:$A,$E48,m1_cv!$B:$B,$A48),0))</f>
        <v>386</v>
      </c>
      <c r="H48">
        <f>MAX(0,ROUND(SUMIFS(m2_cv!$E:$E,m2_cv!$A:$A,$E48,m2_cv!$B:$B,$A48),0))</f>
        <v>71</v>
      </c>
      <c r="I48">
        <f>MAX(0,ROUND(SUMIFS(m3_cv!$E:$E,m3_cv!$A:$A,$E48,m3_cv!$B:$B,$A48),0))</f>
        <v>146</v>
      </c>
      <c r="J48">
        <f>MAX(0,ROUND(SUMIFS(m4_cv!$E:$E,m4_cv!$A:$A,$E48,m4_cv!$B:$B,$A48),0))</f>
        <v>144</v>
      </c>
      <c r="K48">
        <f>MAX(0,ROUND(SUMIFS(m5_cv!$E:$E,m5_cv!$A:$A,$E48,m5_cv!$B:$B,$A48),0))</f>
        <v>0</v>
      </c>
      <c r="L48">
        <f>MAX(0,ROUND(SUMIFS(m6_cv!$E:$E,m6_cv!$A:$A,$E48,m6_cv!$B:$B,$A48),0))</f>
        <v>144</v>
      </c>
      <c r="M48">
        <f>MAX(0,ROUND(SUMIFS(m7_cv!$E:$E,m7_cv!$A:$A,$E48,m7_cv!$B:$B,$A48),0))</f>
        <v>0</v>
      </c>
      <c r="N48">
        <f>ROUND(_xlfn.XLOOKUP($D48,Charts!$W$82:$W$112,Charts!$X$82:$X$112)*$L48+_xlfn.XLOOKUP($D48,Charts!$W$82:$W$112,Charts!$Y$82:$Y$112)*$M48,0)</f>
        <v>0</v>
      </c>
    </row>
    <row r="49" spans="1:14" x14ac:dyDescent="0.25">
      <c r="A49" s="3">
        <f t="shared" si="4"/>
        <v>45705</v>
      </c>
      <c r="B49">
        <f t="shared" si="0"/>
        <v>2025</v>
      </c>
      <c r="C49">
        <f t="shared" si="1"/>
        <v>2</v>
      </c>
      <c r="D49">
        <f t="shared" si="2"/>
        <v>17</v>
      </c>
      <c r="E49" s="2">
        <f t="shared" si="3"/>
        <v>45688</v>
      </c>
      <c r="F49" s="12">
        <f>_xlfn.XLOOKUP($A49,m1_cv!$B:$B,m1_cv!$C:$C)</f>
        <v>2482</v>
      </c>
      <c r="G49">
        <f>MAX(0,ROUND(SUMIFS(m1_cv!$E:$E,m1_cv!$A:$A,$E49,m1_cv!$B:$B,$A49),0))</f>
        <v>2679</v>
      </c>
      <c r="H49">
        <f>MAX(0,ROUND(SUMIFS(m2_cv!$E:$E,m2_cv!$A:$A,$E49,m2_cv!$B:$B,$A49),0))</f>
        <v>2475</v>
      </c>
      <c r="I49">
        <f>MAX(0,ROUND(SUMIFS(m3_cv!$E:$E,m3_cv!$A:$A,$E49,m3_cv!$B:$B,$A49),0))</f>
        <v>2751</v>
      </c>
      <c r="J49">
        <f>MAX(0,ROUND(SUMIFS(m4_cv!$E:$E,m4_cv!$A:$A,$E49,m4_cv!$B:$B,$A49),0))</f>
        <v>2749</v>
      </c>
      <c r="K49">
        <f>MAX(0,ROUND(SUMIFS(m5_cv!$E:$E,m5_cv!$A:$A,$E49,m5_cv!$B:$B,$A49),0))</f>
        <v>2437</v>
      </c>
      <c r="L49">
        <f>MAX(0,ROUND(SUMIFS(m6_cv!$E:$E,m6_cv!$A:$A,$E49,m6_cv!$B:$B,$A49),0))</f>
        <v>1830</v>
      </c>
      <c r="M49">
        <f>MAX(0,ROUND(SUMIFS(m7_cv!$E:$E,m7_cv!$A:$A,$E49,m7_cv!$B:$B,$A49),0))</f>
        <v>2426</v>
      </c>
      <c r="N49">
        <f>ROUND(_xlfn.XLOOKUP($D49,Charts!$W$82:$W$112,Charts!$X$82:$X$112)*$L49+_xlfn.XLOOKUP($D49,Charts!$W$82:$W$112,Charts!$Y$82:$Y$112)*$M49,0)</f>
        <v>2426</v>
      </c>
    </row>
    <row r="50" spans="1:14" x14ac:dyDescent="0.25">
      <c r="A50" s="3">
        <f t="shared" si="4"/>
        <v>45706</v>
      </c>
      <c r="B50">
        <f t="shared" si="0"/>
        <v>2025</v>
      </c>
      <c r="C50">
        <f t="shared" si="1"/>
        <v>2</v>
      </c>
      <c r="D50">
        <f t="shared" si="2"/>
        <v>18</v>
      </c>
      <c r="E50" s="2">
        <f t="shared" si="3"/>
        <v>45688</v>
      </c>
      <c r="F50" s="12">
        <f>_xlfn.XLOOKUP($A50,m1_cv!$B:$B,m1_cv!$C:$C)</f>
        <v>2913</v>
      </c>
      <c r="G50">
        <f>MAX(0,ROUND(SUMIFS(m1_cv!$E:$E,m1_cv!$A:$A,$E50,m1_cv!$B:$B,$A50),0))</f>
        <v>3262</v>
      </c>
      <c r="H50">
        <f>MAX(0,ROUND(SUMIFS(m2_cv!$E:$E,m2_cv!$A:$A,$E50,m2_cv!$B:$B,$A50),0))</f>
        <v>2946</v>
      </c>
      <c r="I50">
        <f>MAX(0,ROUND(SUMIFS(m3_cv!$E:$E,m3_cv!$A:$A,$E50,m3_cv!$B:$B,$A50),0))</f>
        <v>2938</v>
      </c>
      <c r="J50">
        <f>MAX(0,ROUND(SUMIFS(m4_cv!$E:$E,m4_cv!$A:$A,$E50,m4_cv!$B:$B,$A50),0))</f>
        <v>2936</v>
      </c>
      <c r="K50">
        <f>MAX(0,ROUND(SUMIFS(m5_cv!$E:$E,m5_cv!$A:$A,$E50,m5_cv!$B:$B,$A50),0))</f>
        <v>2740</v>
      </c>
      <c r="L50">
        <f>MAX(0,ROUND(SUMIFS(m6_cv!$E:$E,m6_cv!$A:$A,$E50,m6_cv!$B:$B,$A50),0))</f>
        <v>2427</v>
      </c>
      <c r="M50">
        <f>MAX(0,ROUND(SUMIFS(m7_cv!$E:$E,m7_cv!$A:$A,$E50,m7_cv!$B:$B,$A50),0))</f>
        <v>2799</v>
      </c>
      <c r="N50">
        <f>ROUND(_xlfn.XLOOKUP($D50,Charts!$W$82:$W$112,Charts!$X$82:$X$112)*$L50+_xlfn.XLOOKUP($D50,Charts!$W$82:$W$112,Charts!$Y$82:$Y$112)*$M50,0)</f>
        <v>2799</v>
      </c>
    </row>
    <row r="51" spans="1:14" x14ac:dyDescent="0.25">
      <c r="A51" s="3">
        <f t="shared" si="4"/>
        <v>45707</v>
      </c>
      <c r="B51">
        <f t="shared" si="0"/>
        <v>2025</v>
      </c>
      <c r="C51">
        <f t="shared" si="1"/>
        <v>2</v>
      </c>
      <c r="D51">
        <f t="shared" si="2"/>
        <v>19</v>
      </c>
      <c r="E51" s="2">
        <f t="shared" si="3"/>
        <v>45688</v>
      </c>
      <c r="F51" s="12">
        <f>_xlfn.XLOOKUP($A51,m1_cv!$B:$B,m1_cv!$C:$C)</f>
        <v>3106</v>
      </c>
      <c r="G51">
        <f>MAX(0,ROUND(SUMIFS(m1_cv!$E:$E,m1_cv!$A:$A,$E51,m1_cv!$B:$B,$A51),0))</f>
        <v>3213</v>
      </c>
      <c r="H51">
        <f>MAX(0,ROUND(SUMIFS(m2_cv!$E:$E,m2_cv!$A:$A,$E51,m2_cv!$B:$B,$A51),0))</f>
        <v>2843</v>
      </c>
      <c r="I51">
        <f>MAX(0,ROUND(SUMIFS(m3_cv!$E:$E,m3_cv!$A:$A,$E51,m3_cv!$B:$B,$A51),0))</f>
        <v>2818</v>
      </c>
      <c r="J51">
        <f>MAX(0,ROUND(SUMIFS(m4_cv!$E:$E,m4_cv!$A:$A,$E51,m4_cv!$B:$B,$A51),0))</f>
        <v>2816</v>
      </c>
      <c r="K51">
        <f>MAX(0,ROUND(SUMIFS(m5_cv!$E:$E,m5_cv!$A:$A,$E51,m5_cv!$B:$B,$A51),0))</f>
        <v>2832</v>
      </c>
      <c r="L51">
        <f>MAX(0,ROUND(SUMIFS(m6_cv!$E:$E,m6_cv!$A:$A,$E51,m6_cv!$B:$B,$A51),0))</f>
        <v>2784</v>
      </c>
      <c r="M51">
        <f>MAX(0,ROUND(SUMIFS(m7_cv!$E:$E,m7_cv!$A:$A,$E51,m7_cv!$B:$B,$A51),0))</f>
        <v>2909</v>
      </c>
      <c r="N51">
        <f>ROUND(_xlfn.XLOOKUP($D51,Charts!$W$82:$W$112,Charts!$X$82:$X$112)*$L51+_xlfn.XLOOKUP($D51,Charts!$W$82:$W$112,Charts!$Y$82:$Y$112)*$M51,0)</f>
        <v>2909</v>
      </c>
    </row>
    <row r="52" spans="1:14" x14ac:dyDescent="0.25">
      <c r="A52" s="3">
        <f t="shared" si="4"/>
        <v>45708</v>
      </c>
      <c r="B52">
        <f t="shared" si="0"/>
        <v>2025</v>
      </c>
      <c r="C52">
        <f t="shared" si="1"/>
        <v>2</v>
      </c>
      <c r="D52">
        <f t="shared" si="2"/>
        <v>20</v>
      </c>
      <c r="E52" s="2">
        <f t="shared" si="3"/>
        <v>45688</v>
      </c>
      <c r="F52" s="12">
        <f>_xlfn.XLOOKUP($A52,m1_cv!$B:$B,m1_cv!$C:$C)</f>
        <v>3104</v>
      </c>
      <c r="G52">
        <f>MAX(0,ROUND(SUMIFS(m1_cv!$E:$E,m1_cv!$A:$A,$E52,m1_cv!$B:$B,$A52),0))</f>
        <v>3237</v>
      </c>
      <c r="H52">
        <f>MAX(0,ROUND(SUMIFS(m2_cv!$E:$E,m2_cv!$A:$A,$E52,m2_cv!$B:$B,$A52),0))</f>
        <v>3042</v>
      </c>
      <c r="I52">
        <f>MAX(0,ROUND(SUMIFS(m3_cv!$E:$E,m3_cv!$A:$A,$E52,m3_cv!$B:$B,$A52),0))</f>
        <v>2891</v>
      </c>
      <c r="J52">
        <f>MAX(0,ROUND(SUMIFS(m4_cv!$E:$E,m4_cv!$A:$A,$E52,m4_cv!$B:$B,$A52),0))</f>
        <v>2889</v>
      </c>
      <c r="K52">
        <f>MAX(0,ROUND(SUMIFS(m5_cv!$E:$E,m5_cv!$A:$A,$E52,m5_cv!$B:$B,$A52),0))</f>
        <v>2993</v>
      </c>
      <c r="L52">
        <f>MAX(0,ROUND(SUMIFS(m6_cv!$E:$E,m6_cv!$A:$A,$E52,m6_cv!$B:$B,$A52),0))</f>
        <v>3200</v>
      </c>
      <c r="M52">
        <f>MAX(0,ROUND(SUMIFS(m7_cv!$E:$E,m7_cv!$A:$A,$E52,m7_cv!$B:$B,$A52),0))</f>
        <v>2899</v>
      </c>
      <c r="N52">
        <f>ROUND(_xlfn.XLOOKUP($D52,Charts!$W$82:$W$112,Charts!$X$82:$X$112)*$L52+_xlfn.XLOOKUP($D52,Charts!$W$82:$W$112,Charts!$Y$82:$Y$112)*$M52,0)</f>
        <v>2899</v>
      </c>
    </row>
    <row r="53" spans="1:14" x14ac:dyDescent="0.25">
      <c r="A53" s="3">
        <f t="shared" si="4"/>
        <v>45709</v>
      </c>
      <c r="B53">
        <f t="shared" si="0"/>
        <v>2025</v>
      </c>
      <c r="C53">
        <f t="shared" si="1"/>
        <v>2</v>
      </c>
      <c r="D53">
        <f t="shared" si="2"/>
        <v>21</v>
      </c>
      <c r="E53" s="2">
        <f t="shared" si="3"/>
        <v>45688</v>
      </c>
      <c r="F53" s="12">
        <f>_xlfn.XLOOKUP($A53,m1_cv!$B:$B,m1_cv!$C:$C)</f>
        <v>3309</v>
      </c>
      <c r="G53">
        <f>MAX(0,ROUND(SUMIFS(m1_cv!$E:$E,m1_cv!$A:$A,$E53,m1_cv!$B:$B,$A53),0))</f>
        <v>3184</v>
      </c>
      <c r="H53">
        <f>MAX(0,ROUND(SUMIFS(m2_cv!$E:$E,m2_cv!$A:$A,$E53,m2_cv!$B:$B,$A53),0))</f>
        <v>3346</v>
      </c>
      <c r="I53">
        <f>MAX(0,ROUND(SUMIFS(m3_cv!$E:$E,m3_cv!$A:$A,$E53,m3_cv!$B:$B,$A53),0))</f>
        <v>3089</v>
      </c>
      <c r="J53">
        <f>MAX(0,ROUND(SUMIFS(m4_cv!$E:$E,m4_cv!$A:$A,$E53,m4_cv!$B:$B,$A53),0))</f>
        <v>3088</v>
      </c>
      <c r="K53">
        <f>MAX(0,ROUND(SUMIFS(m5_cv!$E:$E,m5_cv!$A:$A,$E53,m5_cv!$B:$B,$A53),0))</f>
        <v>3067</v>
      </c>
      <c r="L53">
        <f>MAX(0,ROUND(SUMIFS(m6_cv!$E:$E,m6_cv!$A:$A,$E53,m6_cv!$B:$B,$A53),0))</f>
        <v>2975</v>
      </c>
      <c r="M53">
        <f>MAX(0,ROUND(SUMIFS(m7_cv!$E:$E,m7_cv!$A:$A,$E53,m7_cv!$B:$B,$A53),0))</f>
        <v>2977</v>
      </c>
      <c r="N53">
        <f>ROUND(_xlfn.XLOOKUP($D53,Charts!$W$82:$W$112,Charts!$X$82:$X$112)*$L53+_xlfn.XLOOKUP($D53,Charts!$W$82:$W$112,Charts!$Y$82:$Y$112)*$M53,0)</f>
        <v>2977</v>
      </c>
    </row>
    <row r="54" spans="1:14" x14ac:dyDescent="0.25">
      <c r="A54" s="3">
        <f t="shared" si="4"/>
        <v>45710</v>
      </c>
      <c r="B54">
        <f t="shared" si="0"/>
        <v>2025</v>
      </c>
      <c r="C54">
        <f t="shared" si="1"/>
        <v>2</v>
      </c>
      <c r="D54">
        <f t="shared" si="2"/>
        <v>22</v>
      </c>
      <c r="E54" s="2">
        <f t="shared" si="3"/>
        <v>45688</v>
      </c>
      <c r="F54" s="12">
        <f>_xlfn.XLOOKUP($A54,m1_cv!$B:$B,m1_cv!$C:$C)</f>
        <v>732</v>
      </c>
      <c r="G54">
        <f>MAX(0,ROUND(SUMIFS(m1_cv!$E:$E,m1_cv!$A:$A,$E54,m1_cv!$B:$B,$A54),0))</f>
        <v>1035</v>
      </c>
      <c r="H54">
        <f>MAX(0,ROUND(SUMIFS(m2_cv!$E:$E,m2_cv!$A:$A,$E54,m2_cv!$B:$B,$A54),0))</f>
        <v>1476</v>
      </c>
      <c r="I54">
        <f>MAX(0,ROUND(SUMIFS(m3_cv!$E:$E,m3_cv!$A:$A,$E54,m3_cv!$B:$B,$A54),0))</f>
        <v>1292</v>
      </c>
      <c r="J54">
        <f>MAX(0,ROUND(SUMIFS(m4_cv!$E:$E,m4_cv!$A:$A,$E54,m4_cv!$B:$B,$A54),0))</f>
        <v>1291</v>
      </c>
      <c r="K54">
        <f>MAX(0,ROUND(SUMIFS(m5_cv!$E:$E,m5_cv!$A:$A,$E54,m5_cv!$B:$B,$A54),0))</f>
        <v>1629</v>
      </c>
      <c r="L54">
        <f>MAX(0,ROUND(SUMIFS(m6_cv!$E:$E,m6_cv!$A:$A,$E54,m6_cv!$B:$B,$A54),0))</f>
        <v>906</v>
      </c>
      <c r="M54">
        <f>MAX(0,ROUND(SUMIFS(m7_cv!$E:$E,m7_cv!$A:$A,$E54,m7_cv!$B:$B,$A54),0))</f>
        <v>1897</v>
      </c>
      <c r="N54">
        <f>ROUND(_xlfn.XLOOKUP($D54,Charts!$W$82:$W$112,Charts!$X$82:$X$112)*$L54+_xlfn.XLOOKUP($D54,Charts!$W$82:$W$112,Charts!$Y$82:$Y$112)*$M54,0)</f>
        <v>1897</v>
      </c>
    </row>
    <row r="55" spans="1:14" x14ac:dyDescent="0.25">
      <c r="A55" s="3">
        <f t="shared" si="4"/>
        <v>45711</v>
      </c>
      <c r="B55">
        <f t="shared" si="0"/>
        <v>2025</v>
      </c>
      <c r="C55">
        <f t="shared" si="1"/>
        <v>2</v>
      </c>
      <c r="D55">
        <f t="shared" si="2"/>
        <v>23</v>
      </c>
      <c r="E55" s="2">
        <f t="shared" si="3"/>
        <v>45688</v>
      </c>
      <c r="F55" s="12">
        <f>_xlfn.XLOOKUP($A55,m1_cv!$B:$B,m1_cv!$C:$C)</f>
        <v>202</v>
      </c>
      <c r="G55">
        <f>MAX(0,ROUND(SUMIFS(m1_cv!$E:$E,m1_cv!$A:$A,$E55,m1_cv!$B:$B,$A55),0))</f>
        <v>513</v>
      </c>
      <c r="H55">
        <f>MAX(0,ROUND(SUMIFS(m2_cv!$E:$E,m2_cv!$A:$A,$E55,m2_cv!$B:$B,$A55),0))</f>
        <v>956</v>
      </c>
      <c r="I55">
        <f>MAX(0,ROUND(SUMIFS(m3_cv!$E:$E,m3_cv!$A:$A,$E55,m3_cv!$B:$B,$A55),0))</f>
        <v>874</v>
      </c>
      <c r="J55">
        <f>MAX(0,ROUND(SUMIFS(m4_cv!$E:$E,m4_cv!$A:$A,$E55,m4_cv!$B:$B,$A55),0))</f>
        <v>872</v>
      </c>
      <c r="K55">
        <f>MAX(0,ROUND(SUMIFS(m5_cv!$E:$E,m5_cv!$A:$A,$E55,m5_cv!$B:$B,$A55),0))</f>
        <v>1059</v>
      </c>
      <c r="L55">
        <f>MAX(0,ROUND(SUMIFS(m6_cv!$E:$E,m6_cv!$A:$A,$E55,m6_cv!$B:$B,$A55),0))</f>
        <v>359</v>
      </c>
      <c r="M55">
        <f>MAX(0,ROUND(SUMIFS(m7_cv!$E:$E,m7_cv!$A:$A,$E55,m7_cv!$B:$B,$A55),0))</f>
        <v>1258</v>
      </c>
      <c r="N55">
        <f>ROUND(_xlfn.XLOOKUP($D55,Charts!$W$82:$W$112,Charts!$X$82:$X$112)*$L55+_xlfn.XLOOKUP($D55,Charts!$W$82:$W$112,Charts!$Y$82:$Y$112)*$M55,0)</f>
        <v>1258</v>
      </c>
    </row>
    <row r="56" spans="1:14" x14ac:dyDescent="0.25">
      <c r="A56" s="3">
        <f t="shared" si="4"/>
        <v>45712</v>
      </c>
      <c r="B56">
        <f t="shared" si="0"/>
        <v>2025</v>
      </c>
      <c r="C56">
        <f t="shared" si="1"/>
        <v>2</v>
      </c>
      <c r="D56">
        <f t="shared" si="2"/>
        <v>24</v>
      </c>
      <c r="E56" s="2">
        <f t="shared" si="3"/>
        <v>45688</v>
      </c>
      <c r="F56" s="12">
        <f>_xlfn.XLOOKUP($A56,m1_cv!$B:$B,m1_cv!$C:$C)</f>
        <v>3545</v>
      </c>
      <c r="G56">
        <f>MAX(0,ROUND(SUMIFS(m1_cv!$E:$E,m1_cv!$A:$A,$E56,m1_cv!$B:$B,$A56),0))</f>
        <v>2820</v>
      </c>
      <c r="H56">
        <f>MAX(0,ROUND(SUMIFS(m2_cv!$E:$E,m2_cv!$A:$A,$E56,m2_cv!$B:$B,$A56),0))</f>
        <v>3116</v>
      </c>
      <c r="I56">
        <f>MAX(0,ROUND(SUMIFS(m3_cv!$E:$E,m3_cv!$A:$A,$E56,m3_cv!$B:$B,$A56),0))</f>
        <v>3255</v>
      </c>
      <c r="J56">
        <f>MAX(0,ROUND(SUMIFS(m4_cv!$E:$E,m4_cv!$A:$A,$E56,m4_cv!$B:$B,$A56),0))</f>
        <v>3253</v>
      </c>
      <c r="K56">
        <f>MAX(0,ROUND(SUMIFS(m5_cv!$E:$E,m5_cv!$A:$A,$E56,m5_cv!$B:$B,$A56),0))</f>
        <v>3486</v>
      </c>
      <c r="L56">
        <f>MAX(0,ROUND(SUMIFS(m6_cv!$E:$E,m6_cv!$A:$A,$E56,m6_cv!$B:$B,$A56),0))</f>
        <v>4125</v>
      </c>
      <c r="M56">
        <f>MAX(0,ROUND(SUMIFS(m7_cv!$E:$E,m7_cv!$A:$A,$E56,m7_cv!$B:$B,$A56),0))</f>
        <v>3431</v>
      </c>
      <c r="N56">
        <f>ROUND(_xlfn.XLOOKUP($D56,Charts!$W$82:$W$112,Charts!$X$82:$X$112)*$L56+_xlfn.XLOOKUP($D56,Charts!$W$82:$W$112,Charts!$Y$82:$Y$112)*$M56,0)</f>
        <v>4125</v>
      </c>
    </row>
    <row r="57" spans="1:14" x14ac:dyDescent="0.25">
      <c r="A57" s="3">
        <f t="shared" si="4"/>
        <v>45713</v>
      </c>
      <c r="B57">
        <f t="shared" si="0"/>
        <v>2025</v>
      </c>
      <c r="C57">
        <f t="shared" si="1"/>
        <v>2</v>
      </c>
      <c r="D57">
        <f t="shared" si="2"/>
        <v>25</v>
      </c>
      <c r="E57" s="2">
        <f t="shared" si="3"/>
        <v>45688</v>
      </c>
      <c r="F57" s="12">
        <f>_xlfn.XLOOKUP($A57,m1_cv!$B:$B,m1_cv!$C:$C)</f>
        <v>4868</v>
      </c>
      <c r="G57">
        <f>MAX(0,ROUND(SUMIFS(m1_cv!$E:$E,m1_cv!$A:$A,$E57,m1_cv!$B:$B,$A57),0))</f>
        <v>3415</v>
      </c>
      <c r="H57">
        <f>MAX(0,ROUND(SUMIFS(m2_cv!$E:$E,m2_cv!$A:$A,$E57,m2_cv!$B:$B,$A57),0))</f>
        <v>3780</v>
      </c>
      <c r="I57">
        <f>MAX(0,ROUND(SUMIFS(m3_cv!$E:$E,m3_cv!$A:$A,$E57,m3_cv!$B:$B,$A57),0))</f>
        <v>3655</v>
      </c>
      <c r="J57">
        <f>MAX(0,ROUND(SUMIFS(m4_cv!$E:$E,m4_cv!$A:$A,$E57,m4_cv!$B:$B,$A57),0))</f>
        <v>3653</v>
      </c>
      <c r="K57">
        <f>MAX(0,ROUND(SUMIFS(m5_cv!$E:$E,m5_cv!$A:$A,$E57,m5_cv!$B:$B,$A57),0))</f>
        <v>4005</v>
      </c>
      <c r="L57">
        <f>MAX(0,ROUND(SUMIFS(m6_cv!$E:$E,m6_cv!$A:$A,$E57,m6_cv!$B:$B,$A57),0))</f>
        <v>5177</v>
      </c>
      <c r="M57">
        <f>MAX(0,ROUND(SUMIFS(m7_cv!$E:$E,m7_cv!$A:$A,$E57,m7_cv!$B:$B,$A57),0))</f>
        <v>3979</v>
      </c>
      <c r="N57">
        <f>ROUND(_xlfn.XLOOKUP($D57,Charts!$W$82:$W$112,Charts!$X$82:$X$112)*$L57+_xlfn.XLOOKUP($D57,Charts!$W$82:$W$112,Charts!$Y$82:$Y$112)*$M57,0)</f>
        <v>5177</v>
      </c>
    </row>
    <row r="58" spans="1:14" x14ac:dyDescent="0.25">
      <c r="A58" s="3">
        <f t="shared" si="4"/>
        <v>45714</v>
      </c>
      <c r="B58">
        <f t="shared" si="0"/>
        <v>2025</v>
      </c>
      <c r="C58">
        <f t="shared" si="1"/>
        <v>2</v>
      </c>
      <c r="D58">
        <f t="shared" si="2"/>
        <v>26</v>
      </c>
      <c r="E58" s="2">
        <f t="shared" si="3"/>
        <v>45688</v>
      </c>
      <c r="F58" s="12">
        <f>_xlfn.XLOOKUP($A58,m1_cv!$B:$B,m1_cv!$C:$C)</f>
        <v>6187</v>
      </c>
      <c r="G58">
        <f>MAX(0,ROUND(SUMIFS(m1_cv!$E:$E,m1_cv!$A:$A,$E58,m1_cv!$B:$B,$A58),0))</f>
        <v>3376</v>
      </c>
      <c r="H58">
        <f>MAX(0,ROUND(SUMIFS(m2_cv!$E:$E,m2_cv!$A:$A,$E58,m2_cv!$B:$B,$A58),0))</f>
        <v>4461</v>
      </c>
      <c r="I58">
        <f>MAX(0,ROUND(SUMIFS(m3_cv!$E:$E,m3_cv!$A:$A,$E58,m3_cv!$B:$B,$A58),0))</f>
        <v>4358</v>
      </c>
      <c r="J58">
        <f>MAX(0,ROUND(SUMIFS(m4_cv!$E:$E,m4_cv!$A:$A,$E58,m4_cv!$B:$B,$A58),0))</f>
        <v>4356</v>
      </c>
      <c r="K58">
        <f>MAX(0,ROUND(SUMIFS(m5_cv!$E:$E,m5_cv!$A:$A,$E58,m5_cv!$B:$B,$A58),0))</f>
        <v>4513</v>
      </c>
      <c r="L58">
        <f>MAX(0,ROUND(SUMIFS(m6_cv!$E:$E,m6_cv!$A:$A,$E58,m6_cv!$B:$B,$A58),0))</f>
        <v>6055</v>
      </c>
      <c r="M58">
        <f>MAX(0,ROUND(SUMIFS(m7_cv!$E:$E,m7_cv!$A:$A,$E58,m7_cv!$B:$B,$A58),0))</f>
        <v>4546</v>
      </c>
      <c r="N58">
        <f>ROUND(_xlfn.XLOOKUP($D58,Charts!$W$82:$W$112,Charts!$X$82:$X$112)*$L58+_xlfn.XLOOKUP($D58,Charts!$W$82:$W$112,Charts!$Y$82:$Y$112)*$M58,0)</f>
        <v>6055</v>
      </c>
    </row>
    <row r="59" spans="1:14" x14ac:dyDescent="0.25">
      <c r="A59" s="3">
        <f t="shared" si="4"/>
        <v>45715</v>
      </c>
      <c r="B59">
        <f t="shared" si="0"/>
        <v>2025</v>
      </c>
      <c r="C59">
        <f t="shared" si="1"/>
        <v>2</v>
      </c>
      <c r="D59">
        <f t="shared" si="2"/>
        <v>27</v>
      </c>
      <c r="E59" s="2">
        <f t="shared" si="3"/>
        <v>45688</v>
      </c>
      <c r="F59" s="12">
        <f>_xlfn.XLOOKUP($A59,m1_cv!$B:$B,m1_cv!$C:$C)</f>
        <v>8082</v>
      </c>
      <c r="G59">
        <f>MAX(0,ROUND(SUMIFS(m1_cv!$E:$E,m1_cv!$A:$A,$E59,m1_cv!$B:$B,$A59),0))</f>
        <v>3408</v>
      </c>
      <c r="H59">
        <f>MAX(0,ROUND(SUMIFS(m2_cv!$E:$E,m2_cv!$A:$A,$E59,m2_cv!$B:$B,$A59),0))</f>
        <v>5702</v>
      </c>
      <c r="I59">
        <f>MAX(0,ROUND(SUMIFS(m3_cv!$E:$E,m3_cv!$A:$A,$E59,m3_cv!$B:$B,$A59),0))</f>
        <v>5529</v>
      </c>
      <c r="J59">
        <f>MAX(0,ROUND(SUMIFS(m4_cv!$E:$E,m4_cv!$A:$A,$E59,m4_cv!$B:$B,$A59),0))</f>
        <v>5528</v>
      </c>
      <c r="K59">
        <f>MAX(0,ROUND(SUMIFS(m5_cv!$E:$E,m5_cv!$A:$A,$E59,m5_cv!$B:$B,$A59),0))</f>
        <v>7282</v>
      </c>
      <c r="L59">
        <f>MAX(0,ROUND(SUMIFS(m6_cv!$E:$E,m6_cv!$A:$A,$E59,m6_cv!$B:$B,$A59),0))</f>
        <v>14126</v>
      </c>
      <c r="M59">
        <f>MAX(0,ROUND(SUMIFS(m7_cv!$E:$E,m7_cv!$A:$A,$E59,m7_cv!$B:$B,$A59),0))</f>
        <v>7261</v>
      </c>
      <c r="N59">
        <f>ROUND(_xlfn.XLOOKUP($D59,Charts!$W$82:$W$112,Charts!$X$82:$X$112)*$L59+_xlfn.XLOOKUP($D59,Charts!$W$82:$W$112,Charts!$Y$82:$Y$112)*$M59,0)</f>
        <v>14126</v>
      </c>
    </row>
    <row r="60" spans="1:14" x14ac:dyDescent="0.25">
      <c r="A60" s="3">
        <f t="shared" si="4"/>
        <v>45716</v>
      </c>
      <c r="B60">
        <f t="shared" si="0"/>
        <v>2025</v>
      </c>
      <c r="C60">
        <f t="shared" si="1"/>
        <v>2</v>
      </c>
      <c r="D60">
        <f t="shared" si="2"/>
        <v>28</v>
      </c>
      <c r="E60" s="2">
        <f t="shared" si="3"/>
        <v>45688</v>
      </c>
      <c r="F60" s="12">
        <f>_xlfn.XLOOKUP($A60,m1_cv!$B:$B,m1_cv!$C:$C)</f>
        <v>14838</v>
      </c>
      <c r="G60">
        <f>MAX(0,ROUND(SUMIFS(m1_cv!$E:$E,m1_cv!$A:$A,$E60,m1_cv!$B:$B,$A60),0))</f>
        <v>3358</v>
      </c>
      <c r="H60">
        <f>MAX(0,ROUND(SUMIFS(m2_cv!$E:$E,m2_cv!$A:$A,$E60,m2_cv!$B:$B,$A60),0))</f>
        <v>6682</v>
      </c>
      <c r="I60">
        <f>MAX(0,ROUND(SUMIFS(m3_cv!$E:$E,m3_cv!$A:$A,$E60,m3_cv!$B:$B,$A60),0))</f>
        <v>6447</v>
      </c>
      <c r="J60">
        <f>MAX(0,ROUND(SUMIFS(m4_cv!$E:$E,m4_cv!$A:$A,$E60,m4_cv!$B:$B,$A60),0))</f>
        <v>6445</v>
      </c>
      <c r="K60">
        <f>MAX(0,ROUND(SUMIFS(m5_cv!$E:$E,m5_cv!$A:$A,$E60,m5_cv!$B:$B,$A60),0))</f>
        <v>9540</v>
      </c>
      <c r="L60">
        <f>MAX(0,ROUND(SUMIFS(m6_cv!$E:$E,m6_cv!$A:$A,$E60,m6_cv!$B:$B,$A60),0))</f>
        <v>20657</v>
      </c>
      <c r="M60">
        <f>MAX(0,ROUND(SUMIFS(m7_cv!$E:$E,m7_cv!$A:$A,$E60,m7_cv!$B:$B,$A60),0))</f>
        <v>9764</v>
      </c>
      <c r="N60">
        <f>ROUND(_xlfn.XLOOKUP($D60,Charts!$W$82:$W$112,Charts!$X$82:$X$112)*$L60+_xlfn.XLOOKUP($D60,Charts!$W$82:$W$112,Charts!$Y$82:$Y$112)*$M60,0)</f>
        <v>20657</v>
      </c>
    </row>
    <row r="61" spans="1:14" x14ac:dyDescent="0.25">
      <c r="A61" s="3">
        <f t="shared" si="4"/>
        <v>45717</v>
      </c>
      <c r="B61">
        <f t="shared" si="0"/>
        <v>2025</v>
      </c>
      <c r="C61">
        <f t="shared" si="1"/>
        <v>3</v>
      </c>
      <c r="D61">
        <f t="shared" si="2"/>
        <v>1</v>
      </c>
      <c r="E61" s="2">
        <f t="shared" si="3"/>
        <v>45716</v>
      </c>
      <c r="F61" s="12">
        <f>_xlfn.XLOOKUP($A61,m1_cv!$B:$B,m1_cv!$C:$C)</f>
        <v>74</v>
      </c>
      <c r="G61">
        <f>MAX(0,ROUND(SUMIFS(m1_cv!$E:$E,m1_cv!$A:$A,$E61,m1_cv!$B:$B,$A61),0))</f>
        <v>1570</v>
      </c>
      <c r="H61">
        <f>MAX(0,ROUND(SUMIFS(m2_cv!$E:$E,m2_cv!$A:$A,$E61,m2_cv!$B:$B,$A61),0))</f>
        <v>4943</v>
      </c>
      <c r="I61">
        <f>MAX(0,ROUND(SUMIFS(m3_cv!$E:$E,m3_cv!$A:$A,$E61,m3_cv!$B:$B,$A61),0))</f>
        <v>4823</v>
      </c>
      <c r="J61">
        <f>MAX(0,ROUND(SUMIFS(m4_cv!$E:$E,m4_cv!$A:$A,$E61,m4_cv!$B:$B,$A61),0))</f>
        <v>4825</v>
      </c>
      <c r="K61">
        <f>MAX(0,ROUND(SUMIFS(m5_cv!$E:$E,m5_cv!$A:$A,$E61,m5_cv!$B:$B,$A61),0))</f>
        <v>1286</v>
      </c>
      <c r="L61">
        <f>MAX(0,ROUND(SUMIFS(m6_cv!$E:$E,m6_cv!$A:$A,$E61,m6_cv!$B:$B,$A61),0))</f>
        <v>270</v>
      </c>
      <c r="M61">
        <f>MAX(0,ROUND(SUMIFS(m7_cv!$E:$E,m7_cv!$A:$A,$E61,m7_cv!$B:$B,$A61),0))</f>
        <v>1484</v>
      </c>
      <c r="N61">
        <f>ROUND(_xlfn.XLOOKUP($D61,Charts!$W$82:$W$112,Charts!$X$82:$X$112)*$L61+_xlfn.XLOOKUP($D61,Charts!$W$82:$W$112,Charts!$Y$82:$Y$112)*$M61,0)</f>
        <v>270</v>
      </c>
    </row>
    <row r="62" spans="1:14" x14ac:dyDescent="0.25">
      <c r="A62" s="3">
        <f t="shared" si="4"/>
        <v>45718</v>
      </c>
      <c r="B62">
        <f t="shared" si="0"/>
        <v>2025</v>
      </c>
      <c r="C62">
        <f t="shared" si="1"/>
        <v>3</v>
      </c>
      <c r="D62">
        <f t="shared" si="2"/>
        <v>2</v>
      </c>
      <c r="E62" s="2">
        <f t="shared" si="3"/>
        <v>45716</v>
      </c>
      <c r="F62" s="12">
        <f>_xlfn.XLOOKUP($A62,m1_cv!$B:$B,m1_cv!$C:$C)</f>
        <v>27</v>
      </c>
      <c r="G62">
        <f>MAX(0,ROUND(SUMIFS(m1_cv!$E:$E,m1_cv!$A:$A,$E62,m1_cv!$B:$B,$A62),0))</f>
        <v>1054</v>
      </c>
      <c r="H62">
        <f>MAX(0,ROUND(SUMIFS(m2_cv!$E:$E,m2_cv!$A:$A,$E62,m2_cv!$B:$B,$A62),0))</f>
        <v>3281</v>
      </c>
      <c r="I62">
        <f>MAX(0,ROUND(SUMIFS(m3_cv!$E:$E,m3_cv!$A:$A,$E62,m3_cv!$B:$B,$A62),0))</f>
        <v>3231</v>
      </c>
      <c r="J62">
        <f>MAX(0,ROUND(SUMIFS(m4_cv!$E:$E,m4_cv!$A:$A,$E62,m4_cv!$B:$B,$A62),0))</f>
        <v>3237</v>
      </c>
      <c r="K62">
        <f>MAX(0,ROUND(SUMIFS(m5_cv!$E:$E,m5_cv!$A:$A,$E62,m5_cv!$B:$B,$A62),0))</f>
        <v>22</v>
      </c>
      <c r="L62">
        <f>MAX(0,ROUND(SUMIFS(m6_cv!$E:$E,m6_cv!$A:$A,$E62,m6_cv!$B:$B,$A62),0))</f>
        <v>71</v>
      </c>
      <c r="M62">
        <f>MAX(0,ROUND(SUMIFS(m7_cv!$E:$E,m7_cv!$A:$A,$E62,m7_cv!$B:$B,$A62),0))</f>
        <v>0</v>
      </c>
      <c r="N62">
        <f>ROUND(_xlfn.XLOOKUP($D62,Charts!$W$82:$W$112,Charts!$X$82:$X$112)*$L62+_xlfn.XLOOKUP($D62,Charts!$W$82:$W$112,Charts!$Y$82:$Y$112)*$M62,0)</f>
        <v>71</v>
      </c>
    </row>
    <row r="63" spans="1:14" x14ac:dyDescent="0.25">
      <c r="A63" s="3">
        <f t="shared" si="4"/>
        <v>45719</v>
      </c>
      <c r="B63">
        <f t="shared" si="0"/>
        <v>2025</v>
      </c>
      <c r="C63">
        <f t="shared" si="1"/>
        <v>3</v>
      </c>
      <c r="D63">
        <f t="shared" si="2"/>
        <v>3</v>
      </c>
      <c r="E63" s="2">
        <f t="shared" si="3"/>
        <v>45716</v>
      </c>
      <c r="F63" s="12">
        <f>_xlfn.XLOOKUP($A63,m1_cv!$B:$B,m1_cv!$C:$C)</f>
        <v>378</v>
      </c>
      <c r="G63">
        <f>MAX(0,ROUND(SUMIFS(m1_cv!$E:$E,m1_cv!$A:$A,$E63,m1_cv!$B:$B,$A63),0))</f>
        <v>3343</v>
      </c>
      <c r="H63">
        <f>MAX(0,ROUND(SUMIFS(m2_cv!$E:$E,m2_cv!$A:$A,$E63,m2_cv!$B:$B,$A63),0))</f>
        <v>3705</v>
      </c>
      <c r="I63">
        <f>MAX(0,ROUND(SUMIFS(m3_cv!$E:$E,m3_cv!$A:$A,$E63,m3_cv!$B:$B,$A63),0))</f>
        <v>3861</v>
      </c>
      <c r="J63">
        <f>MAX(0,ROUND(SUMIFS(m4_cv!$E:$E,m4_cv!$A:$A,$E63,m4_cv!$B:$B,$A63),0))</f>
        <v>3867</v>
      </c>
      <c r="K63">
        <f>MAX(0,ROUND(SUMIFS(m5_cv!$E:$E,m5_cv!$A:$A,$E63,m5_cv!$B:$B,$A63),0))</f>
        <v>1839</v>
      </c>
      <c r="L63">
        <f>MAX(0,ROUND(SUMIFS(m6_cv!$E:$E,m6_cv!$A:$A,$E63,m6_cv!$B:$B,$A63),0))</f>
        <v>1001</v>
      </c>
      <c r="M63">
        <f>MAX(0,ROUND(SUMIFS(m7_cv!$E:$E,m7_cv!$A:$A,$E63,m7_cv!$B:$B,$A63),0))</f>
        <v>1511</v>
      </c>
      <c r="N63">
        <f>ROUND(_xlfn.XLOOKUP($D63,Charts!$W$82:$W$112,Charts!$X$82:$X$112)*$L63+_xlfn.XLOOKUP($D63,Charts!$W$82:$W$112,Charts!$Y$82:$Y$112)*$M63,0)</f>
        <v>1001</v>
      </c>
    </row>
    <row r="64" spans="1:14" x14ac:dyDescent="0.25">
      <c r="A64" s="3">
        <f t="shared" si="4"/>
        <v>45720</v>
      </c>
      <c r="B64">
        <f t="shared" si="0"/>
        <v>2025</v>
      </c>
      <c r="C64">
        <f t="shared" si="1"/>
        <v>3</v>
      </c>
      <c r="D64">
        <f t="shared" si="2"/>
        <v>4</v>
      </c>
      <c r="E64" s="2">
        <f t="shared" si="3"/>
        <v>45716</v>
      </c>
      <c r="F64" s="12">
        <f>_xlfn.XLOOKUP($A64,m1_cv!$B:$B,m1_cv!$C:$C)</f>
        <v>666</v>
      </c>
      <c r="G64">
        <f>MAX(0,ROUND(SUMIFS(m1_cv!$E:$E,m1_cv!$A:$A,$E64,m1_cv!$B:$B,$A64),0))</f>
        <v>3914</v>
      </c>
      <c r="H64">
        <f>MAX(0,ROUND(SUMIFS(m2_cv!$E:$E,m2_cv!$A:$A,$E64,m2_cv!$B:$B,$A64),0))</f>
        <v>2522</v>
      </c>
      <c r="I64">
        <f>MAX(0,ROUND(SUMIFS(m3_cv!$E:$E,m3_cv!$A:$A,$E64,m3_cv!$B:$B,$A64),0))</f>
        <v>2456</v>
      </c>
      <c r="J64">
        <f>MAX(0,ROUND(SUMIFS(m4_cv!$E:$E,m4_cv!$A:$A,$E64,m4_cv!$B:$B,$A64),0))</f>
        <v>2461</v>
      </c>
      <c r="K64">
        <f>MAX(0,ROUND(SUMIFS(m5_cv!$E:$E,m5_cv!$A:$A,$E64,m5_cv!$B:$B,$A64),0))</f>
        <v>1729</v>
      </c>
      <c r="L64">
        <f>MAX(0,ROUND(SUMIFS(m6_cv!$E:$E,m6_cv!$A:$A,$E64,m6_cv!$B:$B,$A64),0))</f>
        <v>983</v>
      </c>
      <c r="M64">
        <f>MAX(0,ROUND(SUMIFS(m7_cv!$E:$E,m7_cv!$A:$A,$E64,m7_cv!$B:$B,$A64),0))</f>
        <v>1844</v>
      </c>
      <c r="N64">
        <f>ROUND(_xlfn.XLOOKUP($D64,Charts!$W$82:$W$112,Charts!$X$82:$X$112)*$L64+_xlfn.XLOOKUP($D64,Charts!$W$82:$W$112,Charts!$Y$82:$Y$112)*$M64,0)</f>
        <v>983</v>
      </c>
    </row>
    <row r="65" spans="1:14" x14ac:dyDescent="0.25">
      <c r="A65" s="3">
        <f t="shared" si="4"/>
        <v>45721</v>
      </c>
      <c r="B65">
        <f t="shared" si="0"/>
        <v>2025</v>
      </c>
      <c r="C65">
        <f t="shared" si="1"/>
        <v>3</v>
      </c>
      <c r="D65">
        <f t="shared" si="2"/>
        <v>5</v>
      </c>
      <c r="E65" s="2">
        <f t="shared" si="3"/>
        <v>45716</v>
      </c>
      <c r="F65" s="12">
        <f>_xlfn.XLOOKUP($A65,m1_cv!$B:$B,m1_cv!$C:$C)</f>
        <v>793</v>
      </c>
      <c r="G65">
        <f>MAX(0,ROUND(SUMIFS(m1_cv!$E:$E,m1_cv!$A:$A,$E65,m1_cv!$B:$B,$A65),0))</f>
        <v>3871</v>
      </c>
      <c r="H65">
        <f>MAX(0,ROUND(SUMIFS(m2_cv!$E:$E,m2_cv!$A:$A,$E65,m2_cv!$B:$B,$A65),0))</f>
        <v>1604</v>
      </c>
      <c r="I65">
        <f>MAX(0,ROUND(SUMIFS(m3_cv!$E:$E,m3_cv!$A:$A,$E65,m3_cv!$B:$B,$A65),0))</f>
        <v>1597</v>
      </c>
      <c r="J65">
        <f>MAX(0,ROUND(SUMIFS(m4_cv!$E:$E,m4_cv!$A:$A,$E65,m4_cv!$B:$B,$A65),0))</f>
        <v>1601</v>
      </c>
      <c r="K65">
        <f>MAX(0,ROUND(SUMIFS(m5_cv!$E:$E,m5_cv!$A:$A,$E65,m5_cv!$B:$B,$A65),0))</f>
        <v>1742</v>
      </c>
      <c r="L65">
        <f>MAX(0,ROUND(SUMIFS(m6_cv!$E:$E,m6_cv!$A:$A,$E65,m6_cv!$B:$B,$A65),0))</f>
        <v>949</v>
      </c>
      <c r="M65">
        <f>MAX(0,ROUND(SUMIFS(m7_cv!$E:$E,m7_cv!$A:$A,$E65,m7_cv!$B:$B,$A65),0))</f>
        <v>1872</v>
      </c>
      <c r="N65">
        <f>ROUND(_xlfn.XLOOKUP($D65,Charts!$W$82:$W$112,Charts!$X$82:$X$112)*$L65+_xlfn.XLOOKUP($D65,Charts!$W$82:$W$112,Charts!$Y$82:$Y$112)*$M65,0)</f>
        <v>1134</v>
      </c>
    </row>
    <row r="66" spans="1:14" x14ac:dyDescent="0.25">
      <c r="A66" s="3">
        <f t="shared" si="4"/>
        <v>45722</v>
      </c>
      <c r="B66">
        <f t="shared" si="0"/>
        <v>2025</v>
      </c>
      <c r="C66">
        <f t="shared" si="1"/>
        <v>3</v>
      </c>
      <c r="D66">
        <f t="shared" si="2"/>
        <v>6</v>
      </c>
      <c r="E66" s="2">
        <f t="shared" si="3"/>
        <v>45716</v>
      </c>
      <c r="F66" s="12">
        <f>_xlfn.XLOOKUP($A66,m1_cv!$B:$B,m1_cv!$C:$C)</f>
        <v>1426</v>
      </c>
      <c r="G66">
        <f>MAX(0,ROUND(SUMIFS(m1_cv!$E:$E,m1_cv!$A:$A,$E66,m1_cv!$B:$B,$A66),0))</f>
        <v>3887</v>
      </c>
      <c r="H66">
        <f>MAX(0,ROUND(SUMIFS(m2_cv!$E:$E,m2_cv!$A:$A,$E66,m2_cv!$B:$B,$A66),0))</f>
        <v>1660</v>
      </c>
      <c r="I66">
        <f>MAX(0,ROUND(SUMIFS(m3_cv!$E:$E,m3_cv!$A:$A,$E66,m3_cv!$B:$B,$A66),0))</f>
        <v>1616</v>
      </c>
      <c r="J66">
        <f>MAX(0,ROUND(SUMIFS(m4_cv!$E:$E,m4_cv!$A:$A,$E66,m4_cv!$B:$B,$A66),0))</f>
        <v>1620</v>
      </c>
      <c r="K66">
        <f>MAX(0,ROUND(SUMIFS(m5_cv!$E:$E,m5_cv!$A:$A,$E66,m5_cv!$B:$B,$A66),0))</f>
        <v>1912</v>
      </c>
      <c r="L66">
        <f>MAX(0,ROUND(SUMIFS(m6_cv!$E:$E,m6_cv!$A:$A,$E66,m6_cv!$B:$B,$A66),0))</f>
        <v>1076</v>
      </c>
      <c r="M66">
        <f>MAX(0,ROUND(SUMIFS(m7_cv!$E:$E,m7_cv!$A:$A,$E66,m7_cv!$B:$B,$A66),0))</f>
        <v>1808</v>
      </c>
      <c r="N66">
        <f>ROUND(_xlfn.XLOOKUP($D66,Charts!$W$82:$W$112,Charts!$X$82:$X$112)*$L66+_xlfn.XLOOKUP($D66,Charts!$W$82:$W$112,Charts!$Y$82:$Y$112)*$M66,0)</f>
        <v>1442</v>
      </c>
    </row>
    <row r="67" spans="1:14" x14ac:dyDescent="0.25">
      <c r="A67" s="3">
        <f t="shared" si="4"/>
        <v>45723</v>
      </c>
      <c r="B67">
        <f t="shared" ref="B67:B130" si="5">YEAR(A67)</f>
        <v>2025</v>
      </c>
      <c r="C67">
        <f t="shared" ref="C67:C130" si="6">MONTH($A67)</f>
        <v>3</v>
      </c>
      <c r="D67">
        <f t="shared" ref="D67:D130" si="7">DAY($A67)</f>
        <v>7</v>
      </c>
      <c r="E67" s="2">
        <f t="shared" ref="E67:E130" si="8">DATE($B67,$C67,1)-1</f>
        <v>45716</v>
      </c>
      <c r="F67" s="12">
        <f>_xlfn.XLOOKUP($A67,m1_cv!$B:$B,m1_cv!$C:$C)</f>
        <v>1674</v>
      </c>
      <c r="G67">
        <f>MAX(0,ROUND(SUMIFS(m1_cv!$E:$E,m1_cv!$A:$A,$E67,m1_cv!$B:$B,$A67),0))</f>
        <v>3847</v>
      </c>
      <c r="H67">
        <f>MAX(0,ROUND(SUMIFS(m2_cv!$E:$E,m2_cv!$A:$A,$E67,m2_cv!$B:$B,$A67),0))</f>
        <v>2095</v>
      </c>
      <c r="I67">
        <f>MAX(0,ROUND(SUMIFS(m3_cv!$E:$E,m3_cv!$A:$A,$E67,m3_cv!$B:$B,$A67),0))</f>
        <v>1960</v>
      </c>
      <c r="J67">
        <f>MAX(0,ROUND(SUMIFS(m4_cv!$E:$E,m4_cv!$A:$A,$E67,m4_cv!$B:$B,$A67),0))</f>
        <v>1964</v>
      </c>
      <c r="K67">
        <f>MAX(0,ROUND(SUMIFS(m5_cv!$E:$E,m5_cv!$A:$A,$E67,m5_cv!$B:$B,$A67),0))</f>
        <v>1947</v>
      </c>
      <c r="L67">
        <f>MAX(0,ROUND(SUMIFS(m6_cv!$E:$E,m6_cv!$A:$A,$E67,m6_cv!$B:$B,$A67),0))</f>
        <v>1079</v>
      </c>
      <c r="M67">
        <f>MAX(0,ROUND(SUMIFS(m7_cv!$E:$E,m7_cv!$A:$A,$E67,m7_cv!$B:$B,$A67),0))</f>
        <v>1802</v>
      </c>
      <c r="N67">
        <f>ROUND(_xlfn.XLOOKUP($D67,Charts!$W$82:$W$112,Charts!$X$82:$X$112)*$L67+_xlfn.XLOOKUP($D67,Charts!$W$82:$W$112,Charts!$Y$82:$Y$112)*$M67,0)</f>
        <v>1441</v>
      </c>
    </row>
    <row r="68" spans="1:14" x14ac:dyDescent="0.25">
      <c r="A68" s="3">
        <f t="shared" ref="A68:A131" si="9">A67+1</f>
        <v>45724</v>
      </c>
      <c r="B68">
        <f t="shared" si="5"/>
        <v>2025</v>
      </c>
      <c r="C68">
        <f t="shared" si="6"/>
        <v>3</v>
      </c>
      <c r="D68">
        <f t="shared" si="7"/>
        <v>8</v>
      </c>
      <c r="E68" s="2">
        <f t="shared" si="8"/>
        <v>45716</v>
      </c>
      <c r="F68" s="12">
        <f>_xlfn.XLOOKUP($A68,m1_cv!$B:$B,m1_cv!$C:$C)</f>
        <v>310</v>
      </c>
      <c r="G68">
        <f>MAX(0,ROUND(SUMIFS(m1_cv!$E:$E,m1_cv!$A:$A,$E68,m1_cv!$B:$B,$A68),0))</f>
        <v>1593</v>
      </c>
      <c r="H68">
        <f>MAX(0,ROUND(SUMIFS(m2_cv!$E:$E,m2_cv!$A:$A,$E68,m2_cv!$B:$B,$A68),0))</f>
        <v>225</v>
      </c>
      <c r="I68">
        <f>MAX(0,ROUND(SUMIFS(m3_cv!$E:$E,m3_cv!$A:$A,$E68,m3_cv!$B:$B,$A68),0))</f>
        <v>95</v>
      </c>
      <c r="J68">
        <f>MAX(0,ROUND(SUMIFS(m4_cv!$E:$E,m4_cv!$A:$A,$E68,m4_cv!$B:$B,$A68),0))</f>
        <v>97</v>
      </c>
      <c r="K68">
        <f>MAX(0,ROUND(SUMIFS(m5_cv!$E:$E,m5_cv!$A:$A,$E68,m5_cv!$B:$B,$A68),0))</f>
        <v>437</v>
      </c>
      <c r="L68">
        <f>MAX(0,ROUND(SUMIFS(m6_cv!$E:$E,m6_cv!$A:$A,$E68,m6_cv!$B:$B,$A68),0))</f>
        <v>369</v>
      </c>
      <c r="M68">
        <f>MAX(0,ROUND(SUMIFS(m7_cv!$E:$E,m7_cv!$A:$A,$E68,m7_cv!$B:$B,$A68),0))</f>
        <v>433</v>
      </c>
      <c r="N68">
        <f>ROUND(_xlfn.XLOOKUP($D68,Charts!$W$82:$W$112,Charts!$X$82:$X$112)*$L68+_xlfn.XLOOKUP($D68,Charts!$W$82:$W$112,Charts!$Y$82:$Y$112)*$M68,0)</f>
        <v>401</v>
      </c>
    </row>
    <row r="69" spans="1:14" x14ac:dyDescent="0.25">
      <c r="A69" s="3">
        <f t="shared" si="9"/>
        <v>45725</v>
      </c>
      <c r="B69">
        <f t="shared" si="5"/>
        <v>2025</v>
      </c>
      <c r="C69">
        <f t="shared" si="6"/>
        <v>3</v>
      </c>
      <c r="D69">
        <f t="shared" si="7"/>
        <v>9</v>
      </c>
      <c r="E69" s="2">
        <f t="shared" si="8"/>
        <v>45716</v>
      </c>
      <c r="F69" s="12">
        <f>_xlfn.XLOOKUP($A69,m1_cv!$B:$B,m1_cv!$C:$C)</f>
        <v>109</v>
      </c>
      <c r="G69">
        <f>MAX(0,ROUND(SUMIFS(m1_cv!$E:$E,m1_cv!$A:$A,$E69,m1_cv!$B:$B,$A69),0))</f>
        <v>1031</v>
      </c>
      <c r="H69">
        <f>MAX(0,ROUND(SUMIFS(m2_cv!$E:$E,m2_cv!$A:$A,$E69,m2_cv!$B:$B,$A69),0))</f>
        <v>0</v>
      </c>
      <c r="I69">
        <f>MAX(0,ROUND(SUMIFS(m3_cv!$E:$E,m3_cv!$A:$A,$E69,m3_cv!$B:$B,$A69),0))</f>
        <v>0</v>
      </c>
      <c r="J69">
        <f>MAX(0,ROUND(SUMIFS(m4_cv!$E:$E,m4_cv!$A:$A,$E69,m4_cv!$B:$B,$A69),0))</f>
        <v>0</v>
      </c>
      <c r="K69">
        <f>MAX(0,ROUND(SUMIFS(m5_cv!$E:$E,m5_cv!$A:$A,$E69,m5_cv!$B:$B,$A69),0))</f>
        <v>0</v>
      </c>
      <c r="L69">
        <f>MAX(0,ROUND(SUMIFS(m6_cv!$E:$E,m6_cv!$A:$A,$E69,m6_cv!$B:$B,$A69),0))</f>
        <v>143</v>
      </c>
      <c r="M69">
        <f>MAX(0,ROUND(SUMIFS(m7_cv!$E:$E,m7_cv!$A:$A,$E69,m7_cv!$B:$B,$A69),0))</f>
        <v>0</v>
      </c>
      <c r="N69">
        <f>ROUND(_xlfn.XLOOKUP($D69,Charts!$W$82:$W$112,Charts!$X$82:$X$112)*$L69+_xlfn.XLOOKUP($D69,Charts!$W$82:$W$112,Charts!$Y$82:$Y$112)*$M69,0)</f>
        <v>72</v>
      </c>
    </row>
    <row r="70" spans="1:14" x14ac:dyDescent="0.25">
      <c r="A70" s="3">
        <f t="shared" si="9"/>
        <v>45726</v>
      </c>
      <c r="B70">
        <f t="shared" si="5"/>
        <v>2025</v>
      </c>
      <c r="C70">
        <f t="shared" si="6"/>
        <v>3</v>
      </c>
      <c r="D70">
        <f t="shared" si="7"/>
        <v>10</v>
      </c>
      <c r="E70" s="2">
        <f t="shared" si="8"/>
        <v>45716</v>
      </c>
      <c r="F70" s="12">
        <f>_xlfn.XLOOKUP($A70,m1_cv!$B:$B,m1_cv!$C:$C)</f>
        <v>1900</v>
      </c>
      <c r="G70">
        <f>MAX(0,ROUND(SUMIFS(m1_cv!$E:$E,m1_cv!$A:$A,$E70,m1_cv!$B:$B,$A70),0))</f>
        <v>3276</v>
      </c>
      <c r="H70">
        <f>MAX(0,ROUND(SUMIFS(m2_cv!$E:$E,m2_cv!$A:$A,$E70,m2_cv!$B:$B,$A70),0))</f>
        <v>1870</v>
      </c>
      <c r="I70">
        <f>MAX(0,ROUND(SUMIFS(m3_cv!$E:$E,m3_cv!$A:$A,$E70,m3_cv!$B:$B,$A70),0))</f>
        <v>1925</v>
      </c>
      <c r="J70">
        <f>MAX(0,ROUND(SUMIFS(m4_cv!$E:$E,m4_cv!$A:$A,$E70,m4_cv!$B:$B,$A70),0))</f>
        <v>1930</v>
      </c>
      <c r="K70">
        <f>MAX(0,ROUND(SUMIFS(m5_cv!$E:$E,m5_cv!$A:$A,$E70,m5_cv!$B:$B,$A70),0))</f>
        <v>2092</v>
      </c>
      <c r="L70">
        <f>MAX(0,ROUND(SUMIFS(m6_cv!$E:$E,m6_cv!$A:$A,$E70,m6_cv!$B:$B,$A70),0))</f>
        <v>1604</v>
      </c>
      <c r="M70">
        <f>MAX(0,ROUND(SUMIFS(m7_cv!$E:$E,m7_cv!$A:$A,$E70,m7_cv!$B:$B,$A70),0))</f>
        <v>2160</v>
      </c>
      <c r="N70">
        <f>ROUND(_xlfn.XLOOKUP($D70,Charts!$W$82:$W$112,Charts!$X$82:$X$112)*$L70+_xlfn.XLOOKUP($D70,Charts!$W$82:$W$112,Charts!$Y$82:$Y$112)*$M70,0)</f>
        <v>1882</v>
      </c>
    </row>
    <row r="71" spans="1:14" x14ac:dyDescent="0.25">
      <c r="A71" s="3">
        <f t="shared" si="9"/>
        <v>45727</v>
      </c>
      <c r="B71">
        <f t="shared" si="5"/>
        <v>2025</v>
      </c>
      <c r="C71">
        <f t="shared" si="6"/>
        <v>3</v>
      </c>
      <c r="D71">
        <f t="shared" si="7"/>
        <v>11</v>
      </c>
      <c r="E71" s="2">
        <f t="shared" si="8"/>
        <v>45716</v>
      </c>
      <c r="F71" s="12">
        <f>_xlfn.XLOOKUP($A71,m1_cv!$B:$B,m1_cv!$C:$C)</f>
        <v>2294</v>
      </c>
      <c r="G71">
        <f>MAX(0,ROUND(SUMIFS(m1_cv!$E:$E,m1_cv!$A:$A,$E71,m1_cv!$B:$B,$A71),0))</f>
        <v>3808</v>
      </c>
      <c r="H71">
        <f>MAX(0,ROUND(SUMIFS(m2_cv!$E:$E,m2_cv!$A:$A,$E71,m2_cv!$B:$B,$A71),0))</f>
        <v>2391</v>
      </c>
      <c r="I71">
        <f>MAX(0,ROUND(SUMIFS(m3_cv!$E:$E,m3_cv!$A:$A,$E71,m3_cv!$B:$B,$A71),0))</f>
        <v>2286</v>
      </c>
      <c r="J71">
        <f>MAX(0,ROUND(SUMIFS(m4_cv!$E:$E,m4_cv!$A:$A,$E71,m4_cv!$B:$B,$A71),0))</f>
        <v>2291</v>
      </c>
      <c r="K71">
        <f>MAX(0,ROUND(SUMIFS(m5_cv!$E:$E,m5_cv!$A:$A,$E71,m5_cv!$B:$B,$A71),0))</f>
        <v>2460</v>
      </c>
      <c r="L71">
        <f>MAX(0,ROUND(SUMIFS(m6_cv!$E:$E,m6_cv!$A:$A,$E71,m6_cv!$B:$B,$A71),0))</f>
        <v>1899</v>
      </c>
      <c r="M71">
        <f>MAX(0,ROUND(SUMIFS(m7_cv!$E:$E,m7_cv!$A:$A,$E71,m7_cv!$B:$B,$A71),0))</f>
        <v>2370</v>
      </c>
      <c r="N71">
        <f>ROUND(_xlfn.XLOOKUP($D71,Charts!$W$82:$W$112,Charts!$X$82:$X$112)*$L71+_xlfn.XLOOKUP($D71,Charts!$W$82:$W$112,Charts!$Y$82:$Y$112)*$M71,0)</f>
        <v>2229</v>
      </c>
    </row>
    <row r="72" spans="1:14" x14ac:dyDescent="0.25">
      <c r="A72" s="3">
        <f t="shared" si="9"/>
        <v>45728</v>
      </c>
      <c r="B72">
        <f t="shared" si="5"/>
        <v>2025</v>
      </c>
      <c r="C72">
        <f t="shared" si="6"/>
        <v>3</v>
      </c>
      <c r="D72">
        <f t="shared" si="7"/>
        <v>12</v>
      </c>
      <c r="E72" s="2">
        <f t="shared" si="8"/>
        <v>45716</v>
      </c>
      <c r="F72" s="12">
        <f>_xlfn.XLOOKUP($A72,m1_cv!$B:$B,m1_cv!$C:$C)</f>
        <v>2576</v>
      </c>
      <c r="G72">
        <f>MAX(0,ROUND(SUMIFS(m1_cv!$E:$E,m1_cv!$A:$A,$E72,m1_cv!$B:$B,$A72),0))</f>
        <v>3731</v>
      </c>
      <c r="H72">
        <f>MAX(0,ROUND(SUMIFS(m2_cv!$E:$E,m2_cv!$A:$A,$E72,m2_cv!$B:$B,$A72),0))</f>
        <v>2541</v>
      </c>
      <c r="I72">
        <f>MAX(0,ROUND(SUMIFS(m3_cv!$E:$E,m3_cv!$A:$A,$E72,m3_cv!$B:$B,$A72),0))</f>
        <v>2594</v>
      </c>
      <c r="J72">
        <f>MAX(0,ROUND(SUMIFS(m4_cv!$E:$E,m4_cv!$A:$A,$E72,m4_cv!$B:$B,$A72),0))</f>
        <v>2598</v>
      </c>
      <c r="K72">
        <f>MAX(0,ROUND(SUMIFS(m5_cv!$E:$E,m5_cv!$A:$A,$E72,m5_cv!$B:$B,$A72),0))</f>
        <v>2609</v>
      </c>
      <c r="L72">
        <f>MAX(0,ROUND(SUMIFS(m6_cv!$E:$E,m6_cv!$A:$A,$E72,m6_cv!$B:$B,$A72),0))</f>
        <v>2057</v>
      </c>
      <c r="M72">
        <f>MAX(0,ROUND(SUMIFS(m7_cv!$E:$E,m7_cv!$A:$A,$E72,m7_cv!$B:$B,$A72),0))</f>
        <v>2530</v>
      </c>
      <c r="N72">
        <f>ROUND(_xlfn.XLOOKUP($D72,Charts!$W$82:$W$112,Charts!$X$82:$X$112)*$L72+_xlfn.XLOOKUP($D72,Charts!$W$82:$W$112,Charts!$Y$82:$Y$112)*$M72,0)</f>
        <v>2388</v>
      </c>
    </row>
    <row r="73" spans="1:14" x14ac:dyDescent="0.25">
      <c r="A73" s="3">
        <f t="shared" si="9"/>
        <v>45729</v>
      </c>
      <c r="B73">
        <f t="shared" si="5"/>
        <v>2025</v>
      </c>
      <c r="C73">
        <f t="shared" si="6"/>
        <v>3</v>
      </c>
      <c r="D73">
        <f t="shared" si="7"/>
        <v>13</v>
      </c>
      <c r="E73" s="2">
        <f t="shared" si="8"/>
        <v>45716</v>
      </c>
      <c r="F73" s="12">
        <f>_xlfn.XLOOKUP($A73,m1_cv!$B:$B,m1_cv!$C:$C)</f>
        <v>2235</v>
      </c>
      <c r="G73">
        <f>MAX(0,ROUND(SUMIFS(m1_cv!$E:$E,m1_cv!$A:$A,$E73,m1_cv!$B:$B,$A73),0))</f>
        <v>3718</v>
      </c>
      <c r="H73">
        <f>MAX(0,ROUND(SUMIFS(m2_cv!$E:$E,m2_cv!$A:$A,$E73,m2_cv!$B:$B,$A73),0))</f>
        <v>2802</v>
      </c>
      <c r="I73">
        <f>MAX(0,ROUND(SUMIFS(m3_cv!$E:$E,m3_cv!$A:$A,$E73,m3_cv!$B:$B,$A73),0))</f>
        <v>2892</v>
      </c>
      <c r="J73">
        <f>MAX(0,ROUND(SUMIFS(m4_cv!$E:$E,m4_cv!$A:$A,$E73,m4_cv!$B:$B,$A73),0))</f>
        <v>2897</v>
      </c>
      <c r="K73">
        <f>MAX(0,ROUND(SUMIFS(m5_cv!$E:$E,m5_cv!$A:$A,$E73,m5_cv!$B:$B,$A73),0))</f>
        <v>2672</v>
      </c>
      <c r="L73">
        <f>MAX(0,ROUND(SUMIFS(m6_cv!$E:$E,m6_cv!$A:$A,$E73,m6_cv!$B:$B,$A73),0))</f>
        <v>2402</v>
      </c>
      <c r="M73">
        <f>MAX(0,ROUND(SUMIFS(m7_cv!$E:$E,m7_cv!$A:$A,$E73,m7_cv!$B:$B,$A73),0))</f>
        <v>2706</v>
      </c>
      <c r="N73">
        <f>ROUND(_xlfn.XLOOKUP($D73,Charts!$W$82:$W$112,Charts!$X$82:$X$112)*$L73+_xlfn.XLOOKUP($D73,Charts!$W$82:$W$112,Charts!$Y$82:$Y$112)*$M73,0)</f>
        <v>2615</v>
      </c>
    </row>
    <row r="74" spans="1:14" x14ac:dyDescent="0.25">
      <c r="A74" s="3">
        <f t="shared" si="9"/>
        <v>45730</v>
      </c>
      <c r="B74">
        <f t="shared" si="5"/>
        <v>2025</v>
      </c>
      <c r="C74">
        <f t="shared" si="6"/>
        <v>3</v>
      </c>
      <c r="D74">
        <f t="shared" si="7"/>
        <v>14</v>
      </c>
      <c r="E74" s="2">
        <f t="shared" si="8"/>
        <v>45716</v>
      </c>
      <c r="F74" s="12">
        <f>_xlfn.XLOOKUP($A74,m1_cv!$B:$B,m1_cv!$C:$C)</f>
        <v>3818</v>
      </c>
      <c r="G74">
        <f>MAX(0,ROUND(SUMIFS(m1_cv!$E:$E,m1_cv!$A:$A,$E74,m1_cv!$B:$B,$A74),0))</f>
        <v>3655</v>
      </c>
      <c r="H74">
        <f>MAX(0,ROUND(SUMIFS(m2_cv!$E:$E,m2_cv!$A:$A,$E74,m2_cv!$B:$B,$A74),0))</f>
        <v>2866</v>
      </c>
      <c r="I74">
        <f>MAX(0,ROUND(SUMIFS(m3_cv!$E:$E,m3_cv!$A:$A,$E74,m3_cv!$B:$B,$A74),0))</f>
        <v>2881</v>
      </c>
      <c r="J74">
        <f>MAX(0,ROUND(SUMIFS(m4_cv!$E:$E,m4_cv!$A:$A,$E74,m4_cv!$B:$B,$A74),0))</f>
        <v>2886</v>
      </c>
      <c r="K74">
        <f>MAX(0,ROUND(SUMIFS(m5_cv!$E:$E,m5_cv!$A:$A,$E74,m5_cv!$B:$B,$A74),0))</f>
        <v>2606</v>
      </c>
      <c r="L74">
        <f>MAX(0,ROUND(SUMIFS(m6_cv!$E:$E,m6_cv!$A:$A,$E74,m6_cv!$B:$B,$A74),0))</f>
        <v>2363</v>
      </c>
      <c r="M74">
        <f>MAX(0,ROUND(SUMIFS(m7_cv!$E:$E,m7_cv!$A:$A,$E74,m7_cv!$B:$B,$A74),0))</f>
        <v>2648</v>
      </c>
      <c r="N74">
        <f>ROUND(_xlfn.XLOOKUP($D74,Charts!$W$82:$W$112,Charts!$X$82:$X$112)*$L74+_xlfn.XLOOKUP($D74,Charts!$W$82:$W$112,Charts!$Y$82:$Y$112)*$M74,0)</f>
        <v>2648</v>
      </c>
    </row>
    <row r="75" spans="1:14" x14ac:dyDescent="0.25">
      <c r="A75" s="3">
        <f t="shared" si="9"/>
        <v>45731</v>
      </c>
      <c r="B75">
        <f t="shared" si="5"/>
        <v>2025</v>
      </c>
      <c r="C75">
        <f t="shared" si="6"/>
        <v>3</v>
      </c>
      <c r="D75">
        <f t="shared" si="7"/>
        <v>15</v>
      </c>
      <c r="E75" s="2">
        <f t="shared" si="8"/>
        <v>45716</v>
      </c>
      <c r="F75" s="12">
        <f>_xlfn.XLOOKUP($A75,m1_cv!$B:$B,m1_cv!$C:$C)</f>
        <v>927</v>
      </c>
      <c r="G75">
        <f>MAX(0,ROUND(SUMIFS(m1_cv!$E:$E,m1_cv!$A:$A,$E75,m1_cv!$B:$B,$A75),0))</f>
        <v>1385</v>
      </c>
      <c r="H75">
        <f>MAX(0,ROUND(SUMIFS(m2_cv!$E:$E,m2_cv!$A:$A,$E75,m2_cv!$B:$B,$A75),0))</f>
        <v>603</v>
      </c>
      <c r="I75">
        <f>MAX(0,ROUND(SUMIFS(m3_cv!$E:$E,m3_cv!$A:$A,$E75,m3_cv!$B:$B,$A75),0))</f>
        <v>591</v>
      </c>
      <c r="J75">
        <f>MAX(0,ROUND(SUMIFS(m4_cv!$E:$E,m4_cv!$A:$A,$E75,m4_cv!$B:$B,$A75),0))</f>
        <v>594</v>
      </c>
      <c r="K75">
        <f>MAX(0,ROUND(SUMIFS(m5_cv!$E:$E,m5_cv!$A:$A,$E75,m5_cv!$B:$B,$A75),0))</f>
        <v>435</v>
      </c>
      <c r="L75">
        <f>MAX(0,ROUND(SUMIFS(m6_cv!$E:$E,m6_cv!$A:$A,$E75,m6_cv!$B:$B,$A75),0))</f>
        <v>424</v>
      </c>
      <c r="M75">
        <f>MAX(0,ROUND(SUMIFS(m7_cv!$E:$E,m7_cv!$A:$A,$E75,m7_cv!$B:$B,$A75),0))</f>
        <v>450</v>
      </c>
      <c r="N75">
        <f>ROUND(_xlfn.XLOOKUP($D75,Charts!$W$82:$W$112,Charts!$X$82:$X$112)*$L75+_xlfn.XLOOKUP($D75,Charts!$W$82:$W$112,Charts!$Y$82:$Y$112)*$M75,0)</f>
        <v>450</v>
      </c>
    </row>
    <row r="76" spans="1:14" x14ac:dyDescent="0.25">
      <c r="A76" s="3">
        <f t="shared" si="9"/>
        <v>45732</v>
      </c>
      <c r="B76">
        <f t="shared" si="5"/>
        <v>2025</v>
      </c>
      <c r="C76">
        <f t="shared" si="6"/>
        <v>3</v>
      </c>
      <c r="D76">
        <f t="shared" si="7"/>
        <v>16</v>
      </c>
      <c r="E76" s="2">
        <f t="shared" si="8"/>
        <v>45716</v>
      </c>
      <c r="F76" s="12">
        <f>_xlfn.XLOOKUP($A76,m1_cv!$B:$B,m1_cv!$C:$C)</f>
        <v>263</v>
      </c>
      <c r="G76">
        <f>MAX(0,ROUND(SUMIFS(m1_cv!$E:$E,m1_cv!$A:$A,$E76,m1_cv!$B:$B,$A76),0))</f>
        <v>813</v>
      </c>
      <c r="H76">
        <f>MAX(0,ROUND(SUMIFS(m2_cv!$E:$E,m2_cv!$A:$A,$E76,m2_cv!$B:$B,$A76),0))</f>
        <v>55</v>
      </c>
      <c r="I76">
        <f>MAX(0,ROUND(SUMIFS(m3_cv!$E:$E,m3_cv!$A:$A,$E76,m3_cv!$B:$B,$A76),0))</f>
        <v>0</v>
      </c>
      <c r="J76">
        <f>MAX(0,ROUND(SUMIFS(m4_cv!$E:$E,m4_cv!$A:$A,$E76,m4_cv!$B:$B,$A76),0))</f>
        <v>4</v>
      </c>
      <c r="K76">
        <f>MAX(0,ROUND(SUMIFS(m5_cv!$E:$E,m5_cv!$A:$A,$E76,m5_cv!$B:$B,$A76),0))</f>
        <v>34</v>
      </c>
      <c r="L76">
        <f>MAX(0,ROUND(SUMIFS(m6_cv!$E:$E,m6_cv!$A:$A,$E76,m6_cv!$B:$B,$A76),0))</f>
        <v>173</v>
      </c>
      <c r="M76">
        <f>MAX(0,ROUND(SUMIFS(m7_cv!$E:$E,m7_cv!$A:$A,$E76,m7_cv!$B:$B,$A76),0))</f>
        <v>26</v>
      </c>
      <c r="N76">
        <f>ROUND(_xlfn.XLOOKUP($D76,Charts!$W$82:$W$112,Charts!$X$82:$X$112)*$L76+_xlfn.XLOOKUP($D76,Charts!$W$82:$W$112,Charts!$Y$82:$Y$112)*$M76,0)</f>
        <v>26</v>
      </c>
    </row>
    <row r="77" spans="1:14" x14ac:dyDescent="0.25">
      <c r="A77" s="3">
        <f t="shared" si="9"/>
        <v>45733</v>
      </c>
      <c r="B77">
        <f t="shared" si="5"/>
        <v>2025</v>
      </c>
      <c r="C77">
        <f t="shared" si="6"/>
        <v>3</v>
      </c>
      <c r="D77">
        <f t="shared" si="7"/>
        <v>17</v>
      </c>
      <c r="E77" s="2">
        <f t="shared" si="8"/>
        <v>45716</v>
      </c>
      <c r="F77" s="12">
        <f>_xlfn.XLOOKUP($A77,m1_cv!$B:$B,m1_cv!$C:$C)</f>
        <v>4812</v>
      </c>
      <c r="G77">
        <f>MAX(0,ROUND(SUMIFS(m1_cv!$E:$E,m1_cv!$A:$A,$E77,m1_cv!$B:$B,$A77),0))</f>
        <v>3055</v>
      </c>
      <c r="H77">
        <f>MAX(0,ROUND(SUMIFS(m2_cv!$E:$E,m2_cv!$A:$A,$E77,m2_cv!$B:$B,$A77),0))</f>
        <v>2490</v>
      </c>
      <c r="I77">
        <f>MAX(0,ROUND(SUMIFS(m3_cv!$E:$E,m3_cv!$A:$A,$E77,m3_cv!$B:$B,$A77),0))</f>
        <v>2602</v>
      </c>
      <c r="J77">
        <f>MAX(0,ROUND(SUMIFS(m4_cv!$E:$E,m4_cv!$A:$A,$E77,m4_cv!$B:$B,$A77),0))</f>
        <v>2608</v>
      </c>
      <c r="K77">
        <f>MAX(0,ROUND(SUMIFS(m5_cv!$E:$E,m5_cv!$A:$A,$E77,m5_cv!$B:$B,$A77),0))</f>
        <v>2659</v>
      </c>
      <c r="L77">
        <f>MAX(0,ROUND(SUMIFS(m6_cv!$E:$E,m6_cv!$A:$A,$E77,m6_cv!$B:$B,$A77),0))</f>
        <v>2113</v>
      </c>
      <c r="M77">
        <f>MAX(0,ROUND(SUMIFS(m7_cv!$E:$E,m7_cv!$A:$A,$E77,m7_cv!$B:$B,$A77),0))</f>
        <v>2633</v>
      </c>
      <c r="N77">
        <f>ROUND(_xlfn.XLOOKUP($D77,Charts!$W$82:$W$112,Charts!$X$82:$X$112)*$L77+_xlfn.XLOOKUP($D77,Charts!$W$82:$W$112,Charts!$Y$82:$Y$112)*$M77,0)</f>
        <v>2633</v>
      </c>
    </row>
    <row r="78" spans="1:14" x14ac:dyDescent="0.25">
      <c r="A78" s="3">
        <f t="shared" si="9"/>
        <v>45734</v>
      </c>
      <c r="B78">
        <f t="shared" si="5"/>
        <v>2025</v>
      </c>
      <c r="C78">
        <f t="shared" si="6"/>
        <v>3</v>
      </c>
      <c r="D78">
        <f t="shared" si="7"/>
        <v>18</v>
      </c>
      <c r="E78" s="2">
        <f t="shared" si="8"/>
        <v>45716</v>
      </c>
      <c r="F78" s="12">
        <f>_xlfn.XLOOKUP($A78,m1_cv!$B:$B,m1_cv!$C:$C)</f>
        <v>1459</v>
      </c>
      <c r="G78">
        <f>MAX(0,ROUND(SUMIFS(m1_cv!$E:$E,m1_cv!$A:$A,$E78,m1_cv!$B:$B,$A78),0))</f>
        <v>3590</v>
      </c>
      <c r="H78">
        <f>MAX(0,ROUND(SUMIFS(m2_cv!$E:$E,m2_cv!$A:$A,$E78,m2_cv!$B:$B,$A78),0))</f>
        <v>3262</v>
      </c>
      <c r="I78">
        <f>MAX(0,ROUND(SUMIFS(m3_cv!$E:$E,m3_cv!$A:$A,$E78,m3_cv!$B:$B,$A78),0))</f>
        <v>1657</v>
      </c>
      <c r="J78">
        <f>MAX(0,ROUND(SUMIFS(m4_cv!$E:$E,m4_cv!$A:$A,$E78,m4_cv!$B:$B,$A78),0))</f>
        <v>1654</v>
      </c>
      <c r="K78">
        <f>MAX(0,ROUND(SUMIFS(m5_cv!$E:$E,m5_cv!$A:$A,$E78,m5_cv!$B:$B,$A78),0))</f>
        <v>1632</v>
      </c>
      <c r="L78">
        <f>MAX(0,ROUND(SUMIFS(m6_cv!$E:$E,m6_cv!$A:$A,$E78,m6_cv!$B:$B,$A78),0))</f>
        <v>330</v>
      </c>
      <c r="M78">
        <f>MAX(0,ROUND(SUMIFS(m7_cv!$E:$E,m7_cv!$A:$A,$E78,m7_cv!$B:$B,$A78),0))</f>
        <v>1591</v>
      </c>
      <c r="N78">
        <f>ROUND(_xlfn.XLOOKUP($D78,Charts!$W$82:$W$112,Charts!$X$82:$X$112)*$L78+_xlfn.XLOOKUP($D78,Charts!$W$82:$W$112,Charts!$Y$82:$Y$112)*$M78,0)</f>
        <v>1591</v>
      </c>
    </row>
    <row r="79" spans="1:14" x14ac:dyDescent="0.25">
      <c r="A79" s="3">
        <f t="shared" si="9"/>
        <v>45735</v>
      </c>
      <c r="B79">
        <f t="shared" si="5"/>
        <v>2025</v>
      </c>
      <c r="C79">
        <f t="shared" si="6"/>
        <v>3</v>
      </c>
      <c r="D79">
        <f t="shared" si="7"/>
        <v>19</v>
      </c>
      <c r="E79" s="2">
        <f t="shared" si="8"/>
        <v>45716</v>
      </c>
      <c r="F79" s="12">
        <f>_xlfn.XLOOKUP($A79,m1_cv!$B:$B,m1_cv!$C:$C)</f>
        <v>3508</v>
      </c>
      <c r="G79">
        <f>MAX(0,ROUND(SUMIFS(m1_cv!$E:$E,m1_cv!$A:$A,$E79,m1_cv!$B:$B,$A79),0))</f>
        <v>3523</v>
      </c>
      <c r="H79">
        <f>MAX(0,ROUND(SUMIFS(m2_cv!$E:$E,m2_cv!$A:$A,$E79,m2_cv!$B:$B,$A79),0))</f>
        <v>3368</v>
      </c>
      <c r="I79">
        <f>MAX(0,ROUND(SUMIFS(m3_cv!$E:$E,m3_cv!$A:$A,$E79,m3_cv!$B:$B,$A79),0))</f>
        <v>3433</v>
      </c>
      <c r="J79">
        <f>MAX(0,ROUND(SUMIFS(m4_cv!$E:$E,m4_cv!$A:$A,$E79,m4_cv!$B:$B,$A79),0))</f>
        <v>3439</v>
      </c>
      <c r="K79">
        <f>MAX(0,ROUND(SUMIFS(m5_cv!$E:$E,m5_cv!$A:$A,$E79,m5_cv!$B:$B,$A79),0))</f>
        <v>3213</v>
      </c>
      <c r="L79">
        <f>MAX(0,ROUND(SUMIFS(m6_cv!$E:$E,m6_cv!$A:$A,$E79,m6_cv!$B:$B,$A79),0))</f>
        <v>2980</v>
      </c>
      <c r="M79">
        <f>MAX(0,ROUND(SUMIFS(m7_cv!$E:$E,m7_cv!$A:$A,$E79,m7_cv!$B:$B,$A79),0))</f>
        <v>3201</v>
      </c>
      <c r="N79">
        <f>ROUND(_xlfn.XLOOKUP($D79,Charts!$W$82:$W$112,Charts!$X$82:$X$112)*$L79+_xlfn.XLOOKUP($D79,Charts!$W$82:$W$112,Charts!$Y$82:$Y$112)*$M79,0)</f>
        <v>3201</v>
      </c>
    </row>
    <row r="80" spans="1:14" x14ac:dyDescent="0.25">
      <c r="A80" s="3">
        <f t="shared" si="9"/>
        <v>45736</v>
      </c>
      <c r="B80">
        <f t="shared" si="5"/>
        <v>2025</v>
      </c>
      <c r="C80">
        <f t="shared" si="6"/>
        <v>3</v>
      </c>
      <c r="D80">
        <f t="shared" si="7"/>
        <v>20</v>
      </c>
      <c r="E80" s="2">
        <f t="shared" si="8"/>
        <v>45716</v>
      </c>
      <c r="F80" s="12">
        <f>_xlfn.XLOOKUP($A80,m1_cv!$B:$B,m1_cv!$C:$C)</f>
        <v>3947</v>
      </c>
      <c r="G80">
        <f>MAX(0,ROUND(SUMIFS(m1_cv!$E:$E,m1_cv!$A:$A,$E80,m1_cv!$B:$B,$A80),0))</f>
        <v>3525</v>
      </c>
      <c r="H80">
        <f>MAX(0,ROUND(SUMIFS(m2_cv!$E:$E,m2_cv!$A:$A,$E80,m2_cv!$B:$B,$A80),0))</f>
        <v>3349</v>
      </c>
      <c r="I80">
        <f>MAX(0,ROUND(SUMIFS(m3_cv!$E:$E,m3_cv!$A:$A,$E80,m3_cv!$B:$B,$A80),0))</f>
        <v>3395</v>
      </c>
      <c r="J80">
        <f>MAX(0,ROUND(SUMIFS(m4_cv!$E:$E,m4_cv!$A:$A,$E80,m4_cv!$B:$B,$A80),0))</f>
        <v>3402</v>
      </c>
      <c r="K80">
        <f>MAX(0,ROUND(SUMIFS(m5_cv!$E:$E,m5_cv!$A:$A,$E80,m5_cv!$B:$B,$A80),0))</f>
        <v>3162</v>
      </c>
      <c r="L80">
        <f>MAX(0,ROUND(SUMIFS(m6_cv!$E:$E,m6_cv!$A:$A,$E80,m6_cv!$B:$B,$A80),0))</f>
        <v>3358</v>
      </c>
      <c r="M80">
        <f>MAX(0,ROUND(SUMIFS(m7_cv!$E:$E,m7_cv!$A:$A,$E80,m7_cv!$B:$B,$A80),0))</f>
        <v>3173</v>
      </c>
      <c r="N80">
        <f>ROUND(_xlfn.XLOOKUP($D80,Charts!$W$82:$W$112,Charts!$X$82:$X$112)*$L80+_xlfn.XLOOKUP($D80,Charts!$W$82:$W$112,Charts!$Y$82:$Y$112)*$M80,0)</f>
        <v>3173</v>
      </c>
    </row>
    <row r="81" spans="1:14" x14ac:dyDescent="0.25">
      <c r="A81" s="3">
        <f t="shared" si="9"/>
        <v>45737</v>
      </c>
      <c r="B81">
        <f t="shared" si="5"/>
        <v>2025</v>
      </c>
      <c r="C81">
        <f t="shared" si="6"/>
        <v>3</v>
      </c>
      <c r="D81">
        <f t="shared" si="7"/>
        <v>21</v>
      </c>
      <c r="E81" s="2">
        <f t="shared" si="8"/>
        <v>45716</v>
      </c>
      <c r="F81" s="12">
        <f>_xlfn.XLOOKUP($A81,m1_cv!$B:$B,m1_cv!$C:$C)</f>
        <v>4280</v>
      </c>
      <c r="G81">
        <f>MAX(0,ROUND(SUMIFS(m1_cv!$E:$E,m1_cv!$A:$A,$E81,m1_cv!$B:$B,$A81),0))</f>
        <v>3482</v>
      </c>
      <c r="H81">
        <f>MAX(0,ROUND(SUMIFS(m2_cv!$E:$E,m2_cv!$A:$A,$E81,m2_cv!$B:$B,$A81),0))</f>
        <v>3206</v>
      </c>
      <c r="I81">
        <f>MAX(0,ROUND(SUMIFS(m3_cv!$E:$E,m3_cv!$A:$A,$E81,m3_cv!$B:$B,$A81),0))</f>
        <v>3117</v>
      </c>
      <c r="J81">
        <f>MAX(0,ROUND(SUMIFS(m4_cv!$E:$E,m4_cv!$A:$A,$E81,m4_cv!$B:$B,$A81),0))</f>
        <v>3123</v>
      </c>
      <c r="K81">
        <f>MAX(0,ROUND(SUMIFS(m5_cv!$E:$E,m5_cv!$A:$A,$E81,m5_cv!$B:$B,$A81),0))</f>
        <v>3090</v>
      </c>
      <c r="L81">
        <f>MAX(0,ROUND(SUMIFS(m6_cv!$E:$E,m6_cv!$A:$A,$E81,m6_cv!$B:$B,$A81),0))</f>
        <v>3148</v>
      </c>
      <c r="M81">
        <f>MAX(0,ROUND(SUMIFS(m7_cv!$E:$E,m7_cv!$A:$A,$E81,m7_cv!$B:$B,$A81),0))</f>
        <v>3180</v>
      </c>
      <c r="N81">
        <f>ROUND(_xlfn.XLOOKUP($D81,Charts!$W$82:$W$112,Charts!$X$82:$X$112)*$L81+_xlfn.XLOOKUP($D81,Charts!$W$82:$W$112,Charts!$Y$82:$Y$112)*$M81,0)</f>
        <v>3180</v>
      </c>
    </row>
    <row r="82" spans="1:14" x14ac:dyDescent="0.25">
      <c r="A82" s="3">
        <f t="shared" si="9"/>
        <v>45738</v>
      </c>
      <c r="B82">
        <f t="shared" si="5"/>
        <v>2025</v>
      </c>
      <c r="C82">
        <f t="shared" si="6"/>
        <v>3</v>
      </c>
      <c r="D82">
        <f t="shared" si="7"/>
        <v>22</v>
      </c>
      <c r="E82" s="2">
        <f t="shared" si="8"/>
        <v>45716</v>
      </c>
      <c r="F82" s="12">
        <f>_xlfn.XLOOKUP($A82,m1_cv!$B:$B,m1_cv!$C:$C)</f>
        <v>1076</v>
      </c>
      <c r="G82">
        <f>MAX(0,ROUND(SUMIFS(m1_cv!$E:$E,m1_cv!$A:$A,$E82,m1_cv!$B:$B,$A82),0))</f>
        <v>1235</v>
      </c>
      <c r="H82">
        <f>MAX(0,ROUND(SUMIFS(m2_cv!$E:$E,m2_cv!$A:$A,$E82,m2_cv!$B:$B,$A82),0))</f>
        <v>1034</v>
      </c>
      <c r="I82">
        <f>MAX(0,ROUND(SUMIFS(m3_cv!$E:$E,m3_cv!$A:$A,$E82,m3_cv!$B:$B,$A82),0))</f>
        <v>892</v>
      </c>
      <c r="J82">
        <f>MAX(0,ROUND(SUMIFS(m4_cv!$E:$E,m4_cv!$A:$A,$E82,m4_cv!$B:$B,$A82),0))</f>
        <v>897</v>
      </c>
      <c r="K82">
        <f>MAX(0,ROUND(SUMIFS(m5_cv!$E:$E,m5_cv!$A:$A,$E82,m5_cv!$B:$B,$A82),0))</f>
        <v>1028</v>
      </c>
      <c r="L82">
        <f>MAX(0,ROUND(SUMIFS(m6_cv!$E:$E,m6_cv!$A:$A,$E82,m6_cv!$B:$B,$A82),0))</f>
        <v>556</v>
      </c>
      <c r="M82">
        <f>MAX(0,ROUND(SUMIFS(m7_cv!$E:$E,m7_cv!$A:$A,$E82,m7_cv!$B:$B,$A82),0))</f>
        <v>1020</v>
      </c>
      <c r="N82">
        <f>ROUND(_xlfn.XLOOKUP($D82,Charts!$W$82:$W$112,Charts!$X$82:$X$112)*$L82+_xlfn.XLOOKUP($D82,Charts!$W$82:$W$112,Charts!$Y$82:$Y$112)*$M82,0)</f>
        <v>1020</v>
      </c>
    </row>
    <row r="83" spans="1:14" x14ac:dyDescent="0.25">
      <c r="A83" s="3">
        <f t="shared" si="9"/>
        <v>45739</v>
      </c>
      <c r="B83">
        <f t="shared" si="5"/>
        <v>2025</v>
      </c>
      <c r="C83">
        <f t="shared" si="6"/>
        <v>3</v>
      </c>
      <c r="D83">
        <f t="shared" si="7"/>
        <v>23</v>
      </c>
      <c r="E83" s="2">
        <f t="shared" si="8"/>
        <v>45716</v>
      </c>
      <c r="F83" s="12">
        <f>_xlfn.XLOOKUP($A83,m1_cv!$B:$B,m1_cv!$C:$C)</f>
        <v>301</v>
      </c>
      <c r="G83">
        <f>MAX(0,ROUND(SUMIFS(m1_cv!$E:$E,m1_cv!$A:$A,$E83,m1_cv!$B:$B,$A83),0))</f>
        <v>691</v>
      </c>
      <c r="H83">
        <f>MAX(0,ROUND(SUMIFS(m2_cv!$E:$E,m2_cv!$A:$A,$E83,m2_cv!$B:$B,$A83),0))</f>
        <v>786</v>
      </c>
      <c r="I83">
        <f>MAX(0,ROUND(SUMIFS(m3_cv!$E:$E,m3_cv!$A:$A,$E83,m3_cv!$B:$B,$A83),0))</f>
        <v>622</v>
      </c>
      <c r="J83">
        <f>MAX(0,ROUND(SUMIFS(m4_cv!$E:$E,m4_cv!$A:$A,$E83,m4_cv!$B:$B,$A83),0))</f>
        <v>629</v>
      </c>
      <c r="K83">
        <f>MAX(0,ROUND(SUMIFS(m5_cv!$E:$E,m5_cv!$A:$A,$E83,m5_cv!$B:$B,$A83),0))</f>
        <v>712</v>
      </c>
      <c r="L83">
        <f>MAX(0,ROUND(SUMIFS(m6_cv!$E:$E,m6_cv!$A:$A,$E83,m6_cv!$B:$B,$A83),0))</f>
        <v>229</v>
      </c>
      <c r="M83">
        <f>MAX(0,ROUND(SUMIFS(m7_cv!$E:$E,m7_cv!$A:$A,$E83,m7_cv!$B:$B,$A83),0))</f>
        <v>564</v>
      </c>
      <c r="N83">
        <f>ROUND(_xlfn.XLOOKUP($D83,Charts!$W$82:$W$112,Charts!$X$82:$X$112)*$L83+_xlfn.XLOOKUP($D83,Charts!$W$82:$W$112,Charts!$Y$82:$Y$112)*$M83,0)</f>
        <v>564</v>
      </c>
    </row>
    <row r="84" spans="1:14" x14ac:dyDescent="0.25">
      <c r="A84" s="3">
        <f t="shared" si="9"/>
        <v>45740</v>
      </c>
      <c r="B84">
        <f t="shared" si="5"/>
        <v>2025</v>
      </c>
      <c r="C84">
        <f t="shared" si="6"/>
        <v>3</v>
      </c>
      <c r="D84">
        <f t="shared" si="7"/>
        <v>24</v>
      </c>
      <c r="E84" s="2">
        <f t="shared" si="8"/>
        <v>45716</v>
      </c>
      <c r="F84" s="12">
        <f>_xlfn.XLOOKUP($A84,m1_cv!$B:$B,m1_cv!$C:$C)</f>
        <v>4292</v>
      </c>
      <c r="G84">
        <f>MAX(0,ROUND(SUMIFS(m1_cv!$E:$E,m1_cv!$A:$A,$E84,m1_cv!$B:$B,$A84),0))</f>
        <v>2962</v>
      </c>
      <c r="H84">
        <f>MAX(0,ROUND(SUMIFS(m2_cv!$E:$E,m2_cv!$A:$A,$E84,m2_cv!$B:$B,$A84),0))</f>
        <v>3414</v>
      </c>
      <c r="I84">
        <f>MAX(0,ROUND(SUMIFS(m3_cv!$E:$E,m3_cv!$A:$A,$E84,m3_cv!$B:$B,$A84),0))</f>
        <v>3468</v>
      </c>
      <c r="J84">
        <f>MAX(0,ROUND(SUMIFS(m4_cv!$E:$E,m4_cv!$A:$A,$E84,m4_cv!$B:$B,$A84),0))</f>
        <v>3476</v>
      </c>
      <c r="K84">
        <f>MAX(0,ROUND(SUMIFS(m5_cv!$E:$E,m5_cv!$A:$A,$E84,m5_cv!$B:$B,$A84),0))</f>
        <v>3270</v>
      </c>
      <c r="L84">
        <f>MAX(0,ROUND(SUMIFS(m6_cv!$E:$E,m6_cv!$A:$A,$E84,m6_cv!$B:$B,$A84),0))</f>
        <v>2805</v>
      </c>
      <c r="M84">
        <f>MAX(0,ROUND(SUMIFS(m7_cv!$E:$E,m7_cv!$A:$A,$E84,m7_cv!$B:$B,$A84),0))</f>
        <v>3285</v>
      </c>
      <c r="N84">
        <f>ROUND(_xlfn.XLOOKUP($D84,Charts!$W$82:$W$112,Charts!$X$82:$X$112)*$L84+_xlfn.XLOOKUP($D84,Charts!$W$82:$W$112,Charts!$Y$82:$Y$112)*$M84,0)</f>
        <v>2805</v>
      </c>
    </row>
    <row r="85" spans="1:14" x14ac:dyDescent="0.25">
      <c r="A85" s="3">
        <f t="shared" si="9"/>
        <v>45741</v>
      </c>
      <c r="B85">
        <f t="shared" si="5"/>
        <v>2025</v>
      </c>
      <c r="C85">
        <f t="shared" si="6"/>
        <v>3</v>
      </c>
      <c r="D85">
        <f t="shared" si="7"/>
        <v>25</v>
      </c>
      <c r="E85" s="2">
        <f t="shared" si="8"/>
        <v>45716</v>
      </c>
      <c r="F85" s="12">
        <f>_xlfn.XLOOKUP($A85,m1_cv!$B:$B,m1_cv!$C:$C)</f>
        <v>5571</v>
      </c>
      <c r="G85">
        <f>MAX(0,ROUND(SUMIFS(m1_cv!$E:$E,m1_cv!$A:$A,$E85,m1_cv!$B:$B,$A85),0))</f>
        <v>3527</v>
      </c>
      <c r="H85">
        <f>MAX(0,ROUND(SUMIFS(m2_cv!$E:$E,m2_cv!$A:$A,$E85,m2_cv!$B:$B,$A85),0))</f>
        <v>4065</v>
      </c>
      <c r="I85">
        <f>MAX(0,ROUND(SUMIFS(m3_cv!$E:$E,m3_cv!$A:$A,$E85,m3_cv!$B:$B,$A85),0))</f>
        <v>3984</v>
      </c>
      <c r="J85">
        <f>MAX(0,ROUND(SUMIFS(m4_cv!$E:$E,m4_cv!$A:$A,$E85,m4_cv!$B:$B,$A85),0))</f>
        <v>3991</v>
      </c>
      <c r="K85">
        <f>MAX(0,ROUND(SUMIFS(m5_cv!$E:$E,m5_cv!$A:$A,$E85,m5_cv!$B:$B,$A85),0))</f>
        <v>4097</v>
      </c>
      <c r="L85">
        <f>MAX(0,ROUND(SUMIFS(m6_cv!$E:$E,m6_cv!$A:$A,$E85,m6_cv!$B:$B,$A85),0))</f>
        <v>5982</v>
      </c>
      <c r="M85">
        <f>MAX(0,ROUND(SUMIFS(m7_cv!$E:$E,m7_cv!$A:$A,$E85,m7_cv!$B:$B,$A85),0))</f>
        <v>4328</v>
      </c>
      <c r="N85">
        <f>ROUND(_xlfn.XLOOKUP($D85,Charts!$W$82:$W$112,Charts!$X$82:$X$112)*$L85+_xlfn.XLOOKUP($D85,Charts!$W$82:$W$112,Charts!$Y$82:$Y$112)*$M85,0)</f>
        <v>5982</v>
      </c>
    </row>
    <row r="86" spans="1:14" x14ac:dyDescent="0.25">
      <c r="A86" s="3">
        <f t="shared" si="9"/>
        <v>45742</v>
      </c>
      <c r="B86">
        <f t="shared" si="5"/>
        <v>2025</v>
      </c>
      <c r="C86">
        <f t="shared" si="6"/>
        <v>3</v>
      </c>
      <c r="D86">
        <f t="shared" si="7"/>
        <v>26</v>
      </c>
      <c r="E86" s="2">
        <f t="shared" si="8"/>
        <v>45716</v>
      </c>
      <c r="F86" s="12">
        <f>_xlfn.XLOOKUP($A86,m1_cv!$B:$B,m1_cv!$C:$C)</f>
        <v>6352</v>
      </c>
      <c r="G86">
        <f>MAX(0,ROUND(SUMIFS(m1_cv!$E:$E,m1_cv!$A:$A,$E86,m1_cv!$B:$B,$A86),0))</f>
        <v>3490</v>
      </c>
      <c r="H86">
        <f>MAX(0,ROUND(SUMIFS(m2_cv!$E:$E,m2_cv!$A:$A,$E86,m2_cv!$B:$B,$A86),0))</f>
        <v>3887</v>
      </c>
      <c r="I86">
        <f>MAX(0,ROUND(SUMIFS(m3_cv!$E:$E,m3_cv!$A:$A,$E86,m3_cv!$B:$B,$A86),0))</f>
        <v>3940</v>
      </c>
      <c r="J86">
        <f>MAX(0,ROUND(SUMIFS(m4_cv!$E:$E,m4_cv!$A:$A,$E86,m4_cv!$B:$B,$A86),0))</f>
        <v>3948</v>
      </c>
      <c r="K86">
        <f>MAX(0,ROUND(SUMIFS(m5_cv!$E:$E,m5_cv!$A:$A,$E86,m5_cv!$B:$B,$A86),0))</f>
        <v>4058</v>
      </c>
      <c r="L86">
        <f>MAX(0,ROUND(SUMIFS(m6_cv!$E:$E,m6_cv!$A:$A,$E86,m6_cv!$B:$B,$A86),0))</f>
        <v>5992</v>
      </c>
      <c r="M86">
        <f>MAX(0,ROUND(SUMIFS(m7_cv!$E:$E,m7_cv!$A:$A,$E86,m7_cv!$B:$B,$A86),0))</f>
        <v>4094</v>
      </c>
      <c r="N86">
        <f>ROUND(_xlfn.XLOOKUP($D86,Charts!$W$82:$W$112,Charts!$X$82:$X$112)*$L86+_xlfn.XLOOKUP($D86,Charts!$W$82:$W$112,Charts!$Y$82:$Y$112)*$M86,0)</f>
        <v>5992</v>
      </c>
    </row>
    <row r="87" spans="1:14" x14ac:dyDescent="0.25">
      <c r="A87" s="3">
        <f t="shared" si="9"/>
        <v>45743</v>
      </c>
      <c r="B87">
        <f t="shared" si="5"/>
        <v>2025</v>
      </c>
      <c r="C87">
        <f t="shared" si="6"/>
        <v>3</v>
      </c>
      <c r="D87">
        <f t="shared" si="7"/>
        <v>27</v>
      </c>
      <c r="E87" s="2">
        <f t="shared" si="8"/>
        <v>45716</v>
      </c>
      <c r="F87" s="12">
        <f>_xlfn.XLOOKUP($A87,m1_cv!$B:$B,m1_cv!$C:$C)</f>
        <v>8836</v>
      </c>
      <c r="G87">
        <f>MAX(0,ROUND(SUMIFS(m1_cv!$E:$E,m1_cv!$A:$A,$E87,m1_cv!$B:$B,$A87),0))</f>
        <v>3521</v>
      </c>
      <c r="H87">
        <f>MAX(0,ROUND(SUMIFS(m2_cv!$E:$E,m2_cv!$A:$A,$E87,m2_cv!$B:$B,$A87),0))</f>
        <v>3846</v>
      </c>
      <c r="I87">
        <f>MAX(0,ROUND(SUMIFS(m3_cv!$E:$E,m3_cv!$A:$A,$E87,m3_cv!$B:$B,$A87),0))</f>
        <v>3869</v>
      </c>
      <c r="J87">
        <f>MAX(0,ROUND(SUMIFS(m4_cv!$E:$E,m4_cv!$A:$A,$E87,m4_cv!$B:$B,$A87),0))</f>
        <v>3878</v>
      </c>
      <c r="K87">
        <f>MAX(0,ROUND(SUMIFS(m5_cv!$E:$E,m5_cv!$A:$A,$E87,m5_cv!$B:$B,$A87),0))</f>
        <v>4152</v>
      </c>
      <c r="L87">
        <f>MAX(0,ROUND(SUMIFS(m6_cv!$E:$E,m6_cv!$A:$A,$E87,m6_cv!$B:$B,$A87),0))</f>
        <v>6180</v>
      </c>
      <c r="M87">
        <f>MAX(0,ROUND(SUMIFS(m7_cv!$E:$E,m7_cv!$A:$A,$E87,m7_cv!$B:$B,$A87),0))</f>
        <v>4098</v>
      </c>
      <c r="N87">
        <f>ROUND(_xlfn.XLOOKUP($D87,Charts!$W$82:$W$112,Charts!$X$82:$X$112)*$L87+_xlfn.XLOOKUP($D87,Charts!$W$82:$W$112,Charts!$Y$82:$Y$112)*$M87,0)</f>
        <v>6180</v>
      </c>
    </row>
    <row r="88" spans="1:14" x14ac:dyDescent="0.25">
      <c r="A88" s="3">
        <f t="shared" si="9"/>
        <v>45744</v>
      </c>
      <c r="B88">
        <f t="shared" si="5"/>
        <v>2025</v>
      </c>
      <c r="C88">
        <f t="shared" si="6"/>
        <v>3</v>
      </c>
      <c r="D88">
        <f t="shared" si="7"/>
        <v>28</v>
      </c>
      <c r="E88" s="2">
        <f t="shared" si="8"/>
        <v>45716</v>
      </c>
      <c r="F88" s="12">
        <f>_xlfn.XLOOKUP($A88,m1_cv!$B:$B,m1_cv!$C:$C)</f>
        <v>9717</v>
      </c>
      <c r="G88">
        <f>MAX(0,ROUND(SUMIFS(m1_cv!$E:$E,m1_cv!$A:$A,$E88,m1_cv!$B:$B,$A88),0))</f>
        <v>3505</v>
      </c>
      <c r="H88">
        <f>MAX(0,ROUND(SUMIFS(m2_cv!$E:$E,m2_cv!$A:$A,$E88,m2_cv!$B:$B,$A88),0))</f>
        <v>4260</v>
      </c>
      <c r="I88">
        <f>MAX(0,ROUND(SUMIFS(m3_cv!$E:$E,m3_cv!$A:$A,$E88,m3_cv!$B:$B,$A88),0))</f>
        <v>4150</v>
      </c>
      <c r="J88">
        <f>MAX(0,ROUND(SUMIFS(m4_cv!$E:$E,m4_cv!$A:$A,$E88,m4_cv!$B:$B,$A88),0))</f>
        <v>4158</v>
      </c>
      <c r="K88">
        <f>MAX(0,ROUND(SUMIFS(m5_cv!$E:$E,m5_cv!$A:$A,$E88,m5_cv!$B:$B,$A88),0))</f>
        <v>4482</v>
      </c>
      <c r="L88">
        <f>MAX(0,ROUND(SUMIFS(m6_cv!$E:$E,m6_cv!$A:$A,$E88,m6_cv!$B:$B,$A88),0))</f>
        <v>5685</v>
      </c>
      <c r="M88">
        <f>MAX(0,ROUND(SUMIFS(m7_cv!$E:$E,m7_cv!$A:$A,$E88,m7_cv!$B:$B,$A88),0))</f>
        <v>4459</v>
      </c>
      <c r="N88">
        <f>ROUND(_xlfn.XLOOKUP($D88,Charts!$W$82:$W$112,Charts!$X$82:$X$112)*$L88+_xlfn.XLOOKUP($D88,Charts!$W$82:$W$112,Charts!$Y$82:$Y$112)*$M88,0)</f>
        <v>5685</v>
      </c>
    </row>
    <row r="89" spans="1:14" x14ac:dyDescent="0.25">
      <c r="A89" s="3">
        <f t="shared" si="9"/>
        <v>45745</v>
      </c>
      <c r="B89">
        <f t="shared" si="5"/>
        <v>2025</v>
      </c>
      <c r="C89">
        <f t="shared" si="6"/>
        <v>3</v>
      </c>
      <c r="D89">
        <f t="shared" si="7"/>
        <v>29</v>
      </c>
      <c r="E89" s="2">
        <f t="shared" si="8"/>
        <v>45716</v>
      </c>
      <c r="F89" s="12">
        <f>_xlfn.XLOOKUP($A89,m1_cv!$B:$B,m1_cv!$C:$C)</f>
        <v>3249</v>
      </c>
      <c r="G89">
        <f>MAX(0,ROUND(SUMIFS(m1_cv!$E:$E,m1_cv!$A:$A,$E89,m1_cv!$B:$B,$A89),0))</f>
        <v>1283</v>
      </c>
      <c r="H89">
        <f>MAX(0,ROUND(SUMIFS(m2_cv!$E:$E,m2_cv!$A:$A,$E89,m2_cv!$B:$B,$A89),0))</f>
        <v>3112</v>
      </c>
      <c r="I89">
        <f>MAX(0,ROUND(SUMIFS(m3_cv!$E:$E,m3_cv!$A:$A,$E89,m3_cv!$B:$B,$A89),0))</f>
        <v>2975</v>
      </c>
      <c r="J89">
        <f>MAX(0,ROUND(SUMIFS(m4_cv!$E:$E,m4_cv!$A:$A,$E89,m4_cv!$B:$B,$A89),0))</f>
        <v>2980</v>
      </c>
      <c r="K89">
        <f>MAX(0,ROUND(SUMIFS(m5_cv!$E:$E,m5_cv!$A:$A,$E89,m5_cv!$B:$B,$A89),0))</f>
        <v>2855</v>
      </c>
      <c r="L89">
        <f>MAX(0,ROUND(SUMIFS(m6_cv!$E:$E,m6_cv!$A:$A,$E89,m6_cv!$B:$B,$A89),0))</f>
        <v>1066</v>
      </c>
      <c r="M89">
        <f>MAX(0,ROUND(SUMIFS(m7_cv!$E:$E,m7_cv!$A:$A,$E89,m7_cv!$B:$B,$A89),0))</f>
        <v>2788</v>
      </c>
      <c r="N89">
        <f>ROUND(_xlfn.XLOOKUP($D89,Charts!$W$82:$W$112,Charts!$X$82:$X$112)*$L89+_xlfn.XLOOKUP($D89,Charts!$W$82:$W$112,Charts!$Y$82:$Y$112)*$M89,0)</f>
        <v>2788</v>
      </c>
    </row>
    <row r="90" spans="1:14" x14ac:dyDescent="0.25">
      <c r="A90" s="3">
        <f t="shared" si="9"/>
        <v>45746</v>
      </c>
      <c r="B90">
        <f t="shared" si="5"/>
        <v>2025</v>
      </c>
      <c r="C90">
        <f t="shared" si="6"/>
        <v>3</v>
      </c>
      <c r="D90">
        <f t="shared" si="7"/>
        <v>30</v>
      </c>
      <c r="E90" s="2">
        <f t="shared" si="8"/>
        <v>45716</v>
      </c>
      <c r="F90" s="12">
        <f>_xlfn.XLOOKUP($A90,m1_cv!$B:$B,m1_cv!$C:$C)</f>
        <v>198</v>
      </c>
      <c r="G90">
        <f>MAX(0,ROUND(SUMIFS(m1_cv!$E:$E,m1_cv!$A:$A,$E90,m1_cv!$B:$B,$A90),0))</f>
        <v>758</v>
      </c>
      <c r="H90">
        <f>MAX(0,ROUND(SUMIFS(m2_cv!$E:$E,m2_cv!$A:$A,$E90,m2_cv!$B:$B,$A90),0))</f>
        <v>3819</v>
      </c>
      <c r="I90">
        <f>MAX(0,ROUND(SUMIFS(m3_cv!$E:$E,m3_cv!$A:$A,$E90,m3_cv!$B:$B,$A90),0))</f>
        <v>3692</v>
      </c>
      <c r="J90">
        <f>MAX(0,ROUND(SUMIFS(m4_cv!$E:$E,m4_cv!$A:$A,$E90,m4_cv!$B:$B,$A90),0))</f>
        <v>3699</v>
      </c>
      <c r="K90">
        <f>MAX(0,ROUND(SUMIFS(m5_cv!$E:$E,m5_cv!$A:$A,$E90,m5_cv!$B:$B,$A90),0))</f>
        <v>5116</v>
      </c>
      <c r="L90">
        <f>MAX(0,ROUND(SUMIFS(m6_cv!$E:$E,m6_cv!$A:$A,$E90,m6_cv!$B:$B,$A90),0))</f>
        <v>881</v>
      </c>
      <c r="M90">
        <f>MAX(0,ROUND(SUMIFS(m7_cv!$E:$E,m7_cv!$A:$A,$E90,m7_cv!$B:$B,$A90),0))</f>
        <v>5186</v>
      </c>
      <c r="N90">
        <f>ROUND(_xlfn.XLOOKUP($D90,Charts!$W$82:$W$112,Charts!$X$82:$X$112)*$L90+_xlfn.XLOOKUP($D90,Charts!$W$82:$W$112,Charts!$Y$82:$Y$112)*$M90,0)</f>
        <v>5186</v>
      </c>
    </row>
    <row r="91" spans="1:14" x14ac:dyDescent="0.25">
      <c r="A91" s="3">
        <f t="shared" si="9"/>
        <v>45747</v>
      </c>
      <c r="B91">
        <f t="shared" si="5"/>
        <v>2025</v>
      </c>
      <c r="C91">
        <f t="shared" si="6"/>
        <v>3</v>
      </c>
      <c r="D91">
        <f t="shared" si="7"/>
        <v>31</v>
      </c>
      <c r="E91" s="2">
        <f t="shared" si="8"/>
        <v>45716</v>
      </c>
      <c r="F91" s="12">
        <f>_xlfn.XLOOKUP($A91,m1_cv!$B:$B,m1_cv!$C:$C)</f>
        <v>53</v>
      </c>
      <c r="G91">
        <f>MAX(0,ROUND(SUMIFS(m1_cv!$E:$E,m1_cv!$A:$A,$E91,m1_cv!$B:$B,$A91),0))</f>
        <v>3045</v>
      </c>
      <c r="H91">
        <f>MAX(0,ROUND(SUMIFS(m2_cv!$E:$E,m2_cv!$A:$A,$E91,m2_cv!$B:$B,$A91),0))</f>
        <v>6725</v>
      </c>
      <c r="I91">
        <f>MAX(0,ROUND(SUMIFS(m3_cv!$E:$E,m3_cv!$A:$A,$E91,m3_cv!$B:$B,$A91),0))</f>
        <v>4841</v>
      </c>
      <c r="J91">
        <f>MAX(0,ROUND(SUMIFS(m4_cv!$E:$E,m4_cv!$A:$A,$E91,m4_cv!$B:$B,$A91),0))</f>
        <v>4859</v>
      </c>
      <c r="K91">
        <f>MAX(0,ROUND(SUMIFS(m5_cv!$E:$E,m5_cv!$A:$A,$E91,m5_cv!$B:$B,$A91),0))</f>
        <v>8028</v>
      </c>
      <c r="L91">
        <f>MAX(0,ROUND(SUMIFS(m6_cv!$E:$E,m6_cv!$A:$A,$E91,m6_cv!$B:$B,$A91),0))</f>
        <v>162</v>
      </c>
      <c r="M91">
        <f>MAX(0,ROUND(SUMIFS(m7_cv!$E:$E,m7_cv!$A:$A,$E91,m7_cv!$B:$B,$A91),0))</f>
        <v>8389</v>
      </c>
      <c r="N91">
        <f>ROUND(_xlfn.XLOOKUP($D91,Charts!$W$82:$W$112,Charts!$X$82:$X$112)*$L91+_xlfn.XLOOKUP($D91,Charts!$W$82:$W$112,Charts!$Y$82:$Y$112)*$M91,0)</f>
        <v>8389</v>
      </c>
    </row>
    <row r="92" spans="1:14" x14ac:dyDescent="0.25">
      <c r="A92" s="3">
        <f t="shared" si="9"/>
        <v>45748</v>
      </c>
      <c r="B92">
        <f t="shared" si="5"/>
        <v>2025</v>
      </c>
      <c r="C92">
        <f t="shared" si="6"/>
        <v>4</v>
      </c>
      <c r="D92">
        <f t="shared" si="7"/>
        <v>1</v>
      </c>
      <c r="E92" s="2">
        <f t="shared" si="8"/>
        <v>45747</v>
      </c>
      <c r="F92" s="12">
        <f>_xlfn.XLOOKUP($A92,m1_cv!$B:$B,m1_cv!$C:$C)</f>
        <v>2</v>
      </c>
      <c r="G92">
        <f>MAX(0,ROUND(SUMIFS(m1_cv!$E:$E,m1_cv!$A:$A,$E92,m1_cv!$B:$B,$A92),0))</f>
        <v>3864</v>
      </c>
      <c r="H92">
        <f>MAX(0,ROUND(SUMIFS(m2_cv!$E:$E,m2_cv!$A:$A,$E92,m2_cv!$B:$B,$A92),0))</f>
        <v>6563</v>
      </c>
      <c r="I92">
        <f>MAX(0,ROUND(SUMIFS(m3_cv!$E:$E,m3_cv!$A:$A,$E92,m3_cv!$B:$B,$A92),0))</f>
        <v>3441</v>
      </c>
      <c r="J92">
        <f>MAX(0,ROUND(SUMIFS(m4_cv!$E:$E,m4_cv!$A:$A,$E92,m4_cv!$B:$B,$A92),0))</f>
        <v>3398</v>
      </c>
      <c r="K92">
        <f>MAX(0,ROUND(SUMIFS(m5_cv!$E:$E,m5_cv!$A:$A,$E92,m5_cv!$B:$B,$A92),0))</f>
        <v>0</v>
      </c>
      <c r="L92">
        <f>MAX(0,ROUND(SUMIFS(m6_cv!$E:$E,m6_cv!$A:$A,$E92,m6_cv!$B:$B,$A92),0))</f>
        <v>1</v>
      </c>
      <c r="M92">
        <f>MAX(0,ROUND(SUMIFS(m7_cv!$E:$E,m7_cv!$A:$A,$E92,m7_cv!$B:$B,$A92),0))</f>
        <v>0</v>
      </c>
      <c r="N92">
        <f>ROUND(_xlfn.XLOOKUP($D92,Charts!$W$82:$W$112,Charts!$X$82:$X$112)*$L92+_xlfn.XLOOKUP($D92,Charts!$W$82:$W$112,Charts!$Y$82:$Y$112)*$M92,0)</f>
        <v>1</v>
      </c>
    </row>
    <row r="93" spans="1:14" x14ac:dyDescent="0.25">
      <c r="A93" s="3">
        <f t="shared" si="9"/>
        <v>45749</v>
      </c>
      <c r="B93">
        <f t="shared" si="5"/>
        <v>2025</v>
      </c>
      <c r="C93">
        <f t="shared" si="6"/>
        <v>4</v>
      </c>
      <c r="D93">
        <f t="shared" si="7"/>
        <v>2</v>
      </c>
      <c r="E93" s="2">
        <f t="shared" si="8"/>
        <v>45747</v>
      </c>
      <c r="F93" s="12">
        <f>_xlfn.XLOOKUP($A93,m1_cv!$B:$B,m1_cv!$C:$C)</f>
        <v>105</v>
      </c>
      <c r="G93">
        <f>MAX(0,ROUND(SUMIFS(m1_cv!$E:$E,m1_cv!$A:$A,$E93,m1_cv!$B:$B,$A93),0))</f>
        <v>3835</v>
      </c>
      <c r="H93">
        <f>MAX(0,ROUND(SUMIFS(m2_cv!$E:$E,m2_cv!$A:$A,$E93,m2_cv!$B:$B,$A93),0))</f>
        <v>4955</v>
      </c>
      <c r="I93">
        <f>MAX(0,ROUND(SUMIFS(m3_cv!$E:$E,m3_cv!$A:$A,$E93,m3_cv!$B:$B,$A93),0))</f>
        <v>4409</v>
      </c>
      <c r="J93">
        <f>MAX(0,ROUND(SUMIFS(m4_cv!$E:$E,m4_cv!$A:$A,$E93,m4_cv!$B:$B,$A93),0))</f>
        <v>4390</v>
      </c>
      <c r="K93">
        <f>MAX(0,ROUND(SUMIFS(m5_cv!$E:$E,m5_cv!$A:$A,$E93,m5_cv!$B:$B,$A93),0))</f>
        <v>1552</v>
      </c>
      <c r="L93">
        <f>MAX(0,ROUND(SUMIFS(m6_cv!$E:$E,m6_cv!$A:$A,$E93,m6_cv!$B:$B,$A93),0))</f>
        <v>120</v>
      </c>
      <c r="M93">
        <f>MAX(0,ROUND(SUMIFS(m7_cv!$E:$E,m7_cv!$A:$A,$E93,m7_cv!$B:$B,$A93),0))</f>
        <v>1245</v>
      </c>
      <c r="N93">
        <f>ROUND(_xlfn.XLOOKUP($D93,Charts!$W$82:$W$112,Charts!$X$82:$X$112)*$L93+_xlfn.XLOOKUP($D93,Charts!$W$82:$W$112,Charts!$Y$82:$Y$112)*$M93,0)</f>
        <v>120</v>
      </c>
    </row>
    <row r="94" spans="1:14" x14ac:dyDescent="0.25">
      <c r="A94" s="3">
        <f t="shared" si="9"/>
        <v>45750</v>
      </c>
      <c r="B94">
        <f t="shared" si="5"/>
        <v>2025</v>
      </c>
      <c r="C94">
        <f t="shared" si="6"/>
        <v>4</v>
      </c>
      <c r="D94">
        <f t="shared" si="7"/>
        <v>3</v>
      </c>
      <c r="E94" s="2">
        <f t="shared" si="8"/>
        <v>45747</v>
      </c>
      <c r="F94" s="12">
        <f>_xlfn.XLOOKUP($A94,m1_cv!$B:$B,m1_cv!$C:$C)</f>
        <v>284</v>
      </c>
      <c r="G94">
        <f>MAX(0,ROUND(SUMIFS(m1_cv!$E:$E,m1_cv!$A:$A,$E94,m1_cv!$B:$B,$A94),0))</f>
        <v>3863</v>
      </c>
      <c r="H94">
        <f>MAX(0,ROUND(SUMIFS(m2_cv!$E:$E,m2_cv!$A:$A,$E94,m2_cv!$B:$B,$A94),0))</f>
        <v>3119</v>
      </c>
      <c r="I94">
        <f>MAX(0,ROUND(SUMIFS(m3_cv!$E:$E,m3_cv!$A:$A,$E94,m3_cv!$B:$B,$A94),0))</f>
        <v>2042</v>
      </c>
      <c r="J94">
        <f>MAX(0,ROUND(SUMIFS(m4_cv!$E:$E,m4_cv!$A:$A,$E94,m4_cv!$B:$B,$A94),0))</f>
        <v>2083</v>
      </c>
      <c r="K94">
        <f>MAX(0,ROUND(SUMIFS(m5_cv!$E:$E,m5_cv!$A:$A,$E94,m5_cv!$B:$B,$A94),0))</f>
        <v>425</v>
      </c>
      <c r="L94">
        <f>MAX(0,ROUND(SUMIFS(m6_cv!$E:$E,m6_cv!$A:$A,$E94,m6_cv!$B:$B,$A94),0))</f>
        <v>415</v>
      </c>
      <c r="M94">
        <f>MAX(0,ROUND(SUMIFS(m7_cv!$E:$E,m7_cv!$A:$A,$E94,m7_cv!$B:$B,$A94),0))</f>
        <v>322</v>
      </c>
      <c r="N94">
        <f>ROUND(_xlfn.XLOOKUP($D94,Charts!$W$82:$W$112,Charts!$X$82:$X$112)*$L94+_xlfn.XLOOKUP($D94,Charts!$W$82:$W$112,Charts!$Y$82:$Y$112)*$M94,0)</f>
        <v>415</v>
      </c>
    </row>
    <row r="95" spans="1:14" x14ac:dyDescent="0.25">
      <c r="A95" s="3">
        <f t="shared" si="9"/>
        <v>45751</v>
      </c>
      <c r="B95">
        <f t="shared" si="5"/>
        <v>2025</v>
      </c>
      <c r="C95">
        <f t="shared" si="6"/>
        <v>4</v>
      </c>
      <c r="D95">
        <f t="shared" si="7"/>
        <v>4</v>
      </c>
      <c r="E95" s="2">
        <f t="shared" si="8"/>
        <v>45747</v>
      </c>
      <c r="F95" s="12">
        <f>_xlfn.XLOOKUP($A95,m1_cv!$B:$B,m1_cv!$C:$C)</f>
        <v>403</v>
      </c>
      <c r="G95">
        <f>MAX(0,ROUND(SUMIFS(m1_cv!$E:$E,m1_cv!$A:$A,$E95,m1_cv!$B:$B,$A95),0))</f>
        <v>3835</v>
      </c>
      <c r="H95">
        <f>MAX(0,ROUND(SUMIFS(m2_cv!$E:$E,m2_cv!$A:$A,$E95,m2_cv!$B:$B,$A95),0))</f>
        <v>1762</v>
      </c>
      <c r="I95">
        <f>MAX(0,ROUND(SUMIFS(m3_cv!$E:$E,m3_cv!$A:$A,$E95,m3_cv!$B:$B,$A95),0))</f>
        <v>1085</v>
      </c>
      <c r="J95">
        <f>MAX(0,ROUND(SUMIFS(m4_cv!$E:$E,m4_cv!$A:$A,$E95,m4_cv!$B:$B,$A95),0))</f>
        <v>1110</v>
      </c>
      <c r="K95">
        <f>MAX(0,ROUND(SUMIFS(m5_cv!$E:$E,m5_cv!$A:$A,$E95,m5_cv!$B:$B,$A95),0))</f>
        <v>1112</v>
      </c>
      <c r="L95">
        <f>MAX(0,ROUND(SUMIFS(m6_cv!$E:$E,m6_cv!$A:$A,$E95,m6_cv!$B:$B,$A95),0))</f>
        <v>426</v>
      </c>
      <c r="M95">
        <f>MAX(0,ROUND(SUMIFS(m7_cv!$E:$E,m7_cv!$A:$A,$E95,m7_cv!$B:$B,$A95),0))</f>
        <v>1241</v>
      </c>
      <c r="N95">
        <f>ROUND(_xlfn.XLOOKUP($D95,Charts!$W$82:$W$112,Charts!$X$82:$X$112)*$L95+_xlfn.XLOOKUP($D95,Charts!$W$82:$W$112,Charts!$Y$82:$Y$112)*$M95,0)</f>
        <v>426</v>
      </c>
    </row>
    <row r="96" spans="1:14" x14ac:dyDescent="0.25">
      <c r="A96" s="3">
        <f t="shared" si="9"/>
        <v>45752</v>
      </c>
      <c r="B96">
        <f t="shared" si="5"/>
        <v>2025</v>
      </c>
      <c r="C96">
        <f t="shared" si="6"/>
        <v>4</v>
      </c>
      <c r="D96">
        <f t="shared" si="7"/>
        <v>5</v>
      </c>
      <c r="E96" s="2">
        <f t="shared" si="8"/>
        <v>45747</v>
      </c>
      <c r="F96" s="12">
        <f>_xlfn.XLOOKUP($A96,m1_cv!$B:$B,m1_cv!$C:$C)</f>
        <v>47</v>
      </c>
      <c r="G96">
        <f>MAX(0,ROUND(SUMIFS(m1_cv!$E:$E,m1_cv!$A:$A,$E96,m1_cv!$B:$B,$A96),0))</f>
        <v>1535</v>
      </c>
      <c r="H96">
        <f>MAX(0,ROUND(SUMIFS(m2_cv!$E:$E,m2_cv!$A:$A,$E96,m2_cv!$B:$B,$A96),0))</f>
        <v>0</v>
      </c>
      <c r="I96">
        <f>MAX(0,ROUND(SUMIFS(m3_cv!$E:$E,m3_cv!$A:$A,$E96,m3_cv!$B:$B,$A96),0))</f>
        <v>0</v>
      </c>
      <c r="J96">
        <f>MAX(0,ROUND(SUMIFS(m4_cv!$E:$E,m4_cv!$A:$A,$E96,m4_cv!$B:$B,$A96),0))</f>
        <v>0</v>
      </c>
      <c r="K96">
        <f>MAX(0,ROUND(SUMIFS(m5_cv!$E:$E,m5_cv!$A:$A,$E96,m5_cv!$B:$B,$A96),0))</f>
        <v>0</v>
      </c>
      <c r="L96">
        <f>MAX(0,ROUND(SUMIFS(m6_cv!$E:$E,m6_cv!$A:$A,$E96,m6_cv!$B:$B,$A96),0))</f>
        <v>72</v>
      </c>
      <c r="M96">
        <f>MAX(0,ROUND(SUMIFS(m7_cv!$E:$E,m7_cv!$A:$A,$E96,m7_cv!$B:$B,$A96),0))</f>
        <v>0</v>
      </c>
      <c r="N96">
        <f>ROUND(_xlfn.XLOOKUP($D96,Charts!$W$82:$W$112,Charts!$X$82:$X$112)*$L96+_xlfn.XLOOKUP($D96,Charts!$W$82:$W$112,Charts!$Y$82:$Y$112)*$M96,0)</f>
        <v>58</v>
      </c>
    </row>
    <row r="97" spans="1:14" x14ac:dyDescent="0.25">
      <c r="A97" s="3">
        <f t="shared" si="9"/>
        <v>45753</v>
      </c>
      <c r="B97">
        <f t="shared" si="5"/>
        <v>2025</v>
      </c>
      <c r="C97">
        <f t="shared" si="6"/>
        <v>4</v>
      </c>
      <c r="D97">
        <f t="shared" si="7"/>
        <v>6</v>
      </c>
      <c r="E97" s="2">
        <f t="shared" si="8"/>
        <v>45747</v>
      </c>
      <c r="F97" s="12">
        <f>_xlfn.XLOOKUP($A97,m1_cv!$B:$B,m1_cv!$C:$C)</f>
        <v>11</v>
      </c>
      <c r="G97">
        <f>MAX(0,ROUND(SUMIFS(m1_cv!$E:$E,m1_cv!$A:$A,$E97,m1_cv!$B:$B,$A97),0))</f>
        <v>949</v>
      </c>
      <c r="H97">
        <f>MAX(0,ROUND(SUMIFS(m2_cv!$E:$E,m2_cv!$A:$A,$E97,m2_cv!$B:$B,$A97),0))</f>
        <v>0</v>
      </c>
      <c r="I97">
        <f>MAX(0,ROUND(SUMIFS(m3_cv!$E:$E,m3_cv!$A:$A,$E97,m3_cv!$B:$B,$A97),0))</f>
        <v>0</v>
      </c>
      <c r="J97">
        <f>MAX(0,ROUND(SUMIFS(m4_cv!$E:$E,m4_cv!$A:$A,$E97,m4_cv!$B:$B,$A97),0))</f>
        <v>0</v>
      </c>
      <c r="K97">
        <f>MAX(0,ROUND(SUMIFS(m5_cv!$E:$E,m5_cv!$A:$A,$E97,m5_cv!$B:$B,$A97),0))</f>
        <v>0</v>
      </c>
      <c r="L97">
        <f>MAX(0,ROUND(SUMIFS(m6_cv!$E:$E,m6_cv!$A:$A,$E97,m6_cv!$B:$B,$A97),0))</f>
        <v>47</v>
      </c>
      <c r="M97">
        <f>MAX(0,ROUND(SUMIFS(m7_cv!$E:$E,m7_cv!$A:$A,$E97,m7_cv!$B:$B,$A97),0))</f>
        <v>0</v>
      </c>
      <c r="N97">
        <f>ROUND(_xlfn.XLOOKUP($D97,Charts!$W$82:$W$112,Charts!$X$82:$X$112)*$L97+_xlfn.XLOOKUP($D97,Charts!$W$82:$W$112,Charts!$Y$82:$Y$112)*$M97,0)</f>
        <v>24</v>
      </c>
    </row>
    <row r="98" spans="1:14" x14ac:dyDescent="0.25">
      <c r="A98" s="3">
        <f t="shared" si="9"/>
        <v>45754</v>
      </c>
      <c r="B98">
        <f t="shared" si="5"/>
        <v>2025</v>
      </c>
      <c r="C98">
        <f t="shared" si="6"/>
        <v>4</v>
      </c>
      <c r="D98">
        <f t="shared" si="7"/>
        <v>7</v>
      </c>
      <c r="E98" s="2">
        <f t="shared" si="8"/>
        <v>45747</v>
      </c>
      <c r="F98" s="12">
        <f>_xlfn.XLOOKUP($A98,m1_cv!$B:$B,m1_cv!$C:$C)</f>
        <v>477</v>
      </c>
      <c r="G98">
        <f>MAX(0,ROUND(SUMIFS(m1_cv!$E:$E,m1_cv!$A:$A,$E98,m1_cv!$B:$B,$A98),0))</f>
        <v>3179</v>
      </c>
      <c r="H98">
        <f>MAX(0,ROUND(SUMIFS(m2_cv!$E:$E,m2_cv!$A:$A,$E98,m2_cv!$B:$B,$A98),0))</f>
        <v>1551</v>
      </c>
      <c r="I98">
        <f>MAX(0,ROUND(SUMIFS(m3_cv!$E:$E,m3_cv!$A:$A,$E98,m3_cv!$B:$B,$A98),0))</f>
        <v>305</v>
      </c>
      <c r="J98">
        <f>MAX(0,ROUND(SUMIFS(m4_cv!$E:$E,m4_cv!$A:$A,$E98,m4_cv!$B:$B,$A98),0))</f>
        <v>303</v>
      </c>
      <c r="K98">
        <f>MAX(0,ROUND(SUMIFS(m5_cv!$E:$E,m5_cv!$A:$A,$E98,m5_cv!$B:$B,$A98),0))</f>
        <v>0</v>
      </c>
      <c r="L98">
        <f>MAX(0,ROUND(SUMIFS(m6_cv!$E:$E,m6_cv!$A:$A,$E98,m6_cv!$B:$B,$A98),0))</f>
        <v>728</v>
      </c>
      <c r="M98">
        <f>MAX(0,ROUND(SUMIFS(m7_cv!$E:$E,m7_cv!$A:$A,$E98,m7_cv!$B:$B,$A98),0))</f>
        <v>0</v>
      </c>
      <c r="N98">
        <f>ROUND(_xlfn.XLOOKUP($D98,Charts!$W$82:$W$112,Charts!$X$82:$X$112)*$L98+_xlfn.XLOOKUP($D98,Charts!$W$82:$W$112,Charts!$Y$82:$Y$112)*$M98,0)</f>
        <v>364</v>
      </c>
    </row>
    <row r="99" spans="1:14" x14ac:dyDescent="0.25">
      <c r="A99" s="3">
        <f t="shared" si="9"/>
        <v>45755</v>
      </c>
      <c r="B99">
        <f t="shared" si="5"/>
        <v>2025</v>
      </c>
      <c r="C99">
        <f t="shared" si="6"/>
        <v>4</v>
      </c>
      <c r="D99">
        <f t="shared" si="7"/>
        <v>8</v>
      </c>
      <c r="E99" s="2">
        <f t="shared" si="8"/>
        <v>45747</v>
      </c>
      <c r="F99" s="12">
        <f>_xlfn.XLOOKUP($A99,m1_cv!$B:$B,m1_cv!$C:$C)</f>
        <v>775</v>
      </c>
      <c r="G99">
        <f>MAX(0,ROUND(SUMIFS(m1_cv!$E:$E,m1_cv!$A:$A,$E99,m1_cv!$B:$B,$A99),0))</f>
        <v>3694</v>
      </c>
      <c r="H99">
        <f>MAX(0,ROUND(SUMIFS(m2_cv!$E:$E,m2_cv!$A:$A,$E99,m2_cv!$B:$B,$A99),0))</f>
        <v>2269</v>
      </c>
      <c r="I99">
        <f>MAX(0,ROUND(SUMIFS(m3_cv!$E:$E,m3_cv!$A:$A,$E99,m3_cv!$B:$B,$A99),0))</f>
        <v>890</v>
      </c>
      <c r="J99">
        <f>MAX(0,ROUND(SUMIFS(m4_cv!$E:$E,m4_cv!$A:$A,$E99,m4_cv!$B:$B,$A99),0))</f>
        <v>915</v>
      </c>
      <c r="K99">
        <f>MAX(0,ROUND(SUMIFS(m5_cv!$E:$E,m5_cv!$A:$A,$E99,m5_cv!$B:$B,$A99),0))</f>
        <v>1087</v>
      </c>
      <c r="L99">
        <f>MAX(0,ROUND(SUMIFS(m6_cv!$E:$E,m6_cv!$A:$A,$E99,m6_cv!$B:$B,$A99),0))</f>
        <v>1737</v>
      </c>
      <c r="M99">
        <f>MAX(0,ROUND(SUMIFS(m7_cv!$E:$E,m7_cv!$A:$A,$E99,m7_cv!$B:$B,$A99),0))</f>
        <v>1204</v>
      </c>
      <c r="N99">
        <f>ROUND(_xlfn.XLOOKUP($D99,Charts!$W$82:$W$112,Charts!$X$82:$X$112)*$L99+_xlfn.XLOOKUP($D99,Charts!$W$82:$W$112,Charts!$Y$82:$Y$112)*$M99,0)</f>
        <v>1471</v>
      </c>
    </row>
    <row r="100" spans="1:14" x14ac:dyDescent="0.25">
      <c r="A100" s="3">
        <f t="shared" si="9"/>
        <v>45756</v>
      </c>
      <c r="B100">
        <f t="shared" si="5"/>
        <v>2025</v>
      </c>
      <c r="C100">
        <f t="shared" si="6"/>
        <v>4</v>
      </c>
      <c r="D100">
        <f t="shared" si="7"/>
        <v>9</v>
      </c>
      <c r="E100" s="2">
        <f t="shared" si="8"/>
        <v>45747</v>
      </c>
      <c r="F100" s="12">
        <f>_xlfn.XLOOKUP($A100,m1_cv!$B:$B,m1_cv!$C:$C)</f>
        <v>1016</v>
      </c>
      <c r="G100">
        <f>MAX(0,ROUND(SUMIFS(m1_cv!$E:$E,m1_cv!$A:$A,$E100,m1_cv!$B:$B,$A100),0))</f>
        <v>3619</v>
      </c>
      <c r="H100">
        <f>MAX(0,ROUND(SUMIFS(m2_cv!$E:$E,m2_cv!$A:$A,$E100,m2_cv!$B:$B,$A100),0))</f>
        <v>2124</v>
      </c>
      <c r="I100">
        <f>MAX(0,ROUND(SUMIFS(m3_cv!$E:$E,m3_cv!$A:$A,$E100,m3_cv!$B:$B,$A100),0))</f>
        <v>2185</v>
      </c>
      <c r="J100">
        <f>MAX(0,ROUND(SUMIFS(m4_cv!$E:$E,m4_cv!$A:$A,$E100,m4_cv!$B:$B,$A100),0))</f>
        <v>2193</v>
      </c>
      <c r="K100">
        <f>MAX(0,ROUND(SUMIFS(m5_cv!$E:$E,m5_cv!$A:$A,$E100,m5_cv!$B:$B,$A100),0))</f>
        <v>2454</v>
      </c>
      <c r="L100">
        <f>MAX(0,ROUND(SUMIFS(m6_cv!$E:$E,m6_cv!$A:$A,$E100,m6_cv!$B:$B,$A100),0))</f>
        <v>2369</v>
      </c>
      <c r="M100">
        <f>MAX(0,ROUND(SUMIFS(m7_cv!$E:$E,m7_cv!$A:$A,$E100,m7_cv!$B:$B,$A100),0))</f>
        <v>2550</v>
      </c>
      <c r="N100">
        <f>ROUND(_xlfn.XLOOKUP($D100,Charts!$W$82:$W$112,Charts!$X$82:$X$112)*$L100+_xlfn.XLOOKUP($D100,Charts!$W$82:$W$112,Charts!$Y$82:$Y$112)*$M100,0)</f>
        <v>2460</v>
      </c>
    </row>
    <row r="101" spans="1:14" x14ac:dyDescent="0.25">
      <c r="A101" s="3">
        <f t="shared" si="9"/>
        <v>45757</v>
      </c>
      <c r="B101">
        <f t="shared" si="5"/>
        <v>2025</v>
      </c>
      <c r="C101">
        <f t="shared" si="6"/>
        <v>4</v>
      </c>
      <c r="D101">
        <f t="shared" si="7"/>
        <v>10</v>
      </c>
      <c r="E101" s="2">
        <f t="shared" si="8"/>
        <v>45747</v>
      </c>
      <c r="F101" s="12">
        <f>_xlfn.XLOOKUP($A101,m1_cv!$B:$B,m1_cv!$C:$C)</f>
        <v>1422</v>
      </c>
      <c r="G101">
        <f>MAX(0,ROUND(SUMIFS(m1_cv!$E:$E,m1_cv!$A:$A,$E101,m1_cv!$B:$B,$A101),0))</f>
        <v>3602</v>
      </c>
      <c r="H101">
        <f>MAX(0,ROUND(SUMIFS(m2_cv!$E:$E,m2_cv!$A:$A,$E101,m2_cv!$B:$B,$A101),0))</f>
        <v>2030</v>
      </c>
      <c r="I101">
        <f>MAX(0,ROUND(SUMIFS(m3_cv!$E:$E,m3_cv!$A:$A,$E101,m3_cv!$B:$B,$A101),0))</f>
        <v>2112</v>
      </c>
      <c r="J101">
        <f>MAX(0,ROUND(SUMIFS(m4_cv!$E:$E,m4_cv!$A:$A,$E101,m4_cv!$B:$B,$A101),0))</f>
        <v>2121</v>
      </c>
      <c r="K101">
        <f>MAX(0,ROUND(SUMIFS(m5_cv!$E:$E,m5_cv!$A:$A,$E101,m5_cv!$B:$B,$A101),0))</f>
        <v>2380</v>
      </c>
      <c r="L101">
        <f>MAX(0,ROUND(SUMIFS(m6_cv!$E:$E,m6_cv!$A:$A,$E101,m6_cv!$B:$B,$A101),0))</f>
        <v>2357</v>
      </c>
      <c r="M101">
        <f>MAX(0,ROUND(SUMIFS(m7_cv!$E:$E,m7_cv!$A:$A,$E101,m7_cv!$B:$B,$A101),0))</f>
        <v>2348</v>
      </c>
      <c r="N101">
        <f>ROUND(_xlfn.XLOOKUP($D101,Charts!$W$82:$W$112,Charts!$X$82:$X$112)*$L101+_xlfn.XLOOKUP($D101,Charts!$W$82:$W$112,Charts!$Y$82:$Y$112)*$M101,0)</f>
        <v>2353</v>
      </c>
    </row>
    <row r="102" spans="1:14" x14ac:dyDescent="0.25">
      <c r="A102" s="3">
        <f t="shared" si="9"/>
        <v>45758</v>
      </c>
      <c r="B102">
        <f t="shared" si="5"/>
        <v>2025</v>
      </c>
      <c r="C102">
        <f t="shared" si="6"/>
        <v>4</v>
      </c>
      <c r="D102">
        <f t="shared" si="7"/>
        <v>11</v>
      </c>
      <c r="E102" s="2">
        <f t="shared" si="8"/>
        <v>45747</v>
      </c>
      <c r="F102" s="12">
        <f>_xlfn.XLOOKUP($A102,m1_cv!$B:$B,m1_cv!$C:$C)</f>
        <v>1565</v>
      </c>
      <c r="G102">
        <f>MAX(0,ROUND(SUMIFS(m1_cv!$E:$E,m1_cv!$A:$A,$E102,m1_cv!$B:$B,$A102),0))</f>
        <v>3531</v>
      </c>
      <c r="H102">
        <f>MAX(0,ROUND(SUMIFS(m2_cv!$E:$E,m2_cv!$A:$A,$E102,m2_cv!$B:$B,$A102),0))</f>
        <v>2077</v>
      </c>
      <c r="I102">
        <f>MAX(0,ROUND(SUMIFS(m3_cv!$E:$E,m3_cv!$A:$A,$E102,m3_cv!$B:$B,$A102),0))</f>
        <v>2180</v>
      </c>
      <c r="J102">
        <f>MAX(0,ROUND(SUMIFS(m4_cv!$E:$E,m4_cv!$A:$A,$E102,m4_cv!$B:$B,$A102),0))</f>
        <v>2190</v>
      </c>
      <c r="K102">
        <f>MAX(0,ROUND(SUMIFS(m5_cv!$E:$E,m5_cv!$A:$A,$E102,m5_cv!$B:$B,$A102),0))</f>
        <v>2385</v>
      </c>
      <c r="L102">
        <f>MAX(0,ROUND(SUMIFS(m6_cv!$E:$E,m6_cv!$A:$A,$E102,m6_cv!$B:$B,$A102),0))</f>
        <v>2083</v>
      </c>
      <c r="M102">
        <f>MAX(0,ROUND(SUMIFS(m7_cv!$E:$E,m7_cv!$A:$A,$E102,m7_cv!$B:$B,$A102),0))</f>
        <v>2289</v>
      </c>
      <c r="N102">
        <f>ROUND(_xlfn.XLOOKUP($D102,Charts!$W$82:$W$112,Charts!$X$82:$X$112)*$L102+_xlfn.XLOOKUP($D102,Charts!$W$82:$W$112,Charts!$Y$82:$Y$112)*$M102,0)</f>
        <v>2227</v>
      </c>
    </row>
    <row r="103" spans="1:14" x14ac:dyDescent="0.25">
      <c r="A103" s="3">
        <f t="shared" si="9"/>
        <v>45759</v>
      </c>
      <c r="B103">
        <f t="shared" si="5"/>
        <v>2025</v>
      </c>
      <c r="C103">
        <f t="shared" si="6"/>
        <v>4</v>
      </c>
      <c r="D103">
        <f t="shared" si="7"/>
        <v>12</v>
      </c>
      <c r="E103" s="2">
        <f t="shared" si="8"/>
        <v>45747</v>
      </c>
      <c r="F103" s="12">
        <f>_xlfn.XLOOKUP($A103,m1_cv!$B:$B,m1_cv!$C:$C)</f>
        <v>276</v>
      </c>
      <c r="G103">
        <f>MAX(0,ROUND(SUMIFS(m1_cv!$E:$E,m1_cv!$A:$A,$E103,m1_cv!$B:$B,$A103),0))</f>
        <v>1191</v>
      </c>
      <c r="H103">
        <f>MAX(0,ROUND(SUMIFS(m2_cv!$E:$E,m2_cv!$A:$A,$E103,m2_cv!$B:$B,$A103),0))</f>
        <v>14</v>
      </c>
      <c r="I103">
        <f>MAX(0,ROUND(SUMIFS(m3_cv!$E:$E,m3_cv!$A:$A,$E103,m3_cv!$B:$B,$A103),0))</f>
        <v>244</v>
      </c>
      <c r="J103">
        <f>MAX(0,ROUND(SUMIFS(m4_cv!$E:$E,m4_cv!$A:$A,$E103,m4_cv!$B:$B,$A103),0))</f>
        <v>254</v>
      </c>
      <c r="K103">
        <f>MAX(0,ROUND(SUMIFS(m5_cv!$E:$E,m5_cv!$A:$A,$E103,m5_cv!$B:$B,$A103),0))</f>
        <v>249</v>
      </c>
      <c r="L103">
        <f>MAX(0,ROUND(SUMIFS(m6_cv!$E:$E,m6_cv!$A:$A,$E103,m6_cv!$B:$B,$A103),0))</f>
        <v>372</v>
      </c>
      <c r="M103">
        <f>MAX(0,ROUND(SUMIFS(m7_cv!$E:$E,m7_cv!$A:$A,$E103,m7_cv!$B:$B,$A103),0))</f>
        <v>252</v>
      </c>
      <c r="N103">
        <f>ROUND(_xlfn.XLOOKUP($D103,Charts!$W$82:$W$112,Charts!$X$82:$X$112)*$L103+_xlfn.XLOOKUP($D103,Charts!$W$82:$W$112,Charts!$Y$82:$Y$112)*$M103,0)</f>
        <v>288</v>
      </c>
    </row>
    <row r="104" spans="1:14" x14ac:dyDescent="0.25">
      <c r="A104" s="3">
        <f t="shared" si="9"/>
        <v>45760</v>
      </c>
      <c r="B104">
        <f t="shared" si="5"/>
        <v>2025</v>
      </c>
      <c r="C104">
        <f t="shared" si="6"/>
        <v>4</v>
      </c>
      <c r="D104">
        <f t="shared" si="7"/>
        <v>13</v>
      </c>
      <c r="E104" s="2">
        <f t="shared" si="8"/>
        <v>45747</v>
      </c>
      <c r="F104" s="12">
        <f>_xlfn.XLOOKUP($A104,m1_cv!$B:$B,m1_cv!$C:$C)</f>
        <v>55</v>
      </c>
      <c r="G104">
        <f>MAX(0,ROUND(SUMIFS(m1_cv!$E:$E,m1_cv!$A:$A,$E104,m1_cv!$B:$B,$A104),0))</f>
        <v>571</v>
      </c>
      <c r="H104">
        <f>MAX(0,ROUND(SUMIFS(m2_cv!$E:$E,m2_cv!$A:$A,$E104,m2_cv!$B:$B,$A104),0))</f>
        <v>0</v>
      </c>
      <c r="I104">
        <f>MAX(0,ROUND(SUMIFS(m3_cv!$E:$E,m3_cv!$A:$A,$E104,m3_cv!$B:$B,$A104),0))</f>
        <v>0</v>
      </c>
      <c r="J104">
        <f>MAX(0,ROUND(SUMIFS(m4_cv!$E:$E,m4_cv!$A:$A,$E104,m4_cv!$B:$B,$A104),0))</f>
        <v>0</v>
      </c>
      <c r="K104">
        <f>MAX(0,ROUND(SUMIFS(m5_cv!$E:$E,m5_cv!$A:$A,$E104,m5_cv!$B:$B,$A104),0))</f>
        <v>0</v>
      </c>
      <c r="L104">
        <f>MAX(0,ROUND(SUMIFS(m6_cv!$E:$E,m6_cv!$A:$A,$E104,m6_cv!$B:$B,$A104),0))</f>
        <v>163</v>
      </c>
      <c r="M104">
        <f>MAX(0,ROUND(SUMIFS(m7_cv!$E:$E,m7_cv!$A:$A,$E104,m7_cv!$B:$B,$A104),0))</f>
        <v>0</v>
      </c>
      <c r="N104">
        <f>ROUND(_xlfn.XLOOKUP($D104,Charts!$W$82:$W$112,Charts!$X$82:$X$112)*$L104+_xlfn.XLOOKUP($D104,Charts!$W$82:$W$112,Charts!$Y$82:$Y$112)*$M104,0)</f>
        <v>49</v>
      </c>
    </row>
    <row r="105" spans="1:14" x14ac:dyDescent="0.25">
      <c r="A105" s="3">
        <f t="shared" si="9"/>
        <v>45761</v>
      </c>
      <c r="B105">
        <f t="shared" si="5"/>
        <v>2025</v>
      </c>
      <c r="C105">
        <f t="shared" si="6"/>
        <v>4</v>
      </c>
      <c r="D105">
        <f t="shared" si="7"/>
        <v>14</v>
      </c>
      <c r="E105" s="2">
        <f t="shared" si="8"/>
        <v>45747</v>
      </c>
      <c r="F105" s="12">
        <f>_xlfn.XLOOKUP($A105,m1_cv!$B:$B,m1_cv!$C:$C)</f>
        <v>1634</v>
      </c>
      <c r="G105">
        <f>MAX(0,ROUND(SUMIFS(m1_cv!$E:$E,m1_cv!$A:$A,$E105,m1_cv!$B:$B,$A105),0))</f>
        <v>2771</v>
      </c>
      <c r="H105">
        <f>MAX(0,ROUND(SUMIFS(m2_cv!$E:$E,m2_cv!$A:$A,$E105,m2_cv!$B:$B,$A105),0))</f>
        <v>1940</v>
      </c>
      <c r="I105">
        <f>MAX(0,ROUND(SUMIFS(m3_cv!$E:$E,m3_cv!$A:$A,$E105,m3_cv!$B:$B,$A105),0))</f>
        <v>2480</v>
      </c>
      <c r="J105">
        <f>MAX(0,ROUND(SUMIFS(m4_cv!$E:$E,m4_cv!$A:$A,$E105,m4_cv!$B:$B,$A105),0))</f>
        <v>2486</v>
      </c>
      <c r="K105">
        <f>MAX(0,ROUND(SUMIFS(m5_cv!$E:$E,m5_cv!$A:$A,$E105,m5_cv!$B:$B,$A105),0))</f>
        <v>2315</v>
      </c>
      <c r="L105">
        <f>MAX(0,ROUND(SUMIFS(m6_cv!$E:$E,m6_cv!$A:$A,$E105,m6_cv!$B:$B,$A105),0))</f>
        <v>2219</v>
      </c>
      <c r="M105">
        <f>MAX(0,ROUND(SUMIFS(m7_cv!$E:$E,m7_cv!$A:$A,$E105,m7_cv!$B:$B,$A105),0))</f>
        <v>2329</v>
      </c>
      <c r="N105">
        <f>ROUND(_xlfn.XLOOKUP($D105,Charts!$W$82:$W$112,Charts!$X$82:$X$112)*$L105+_xlfn.XLOOKUP($D105,Charts!$W$82:$W$112,Charts!$Y$82:$Y$112)*$M105,0)</f>
        <v>2329</v>
      </c>
    </row>
    <row r="106" spans="1:14" x14ac:dyDescent="0.25">
      <c r="A106" s="3">
        <f t="shared" si="9"/>
        <v>45762</v>
      </c>
      <c r="B106">
        <f t="shared" si="5"/>
        <v>2025</v>
      </c>
      <c r="C106">
        <f t="shared" si="6"/>
        <v>4</v>
      </c>
      <c r="D106">
        <f t="shared" si="7"/>
        <v>15</v>
      </c>
      <c r="E106" s="2">
        <f t="shared" si="8"/>
        <v>45747</v>
      </c>
      <c r="F106" s="12">
        <f>_xlfn.XLOOKUP($A106,m1_cv!$B:$B,m1_cv!$C:$C)</f>
        <v>1965</v>
      </c>
      <c r="G106">
        <f>MAX(0,ROUND(SUMIFS(m1_cv!$E:$E,m1_cv!$A:$A,$E106,m1_cv!$B:$B,$A106),0))</f>
        <v>3261</v>
      </c>
      <c r="H106">
        <f>MAX(0,ROUND(SUMIFS(m2_cv!$E:$E,m2_cv!$A:$A,$E106,m2_cv!$B:$B,$A106),0))</f>
        <v>2414</v>
      </c>
      <c r="I106">
        <f>MAX(0,ROUND(SUMIFS(m3_cv!$E:$E,m3_cv!$A:$A,$E106,m3_cv!$B:$B,$A106),0))</f>
        <v>2689</v>
      </c>
      <c r="J106">
        <f>MAX(0,ROUND(SUMIFS(m4_cv!$E:$E,m4_cv!$A:$A,$E106,m4_cv!$B:$B,$A106),0))</f>
        <v>2697</v>
      </c>
      <c r="K106">
        <f>MAX(0,ROUND(SUMIFS(m5_cv!$E:$E,m5_cv!$A:$A,$E106,m5_cv!$B:$B,$A106),0))</f>
        <v>2709</v>
      </c>
      <c r="L106">
        <f>MAX(0,ROUND(SUMIFS(m6_cv!$E:$E,m6_cv!$A:$A,$E106,m6_cv!$B:$B,$A106),0))</f>
        <v>2964</v>
      </c>
      <c r="M106">
        <f>MAX(0,ROUND(SUMIFS(m7_cv!$E:$E,m7_cv!$A:$A,$E106,m7_cv!$B:$B,$A106),0))</f>
        <v>2693</v>
      </c>
      <c r="N106">
        <f>ROUND(_xlfn.XLOOKUP($D106,Charts!$W$82:$W$112,Charts!$X$82:$X$112)*$L106+_xlfn.XLOOKUP($D106,Charts!$W$82:$W$112,Charts!$Y$82:$Y$112)*$M106,0)</f>
        <v>2693</v>
      </c>
    </row>
    <row r="107" spans="1:14" x14ac:dyDescent="0.25">
      <c r="A107" s="3">
        <f t="shared" si="9"/>
        <v>45763</v>
      </c>
      <c r="B107">
        <f t="shared" si="5"/>
        <v>2025</v>
      </c>
      <c r="C107">
        <f t="shared" si="6"/>
        <v>4</v>
      </c>
      <c r="D107">
        <f t="shared" si="7"/>
        <v>16</v>
      </c>
      <c r="E107" s="2">
        <f t="shared" si="8"/>
        <v>45747</v>
      </c>
      <c r="F107" s="12">
        <f>_xlfn.XLOOKUP($A107,m1_cv!$B:$B,m1_cv!$C:$C)</f>
        <v>2361</v>
      </c>
      <c r="G107">
        <f>MAX(0,ROUND(SUMIFS(m1_cv!$E:$E,m1_cv!$A:$A,$E107,m1_cv!$B:$B,$A107),0))</f>
        <v>3167</v>
      </c>
      <c r="H107">
        <f>MAX(0,ROUND(SUMIFS(m2_cv!$E:$E,m2_cv!$A:$A,$E107,m2_cv!$B:$B,$A107),0))</f>
        <v>2402</v>
      </c>
      <c r="I107">
        <f>MAX(0,ROUND(SUMIFS(m3_cv!$E:$E,m3_cv!$A:$A,$E107,m3_cv!$B:$B,$A107),0))</f>
        <v>2741</v>
      </c>
      <c r="J107">
        <f>MAX(0,ROUND(SUMIFS(m4_cv!$E:$E,m4_cv!$A:$A,$E107,m4_cv!$B:$B,$A107),0))</f>
        <v>2746</v>
      </c>
      <c r="K107">
        <f>MAX(0,ROUND(SUMIFS(m5_cv!$E:$E,m5_cv!$A:$A,$E107,m5_cv!$B:$B,$A107),0))</f>
        <v>2893</v>
      </c>
      <c r="L107">
        <f>MAX(0,ROUND(SUMIFS(m6_cv!$E:$E,m6_cv!$A:$A,$E107,m6_cv!$B:$B,$A107),0))</f>
        <v>3177</v>
      </c>
      <c r="M107">
        <f>MAX(0,ROUND(SUMIFS(m7_cv!$E:$E,m7_cv!$A:$A,$E107,m7_cv!$B:$B,$A107),0))</f>
        <v>2885</v>
      </c>
      <c r="N107">
        <f>ROUND(_xlfn.XLOOKUP($D107,Charts!$W$82:$W$112,Charts!$X$82:$X$112)*$L107+_xlfn.XLOOKUP($D107,Charts!$W$82:$W$112,Charts!$Y$82:$Y$112)*$M107,0)</f>
        <v>2885</v>
      </c>
    </row>
    <row r="108" spans="1:14" x14ac:dyDescent="0.25">
      <c r="A108" s="3">
        <f t="shared" si="9"/>
        <v>45764</v>
      </c>
      <c r="B108">
        <f t="shared" si="5"/>
        <v>2025</v>
      </c>
      <c r="C108">
        <f t="shared" si="6"/>
        <v>4</v>
      </c>
      <c r="D108">
        <f t="shared" si="7"/>
        <v>17</v>
      </c>
      <c r="E108" s="2">
        <f t="shared" si="8"/>
        <v>45747</v>
      </c>
      <c r="F108" s="12">
        <f>_xlfn.XLOOKUP($A108,m1_cv!$B:$B,m1_cv!$C:$C)</f>
        <v>2761</v>
      </c>
      <c r="G108">
        <f>MAX(0,ROUND(SUMIFS(m1_cv!$E:$E,m1_cv!$A:$A,$E108,m1_cv!$B:$B,$A108),0))</f>
        <v>3139</v>
      </c>
      <c r="H108">
        <f>MAX(0,ROUND(SUMIFS(m2_cv!$E:$E,m2_cv!$A:$A,$E108,m2_cv!$B:$B,$A108),0))</f>
        <v>2609</v>
      </c>
      <c r="I108">
        <f>MAX(0,ROUND(SUMIFS(m3_cv!$E:$E,m3_cv!$A:$A,$E108,m3_cv!$B:$B,$A108),0))</f>
        <v>2975</v>
      </c>
      <c r="J108">
        <f>MAX(0,ROUND(SUMIFS(m4_cv!$E:$E,m4_cv!$A:$A,$E108,m4_cv!$B:$B,$A108),0))</f>
        <v>2980</v>
      </c>
      <c r="K108">
        <f>MAX(0,ROUND(SUMIFS(m5_cv!$E:$E,m5_cv!$A:$A,$E108,m5_cv!$B:$B,$A108),0))</f>
        <v>3065</v>
      </c>
      <c r="L108">
        <f>MAX(0,ROUND(SUMIFS(m6_cv!$E:$E,m6_cv!$A:$A,$E108,m6_cv!$B:$B,$A108),0))</f>
        <v>3428</v>
      </c>
      <c r="M108">
        <f>MAX(0,ROUND(SUMIFS(m7_cv!$E:$E,m7_cv!$A:$A,$E108,m7_cv!$B:$B,$A108),0))</f>
        <v>3072</v>
      </c>
      <c r="N108">
        <f>ROUND(_xlfn.XLOOKUP($D108,Charts!$W$82:$W$112,Charts!$X$82:$X$112)*$L108+_xlfn.XLOOKUP($D108,Charts!$W$82:$W$112,Charts!$Y$82:$Y$112)*$M108,0)</f>
        <v>3072</v>
      </c>
    </row>
    <row r="109" spans="1:14" x14ac:dyDescent="0.25">
      <c r="A109" s="3">
        <f t="shared" si="9"/>
        <v>45765</v>
      </c>
      <c r="B109">
        <f t="shared" si="5"/>
        <v>2025</v>
      </c>
      <c r="C109">
        <f t="shared" si="6"/>
        <v>4</v>
      </c>
      <c r="D109">
        <f t="shared" si="7"/>
        <v>18</v>
      </c>
      <c r="E109" s="2">
        <f t="shared" si="8"/>
        <v>45747</v>
      </c>
      <c r="F109" s="12">
        <f>_xlfn.XLOOKUP($A109,m1_cv!$B:$B,m1_cv!$C:$C)</f>
        <v>2721</v>
      </c>
      <c r="G109">
        <f>MAX(0,ROUND(SUMIFS(m1_cv!$E:$E,m1_cv!$A:$A,$E109,m1_cv!$B:$B,$A109),0))</f>
        <v>3064</v>
      </c>
      <c r="H109">
        <f>MAX(0,ROUND(SUMIFS(m2_cv!$E:$E,m2_cv!$A:$A,$E109,m2_cv!$B:$B,$A109),0))</f>
        <v>2784</v>
      </c>
      <c r="I109">
        <f>MAX(0,ROUND(SUMIFS(m3_cv!$E:$E,m3_cv!$A:$A,$E109,m3_cv!$B:$B,$A109),0))</f>
        <v>3166</v>
      </c>
      <c r="J109">
        <f>MAX(0,ROUND(SUMIFS(m4_cv!$E:$E,m4_cv!$A:$A,$E109,m4_cv!$B:$B,$A109),0))</f>
        <v>3171</v>
      </c>
      <c r="K109">
        <f>MAX(0,ROUND(SUMIFS(m5_cv!$E:$E,m5_cv!$A:$A,$E109,m5_cv!$B:$B,$A109),0))</f>
        <v>3121</v>
      </c>
      <c r="L109">
        <f>MAX(0,ROUND(SUMIFS(m6_cv!$E:$E,m6_cv!$A:$A,$E109,m6_cv!$B:$B,$A109),0))</f>
        <v>3131</v>
      </c>
      <c r="M109">
        <f>MAX(0,ROUND(SUMIFS(m7_cv!$E:$E,m7_cv!$A:$A,$E109,m7_cv!$B:$B,$A109),0))</f>
        <v>3119</v>
      </c>
      <c r="N109">
        <f>ROUND(_xlfn.XLOOKUP($D109,Charts!$W$82:$W$112,Charts!$X$82:$X$112)*$L109+_xlfn.XLOOKUP($D109,Charts!$W$82:$W$112,Charts!$Y$82:$Y$112)*$M109,0)</f>
        <v>3119</v>
      </c>
    </row>
    <row r="110" spans="1:14" x14ac:dyDescent="0.25">
      <c r="A110" s="3">
        <f t="shared" si="9"/>
        <v>45766</v>
      </c>
      <c r="B110">
        <f t="shared" si="5"/>
        <v>2025</v>
      </c>
      <c r="C110">
        <f t="shared" si="6"/>
        <v>4</v>
      </c>
      <c r="D110">
        <f t="shared" si="7"/>
        <v>19</v>
      </c>
      <c r="E110" s="2">
        <f t="shared" si="8"/>
        <v>45747</v>
      </c>
      <c r="F110" s="12">
        <f>_xlfn.XLOOKUP($A110,m1_cv!$B:$B,m1_cv!$C:$C)</f>
        <v>420</v>
      </c>
      <c r="G110">
        <f>MAX(0,ROUND(SUMIFS(m1_cv!$E:$E,m1_cv!$A:$A,$E110,m1_cv!$B:$B,$A110),0))</f>
        <v>727</v>
      </c>
      <c r="H110">
        <f>MAX(0,ROUND(SUMIFS(m2_cv!$E:$E,m2_cv!$A:$A,$E110,m2_cv!$B:$B,$A110),0))</f>
        <v>548</v>
      </c>
      <c r="I110">
        <f>MAX(0,ROUND(SUMIFS(m3_cv!$E:$E,m3_cv!$A:$A,$E110,m3_cv!$B:$B,$A110),0))</f>
        <v>1021</v>
      </c>
      <c r="J110">
        <f>MAX(0,ROUND(SUMIFS(m4_cv!$E:$E,m4_cv!$A:$A,$E110,m4_cv!$B:$B,$A110),0))</f>
        <v>1026</v>
      </c>
      <c r="K110">
        <f>MAX(0,ROUND(SUMIFS(m5_cv!$E:$E,m5_cv!$A:$A,$E110,m5_cv!$B:$B,$A110),0))</f>
        <v>894</v>
      </c>
      <c r="L110">
        <f>MAX(0,ROUND(SUMIFS(m6_cv!$E:$E,m6_cv!$A:$A,$E110,m6_cv!$B:$B,$A110),0))</f>
        <v>542</v>
      </c>
      <c r="M110">
        <f>MAX(0,ROUND(SUMIFS(m7_cv!$E:$E,m7_cv!$A:$A,$E110,m7_cv!$B:$B,$A110),0))</f>
        <v>877</v>
      </c>
      <c r="N110">
        <f>ROUND(_xlfn.XLOOKUP($D110,Charts!$W$82:$W$112,Charts!$X$82:$X$112)*$L110+_xlfn.XLOOKUP($D110,Charts!$W$82:$W$112,Charts!$Y$82:$Y$112)*$M110,0)</f>
        <v>877</v>
      </c>
    </row>
    <row r="111" spans="1:14" x14ac:dyDescent="0.25">
      <c r="A111" s="3">
        <f t="shared" si="9"/>
        <v>45767</v>
      </c>
      <c r="B111">
        <f t="shared" si="5"/>
        <v>2025</v>
      </c>
      <c r="C111">
        <f t="shared" si="6"/>
        <v>4</v>
      </c>
      <c r="D111">
        <f t="shared" si="7"/>
        <v>20</v>
      </c>
      <c r="E111" s="2">
        <f t="shared" si="8"/>
        <v>45747</v>
      </c>
      <c r="F111" s="12">
        <f>_xlfn.XLOOKUP($A111,m1_cv!$B:$B,m1_cv!$C:$C)</f>
        <v>166</v>
      </c>
      <c r="G111">
        <f>MAX(0,ROUND(SUMIFS(m1_cv!$E:$E,m1_cv!$A:$A,$E111,m1_cv!$B:$B,$A111),0))</f>
        <v>116</v>
      </c>
      <c r="H111">
        <f>MAX(0,ROUND(SUMIFS(m2_cv!$E:$E,m2_cv!$A:$A,$E111,m2_cv!$B:$B,$A111),0))</f>
        <v>0</v>
      </c>
      <c r="I111">
        <f>MAX(0,ROUND(SUMIFS(m3_cv!$E:$E,m3_cv!$A:$A,$E111,m3_cv!$B:$B,$A111),0))</f>
        <v>400</v>
      </c>
      <c r="J111">
        <f>MAX(0,ROUND(SUMIFS(m4_cv!$E:$E,m4_cv!$A:$A,$E111,m4_cv!$B:$B,$A111),0))</f>
        <v>405</v>
      </c>
      <c r="K111">
        <f>MAX(0,ROUND(SUMIFS(m5_cv!$E:$E,m5_cv!$A:$A,$E111,m5_cv!$B:$B,$A111),0))</f>
        <v>366</v>
      </c>
      <c r="L111">
        <f>MAX(0,ROUND(SUMIFS(m6_cv!$E:$E,m6_cv!$A:$A,$E111,m6_cv!$B:$B,$A111),0))</f>
        <v>221</v>
      </c>
      <c r="M111">
        <f>MAX(0,ROUND(SUMIFS(m7_cv!$E:$E,m7_cv!$A:$A,$E111,m7_cv!$B:$B,$A111),0))</f>
        <v>420</v>
      </c>
      <c r="N111">
        <f>ROUND(_xlfn.XLOOKUP($D111,Charts!$W$82:$W$112,Charts!$X$82:$X$112)*$L111+_xlfn.XLOOKUP($D111,Charts!$W$82:$W$112,Charts!$Y$82:$Y$112)*$M111,0)</f>
        <v>420</v>
      </c>
    </row>
    <row r="112" spans="1:14" x14ac:dyDescent="0.25">
      <c r="A112" s="3">
        <f t="shared" si="9"/>
        <v>45768</v>
      </c>
      <c r="B112">
        <f t="shared" si="5"/>
        <v>2025</v>
      </c>
      <c r="C112">
        <f t="shared" si="6"/>
        <v>4</v>
      </c>
      <c r="D112">
        <f t="shared" si="7"/>
        <v>21</v>
      </c>
      <c r="E112" s="2">
        <f t="shared" si="8"/>
        <v>45747</v>
      </c>
      <c r="F112" s="12">
        <f>_xlfn.XLOOKUP($A112,m1_cv!$B:$B,m1_cv!$C:$C)</f>
        <v>2715</v>
      </c>
      <c r="G112">
        <f>MAX(0,ROUND(SUMIFS(m1_cv!$E:$E,m1_cv!$A:$A,$E112,m1_cv!$B:$B,$A112),0))</f>
        <v>2333</v>
      </c>
      <c r="H112">
        <f>MAX(0,ROUND(SUMIFS(m2_cv!$E:$E,m2_cv!$A:$A,$E112,m2_cv!$B:$B,$A112),0))</f>
        <v>2103</v>
      </c>
      <c r="I112">
        <f>MAX(0,ROUND(SUMIFS(m3_cv!$E:$E,m3_cv!$A:$A,$E112,m3_cv!$B:$B,$A112),0))</f>
        <v>2783</v>
      </c>
      <c r="J112">
        <f>MAX(0,ROUND(SUMIFS(m4_cv!$E:$E,m4_cv!$A:$A,$E112,m4_cv!$B:$B,$A112),0))</f>
        <v>2785</v>
      </c>
      <c r="K112">
        <f>MAX(0,ROUND(SUMIFS(m5_cv!$E:$E,m5_cv!$A:$A,$E112,m5_cv!$B:$B,$A112),0))</f>
        <v>2913</v>
      </c>
      <c r="L112">
        <f>MAX(0,ROUND(SUMIFS(m6_cv!$E:$E,m6_cv!$A:$A,$E112,m6_cv!$B:$B,$A112),0))</f>
        <v>2824</v>
      </c>
      <c r="M112">
        <f>MAX(0,ROUND(SUMIFS(m7_cv!$E:$E,m7_cv!$A:$A,$E112,m7_cv!$B:$B,$A112),0))</f>
        <v>2986</v>
      </c>
      <c r="N112">
        <f>ROUND(_xlfn.XLOOKUP($D112,Charts!$W$82:$W$112,Charts!$X$82:$X$112)*$L112+_xlfn.XLOOKUP($D112,Charts!$W$82:$W$112,Charts!$Y$82:$Y$112)*$M112,0)</f>
        <v>2986</v>
      </c>
    </row>
    <row r="113" spans="1:14" x14ac:dyDescent="0.25">
      <c r="A113" s="3">
        <f t="shared" si="9"/>
        <v>45769</v>
      </c>
      <c r="B113">
        <f t="shared" si="5"/>
        <v>2025</v>
      </c>
      <c r="C113">
        <f t="shared" si="6"/>
        <v>4</v>
      </c>
      <c r="D113">
        <f t="shared" si="7"/>
        <v>22</v>
      </c>
      <c r="E113" s="2">
        <f t="shared" si="8"/>
        <v>45747</v>
      </c>
      <c r="F113" s="12">
        <f>_xlfn.XLOOKUP($A113,m1_cv!$B:$B,m1_cv!$C:$C)</f>
        <v>3162</v>
      </c>
      <c r="G113">
        <f>MAX(0,ROUND(SUMIFS(m1_cv!$E:$E,m1_cv!$A:$A,$E113,m1_cv!$B:$B,$A113),0))</f>
        <v>2847</v>
      </c>
      <c r="H113">
        <f>MAX(0,ROUND(SUMIFS(m2_cv!$E:$E,m2_cv!$A:$A,$E113,m2_cv!$B:$B,$A113),0))</f>
        <v>2780</v>
      </c>
      <c r="I113">
        <f>MAX(0,ROUND(SUMIFS(m3_cv!$E:$E,m3_cv!$A:$A,$E113,m3_cv!$B:$B,$A113),0))</f>
        <v>3188</v>
      </c>
      <c r="J113">
        <f>MAX(0,ROUND(SUMIFS(m4_cv!$E:$E,m4_cv!$A:$A,$E113,m4_cv!$B:$B,$A113),0))</f>
        <v>3193</v>
      </c>
      <c r="K113">
        <f>MAX(0,ROUND(SUMIFS(m5_cv!$E:$E,m5_cv!$A:$A,$E113,m5_cv!$B:$B,$A113),0))</f>
        <v>3396</v>
      </c>
      <c r="L113">
        <f>MAX(0,ROUND(SUMIFS(m6_cv!$E:$E,m6_cv!$A:$A,$E113,m6_cv!$B:$B,$A113),0))</f>
        <v>3649</v>
      </c>
      <c r="M113">
        <f>MAX(0,ROUND(SUMIFS(m7_cv!$E:$E,m7_cv!$A:$A,$E113,m7_cv!$B:$B,$A113),0))</f>
        <v>3307</v>
      </c>
      <c r="N113">
        <f>ROUND(_xlfn.XLOOKUP($D113,Charts!$W$82:$W$112,Charts!$X$82:$X$112)*$L113+_xlfn.XLOOKUP($D113,Charts!$W$82:$W$112,Charts!$Y$82:$Y$112)*$M113,0)</f>
        <v>3307</v>
      </c>
    </row>
    <row r="114" spans="1:14" x14ac:dyDescent="0.25">
      <c r="A114" s="3">
        <f t="shared" si="9"/>
        <v>45770</v>
      </c>
      <c r="B114">
        <f t="shared" si="5"/>
        <v>2025</v>
      </c>
      <c r="C114">
        <f t="shared" si="6"/>
        <v>4</v>
      </c>
      <c r="D114">
        <f t="shared" si="7"/>
        <v>23</v>
      </c>
      <c r="E114" s="2">
        <f t="shared" si="8"/>
        <v>45747</v>
      </c>
      <c r="F114" s="12">
        <f>_xlfn.XLOOKUP($A114,m1_cv!$B:$B,m1_cv!$C:$C)</f>
        <v>3604</v>
      </c>
      <c r="G114">
        <f>MAX(0,ROUND(SUMIFS(m1_cv!$E:$E,m1_cv!$A:$A,$E114,m1_cv!$B:$B,$A114),0))</f>
        <v>2783</v>
      </c>
      <c r="H114">
        <f>MAX(0,ROUND(SUMIFS(m2_cv!$E:$E,m2_cv!$A:$A,$E114,m2_cv!$B:$B,$A114),0))</f>
        <v>3060</v>
      </c>
      <c r="I114">
        <f>MAX(0,ROUND(SUMIFS(m3_cv!$E:$E,m3_cv!$A:$A,$E114,m3_cv!$B:$B,$A114),0))</f>
        <v>3556</v>
      </c>
      <c r="J114">
        <f>MAX(0,ROUND(SUMIFS(m4_cv!$E:$E,m4_cv!$A:$A,$E114,m4_cv!$B:$B,$A114),0))</f>
        <v>3559</v>
      </c>
      <c r="K114">
        <f>MAX(0,ROUND(SUMIFS(m5_cv!$E:$E,m5_cv!$A:$A,$E114,m5_cv!$B:$B,$A114),0))</f>
        <v>3590</v>
      </c>
      <c r="L114">
        <f>MAX(0,ROUND(SUMIFS(m6_cv!$E:$E,m6_cv!$A:$A,$E114,m6_cv!$B:$B,$A114),0))</f>
        <v>3811</v>
      </c>
      <c r="M114">
        <f>MAX(0,ROUND(SUMIFS(m7_cv!$E:$E,m7_cv!$A:$A,$E114,m7_cv!$B:$B,$A114),0))</f>
        <v>3507</v>
      </c>
      <c r="N114">
        <f>ROUND(_xlfn.XLOOKUP($D114,Charts!$W$82:$W$112,Charts!$X$82:$X$112)*$L114+_xlfn.XLOOKUP($D114,Charts!$W$82:$W$112,Charts!$Y$82:$Y$112)*$M114,0)</f>
        <v>3507</v>
      </c>
    </row>
    <row r="115" spans="1:14" x14ac:dyDescent="0.25">
      <c r="A115" s="3">
        <f t="shared" si="9"/>
        <v>45771</v>
      </c>
      <c r="B115">
        <f t="shared" si="5"/>
        <v>2025</v>
      </c>
      <c r="C115">
        <f t="shared" si="6"/>
        <v>4</v>
      </c>
      <c r="D115">
        <f t="shared" si="7"/>
        <v>24</v>
      </c>
      <c r="E115" s="2">
        <f t="shared" si="8"/>
        <v>45747</v>
      </c>
      <c r="F115" s="12">
        <f>_xlfn.XLOOKUP($A115,m1_cv!$B:$B,m1_cv!$C:$C)</f>
        <v>3831</v>
      </c>
      <c r="G115">
        <f>MAX(0,ROUND(SUMIFS(m1_cv!$E:$E,m1_cv!$A:$A,$E115,m1_cv!$B:$B,$A115),0))</f>
        <v>2790</v>
      </c>
      <c r="H115">
        <f>MAX(0,ROUND(SUMIFS(m2_cv!$E:$E,m2_cv!$A:$A,$E115,m2_cv!$B:$B,$A115),0))</f>
        <v>3353</v>
      </c>
      <c r="I115">
        <f>MAX(0,ROUND(SUMIFS(m3_cv!$E:$E,m3_cv!$A:$A,$E115,m3_cv!$B:$B,$A115),0))</f>
        <v>3903</v>
      </c>
      <c r="J115">
        <f>MAX(0,ROUND(SUMIFS(m4_cv!$E:$E,m4_cv!$A:$A,$E115,m4_cv!$B:$B,$A115),0))</f>
        <v>3907</v>
      </c>
      <c r="K115">
        <f>MAX(0,ROUND(SUMIFS(m5_cv!$E:$E,m5_cv!$A:$A,$E115,m5_cv!$B:$B,$A115),0))</f>
        <v>4433</v>
      </c>
      <c r="L115">
        <f>MAX(0,ROUND(SUMIFS(m6_cv!$E:$E,m6_cv!$A:$A,$E115,m6_cv!$B:$B,$A115),0))</f>
        <v>7260</v>
      </c>
      <c r="M115">
        <f>MAX(0,ROUND(SUMIFS(m7_cv!$E:$E,m7_cv!$A:$A,$E115,m7_cv!$B:$B,$A115),0))</f>
        <v>4666</v>
      </c>
      <c r="N115">
        <f>ROUND(_xlfn.XLOOKUP($D115,Charts!$W$82:$W$112,Charts!$X$82:$X$112)*$L115+_xlfn.XLOOKUP($D115,Charts!$W$82:$W$112,Charts!$Y$82:$Y$112)*$M115,0)</f>
        <v>7260</v>
      </c>
    </row>
    <row r="116" spans="1:14" x14ac:dyDescent="0.25">
      <c r="A116" s="3">
        <f t="shared" si="9"/>
        <v>45772</v>
      </c>
      <c r="B116">
        <f t="shared" si="5"/>
        <v>2025</v>
      </c>
      <c r="C116">
        <f t="shared" si="6"/>
        <v>4</v>
      </c>
      <c r="D116">
        <f t="shared" si="7"/>
        <v>25</v>
      </c>
      <c r="E116" s="2">
        <f t="shared" si="8"/>
        <v>45747</v>
      </c>
      <c r="F116" s="12">
        <f>_xlfn.XLOOKUP($A116,m1_cv!$B:$B,m1_cv!$C:$C)</f>
        <v>4600</v>
      </c>
      <c r="G116">
        <f>MAX(0,ROUND(SUMIFS(m1_cv!$E:$E,m1_cv!$A:$A,$E116,m1_cv!$B:$B,$A116),0))</f>
        <v>2755</v>
      </c>
      <c r="H116">
        <f>MAX(0,ROUND(SUMIFS(m2_cv!$E:$E,m2_cv!$A:$A,$E116,m2_cv!$B:$B,$A116),0))</f>
        <v>3353</v>
      </c>
      <c r="I116">
        <f>MAX(0,ROUND(SUMIFS(m3_cv!$E:$E,m3_cv!$A:$A,$E116,m3_cv!$B:$B,$A116),0))</f>
        <v>3916</v>
      </c>
      <c r="J116">
        <f>MAX(0,ROUND(SUMIFS(m4_cv!$E:$E,m4_cv!$A:$A,$E116,m4_cv!$B:$B,$A116),0))</f>
        <v>3920</v>
      </c>
      <c r="K116">
        <f>MAX(0,ROUND(SUMIFS(m5_cv!$E:$E,m5_cv!$A:$A,$E116,m5_cv!$B:$B,$A116),0))</f>
        <v>4279</v>
      </c>
      <c r="L116">
        <f>MAX(0,ROUND(SUMIFS(m6_cv!$E:$E,m6_cv!$A:$A,$E116,m6_cv!$B:$B,$A116),0))</f>
        <v>5910</v>
      </c>
      <c r="M116">
        <f>MAX(0,ROUND(SUMIFS(m7_cv!$E:$E,m7_cv!$A:$A,$E116,m7_cv!$B:$B,$A116),0))</f>
        <v>4422</v>
      </c>
      <c r="N116">
        <f>ROUND(_xlfn.XLOOKUP($D116,Charts!$W$82:$W$112,Charts!$X$82:$X$112)*$L116+_xlfn.XLOOKUP($D116,Charts!$W$82:$W$112,Charts!$Y$82:$Y$112)*$M116,0)</f>
        <v>5910</v>
      </c>
    </row>
    <row r="117" spans="1:14" x14ac:dyDescent="0.25">
      <c r="A117" s="3">
        <f t="shared" si="9"/>
        <v>45773</v>
      </c>
      <c r="B117">
        <f t="shared" si="5"/>
        <v>2025</v>
      </c>
      <c r="C117">
        <f t="shared" si="6"/>
        <v>4</v>
      </c>
      <c r="D117">
        <f t="shared" si="7"/>
        <v>26</v>
      </c>
      <c r="E117" s="2">
        <f t="shared" si="8"/>
        <v>45747</v>
      </c>
      <c r="F117" s="12">
        <f>_xlfn.XLOOKUP($A117,m1_cv!$B:$B,m1_cv!$C:$C)</f>
        <v>1014</v>
      </c>
      <c r="G117">
        <f>MAX(0,ROUND(SUMIFS(m1_cv!$E:$E,m1_cv!$A:$A,$E117,m1_cv!$B:$B,$A117),0))</f>
        <v>462</v>
      </c>
      <c r="H117">
        <f>MAX(0,ROUND(SUMIFS(m2_cv!$E:$E,m2_cv!$A:$A,$E117,m2_cv!$B:$B,$A117),0))</f>
        <v>960</v>
      </c>
      <c r="I117">
        <f>MAX(0,ROUND(SUMIFS(m3_cv!$E:$E,m3_cv!$A:$A,$E117,m3_cv!$B:$B,$A117),0))</f>
        <v>1584</v>
      </c>
      <c r="J117">
        <f>MAX(0,ROUND(SUMIFS(m4_cv!$E:$E,m4_cv!$A:$A,$E117,m4_cv!$B:$B,$A117),0))</f>
        <v>1585</v>
      </c>
      <c r="K117">
        <f>MAX(0,ROUND(SUMIFS(m5_cv!$E:$E,m5_cv!$A:$A,$E117,m5_cv!$B:$B,$A117),0))</f>
        <v>1966</v>
      </c>
      <c r="L117">
        <f>MAX(0,ROUND(SUMIFS(m6_cv!$E:$E,m6_cv!$A:$A,$E117,m6_cv!$B:$B,$A117),0))</f>
        <v>893</v>
      </c>
      <c r="M117">
        <f>MAX(0,ROUND(SUMIFS(m7_cv!$E:$E,m7_cv!$A:$A,$E117,m7_cv!$B:$B,$A117),0))</f>
        <v>1877</v>
      </c>
      <c r="N117">
        <f>ROUND(_xlfn.XLOOKUP($D117,Charts!$W$82:$W$112,Charts!$X$82:$X$112)*$L117+_xlfn.XLOOKUP($D117,Charts!$W$82:$W$112,Charts!$Y$82:$Y$112)*$M117,0)</f>
        <v>893</v>
      </c>
    </row>
    <row r="118" spans="1:14" x14ac:dyDescent="0.25">
      <c r="A118" s="3">
        <f t="shared" si="9"/>
        <v>45774</v>
      </c>
      <c r="B118">
        <f t="shared" si="5"/>
        <v>2025</v>
      </c>
      <c r="C118">
        <f t="shared" si="6"/>
        <v>4</v>
      </c>
      <c r="D118">
        <f t="shared" si="7"/>
        <v>27</v>
      </c>
      <c r="E118" s="2">
        <f t="shared" si="8"/>
        <v>45747</v>
      </c>
      <c r="F118" s="12">
        <f>_xlfn.XLOOKUP($A118,m1_cv!$B:$B,m1_cv!$C:$C)</f>
        <v>198</v>
      </c>
      <c r="G118">
        <f>MAX(0,ROUND(SUMIFS(m1_cv!$E:$E,m1_cv!$A:$A,$E118,m1_cv!$B:$B,$A118),0))</f>
        <v>0</v>
      </c>
      <c r="H118">
        <f>MAX(0,ROUND(SUMIFS(m2_cv!$E:$E,m2_cv!$A:$A,$E118,m2_cv!$B:$B,$A118),0))</f>
        <v>561</v>
      </c>
      <c r="I118">
        <f>MAX(0,ROUND(SUMIFS(m3_cv!$E:$E,m3_cv!$A:$A,$E118,m3_cv!$B:$B,$A118),0))</f>
        <v>1182</v>
      </c>
      <c r="J118">
        <f>MAX(0,ROUND(SUMIFS(m4_cv!$E:$E,m4_cv!$A:$A,$E118,m4_cv!$B:$B,$A118),0))</f>
        <v>1182</v>
      </c>
      <c r="K118">
        <f>MAX(0,ROUND(SUMIFS(m5_cv!$E:$E,m5_cv!$A:$A,$E118,m5_cv!$B:$B,$A118),0))</f>
        <v>1595</v>
      </c>
      <c r="L118">
        <f>MAX(0,ROUND(SUMIFS(m6_cv!$E:$E,m6_cv!$A:$A,$E118,m6_cv!$B:$B,$A118),0))</f>
        <v>331</v>
      </c>
      <c r="M118">
        <f>MAX(0,ROUND(SUMIFS(m7_cv!$E:$E,m7_cv!$A:$A,$E118,m7_cv!$B:$B,$A118),0))</f>
        <v>1596</v>
      </c>
      <c r="N118">
        <f>ROUND(_xlfn.XLOOKUP($D118,Charts!$W$82:$W$112,Charts!$X$82:$X$112)*$L118+_xlfn.XLOOKUP($D118,Charts!$W$82:$W$112,Charts!$Y$82:$Y$112)*$M118,0)</f>
        <v>331</v>
      </c>
    </row>
    <row r="119" spans="1:14" x14ac:dyDescent="0.25">
      <c r="A119" s="3">
        <f t="shared" si="9"/>
        <v>45775</v>
      </c>
      <c r="B119">
        <f t="shared" si="5"/>
        <v>2025</v>
      </c>
      <c r="C119">
        <f t="shared" si="6"/>
        <v>4</v>
      </c>
      <c r="D119">
        <f t="shared" si="7"/>
        <v>28</v>
      </c>
      <c r="E119" s="2">
        <f t="shared" si="8"/>
        <v>45747</v>
      </c>
      <c r="F119" s="12">
        <f>_xlfn.XLOOKUP($A119,m1_cv!$B:$B,m1_cv!$C:$C)</f>
        <v>5133</v>
      </c>
      <c r="G119">
        <f>MAX(0,ROUND(SUMIFS(m1_cv!$E:$E,m1_cv!$A:$A,$E119,m1_cv!$B:$B,$A119),0))</f>
        <v>2165</v>
      </c>
      <c r="H119">
        <f>MAX(0,ROUND(SUMIFS(m2_cv!$E:$E,m2_cv!$A:$A,$E119,m2_cv!$B:$B,$A119),0))</f>
        <v>3555</v>
      </c>
      <c r="I119">
        <f>MAX(0,ROUND(SUMIFS(m3_cv!$E:$E,m3_cv!$A:$A,$E119,m3_cv!$B:$B,$A119),0))</f>
        <v>4337</v>
      </c>
      <c r="J119">
        <f>MAX(0,ROUND(SUMIFS(m4_cv!$E:$E,m4_cv!$A:$A,$E119,m4_cv!$B:$B,$A119),0))</f>
        <v>4335</v>
      </c>
      <c r="K119">
        <f>MAX(0,ROUND(SUMIFS(m5_cv!$E:$E,m5_cv!$A:$A,$E119,m5_cv!$B:$B,$A119),0))</f>
        <v>4473</v>
      </c>
      <c r="L119">
        <f>MAX(0,ROUND(SUMIFS(m6_cv!$E:$E,m6_cv!$A:$A,$E119,m6_cv!$B:$B,$A119),0))</f>
        <v>4152</v>
      </c>
      <c r="M119">
        <f>MAX(0,ROUND(SUMIFS(m7_cv!$E:$E,m7_cv!$A:$A,$E119,m7_cv!$B:$B,$A119),0))</f>
        <v>4531</v>
      </c>
      <c r="N119">
        <f>ROUND(_xlfn.XLOOKUP($D119,Charts!$W$82:$W$112,Charts!$X$82:$X$112)*$L119+_xlfn.XLOOKUP($D119,Charts!$W$82:$W$112,Charts!$Y$82:$Y$112)*$M119,0)</f>
        <v>4152</v>
      </c>
    </row>
    <row r="120" spans="1:14" x14ac:dyDescent="0.25">
      <c r="A120" s="3">
        <f t="shared" si="9"/>
        <v>45776</v>
      </c>
      <c r="B120">
        <f t="shared" si="5"/>
        <v>2025</v>
      </c>
      <c r="C120">
        <f t="shared" si="6"/>
        <v>4</v>
      </c>
      <c r="D120">
        <f t="shared" si="7"/>
        <v>29</v>
      </c>
      <c r="E120" s="2">
        <f t="shared" si="8"/>
        <v>45747</v>
      </c>
      <c r="F120" s="12">
        <f>_xlfn.XLOOKUP($A120,m1_cv!$B:$B,m1_cv!$C:$C)</f>
        <v>7913</v>
      </c>
      <c r="G120">
        <f>MAX(0,ROUND(SUMIFS(m1_cv!$E:$E,m1_cv!$A:$A,$E120,m1_cv!$B:$B,$A120),0))</f>
        <v>2729</v>
      </c>
      <c r="H120">
        <f>MAX(0,ROUND(SUMIFS(m2_cv!$E:$E,m2_cv!$A:$A,$E120,m2_cv!$B:$B,$A120),0))</f>
        <v>5231</v>
      </c>
      <c r="I120">
        <f>MAX(0,ROUND(SUMIFS(m3_cv!$E:$E,m3_cv!$A:$A,$E120,m3_cv!$B:$B,$A120),0))</f>
        <v>5740</v>
      </c>
      <c r="J120">
        <f>MAX(0,ROUND(SUMIFS(m4_cv!$E:$E,m4_cv!$A:$A,$E120,m4_cv!$B:$B,$A120),0))</f>
        <v>5742</v>
      </c>
      <c r="K120">
        <f>MAX(0,ROUND(SUMIFS(m5_cv!$E:$E,m5_cv!$A:$A,$E120,m5_cv!$B:$B,$A120),0))</f>
        <v>7388</v>
      </c>
      <c r="L120">
        <f>MAX(0,ROUND(SUMIFS(m6_cv!$E:$E,m6_cv!$A:$A,$E120,m6_cv!$B:$B,$A120),0))</f>
        <v>9949</v>
      </c>
      <c r="M120">
        <f>MAX(0,ROUND(SUMIFS(m7_cv!$E:$E,m7_cv!$A:$A,$E120,m7_cv!$B:$B,$A120),0))</f>
        <v>7295</v>
      </c>
      <c r="N120">
        <f>ROUND(_xlfn.XLOOKUP($D120,Charts!$W$82:$W$112,Charts!$X$82:$X$112)*$L120+_xlfn.XLOOKUP($D120,Charts!$W$82:$W$112,Charts!$Y$82:$Y$112)*$M120,0)</f>
        <v>7295</v>
      </c>
    </row>
    <row r="121" spans="1:14" x14ac:dyDescent="0.25">
      <c r="A121" s="3">
        <f t="shared" si="9"/>
        <v>45777</v>
      </c>
      <c r="B121">
        <f t="shared" si="5"/>
        <v>2025</v>
      </c>
      <c r="C121">
        <f t="shared" si="6"/>
        <v>4</v>
      </c>
      <c r="D121">
        <f t="shared" si="7"/>
        <v>30</v>
      </c>
      <c r="E121" s="2">
        <f t="shared" si="8"/>
        <v>45747</v>
      </c>
      <c r="F121" s="12">
        <f>_xlfn.XLOOKUP($A121,m1_cv!$B:$B,m1_cv!$C:$C)</f>
        <v>14564</v>
      </c>
      <c r="G121">
        <f>MAX(0,ROUND(SUMIFS(m1_cv!$E:$E,m1_cv!$A:$A,$E121,m1_cv!$B:$B,$A121),0))</f>
        <v>2716</v>
      </c>
      <c r="H121">
        <f>MAX(0,ROUND(SUMIFS(m2_cv!$E:$E,m2_cv!$A:$A,$E121,m2_cv!$B:$B,$A121),0))</f>
        <v>6128</v>
      </c>
      <c r="I121">
        <f>MAX(0,ROUND(SUMIFS(m3_cv!$E:$E,m3_cv!$A:$A,$E121,m3_cv!$B:$B,$A121),0))</f>
        <v>6712</v>
      </c>
      <c r="J121">
        <f>MAX(0,ROUND(SUMIFS(m4_cv!$E:$E,m4_cv!$A:$A,$E121,m4_cv!$B:$B,$A121),0))</f>
        <v>6712</v>
      </c>
      <c r="K121">
        <f>MAX(0,ROUND(SUMIFS(m5_cv!$E:$E,m5_cv!$A:$A,$E121,m5_cv!$B:$B,$A121),0))</f>
        <v>9783</v>
      </c>
      <c r="L121">
        <f>MAX(0,ROUND(SUMIFS(m6_cv!$E:$E,m6_cv!$A:$A,$E121,m6_cv!$B:$B,$A121),0))</f>
        <v>16380</v>
      </c>
      <c r="M121">
        <f>MAX(0,ROUND(SUMIFS(m7_cv!$E:$E,m7_cv!$A:$A,$E121,m7_cv!$B:$B,$A121),0))</f>
        <v>9924</v>
      </c>
      <c r="N121">
        <f>ROUND(_xlfn.XLOOKUP($D121,Charts!$W$82:$W$112,Charts!$X$82:$X$112)*$L121+_xlfn.XLOOKUP($D121,Charts!$W$82:$W$112,Charts!$Y$82:$Y$112)*$M121,0)</f>
        <v>9924</v>
      </c>
    </row>
    <row r="122" spans="1:14" x14ac:dyDescent="0.25">
      <c r="A122" s="3">
        <f t="shared" si="9"/>
        <v>45778</v>
      </c>
      <c r="B122">
        <f t="shared" si="5"/>
        <v>2025</v>
      </c>
      <c r="C122">
        <f t="shared" si="6"/>
        <v>5</v>
      </c>
      <c r="D122">
        <f t="shared" si="7"/>
        <v>1</v>
      </c>
      <c r="E122" s="2">
        <f t="shared" si="8"/>
        <v>45777</v>
      </c>
      <c r="F122" s="12">
        <f>_xlfn.XLOOKUP($A122,m1_cv!$B:$B,m1_cv!$C:$C)</f>
        <v>24</v>
      </c>
      <c r="G122">
        <f>MAX(0,ROUND(SUMIFS(m1_cv!$E:$E,m1_cv!$A:$A,$E122,m1_cv!$B:$B,$A122),0))</f>
        <v>3229</v>
      </c>
      <c r="H122">
        <f>MAX(0,ROUND(SUMIFS(m2_cv!$E:$E,m2_cv!$A:$A,$E122,m2_cv!$B:$B,$A122),0))</f>
        <v>6461</v>
      </c>
      <c r="I122">
        <f>MAX(0,ROUND(SUMIFS(m3_cv!$E:$E,m3_cv!$A:$A,$E122,m3_cv!$B:$B,$A122),0))</f>
        <v>5493</v>
      </c>
      <c r="J122">
        <f>MAX(0,ROUND(SUMIFS(m4_cv!$E:$E,m4_cv!$A:$A,$E122,m4_cv!$B:$B,$A122),0))</f>
        <v>5490</v>
      </c>
      <c r="K122">
        <f>MAX(0,ROUND(SUMIFS(m5_cv!$E:$E,m5_cv!$A:$A,$E122,m5_cv!$B:$B,$A122),0))</f>
        <v>1861</v>
      </c>
      <c r="L122">
        <f>MAX(0,ROUND(SUMIFS(m6_cv!$E:$E,m6_cv!$A:$A,$E122,m6_cv!$B:$B,$A122),0))</f>
        <v>159</v>
      </c>
      <c r="M122">
        <f>MAX(0,ROUND(SUMIFS(m7_cv!$E:$E,m7_cv!$A:$A,$E122,m7_cv!$B:$B,$A122),0))</f>
        <v>2053</v>
      </c>
      <c r="N122">
        <f>ROUND(_xlfn.XLOOKUP($D122,Charts!$W$82:$W$112,Charts!$X$82:$X$112)*$L122+_xlfn.XLOOKUP($D122,Charts!$W$82:$W$112,Charts!$Y$82:$Y$112)*$M122,0)</f>
        <v>159</v>
      </c>
    </row>
    <row r="123" spans="1:14" x14ac:dyDescent="0.25">
      <c r="A123" s="3">
        <f t="shared" si="9"/>
        <v>45779</v>
      </c>
      <c r="B123">
        <f t="shared" si="5"/>
        <v>2025</v>
      </c>
      <c r="C123">
        <f t="shared" si="6"/>
        <v>5</v>
      </c>
      <c r="D123">
        <f t="shared" si="7"/>
        <v>2</v>
      </c>
      <c r="E123" s="2">
        <f t="shared" si="8"/>
        <v>45777</v>
      </c>
      <c r="F123" s="12">
        <f>_xlfn.XLOOKUP($A123,m1_cv!$B:$B,m1_cv!$C:$C)</f>
        <v>750</v>
      </c>
      <c r="G123">
        <f>MAX(0,ROUND(SUMIFS(m1_cv!$E:$E,m1_cv!$A:$A,$E123,m1_cv!$B:$B,$A123),0))</f>
        <v>3240</v>
      </c>
      <c r="H123">
        <f>MAX(0,ROUND(SUMIFS(m2_cv!$E:$E,m2_cv!$A:$A,$E123,m2_cv!$B:$B,$A123),0))</f>
        <v>5252</v>
      </c>
      <c r="I123">
        <f>MAX(0,ROUND(SUMIFS(m3_cv!$E:$E,m3_cv!$A:$A,$E123,m3_cv!$B:$B,$A123),0))</f>
        <v>5775</v>
      </c>
      <c r="J123">
        <f>MAX(0,ROUND(SUMIFS(m4_cv!$E:$E,m4_cv!$A:$A,$E123,m4_cv!$B:$B,$A123),0))</f>
        <v>5782</v>
      </c>
      <c r="K123">
        <f>MAX(0,ROUND(SUMIFS(m5_cv!$E:$E,m5_cv!$A:$A,$E123,m5_cv!$B:$B,$A123),0))</f>
        <v>2614</v>
      </c>
      <c r="L123">
        <f>MAX(0,ROUND(SUMIFS(m6_cv!$E:$E,m6_cv!$A:$A,$E123,m6_cv!$B:$B,$A123),0))</f>
        <v>733</v>
      </c>
      <c r="M123">
        <f>MAX(0,ROUND(SUMIFS(m7_cv!$E:$E,m7_cv!$A:$A,$E123,m7_cv!$B:$B,$A123),0))</f>
        <v>2265</v>
      </c>
      <c r="N123">
        <f>ROUND(_xlfn.XLOOKUP($D123,Charts!$W$82:$W$112,Charts!$X$82:$X$112)*$L123+_xlfn.XLOOKUP($D123,Charts!$W$82:$W$112,Charts!$Y$82:$Y$112)*$M123,0)</f>
        <v>733</v>
      </c>
    </row>
    <row r="124" spans="1:14" x14ac:dyDescent="0.25">
      <c r="A124" s="3">
        <f t="shared" si="9"/>
        <v>45780</v>
      </c>
      <c r="B124">
        <f t="shared" si="5"/>
        <v>2025</v>
      </c>
      <c r="C124">
        <f t="shared" si="6"/>
        <v>5</v>
      </c>
      <c r="D124">
        <f t="shared" si="7"/>
        <v>3</v>
      </c>
      <c r="E124" s="2">
        <f t="shared" si="8"/>
        <v>45777</v>
      </c>
      <c r="F124" s="12">
        <f>_xlfn.XLOOKUP($A124,m1_cv!$B:$B,m1_cv!$C:$C)</f>
        <v>70</v>
      </c>
      <c r="G124">
        <f>MAX(0,ROUND(SUMIFS(m1_cv!$E:$E,m1_cv!$A:$A,$E124,m1_cv!$B:$B,$A124),0))</f>
        <v>986</v>
      </c>
      <c r="H124">
        <f>MAX(0,ROUND(SUMIFS(m2_cv!$E:$E,m2_cv!$A:$A,$E124,m2_cv!$B:$B,$A124),0))</f>
        <v>1137</v>
      </c>
      <c r="I124">
        <f>MAX(0,ROUND(SUMIFS(m3_cv!$E:$E,m3_cv!$A:$A,$E124,m3_cv!$B:$B,$A124),0))</f>
        <v>1641</v>
      </c>
      <c r="J124">
        <f>MAX(0,ROUND(SUMIFS(m4_cv!$E:$E,m4_cv!$A:$A,$E124,m4_cv!$B:$B,$A124),0))</f>
        <v>1645</v>
      </c>
      <c r="K124">
        <f>MAX(0,ROUND(SUMIFS(m5_cv!$E:$E,m5_cv!$A:$A,$E124,m5_cv!$B:$B,$A124),0))</f>
        <v>0</v>
      </c>
      <c r="L124">
        <f>MAX(0,ROUND(SUMIFS(m6_cv!$E:$E,m6_cv!$A:$A,$E124,m6_cv!$B:$B,$A124),0))</f>
        <v>139</v>
      </c>
      <c r="M124">
        <f>MAX(0,ROUND(SUMIFS(m7_cv!$E:$E,m7_cv!$A:$A,$E124,m7_cv!$B:$B,$A124),0))</f>
        <v>0</v>
      </c>
      <c r="N124">
        <f>ROUND(_xlfn.XLOOKUP($D124,Charts!$W$82:$W$112,Charts!$X$82:$X$112)*$L124+_xlfn.XLOOKUP($D124,Charts!$W$82:$W$112,Charts!$Y$82:$Y$112)*$M124,0)</f>
        <v>139</v>
      </c>
    </row>
    <row r="125" spans="1:14" x14ac:dyDescent="0.25">
      <c r="A125" s="3">
        <f t="shared" si="9"/>
        <v>45781</v>
      </c>
      <c r="B125">
        <f t="shared" si="5"/>
        <v>2025</v>
      </c>
      <c r="C125">
        <f t="shared" si="6"/>
        <v>5</v>
      </c>
      <c r="D125">
        <f t="shared" si="7"/>
        <v>4</v>
      </c>
      <c r="E125" s="2">
        <f t="shared" si="8"/>
        <v>45777</v>
      </c>
      <c r="F125" s="12">
        <f>_xlfn.XLOOKUP($A125,m1_cv!$B:$B,m1_cv!$C:$C)</f>
        <v>31</v>
      </c>
      <c r="G125">
        <f>MAX(0,ROUND(SUMIFS(m1_cv!$E:$E,m1_cv!$A:$A,$E125,m1_cv!$B:$B,$A125),0))</f>
        <v>452</v>
      </c>
      <c r="H125">
        <f>MAX(0,ROUND(SUMIFS(m2_cv!$E:$E,m2_cv!$A:$A,$E125,m2_cv!$B:$B,$A125),0))</f>
        <v>0</v>
      </c>
      <c r="I125">
        <f>MAX(0,ROUND(SUMIFS(m3_cv!$E:$E,m3_cv!$A:$A,$E125,m3_cv!$B:$B,$A125),0))</f>
        <v>0</v>
      </c>
      <c r="J125">
        <f>MAX(0,ROUND(SUMIFS(m4_cv!$E:$E,m4_cv!$A:$A,$E125,m4_cv!$B:$B,$A125),0))</f>
        <v>0</v>
      </c>
      <c r="K125">
        <f>MAX(0,ROUND(SUMIFS(m5_cv!$E:$E,m5_cv!$A:$A,$E125,m5_cv!$B:$B,$A125),0))</f>
        <v>0</v>
      </c>
      <c r="L125">
        <f>MAX(0,ROUND(SUMIFS(m6_cv!$E:$E,m6_cv!$A:$A,$E125,m6_cv!$B:$B,$A125),0))</f>
        <v>41</v>
      </c>
      <c r="M125">
        <f>MAX(0,ROUND(SUMIFS(m7_cv!$E:$E,m7_cv!$A:$A,$E125,m7_cv!$B:$B,$A125),0))</f>
        <v>0</v>
      </c>
      <c r="N125">
        <f>ROUND(_xlfn.XLOOKUP($D125,Charts!$W$82:$W$112,Charts!$X$82:$X$112)*$L125+_xlfn.XLOOKUP($D125,Charts!$W$82:$W$112,Charts!$Y$82:$Y$112)*$M125,0)</f>
        <v>41</v>
      </c>
    </row>
    <row r="126" spans="1:14" x14ac:dyDescent="0.25">
      <c r="A126" s="3">
        <f t="shared" si="9"/>
        <v>45782</v>
      </c>
      <c r="B126">
        <f t="shared" si="5"/>
        <v>2025</v>
      </c>
      <c r="C126">
        <f t="shared" si="6"/>
        <v>5</v>
      </c>
      <c r="D126">
        <f t="shared" si="7"/>
        <v>5</v>
      </c>
      <c r="E126" s="2">
        <f t="shared" si="8"/>
        <v>45777</v>
      </c>
      <c r="F126" s="12">
        <f>_xlfn.XLOOKUP($A126,m1_cv!$B:$B,m1_cv!$C:$C)</f>
        <v>1026</v>
      </c>
      <c r="G126">
        <f>MAX(0,ROUND(SUMIFS(m1_cv!$E:$E,m1_cv!$A:$A,$E126,m1_cv!$B:$B,$A126),0))</f>
        <v>2732</v>
      </c>
      <c r="H126">
        <f>MAX(0,ROUND(SUMIFS(m2_cv!$E:$E,m2_cv!$A:$A,$E126,m2_cv!$B:$B,$A126),0))</f>
        <v>471</v>
      </c>
      <c r="I126">
        <f>MAX(0,ROUND(SUMIFS(m3_cv!$E:$E,m3_cv!$A:$A,$E126,m3_cv!$B:$B,$A126),0))</f>
        <v>1093</v>
      </c>
      <c r="J126">
        <f>MAX(0,ROUND(SUMIFS(m4_cv!$E:$E,m4_cv!$A:$A,$E126,m4_cv!$B:$B,$A126),0))</f>
        <v>1093</v>
      </c>
      <c r="K126">
        <f>MAX(0,ROUND(SUMIFS(m5_cv!$E:$E,m5_cv!$A:$A,$E126,m5_cv!$B:$B,$A126),0))</f>
        <v>1164</v>
      </c>
      <c r="L126">
        <f>MAX(0,ROUND(SUMIFS(m6_cv!$E:$E,m6_cv!$A:$A,$E126,m6_cv!$B:$B,$A126),0))</f>
        <v>474</v>
      </c>
      <c r="M126">
        <f>MAX(0,ROUND(SUMIFS(m7_cv!$E:$E,m7_cv!$A:$A,$E126,m7_cv!$B:$B,$A126),0))</f>
        <v>1294</v>
      </c>
      <c r="N126">
        <f>ROUND(_xlfn.XLOOKUP($D126,Charts!$W$82:$W$112,Charts!$X$82:$X$112)*$L126+_xlfn.XLOOKUP($D126,Charts!$W$82:$W$112,Charts!$Y$82:$Y$112)*$M126,0)</f>
        <v>638</v>
      </c>
    </row>
    <row r="127" spans="1:14" x14ac:dyDescent="0.25">
      <c r="A127" s="3">
        <f t="shared" si="9"/>
        <v>45783</v>
      </c>
      <c r="B127">
        <f t="shared" si="5"/>
        <v>2025</v>
      </c>
      <c r="C127">
        <f t="shared" si="6"/>
        <v>5</v>
      </c>
      <c r="D127">
        <f t="shared" si="7"/>
        <v>6</v>
      </c>
      <c r="E127" s="2">
        <f t="shared" si="8"/>
        <v>45777</v>
      </c>
      <c r="F127" s="12">
        <f>_xlfn.XLOOKUP($A127,m1_cv!$B:$B,m1_cv!$C:$C)</f>
        <v>940</v>
      </c>
      <c r="G127">
        <f>MAX(0,ROUND(SUMIFS(m1_cv!$E:$E,m1_cv!$A:$A,$E127,m1_cv!$B:$B,$A127),0))</f>
        <v>3283</v>
      </c>
      <c r="H127">
        <f>MAX(0,ROUND(SUMIFS(m2_cv!$E:$E,m2_cv!$A:$A,$E127,m2_cv!$B:$B,$A127),0))</f>
        <v>1058</v>
      </c>
      <c r="I127">
        <f>MAX(0,ROUND(SUMIFS(m3_cv!$E:$E,m3_cv!$A:$A,$E127,m3_cv!$B:$B,$A127),0))</f>
        <v>1428</v>
      </c>
      <c r="J127">
        <f>MAX(0,ROUND(SUMIFS(m4_cv!$E:$E,m4_cv!$A:$A,$E127,m4_cv!$B:$B,$A127),0))</f>
        <v>1430</v>
      </c>
      <c r="K127">
        <f>MAX(0,ROUND(SUMIFS(m5_cv!$E:$E,m5_cv!$A:$A,$E127,m5_cv!$B:$B,$A127),0))</f>
        <v>1657</v>
      </c>
      <c r="L127">
        <f>MAX(0,ROUND(SUMIFS(m6_cv!$E:$E,m6_cv!$A:$A,$E127,m6_cv!$B:$B,$A127),0))</f>
        <v>618</v>
      </c>
      <c r="M127">
        <f>MAX(0,ROUND(SUMIFS(m7_cv!$E:$E,m7_cv!$A:$A,$E127,m7_cv!$B:$B,$A127),0))</f>
        <v>1552</v>
      </c>
      <c r="N127">
        <f>ROUND(_xlfn.XLOOKUP($D127,Charts!$W$82:$W$112,Charts!$X$82:$X$112)*$L127+_xlfn.XLOOKUP($D127,Charts!$W$82:$W$112,Charts!$Y$82:$Y$112)*$M127,0)</f>
        <v>1085</v>
      </c>
    </row>
    <row r="128" spans="1:14" x14ac:dyDescent="0.25">
      <c r="A128" s="3">
        <f t="shared" si="9"/>
        <v>45784</v>
      </c>
      <c r="B128">
        <f t="shared" si="5"/>
        <v>2025</v>
      </c>
      <c r="C128">
        <f t="shared" si="6"/>
        <v>5</v>
      </c>
      <c r="D128">
        <f t="shared" si="7"/>
        <v>7</v>
      </c>
      <c r="E128" s="2">
        <f t="shared" si="8"/>
        <v>45777</v>
      </c>
      <c r="F128" s="12">
        <f>_xlfn.XLOOKUP($A128,m1_cv!$B:$B,m1_cv!$C:$C)</f>
        <v>1225</v>
      </c>
      <c r="G128">
        <f>MAX(0,ROUND(SUMIFS(m1_cv!$E:$E,m1_cv!$A:$A,$E128,m1_cv!$B:$B,$A128),0))</f>
        <v>3302</v>
      </c>
      <c r="H128">
        <f>MAX(0,ROUND(SUMIFS(m2_cv!$E:$E,m2_cv!$A:$A,$E128,m2_cv!$B:$B,$A128),0))</f>
        <v>1527</v>
      </c>
      <c r="I128">
        <f>MAX(0,ROUND(SUMIFS(m3_cv!$E:$E,m3_cv!$A:$A,$E128,m3_cv!$B:$B,$A128),0))</f>
        <v>1903</v>
      </c>
      <c r="J128">
        <f>MAX(0,ROUND(SUMIFS(m4_cv!$E:$E,m4_cv!$A:$A,$E128,m4_cv!$B:$B,$A128),0))</f>
        <v>1903</v>
      </c>
      <c r="K128">
        <f>MAX(0,ROUND(SUMIFS(m5_cv!$E:$E,m5_cv!$A:$A,$E128,m5_cv!$B:$B,$A128),0))</f>
        <v>1816</v>
      </c>
      <c r="L128">
        <f>MAX(0,ROUND(SUMIFS(m6_cv!$E:$E,m6_cv!$A:$A,$E128,m6_cv!$B:$B,$A128),0))</f>
        <v>715</v>
      </c>
      <c r="M128">
        <f>MAX(0,ROUND(SUMIFS(m7_cv!$E:$E,m7_cv!$A:$A,$E128,m7_cv!$B:$B,$A128),0))</f>
        <v>1693</v>
      </c>
      <c r="N128">
        <f>ROUND(_xlfn.XLOOKUP($D128,Charts!$W$82:$W$112,Charts!$X$82:$X$112)*$L128+_xlfn.XLOOKUP($D128,Charts!$W$82:$W$112,Charts!$Y$82:$Y$112)*$M128,0)</f>
        <v>1204</v>
      </c>
    </row>
    <row r="129" spans="1:14" x14ac:dyDescent="0.25">
      <c r="A129" s="3">
        <f t="shared" si="9"/>
        <v>45785</v>
      </c>
      <c r="B129">
        <f t="shared" si="5"/>
        <v>2025</v>
      </c>
      <c r="C129">
        <f t="shared" si="6"/>
        <v>5</v>
      </c>
      <c r="D129">
        <f t="shared" si="7"/>
        <v>8</v>
      </c>
      <c r="E129" s="2">
        <f t="shared" si="8"/>
        <v>45777</v>
      </c>
      <c r="F129" s="12">
        <f>_xlfn.XLOOKUP($A129,m1_cv!$B:$B,m1_cv!$C:$C)</f>
        <v>1538</v>
      </c>
      <c r="G129">
        <f>MAX(0,ROUND(SUMIFS(m1_cv!$E:$E,m1_cv!$A:$A,$E129,m1_cv!$B:$B,$A129),0))</f>
        <v>3284</v>
      </c>
      <c r="H129">
        <f>MAX(0,ROUND(SUMIFS(m2_cv!$E:$E,m2_cv!$A:$A,$E129,m2_cv!$B:$B,$A129),0))</f>
        <v>1847</v>
      </c>
      <c r="I129">
        <f>MAX(0,ROUND(SUMIFS(m3_cv!$E:$E,m3_cv!$A:$A,$E129,m3_cv!$B:$B,$A129),0))</f>
        <v>2131</v>
      </c>
      <c r="J129">
        <f>MAX(0,ROUND(SUMIFS(m4_cv!$E:$E,m4_cv!$A:$A,$E129,m4_cv!$B:$B,$A129),0))</f>
        <v>2131</v>
      </c>
      <c r="K129">
        <f>MAX(0,ROUND(SUMIFS(m5_cv!$E:$E,m5_cv!$A:$A,$E129,m5_cv!$B:$B,$A129),0))</f>
        <v>2430</v>
      </c>
      <c r="L129">
        <f>MAX(0,ROUND(SUMIFS(m6_cv!$E:$E,m6_cv!$A:$A,$E129,m6_cv!$B:$B,$A129),0))</f>
        <v>1544</v>
      </c>
      <c r="M129">
        <f>MAX(0,ROUND(SUMIFS(m7_cv!$E:$E,m7_cv!$A:$A,$E129,m7_cv!$B:$B,$A129),0))</f>
        <v>2440</v>
      </c>
      <c r="N129">
        <f>ROUND(_xlfn.XLOOKUP($D129,Charts!$W$82:$W$112,Charts!$X$82:$X$112)*$L129+_xlfn.XLOOKUP($D129,Charts!$W$82:$W$112,Charts!$Y$82:$Y$112)*$M129,0)</f>
        <v>1992</v>
      </c>
    </row>
    <row r="130" spans="1:14" x14ac:dyDescent="0.25">
      <c r="A130" s="3">
        <f t="shared" si="9"/>
        <v>45786</v>
      </c>
      <c r="B130">
        <f t="shared" si="5"/>
        <v>2025</v>
      </c>
      <c r="C130">
        <f t="shared" si="6"/>
        <v>5</v>
      </c>
      <c r="D130">
        <f t="shared" si="7"/>
        <v>9</v>
      </c>
      <c r="E130" s="2">
        <f t="shared" si="8"/>
        <v>45777</v>
      </c>
      <c r="F130" s="12">
        <f>_xlfn.XLOOKUP($A130,m1_cv!$B:$B,m1_cv!$C:$C)</f>
        <v>1799</v>
      </c>
      <c r="G130">
        <f>MAX(0,ROUND(SUMIFS(m1_cv!$E:$E,m1_cv!$A:$A,$E130,m1_cv!$B:$B,$A130),0))</f>
        <v>3277</v>
      </c>
      <c r="H130">
        <f>MAX(0,ROUND(SUMIFS(m2_cv!$E:$E,m2_cv!$A:$A,$E130,m2_cv!$B:$B,$A130),0))</f>
        <v>1844</v>
      </c>
      <c r="I130">
        <f>MAX(0,ROUND(SUMIFS(m3_cv!$E:$E,m3_cv!$A:$A,$E130,m3_cv!$B:$B,$A130),0))</f>
        <v>1978</v>
      </c>
      <c r="J130">
        <f>MAX(0,ROUND(SUMIFS(m4_cv!$E:$E,m4_cv!$A:$A,$E130,m4_cv!$B:$B,$A130),0))</f>
        <v>1982</v>
      </c>
      <c r="K130">
        <f>MAX(0,ROUND(SUMIFS(m5_cv!$E:$E,m5_cv!$A:$A,$E130,m5_cv!$B:$B,$A130),0))</f>
        <v>2164</v>
      </c>
      <c r="L130">
        <f>MAX(0,ROUND(SUMIFS(m6_cv!$E:$E,m6_cv!$A:$A,$E130,m6_cv!$B:$B,$A130),0))</f>
        <v>1360</v>
      </c>
      <c r="M130">
        <f>MAX(0,ROUND(SUMIFS(m7_cv!$E:$E,m7_cv!$A:$A,$E130,m7_cv!$B:$B,$A130),0))</f>
        <v>2263</v>
      </c>
      <c r="N130">
        <f>ROUND(_xlfn.XLOOKUP($D130,Charts!$W$82:$W$112,Charts!$X$82:$X$112)*$L130+_xlfn.XLOOKUP($D130,Charts!$W$82:$W$112,Charts!$Y$82:$Y$112)*$M130,0)</f>
        <v>1812</v>
      </c>
    </row>
    <row r="131" spans="1:14" x14ac:dyDescent="0.25">
      <c r="A131" s="3">
        <f t="shared" si="9"/>
        <v>45787</v>
      </c>
      <c r="B131">
        <f t="shared" ref="B131:B194" si="10">YEAR(A131)</f>
        <v>2025</v>
      </c>
      <c r="C131">
        <f t="shared" ref="C131:C194" si="11">MONTH($A131)</f>
        <v>5</v>
      </c>
      <c r="D131">
        <f t="shared" ref="D131:D194" si="12">DAY($A131)</f>
        <v>10</v>
      </c>
      <c r="E131" s="2">
        <f t="shared" ref="E131:E194" si="13">DATE($B131,$C131,1)-1</f>
        <v>45777</v>
      </c>
      <c r="F131" s="12">
        <f>_xlfn.XLOOKUP($A131,m1_cv!$B:$B,m1_cv!$C:$C)</f>
        <v>415</v>
      </c>
      <c r="G131">
        <f>MAX(0,ROUND(SUMIFS(m1_cv!$E:$E,m1_cv!$A:$A,$E131,m1_cv!$B:$B,$A131),0))</f>
        <v>1004</v>
      </c>
      <c r="H131">
        <f>MAX(0,ROUND(SUMIFS(m2_cv!$E:$E,m2_cv!$A:$A,$E131,m2_cv!$B:$B,$A131),0))</f>
        <v>0</v>
      </c>
      <c r="I131">
        <f>MAX(0,ROUND(SUMIFS(m3_cv!$E:$E,m3_cv!$A:$A,$E131,m3_cv!$B:$B,$A131),0))</f>
        <v>0</v>
      </c>
      <c r="J131">
        <f>MAX(0,ROUND(SUMIFS(m4_cv!$E:$E,m4_cv!$A:$A,$E131,m4_cv!$B:$B,$A131),0))</f>
        <v>0</v>
      </c>
      <c r="K131">
        <f>MAX(0,ROUND(SUMIFS(m5_cv!$E:$E,m5_cv!$A:$A,$E131,m5_cv!$B:$B,$A131),0))</f>
        <v>0</v>
      </c>
      <c r="L131">
        <f>MAX(0,ROUND(SUMIFS(m6_cv!$E:$E,m6_cv!$A:$A,$E131,m6_cv!$B:$B,$A131),0))</f>
        <v>212</v>
      </c>
      <c r="M131">
        <f>MAX(0,ROUND(SUMIFS(m7_cv!$E:$E,m7_cv!$A:$A,$E131,m7_cv!$B:$B,$A131),0))</f>
        <v>0</v>
      </c>
      <c r="N131">
        <f>ROUND(_xlfn.XLOOKUP($D131,Charts!$W$82:$W$112,Charts!$X$82:$X$112)*$L131+_xlfn.XLOOKUP($D131,Charts!$W$82:$W$112,Charts!$Y$82:$Y$112)*$M131,0)</f>
        <v>106</v>
      </c>
    </row>
    <row r="132" spans="1:14" x14ac:dyDescent="0.25">
      <c r="A132" s="3">
        <f t="shared" ref="A132:A195" si="14">A131+1</f>
        <v>45788</v>
      </c>
      <c r="B132">
        <f t="shared" si="10"/>
        <v>2025</v>
      </c>
      <c r="C132">
        <f t="shared" si="11"/>
        <v>5</v>
      </c>
      <c r="D132">
        <f t="shared" si="12"/>
        <v>11</v>
      </c>
      <c r="E132" s="2">
        <f t="shared" si="13"/>
        <v>45777</v>
      </c>
      <c r="F132" s="12">
        <f>_xlfn.XLOOKUP($A132,m1_cv!$B:$B,m1_cv!$C:$C)</f>
        <v>169</v>
      </c>
      <c r="G132">
        <f>MAX(0,ROUND(SUMIFS(m1_cv!$E:$E,m1_cv!$A:$A,$E132,m1_cv!$B:$B,$A132),0))</f>
        <v>451</v>
      </c>
      <c r="H132">
        <f>MAX(0,ROUND(SUMIFS(m2_cv!$E:$E,m2_cv!$A:$A,$E132,m2_cv!$B:$B,$A132),0))</f>
        <v>0</v>
      </c>
      <c r="I132">
        <f>MAX(0,ROUND(SUMIFS(m3_cv!$E:$E,m3_cv!$A:$A,$E132,m3_cv!$B:$B,$A132),0))</f>
        <v>0</v>
      </c>
      <c r="J132">
        <f>MAX(0,ROUND(SUMIFS(m4_cv!$E:$E,m4_cv!$A:$A,$E132,m4_cv!$B:$B,$A132),0))</f>
        <v>0</v>
      </c>
      <c r="K132">
        <f>MAX(0,ROUND(SUMIFS(m5_cv!$E:$E,m5_cv!$A:$A,$E132,m5_cv!$B:$B,$A132),0))</f>
        <v>0</v>
      </c>
      <c r="L132">
        <f>MAX(0,ROUND(SUMIFS(m6_cv!$E:$E,m6_cv!$A:$A,$E132,m6_cv!$B:$B,$A132),0))</f>
        <v>78</v>
      </c>
      <c r="M132">
        <f>MAX(0,ROUND(SUMIFS(m7_cv!$E:$E,m7_cv!$A:$A,$E132,m7_cv!$B:$B,$A132),0))</f>
        <v>0</v>
      </c>
      <c r="N132">
        <f>ROUND(_xlfn.XLOOKUP($D132,Charts!$W$82:$W$112,Charts!$X$82:$X$112)*$L132+_xlfn.XLOOKUP($D132,Charts!$W$82:$W$112,Charts!$Y$82:$Y$112)*$M132,0)</f>
        <v>23</v>
      </c>
    </row>
    <row r="133" spans="1:14" x14ac:dyDescent="0.25">
      <c r="A133" s="3">
        <f t="shared" si="14"/>
        <v>45789</v>
      </c>
      <c r="B133">
        <f t="shared" si="10"/>
        <v>2025</v>
      </c>
      <c r="C133">
        <f t="shared" si="11"/>
        <v>5</v>
      </c>
      <c r="D133">
        <f t="shared" si="12"/>
        <v>12</v>
      </c>
      <c r="E133" s="2">
        <f t="shared" si="13"/>
        <v>45777</v>
      </c>
      <c r="F133" s="12">
        <f>_xlfn.XLOOKUP($A133,m1_cv!$B:$B,m1_cv!$C:$C)</f>
        <v>185</v>
      </c>
      <c r="G133">
        <f>MAX(0,ROUND(SUMIFS(m1_cv!$E:$E,m1_cv!$A:$A,$E133,m1_cv!$B:$B,$A133),0))</f>
        <v>2714</v>
      </c>
      <c r="H133">
        <f>MAX(0,ROUND(SUMIFS(m2_cv!$E:$E,m2_cv!$A:$A,$E133,m2_cv!$B:$B,$A133),0))</f>
        <v>1466</v>
      </c>
      <c r="I133">
        <f>MAX(0,ROUND(SUMIFS(m3_cv!$E:$E,m3_cv!$A:$A,$E133,m3_cv!$B:$B,$A133),0))</f>
        <v>347</v>
      </c>
      <c r="J133">
        <f>MAX(0,ROUND(SUMIFS(m4_cv!$E:$E,m4_cv!$A:$A,$E133,m4_cv!$B:$B,$A133),0))</f>
        <v>342</v>
      </c>
      <c r="K133">
        <f>MAX(0,ROUND(SUMIFS(m5_cv!$E:$E,m5_cv!$A:$A,$E133,m5_cv!$B:$B,$A133),0))</f>
        <v>349</v>
      </c>
      <c r="L133">
        <f>MAX(0,ROUND(SUMIFS(m6_cv!$E:$E,m6_cv!$A:$A,$E133,m6_cv!$B:$B,$A133),0))</f>
        <v>127</v>
      </c>
      <c r="M133">
        <f>MAX(0,ROUND(SUMIFS(m7_cv!$E:$E,m7_cv!$A:$A,$E133,m7_cv!$B:$B,$A133),0))</f>
        <v>255</v>
      </c>
      <c r="N133">
        <f>ROUND(_xlfn.XLOOKUP($D133,Charts!$W$82:$W$112,Charts!$X$82:$X$112)*$L133+_xlfn.XLOOKUP($D133,Charts!$W$82:$W$112,Charts!$Y$82:$Y$112)*$M133,0)</f>
        <v>217</v>
      </c>
    </row>
    <row r="134" spans="1:14" x14ac:dyDescent="0.25">
      <c r="A134" s="3">
        <f t="shared" si="14"/>
        <v>45790</v>
      </c>
      <c r="B134">
        <f t="shared" si="10"/>
        <v>2025</v>
      </c>
      <c r="C134">
        <f t="shared" si="11"/>
        <v>5</v>
      </c>
      <c r="D134">
        <f t="shared" si="12"/>
        <v>13</v>
      </c>
      <c r="E134" s="2">
        <f t="shared" si="13"/>
        <v>45777</v>
      </c>
      <c r="F134" s="12">
        <f>_xlfn.XLOOKUP($A134,m1_cv!$B:$B,m1_cv!$C:$C)</f>
        <v>2011</v>
      </c>
      <c r="G134">
        <f>MAX(0,ROUND(SUMIFS(m1_cv!$E:$E,m1_cv!$A:$A,$E134,m1_cv!$B:$B,$A134),0))</f>
        <v>3249</v>
      </c>
      <c r="H134">
        <f>MAX(0,ROUND(SUMIFS(m2_cv!$E:$E,m2_cv!$A:$A,$E134,m2_cv!$B:$B,$A134),0))</f>
        <v>2246</v>
      </c>
      <c r="I134">
        <f>MAX(0,ROUND(SUMIFS(m3_cv!$E:$E,m3_cv!$A:$A,$E134,m3_cv!$B:$B,$A134),0))</f>
        <v>2495</v>
      </c>
      <c r="J134">
        <f>MAX(0,ROUND(SUMIFS(m4_cv!$E:$E,m4_cv!$A:$A,$E134,m4_cv!$B:$B,$A134),0))</f>
        <v>2498</v>
      </c>
      <c r="K134">
        <f>MAX(0,ROUND(SUMIFS(m5_cv!$E:$E,m5_cv!$A:$A,$E134,m5_cv!$B:$B,$A134),0))</f>
        <v>2296</v>
      </c>
      <c r="L134">
        <f>MAX(0,ROUND(SUMIFS(m6_cv!$E:$E,m6_cv!$A:$A,$E134,m6_cv!$B:$B,$A134),0))</f>
        <v>1404</v>
      </c>
      <c r="M134">
        <f>MAX(0,ROUND(SUMIFS(m7_cv!$E:$E,m7_cv!$A:$A,$E134,m7_cv!$B:$B,$A134),0))</f>
        <v>2352</v>
      </c>
      <c r="N134">
        <f>ROUND(_xlfn.XLOOKUP($D134,Charts!$W$82:$W$112,Charts!$X$82:$X$112)*$L134+_xlfn.XLOOKUP($D134,Charts!$W$82:$W$112,Charts!$Y$82:$Y$112)*$M134,0)</f>
        <v>2068</v>
      </c>
    </row>
    <row r="135" spans="1:14" x14ac:dyDescent="0.25">
      <c r="A135" s="3">
        <f t="shared" si="14"/>
        <v>45791</v>
      </c>
      <c r="B135">
        <f t="shared" si="10"/>
        <v>2025</v>
      </c>
      <c r="C135">
        <f t="shared" si="11"/>
        <v>5</v>
      </c>
      <c r="D135">
        <f t="shared" si="12"/>
        <v>14</v>
      </c>
      <c r="E135" s="2">
        <f t="shared" si="13"/>
        <v>45777</v>
      </c>
      <c r="F135" s="12">
        <f>_xlfn.XLOOKUP($A135,m1_cv!$B:$B,m1_cv!$C:$C)</f>
        <v>2630</v>
      </c>
      <c r="G135">
        <f>MAX(0,ROUND(SUMIFS(m1_cv!$E:$E,m1_cv!$A:$A,$E135,m1_cv!$B:$B,$A135),0))</f>
        <v>3254</v>
      </c>
      <c r="H135">
        <f>MAX(0,ROUND(SUMIFS(m2_cv!$E:$E,m2_cv!$A:$A,$E135,m2_cv!$B:$B,$A135),0))</f>
        <v>2378</v>
      </c>
      <c r="I135">
        <f>MAX(0,ROUND(SUMIFS(m3_cv!$E:$E,m3_cv!$A:$A,$E135,m3_cv!$B:$B,$A135),0))</f>
        <v>2650</v>
      </c>
      <c r="J135">
        <f>MAX(0,ROUND(SUMIFS(m4_cv!$E:$E,m4_cv!$A:$A,$E135,m4_cv!$B:$B,$A135),0))</f>
        <v>2651</v>
      </c>
      <c r="K135">
        <f>MAX(0,ROUND(SUMIFS(m5_cv!$E:$E,m5_cv!$A:$A,$E135,m5_cv!$B:$B,$A135),0))</f>
        <v>2390</v>
      </c>
      <c r="L135">
        <f>MAX(0,ROUND(SUMIFS(m6_cv!$E:$E,m6_cv!$A:$A,$E135,m6_cv!$B:$B,$A135),0))</f>
        <v>1673</v>
      </c>
      <c r="M135">
        <f>MAX(0,ROUND(SUMIFS(m7_cv!$E:$E,m7_cv!$A:$A,$E135,m7_cv!$B:$B,$A135),0))</f>
        <v>2435</v>
      </c>
      <c r="N135">
        <f>ROUND(_xlfn.XLOOKUP($D135,Charts!$W$82:$W$112,Charts!$X$82:$X$112)*$L135+_xlfn.XLOOKUP($D135,Charts!$W$82:$W$112,Charts!$Y$82:$Y$112)*$M135,0)</f>
        <v>2435</v>
      </c>
    </row>
    <row r="136" spans="1:14" x14ac:dyDescent="0.25">
      <c r="A136" s="3">
        <f t="shared" si="14"/>
        <v>45792</v>
      </c>
      <c r="B136">
        <f t="shared" si="10"/>
        <v>2025</v>
      </c>
      <c r="C136">
        <f t="shared" si="11"/>
        <v>5</v>
      </c>
      <c r="D136">
        <f t="shared" si="12"/>
        <v>15</v>
      </c>
      <c r="E136" s="2">
        <f t="shared" si="13"/>
        <v>45777</v>
      </c>
      <c r="F136" s="12">
        <f>_xlfn.XLOOKUP($A136,m1_cv!$B:$B,m1_cv!$C:$C)</f>
        <v>2985</v>
      </c>
      <c r="G136">
        <f>MAX(0,ROUND(SUMIFS(m1_cv!$E:$E,m1_cv!$A:$A,$E136,m1_cv!$B:$B,$A136),0))</f>
        <v>3224</v>
      </c>
      <c r="H136">
        <f>MAX(0,ROUND(SUMIFS(m2_cv!$E:$E,m2_cv!$A:$A,$E136,m2_cv!$B:$B,$A136),0))</f>
        <v>2359</v>
      </c>
      <c r="I136">
        <f>MAX(0,ROUND(SUMIFS(m3_cv!$E:$E,m3_cv!$A:$A,$E136,m3_cv!$B:$B,$A136),0))</f>
        <v>2512</v>
      </c>
      <c r="J136">
        <f>MAX(0,ROUND(SUMIFS(m4_cv!$E:$E,m4_cv!$A:$A,$E136,m4_cv!$B:$B,$A136),0))</f>
        <v>2511</v>
      </c>
      <c r="K136">
        <f>MAX(0,ROUND(SUMIFS(m5_cv!$E:$E,m5_cv!$A:$A,$E136,m5_cv!$B:$B,$A136),0))</f>
        <v>2386</v>
      </c>
      <c r="L136">
        <f>MAX(0,ROUND(SUMIFS(m6_cv!$E:$E,m6_cv!$A:$A,$E136,m6_cv!$B:$B,$A136),0))</f>
        <v>1979</v>
      </c>
      <c r="M136">
        <f>MAX(0,ROUND(SUMIFS(m7_cv!$E:$E,m7_cv!$A:$A,$E136,m7_cv!$B:$B,$A136),0))</f>
        <v>2383</v>
      </c>
      <c r="N136">
        <f>ROUND(_xlfn.XLOOKUP($D136,Charts!$W$82:$W$112,Charts!$X$82:$X$112)*$L136+_xlfn.XLOOKUP($D136,Charts!$W$82:$W$112,Charts!$Y$82:$Y$112)*$M136,0)</f>
        <v>2383</v>
      </c>
    </row>
    <row r="137" spans="1:14" x14ac:dyDescent="0.25">
      <c r="A137" s="3">
        <f t="shared" si="14"/>
        <v>45793</v>
      </c>
      <c r="B137">
        <f t="shared" si="10"/>
        <v>2025</v>
      </c>
      <c r="C137">
        <f t="shared" si="11"/>
        <v>5</v>
      </c>
      <c r="D137">
        <f t="shared" si="12"/>
        <v>16</v>
      </c>
      <c r="E137" s="2">
        <f t="shared" si="13"/>
        <v>45777</v>
      </c>
      <c r="F137" s="12">
        <f>_xlfn.XLOOKUP($A137,m1_cv!$B:$B,m1_cv!$C:$C)</f>
        <v>3081</v>
      </c>
      <c r="G137">
        <f>MAX(0,ROUND(SUMIFS(m1_cv!$E:$E,m1_cv!$A:$A,$E137,m1_cv!$B:$B,$A137),0))</f>
        <v>3209</v>
      </c>
      <c r="H137">
        <f>MAX(0,ROUND(SUMIFS(m2_cv!$E:$E,m2_cv!$A:$A,$E137,m2_cv!$B:$B,$A137),0))</f>
        <v>2359</v>
      </c>
      <c r="I137">
        <f>MAX(0,ROUND(SUMIFS(m3_cv!$E:$E,m3_cv!$A:$A,$E137,m3_cv!$B:$B,$A137),0))</f>
        <v>2343</v>
      </c>
      <c r="J137">
        <f>MAX(0,ROUND(SUMIFS(m4_cv!$E:$E,m4_cv!$A:$A,$E137,m4_cv!$B:$B,$A137),0))</f>
        <v>2345</v>
      </c>
      <c r="K137">
        <f>MAX(0,ROUND(SUMIFS(m5_cv!$E:$E,m5_cv!$A:$A,$E137,m5_cv!$B:$B,$A137),0))</f>
        <v>2441</v>
      </c>
      <c r="L137">
        <f>MAX(0,ROUND(SUMIFS(m6_cv!$E:$E,m6_cv!$A:$A,$E137,m6_cv!$B:$B,$A137),0))</f>
        <v>1893</v>
      </c>
      <c r="M137">
        <f>MAX(0,ROUND(SUMIFS(m7_cv!$E:$E,m7_cv!$A:$A,$E137,m7_cv!$B:$B,$A137),0))</f>
        <v>2437</v>
      </c>
      <c r="N137">
        <f>ROUND(_xlfn.XLOOKUP($D137,Charts!$W$82:$W$112,Charts!$X$82:$X$112)*$L137+_xlfn.XLOOKUP($D137,Charts!$W$82:$W$112,Charts!$Y$82:$Y$112)*$M137,0)</f>
        <v>2437</v>
      </c>
    </row>
    <row r="138" spans="1:14" x14ac:dyDescent="0.25">
      <c r="A138" s="3">
        <f t="shared" si="14"/>
        <v>45794</v>
      </c>
      <c r="B138">
        <f t="shared" si="10"/>
        <v>2025</v>
      </c>
      <c r="C138">
        <f t="shared" si="11"/>
        <v>5</v>
      </c>
      <c r="D138">
        <f t="shared" si="12"/>
        <v>17</v>
      </c>
      <c r="E138" s="2">
        <f t="shared" si="13"/>
        <v>45777</v>
      </c>
      <c r="F138" s="12">
        <f>_xlfn.XLOOKUP($A138,m1_cv!$B:$B,m1_cv!$C:$C)</f>
        <v>609</v>
      </c>
      <c r="G138">
        <f>MAX(0,ROUND(SUMIFS(m1_cv!$E:$E,m1_cv!$A:$A,$E138,m1_cv!$B:$B,$A138),0))</f>
        <v>930</v>
      </c>
      <c r="H138">
        <f>MAX(0,ROUND(SUMIFS(m2_cv!$E:$E,m2_cv!$A:$A,$E138,m2_cv!$B:$B,$A138),0))</f>
        <v>254</v>
      </c>
      <c r="I138">
        <f>MAX(0,ROUND(SUMIFS(m3_cv!$E:$E,m3_cv!$A:$A,$E138,m3_cv!$B:$B,$A138),0))</f>
        <v>212</v>
      </c>
      <c r="J138">
        <f>MAX(0,ROUND(SUMIFS(m4_cv!$E:$E,m4_cv!$A:$A,$E138,m4_cv!$B:$B,$A138),0))</f>
        <v>211</v>
      </c>
      <c r="K138">
        <f>MAX(0,ROUND(SUMIFS(m5_cv!$E:$E,m5_cv!$A:$A,$E138,m5_cv!$B:$B,$A138),0))</f>
        <v>365</v>
      </c>
      <c r="L138">
        <f>MAX(0,ROUND(SUMIFS(m6_cv!$E:$E,m6_cv!$A:$A,$E138,m6_cv!$B:$B,$A138),0))</f>
        <v>328</v>
      </c>
      <c r="M138">
        <f>MAX(0,ROUND(SUMIFS(m7_cv!$E:$E,m7_cv!$A:$A,$E138,m7_cv!$B:$B,$A138),0))</f>
        <v>371</v>
      </c>
      <c r="N138">
        <f>ROUND(_xlfn.XLOOKUP($D138,Charts!$W$82:$W$112,Charts!$X$82:$X$112)*$L138+_xlfn.XLOOKUP($D138,Charts!$W$82:$W$112,Charts!$Y$82:$Y$112)*$M138,0)</f>
        <v>371</v>
      </c>
    </row>
    <row r="139" spans="1:14" x14ac:dyDescent="0.25">
      <c r="A139" s="3">
        <f t="shared" si="14"/>
        <v>45795</v>
      </c>
      <c r="B139">
        <f t="shared" si="10"/>
        <v>2025</v>
      </c>
      <c r="C139">
        <f t="shared" si="11"/>
        <v>5</v>
      </c>
      <c r="D139">
        <f t="shared" si="12"/>
        <v>18</v>
      </c>
      <c r="E139" s="2">
        <f t="shared" si="13"/>
        <v>45777</v>
      </c>
      <c r="F139" s="12">
        <f>_xlfn.XLOOKUP($A139,m1_cv!$B:$B,m1_cv!$C:$C)</f>
        <v>185</v>
      </c>
      <c r="G139">
        <f>MAX(0,ROUND(SUMIFS(m1_cv!$E:$E,m1_cv!$A:$A,$E139,m1_cv!$B:$B,$A139),0))</f>
        <v>375</v>
      </c>
      <c r="H139">
        <f>MAX(0,ROUND(SUMIFS(m2_cv!$E:$E,m2_cv!$A:$A,$E139,m2_cv!$B:$B,$A139),0))</f>
        <v>0</v>
      </c>
      <c r="I139">
        <f>MAX(0,ROUND(SUMIFS(m3_cv!$E:$E,m3_cv!$A:$A,$E139,m3_cv!$B:$B,$A139),0))</f>
        <v>0</v>
      </c>
      <c r="J139">
        <f>MAX(0,ROUND(SUMIFS(m4_cv!$E:$E,m4_cv!$A:$A,$E139,m4_cv!$B:$B,$A139),0))</f>
        <v>0</v>
      </c>
      <c r="K139">
        <f>MAX(0,ROUND(SUMIFS(m5_cv!$E:$E,m5_cv!$A:$A,$E139,m5_cv!$B:$B,$A139),0))</f>
        <v>7</v>
      </c>
      <c r="L139">
        <f>MAX(0,ROUND(SUMIFS(m6_cv!$E:$E,m6_cv!$A:$A,$E139,m6_cv!$B:$B,$A139),0))</f>
        <v>131</v>
      </c>
      <c r="M139">
        <f>MAX(0,ROUND(SUMIFS(m7_cv!$E:$E,m7_cv!$A:$A,$E139,m7_cv!$B:$B,$A139),0))</f>
        <v>12</v>
      </c>
      <c r="N139">
        <f>ROUND(_xlfn.XLOOKUP($D139,Charts!$W$82:$W$112,Charts!$X$82:$X$112)*$L139+_xlfn.XLOOKUP($D139,Charts!$W$82:$W$112,Charts!$Y$82:$Y$112)*$M139,0)</f>
        <v>12</v>
      </c>
    </row>
    <row r="140" spans="1:14" x14ac:dyDescent="0.25">
      <c r="A140" s="3">
        <f t="shared" si="14"/>
        <v>45796</v>
      </c>
      <c r="B140">
        <f t="shared" si="10"/>
        <v>2025</v>
      </c>
      <c r="C140">
        <f t="shared" si="11"/>
        <v>5</v>
      </c>
      <c r="D140">
        <f t="shared" si="12"/>
        <v>19</v>
      </c>
      <c r="E140" s="2">
        <f t="shared" si="13"/>
        <v>45777</v>
      </c>
      <c r="F140" s="12">
        <f>_xlfn.XLOOKUP($A140,m1_cv!$B:$B,m1_cv!$C:$C)</f>
        <v>2926</v>
      </c>
      <c r="G140">
        <f>MAX(0,ROUND(SUMIFS(m1_cv!$E:$E,m1_cv!$A:$A,$E140,m1_cv!$B:$B,$A140),0))</f>
        <v>2639</v>
      </c>
      <c r="H140">
        <f>MAX(0,ROUND(SUMIFS(m2_cv!$E:$E,m2_cv!$A:$A,$E140,m2_cv!$B:$B,$A140),0))</f>
        <v>2439</v>
      </c>
      <c r="I140">
        <f>MAX(0,ROUND(SUMIFS(m3_cv!$E:$E,m3_cv!$A:$A,$E140,m3_cv!$B:$B,$A140),0))</f>
        <v>2734</v>
      </c>
      <c r="J140">
        <f>MAX(0,ROUND(SUMIFS(m4_cv!$E:$E,m4_cv!$A:$A,$E140,m4_cv!$B:$B,$A140),0))</f>
        <v>2734</v>
      </c>
      <c r="K140">
        <f>MAX(0,ROUND(SUMIFS(m5_cv!$E:$E,m5_cv!$A:$A,$E140,m5_cv!$B:$B,$A140),0))</f>
        <v>2565</v>
      </c>
      <c r="L140">
        <f>MAX(0,ROUND(SUMIFS(m6_cv!$E:$E,m6_cv!$A:$A,$E140,m6_cv!$B:$B,$A140),0))</f>
        <v>1729</v>
      </c>
      <c r="M140">
        <f>MAX(0,ROUND(SUMIFS(m7_cv!$E:$E,m7_cv!$A:$A,$E140,m7_cv!$B:$B,$A140),0))</f>
        <v>2552</v>
      </c>
      <c r="N140">
        <f>ROUND(_xlfn.XLOOKUP($D140,Charts!$W$82:$W$112,Charts!$X$82:$X$112)*$L140+_xlfn.XLOOKUP($D140,Charts!$W$82:$W$112,Charts!$Y$82:$Y$112)*$M140,0)</f>
        <v>2552</v>
      </c>
    </row>
    <row r="141" spans="1:14" x14ac:dyDescent="0.25">
      <c r="A141" s="3">
        <f t="shared" si="14"/>
        <v>45797</v>
      </c>
      <c r="B141">
        <f t="shared" si="10"/>
        <v>2025</v>
      </c>
      <c r="C141">
        <f t="shared" si="11"/>
        <v>5</v>
      </c>
      <c r="D141">
        <f t="shared" si="12"/>
        <v>20</v>
      </c>
      <c r="E141" s="2">
        <f t="shared" si="13"/>
        <v>45777</v>
      </c>
      <c r="F141" s="12">
        <f>_xlfn.XLOOKUP($A141,m1_cv!$B:$B,m1_cv!$C:$C)</f>
        <v>3213</v>
      </c>
      <c r="G141">
        <f>MAX(0,ROUND(SUMIFS(m1_cv!$E:$E,m1_cv!$A:$A,$E141,m1_cv!$B:$B,$A141),0))</f>
        <v>3178</v>
      </c>
      <c r="H141">
        <f>MAX(0,ROUND(SUMIFS(m2_cv!$E:$E,m2_cv!$A:$A,$E141,m2_cv!$B:$B,$A141),0))</f>
        <v>2943</v>
      </c>
      <c r="I141">
        <f>MAX(0,ROUND(SUMIFS(m3_cv!$E:$E,m3_cv!$A:$A,$E141,m3_cv!$B:$B,$A141),0))</f>
        <v>3033</v>
      </c>
      <c r="J141">
        <f>MAX(0,ROUND(SUMIFS(m4_cv!$E:$E,m4_cv!$A:$A,$E141,m4_cv!$B:$B,$A141),0))</f>
        <v>3035</v>
      </c>
      <c r="K141">
        <f>MAX(0,ROUND(SUMIFS(m5_cv!$E:$E,m5_cv!$A:$A,$E141,m5_cv!$B:$B,$A141),0))</f>
        <v>2871</v>
      </c>
      <c r="L141">
        <f>MAX(0,ROUND(SUMIFS(m6_cv!$E:$E,m6_cv!$A:$A,$E141,m6_cv!$B:$B,$A141),0))</f>
        <v>2321</v>
      </c>
      <c r="M141">
        <f>MAX(0,ROUND(SUMIFS(m7_cv!$E:$E,m7_cv!$A:$A,$E141,m7_cv!$B:$B,$A141),0))</f>
        <v>2890</v>
      </c>
      <c r="N141">
        <f>ROUND(_xlfn.XLOOKUP($D141,Charts!$W$82:$W$112,Charts!$X$82:$X$112)*$L141+_xlfn.XLOOKUP($D141,Charts!$W$82:$W$112,Charts!$Y$82:$Y$112)*$M141,0)</f>
        <v>2890</v>
      </c>
    </row>
    <row r="142" spans="1:14" x14ac:dyDescent="0.25">
      <c r="A142" s="3">
        <f t="shared" si="14"/>
        <v>45798</v>
      </c>
      <c r="B142">
        <f t="shared" si="10"/>
        <v>2025</v>
      </c>
      <c r="C142">
        <f t="shared" si="11"/>
        <v>5</v>
      </c>
      <c r="D142">
        <f t="shared" si="12"/>
        <v>21</v>
      </c>
      <c r="E142" s="2">
        <f t="shared" si="13"/>
        <v>45777</v>
      </c>
      <c r="F142" s="12">
        <f>_xlfn.XLOOKUP($A142,m1_cv!$B:$B,m1_cv!$C:$C)</f>
        <v>3566</v>
      </c>
      <c r="G142">
        <f>MAX(0,ROUND(SUMIFS(m1_cv!$E:$E,m1_cv!$A:$A,$E142,m1_cv!$B:$B,$A142),0))</f>
        <v>3190</v>
      </c>
      <c r="H142">
        <f>MAX(0,ROUND(SUMIFS(m2_cv!$E:$E,m2_cv!$A:$A,$E142,m2_cv!$B:$B,$A142),0))</f>
        <v>2883</v>
      </c>
      <c r="I142">
        <f>MAX(0,ROUND(SUMIFS(m3_cv!$E:$E,m3_cv!$A:$A,$E142,m3_cv!$B:$B,$A142),0))</f>
        <v>2953</v>
      </c>
      <c r="J142">
        <f>MAX(0,ROUND(SUMIFS(m4_cv!$E:$E,m4_cv!$A:$A,$E142,m4_cv!$B:$B,$A142),0))</f>
        <v>2954</v>
      </c>
      <c r="K142">
        <f>MAX(0,ROUND(SUMIFS(m5_cv!$E:$E,m5_cv!$A:$A,$E142,m5_cv!$B:$B,$A142),0))</f>
        <v>2969</v>
      </c>
      <c r="L142">
        <f>MAX(0,ROUND(SUMIFS(m6_cv!$E:$E,m6_cv!$A:$A,$E142,m6_cv!$B:$B,$A142),0))</f>
        <v>2625</v>
      </c>
      <c r="M142">
        <f>MAX(0,ROUND(SUMIFS(m7_cv!$E:$E,m7_cv!$A:$A,$E142,m7_cv!$B:$B,$A142),0))</f>
        <v>3061</v>
      </c>
      <c r="N142">
        <f>ROUND(_xlfn.XLOOKUP($D142,Charts!$W$82:$W$112,Charts!$X$82:$X$112)*$L142+_xlfn.XLOOKUP($D142,Charts!$W$82:$W$112,Charts!$Y$82:$Y$112)*$M142,0)</f>
        <v>3061</v>
      </c>
    </row>
    <row r="143" spans="1:14" x14ac:dyDescent="0.25">
      <c r="A143" s="3">
        <f t="shared" si="14"/>
        <v>45799</v>
      </c>
      <c r="B143">
        <f t="shared" si="10"/>
        <v>2025</v>
      </c>
      <c r="C143">
        <f t="shared" si="11"/>
        <v>5</v>
      </c>
      <c r="D143">
        <f t="shared" si="12"/>
        <v>22</v>
      </c>
      <c r="E143" s="2">
        <f t="shared" si="13"/>
        <v>45777</v>
      </c>
      <c r="F143" s="12">
        <f>_xlfn.XLOOKUP($A143,m1_cv!$B:$B,m1_cv!$C:$C)</f>
        <v>3706</v>
      </c>
      <c r="G143">
        <f>MAX(0,ROUND(SUMIFS(m1_cv!$E:$E,m1_cv!$A:$A,$E143,m1_cv!$B:$B,$A143),0))</f>
        <v>3171</v>
      </c>
      <c r="H143">
        <f>MAX(0,ROUND(SUMIFS(m2_cv!$E:$E,m2_cv!$A:$A,$E143,m2_cv!$B:$B,$A143),0))</f>
        <v>2965</v>
      </c>
      <c r="I143">
        <f>MAX(0,ROUND(SUMIFS(m3_cv!$E:$E,m3_cv!$A:$A,$E143,m3_cv!$B:$B,$A143),0))</f>
        <v>2919</v>
      </c>
      <c r="J143">
        <f>MAX(0,ROUND(SUMIFS(m4_cv!$E:$E,m4_cv!$A:$A,$E143,m4_cv!$B:$B,$A143),0))</f>
        <v>2918</v>
      </c>
      <c r="K143">
        <f>MAX(0,ROUND(SUMIFS(m5_cv!$E:$E,m5_cv!$A:$A,$E143,m5_cv!$B:$B,$A143),0))</f>
        <v>3089</v>
      </c>
      <c r="L143">
        <f>MAX(0,ROUND(SUMIFS(m6_cv!$E:$E,m6_cv!$A:$A,$E143,m6_cv!$B:$B,$A143),0))</f>
        <v>3000</v>
      </c>
      <c r="M143">
        <f>MAX(0,ROUND(SUMIFS(m7_cv!$E:$E,m7_cv!$A:$A,$E143,m7_cv!$B:$B,$A143),0))</f>
        <v>3096</v>
      </c>
      <c r="N143">
        <f>ROUND(_xlfn.XLOOKUP($D143,Charts!$W$82:$W$112,Charts!$X$82:$X$112)*$L143+_xlfn.XLOOKUP($D143,Charts!$W$82:$W$112,Charts!$Y$82:$Y$112)*$M143,0)</f>
        <v>3096</v>
      </c>
    </row>
    <row r="144" spans="1:14" x14ac:dyDescent="0.25">
      <c r="A144" s="3">
        <f t="shared" si="14"/>
        <v>45800</v>
      </c>
      <c r="B144">
        <f t="shared" si="10"/>
        <v>2025</v>
      </c>
      <c r="C144">
        <f t="shared" si="11"/>
        <v>5</v>
      </c>
      <c r="D144">
        <f t="shared" si="12"/>
        <v>23</v>
      </c>
      <c r="E144" s="2">
        <f t="shared" si="13"/>
        <v>45777</v>
      </c>
      <c r="F144" s="12">
        <f>_xlfn.XLOOKUP($A144,m1_cv!$B:$B,m1_cv!$C:$C)</f>
        <v>3920</v>
      </c>
      <c r="G144">
        <f>MAX(0,ROUND(SUMIFS(m1_cv!$E:$E,m1_cv!$A:$A,$E144,m1_cv!$B:$B,$A144),0))</f>
        <v>3169</v>
      </c>
      <c r="H144">
        <f>MAX(0,ROUND(SUMIFS(m2_cv!$E:$E,m2_cv!$A:$A,$E144,m2_cv!$B:$B,$A144),0))</f>
        <v>3262</v>
      </c>
      <c r="I144">
        <f>MAX(0,ROUND(SUMIFS(m3_cv!$E:$E,m3_cv!$A:$A,$E144,m3_cv!$B:$B,$A144),0))</f>
        <v>3109</v>
      </c>
      <c r="J144">
        <f>MAX(0,ROUND(SUMIFS(m4_cv!$E:$E,m4_cv!$A:$A,$E144,m4_cv!$B:$B,$A144),0))</f>
        <v>3111</v>
      </c>
      <c r="K144">
        <f>MAX(0,ROUND(SUMIFS(m5_cv!$E:$E,m5_cv!$A:$A,$E144,m5_cv!$B:$B,$A144),0))</f>
        <v>3249</v>
      </c>
      <c r="L144">
        <f>MAX(0,ROUND(SUMIFS(m6_cv!$E:$E,m6_cv!$A:$A,$E144,m6_cv!$B:$B,$A144),0))</f>
        <v>2818</v>
      </c>
      <c r="M144">
        <f>MAX(0,ROUND(SUMIFS(m7_cv!$E:$E,m7_cv!$A:$A,$E144,m7_cv!$B:$B,$A144),0))</f>
        <v>3108</v>
      </c>
      <c r="N144">
        <f>ROUND(_xlfn.XLOOKUP($D144,Charts!$W$82:$W$112,Charts!$X$82:$X$112)*$L144+_xlfn.XLOOKUP($D144,Charts!$W$82:$W$112,Charts!$Y$82:$Y$112)*$M144,0)</f>
        <v>3108</v>
      </c>
    </row>
    <row r="145" spans="1:14" x14ac:dyDescent="0.25">
      <c r="A145" s="3">
        <f t="shared" si="14"/>
        <v>45801</v>
      </c>
      <c r="B145">
        <f t="shared" si="10"/>
        <v>2025</v>
      </c>
      <c r="C145">
        <f t="shared" si="11"/>
        <v>5</v>
      </c>
      <c r="D145">
        <f t="shared" si="12"/>
        <v>24</v>
      </c>
      <c r="E145" s="2">
        <f t="shared" si="13"/>
        <v>45777</v>
      </c>
      <c r="F145" s="12">
        <f>_xlfn.XLOOKUP($A145,m1_cv!$B:$B,m1_cv!$C:$C)</f>
        <v>857</v>
      </c>
      <c r="G145">
        <f>MAX(0,ROUND(SUMIFS(m1_cv!$E:$E,m1_cv!$A:$A,$E145,m1_cv!$B:$B,$A145),0))</f>
        <v>906</v>
      </c>
      <c r="H145">
        <f>MAX(0,ROUND(SUMIFS(m2_cv!$E:$E,m2_cv!$A:$A,$E145,m2_cv!$B:$B,$A145),0))</f>
        <v>1345</v>
      </c>
      <c r="I145">
        <f>MAX(0,ROUND(SUMIFS(m3_cv!$E:$E,m3_cv!$A:$A,$E145,m3_cv!$B:$B,$A145),0))</f>
        <v>1254</v>
      </c>
      <c r="J145">
        <f>MAX(0,ROUND(SUMIFS(m4_cv!$E:$E,m4_cv!$A:$A,$E145,m4_cv!$B:$B,$A145),0))</f>
        <v>1253</v>
      </c>
      <c r="K145">
        <f>MAX(0,ROUND(SUMIFS(m5_cv!$E:$E,m5_cv!$A:$A,$E145,m5_cv!$B:$B,$A145),0))</f>
        <v>1119</v>
      </c>
      <c r="L145">
        <f>MAX(0,ROUND(SUMIFS(m6_cv!$E:$E,m6_cv!$A:$A,$E145,m6_cv!$B:$B,$A145),0))</f>
        <v>472</v>
      </c>
      <c r="M145">
        <f>MAX(0,ROUND(SUMIFS(m7_cv!$E:$E,m7_cv!$A:$A,$E145,m7_cv!$B:$B,$A145),0))</f>
        <v>1140</v>
      </c>
      <c r="N145">
        <f>ROUND(_xlfn.XLOOKUP($D145,Charts!$W$82:$W$112,Charts!$X$82:$X$112)*$L145+_xlfn.XLOOKUP($D145,Charts!$W$82:$W$112,Charts!$Y$82:$Y$112)*$M145,0)</f>
        <v>472</v>
      </c>
    </row>
    <row r="146" spans="1:14" x14ac:dyDescent="0.25">
      <c r="A146" s="3">
        <f t="shared" si="14"/>
        <v>45802</v>
      </c>
      <c r="B146">
        <f t="shared" si="10"/>
        <v>2025</v>
      </c>
      <c r="C146">
        <f t="shared" si="11"/>
        <v>5</v>
      </c>
      <c r="D146">
        <f t="shared" si="12"/>
        <v>25</v>
      </c>
      <c r="E146" s="2">
        <f t="shared" si="13"/>
        <v>45777</v>
      </c>
      <c r="F146" s="12">
        <f>_xlfn.XLOOKUP($A146,m1_cv!$B:$B,m1_cv!$C:$C)</f>
        <v>215</v>
      </c>
      <c r="G146">
        <f>MAX(0,ROUND(SUMIFS(m1_cv!$E:$E,m1_cv!$A:$A,$E146,m1_cv!$B:$B,$A146),0))</f>
        <v>368</v>
      </c>
      <c r="H146">
        <f>MAX(0,ROUND(SUMIFS(m2_cv!$E:$E,m2_cv!$A:$A,$E146,m2_cv!$B:$B,$A146),0))</f>
        <v>962</v>
      </c>
      <c r="I146">
        <f>MAX(0,ROUND(SUMIFS(m3_cv!$E:$E,m3_cv!$A:$A,$E146,m3_cv!$B:$B,$A146),0))</f>
        <v>987</v>
      </c>
      <c r="J146">
        <f>MAX(0,ROUND(SUMIFS(m4_cv!$E:$E,m4_cv!$A:$A,$E146,m4_cv!$B:$B,$A146),0))</f>
        <v>985</v>
      </c>
      <c r="K146">
        <f>MAX(0,ROUND(SUMIFS(m5_cv!$E:$E,m5_cv!$A:$A,$E146,m5_cv!$B:$B,$A146),0))</f>
        <v>1326</v>
      </c>
      <c r="L146">
        <f>MAX(0,ROUND(SUMIFS(m6_cv!$E:$E,m6_cv!$A:$A,$E146,m6_cv!$B:$B,$A146),0))</f>
        <v>323</v>
      </c>
      <c r="M146">
        <f>MAX(0,ROUND(SUMIFS(m7_cv!$E:$E,m7_cv!$A:$A,$E146,m7_cv!$B:$B,$A146),0))</f>
        <v>1563</v>
      </c>
      <c r="N146">
        <f>ROUND(_xlfn.XLOOKUP($D146,Charts!$W$82:$W$112,Charts!$X$82:$X$112)*$L146+_xlfn.XLOOKUP($D146,Charts!$W$82:$W$112,Charts!$Y$82:$Y$112)*$M146,0)</f>
        <v>323</v>
      </c>
    </row>
    <row r="147" spans="1:14" x14ac:dyDescent="0.25">
      <c r="A147" s="3">
        <f t="shared" si="14"/>
        <v>45803</v>
      </c>
      <c r="B147">
        <f t="shared" si="10"/>
        <v>2025</v>
      </c>
      <c r="C147">
        <f t="shared" si="11"/>
        <v>5</v>
      </c>
      <c r="D147">
        <f t="shared" si="12"/>
        <v>26</v>
      </c>
      <c r="E147" s="2">
        <f t="shared" si="13"/>
        <v>45777</v>
      </c>
      <c r="F147" s="12">
        <f>_xlfn.XLOOKUP($A147,m1_cv!$B:$B,m1_cv!$C:$C)</f>
        <v>4297</v>
      </c>
      <c r="G147">
        <f>MAX(0,ROUND(SUMIFS(m1_cv!$E:$E,m1_cv!$A:$A,$E147,m1_cv!$B:$B,$A147),0))</f>
        <v>2650</v>
      </c>
      <c r="H147">
        <f>MAX(0,ROUND(SUMIFS(m2_cv!$E:$E,m2_cv!$A:$A,$E147,m2_cv!$B:$B,$A147),0))</f>
        <v>3174</v>
      </c>
      <c r="I147">
        <f>MAX(0,ROUND(SUMIFS(m3_cv!$E:$E,m3_cv!$A:$A,$E147,m3_cv!$B:$B,$A147),0))</f>
        <v>3492</v>
      </c>
      <c r="J147">
        <f>MAX(0,ROUND(SUMIFS(m4_cv!$E:$E,m4_cv!$A:$A,$E147,m4_cv!$B:$B,$A147),0))</f>
        <v>3488</v>
      </c>
      <c r="K147">
        <f>MAX(0,ROUND(SUMIFS(m5_cv!$E:$E,m5_cv!$A:$A,$E147,m5_cv!$B:$B,$A147),0))</f>
        <v>3729</v>
      </c>
      <c r="L147">
        <f>MAX(0,ROUND(SUMIFS(m6_cv!$E:$E,m6_cv!$A:$A,$E147,m6_cv!$B:$B,$A147),0))</f>
        <v>3730</v>
      </c>
      <c r="M147">
        <f>MAX(0,ROUND(SUMIFS(m7_cv!$E:$E,m7_cv!$A:$A,$E147,m7_cv!$B:$B,$A147),0))</f>
        <v>3751</v>
      </c>
      <c r="N147">
        <f>ROUND(_xlfn.XLOOKUP($D147,Charts!$W$82:$W$112,Charts!$X$82:$X$112)*$L147+_xlfn.XLOOKUP($D147,Charts!$W$82:$W$112,Charts!$Y$82:$Y$112)*$M147,0)</f>
        <v>3730</v>
      </c>
    </row>
    <row r="148" spans="1:14" x14ac:dyDescent="0.25">
      <c r="A148" s="3">
        <f t="shared" si="14"/>
        <v>45804</v>
      </c>
      <c r="B148">
        <f t="shared" si="10"/>
        <v>2025</v>
      </c>
      <c r="C148">
        <f t="shared" si="11"/>
        <v>5</v>
      </c>
      <c r="D148">
        <f t="shared" si="12"/>
        <v>27</v>
      </c>
      <c r="E148" s="2">
        <f t="shared" si="13"/>
        <v>45777</v>
      </c>
      <c r="F148" s="12">
        <f>_xlfn.XLOOKUP($A148,m1_cv!$B:$B,m1_cv!$C:$C)</f>
        <v>5188</v>
      </c>
      <c r="G148">
        <f>MAX(0,ROUND(SUMIFS(m1_cv!$E:$E,m1_cv!$A:$A,$E148,m1_cv!$B:$B,$A148),0))</f>
        <v>3210</v>
      </c>
      <c r="H148">
        <f>MAX(0,ROUND(SUMIFS(m2_cv!$E:$E,m2_cv!$A:$A,$E148,m2_cv!$B:$B,$A148),0))</f>
        <v>3694</v>
      </c>
      <c r="I148">
        <f>MAX(0,ROUND(SUMIFS(m3_cv!$E:$E,m3_cv!$A:$A,$E148,m3_cv!$B:$B,$A148),0))</f>
        <v>3790</v>
      </c>
      <c r="J148">
        <f>MAX(0,ROUND(SUMIFS(m4_cv!$E:$E,m4_cv!$A:$A,$E148,m4_cv!$B:$B,$A148),0))</f>
        <v>3788</v>
      </c>
      <c r="K148">
        <f>MAX(0,ROUND(SUMIFS(m5_cv!$E:$E,m5_cv!$A:$A,$E148,m5_cv!$B:$B,$A148),0))</f>
        <v>4111</v>
      </c>
      <c r="L148">
        <f>MAX(0,ROUND(SUMIFS(m6_cv!$E:$E,m6_cv!$A:$A,$E148,m6_cv!$B:$B,$A148),0))</f>
        <v>4460</v>
      </c>
      <c r="M148">
        <f>MAX(0,ROUND(SUMIFS(m7_cv!$E:$E,m7_cv!$A:$A,$E148,m7_cv!$B:$B,$A148),0))</f>
        <v>4049</v>
      </c>
      <c r="N148">
        <f>ROUND(_xlfn.XLOOKUP($D148,Charts!$W$82:$W$112,Charts!$X$82:$X$112)*$L148+_xlfn.XLOOKUP($D148,Charts!$W$82:$W$112,Charts!$Y$82:$Y$112)*$M148,0)</f>
        <v>4460</v>
      </c>
    </row>
    <row r="149" spans="1:14" x14ac:dyDescent="0.25">
      <c r="A149" s="3">
        <f t="shared" si="14"/>
        <v>45805</v>
      </c>
      <c r="B149">
        <f t="shared" si="10"/>
        <v>2025</v>
      </c>
      <c r="C149">
        <f t="shared" si="11"/>
        <v>5</v>
      </c>
      <c r="D149">
        <f t="shared" si="12"/>
        <v>28</v>
      </c>
      <c r="E149" s="2">
        <f t="shared" si="13"/>
        <v>45777</v>
      </c>
      <c r="F149" s="12">
        <f>_xlfn.XLOOKUP($A149,m1_cv!$B:$B,m1_cv!$C:$C)</f>
        <v>5701</v>
      </c>
      <c r="G149">
        <f>MAX(0,ROUND(SUMIFS(m1_cv!$E:$E,m1_cv!$A:$A,$E149,m1_cv!$B:$B,$A149),0))</f>
        <v>3242</v>
      </c>
      <c r="H149">
        <f>MAX(0,ROUND(SUMIFS(m2_cv!$E:$E,m2_cv!$A:$A,$E149,m2_cv!$B:$B,$A149),0))</f>
        <v>4194</v>
      </c>
      <c r="I149">
        <f>MAX(0,ROUND(SUMIFS(m3_cv!$E:$E,m3_cv!$A:$A,$E149,m3_cv!$B:$B,$A149),0))</f>
        <v>4271</v>
      </c>
      <c r="J149">
        <f>MAX(0,ROUND(SUMIFS(m4_cv!$E:$E,m4_cv!$A:$A,$E149,m4_cv!$B:$B,$A149),0))</f>
        <v>4267</v>
      </c>
      <c r="K149">
        <f>MAX(0,ROUND(SUMIFS(m5_cv!$E:$E,m5_cv!$A:$A,$E149,m5_cv!$B:$B,$A149),0))</f>
        <v>4532</v>
      </c>
      <c r="L149">
        <f>MAX(0,ROUND(SUMIFS(m6_cv!$E:$E,m6_cv!$A:$A,$E149,m6_cv!$B:$B,$A149),0))</f>
        <v>4781</v>
      </c>
      <c r="M149">
        <f>MAX(0,ROUND(SUMIFS(m7_cv!$E:$E,m7_cv!$A:$A,$E149,m7_cv!$B:$B,$A149),0))</f>
        <v>4556</v>
      </c>
      <c r="N149">
        <f>ROUND(_xlfn.XLOOKUP($D149,Charts!$W$82:$W$112,Charts!$X$82:$X$112)*$L149+_xlfn.XLOOKUP($D149,Charts!$W$82:$W$112,Charts!$Y$82:$Y$112)*$M149,0)</f>
        <v>4781</v>
      </c>
    </row>
    <row r="150" spans="1:14" x14ac:dyDescent="0.25">
      <c r="A150" s="3">
        <f t="shared" si="14"/>
        <v>45806</v>
      </c>
      <c r="B150">
        <f t="shared" si="10"/>
        <v>2025</v>
      </c>
      <c r="C150">
        <f t="shared" si="11"/>
        <v>5</v>
      </c>
      <c r="D150">
        <f t="shared" si="12"/>
        <v>29</v>
      </c>
      <c r="E150" s="2">
        <f t="shared" si="13"/>
        <v>45777</v>
      </c>
      <c r="F150" s="12">
        <f>_xlfn.XLOOKUP($A150,m1_cv!$B:$B,m1_cv!$C:$C)</f>
        <v>8103</v>
      </c>
      <c r="G150">
        <f>MAX(0,ROUND(SUMIFS(m1_cv!$E:$E,m1_cv!$A:$A,$E150,m1_cv!$B:$B,$A150),0))</f>
        <v>3242</v>
      </c>
      <c r="H150">
        <f>MAX(0,ROUND(SUMIFS(m2_cv!$E:$E,m2_cv!$A:$A,$E150,m2_cv!$B:$B,$A150),0))</f>
        <v>5238</v>
      </c>
      <c r="I150">
        <f>MAX(0,ROUND(SUMIFS(m3_cv!$E:$E,m3_cv!$A:$A,$E150,m3_cv!$B:$B,$A150),0))</f>
        <v>5240</v>
      </c>
      <c r="J150">
        <f>MAX(0,ROUND(SUMIFS(m4_cv!$E:$E,m4_cv!$A:$A,$E150,m4_cv!$B:$B,$A150),0))</f>
        <v>5236</v>
      </c>
      <c r="K150">
        <f>MAX(0,ROUND(SUMIFS(m5_cv!$E:$E,m5_cv!$A:$A,$E150,m5_cv!$B:$B,$A150),0))</f>
        <v>5023</v>
      </c>
      <c r="L150">
        <f>MAX(0,ROUND(SUMIFS(m6_cv!$E:$E,m6_cv!$A:$A,$E150,m6_cv!$B:$B,$A150),0))</f>
        <v>5558</v>
      </c>
      <c r="M150">
        <f>MAX(0,ROUND(SUMIFS(m7_cv!$E:$E,m7_cv!$A:$A,$E150,m7_cv!$B:$B,$A150),0))</f>
        <v>4983</v>
      </c>
      <c r="N150">
        <f>ROUND(_xlfn.XLOOKUP($D150,Charts!$W$82:$W$112,Charts!$X$82:$X$112)*$L150+_xlfn.XLOOKUP($D150,Charts!$W$82:$W$112,Charts!$Y$82:$Y$112)*$M150,0)</f>
        <v>4983</v>
      </c>
    </row>
    <row r="151" spans="1:14" x14ac:dyDescent="0.25">
      <c r="A151" s="3">
        <f t="shared" si="14"/>
        <v>45807</v>
      </c>
      <c r="B151">
        <f t="shared" si="10"/>
        <v>2025</v>
      </c>
      <c r="C151">
        <f t="shared" si="11"/>
        <v>5</v>
      </c>
      <c r="D151">
        <f t="shared" si="12"/>
        <v>30</v>
      </c>
      <c r="E151" s="2">
        <f t="shared" si="13"/>
        <v>45777</v>
      </c>
      <c r="F151" s="12">
        <f>_xlfn.XLOOKUP($A151,m1_cv!$B:$B,m1_cv!$C:$C)</f>
        <v>8920</v>
      </c>
      <c r="G151">
        <f>MAX(0,ROUND(SUMIFS(m1_cv!$E:$E,m1_cv!$A:$A,$E151,m1_cv!$B:$B,$A151),0))</f>
        <v>3258</v>
      </c>
      <c r="H151">
        <f>MAX(0,ROUND(SUMIFS(m2_cv!$E:$E,m2_cv!$A:$A,$E151,m2_cv!$B:$B,$A151),0))</f>
        <v>6370</v>
      </c>
      <c r="I151">
        <f>MAX(0,ROUND(SUMIFS(m3_cv!$E:$E,m3_cv!$A:$A,$E151,m3_cv!$B:$B,$A151),0))</f>
        <v>6321</v>
      </c>
      <c r="J151">
        <f>MAX(0,ROUND(SUMIFS(m4_cv!$E:$E,m4_cv!$A:$A,$E151,m4_cv!$B:$B,$A151),0))</f>
        <v>6323</v>
      </c>
      <c r="K151">
        <f>MAX(0,ROUND(SUMIFS(m5_cv!$E:$E,m5_cv!$A:$A,$E151,m5_cv!$B:$B,$A151),0))</f>
        <v>7545</v>
      </c>
      <c r="L151">
        <f>MAX(0,ROUND(SUMIFS(m6_cv!$E:$E,m6_cv!$A:$A,$E151,m6_cv!$B:$B,$A151),0))</f>
        <v>9775</v>
      </c>
      <c r="M151">
        <f>MAX(0,ROUND(SUMIFS(m7_cv!$E:$E,m7_cv!$A:$A,$E151,m7_cv!$B:$B,$A151),0))</f>
        <v>7534</v>
      </c>
      <c r="N151">
        <f>ROUND(_xlfn.XLOOKUP($D151,Charts!$W$82:$W$112,Charts!$X$82:$X$112)*$L151+_xlfn.XLOOKUP($D151,Charts!$W$82:$W$112,Charts!$Y$82:$Y$112)*$M151,0)</f>
        <v>7534</v>
      </c>
    </row>
    <row r="152" spans="1:14" x14ac:dyDescent="0.25">
      <c r="A152" s="3">
        <f t="shared" si="14"/>
        <v>45808</v>
      </c>
      <c r="B152">
        <f t="shared" si="10"/>
        <v>2025</v>
      </c>
      <c r="C152">
        <f t="shared" si="11"/>
        <v>5</v>
      </c>
      <c r="D152">
        <f t="shared" si="12"/>
        <v>31</v>
      </c>
      <c r="E152" s="2">
        <f t="shared" si="13"/>
        <v>45777</v>
      </c>
      <c r="F152" s="12">
        <f>_xlfn.XLOOKUP($A152,m1_cv!$B:$B,m1_cv!$C:$C)</f>
        <v>4108</v>
      </c>
      <c r="G152">
        <f>MAX(0,ROUND(SUMIFS(m1_cv!$E:$E,m1_cv!$A:$A,$E152,m1_cv!$B:$B,$A152),0))</f>
        <v>1012</v>
      </c>
      <c r="H152">
        <f>MAX(0,ROUND(SUMIFS(m2_cv!$E:$E,m2_cv!$A:$A,$E152,m2_cv!$B:$B,$A152),0))</f>
        <v>4595</v>
      </c>
      <c r="I152">
        <f>MAX(0,ROUND(SUMIFS(m3_cv!$E:$E,m3_cv!$A:$A,$E152,m3_cv!$B:$B,$A152),0))</f>
        <v>4634</v>
      </c>
      <c r="J152">
        <f>MAX(0,ROUND(SUMIFS(m4_cv!$E:$E,m4_cv!$A:$A,$E152,m4_cv!$B:$B,$A152),0))</f>
        <v>4635</v>
      </c>
      <c r="K152">
        <f>MAX(0,ROUND(SUMIFS(m5_cv!$E:$E,m5_cv!$A:$A,$E152,m5_cv!$B:$B,$A152),0))</f>
        <v>7587</v>
      </c>
      <c r="L152">
        <f>MAX(0,ROUND(SUMIFS(m6_cv!$E:$E,m6_cv!$A:$A,$E152,m6_cv!$B:$B,$A152),0))</f>
        <v>2472</v>
      </c>
      <c r="M152">
        <f>MAX(0,ROUND(SUMIFS(m7_cv!$E:$E,m7_cv!$A:$A,$E152,m7_cv!$B:$B,$A152),0))</f>
        <v>7875</v>
      </c>
      <c r="N152">
        <f>ROUND(_xlfn.XLOOKUP($D152,Charts!$W$82:$W$112,Charts!$X$82:$X$112)*$L152+_xlfn.XLOOKUP($D152,Charts!$W$82:$W$112,Charts!$Y$82:$Y$112)*$M152,0)</f>
        <v>7875</v>
      </c>
    </row>
    <row r="153" spans="1:14" x14ac:dyDescent="0.25">
      <c r="A153" s="3">
        <f t="shared" si="14"/>
        <v>45809</v>
      </c>
      <c r="B153">
        <f t="shared" si="10"/>
        <v>2025</v>
      </c>
      <c r="C153">
        <f t="shared" si="11"/>
        <v>6</v>
      </c>
      <c r="D153">
        <f t="shared" si="12"/>
        <v>1</v>
      </c>
      <c r="E153" s="2">
        <f t="shared" si="13"/>
        <v>45808</v>
      </c>
      <c r="F153" s="12">
        <f>_xlfn.XLOOKUP($A153,m1_cv!$B:$B,m1_cv!$C:$C)</f>
        <v>75</v>
      </c>
      <c r="G153">
        <f>MAX(0,ROUND(SUMIFS(m1_cv!$E:$E,m1_cv!$A:$A,$E153,m1_cv!$B:$B,$A153),0))</f>
        <v>864</v>
      </c>
      <c r="H153">
        <f>MAX(0,ROUND(SUMIFS(m2_cv!$E:$E,m2_cv!$A:$A,$E153,m2_cv!$B:$B,$A153),0))</f>
        <v>3509</v>
      </c>
      <c r="I153">
        <f>MAX(0,ROUND(SUMIFS(m3_cv!$E:$E,m3_cv!$A:$A,$E153,m3_cv!$B:$B,$A153),0))</f>
        <v>3640</v>
      </c>
      <c r="J153">
        <f>MAX(0,ROUND(SUMIFS(m4_cv!$E:$E,m4_cv!$A:$A,$E153,m4_cv!$B:$B,$A153),0))</f>
        <v>3641</v>
      </c>
      <c r="K153">
        <f>MAX(0,ROUND(SUMIFS(m5_cv!$E:$E,m5_cv!$A:$A,$E153,m5_cv!$B:$B,$A153),0))</f>
        <v>144</v>
      </c>
      <c r="L153">
        <f>MAX(0,ROUND(SUMIFS(m6_cv!$E:$E,m6_cv!$A:$A,$E153,m6_cv!$B:$B,$A153),0))</f>
        <v>65</v>
      </c>
      <c r="M153">
        <f>MAX(0,ROUND(SUMIFS(m7_cv!$E:$E,m7_cv!$A:$A,$E153,m7_cv!$B:$B,$A153),0))</f>
        <v>92</v>
      </c>
      <c r="N153">
        <f>ROUND(_xlfn.XLOOKUP($D153,Charts!$W$82:$W$112,Charts!$X$82:$X$112)*$L153+_xlfn.XLOOKUP($D153,Charts!$W$82:$W$112,Charts!$Y$82:$Y$112)*$M153,0)</f>
        <v>65</v>
      </c>
    </row>
    <row r="154" spans="1:14" x14ac:dyDescent="0.25">
      <c r="A154" s="3">
        <f t="shared" si="14"/>
        <v>45810</v>
      </c>
      <c r="B154">
        <f t="shared" si="10"/>
        <v>2025</v>
      </c>
      <c r="C154">
        <f t="shared" si="11"/>
        <v>6</v>
      </c>
      <c r="D154">
        <f t="shared" si="12"/>
        <v>2</v>
      </c>
      <c r="E154" s="2">
        <f t="shared" si="13"/>
        <v>45808</v>
      </c>
      <c r="F154" s="12">
        <f>_xlfn.XLOOKUP($A154,m1_cv!$B:$B,m1_cv!$C:$C)</f>
        <v>3</v>
      </c>
      <c r="G154">
        <f>MAX(0,ROUND(SUMIFS(m1_cv!$E:$E,m1_cv!$A:$A,$E154,m1_cv!$B:$B,$A154),0))</f>
        <v>3138</v>
      </c>
      <c r="H154">
        <f>MAX(0,ROUND(SUMIFS(m2_cv!$E:$E,m2_cv!$A:$A,$E154,m2_cv!$B:$B,$A154),0))</f>
        <v>4193</v>
      </c>
      <c r="I154">
        <f>MAX(0,ROUND(SUMIFS(m3_cv!$E:$E,m3_cv!$A:$A,$E154,m3_cv!$B:$B,$A154),0))</f>
        <v>2924</v>
      </c>
      <c r="J154">
        <f>MAX(0,ROUND(SUMIFS(m4_cv!$E:$E,m4_cv!$A:$A,$E154,m4_cv!$B:$B,$A154),0))</f>
        <v>2926</v>
      </c>
      <c r="K154">
        <f>MAX(0,ROUND(SUMIFS(m5_cv!$E:$E,m5_cv!$A:$A,$E154,m5_cv!$B:$B,$A154),0))</f>
        <v>303</v>
      </c>
      <c r="L154">
        <f>MAX(0,ROUND(SUMIFS(m6_cv!$E:$E,m6_cv!$A:$A,$E154,m6_cv!$B:$B,$A154),0))</f>
        <v>63</v>
      </c>
      <c r="M154">
        <f>MAX(0,ROUND(SUMIFS(m7_cv!$E:$E,m7_cv!$A:$A,$E154,m7_cv!$B:$B,$A154),0))</f>
        <v>0</v>
      </c>
      <c r="N154">
        <f>ROUND(_xlfn.XLOOKUP($D154,Charts!$W$82:$W$112,Charts!$X$82:$X$112)*$L154+_xlfn.XLOOKUP($D154,Charts!$W$82:$W$112,Charts!$Y$82:$Y$112)*$M154,0)</f>
        <v>63</v>
      </c>
    </row>
    <row r="155" spans="1:14" x14ac:dyDescent="0.25">
      <c r="A155" s="3">
        <f t="shared" si="14"/>
        <v>45811</v>
      </c>
      <c r="B155">
        <f t="shared" si="10"/>
        <v>2025</v>
      </c>
      <c r="C155">
        <f t="shared" si="11"/>
        <v>6</v>
      </c>
      <c r="D155">
        <f t="shared" si="12"/>
        <v>3</v>
      </c>
      <c r="E155" s="2">
        <f t="shared" si="13"/>
        <v>45808</v>
      </c>
      <c r="F155" s="12">
        <f>_xlfn.XLOOKUP($A155,m1_cv!$B:$B,m1_cv!$C:$C)</f>
        <v>578</v>
      </c>
      <c r="G155">
        <f>MAX(0,ROUND(SUMIFS(m1_cv!$E:$E,m1_cv!$A:$A,$E155,m1_cv!$B:$B,$A155),0))</f>
        <v>3694</v>
      </c>
      <c r="H155">
        <f>MAX(0,ROUND(SUMIFS(m2_cv!$E:$E,m2_cv!$A:$A,$E155,m2_cv!$B:$B,$A155),0))</f>
        <v>2924</v>
      </c>
      <c r="I155">
        <f>MAX(0,ROUND(SUMIFS(m3_cv!$E:$E,m3_cv!$A:$A,$E155,m3_cv!$B:$B,$A155),0))</f>
        <v>3052</v>
      </c>
      <c r="J155">
        <f>MAX(0,ROUND(SUMIFS(m4_cv!$E:$E,m4_cv!$A:$A,$E155,m4_cv!$B:$B,$A155),0))</f>
        <v>3053</v>
      </c>
      <c r="K155">
        <f>MAX(0,ROUND(SUMIFS(m5_cv!$E:$E,m5_cv!$A:$A,$E155,m5_cv!$B:$B,$A155),0))</f>
        <v>1794</v>
      </c>
      <c r="L155">
        <f>MAX(0,ROUND(SUMIFS(m6_cv!$E:$E,m6_cv!$A:$A,$E155,m6_cv!$B:$B,$A155),0))</f>
        <v>775</v>
      </c>
      <c r="M155">
        <f>MAX(0,ROUND(SUMIFS(m7_cv!$E:$E,m7_cv!$A:$A,$E155,m7_cv!$B:$B,$A155),0))</f>
        <v>1793</v>
      </c>
      <c r="N155">
        <f>ROUND(_xlfn.XLOOKUP($D155,Charts!$W$82:$W$112,Charts!$X$82:$X$112)*$L155+_xlfn.XLOOKUP($D155,Charts!$W$82:$W$112,Charts!$Y$82:$Y$112)*$M155,0)</f>
        <v>775</v>
      </c>
    </row>
    <row r="156" spans="1:14" x14ac:dyDescent="0.25">
      <c r="A156" s="3">
        <f t="shared" si="14"/>
        <v>45812</v>
      </c>
      <c r="B156">
        <f t="shared" si="10"/>
        <v>2025</v>
      </c>
      <c r="C156">
        <f t="shared" si="11"/>
        <v>6</v>
      </c>
      <c r="D156">
        <f t="shared" si="12"/>
        <v>4</v>
      </c>
      <c r="E156" s="2">
        <f t="shared" si="13"/>
        <v>45808</v>
      </c>
      <c r="F156" s="12">
        <f>_xlfn.XLOOKUP($A156,m1_cv!$B:$B,m1_cv!$C:$C)</f>
        <v>842</v>
      </c>
      <c r="G156">
        <f>MAX(0,ROUND(SUMIFS(m1_cv!$E:$E,m1_cv!$A:$A,$E156,m1_cv!$B:$B,$A156),0))</f>
        <v>3723</v>
      </c>
      <c r="H156">
        <f>MAX(0,ROUND(SUMIFS(m2_cv!$E:$E,m2_cv!$A:$A,$E156,m2_cv!$B:$B,$A156),0))</f>
        <v>1734</v>
      </c>
      <c r="I156">
        <f>MAX(0,ROUND(SUMIFS(m3_cv!$E:$E,m3_cv!$A:$A,$E156,m3_cv!$B:$B,$A156),0))</f>
        <v>1858</v>
      </c>
      <c r="J156">
        <f>MAX(0,ROUND(SUMIFS(m4_cv!$E:$E,m4_cv!$A:$A,$E156,m4_cv!$B:$B,$A156),0))</f>
        <v>1859</v>
      </c>
      <c r="K156">
        <f>MAX(0,ROUND(SUMIFS(m5_cv!$E:$E,m5_cv!$A:$A,$E156,m5_cv!$B:$B,$A156),0))</f>
        <v>1660</v>
      </c>
      <c r="L156">
        <f>MAX(0,ROUND(SUMIFS(m6_cv!$E:$E,m6_cv!$A:$A,$E156,m6_cv!$B:$B,$A156),0))</f>
        <v>701</v>
      </c>
      <c r="M156">
        <f>MAX(0,ROUND(SUMIFS(m7_cv!$E:$E,m7_cv!$A:$A,$E156,m7_cv!$B:$B,$A156),0))</f>
        <v>1837</v>
      </c>
      <c r="N156">
        <f>ROUND(_xlfn.XLOOKUP($D156,Charts!$W$82:$W$112,Charts!$X$82:$X$112)*$L156+_xlfn.XLOOKUP($D156,Charts!$W$82:$W$112,Charts!$Y$82:$Y$112)*$M156,0)</f>
        <v>701</v>
      </c>
    </row>
    <row r="157" spans="1:14" x14ac:dyDescent="0.25">
      <c r="A157" s="3">
        <f t="shared" si="14"/>
        <v>45813</v>
      </c>
      <c r="B157">
        <f t="shared" si="10"/>
        <v>2025</v>
      </c>
      <c r="C157">
        <f t="shared" si="11"/>
        <v>6</v>
      </c>
      <c r="D157">
        <f t="shared" si="12"/>
        <v>5</v>
      </c>
      <c r="E157" s="2">
        <f t="shared" si="13"/>
        <v>45808</v>
      </c>
      <c r="F157" s="12">
        <f>_xlfn.XLOOKUP($A157,m1_cv!$B:$B,m1_cv!$C:$C)</f>
        <v>1102</v>
      </c>
      <c r="G157">
        <f>MAX(0,ROUND(SUMIFS(m1_cv!$E:$E,m1_cv!$A:$A,$E157,m1_cv!$B:$B,$A157),0))</f>
        <v>3701</v>
      </c>
      <c r="H157">
        <f>MAX(0,ROUND(SUMIFS(m2_cv!$E:$E,m2_cv!$A:$A,$E157,m2_cv!$B:$B,$A157),0))</f>
        <v>1392</v>
      </c>
      <c r="I157">
        <f>MAX(0,ROUND(SUMIFS(m3_cv!$E:$E,m3_cv!$A:$A,$E157,m3_cv!$B:$B,$A157),0))</f>
        <v>1464</v>
      </c>
      <c r="J157">
        <f>MAX(0,ROUND(SUMIFS(m4_cv!$E:$E,m4_cv!$A:$A,$E157,m4_cv!$B:$B,$A157),0))</f>
        <v>1464</v>
      </c>
      <c r="K157">
        <f>MAX(0,ROUND(SUMIFS(m5_cv!$E:$E,m5_cv!$A:$A,$E157,m5_cv!$B:$B,$A157),0))</f>
        <v>1730</v>
      </c>
      <c r="L157">
        <f>MAX(0,ROUND(SUMIFS(m6_cv!$E:$E,m6_cv!$A:$A,$E157,m6_cv!$B:$B,$A157),0))</f>
        <v>731</v>
      </c>
      <c r="M157">
        <f>MAX(0,ROUND(SUMIFS(m7_cv!$E:$E,m7_cv!$A:$A,$E157,m7_cv!$B:$B,$A157),0))</f>
        <v>1708</v>
      </c>
      <c r="N157">
        <f>ROUND(_xlfn.XLOOKUP($D157,Charts!$W$82:$W$112,Charts!$X$82:$X$112)*$L157+_xlfn.XLOOKUP($D157,Charts!$W$82:$W$112,Charts!$Y$82:$Y$112)*$M157,0)</f>
        <v>926</v>
      </c>
    </row>
    <row r="158" spans="1:14" x14ac:dyDescent="0.25">
      <c r="A158" s="3">
        <f t="shared" si="14"/>
        <v>45814</v>
      </c>
      <c r="B158">
        <f t="shared" si="10"/>
        <v>2025</v>
      </c>
      <c r="C158">
        <f t="shared" si="11"/>
        <v>6</v>
      </c>
      <c r="D158">
        <f t="shared" si="12"/>
        <v>6</v>
      </c>
      <c r="E158" s="2">
        <f t="shared" si="13"/>
        <v>45808</v>
      </c>
      <c r="F158" s="12">
        <f>_xlfn.XLOOKUP($A158,m1_cv!$B:$B,m1_cv!$C:$C)</f>
        <v>1098</v>
      </c>
      <c r="G158">
        <f>MAX(0,ROUND(SUMIFS(m1_cv!$E:$E,m1_cv!$A:$A,$E158,m1_cv!$B:$B,$A158),0))</f>
        <v>3700</v>
      </c>
      <c r="H158">
        <f>MAX(0,ROUND(SUMIFS(m2_cv!$E:$E,m2_cv!$A:$A,$E158,m2_cv!$B:$B,$A158),0))</f>
        <v>1702</v>
      </c>
      <c r="I158">
        <f>MAX(0,ROUND(SUMIFS(m3_cv!$E:$E,m3_cv!$A:$A,$E158,m3_cv!$B:$B,$A158),0))</f>
        <v>0</v>
      </c>
      <c r="J158">
        <f>MAX(0,ROUND(SUMIFS(m4_cv!$E:$E,m4_cv!$A:$A,$E158,m4_cv!$B:$B,$A158),0))</f>
        <v>0</v>
      </c>
      <c r="K158">
        <f>MAX(0,ROUND(SUMIFS(m5_cv!$E:$E,m5_cv!$A:$A,$E158,m5_cv!$B:$B,$A158),0))</f>
        <v>0</v>
      </c>
      <c r="L158">
        <f>MAX(0,ROUND(SUMIFS(m6_cv!$E:$E,m6_cv!$A:$A,$E158,m6_cv!$B:$B,$A158),0))</f>
        <v>5</v>
      </c>
      <c r="M158">
        <f>MAX(0,ROUND(SUMIFS(m7_cv!$E:$E,m7_cv!$A:$A,$E158,m7_cv!$B:$B,$A158),0))</f>
        <v>0</v>
      </c>
      <c r="N158">
        <f>ROUND(_xlfn.XLOOKUP($D158,Charts!$W$82:$W$112,Charts!$X$82:$X$112)*$L158+_xlfn.XLOOKUP($D158,Charts!$W$82:$W$112,Charts!$Y$82:$Y$112)*$M158,0)</f>
        <v>3</v>
      </c>
    </row>
    <row r="159" spans="1:14" x14ac:dyDescent="0.25">
      <c r="A159" s="3">
        <f t="shared" si="14"/>
        <v>45815</v>
      </c>
      <c r="B159">
        <f t="shared" si="10"/>
        <v>2025</v>
      </c>
      <c r="C159">
        <f t="shared" si="11"/>
        <v>6</v>
      </c>
      <c r="D159">
        <f t="shared" si="12"/>
        <v>7</v>
      </c>
      <c r="E159" s="2">
        <f t="shared" si="13"/>
        <v>45808</v>
      </c>
      <c r="F159" s="12">
        <f>_xlfn.XLOOKUP($A159,m1_cv!$B:$B,m1_cv!$C:$C)</f>
        <v>17</v>
      </c>
      <c r="G159">
        <f>MAX(0,ROUND(SUMIFS(m1_cv!$E:$E,m1_cv!$A:$A,$E159,m1_cv!$B:$B,$A159),0))</f>
        <v>1412</v>
      </c>
      <c r="H159">
        <f>MAX(0,ROUND(SUMIFS(m2_cv!$E:$E,m2_cv!$A:$A,$E159,m2_cv!$B:$B,$A159),0))</f>
        <v>0</v>
      </c>
      <c r="I159">
        <f>MAX(0,ROUND(SUMIFS(m3_cv!$E:$E,m3_cv!$A:$A,$E159,m3_cv!$B:$B,$A159),0))</f>
        <v>0</v>
      </c>
      <c r="J159">
        <f>MAX(0,ROUND(SUMIFS(m4_cv!$E:$E,m4_cv!$A:$A,$E159,m4_cv!$B:$B,$A159),0))</f>
        <v>0</v>
      </c>
      <c r="K159">
        <f>MAX(0,ROUND(SUMIFS(m5_cv!$E:$E,m5_cv!$A:$A,$E159,m5_cv!$B:$B,$A159),0))</f>
        <v>0</v>
      </c>
      <c r="L159">
        <f>MAX(0,ROUND(SUMIFS(m6_cv!$E:$E,m6_cv!$A:$A,$E159,m6_cv!$B:$B,$A159),0))</f>
        <v>107</v>
      </c>
      <c r="M159">
        <f>MAX(0,ROUND(SUMIFS(m7_cv!$E:$E,m7_cv!$A:$A,$E159,m7_cv!$B:$B,$A159),0))</f>
        <v>0</v>
      </c>
      <c r="N159">
        <f>ROUND(_xlfn.XLOOKUP($D159,Charts!$W$82:$W$112,Charts!$X$82:$X$112)*$L159+_xlfn.XLOOKUP($D159,Charts!$W$82:$W$112,Charts!$Y$82:$Y$112)*$M159,0)</f>
        <v>54</v>
      </c>
    </row>
    <row r="160" spans="1:14" x14ac:dyDescent="0.25">
      <c r="A160" s="3">
        <f t="shared" si="14"/>
        <v>45816</v>
      </c>
      <c r="B160">
        <f t="shared" si="10"/>
        <v>2025</v>
      </c>
      <c r="C160">
        <f t="shared" si="11"/>
        <v>6</v>
      </c>
      <c r="D160">
        <f t="shared" si="12"/>
        <v>8</v>
      </c>
      <c r="E160" s="2">
        <f t="shared" si="13"/>
        <v>45808</v>
      </c>
      <c r="F160" s="12">
        <f>_xlfn.XLOOKUP($A160,m1_cv!$B:$B,m1_cv!$C:$C)</f>
        <v>2</v>
      </c>
      <c r="G160">
        <f>MAX(0,ROUND(SUMIFS(m1_cv!$E:$E,m1_cv!$A:$A,$E160,m1_cv!$B:$B,$A160),0))</f>
        <v>837</v>
      </c>
      <c r="H160">
        <f>MAX(0,ROUND(SUMIFS(m2_cv!$E:$E,m2_cv!$A:$A,$E160,m2_cv!$B:$B,$A160),0))</f>
        <v>0</v>
      </c>
      <c r="I160">
        <f>MAX(0,ROUND(SUMIFS(m3_cv!$E:$E,m3_cv!$A:$A,$E160,m3_cv!$B:$B,$A160),0))</f>
        <v>0</v>
      </c>
      <c r="J160">
        <f>MAX(0,ROUND(SUMIFS(m4_cv!$E:$E,m4_cv!$A:$A,$E160,m4_cv!$B:$B,$A160),0))</f>
        <v>0</v>
      </c>
      <c r="K160">
        <f>MAX(0,ROUND(SUMIFS(m5_cv!$E:$E,m5_cv!$A:$A,$E160,m5_cv!$B:$B,$A160),0))</f>
        <v>0</v>
      </c>
      <c r="L160">
        <f>MAX(0,ROUND(SUMIFS(m6_cv!$E:$E,m6_cv!$A:$A,$E160,m6_cv!$B:$B,$A160),0))</f>
        <v>73</v>
      </c>
      <c r="M160">
        <f>MAX(0,ROUND(SUMIFS(m7_cv!$E:$E,m7_cv!$A:$A,$E160,m7_cv!$B:$B,$A160),0))</f>
        <v>0</v>
      </c>
      <c r="N160">
        <f>ROUND(_xlfn.XLOOKUP($D160,Charts!$W$82:$W$112,Charts!$X$82:$X$112)*$L160+_xlfn.XLOOKUP($D160,Charts!$W$82:$W$112,Charts!$Y$82:$Y$112)*$M160,0)</f>
        <v>37</v>
      </c>
    </row>
    <row r="161" spans="1:14" x14ac:dyDescent="0.25">
      <c r="A161" s="3">
        <f t="shared" si="14"/>
        <v>45817</v>
      </c>
      <c r="B161">
        <f t="shared" si="10"/>
        <v>2025</v>
      </c>
      <c r="C161">
        <f t="shared" si="11"/>
        <v>6</v>
      </c>
      <c r="D161">
        <f t="shared" si="12"/>
        <v>9</v>
      </c>
      <c r="E161" s="2">
        <f t="shared" si="13"/>
        <v>45808</v>
      </c>
      <c r="F161" s="12">
        <f>_xlfn.XLOOKUP($A161,m1_cv!$B:$B,m1_cv!$C:$C)</f>
        <v>716</v>
      </c>
      <c r="G161">
        <f>MAX(0,ROUND(SUMIFS(m1_cv!$E:$E,m1_cv!$A:$A,$E161,m1_cv!$B:$B,$A161),0))</f>
        <v>3076</v>
      </c>
      <c r="H161">
        <f>MAX(0,ROUND(SUMIFS(m2_cv!$E:$E,m2_cv!$A:$A,$E161,m2_cv!$B:$B,$A161),0))</f>
        <v>1635</v>
      </c>
      <c r="I161">
        <f>MAX(0,ROUND(SUMIFS(m3_cv!$E:$E,m3_cv!$A:$A,$E161,m3_cv!$B:$B,$A161),0))</f>
        <v>1780</v>
      </c>
      <c r="J161">
        <f>MAX(0,ROUND(SUMIFS(m4_cv!$E:$E,m4_cv!$A:$A,$E161,m4_cv!$B:$B,$A161),0))</f>
        <v>1782</v>
      </c>
      <c r="K161">
        <f>MAX(0,ROUND(SUMIFS(m5_cv!$E:$E,m5_cv!$A:$A,$E161,m5_cv!$B:$B,$A161),0))</f>
        <v>2096</v>
      </c>
      <c r="L161">
        <f>MAX(0,ROUND(SUMIFS(m6_cv!$E:$E,m6_cv!$A:$A,$E161,m6_cv!$B:$B,$A161),0))</f>
        <v>1036</v>
      </c>
      <c r="M161">
        <f>MAX(0,ROUND(SUMIFS(m7_cv!$E:$E,m7_cv!$A:$A,$E161,m7_cv!$B:$B,$A161),0))</f>
        <v>2235</v>
      </c>
      <c r="N161">
        <f>ROUND(_xlfn.XLOOKUP($D161,Charts!$W$82:$W$112,Charts!$X$82:$X$112)*$L161+_xlfn.XLOOKUP($D161,Charts!$W$82:$W$112,Charts!$Y$82:$Y$112)*$M161,0)</f>
        <v>1636</v>
      </c>
    </row>
    <row r="162" spans="1:14" x14ac:dyDescent="0.25">
      <c r="A162" s="3">
        <f t="shared" si="14"/>
        <v>45818</v>
      </c>
      <c r="B162">
        <f t="shared" si="10"/>
        <v>2025</v>
      </c>
      <c r="C162">
        <f t="shared" si="11"/>
        <v>6</v>
      </c>
      <c r="D162">
        <f t="shared" si="12"/>
        <v>10</v>
      </c>
      <c r="E162" s="2">
        <f t="shared" si="13"/>
        <v>45808</v>
      </c>
      <c r="F162" s="12">
        <f>_xlfn.XLOOKUP($A162,m1_cv!$B:$B,m1_cv!$C:$C)</f>
        <v>1129</v>
      </c>
      <c r="G162">
        <f>MAX(0,ROUND(SUMIFS(m1_cv!$E:$E,m1_cv!$A:$A,$E162,m1_cv!$B:$B,$A162),0))</f>
        <v>3598</v>
      </c>
      <c r="H162">
        <f>MAX(0,ROUND(SUMIFS(m2_cv!$E:$E,m2_cv!$A:$A,$E162,m2_cv!$B:$B,$A162),0))</f>
        <v>2079</v>
      </c>
      <c r="I162">
        <f>MAX(0,ROUND(SUMIFS(m3_cv!$E:$E,m3_cv!$A:$A,$E162,m3_cv!$B:$B,$A162),0))</f>
        <v>1485</v>
      </c>
      <c r="J162">
        <f>MAX(0,ROUND(SUMIFS(m4_cv!$E:$E,m4_cv!$A:$A,$E162,m4_cv!$B:$B,$A162),0))</f>
        <v>1486</v>
      </c>
      <c r="K162">
        <f>MAX(0,ROUND(SUMIFS(m5_cv!$E:$E,m5_cv!$A:$A,$E162,m5_cv!$B:$B,$A162),0))</f>
        <v>1649</v>
      </c>
      <c r="L162">
        <f>MAX(0,ROUND(SUMIFS(m6_cv!$E:$E,m6_cv!$A:$A,$E162,m6_cv!$B:$B,$A162),0))</f>
        <v>1176</v>
      </c>
      <c r="M162">
        <f>MAX(0,ROUND(SUMIFS(m7_cv!$E:$E,m7_cv!$A:$A,$E162,m7_cv!$B:$B,$A162),0))</f>
        <v>1609</v>
      </c>
      <c r="N162">
        <f>ROUND(_xlfn.XLOOKUP($D162,Charts!$W$82:$W$112,Charts!$X$82:$X$112)*$L162+_xlfn.XLOOKUP($D162,Charts!$W$82:$W$112,Charts!$Y$82:$Y$112)*$M162,0)</f>
        <v>1393</v>
      </c>
    </row>
    <row r="163" spans="1:14" x14ac:dyDescent="0.25">
      <c r="A163" s="3">
        <f t="shared" si="14"/>
        <v>45819</v>
      </c>
      <c r="B163">
        <f t="shared" si="10"/>
        <v>2025</v>
      </c>
      <c r="C163">
        <f t="shared" si="11"/>
        <v>6</v>
      </c>
      <c r="D163">
        <f t="shared" si="12"/>
        <v>11</v>
      </c>
      <c r="E163" s="2">
        <f t="shared" si="13"/>
        <v>45808</v>
      </c>
      <c r="F163" s="12">
        <f>_xlfn.XLOOKUP($A163,m1_cv!$B:$B,m1_cv!$C:$C)</f>
        <v>1387</v>
      </c>
      <c r="G163">
        <f>MAX(0,ROUND(SUMIFS(m1_cv!$E:$E,m1_cv!$A:$A,$E163,m1_cv!$B:$B,$A163),0))</f>
        <v>3595</v>
      </c>
      <c r="H163">
        <f>MAX(0,ROUND(SUMIFS(m2_cv!$E:$E,m2_cv!$A:$A,$E163,m2_cv!$B:$B,$A163),0))</f>
        <v>2214</v>
      </c>
      <c r="I163">
        <f>MAX(0,ROUND(SUMIFS(m3_cv!$E:$E,m3_cv!$A:$A,$E163,m3_cv!$B:$B,$A163),0))</f>
        <v>2023</v>
      </c>
      <c r="J163">
        <f>MAX(0,ROUND(SUMIFS(m4_cv!$E:$E,m4_cv!$A:$A,$E163,m4_cv!$B:$B,$A163),0))</f>
        <v>2024</v>
      </c>
      <c r="K163">
        <f>MAX(0,ROUND(SUMIFS(m5_cv!$E:$E,m5_cv!$A:$A,$E163,m5_cv!$B:$B,$A163),0))</f>
        <v>1951</v>
      </c>
      <c r="L163">
        <f>MAX(0,ROUND(SUMIFS(m6_cv!$E:$E,m6_cv!$A:$A,$E163,m6_cv!$B:$B,$A163),0))</f>
        <v>1208</v>
      </c>
      <c r="M163">
        <f>MAX(0,ROUND(SUMIFS(m7_cv!$E:$E,m7_cv!$A:$A,$E163,m7_cv!$B:$B,$A163),0))</f>
        <v>1855</v>
      </c>
      <c r="N163">
        <f>ROUND(_xlfn.XLOOKUP($D163,Charts!$W$82:$W$112,Charts!$X$82:$X$112)*$L163+_xlfn.XLOOKUP($D163,Charts!$W$82:$W$112,Charts!$Y$82:$Y$112)*$M163,0)</f>
        <v>1661</v>
      </c>
    </row>
    <row r="164" spans="1:14" x14ac:dyDescent="0.25">
      <c r="A164" s="3">
        <f t="shared" si="14"/>
        <v>45820</v>
      </c>
      <c r="B164">
        <f t="shared" si="10"/>
        <v>2025</v>
      </c>
      <c r="C164">
        <f t="shared" si="11"/>
        <v>6</v>
      </c>
      <c r="D164">
        <f t="shared" si="12"/>
        <v>12</v>
      </c>
      <c r="E164" s="2">
        <f t="shared" si="13"/>
        <v>45808</v>
      </c>
      <c r="F164" s="12">
        <f>_xlfn.XLOOKUP($A164,m1_cv!$B:$B,m1_cv!$C:$C)</f>
        <v>1689</v>
      </c>
      <c r="G164">
        <f>MAX(0,ROUND(SUMIFS(m1_cv!$E:$E,m1_cv!$A:$A,$E164,m1_cv!$B:$B,$A164),0))</f>
        <v>3542</v>
      </c>
      <c r="H164">
        <f>MAX(0,ROUND(SUMIFS(m2_cv!$E:$E,m2_cv!$A:$A,$E164,m2_cv!$B:$B,$A164),0))</f>
        <v>2427</v>
      </c>
      <c r="I164">
        <f>MAX(0,ROUND(SUMIFS(m3_cv!$E:$E,m3_cv!$A:$A,$E164,m3_cv!$B:$B,$A164),0))</f>
        <v>2522</v>
      </c>
      <c r="J164">
        <f>MAX(0,ROUND(SUMIFS(m4_cv!$E:$E,m4_cv!$A:$A,$E164,m4_cv!$B:$B,$A164),0))</f>
        <v>2523</v>
      </c>
      <c r="K164">
        <f>MAX(0,ROUND(SUMIFS(m5_cv!$E:$E,m5_cv!$A:$A,$E164,m5_cv!$B:$B,$A164),0))</f>
        <v>2427</v>
      </c>
      <c r="L164">
        <f>MAX(0,ROUND(SUMIFS(m6_cv!$E:$E,m6_cv!$A:$A,$E164,m6_cv!$B:$B,$A164),0))</f>
        <v>1598</v>
      </c>
      <c r="M164">
        <f>MAX(0,ROUND(SUMIFS(m7_cv!$E:$E,m7_cv!$A:$A,$E164,m7_cv!$B:$B,$A164),0))</f>
        <v>2436</v>
      </c>
      <c r="N164">
        <f>ROUND(_xlfn.XLOOKUP($D164,Charts!$W$82:$W$112,Charts!$X$82:$X$112)*$L164+_xlfn.XLOOKUP($D164,Charts!$W$82:$W$112,Charts!$Y$82:$Y$112)*$M164,0)</f>
        <v>2185</v>
      </c>
    </row>
    <row r="165" spans="1:14" x14ac:dyDescent="0.25">
      <c r="A165" s="3">
        <f t="shared" si="14"/>
        <v>45821</v>
      </c>
      <c r="B165">
        <f t="shared" si="10"/>
        <v>2025</v>
      </c>
      <c r="C165">
        <f t="shared" si="11"/>
        <v>6</v>
      </c>
      <c r="D165">
        <f t="shared" si="12"/>
        <v>13</v>
      </c>
      <c r="E165" s="2">
        <f t="shared" si="13"/>
        <v>45808</v>
      </c>
      <c r="F165" s="12">
        <f>_xlfn.XLOOKUP($A165,m1_cv!$B:$B,m1_cv!$C:$C)</f>
        <v>1883</v>
      </c>
      <c r="G165">
        <f>MAX(0,ROUND(SUMIFS(m1_cv!$E:$E,m1_cv!$A:$A,$E165,m1_cv!$B:$B,$A165),0))</f>
        <v>3512</v>
      </c>
      <c r="H165">
        <f>MAX(0,ROUND(SUMIFS(m2_cv!$E:$E,m2_cv!$A:$A,$E165,m2_cv!$B:$B,$A165),0))</f>
        <v>2598</v>
      </c>
      <c r="I165">
        <f>MAX(0,ROUND(SUMIFS(m3_cv!$E:$E,m3_cv!$A:$A,$E165,m3_cv!$B:$B,$A165),0))</f>
        <v>2214</v>
      </c>
      <c r="J165">
        <f>MAX(0,ROUND(SUMIFS(m4_cv!$E:$E,m4_cv!$A:$A,$E165,m4_cv!$B:$B,$A165),0))</f>
        <v>2214</v>
      </c>
      <c r="K165">
        <f>MAX(0,ROUND(SUMIFS(m5_cv!$E:$E,m5_cv!$A:$A,$E165,m5_cv!$B:$B,$A165),0))</f>
        <v>1971</v>
      </c>
      <c r="L165">
        <f>MAX(0,ROUND(SUMIFS(m6_cv!$E:$E,m6_cv!$A:$A,$E165,m6_cv!$B:$B,$A165),0))</f>
        <v>1424</v>
      </c>
      <c r="M165">
        <f>MAX(0,ROUND(SUMIFS(m7_cv!$E:$E,m7_cv!$A:$A,$E165,m7_cv!$B:$B,$A165),0))</f>
        <v>2024</v>
      </c>
      <c r="N165">
        <f>ROUND(_xlfn.XLOOKUP($D165,Charts!$W$82:$W$112,Charts!$X$82:$X$112)*$L165+_xlfn.XLOOKUP($D165,Charts!$W$82:$W$112,Charts!$Y$82:$Y$112)*$M165,0)</f>
        <v>1844</v>
      </c>
    </row>
    <row r="166" spans="1:14" x14ac:dyDescent="0.25">
      <c r="A166" s="3">
        <f t="shared" si="14"/>
        <v>45822</v>
      </c>
      <c r="B166">
        <f t="shared" si="10"/>
        <v>2025</v>
      </c>
      <c r="C166">
        <f t="shared" si="11"/>
        <v>6</v>
      </c>
      <c r="D166">
        <f t="shared" si="12"/>
        <v>14</v>
      </c>
      <c r="E166" s="2">
        <f t="shared" si="13"/>
        <v>45808</v>
      </c>
      <c r="F166" s="12">
        <f>_xlfn.XLOOKUP($A166,m1_cv!$B:$B,m1_cv!$C:$C)</f>
        <v>280</v>
      </c>
      <c r="G166">
        <f>MAX(0,ROUND(SUMIFS(m1_cv!$E:$E,m1_cv!$A:$A,$E166,m1_cv!$B:$B,$A166),0))</f>
        <v>1199</v>
      </c>
      <c r="H166">
        <f>MAX(0,ROUND(SUMIFS(m2_cv!$E:$E,m2_cv!$A:$A,$E166,m2_cv!$B:$B,$A166),0))</f>
        <v>336</v>
      </c>
      <c r="I166">
        <f>MAX(0,ROUND(SUMIFS(m3_cv!$E:$E,m3_cv!$A:$A,$E166,m3_cv!$B:$B,$A166),0))</f>
        <v>384</v>
      </c>
      <c r="J166">
        <f>MAX(0,ROUND(SUMIFS(m4_cv!$E:$E,m4_cv!$A:$A,$E166,m4_cv!$B:$B,$A166),0))</f>
        <v>385</v>
      </c>
      <c r="K166">
        <f>MAX(0,ROUND(SUMIFS(m5_cv!$E:$E,m5_cv!$A:$A,$E166,m5_cv!$B:$B,$A166),0))</f>
        <v>187</v>
      </c>
      <c r="L166">
        <f>MAX(0,ROUND(SUMIFS(m6_cv!$E:$E,m6_cv!$A:$A,$E166,m6_cv!$B:$B,$A166),0))</f>
        <v>316</v>
      </c>
      <c r="M166">
        <f>MAX(0,ROUND(SUMIFS(m7_cv!$E:$E,m7_cv!$A:$A,$E166,m7_cv!$B:$B,$A166),0))</f>
        <v>212</v>
      </c>
      <c r="N166">
        <f>ROUND(_xlfn.XLOOKUP($D166,Charts!$W$82:$W$112,Charts!$X$82:$X$112)*$L166+_xlfn.XLOOKUP($D166,Charts!$W$82:$W$112,Charts!$Y$82:$Y$112)*$M166,0)</f>
        <v>212</v>
      </c>
    </row>
    <row r="167" spans="1:14" x14ac:dyDescent="0.25">
      <c r="A167" s="3">
        <f t="shared" si="14"/>
        <v>45823</v>
      </c>
      <c r="B167">
        <f t="shared" si="10"/>
        <v>2025</v>
      </c>
      <c r="C167">
        <f t="shared" si="11"/>
        <v>6</v>
      </c>
      <c r="D167">
        <f t="shared" si="12"/>
        <v>15</v>
      </c>
      <c r="E167" s="2">
        <f t="shared" si="13"/>
        <v>45808</v>
      </c>
      <c r="F167" s="12">
        <f>_xlfn.XLOOKUP($A167,m1_cv!$B:$B,m1_cv!$C:$C)</f>
        <v>71</v>
      </c>
      <c r="G167">
        <f>MAX(0,ROUND(SUMIFS(m1_cv!$E:$E,m1_cv!$A:$A,$E167,m1_cv!$B:$B,$A167),0))</f>
        <v>601</v>
      </c>
      <c r="H167">
        <f>MAX(0,ROUND(SUMIFS(m2_cv!$E:$E,m2_cv!$A:$A,$E167,m2_cv!$B:$B,$A167),0))</f>
        <v>0</v>
      </c>
      <c r="I167">
        <f>MAX(0,ROUND(SUMIFS(m3_cv!$E:$E,m3_cv!$A:$A,$E167,m3_cv!$B:$B,$A167),0))</f>
        <v>0</v>
      </c>
      <c r="J167">
        <f>MAX(0,ROUND(SUMIFS(m4_cv!$E:$E,m4_cv!$A:$A,$E167,m4_cv!$B:$B,$A167),0))</f>
        <v>0</v>
      </c>
      <c r="K167">
        <f>MAX(0,ROUND(SUMIFS(m5_cv!$E:$E,m5_cv!$A:$A,$E167,m5_cv!$B:$B,$A167),0))</f>
        <v>0</v>
      </c>
      <c r="L167">
        <f>MAX(0,ROUND(SUMIFS(m6_cv!$E:$E,m6_cv!$A:$A,$E167,m6_cv!$B:$B,$A167),0))</f>
        <v>132</v>
      </c>
      <c r="M167">
        <f>MAX(0,ROUND(SUMIFS(m7_cv!$E:$E,m7_cv!$A:$A,$E167,m7_cv!$B:$B,$A167),0))</f>
        <v>0</v>
      </c>
      <c r="N167">
        <f>ROUND(_xlfn.XLOOKUP($D167,Charts!$W$82:$W$112,Charts!$X$82:$X$112)*$L167+_xlfn.XLOOKUP($D167,Charts!$W$82:$W$112,Charts!$Y$82:$Y$112)*$M167,0)</f>
        <v>0</v>
      </c>
    </row>
    <row r="168" spans="1:14" x14ac:dyDescent="0.25">
      <c r="A168" s="3">
        <f t="shared" si="14"/>
        <v>45824</v>
      </c>
      <c r="B168">
        <f t="shared" si="10"/>
        <v>2025</v>
      </c>
      <c r="C168">
        <f t="shared" si="11"/>
        <v>6</v>
      </c>
      <c r="D168">
        <f t="shared" si="12"/>
        <v>16</v>
      </c>
      <c r="E168" s="2">
        <f t="shared" si="13"/>
        <v>45808</v>
      </c>
      <c r="F168" s="12">
        <f>_xlfn.XLOOKUP($A168,m1_cv!$B:$B,m1_cv!$C:$C)</f>
        <v>1852</v>
      </c>
      <c r="G168">
        <f>MAX(0,ROUND(SUMIFS(m1_cv!$E:$E,m1_cv!$A:$A,$E168,m1_cv!$B:$B,$A168),0))</f>
        <v>2822</v>
      </c>
      <c r="H168">
        <f>MAX(0,ROUND(SUMIFS(m2_cv!$E:$E,m2_cv!$A:$A,$E168,m2_cv!$B:$B,$A168),0))</f>
        <v>2108</v>
      </c>
      <c r="I168">
        <f>MAX(0,ROUND(SUMIFS(m3_cv!$E:$E,m3_cv!$A:$A,$E168,m3_cv!$B:$B,$A168),0))</f>
        <v>2298</v>
      </c>
      <c r="J168">
        <f>MAX(0,ROUND(SUMIFS(m4_cv!$E:$E,m4_cv!$A:$A,$E168,m4_cv!$B:$B,$A168),0))</f>
        <v>2299</v>
      </c>
      <c r="K168">
        <f>MAX(0,ROUND(SUMIFS(m5_cv!$E:$E,m5_cv!$A:$A,$E168,m5_cv!$B:$B,$A168),0))</f>
        <v>2369</v>
      </c>
      <c r="L168">
        <f>MAX(0,ROUND(SUMIFS(m6_cv!$E:$E,m6_cv!$A:$A,$E168,m6_cv!$B:$B,$A168),0))</f>
        <v>1757</v>
      </c>
      <c r="M168">
        <f>MAX(0,ROUND(SUMIFS(m7_cv!$E:$E,m7_cv!$A:$A,$E168,m7_cv!$B:$B,$A168),0))</f>
        <v>2362</v>
      </c>
      <c r="N168">
        <f>ROUND(_xlfn.XLOOKUP($D168,Charts!$W$82:$W$112,Charts!$X$82:$X$112)*$L168+_xlfn.XLOOKUP($D168,Charts!$W$82:$W$112,Charts!$Y$82:$Y$112)*$M168,0)</f>
        <v>2362</v>
      </c>
    </row>
    <row r="169" spans="1:14" x14ac:dyDescent="0.25">
      <c r="A169" s="3">
        <f t="shared" si="14"/>
        <v>45825</v>
      </c>
      <c r="B169">
        <f t="shared" si="10"/>
        <v>2025</v>
      </c>
      <c r="C169">
        <f t="shared" si="11"/>
        <v>6</v>
      </c>
      <c r="D169">
        <f t="shared" si="12"/>
        <v>17</v>
      </c>
      <c r="E169" s="2">
        <f t="shared" si="13"/>
        <v>45808</v>
      </c>
      <c r="F169" s="12">
        <f>_xlfn.XLOOKUP($A169,m1_cv!$B:$B,m1_cv!$C:$C)</f>
        <v>2251</v>
      </c>
      <c r="G169">
        <f>MAX(0,ROUND(SUMIFS(m1_cv!$E:$E,m1_cv!$A:$A,$E169,m1_cv!$B:$B,$A169),0))</f>
        <v>3330</v>
      </c>
      <c r="H169">
        <f>MAX(0,ROUND(SUMIFS(m2_cv!$E:$E,m2_cv!$A:$A,$E169,m2_cv!$B:$B,$A169),0))</f>
        <v>2821</v>
      </c>
      <c r="I169">
        <f>MAX(0,ROUND(SUMIFS(m3_cv!$E:$E,m3_cv!$A:$A,$E169,m3_cv!$B:$B,$A169),0))</f>
        <v>2823</v>
      </c>
      <c r="J169">
        <f>MAX(0,ROUND(SUMIFS(m4_cv!$E:$E,m4_cv!$A:$A,$E169,m4_cv!$B:$B,$A169),0))</f>
        <v>2823</v>
      </c>
      <c r="K169">
        <f>MAX(0,ROUND(SUMIFS(m5_cv!$E:$E,m5_cv!$A:$A,$E169,m5_cv!$B:$B,$A169),0))</f>
        <v>2843</v>
      </c>
      <c r="L169">
        <f>MAX(0,ROUND(SUMIFS(m6_cv!$E:$E,m6_cv!$A:$A,$E169,m6_cv!$B:$B,$A169),0))</f>
        <v>2281</v>
      </c>
      <c r="M169">
        <f>MAX(0,ROUND(SUMIFS(m7_cv!$E:$E,m7_cv!$A:$A,$E169,m7_cv!$B:$B,$A169),0))</f>
        <v>2846</v>
      </c>
      <c r="N169">
        <f>ROUND(_xlfn.XLOOKUP($D169,Charts!$W$82:$W$112,Charts!$X$82:$X$112)*$L169+_xlfn.XLOOKUP($D169,Charts!$W$82:$W$112,Charts!$Y$82:$Y$112)*$M169,0)</f>
        <v>2846</v>
      </c>
    </row>
    <row r="170" spans="1:14" x14ac:dyDescent="0.25">
      <c r="A170" s="3">
        <f t="shared" si="14"/>
        <v>45826</v>
      </c>
      <c r="B170">
        <f t="shared" si="10"/>
        <v>2025</v>
      </c>
      <c r="C170">
        <f t="shared" si="11"/>
        <v>6</v>
      </c>
      <c r="D170">
        <f t="shared" si="12"/>
        <v>18</v>
      </c>
      <c r="E170" s="2">
        <f t="shared" si="13"/>
        <v>45808</v>
      </c>
      <c r="F170" s="12">
        <f>_xlfn.XLOOKUP($A170,m1_cv!$B:$B,m1_cv!$C:$C)</f>
        <v>2552</v>
      </c>
      <c r="G170">
        <f>MAX(0,ROUND(SUMIFS(m1_cv!$E:$E,m1_cv!$A:$A,$E170,m1_cv!$B:$B,$A170),0))</f>
        <v>3315</v>
      </c>
      <c r="H170">
        <f>MAX(0,ROUND(SUMIFS(m2_cv!$E:$E,m2_cv!$A:$A,$E170,m2_cv!$B:$B,$A170),0))</f>
        <v>3034</v>
      </c>
      <c r="I170">
        <f>MAX(0,ROUND(SUMIFS(m3_cv!$E:$E,m3_cv!$A:$A,$E170,m3_cv!$B:$B,$A170),0))</f>
        <v>3161</v>
      </c>
      <c r="J170">
        <f>MAX(0,ROUND(SUMIFS(m4_cv!$E:$E,m4_cv!$A:$A,$E170,m4_cv!$B:$B,$A170),0))</f>
        <v>3162</v>
      </c>
      <c r="K170">
        <f>MAX(0,ROUND(SUMIFS(m5_cv!$E:$E,m5_cv!$A:$A,$E170,m5_cv!$B:$B,$A170),0))</f>
        <v>3003</v>
      </c>
      <c r="L170">
        <f>MAX(0,ROUND(SUMIFS(m6_cv!$E:$E,m6_cv!$A:$A,$E170,m6_cv!$B:$B,$A170),0))</f>
        <v>2523</v>
      </c>
      <c r="M170">
        <f>MAX(0,ROUND(SUMIFS(m7_cv!$E:$E,m7_cv!$A:$A,$E170,m7_cv!$B:$B,$A170),0))</f>
        <v>3003</v>
      </c>
      <c r="N170">
        <f>ROUND(_xlfn.XLOOKUP($D170,Charts!$W$82:$W$112,Charts!$X$82:$X$112)*$L170+_xlfn.XLOOKUP($D170,Charts!$W$82:$W$112,Charts!$Y$82:$Y$112)*$M170,0)</f>
        <v>3003</v>
      </c>
    </row>
    <row r="171" spans="1:14" x14ac:dyDescent="0.25">
      <c r="A171" s="3">
        <f t="shared" si="14"/>
        <v>45827</v>
      </c>
      <c r="B171">
        <f t="shared" si="10"/>
        <v>2025</v>
      </c>
      <c r="C171">
        <f t="shared" si="11"/>
        <v>6</v>
      </c>
      <c r="D171">
        <f t="shared" si="12"/>
        <v>19</v>
      </c>
      <c r="E171" s="2">
        <f t="shared" si="13"/>
        <v>45808</v>
      </c>
      <c r="F171" s="12">
        <f>_xlfn.XLOOKUP($A171,m1_cv!$B:$B,m1_cv!$C:$C)</f>
        <v>2813</v>
      </c>
      <c r="G171">
        <f>MAX(0,ROUND(SUMIFS(m1_cv!$E:$E,m1_cv!$A:$A,$E171,m1_cv!$B:$B,$A171),0))</f>
        <v>3256</v>
      </c>
      <c r="H171">
        <f>MAX(0,ROUND(SUMIFS(m2_cv!$E:$E,m2_cv!$A:$A,$E171,m2_cv!$B:$B,$A171),0))</f>
        <v>3054</v>
      </c>
      <c r="I171">
        <f>MAX(0,ROUND(SUMIFS(m3_cv!$E:$E,m3_cv!$A:$A,$E171,m3_cv!$B:$B,$A171),0))</f>
        <v>3216</v>
      </c>
      <c r="J171">
        <f>MAX(0,ROUND(SUMIFS(m4_cv!$E:$E,m4_cv!$A:$A,$E171,m4_cv!$B:$B,$A171),0))</f>
        <v>3217</v>
      </c>
      <c r="K171">
        <f>MAX(0,ROUND(SUMIFS(m5_cv!$E:$E,m5_cv!$A:$A,$E171,m5_cv!$B:$B,$A171),0))</f>
        <v>3003</v>
      </c>
      <c r="L171">
        <f>MAX(0,ROUND(SUMIFS(m6_cv!$E:$E,m6_cv!$A:$A,$E171,m6_cv!$B:$B,$A171),0))</f>
        <v>2846</v>
      </c>
      <c r="M171">
        <f>MAX(0,ROUND(SUMIFS(m7_cv!$E:$E,m7_cv!$A:$A,$E171,m7_cv!$B:$B,$A171),0))</f>
        <v>3004</v>
      </c>
      <c r="N171">
        <f>ROUND(_xlfn.XLOOKUP($D171,Charts!$W$82:$W$112,Charts!$X$82:$X$112)*$L171+_xlfn.XLOOKUP($D171,Charts!$W$82:$W$112,Charts!$Y$82:$Y$112)*$M171,0)</f>
        <v>3004</v>
      </c>
    </row>
    <row r="172" spans="1:14" x14ac:dyDescent="0.25">
      <c r="A172" s="3">
        <f t="shared" si="14"/>
        <v>45828</v>
      </c>
      <c r="B172">
        <f t="shared" si="10"/>
        <v>2025</v>
      </c>
      <c r="C172">
        <f t="shared" si="11"/>
        <v>6</v>
      </c>
      <c r="D172">
        <f t="shared" si="12"/>
        <v>20</v>
      </c>
      <c r="E172" s="2">
        <f t="shared" si="13"/>
        <v>45808</v>
      </c>
      <c r="F172" s="12">
        <f>_xlfn.XLOOKUP($A172,m1_cv!$B:$B,m1_cv!$C:$C)</f>
        <v>3023</v>
      </c>
      <c r="G172">
        <f>MAX(0,ROUND(SUMIFS(m1_cv!$E:$E,m1_cv!$A:$A,$E172,m1_cv!$B:$B,$A172),0))</f>
        <v>3224</v>
      </c>
      <c r="H172">
        <f>MAX(0,ROUND(SUMIFS(m2_cv!$E:$E,m2_cv!$A:$A,$E172,m2_cv!$B:$B,$A172),0))</f>
        <v>2966</v>
      </c>
      <c r="I172">
        <f>MAX(0,ROUND(SUMIFS(m3_cv!$E:$E,m3_cv!$A:$A,$E172,m3_cv!$B:$B,$A172),0))</f>
        <v>3027</v>
      </c>
      <c r="J172">
        <f>MAX(0,ROUND(SUMIFS(m4_cv!$E:$E,m4_cv!$A:$A,$E172,m4_cv!$B:$B,$A172),0))</f>
        <v>3028</v>
      </c>
      <c r="K172">
        <f>MAX(0,ROUND(SUMIFS(m5_cv!$E:$E,m5_cv!$A:$A,$E172,m5_cv!$B:$B,$A172),0))</f>
        <v>2954</v>
      </c>
      <c r="L172">
        <f>MAX(0,ROUND(SUMIFS(m6_cv!$E:$E,m6_cv!$A:$A,$E172,m6_cv!$B:$B,$A172),0))</f>
        <v>2805</v>
      </c>
      <c r="M172">
        <f>MAX(0,ROUND(SUMIFS(m7_cv!$E:$E,m7_cv!$A:$A,$E172,m7_cv!$B:$B,$A172),0))</f>
        <v>3011</v>
      </c>
      <c r="N172">
        <f>ROUND(_xlfn.XLOOKUP($D172,Charts!$W$82:$W$112,Charts!$X$82:$X$112)*$L172+_xlfn.XLOOKUP($D172,Charts!$W$82:$W$112,Charts!$Y$82:$Y$112)*$M172,0)</f>
        <v>3011</v>
      </c>
    </row>
    <row r="173" spans="1:14" x14ac:dyDescent="0.25">
      <c r="A173" s="3">
        <f t="shared" si="14"/>
        <v>45829</v>
      </c>
      <c r="B173">
        <f t="shared" si="10"/>
        <v>2025</v>
      </c>
      <c r="C173">
        <f t="shared" si="11"/>
        <v>6</v>
      </c>
      <c r="D173">
        <f t="shared" si="12"/>
        <v>21</v>
      </c>
      <c r="E173" s="2">
        <f t="shared" si="13"/>
        <v>45808</v>
      </c>
      <c r="F173" s="12">
        <f>_xlfn.XLOOKUP($A173,m1_cv!$B:$B,m1_cv!$C:$C)</f>
        <v>360</v>
      </c>
      <c r="G173">
        <f>MAX(0,ROUND(SUMIFS(m1_cv!$E:$E,m1_cv!$A:$A,$E173,m1_cv!$B:$B,$A173),0))</f>
        <v>913</v>
      </c>
      <c r="H173">
        <f>MAX(0,ROUND(SUMIFS(m2_cv!$E:$E,m2_cv!$A:$A,$E173,m2_cv!$B:$B,$A173),0))</f>
        <v>650</v>
      </c>
      <c r="I173">
        <f>MAX(0,ROUND(SUMIFS(m3_cv!$E:$E,m3_cv!$A:$A,$E173,m3_cv!$B:$B,$A173),0))</f>
        <v>658</v>
      </c>
      <c r="J173">
        <f>MAX(0,ROUND(SUMIFS(m4_cv!$E:$E,m4_cv!$A:$A,$E173,m4_cv!$B:$B,$A173),0))</f>
        <v>659</v>
      </c>
      <c r="K173">
        <f>MAX(0,ROUND(SUMIFS(m5_cv!$E:$E,m5_cv!$A:$A,$E173,m5_cv!$B:$B,$A173),0))</f>
        <v>780</v>
      </c>
      <c r="L173">
        <f>MAX(0,ROUND(SUMIFS(m6_cv!$E:$E,m6_cv!$A:$A,$E173,m6_cv!$B:$B,$A173),0))</f>
        <v>513</v>
      </c>
      <c r="M173">
        <f>MAX(0,ROUND(SUMIFS(m7_cv!$E:$E,m7_cv!$A:$A,$E173,m7_cv!$B:$B,$A173),0))</f>
        <v>838</v>
      </c>
      <c r="N173">
        <f>ROUND(_xlfn.XLOOKUP($D173,Charts!$W$82:$W$112,Charts!$X$82:$X$112)*$L173+_xlfn.XLOOKUP($D173,Charts!$W$82:$W$112,Charts!$Y$82:$Y$112)*$M173,0)</f>
        <v>838</v>
      </c>
    </row>
    <row r="174" spans="1:14" x14ac:dyDescent="0.25">
      <c r="A174" s="3">
        <f t="shared" si="14"/>
        <v>45830</v>
      </c>
      <c r="B174">
        <f t="shared" si="10"/>
        <v>2025</v>
      </c>
      <c r="C174">
        <f t="shared" si="11"/>
        <v>6</v>
      </c>
      <c r="D174">
        <f t="shared" si="12"/>
        <v>22</v>
      </c>
      <c r="E174" s="2">
        <f t="shared" si="13"/>
        <v>45808</v>
      </c>
      <c r="F174" s="12">
        <f>_xlfn.XLOOKUP($A174,m1_cv!$B:$B,m1_cv!$C:$C)</f>
        <v>129</v>
      </c>
      <c r="G174">
        <f>MAX(0,ROUND(SUMIFS(m1_cv!$E:$E,m1_cv!$A:$A,$E174,m1_cv!$B:$B,$A174),0))</f>
        <v>321</v>
      </c>
      <c r="H174">
        <f>MAX(0,ROUND(SUMIFS(m2_cv!$E:$E,m2_cv!$A:$A,$E174,m2_cv!$B:$B,$A174),0))</f>
        <v>286</v>
      </c>
      <c r="I174">
        <f>MAX(0,ROUND(SUMIFS(m3_cv!$E:$E,m3_cv!$A:$A,$E174,m3_cv!$B:$B,$A174),0))</f>
        <v>267</v>
      </c>
      <c r="J174">
        <f>MAX(0,ROUND(SUMIFS(m4_cv!$E:$E,m4_cv!$A:$A,$E174,m4_cv!$B:$B,$A174),0))</f>
        <v>268</v>
      </c>
      <c r="K174">
        <f>MAX(0,ROUND(SUMIFS(m5_cv!$E:$E,m5_cv!$A:$A,$E174,m5_cv!$B:$B,$A174),0))</f>
        <v>440</v>
      </c>
      <c r="L174">
        <f>MAX(0,ROUND(SUMIFS(m6_cv!$E:$E,m6_cv!$A:$A,$E174,m6_cv!$B:$B,$A174),0))</f>
        <v>210</v>
      </c>
      <c r="M174">
        <f>MAX(0,ROUND(SUMIFS(m7_cv!$E:$E,m7_cv!$A:$A,$E174,m7_cv!$B:$B,$A174),0))</f>
        <v>354</v>
      </c>
      <c r="N174">
        <f>ROUND(_xlfn.XLOOKUP($D174,Charts!$W$82:$W$112,Charts!$X$82:$X$112)*$L174+_xlfn.XLOOKUP($D174,Charts!$W$82:$W$112,Charts!$Y$82:$Y$112)*$M174,0)</f>
        <v>354</v>
      </c>
    </row>
    <row r="175" spans="1:14" x14ac:dyDescent="0.25">
      <c r="A175" s="3">
        <f t="shared" si="14"/>
        <v>45831</v>
      </c>
      <c r="B175">
        <f t="shared" si="10"/>
        <v>2025</v>
      </c>
      <c r="C175">
        <f t="shared" si="11"/>
        <v>6</v>
      </c>
      <c r="D175">
        <f t="shared" si="12"/>
        <v>23</v>
      </c>
      <c r="E175" s="2">
        <f t="shared" si="13"/>
        <v>45808</v>
      </c>
      <c r="F175" s="12">
        <f>_xlfn.XLOOKUP($A175,m1_cv!$B:$B,m1_cv!$C:$C)</f>
        <v>3291</v>
      </c>
      <c r="G175">
        <f>MAX(0,ROUND(SUMIFS(m1_cv!$E:$E,m1_cv!$A:$A,$E175,m1_cv!$B:$B,$A175),0))</f>
        <v>2552</v>
      </c>
      <c r="H175">
        <f>MAX(0,ROUND(SUMIFS(m2_cv!$E:$E,m2_cv!$A:$A,$E175,m2_cv!$B:$B,$A175),0))</f>
        <v>2870</v>
      </c>
      <c r="I175">
        <f>MAX(0,ROUND(SUMIFS(m3_cv!$E:$E,m3_cv!$A:$A,$E175,m3_cv!$B:$B,$A175),0))</f>
        <v>3114</v>
      </c>
      <c r="J175">
        <f>MAX(0,ROUND(SUMIFS(m4_cv!$E:$E,m4_cv!$A:$A,$E175,m4_cv!$B:$B,$A175),0))</f>
        <v>3115</v>
      </c>
      <c r="K175">
        <f>MAX(0,ROUND(SUMIFS(m5_cv!$E:$E,m5_cv!$A:$A,$E175,m5_cv!$B:$B,$A175),0))</f>
        <v>3053</v>
      </c>
      <c r="L175">
        <f>MAX(0,ROUND(SUMIFS(m6_cv!$E:$E,m6_cv!$A:$A,$E175,m6_cv!$B:$B,$A175),0))</f>
        <v>2708</v>
      </c>
      <c r="M175">
        <f>MAX(0,ROUND(SUMIFS(m7_cv!$E:$E,m7_cv!$A:$A,$E175,m7_cv!$B:$B,$A175),0))</f>
        <v>2980</v>
      </c>
      <c r="N175">
        <f>ROUND(_xlfn.XLOOKUP($D175,Charts!$W$82:$W$112,Charts!$X$82:$X$112)*$L175+_xlfn.XLOOKUP($D175,Charts!$W$82:$W$112,Charts!$Y$82:$Y$112)*$M175,0)</f>
        <v>2980</v>
      </c>
    </row>
    <row r="176" spans="1:14" x14ac:dyDescent="0.25">
      <c r="A176" s="3">
        <f t="shared" si="14"/>
        <v>45832</v>
      </c>
      <c r="B176">
        <f t="shared" si="10"/>
        <v>2025</v>
      </c>
      <c r="C176">
        <f t="shared" si="11"/>
        <v>6</v>
      </c>
      <c r="D176">
        <f t="shared" si="12"/>
        <v>24</v>
      </c>
      <c r="E176" s="2">
        <f t="shared" si="13"/>
        <v>45808</v>
      </c>
      <c r="F176" s="12">
        <f>_xlfn.XLOOKUP($A176,m1_cv!$B:$B,m1_cv!$C:$C)</f>
        <v>3743</v>
      </c>
      <c r="G176">
        <f>MAX(0,ROUND(SUMIFS(m1_cv!$E:$E,m1_cv!$A:$A,$E176,m1_cv!$B:$B,$A176),0))</f>
        <v>3074</v>
      </c>
      <c r="H176">
        <f>MAX(0,ROUND(SUMIFS(m2_cv!$E:$E,m2_cv!$A:$A,$E176,m2_cv!$B:$B,$A176),0))</f>
        <v>3611</v>
      </c>
      <c r="I176">
        <f>MAX(0,ROUND(SUMIFS(m3_cv!$E:$E,m3_cv!$A:$A,$E176,m3_cv!$B:$B,$A176),0))</f>
        <v>3732</v>
      </c>
      <c r="J176">
        <f>MAX(0,ROUND(SUMIFS(m4_cv!$E:$E,m4_cv!$A:$A,$E176,m4_cv!$B:$B,$A176),0))</f>
        <v>3732</v>
      </c>
      <c r="K176">
        <f>MAX(0,ROUND(SUMIFS(m5_cv!$E:$E,m5_cv!$A:$A,$E176,m5_cv!$B:$B,$A176),0))</f>
        <v>4164</v>
      </c>
      <c r="L176">
        <f>MAX(0,ROUND(SUMIFS(m6_cv!$E:$E,m6_cv!$A:$A,$E176,m6_cv!$B:$B,$A176),0))</f>
        <v>6190</v>
      </c>
      <c r="M176">
        <f>MAX(0,ROUND(SUMIFS(m7_cv!$E:$E,m7_cv!$A:$A,$E176,m7_cv!$B:$B,$A176),0))</f>
        <v>4358</v>
      </c>
      <c r="N176">
        <f>ROUND(_xlfn.XLOOKUP($D176,Charts!$W$82:$W$112,Charts!$X$82:$X$112)*$L176+_xlfn.XLOOKUP($D176,Charts!$W$82:$W$112,Charts!$Y$82:$Y$112)*$M176,0)</f>
        <v>6190</v>
      </c>
    </row>
    <row r="177" spans="1:14" x14ac:dyDescent="0.25">
      <c r="A177" s="3">
        <f t="shared" si="14"/>
        <v>45833</v>
      </c>
      <c r="B177">
        <f t="shared" si="10"/>
        <v>2025</v>
      </c>
      <c r="C177">
        <f t="shared" si="11"/>
        <v>6</v>
      </c>
      <c r="D177">
        <f t="shared" si="12"/>
        <v>25</v>
      </c>
      <c r="E177" s="2">
        <f t="shared" si="13"/>
        <v>45808</v>
      </c>
      <c r="F177" s="12">
        <f>_xlfn.XLOOKUP($A177,m1_cv!$B:$B,m1_cv!$C:$C)</f>
        <v>4576</v>
      </c>
      <c r="G177">
        <f>MAX(0,ROUND(SUMIFS(m1_cv!$E:$E,m1_cv!$A:$A,$E177,m1_cv!$B:$B,$A177),0))</f>
        <v>3076</v>
      </c>
      <c r="H177">
        <f>MAX(0,ROUND(SUMIFS(m2_cv!$E:$E,m2_cv!$A:$A,$E177,m2_cv!$B:$B,$A177),0))</f>
        <v>3627</v>
      </c>
      <c r="I177">
        <f>MAX(0,ROUND(SUMIFS(m3_cv!$E:$E,m3_cv!$A:$A,$E177,m3_cv!$B:$B,$A177),0))</f>
        <v>3894</v>
      </c>
      <c r="J177">
        <f>MAX(0,ROUND(SUMIFS(m4_cv!$E:$E,m4_cv!$A:$A,$E177,m4_cv!$B:$B,$A177),0))</f>
        <v>3894</v>
      </c>
      <c r="K177">
        <f>MAX(0,ROUND(SUMIFS(m5_cv!$E:$E,m5_cv!$A:$A,$E177,m5_cv!$B:$B,$A177),0))</f>
        <v>4138</v>
      </c>
      <c r="L177">
        <f>MAX(0,ROUND(SUMIFS(m6_cv!$E:$E,m6_cv!$A:$A,$E177,m6_cv!$B:$B,$A177),0))</f>
        <v>6131</v>
      </c>
      <c r="M177">
        <f>MAX(0,ROUND(SUMIFS(m7_cv!$E:$E,m7_cv!$A:$A,$E177,m7_cv!$B:$B,$A177),0))</f>
        <v>4276</v>
      </c>
      <c r="N177">
        <f>ROUND(_xlfn.XLOOKUP($D177,Charts!$W$82:$W$112,Charts!$X$82:$X$112)*$L177+_xlfn.XLOOKUP($D177,Charts!$W$82:$W$112,Charts!$Y$82:$Y$112)*$M177,0)</f>
        <v>6131</v>
      </c>
    </row>
    <row r="178" spans="1:14" x14ac:dyDescent="0.25">
      <c r="A178" s="3">
        <f t="shared" si="14"/>
        <v>45834</v>
      </c>
      <c r="B178">
        <f t="shared" si="10"/>
        <v>2025</v>
      </c>
      <c r="C178">
        <f t="shared" si="11"/>
        <v>6</v>
      </c>
      <c r="D178">
        <f t="shared" si="12"/>
        <v>26</v>
      </c>
      <c r="E178" s="2">
        <f t="shared" si="13"/>
        <v>45808</v>
      </c>
      <c r="F178" s="12">
        <f>_xlfn.XLOOKUP($A178,m1_cv!$B:$B,m1_cv!$C:$C)</f>
        <v>6205</v>
      </c>
      <c r="G178">
        <f>MAX(0,ROUND(SUMIFS(m1_cv!$E:$E,m1_cv!$A:$A,$E178,m1_cv!$B:$B,$A178),0))</f>
        <v>3038</v>
      </c>
      <c r="H178">
        <f>MAX(0,ROUND(SUMIFS(m2_cv!$E:$E,m2_cv!$A:$A,$E178,m2_cv!$B:$B,$A178),0))</f>
        <v>3526</v>
      </c>
      <c r="I178">
        <f>MAX(0,ROUND(SUMIFS(m3_cv!$E:$E,m3_cv!$A:$A,$E178,m3_cv!$B:$B,$A178),0))</f>
        <v>3807</v>
      </c>
      <c r="J178">
        <f>MAX(0,ROUND(SUMIFS(m4_cv!$E:$E,m4_cv!$A:$A,$E178,m4_cv!$B:$B,$A178),0))</f>
        <v>3807</v>
      </c>
      <c r="K178">
        <f>MAX(0,ROUND(SUMIFS(m5_cv!$E:$E,m5_cv!$A:$A,$E178,m5_cv!$B:$B,$A178),0))</f>
        <v>4103</v>
      </c>
      <c r="L178">
        <f>MAX(0,ROUND(SUMIFS(m6_cv!$E:$E,m6_cv!$A:$A,$E178,m6_cv!$B:$B,$A178),0))</f>
        <v>6102</v>
      </c>
      <c r="M178">
        <f>MAX(0,ROUND(SUMIFS(m7_cv!$E:$E,m7_cv!$A:$A,$E178,m7_cv!$B:$B,$A178),0))</f>
        <v>4029</v>
      </c>
      <c r="N178">
        <f>ROUND(_xlfn.XLOOKUP($D178,Charts!$W$82:$W$112,Charts!$X$82:$X$112)*$L178+_xlfn.XLOOKUP($D178,Charts!$W$82:$W$112,Charts!$Y$82:$Y$112)*$M178,0)</f>
        <v>6102</v>
      </c>
    </row>
    <row r="179" spans="1:14" x14ac:dyDescent="0.25">
      <c r="A179" s="3">
        <f t="shared" si="14"/>
        <v>45835</v>
      </c>
      <c r="B179">
        <f t="shared" si="10"/>
        <v>2025</v>
      </c>
      <c r="C179">
        <f t="shared" si="11"/>
        <v>6</v>
      </c>
      <c r="D179">
        <f t="shared" si="12"/>
        <v>27</v>
      </c>
      <c r="E179" s="2">
        <f t="shared" si="13"/>
        <v>45808</v>
      </c>
      <c r="F179" s="12">
        <f>_xlfn.XLOOKUP($A179,m1_cv!$B:$B,m1_cv!$C:$C)</f>
        <v>814</v>
      </c>
      <c r="G179">
        <f>MAX(0,ROUND(SUMIFS(m1_cv!$E:$E,m1_cv!$A:$A,$E179,m1_cv!$B:$B,$A179),0))</f>
        <v>3029</v>
      </c>
      <c r="H179">
        <f>MAX(0,ROUND(SUMIFS(m2_cv!$E:$E,m2_cv!$A:$A,$E179,m2_cv!$B:$B,$A179),0))</f>
        <v>3750</v>
      </c>
      <c r="I179">
        <f>MAX(0,ROUND(SUMIFS(m3_cv!$E:$E,m3_cv!$A:$A,$E179,m3_cv!$B:$B,$A179),0))</f>
        <v>2255</v>
      </c>
      <c r="J179">
        <f>MAX(0,ROUND(SUMIFS(m4_cv!$E:$E,m4_cv!$A:$A,$E179,m4_cv!$B:$B,$A179),0))</f>
        <v>2257</v>
      </c>
      <c r="K179">
        <f>MAX(0,ROUND(SUMIFS(m5_cv!$E:$E,m5_cv!$A:$A,$E179,m5_cv!$B:$B,$A179),0))</f>
        <v>2699</v>
      </c>
      <c r="L179">
        <f>MAX(0,ROUND(SUMIFS(m6_cv!$E:$E,m6_cv!$A:$A,$E179,m6_cv!$B:$B,$A179),0))</f>
        <v>668</v>
      </c>
      <c r="M179">
        <f>MAX(0,ROUND(SUMIFS(m7_cv!$E:$E,m7_cv!$A:$A,$E179,m7_cv!$B:$B,$A179),0))</f>
        <v>2623</v>
      </c>
      <c r="N179">
        <f>ROUND(_xlfn.XLOOKUP($D179,Charts!$W$82:$W$112,Charts!$X$82:$X$112)*$L179+_xlfn.XLOOKUP($D179,Charts!$W$82:$W$112,Charts!$Y$82:$Y$112)*$M179,0)</f>
        <v>668</v>
      </c>
    </row>
    <row r="180" spans="1:14" x14ac:dyDescent="0.25">
      <c r="A180" s="3">
        <f t="shared" si="14"/>
        <v>45836</v>
      </c>
      <c r="B180">
        <f t="shared" si="10"/>
        <v>2025</v>
      </c>
      <c r="C180">
        <f t="shared" si="11"/>
        <v>6</v>
      </c>
      <c r="D180">
        <f t="shared" si="12"/>
        <v>28</v>
      </c>
      <c r="E180" s="2">
        <f t="shared" si="13"/>
        <v>45808</v>
      </c>
      <c r="F180" s="12">
        <f>_xlfn.XLOOKUP($A180,m1_cv!$B:$B,m1_cv!$C:$C)</f>
        <v>2326</v>
      </c>
      <c r="G180">
        <f>MAX(0,ROUND(SUMIFS(m1_cv!$E:$E,m1_cv!$A:$A,$E180,m1_cv!$B:$B,$A180),0))</f>
        <v>742</v>
      </c>
      <c r="H180">
        <f>MAX(0,ROUND(SUMIFS(m2_cv!$E:$E,m2_cv!$A:$A,$E180,m2_cv!$B:$B,$A180),0))</f>
        <v>2242</v>
      </c>
      <c r="I180">
        <f>MAX(0,ROUND(SUMIFS(m3_cv!$E:$E,m3_cv!$A:$A,$E180,m3_cv!$B:$B,$A180),0))</f>
        <v>2362</v>
      </c>
      <c r="J180">
        <f>MAX(0,ROUND(SUMIFS(m4_cv!$E:$E,m4_cv!$A:$A,$E180,m4_cv!$B:$B,$A180),0))</f>
        <v>2362</v>
      </c>
      <c r="K180">
        <f>MAX(0,ROUND(SUMIFS(m5_cv!$E:$E,m5_cv!$A:$A,$E180,m5_cv!$B:$B,$A180),0))</f>
        <v>2443</v>
      </c>
      <c r="L180">
        <f>MAX(0,ROUND(SUMIFS(m6_cv!$E:$E,m6_cv!$A:$A,$E180,m6_cv!$B:$B,$A180),0))</f>
        <v>983</v>
      </c>
      <c r="M180">
        <f>MAX(0,ROUND(SUMIFS(m7_cv!$E:$E,m7_cv!$A:$A,$E180,m7_cv!$B:$B,$A180),0))</f>
        <v>2468</v>
      </c>
      <c r="N180">
        <f>ROUND(_xlfn.XLOOKUP($D180,Charts!$W$82:$W$112,Charts!$X$82:$X$112)*$L180+_xlfn.XLOOKUP($D180,Charts!$W$82:$W$112,Charts!$Y$82:$Y$112)*$M180,0)</f>
        <v>983</v>
      </c>
    </row>
    <row r="181" spans="1:14" x14ac:dyDescent="0.25">
      <c r="A181" s="3">
        <f t="shared" si="14"/>
        <v>45837</v>
      </c>
      <c r="B181">
        <f t="shared" si="10"/>
        <v>2025</v>
      </c>
      <c r="C181">
        <f t="shared" si="11"/>
        <v>6</v>
      </c>
      <c r="D181">
        <f t="shared" si="12"/>
        <v>29</v>
      </c>
      <c r="E181" s="2">
        <f t="shared" si="13"/>
        <v>45808</v>
      </c>
      <c r="F181" s="12">
        <f>_xlfn.XLOOKUP($A181,m1_cv!$B:$B,m1_cv!$C:$C)</f>
        <v>427</v>
      </c>
      <c r="G181">
        <f>MAX(0,ROUND(SUMIFS(m1_cv!$E:$E,m1_cv!$A:$A,$E181,m1_cv!$B:$B,$A181),0))</f>
        <v>178</v>
      </c>
      <c r="H181">
        <f>MAX(0,ROUND(SUMIFS(m2_cv!$E:$E,m2_cv!$A:$A,$E181,m2_cv!$B:$B,$A181),0))</f>
        <v>2824</v>
      </c>
      <c r="I181">
        <f>MAX(0,ROUND(SUMIFS(m3_cv!$E:$E,m3_cv!$A:$A,$E181,m3_cv!$B:$B,$A181),0))</f>
        <v>2963</v>
      </c>
      <c r="J181">
        <f>MAX(0,ROUND(SUMIFS(m4_cv!$E:$E,m4_cv!$A:$A,$E181,m4_cv!$B:$B,$A181),0))</f>
        <v>2963</v>
      </c>
      <c r="K181">
        <f>MAX(0,ROUND(SUMIFS(m5_cv!$E:$E,m5_cv!$A:$A,$E181,m5_cv!$B:$B,$A181),0))</f>
        <v>4642</v>
      </c>
      <c r="L181">
        <f>MAX(0,ROUND(SUMIFS(m6_cv!$E:$E,m6_cv!$A:$A,$E181,m6_cv!$B:$B,$A181),0))</f>
        <v>751</v>
      </c>
      <c r="M181">
        <f>MAX(0,ROUND(SUMIFS(m7_cv!$E:$E,m7_cv!$A:$A,$E181,m7_cv!$B:$B,$A181),0))</f>
        <v>4673</v>
      </c>
      <c r="N181">
        <f>ROUND(_xlfn.XLOOKUP($D181,Charts!$W$82:$W$112,Charts!$X$82:$X$112)*$L181+_xlfn.XLOOKUP($D181,Charts!$W$82:$W$112,Charts!$Y$82:$Y$112)*$M181,0)</f>
        <v>4673</v>
      </c>
    </row>
    <row r="182" spans="1:14" x14ac:dyDescent="0.25">
      <c r="A182" s="3">
        <f t="shared" si="14"/>
        <v>45838</v>
      </c>
      <c r="B182">
        <f t="shared" si="10"/>
        <v>2025</v>
      </c>
      <c r="C182">
        <f t="shared" si="11"/>
        <v>6</v>
      </c>
      <c r="D182">
        <f t="shared" si="12"/>
        <v>30</v>
      </c>
      <c r="E182" s="2">
        <f t="shared" si="13"/>
        <v>45808</v>
      </c>
      <c r="F182" s="12">
        <f>_xlfn.XLOOKUP($A182,m1_cv!$B:$B,m1_cv!$C:$C)</f>
        <v>13624</v>
      </c>
      <c r="G182">
        <f>MAX(0,ROUND(SUMIFS(m1_cv!$E:$E,m1_cv!$A:$A,$E182,m1_cv!$B:$B,$A182),0))</f>
        <v>2437</v>
      </c>
      <c r="H182">
        <f>MAX(0,ROUND(SUMIFS(m2_cv!$E:$E,m2_cv!$A:$A,$E182,m2_cv!$B:$B,$A182),0))</f>
        <v>5915</v>
      </c>
      <c r="I182">
        <f>MAX(0,ROUND(SUMIFS(m3_cv!$E:$E,m3_cv!$A:$A,$E182,m3_cv!$B:$B,$A182),0))</f>
        <v>6355</v>
      </c>
      <c r="J182">
        <f>MAX(0,ROUND(SUMIFS(m4_cv!$E:$E,m4_cv!$A:$A,$E182,m4_cv!$B:$B,$A182),0))</f>
        <v>6355</v>
      </c>
      <c r="K182">
        <f>MAX(0,ROUND(SUMIFS(m5_cv!$E:$E,m5_cv!$A:$A,$E182,m5_cv!$B:$B,$A182),0))</f>
        <v>9434</v>
      </c>
      <c r="L182">
        <f>MAX(0,ROUND(SUMIFS(m6_cv!$E:$E,m6_cv!$A:$A,$E182,m6_cv!$B:$B,$A182),0))</f>
        <v>15042</v>
      </c>
      <c r="M182">
        <f>MAX(0,ROUND(SUMIFS(m7_cv!$E:$E,m7_cv!$A:$A,$E182,m7_cv!$B:$B,$A182),0))</f>
        <v>9645</v>
      </c>
      <c r="N182">
        <f>ROUND(_xlfn.XLOOKUP($D182,Charts!$W$82:$W$112,Charts!$X$82:$X$112)*$L182+_xlfn.XLOOKUP($D182,Charts!$W$82:$W$112,Charts!$Y$82:$Y$112)*$M182,0)</f>
        <v>9645</v>
      </c>
    </row>
    <row r="183" spans="1:14" x14ac:dyDescent="0.25">
      <c r="A183" s="3">
        <f t="shared" si="14"/>
        <v>45839</v>
      </c>
      <c r="B183">
        <f t="shared" si="10"/>
        <v>2025</v>
      </c>
      <c r="C183">
        <f t="shared" si="11"/>
        <v>7</v>
      </c>
      <c r="D183">
        <f t="shared" si="12"/>
        <v>1</v>
      </c>
      <c r="E183" s="2">
        <f t="shared" si="13"/>
        <v>45838</v>
      </c>
      <c r="F183" s="12">
        <f>_xlfn.XLOOKUP($A183,m1_cv!$B:$B,m1_cv!$C:$C)</f>
        <v>624</v>
      </c>
      <c r="G183">
        <f>MAX(0,ROUND(SUMIFS(m1_cv!$E:$E,m1_cv!$A:$A,$E183,m1_cv!$B:$B,$A183),0))</f>
        <v>3245</v>
      </c>
      <c r="H183">
        <f>MAX(0,ROUND(SUMIFS(m2_cv!$E:$E,m2_cv!$A:$A,$E183,m2_cv!$B:$B,$A183),0))</f>
        <v>6393</v>
      </c>
      <c r="I183">
        <f>MAX(0,ROUND(SUMIFS(m3_cv!$E:$E,m3_cv!$A:$A,$E183,m3_cv!$B:$B,$A183),0))</f>
        <v>6698</v>
      </c>
      <c r="J183">
        <f>MAX(0,ROUND(SUMIFS(m4_cv!$E:$E,m4_cv!$A:$A,$E183,m4_cv!$B:$B,$A183),0))</f>
        <v>6690</v>
      </c>
      <c r="K183">
        <f>MAX(0,ROUND(SUMIFS(m5_cv!$E:$E,m5_cv!$A:$A,$E183,m5_cv!$B:$B,$A183),0))</f>
        <v>3080</v>
      </c>
      <c r="L183">
        <f>MAX(0,ROUND(SUMIFS(m6_cv!$E:$E,m6_cv!$A:$A,$E183,m6_cv!$B:$B,$A183),0))</f>
        <v>1299</v>
      </c>
      <c r="M183">
        <f>MAX(0,ROUND(SUMIFS(m7_cv!$E:$E,m7_cv!$A:$A,$E183,m7_cv!$B:$B,$A183),0))</f>
        <v>3243</v>
      </c>
      <c r="N183">
        <f>ROUND(_xlfn.XLOOKUP($D183,Charts!$W$82:$W$112,Charts!$X$82:$X$112)*$L183+_xlfn.XLOOKUP($D183,Charts!$W$82:$W$112,Charts!$Y$82:$Y$112)*$M183,0)</f>
        <v>1299</v>
      </c>
    </row>
    <row r="184" spans="1:14" x14ac:dyDescent="0.25">
      <c r="A184" s="3">
        <f t="shared" si="14"/>
        <v>45840</v>
      </c>
      <c r="B184">
        <f t="shared" si="10"/>
        <v>2025</v>
      </c>
      <c r="C184">
        <f t="shared" si="11"/>
        <v>7</v>
      </c>
      <c r="D184">
        <f t="shared" si="12"/>
        <v>2</v>
      </c>
      <c r="E184" s="2">
        <f t="shared" si="13"/>
        <v>45838</v>
      </c>
      <c r="F184" s="12">
        <f>_xlfn.XLOOKUP($A184,m1_cv!$B:$B,m1_cv!$C:$C)</f>
        <v>733</v>
      </c>
      <c r="G184">
        <f>MAX(0,ROUND(SUMIFS(m1_cv!$E:$E,m1_cv!$A:$A,$E184,m1_cv!$B:$B,$A184),0))</f>
        <v>3287</v>
      </c>
      <c r="H184">
        <f>MAX(0,ROUND(SUMIFS(m2_cv!$E:$E,m2_cv!$A:$A,$E184,m2_cv!$B:$B,$A184),0))</f>
        <v>5172</v>
      </c>
      <c r="I184">
        <f>MAX(0,ROUND(SUMIFS(m3_cv!$E:$E,m3_cv!$A:$A,$E184,m3_cv!$B:$B,$A184),0))</f>
        <v>5582</v>
      </c>
      <c r="J184">
        <f>MAX(0,ROUND(SUMIFS(m4_cv!$E:$E,m4_cv!$A:$A,$E184,m4_cv!$B:$B,$A184),0))</f>
        <v>5575</v>
      </c>
      <c r="K184">
        <f>MAX(0,ROUND(SUMIFS(m5_cv!$E:$E,m5_cv!$A:$A,$E184,m5_cv!$B:$B,$A184),0))</f>
        <v>2423</v>
      </c>
      <c r="L184">
        <f>MAX(0,ROUND(SUMIFS(m6_cv!$E:$E,m6_cv!$A:$A,$E184,m6_cv!$B:$B,$A184),0))</f>
        <v>818</v>
      </c>
      <c r="M184">
        <f>MAX(0,ROUND(SUMIFS(m7_cv!$E:$E,m7_cv!$A:$A,$E184,m7_cv!$B:$B,$A184),0))</f>
        <v>2093</v>
      </c>
      <c r="N184">
        <f>ROUND(_xlfn.XLOOKUP($D184,Charts!$W$82:$W$112,Charts!$X$82:$X$112)*$L184+_xlfn.XLOOKUP($D184,Charts!$W$82:$W$112,Charts!$Y$82:$Y$112)*$M184,0)</f>
        <v>818</v>
      </c>
    </row>
    <row r="185" spans="1:14" x14ac:dyDescent="0.25">
      <c r="A185" s="3">
        <f t="shared" si="14"/>
        <v>45841</v>
      </c>
      <c r="B185">
        <f t="shared" si="10"/>
        <v>2025</v>
      </c>
      <c r="C185">
        <f t="shared" si="11"/>
        <v>7</v>
      </c>
      <c r="D185">
        <f t="shared" si="12"/>
        <v>3</v>
      </c>
      <c r="E185" s="2">
        <f t="shared" si="13"/>
        <v>45838</v>
      </c>
      <c r="F185" s="12">
        <f>_xlfn.XLOOKUP($A185,m1_cv!$B:$B,m1_cv!$C:$C)</f>
        <v>1036</v>
      </c>
      <c r="G185">
        <f>MAX(0,ROUND(SUMIFS(m1_cv!$E:$E,m1_cv!$A:$A,$E185,m1_cv!$B:$B,$A185),0))</f>
        <v>3285</v>
      </c>
      <c r="H185">
        <f>MAX(0,ROUND(SUMIFS(m2_cv!$E:$E,m2_cv!$A:$A,$E185,m2_cv!$B:$B,$A185),0))</f>
        <v>3329</v>
      </c>
      <c r="I185">
        <f>MAX(0,ROUND(SUMIFS(m3_cv!$E:$E,m3_cv!$A:$A,$E185,m3_cv!$B:$B,$A185),0))</f>
        <v>3718</v>
      </c>
      <c r="J185">
        <f>MAX(0,ROUND(SUMIFS(m4_cv!$E:$E,m4_cv!$A:$A,$E185,m4_cv!$B:$B,$A185),0))</f>
        <v>3709</v>
      </c>
      <c r="K185">
        <f>MAX(0,ROUND(SUMIFS(m5_cv!$E:$E,m5_cv!$A:$A,$E185,m5_cv!$B:$B,$A185),0))</f>
        <v>1807</v>
      </c>
      <c r="L185">
        <f>MAX(0,ROUND(SUMIFS(m6_cv!$E:$E,m6_cv!$A:$A,$E185,m6_cv!$B:$B,$A185),0))</f>
        <v>1098</v>
      </c>
      <c r="M185">
        <f>MAX(0,ROUND(SUMIFS(m7_cv!$E:$E,m7_cv!$A:$A,$E185,m7_cv!$B:$B,$A185),0))</f>
        <v>1590</v>
      </c>
      <c r="N185">
        <f>ROUND(_xlfn.XLOOKUP($D185,Charts!$W$82:$W$112,Charts!$X$82:$X$112)*$L185+_xlfn.XLOOKUP($D185,Charts!$W$82:$W$112,Charts!$Y$82:$Y$112)*$M185,0)</f>
        <v>1098</v>
      </c>
    </row>
    <row r="186" spans="1:14" x14ac:dyDescent="0.25">
      <c r="A186" s="3">
        <f t="shared" si="14"/>
        <v>45842</v>
      </c>
      <c r="B186">
        <f t="shared" si="10"/>
        <v>2025</v>
      </c>
      <c r="C186">
        <f t="shared" si="11"/>
        <v>7</v>
      </c>
      <c r="D186">
        <f t="shared" si="12"/>
        <v>4</v>
      </c>
      <c r="E186" s="2">
        <f t="shared" si="13"/>
        <v>45838</v>
      </c>
      <c r="F186" s="12">
        <f>_xlfn.XLOOKUP($A186,m1_cv!$B:$B,m1_cv!$C:$C)</f>
        <v>1189</v>
      </c>
      <c r="G186">
        <f>MAX(0,ROUND(SUMIFS(m1_cv!$E:$E,m1_cv!$A:$A,$E186,m1_cv!$B:$B,$A186),0))</f>
        <v>3266</v>
      </c>
      <c r="H186">
        <f>MAX(0,ROUND(SUMIFS(m2_cv!$E:$E,m2_cv!$A:$A,$E186,m2_cv!$B:$B,$A186),0))</f>
        <v>1725</v>
      </c>
      <c r="I186">
        <f>MAX(0,ROUND(SUMIFS(m3_cv!$E:$E,m3_cv!$A:$A,$E186,m3_cv!$B:$B,$A186),0))</f>
        <v>2020</v>
      </c>
      <c r="J186">
        <f>MAX(0,ROUND(SUMIFS(m4_cv!$E:$E,m4_cv!$A:$A,$E186,m4_cv!$B:$B,$A186),0))</f>
        <v>2010</v>
      </c>
      <c r="K186">
        <f>MAX(0,ROUND(SUMIFS(m5_cv!$E:$E,m5_cv!$A:$A,$E186,m5_cv!$B:$B,$A186),0))</f>
        <v>1363</v>
      </c>
      <c r="L186">
        <f>MAX(0,ROUND(SUMIFS(m6_cv!$E:$E,m6_cv!$A:$A,$E186,m6_cv!$B:$B,$A186),0))</f>
        <v>855</v>
      </c>
      <c r="M186">
        <f>MAX(0,ROUND(SUMIFS(m7_cv!$E:$E,m7_cv!$A:$A,$E186,m7_cv!$B:$B,$A186),0))</f>
        <v>1504</v>
      </c>
      <c r="N186">
        <f>ROUND(_xlfn.XLOOKUP($D186,Charts!$W$82:$W$112,Charts!$X$82:$X$112)*$L186+_xlfn.XLOOKUP($D186,Charts!$W$82:$W$112,Charts!$Y$82:$Y$112)*$M186,0)</f>
        <v>855</v>
      </c>
    </row>
    <row r="187" spans="1:14" x14ac:dyDescent="0.25">
      <c r="A187" s="3">
        <f t="shared" si="14"/>
        <v>45843</v>
      </c>
      <c r="B187">
        <f t="shared" si="10"/>
        <v>2025</v>
      </c>
      <c r="C187">
        <f t="shared" si="11"/>
        <v>7</v>
      </c>
      <c r="D187">
        <f t="shared" si="12"/>
        <v>5</v>
      </c>
      <c r="E187" s="2">
        <f t="shared" si="13"/>
        <v>45838</v>
      </c>
      <c r="F187" s="12">
        <f>_xlfn.XLOOKUP($A187,m1_cv!$B:$B,m1_cv!$C:$C)</f>
        <v>170</v>
      </c>
      <c r="G187">
        <f>MAX(0,ROUND(SUMIFS(m1_cv!$E:$E,m1_cv!$A:$A,$E187,m1_cv!$B:$B,$A187),0))</f>
        <v>1019</v>
      </c>
      <c r="H187">
        <f>MAX(0,ROUND(SUMIFS(m2_cv!$E:$E,m2_cv!$A:$A,$E187,m2_cv!$B:$B,$A187),0))</f>
        <v>0</v>
      </c>
      <c r="I187">
        <f>MAX(0,ROUND(SUMIFS(m3_cv!$E:$E,m3_cv!$A:$A,$E187,m3_cv!$B:$B,$A187),0))</f>
        <v>0</v>
      </c>
      <c r="J187">
        <f>MAX(0,ROUND(SUMIFS(m4_cv!$E:$E,m4_cv!$A:$A,$E187,m4_cv!$B:$B,$A187),0))</f>
        <v>0</v>
      </c>
      <c r="K187">
        <f>MAX(0,ROUND(SUMIFS(m5_cv!$E:$E,m5_cv!$A:$A,$E187,m5_cv!$B:$B,$A187),0))</f>
        <v>0</v>
      </c>
      <c r="L187">
        <f>MAX(0,ROUND(SUMIFS(m6_cv!$E:$E,m6_cv!$A:$A,$E187,m6_cv!$B:$B,$A187),0))</f>
        <v>131</v>
      </c>
      <c r="M187">
        <f>MAX(0,ROUND(SUMIFS(m7_cv!$E:$E,m7_cv!$A:$A,$E187,m7_cv!$B:$B,$A187),0))</f>
        <v>0</v>
      </c>
      <c r="N187">
        <f>ROUND(_xlfn.XLOOKUP($D187,Charts!$W$82:$W$112,Charts!$X$82:$X$112)*$L187+_xlfn.XLOOKUP($D187,Charts!$W$82:$W$112,Charts!$Y$82:$Y$112)*$M187,0)</f>
        <v>105</v>
      </c>
    </row>
    <row r="188" spans="1:14" x14ac:dyDescent="0.25">
      <c r="A188" s="3">
        <f t="shared" si="14"/>
        <v>45844</v>
      </c>
      <c r="B188">
        <f t="shared" si="10"/>
        <v>2025</v>
      </c>
      <c r="C188">
        <f t="shared" si="11"/>
        <v>7</v>
      </c>
      <c r="D188">
        <f t="shared" si="12"/>
        <v>6</v>
      </c>
      <c r="E188" s="2">
        <f t="shared" si="13"/>
        <v>45838</v>
      </c>
      <c r="F188" s="12">
        <f>_xlfn.XLOOKUP($A188,m1_cv!$B:$B,m1_cv!$C:$C)</f>
        <v>30</v>
      </c>
      <c r="G188">
        <f>MAX(0,ROUND(SUMIFS(m1_cv!$E:$E,m1_cv!$A:$A,$E188,m1_cv!$B:$B,$A188),0))</f>
        <v>455</v>
      </c>
      <c r="H188">
        <f>MAX(0,ROUND(SUMIFS(m2_cv!$E:$E,m2_cv!$A:$A,$E188,m2_cv!$B:$B,$A188),0))</f>
        <v>0</v>
      </c>
      <c r="I188">
        <f>MAX(0,ROUND(SUMIFS(m3_cv!$E:$E,m3_cv!$A:$A,$E188,m3_cv!$B:$B,$A188),0))</f>
        <v>0</v>
      </c>
      <c r="J188">
        <f>MAX(0,ROUND(SUMIFS(m4_cv!$E:$E,m4_cv!$A:$A,$E188,m4_cv!$B:$B,$A188),0))</f>
        <v>0</v>
      </c>
      <c r="K188">
        <f>MAX(0,ROUND(SUMIFS(m5_cv!$E:$E,m5_cv!$A:$A,$E188,m5_cv!$B:$B,$A188),0))</f>
        <v>0</v>
      </c>
      <c r="L188">
        <f>MAX(0,ROUND(SUMIFS(m6_cv!$E:$E,m6_cv!$A:$A,$E188,m6_cv!$B:$B,$A188),0))</f>
        <v>50</v>
      </c>
      <c r="M188">
        <f>MAX(0,ROUND(SUMIFS(m7_cv!$E:$E,m7_cv!$A:$A,$E188,m7_cv!$B:$B,$A188),0))</f>
        <v>0</v>
      </c>
      <c r="N188">
        <f>ROUND(_xlfn.XLOOKUP($D188,Charts!$W$82:$W$112,Charts!$X$82:$X$112)*$L188+_xlfn.XLOOKUP($D188,Charts!$W$82:$W$112,Charts!$Y$82:$Y$112)*$M188,0)</f>
        <v>25</v>
      </c>
    </row>
    <row r="189" spans="1:14" x14ac:dyDescent="0.25">
      <c r="A189" s="3">
        <f t="shared" si="14"/>
        <v>45845</v>
      </c>
      <c r="B189">
        <f t="shared" si="10"/>
        <v>2025</v>
      </c>
      <c r="C189">
        <f t="shared" si="11"/>
        <v>7</v>
      </c>
      <c r="D189">
        <f t="shared" si="12"/>
        <v>7</v>
      </c>
      <c r="E189" s="2">
        <f t="shared" si="13"/>
        <v>45838</v>
      </c>
      <c r="F189" s="12">
        <f>_xlfn.XLOOKUP($A189,m1_cv!$B:$B,m1_cv!$C:$C)</f>
        <v>1218</v>
      </c>
      <c r="G189">
        <f>MAX(0,ROUND(SUMIFS(m1_cv!$E:$E,m1_cv!$A:$A,$E189,m1_cv!$B:$B,$A189),0))</f>
        <v>2754</v>
      </c>
      <c r="H189">
        <f>MAX(0,ROUND(SUMIFS(m2_cv!$E:$E,m2_cv!$A:$A,$E189,m2_cv!$B:$B,$A189),0))</f>
        <v>1048</v>
      </c>
      <c r="I189">
        <f>MAX(0,ROUND(SUMIFS(m3_cv!$E:$E,m3_cv!$A:$A,$E189,m3_cv!$B:$B,$A189),0))</f>
        <v>1516</v>
      </c>
      <c r="J189">
        <f>MAX(0,ROUND(SUMIFS(m4_cv!$E:$E,m4_cv!$A:$A,$E189,m4_cv!$B:$B,$A189),0))</f>
        <v>1505</v>
      </c>
      <c r="K189">
        <f>MAX(0,ROUND(SUMIFS(m5_cv!$E:$E,m5_cv!$A:$A,$E189,m5_cv!$B:$B,$A189),0))</f>
        <v>1382</v>
      </c>
      <c r="L189">
        <f>MAX(0,ROUND(SUMIFS(m6_cv!$E:$E,m6_cv!$A:$A,$E189,m6_cv!$B:$B,$A189),0))</f>
        <v>681</v>
      </c>
      <c r="M189">
        <f>MAX(0,ROUND(SUMIFS(m7_cv!$E:$E,m7_cv!$A:$A,$E189,m7_cv!$B:$B,$A189),0))</f>
        <v>1292</v>
      </c>
      <c r="N189">
        <f>ROUND(_xlfn.XLOOKUP($D189,Charts!$W$82:$W$112,Charts!$X$82:$X$112)*$L189+_xlfn.XLOOKUP($D189,Charts!$W$82:$W$112,Charts!$Y$82:$Y$112)*$M189,0)</f>
        <v>987</v>
      </c>
    </row>
    <row r="190" spans="1:14" x14ac:dyDescent="0.25">
      <c r="A190" s="3">
        <f t="shared" si="14"/>
        <v>45846</v>
      </c>
      <c r="B190">
        <f t="shared" si="10"/>
        <v>2025</v>
      </c>
      <c r="C190">
        <f t="shared" si="11"/>
        <v>7</v>
      </c>
      <c r="D190">
        <f t="shared" si="12"/>
        <v>8</v>
      </c>
      <c r="E190" s="2">
        <f t="shared" si="13"/>
        <v>45838</v>
      </c>
      <c r="F190" s="12">
        <f>_xlfn.XLOOKUP($A190,m1_cv!$B:$B,m1_cv!$C:$C)</f>
        <v>1543</v>
      </c>
      <c r="G190">
        <f>MAX(0,ROUND(SUMIFS(m1_cv!$E:$E,m1_cv!$A:$A,$E190,m1_cv!$B:$B,$A190),0))</f>
        <v>3235</v>
      </c>
      <c r="H190">
        <f>MAX(0,ROUND(SUMIFS(m2_cv!$E:$E,m2_cv!$A:$A,$E190,m2_cv!$B:$B,$A190),0))</f>
        <v>1821</v>
      </c>
      <c r="I190">
        <f>MAX(0,ROUND(SUMIFS(m3_cv!$E:$E,m3_cv!$A:$A,$E190,m3_cv!$B:$B,$A190),0))</f>
        <v>2036</v>
      </c>
      <c r="J190">
        <f>MAX(0,ROUND(SUMIFS(m4_cv!$E:$E,m4_cv!$A:$A,$E190,m4_cv!$B:$B,$A190),0))</f>
        <v>2027</v>
      </c>
      <c r="K190">
        <f>MAX(0,ROUND(SUMIFS(m5_cv!$E:$E,m5_cv!$A:$A,$E190,m5_cv!$B:$B,$A190),0))</f>
        <v>2333</v>
      </c>
      <c r="L190">
        <f>MAX(0,ROUND(SUMIFS(m6_cv!$E:$E,m6_cv!$A:$A,$E190,m6_cv!$B:$B,$A190),0))</f>
        <v>1690</v>
      </c>
      <c r="M190">
        <f>MAX(0,ROUND(SUMIFS(m7_cv!$E:$E,m7_cv!$A:$A,$E190,m7_cv!$B:$B,$A190),0))</f>
        <v>2344</v>
      </c>
      <c r="N190">
        <f>ROUND(_xlfn.XLOOKUP($D190,Charts!$W$82:$W$112,Charts!$X$82:$X$112)*$L190+_xlfn.XLOOKUP($D190,Charts!$W$82:$W$112,Charts!$Y$82:$Y$112)*$M190,0)</f>
        <v>2017</v>
      </c>
    </row>
    <row r="191" spans="1:14" x14ac:dyDescent="0.25">
      <c r="A191" s="3">
        <f t="shared" si="14"/>
        <v>45847</v>
      </c>
      <c r="B191">
        <f t="shared" si="10"/>
        <v>2025</v>
      </c>
      <c r="C191">
        <f t="shared" si="11"/>
        <v>7</v>
      </c>
      <c r="D191">
        <f t="shared" si="12"/>
        <v>9</v>
      </c>
      <c r="E191" s="2">
        <f t="shared" si="13"/>
        <v>45838</v>
      </c>
      <c r="F191" s="12">
        <f>_xlfn.XLOOKUP($A191,m1_cv!$B:$B,m1_cv!$C:$C)</f>
        <v>2120</v>
      </c>
      <c r="G191">
        <f>MAX(0,ROUND(SUMIFS(m1_cv!$E:$E,m1_cv!$A:$A,$E191,m1_cv!$B:$B,$A191),0))</f>
        <v>3265</v>
      </c>
      <c r="H191">
        <f>MAX(0,ROUND(SUMIFS(m2_cv!$E:$E,m2_cv!$A:$A,$E191,m2_cv!$B:$B,$A191),0))</f>
        <v>1844</v>
      </c>
      <c r="I191">
        <f>MAX(0,ROUND(SUMIFS(m3_cv!$E:$E,m3_cv!$A:$A,$E191,m3_cv!$B:$B,$A191),0))</f>
        <v>2053</v>
      </c>
      <c r="J191">
        <f>MAX(0,ROUND(SUMIFS(m4_cv!$E:$E,m4_cv!$A:$A,$E191,m4_cv!$B:$B,$A191),0))</f>
        <v>2044</v>
      </c>
      <c r="K191">
        <f>MAX(0,ROUND(SUMIFS(m5_cv!$E:$E,m5_cv!$A:$A,$E191,m5_cv!$B:$B,$A191),0))</f>
        <v>2199</v>
      </c>
      <c r="L191">
        <f>MAX(0,ROUND(SUMIFS(m6_cv!$E:$E,m6_cv!$A:$A,$E191,m6_cv!$B:$B,$A191),0))</f>
        <v>1713</v>
      </c>
      <c r="M191">
        <f>MAX(0,ROUND(SUMIFS(m7_cv!$E:$E,m7_cv!$A:$A,$E191,m7_cv!$B:$B,$A191),0))</f>
        <v>2260</v>
      </c>
      <c r="N191">
        <f>ROUND(_xlfn.XLOOKUP($D191,Charts!$W$82:$W$112,Charts!$X$82:$X$112)*$L191+_xlfn.XLOOKUP($D191,Charts!$W$82:$W$112,Charts!$Y$82:$Y$112)*$M191,0)</f>
        <v>1987</v>
      </c>
    </row>
    <row r="192" spans="1:14" x14ac:dyDescent="0.25">
      <c r="A192" s="3">
        <f t="shared" si="14"/>
        <v>45848</v>
      </c>
      <c r="B192">
        <f t="shared" si="10"/>
        <v>2025</v>
      </c>
      <c r="C192">
        <f t="shared" si="11"/>
        <v>7</v>
      </c>
      <c r="D192">
        <f t="shared" si="12"/>
        <v>10</v>
      </c>
      <c r="E192" s="2">
        <f t="shared" si="13"/>
        <v>45838</v>
      </c>
      <c r="F192" s="12">
        <f>_xlfn.XLOOKUP($A192,m1_cv!$B:$B,m1_cv!$C:$C)</f>
        <v>2298</v>
      </c>
      <c r="G192">
        <f>MAX(0,ROUND(SUMIFS(m1_cv!$E:$E,m1_cv!$A:$A,$E192,m1_cv!$B:$B,$A192),0))</f>
        <v>3252</v>
      </c>
      <c r="H192">
        <f>MAX(0,ROUND(SUMIFS(m2_cv!$E:$E,m2_cv!$A:$A,$E192,m2_cv!$B:$B,$A192),0))</f>
        <v>1719</v>
      </c>
      <c r="I192">
        <f>MAX(0,ROUND(SUMIFS(m3_cv!$E:$E,m3_cv!$A:$A,$E192,m3_cv!$B:$B,$A192),0))</f>
        <v>1881</v>
      </c>
      <c r="J192">
        <f>MAX(0,ROUND(SUMIFS(m4_cv!$E:$E,m4_cv!$A:$A,$E192,m4_cv!$B:$B,$A192),0))</f>
        <v>1870</v>
      </c>
      <c r="K192">
        <f>MAX(0,ROUND(SUMIFS(m5_cv!$E:$E,m5_cv!$A:$A,$E192,m5_cv!$B:$B,$A192),0))</f>
        <v>2047</v>
      </c>
      <c r="L192">
        <f>MAX(0,ROUND(SUMIFS(m6_cv!$E:$E,m6_cv!$A:$A,$E192,m6_cv!$B:$B,$A192),0))</f>
        <v>1677</v>
      </c>
      <c r="M192">
        <f>MAX(0,ROUND(SUMIFS(m7_cv!$E:$E,m7_cv!$A:$A,$E192,m7_cv!$B:$B,$A192),0))</f>
        <v>2088</v>
      </c>
      <c r="N192">
        <f>ROUND(_xlfn.XLOOKUP($D192,Charts!$W$82:$W$112,Charts!$X$82:$X$112)*$L192+_xlfn.XLOOKUP($D192,Charts!$W$82:$W$112,Charts!$Y$82:$Y$112)*$M192,0)</f>
        <v>1883</v>
      </c>
    </row>
    <row r="193" spans="1:14" x14ac:dyDescent="0.25">
      <c r="A193" s="3">
        <f t="shared" si="14"/>
        <v>45849</v>
      </c>
      <c r="B193">
        <f t="shared" si="10"/>
        <v>2025</v>
      </c>
      <c r="C193">
        <f t="shared" si="11"/>
        <v>7</v>
      </c>
      <c r="D193">
        <f t="shared" si="12"/>
        <v>11</v>
      </c>
      <c r="E193" s="2">
        <f t="shared" si="13"/>
        <v>45838</v>
      </c>
      <c r="F193" s="12">
        <f>_xlfn.XLOOKUP($A193,m1_cv!$B:$B,m1_cv!$C:$C)</f>
        <v>2183</v>
      </c>
      <c r="G193">
        <f>MAX(0,ROUND(SUMIFS(m1_cv!$E:$E,m1_cv!$A:$A,$E193,m1_cv!$B:$B,$A193),0))</f>
        <v>3223</v>
      </c>
      <c r="H193">
        <f>MAX(0,ROUND(SUMIFS(m2_cv!$E:$E,m2_cv!$A:$A,$E193,m2_cv!$B:$B,$A193),0))</f>
        <v>1723</v>
      </c>
      <c r="I193">
        <f>MAX(0,ROUND(SUMIFS(m3_cv!$E:$E,m3_cv!$A:$A,$E193,m3_cv!$B:$B,$A193),0))</f>
        <v>1860</v>
      </c>
      <c r="J193">
        <f>MAX(0,ROUND(SUMIFS(m4_cv!$E:$E,m4_cv!$A:$A,$E193,m4_cv!$B:$B,$A193),0))</f>
        <v>1848</v>
      </c>
      <c r="K193">
        <f>MAX(0,ROUND(SUMIFS(m5_cv!$E:$E,m5_cv!$A:$A,$E193,m5_cv!$B:$B,$A193),0))</f>
        <v>2013</v>
      </c>
      <c r="L193">
        <f>MAX(0,ROUND(SUMIFS(m6_cv!$E:$E,m6_cv!$A:$A,$E193,m6_cv!$B:$B,$A193),0))</f>
        <v>1531</v>
      </c>
      <c r="M193">
        <f>MAX(0,ROUND(SUMIFS(m7_cv!$E:$E,m7_cv!$A:$A,$E193,m7_cv!$B:$B,$A193),0))</f>
        <v>1954</v>
      </c>
      <c r="N193">
        <f>ROUND(_xlfn.XLOOKUP($D193,Charts!$W$82:$W$112,Charts!$X$82:$X$112)*$L193+_xlfn.XLOOKUP($D193,Charts!$W$82:$W$112,Charts!$Y$82:$Y$112)*$M193,0)</f>
        <v>1827</v>
      </c>
    </row>
    <row r="194" spans="1:14" x14ac:dyDescent="0.25">
      <c r="A194" s="3">
        <f t="shared" si="14"/>
        <v>45850</v>
      </c>
      <c r="B194">
        <f t="shared" si="10"/>
        <v>2025</v>
      </c>
      <c r="C194">
        <f t="shared" si="11"/>
        <v>7</v>
      </c>
      <c r="D194">
        <f t="shared" si="12"/>
        <v>12</v>
      </c>
      <c r="E194" s="2">
        <f t="shared" si="13"/>
        <v>45838</v>
      </c>
      <c r="F194" s="12">
        <f>_xlfn.XLOOKUP($A194,m1_cv!$B:$B,m1_cv!$C:$C)</f>
        <v>462</v>
      </c>
      <c r="G194">
        <f>MAX(0,ROUND(SUMIFS(m1_cv!$E:$E,m1_cv!$A:$A,$E194,m1_cv!$B:$B,$A194),0))</f>
        <v>969</v>
      </c>
      <c r="H194">
        <f>MAX(0,ROUND(SUMIFS(m2_cv!$E:$E,m2_cv!$A:$A,$E194,m2_cv!$B:$B,$A194),0))</f>
        <v>0</v>
      </c>
      <c r="I194">
        <f>MAX(0,ROUND(SUMIFS(m3_cv!$E:$E,m3_cv!$A:$A,$E194,m3_cv!$B:$B,$A194),0))</f>
        <v>0</v>
      </c>
      <c r="J194">
        <f>MAX(0,ROUND(SUMIFS(m4_cv!$E:$E,m4_cv!$A:$A,$E194,m4_cv!$B:$B,$A194),0))</f>
        <v>0</v>
      </c>
      <c r="K194">
        <f>MAX(0,ROUND(SUMIFS(m5_cv!$E:$E,m5_cv!$A:$A,$E194,m5_cv!$B:$B,$A194),0))</f>
        <v>0</v>
      </c>
      <c r="L194">
        <f>MAX(0,ROUND(SUMIFS(m6_cv!$E:$E,m6_cv!$A:$A,$E194,m6_cv!$B:$B,$A194),0))</f>
        <v>260</v>
      </c>
      <c r="M194">
        <f>MAX(0,ROUND(SUMIFS(m7_cv!$E:$E,m7_cv!$A:$A,$E194,m7_cv!$B:$B,$A194),0))</f>
        <v>0</v>
      </c>
      <c r="N194">
        <f>ROUND(_xlfn.XLOOKUP($D194,Charts!$W$82:$W$112,Charts!$X$82:$X$112)*$L194+_xlfn.XLOOKUP($D194,Charts!$W$82:$W$112,Charts!$Y$82:$Y$112)*$M194,0)</f>
        <v>78</v>
      </c>
    </row>
    <row r="195" spans="1:14" x14ac:dyDescent="0.25">
      <c r="A195" s="3">
        <f t="shared" si="14"/>
        <v>45851</v>
      </c>
      <c r="B195">
        <f t="shared" ref="B195:B258" si="15">YEAR(A195)</f>
        <v>2025</v>
      </c>
      <c r="C195">
        <f t="shared" ref="C195:C258" si="16">MONTH($A195)</f>
        <v>7</v>
      </c>
      <c r="D195">
        <f t="shared" ref="D195:D258" si="17">DAY($A195)</f>
        <v>13</v>
      </c>
      <c r="E195" s="2">
        <f t="shared" ref="E195:E258" si="18">DATE($B195,$C195,1)-1</f>
        <v>45838</v>
      </c>
      <c r="F195" s="12">
        <f>_xlfn.XLOOKUP($A195,m1_cv!$B:$B,m1_cv!$C:$C)</f>
        <v>114</v>
      </c>
      <c r="G195">
        <f>MAX(0,ROUND(SUMIFS(m1_cv!$E:$E,m1_cv!$A:$A,$E195,m1_cv!$B:$B,$A195),0))</f>
        <v>398</v>
      </c>
      <c r="H195">
        <f>MAX(0,ROUND(SUMIFS(m2_cv!$E:$E,m2_cv!$A:$A,$E195,m2_cv!$B:$B,$A195),0))</f>
        <v>0</v>
      </c>
      <c r="I195">
        <f>MAX(0,ROUND(SUMIFS(m3_cv!$E:$E,m3_cv!$A:$A,$E195,m3_cv!$B:$B,$A195),0))</f>
        <v>0</v>
      </c>
      <c r="J195">
        <f>MAX(0,ROUND(SUMIFS(m4_cv!$E:$E,m4_cv!$A:$A,$E195,m4_cv!$B:$B,$A195),0))</f>
        <v>0</v>
      </c>
      <c r="K195">
        <f>MAX(0,ROUND(SUMIFS(m5_cv!$E:$E,m5_cv!$A:$A,$E195,m5_cv!$B:$B,$A195),0))</f>
        <v>0</v>
      </c>
      <c r="L195">
        <f>MAX(0,ROUND(SUMIFS(m6_cv!$E:$E,m6_cv!$A:$A,$E195,m6_cv!$B:$B,$A195),0))</f>
        <v>107</v>
      </c>
      <c r="M195">
        <f>MAX(0,ROUND(SUMIFS(m7_cv!$E:$E,m7_cv!$A:$A,$E195,m7_cv!$B:$B,$A195),0))</f>
        <v>0</v>
      </c>
      <c r="N195">
        <f>ROUND(_xlfn.XLOOKUP($D195,Charts!$W$82:$W$112,Charts!$X$82:$X$112)*$L195+_xlfn.XLOOKUP($D195,Charts!$W$82:$W$112,Charts!$Y$82:$Y$112)*$M195,0)</f>
        <v>32</v>
      </c>
    </row>
    <row r="196" spans="1:14" x14ac:dyDescent="0.25">
      <c r="A196" s="3">
        <f t="shared" ref="A196:A259" si="19">A195+1</f>
        <v>45852</v>
      </c>
      <c r="B196">
        <f t="shared" si="15"/>
        <v>2025</v>
      </c>
      <c r="C196">
        <f t="shared" si="16"/>
        <v>7</v>
      </c>
      <c r="D196">
        <f t="shared" si="17"/>
        <v>14</v>
      </c>
      <c r="E196" s="2">
        <f t="shared" si="18"/>
        <v>45838</v>
      </c>
      <c r="F196" s="12">
        <f>_xlfn.XLOOKUP($A196,m1_cv!$B:$B,m1_cv!$C:$C)</f>
        <v>2356</v>
      </c>
      <c r="G196">
        <f>MAX(0,ROUND(SUMIFS(m1_cv!$E:$E,m1_cv!$A:$A,$E196,m1_cv!$B:$B,$A196),0))</f>
        <v>2693</v>
      </c>
      <c r="H196">
        <f>MAX(0,ROUND(SUMIFS(m2_cv!$E:$E,m2_cv!$A:$A,$E196,m2_cv!$B:$B,$A196),0))</f>
        <v>1835</v>
      </c>
      <c r="I196">
        <f>MAX(0,ROUND(SUMIFS(m3_cv!$E:$E,m3_cv!$A:$A,$E196,m3_cv!$B:$B,$A196),0))</f>
        <v>2338</v>
      </c>
      <c r="J196">
        <f>MAX(0,ROUND(SUMIFS(m4_cv!$E:$E,m4_cv!$A:$A,$E196,m4_cv!$B:$B,$A196),0))</f>
        <v>2327</v>
      </c>
      <c r="K196">
        <f>MAX(0,ROUND(SUMIFS(m5_cv!$E:$E,m5_cv!$A:$A,$E196,m5_cv!$B:$B,$A196),0))</f>
        <v>2044</v>
      </c>
      <c r="L196">
        <f>MAX(0,ROUND(SUMIFS(m6_cv!$E:$E,m6_cv!$A:$A,$E196,m6_cv!$B:$B,$A196),0))</f>
        <v>1494</v>
      </c>
      <c r="M196">
        <f>MAX(0,ROUND(SUMIFS(m7_cv!$E:$E,m7_cv!$A:$A,$E196,m7_cv!$B:$B,$A196),0))</f>
        <v>2082</v>
      </c>
      <c r="N196">
        <f>ROUND(_xlfn.XLOOKUP($D196,Charts!$W$82:$W$112,Charts!$X$82:$X$112)*$L196+_xlfn.XLOOKUP($D196,Charts!$W$82:$W$112,Charts!$Y$82:$Y$112)*$M196,0)</f>
        <v>2082</v>
      </c>
    </row>
    <row r="197" spans="1:14" x14ac:dyDescent="0.25">
      <c r="A197" s="3">
        <f t="shared" si="19"/>
        <v>45853</v>
      </c>
      <c r="B197">
        <f t="shared" si="15"/>
        <v>2025</v>
      </c>
      <c r="C197">
        <f t="shared" si="16"/>
        <v>7</v>
      </c>
      <c r="D197">
        <f t="shared" si="17"/>
        <v>15</v>
      </c>
      <c r="E197" s="2">
        <f t="shared" si="18"/>
        <v>45838</v>
      </c>
      <c r="F197" s="12">
        <f>_xlfn.XLOOKUP($A197,m1_cv!$B:$B,m1_cv!$C:$C)</f>
        <v>2694</v>
      </c>
      <c r="G197">
        <f>MAX(0,ROUND(SUMIFS(m1_cv!$E:$E,m1_cv!$A:$A,$E197,m1_cv!$B:$B,$A197),0))</f>
        <v>3172</v>
      </c>
      <c r="H197">
        <f>MAX(0,ROUND(SUMIFS(m2_cv!$E:$E,m2_cv!$A:$A,$E197,m2_cv!$B:$B,$A197),0))</f>
        <v>2305</v>
      </c>
      <c r="I197">
        <f>MAX(0,ROUND(SUMIFS(m3_cv!$E:$E,m3_cv!$A:$A,$E197,m3_cv!$B:$B,$A197),0))</f>
        <v>2513</v>
      </c>
      <c r="J197">
        <f>MAX(0,ROUND(SUMIFS(m4_cv!$E:$E,m4_cv!$A:$A,$E197,m4_cv!$B:$B,$A197),0))</f>
        <v>2504</v>
      </c>
      <c r="K197">
        <f>MAX(0,ROUND(SUMIFS(m5_cv!$E:$E,m5_cv!$A:$A,$E197,m5_cv!$B:$B,$A197),0))</f>
        <v>2376</v>
      </c>
      <c r="L197">
        <f>MAX(0,ROUND(SUMIFS(m6_cv!$E:$E,m6_cv!$A:$A,$E197,m6_cv!$B:$B,$A197),0))</f>
        <v>2096</v>
      </c>
      <c r="M197">
        <f>MAX(0,ROUND(SUMIFS(m7_cv!$E:$E,m7_cv!$A:$A,$E197,m7_cv!$B:$B,$A197),0))</f>
        <v>2377</v>
      </c>
      <c r="N197">
        <f>ROUND(_xlfn.XLOOKUP($D197,Charts!$W$82:$W$112,Charts!$X$82:$X$112)*$L197+_xlfn.XLOOKUP($D197,Charts!$W$82:$W$112,Charts!$Y$82:$Y$112)*$M197,0)</f>
        <v>2377</v>
      </c>
    </row>
    <row r="198" spans="1:14" x14ac:dyDescent="0.25">
      <c r="A198" s="3">
        <f t="shared" si="19"/>
        <v>45854</v>
      </c>
      <c r="B198">
        <f t="shared" si="15"/>
        <v>2025</v>
      </c>
      <c r="C198">
        <f t="shared" si="16"/>
        <v>7</v>
      </c>
      <c r="D198">
        <f t="shared" si="17"/>
        <v>16</v>
      </c>
      <c r="E198" s="2">
        <f t="shared" si="18"/>
        <v>45838</v>
      </c>
      <c r="F198" s="12">
        <f>_xlfn.XLOOKUP($A198,m1_cv!$B:$B,m1_cv!$C:$C)</f>
        <v>2796</v>
      </c>
      <c r="G198">
        <f>MAX(0,ROUND(SUMIFS(m1_cv!$E:$E,m1_cv!$A:$A,$E198,m1_cv!$B:$B,$A198),0))</f>
        <v>3202</v>
      </c>
      <c r="H198">
        <f>MAX(0,ROUND(SUMIFS(m2_cv!$E:$E,m2_cv!$A:$A,$E198,m2_cv!$B:$B,$A198),0))</f>
        <v>2364</v>
      </c>
      <c r="I198">
        <f>MAX(0,ROUND(SUMIFS(m3_cv!$E:$E,m3_cv!$A:$A,$E198,m3_cv!$B:$B,$A198),0))</f>
        <v>2532</v>
      </c>
      <c r="J198">
        <f>MAX(0,ROUND(SUMIFS(m4_cv!$E:$E,m4_cv!$A:$A,$E198,m4_cv!$B:$B,$A198),0))</f>
        <v>2523</v>
      </c>
      <c r="K198">
        <f>MAX(0,ROUND(SUMIFS(m5_cv!$E:$E,m5_cv!$A:$A,$E198,m5_cv!$B:$B,$A198),0))</f>
        <v>2565</v>
      </c>
      <c r="L198">
        <f>MAX(0,ROUND(SUMIFS(m6_cv!$E:$E,m6_cv!$A:$A,$E198,m6_cv!$B:$B,$A198),0))</f>
        <v>2342</v>
      </c>
      <c r="M198">
        <f>MAX(0,ROUND(SUMIFS(m7_cv!$E:$E,m7_cv!$A:$A,$E198,m7_cv!$B:$B,$A198),0))</f>
        <v>2553</v>
      </c>
      <c r="N198">
        <f>ROUND(_xlfn.XLOOKUP($D198,Charts!$W$82:$W$112,Charts!$X$82:$X$112)*$L198+_xlfn.XLOOKUP($D198,Charts!$W$82:$W$112,Charts!$Y$82:$Y$112)*$M198,0)</f>
        <v>2553</v>
      </c>
    </row>
    <row r="199" spans="1:14" x14ac:dyDescent="0.25">
      <c r="A199" s="3">
        <f t="shared" si="19"/>
        <v>45855</v>
      </c>
      <c r="B199">
        <f t="shared" si="15"/>
        <v>2025</v>
      </c>
      <c r="C199">
        <f t="shared" si="16"/>
        <v>7</v>
      </c>
      <c r="D199">
        <f t="shared" si="17"/>
        <v>17</v>
      </c>
      <c r="E199" s="2">
        <f t="shared" si="18"/>
        <v>45838</v>
      </c>
      <c r="F199" s="12">
        <f>_xlfn.XLOOKUP($A199,m1_cv!$B:$B,m1_cv!$C:$C)</f>
        <v>2972</v>
      </c>
      <c r="G199">
        <f>MAX(0,ROUND(SUMIFS(m1_cv!$E:$E,m1_cv!$A:$A,$E199,m1_cv!$B:$B,$A199),0))</f>
        <v>3191</v>
      </c>
      <c r="H199">
        <f>MAX(0,ROUND(SUMIFS(m2_cv!$E:$E,m2_cv!$A:$A,$E199,m2_cv!$B:$B,$A199),0))</f>
        <v>2531</v>
      </c>
      <c r="I199">
        <f>MAX(0,ROUND(SUMIFS(m3_cv!$E:$E,m3_cv!$A:$A,$E199,m3_cv!$B:$B,$A199),0))</f>
        <v>2652</v>
      </c>
      <c r="J199">
        <f>MAX(0,ROUND(SUMIFS(m4_cv!$E:$E,m4_cv!$A:$A,$E199,m4_cv!$B:$B,$A199),0))</f>
        <v>2641</v>
      </c>
      <c r="K199">
        <f>MAX(0,ROUND(SUMIFS(m5_cv!$E:$E,m5_cv!$A:$A,$E199,m5_cv!$B:$B,$A199),0))</f>
        <v>2724</v>
      </c>
      <c r="L199">
        <f>MAX(0,ROUND(SUMIFS(m6_cv!$E:$E,m6_cv!$A:$A,$E199,m6_cv!$B:$B,$A199),0))</f>
        <v>2533</v>
      </c>
      <c r="M199">
        <f>MAX(0,ROUND(SUMIFS(m7_cv!$E:$E,m7_cv!$A:$A,$E199,m7_cv!$B:$B,$A199),0))</f>
        <v>2709</v>
      </c>
      <c r="N199">
        <f>ROUND(_xlfn.XLOOKUP($D199,Charts!$W$82:$W$112,Charts!$X$82:$X$112)*$L199+_xlfn.XLOOKUP($D199,Charts!$W$82:$W$112,Charts!$Y$82:$Y$112)*$M199,0)</f>
        <v>2709</v>
      </c>
    </row>
    <row r="200" spans="1:14" x14ac:dyDescent="0.25">
      <c r="A200" s="3">
        <f t="shared" si="19"/>
        <v>45856</v>
      </c>
      <c r="B200">
        <f t="shared" si="15"/>
        <v>2025</v>
      </c>
      <c r="C200">
        <f t="shared" si="16"/>
        <v>7</v>
      </c>
      <c r="D200">
        <f t="shared" si="17"/>
        <v>18</v>
      </c>
      <c r="E200" s="2">
        <f t="shared" si="18"/>
        <v>45838</v>
      </c>
      <c r="F200" s="12">
        <f>_xlfn.XLOOKUP($A200,m1_cv!$B:$B,m1_cv!$C:$C)</f>
        <v>2891</v>
      </c>
      <c r="G200">
        <f>MAX(0,ROUND(SUMIFS(m1_cv!$E:$E,m1_cv!$A:$A,$E200,m1_cv!$B:$B,$A200),0))</f>
        <v>3167</v>
      </c>
      <c r="H200">
        <f>MAX(0,ROUND(SUMIFS(m2_cv!$E:$E,m2_cv!$A:$A,$E200,m2_cv!$B:$B,$A200),0))</f>
        <v>2759</v>
      </c>
      <c r="I200">
        <f>MAX(0,ROUND(SUMIFS(m3_cv!$E:$E,m3_cv!$A:$A,$E200,m3_cv!$B:$B,$A200),0))</f>
        <v>2868</v>
      </c>
      <c r="J200">
        <f>MAX(0,ROUND(SUMIFS(m4_cv!$E:$E,m4_cv!$A:$A,$E200,m4_cv!$B:$B,$A200),0))</f>
        <v>2855</v>
      </c>
      <c r="K200">
        <f>MAX(0,ROUND(SUMIFS(m5_cv!$E:$E,m5_cv!$A:$A,$E200,m5_cv!$B:$B,$A200),0))</f>
        <v>2823</v>
      </c>
      <c r="L200">
        <f>MAX(0,ROUND(SUMIFS(m6_cv!$E:$E,m6_cv!$A:$A,$E200,m6_cv!$B:$B,$A200),0))</f>
        <v>2464</v>
      </c>
      <c r="M200">
        <f>MAX(0,ROUND(SUMIFS(m7_cv!$E:$E,m7_cv!$A:$A,$E200,m7_cv!$B:$B,$A200),0))</f>
        <v>2808</v>
      </c>
      <c r="N200">
        <f>ROUND(_xlfn.XLOOKUP($D200,Charts!$W$82:$W$112,Charts!$X$82:$X$112)*$L200+_xlfn.XLOOKUP($D200,Charts!$W$82:$W$112,Charts!$Y$82:$Y$112)*$M200,0)</f>
        <v>2808</v>
      </c>
    </row>
    <row r="201" spans="1:14" x14ac:dyDescent="0.25">
      <c r="A201" s="3">
        <f t="shared" si="19"/>
        <v>45857</v>
      </c>
      <c r="B201">
        <f t="shared" si="15"/>
        <v>2025</v>
      </c>
      <c r="C201">
        <f t="shared" si="16"/>
        <v>7</v>
      </c>
      <c r="D201">
        <f t="shared" si="17"/>
        <v>19</v>
      </c>
      <c r="E201" s="2">
        <f t="shared" si="18"/>
        <v>45838</v>
      </c>
      <c r="F201" s="12">
        <f>_xlfn.XLOOKUP($A201,m1_cv!$B:$B,m1_cv!$C:$C)</f>
        <v>521</v>
      </c>
      <c r="G201">
        <f>MAX(0,ROUND(SUMIFS(m1_cv!$E:$E,m1_cv!$A:$A,$E201,m1_cv!$B:$B,$A201),0))</f>
        <v>919</v>
      </c>
      <c r="H201">
        <f>MAX(0,ROUND(SUMIFS(m2_cv!$E:$E,m2_cv!$A:$A,$E201,m2_cv!$B:$B,$A201),0))</f>
        <v>666</v>
      </c>
      <c r="I201">
        <f>MAX(0,ROUND(SUMIFS(m3_cv!$E:$E,m3_cv!$A:$A,$E201,m3_cv!$B:$B,$A201),0))</f>
        <v>816</v>
      </c>
      <c r="J201">
        <f>MAX(0,ROUND(SUMIFS(m4_cv!$E:$E,m4_cv!$A:$A,$E201,m4_cv!$B:$B,$A201),0))</f>
        <v>805</v>
      </c>
      <c r="K201">
        <f>MAX(0,ROUND(SUMIFS(m5_cv!$E:$E,m5_cv!$A:$A,$E201,m5_cv!$B:$B,$A201),0))</f>
        <v>634</v>
      </c>
      <c r="L201">
        <f>MAX(0,ROUND(SUMIFS(m6_cv!$E:$E,m6_cv!$A:$A,$E201,m6_cv!$B:$B,$A201),0))</f>
        <v>423</v>
      </c>
      <c r="M201">
        <f>MAX(0,ROUND(SUMIFS(m7_cv!$E:$E,m7_cv!$A:$A,$E201,m7_cv!$B:$B,$A201),0))</f>
        <v>615</v>
      </c>
      <c r="N201">
        <f>ROUND(_xlfn.XLOOKUP($D201,Charts!$W$82:$W$112,Charts!$X$82:$X$112)*$L201+_xlfn.XLOOKUP($D201,Charts!$W$82:$W$112,Charts!$Y$82:$Y$112)*$M201,0)</f>
        <v>615</v>
      </c>
    </row>
    <row r="202" spans="1:14" x14ac:dyDescent="0.25">
      <c r="A202" s="3">
        <f t="shared" si="19"/>
        <v>45858</v>
      </c>
      <c r="B202">
        <f t="shared" si="15"/>
        <v>2025</v>
      </c>
      <c r="C202">
        <f t="shared" si="16"/>
        <v>7</v>
      </c>
      <c r="D202">
        <f t="shared" si="17"/>
        <v>20</v>
      </c>
      <c r="E202" s="2">
        <f t="shared" si="18"/>
        <v>45838</v>
      </c>
      <c r="F202" s="12">
        <f>_xlfn.XLOOKUP($A202,m1_cv!$B:$B,m1_cv!$C:$C)</f>
        <v>189</v>
      </c>
      <c r="G202">
        <f>MAX(0,ROUND(SUMIFS(m1_cv!$E:$E,m1_cv!$A:$A,$E202,m1_cv!$B:$B,$A202),0))</f>
        <v>358</v>
      </c>
      <c r="H202">
        <f>MAX(0,ROUND(SUMIFS(m2_cv!$E:$E,m2_cv!$A:$A,$E202,m2_cv!$B:$B,$A202),0))</f>
        <v>99</v>
      </c>
      <c r="I202">
        <f>MAX(0,ROUND(SUMIFS(m3_cv!$E:$E,m3_cv!$A:$A,$E202,m3_cv!$B:$B,$A202),0))</f>
        <v>285</v>
      </c>
      <c r="J202">
        <f>MAX(0,ROUND(SUMIFS(m4_cv!$E:$E,m4_cv!$A:$A,$E202,m4_cv!$B:$B,$A202),0))</f>
        <v>273</v>
      </c>
      <c r="K202">
        <f>MAX(0,ROUND(SUMIFS(m5_cv!$E:$E,m5_cv!$A:$A,$E202,m5_cv!$B:$B,$A202),0))</f>
        <v>126</v>
      </c>
      <c r="L202">
        <f>MAX(0,ROUND(SUMIFS(m6_cv!$E:$E,m6_cv!$A:$A,$E202,m6_cv!$B:$B,$A202),0))</f>
        <v>170</v>
      </c>
      <c r="M202">
        <f>MAX(0,ROUND(SUMIFS(m7_cv!$E:$E,m7_cv!$A:$A,$E202,m7_cv!$B:$B,$A202),0))</f>
        <v>138</v>
      </c>
      <c r="N202">
        <f>ROUND(_xlfn.XLOOKUP($D202,Charts!$W$82:$W$112,Charts!$X$82:$X$112)*$L202+_xlfn.XLOOKUP($D202,Charts!$W$82:$W$112,Charts!$Y$82:$Y$112)*$M202,0)</f>
        <v>138</v>
      </c>
    </row>
    <row r="203" spans="1:14" x14ac:dyDescent="0.25">
      <c r="A203" s="3">
        <f t="shared" si="19"/>
        <v>45859</v>
      </c>
      <c r="B203">
        <f t="shared" si="15"/>
        <v>2025</v>
      </c>
      <c r="C203">
        <f t="shared" si="16"/>
        <v>7</v>
      </c>
      <c r="D203">
        <f t="shared" si="17"/>
        <v>21</v>
      </c>
      <c r="E203" s="2">
        <f t="shared" si="18"/>
        <v>45838</v>
      </c>
      <c r="F203" s="12">
        <f>_xlfn.XLOOKUP($A203,m1_cv!$B:$B,m1_cv!$C:$C)</f>
        <v>2798</v>
      </c>
      <c r="G203">
        <f>MAX(0,ROUND(SUMIFS(m1_cv!$E:$E,m1_cv!$A:$A,$E203,m1_cv!$B:$B,$A203),0))</f>
        <v>2662</v>
      </c>
      <c r="H203">
        <f>MAX(0,ROUND(SUMIFS(m2_cv!$E:$E,m2_cv!$A:$A,$E203,m2_cv!$B:$B,$A203),0))</f>
        <v>2362</v>
      </c>
      <c r="I203">
        <f>MAX(0,ROUND(SUMIFS(m3_cv!$E:$E,m3_cv!$A:$A,$E203,m3_cv!$B:$B,$A203),0))</f>
        <v>2715</v>
      </c>
      <c r="J203">
        <f>MAX(0,ROUND(SUMIFS(m4_cv!$E:$E,m4_cv!$A:$A,$E203,m4_cv!$B:$B,$A203),0))</f>
        <v>2702</v>
      </c>
      <c r="K203">
        <f>MAX(0,ROUND(SUMIFS(m5_cv!$E:$E,m5_cv!$A:$A,$E203,m5_cv!$B:$B,$A203),0))</f>
        <v>2688</v>
      </c>
      <c r="L203">
        <f>MAX(0,ROUND(SUMIFS(m6_cv!$E:$E,m6_cv!$A:$A,$E203,m6_cv!$B:$B,$A203),0))</f>
        <v>2309</v>
      </c>
      <c r="M203">
        <f>MAX(0,ROUND(SUMIFS(m7_cv!$E:$E,m7_cv!$A:$A,$E203,m7_cv!$B:$B,$A203),0))</f>
        <v>2763</v>
      </c>
      <c r="N203">
        <f>ROUND(_xlfn.XLOOKUP($D203,Charts!$W$82:$W$112,Charts!$X$82:$X$112)*$L203+_xlfn.XLOOKUP($D203,Charts!$W$82:$W$112,Charts!$Y$82:$Y$112)*$M203,0)</f>
        <v>2763</v>
      </c>
    </row>
    <row r="204" spans="1:14" x14ac:dyDescent="0.25">
      <c r="A204" s="3">
        <f t="shared" si="19"/>
        <v>45860</v>
      </c>
      <c r="B204">
        <f t="shared" si="15"/>
        <v>2025</v>
      </c>
      <c r="C204">
        <f t="shared" si="16"/>
        <v>7</v>
      </c>
      <c r="D204">
        <f t="shared" si="17"/>
        <v>22</v>
      </c>
      <c r="E204" s="2">
        <f t="shared" si="18"/>
        <v>45838</v>
      </c>
      <c r="F204" s="12">
        <f>_xlfn.XLOOKUP($A204,m1_cv!$B:$B,m1_cv!$C:$C)</f>
        <v>2894</v>
      </c>
      <c r="G204">
        <f>MAX(0,ROUND(SUMIFS(m1_cv!$E:$E,m1_cv!$A:$A,$E204,m1_cv!$B:$B,$A204),0))</f>
        <v>3154</v>
      </c>
      <c r="H204">
        <f>MAX(0,ROUND(SUMIFS(m2_cv!$E:$E,m2_cv!$A:$A,$E204,m2_cv!$B:$B,$A204),0))</f>
        <v>2946</v>
      </c>
      <c r="I204">
        <f>MAX(0,ROUND(SUMIFS(m3_cv!$E:$E,m3_cv!$A:$A,$E204,m3_cv!$B:$B,$A204),0))</f>
        <v>2985</v>
      </c>
      <c r="J204">
        <f>MAX(0,ROUND(SUMIFS(m4_cv!$E:$E,m4_cv!$A:$A,$E204,m4_cv!$B:$B,$A204),0))</f>
        <v>2976</v>
      </c>
      <c r="K204">
        <f>MAX(0,ROUND(SUMIFS(m5_cv!$E:$E,m5_cv!$A:$A,$E204,m5_cv!$B:$B,$A204),0))</f>
        <v>3121</v>
      </c>
      <c r="L204">
        <f>MAX(0,ROUND(SUMIFS(m6_cv!$E:$E,m6_cv!$A:$A,$E204,m6_cv!$B:$B,$A204),0))</f>
        <v>3206</v>
      </c>
      <c r="M204">
        <f>MAX(0,ROUND(SUMIFS(m7_cv!$E:$E,m7_cv!$A:$A,$E204,m7_cv!$B:$B,$A204),0))</f>
        <v>3115</v>
      </c>
      <c r="N204">
        <f>ROUND(_xlfn.XLOOKUP($D204,Charts!$W$82:$W$112,Charts!$X$82:$X$112)*$L204+_xlfn.XLOOKUP($D204,Charts!$W$82:$W$112,Charts!$Y$82:$Y$112)*$M204,0)</f>
        <v>3115</v>
      </c>
    </row>
    <row r="205" spans="1:14" x14ac:dyDescent="0.25">
      <c r="A205" s="3">
        <f t="shared" si="19"/>
        <v>45861</v>
      </c>
      <c r="B205">
        <f t="shared" si="15"/>
        <v>2025</v>
      </c>
      <c r="C205">
        <f t="shared" si="16"/>
        <v>7</v>
      </c>
      <c r="D205">
        <f t="shared" si="17"/>
        <v>23</v>
      </c>
      <c r="E205" s="2">
        <f t="shared" si="18"/>
        <v>45838</v>
      </c>
      <c r="F205" s="12">
        <f>_xlfn.XLOOKUP($A205,m1_cv!$B:$B,m1_cv!$C:$C)</f>
        <v>3299</v>
      </c>
      <c r="G205">
        <f>MAX(0,ROUND(SUMIFS(m1_cv!$E:$E,m1_cv!$A:$A,$E205,m1_cv!$B:$B,$A205),0))</f>
        <v>3197</v>
      </c>
      <c r="H205">
        <f>MAX(0,ROUND(SUMIFS(m2_cv!$E:$E,m2_cv!$A:$A,$E205,m2_cv!$B:$B,$A205),0))</f>
        <v>3295</v>
      </c>
      <c r="I205">
        <f>MAX(0,ROUND(SUMIFS(m3_cv!$E:$E,m3_cv!$A:$A,$E205,m3_cv!$B:$B,$A205),0))</f>
        <v>3334</v>
      </c>
      <c r="J205">
        <f>MAX(0,ROUND(SUMIFS(m4_cv!$E:$E,m4_cv!$A:$A,$E205,m4_cv!$B:$B,$A205),0))</f>
        <v>3325</v>
      </c>
      <c r="K205">
        <f>MAX(0,ROUND(SUMIFS(m5_cv!$E:$E,m5_cv!$A:$A,$E205,m5_cv!$B:$B,$A205),0))</f>
        <v>3390</v>
      </c>
      <c r="L205">
        <f>MAX(0,ROUND(SUMIFS(m6_cv!$E:$E,m6_cv!$A:$A,$E205,m6_cv!$B:$B,$A205),0))</f>
        <v>3549</v>
      </c>
      <c r="M205">
        <f>MAX(0,ROUND(SUMIFS(m7_cv!$E:$E,m7_cv!$A:$A,$E205,m7_cv!$B:$B,$A205),0))</f>
        <v>3255</v>
      </c>
      <c r="N205">
        <f>ROUND(_xlfn.XLOOKUP($D205,Charts!$W$82:$W$112,Charts!$X$82:$X$112)*$L205+_xlfn.XLOOKUP($D205,Charts!$W$82:$W$112,Charts!$Y$82:$Y$112)*$M205,0)</f>
        <v>3255</v>
      </c>
    </row>
    <row r="206" spans="1:14" x14ac:dyDescent="0.25">
      <c r="A206" s="3">
        <f t="shared" si="19"/>
        <v>45862</v>
      </c>
      <c r="B206">
        <f t="shared" si="15"/>
        <v>2025</v>
      </c>
      <c r="C206">
        <f t="shared" si="16"/>
        <v>7</v>
      </c>
      <c r="D206">
        <f t="shared" si="17"/>
        <v>24</v>
      </c>
      <c r="E206" s="2">
        <f t="shared" si="18"/>
        <v>45838</v>
      </c>
      <c r="F206" s="12">
        <f>_xlfn.XLOOKUP($A206,m1_cv!$B:$B,m1_cv!$C:$C)</f>
        <v>3785</v>
      </c>
      <c r="G206">
        <f>MAX(0,ROUND(SUMIFS(m1_cv!$E:$E,m1_cv!$A:$A,$E206,m1_cv!$B:$B,$A206),0))</f>
        <v>3201</v>
      </c>
      <c r="H206">
        <f>MAX(0,ROUND(SUMIFS(m2_cv!$E:$E,m2_cv!$A:$A,$E206,m2_cv!$B:$B,$A206),0))</f>
        <v>3634</v>
      </c>
      <c r="I206">
        <f>MAX(0,ROUND(SUMIFS(m3_cv!$E:$E,m3_cv!$A:$A,$E206,m3_cv!$B:$B,$A206),0))</f>
        <v>3693</v>
      </c>
      <c r="J206">
        <f>MAX(0,ROUND(SUMIFS(m4_cv!$E:$E,m4_cv!$A:$A,$E206,m4_cv!$B:$B,$A206),0))</f>
        <v>3684</v>
      </c>
      <c r="K206">
        <f>MAX(0,ROUND(SUMIFS(m5_cv!$E:$E,m5_cv!$A:$A,$E206,m5_cv!$B:$B,$A206),0))</f>
        <v>3478</v>
      </c>
      <c r="L206">
        <f>MAX(0,ROUND(SUMIFS(m6_cv!$E:$E,m6_cv!$A:$A,$E206,m6_cv!$B:$B,$A206),0))</f>
        <v>3689</v>
      </c>
      <c r="M206">
        <f>MAX(0,ROUND(SUMIFS(m7_cv!$E:$E,m7_cv!$A:$A,$E206,m7_cv!$B:$B,$A206),0))</f>
        <v>3478</v>
      </c>
      <c r="N206">
        <f>ROUND(_xlfn.XLOOKUP($D206,Charts!$W$82:$W$112,Charts!$X$82:$X$112)*$L206+_xlfn.XLOOKUP($D206,Charts!$W$82:$W$112,Charts!$Y$82:$Y$112)*$M206,0)</f>
        <v>3689</v>
      </c>
    </row>
    <row r="207" spans="1:14" x14ac:dyDescent="0.25">
      <c r="A207" s="3">
        <f t="shared" si="19"/>
        <v>45863</v>
      </c>
      <c r="B207">
        <f t="shared" si="15"/>
        <v>2025</v>
      </c>
      <c r="C207">
        <f t="shared" si="16"/>
        <v>7</v>
      </c>
      <c r="D207">
        <f t="shared" si="17"/>
        <v>25</v>
      </c>
      <c r="E207" s="2">
        <f t="shared" si="18"/>
        <v>45838</v>
      </c>
      <c r="F207" s="12">
        <f>_xlfn.XLOOKUP($A207,m1_cv!$B:$B,m1_cv!$C:$C)</f>
        <v>3663</v>
      </c>
      <c r="G207">
        <f>MAX(0,ROUND(SUMIFS(m1_cv!$E:$E,m1_cv!$A:$A,$E207,m1_cv!$B:$B,$A207),0))</f>
        <v>3191</v>
      </c>
      <c r="H207">
        <f>MAX(0,ROUND(SUMIFS(m2_cv!$E:$E,m2_cv!$A:$A,$E207,m2_cv!$B:$B,$A207),0))</f>
        <v>3750</v>
      </c>
      <c r="I207">
        <f>MAX(0,ROUND(SUMIFS(m3_cv!$E:$E,m3_cv!$A:$A,$E207,m3_cv!$B:$B,$A207),0))</f>
        <v>3842</v>
      </c>
      <c r="J207">
        <f>MAX(0,ROUND(SUMIFS(m4_cv!$E:$E,m4_cv!$A:$A,$E207,m4_cv!$B:$B,$A207),0))</f>
        <v>3832</v>
      </c>
      <c r="K207">
        <f>MAX(0,ROUND(SUMIFS(m5_cv!$E:$E,m5_cv!$A:$A,$E207,m5_cv!$B:$B,$A207),0))</f>
        <v>4194</v>
      </c>
      <c r="L207">
        <f>MAX(0,ROUND(SUMIFS(m6_cv!$E:$E,m6_cv!$A:$A,$E207,m6_cv!$B:$B,$A207),0))</f>
        <v>6305</v>
      </c>
      <c r="M207">
        <f>MAX(0,ROUND(SUMIFS(m7_cv!$E:$E,m7_cv!$A:$A,$E207,m7_cv!$B:$B,$A207),0))</f>
        <v>4373</v>
      </c>
      <c r="N207">
        <f>ROUND(_xlfn.XLOOKUP($D207,Charts!$W$82:$W$112,Charts!$X$82:$X$112)*$L207+_xlfn.XLOOKUP($D207,Charts!$W$82:$W$112,Charts!$Y$82:$Y$112)*$M207,0)</f>
        <v>6305</v>
      </c>
    </row>
    <row r="208" spans="1:14" x14ac:dyDescent="0.25">
      <c r="A208" s="3">
        <f t="shared" si="19"/>
        <v>45864</v>
      </c>
      <c r="B208">
        <f t="shared" si="15"/>
        <v>2025</v>
      </c>
      <c r="C208">
        <f t="shared" si="16"/>
        <v>7</v>
      </c>
      <c r="D208">
        <f t="shared" si="17"/>
        <v>26</v>
      </c>
      <c r="E208" s="2">
        <f t="shared" si="18"/>
        <v>45838</v>
      </c>
      <c r="F208" s="12">
        <f>_xlfn.XLOOKUP($A208,m1_cv!$B:$B,m1_cv!$C:$C)</f>
        <v>901</v>
      </c>
      <c r="G208">
        <f>MAX(0,ROUND(SUMIFS(m1_cv!$E:$E,m1_cv!$A:$A,$E208,m1_cv!$B:$B,$A208),0))</f>
        <v>959</v>
      </c>
      <c r="H208">
        <f>MAX(0,ROUND(SUMIFS(m2_cv!$E:$E,m2_cv!$A:$A,$E208,m2_cv!$B:$B,$A208),0))</f>
        <v>1436</v>
      </c>
      <c r="I208">
        <f>MAX(0,ROUND(SUMIFS(m3_cv!$E:$E,m3_cv!$A:$A,$E208,m3_cv!$B:$B,$A208),0))</f>
        <v>1563</v>
      </c>
      <c r="J208">
        <f>MAX(0,ROUND(SUMIFS(m4_cv!$E:$E,m4_cv!$A:$A,$E208,m4_cv!$B:$B,$A208),0))</f>
        <v>1554</v>
      </c>
      <c r="K208">
        <f>MAX(0,ROUND(SUMIFS(m5_cv!$E:$E,m5_cv!$A:$A,$E208,m5_cv!$B:$B,$A208),0))</f>
        <v>1845</v>
      </c>
      <c r="L208">
        <f>MAX(0,ROUND(SUMIFS(m6_cv!$E:$E,m6_cv!$A:$A,$E208,m6_cv!$B:$B,$A208),0))</f>
        <v>965</v>
      </c>
      <c r="M208">
        <f>MAX(0,ROUND(SUMIFS(m7_cv!$E:$E,m7_cv!$A:$A,$E208,m7_cv!$B:$B,$A208),0))</f>
        <v>1864</v>
      </c>
      <c r="N208">
        <f>ROUND(_xlfn.XLOOKUP($D208,Charts!$W$82:$W$112,Charts!$X$82:$X$112)*$L208+_xlfn.XLOOKUP($D208,Charts!$W$82:$W$112,Charts!$Y$82:$Y$112)*$M208,0)</f>
        <v>965</v>
      </c>
    </row>
    <row r="209" spans="1:14" x14ac:dyDescent="0.25">
      <c r="A209" s="3">
        <f t="shared" si="19"/>
        <v>45865</v>
      </c>
      <c r="B209">
        <f t="shared" si="15"/>
        <v>2025</v>
      </c>
      <c r="C209">
        <f t="shared" si="16"/>
        <v>7</v>
      </c>
      <c r="D209">
        <f t="shared" si="17"/>
        <v>27</v>
      </c>
      <c r="E209" s="2">
        <f t="shared" si="18"/>
        <v>45838</v>
      </c>
      <c r="F209" s="12">
        <f>_xlfn.XLOOKUP($A209,m1_cv!$B:$B,m1_cv!$C:$C)</f>
        <v>262</v>
      </c>
      <c r="G209">
        <f>MAX(0,ROUND(SUMIFS(m1_cv!$E:$E,m1_cv!$A:$A,$E209,m1_cv!$B:$B,$A209),0))</f>
        <v>413</v>
      </c>
      <c r="H209">
        <f>MAX(0,ROUND(SUMIFS(m2_cv!$E:$E,m2_cv!$A:$A,$E209,m2_cv!$B:$B,$A209),0))</f>
        <v>928</v>
      </c>
      <c r="I209">
        <f>MAX(0,ROUND(SUMIFS(m3_cv!$E:$E,m3_cv!$A:$A,$E209,m3_cv!$B:$B,$A209),0))</f>
        <v>1059</v>
      </c>
      <c r="J209">
        <f>MAX(0,ROUND(SUMIFS(m4_cv!$E:$E,m4_cv!$A:$A,$E209,m4_cv!$B:$B,$A209),0))</f>
        <v>1049</v>
      </c>
      <c r="K209">
        <f>MAX(0,ROUND(SUMIFS(m5_cv!$E:$E,m5_cv!$A:$A,$E209,m5_cv!$B:$B,$A209),0))</f>
        <v>1395</v>
      </c>
      <c r="L209">
        <f>MAX(0,ROUND(SUMIFS(m6_cv!$E:$E,m6_cv!$A:$A,$E209,m6_cv!$B:$B,$A209),0))</f>
        <v>352</v>
      </c>
      <c r="M209">
        <f>MAX(0,ROUND(SUMIFS(m7_cv!$E:$E,m7_cv!$A:$A,$E209,m7_cv!$B:$B,$A209),0))</f>
        <v>1331</v>
      </c>
      <c r="N209">
        <f>ROUND(_xlfn.XLOOKUP($D209,Charts!$W$82:$W$112,Charts!$X$82:$X$112)*$L209+_xlfn.XLOOKUP($D209,Charts!$W$82:$W$112,Charts!$Y$82:$Y$112)*$M209,0)</f>
        <v>352</v>
      </c>
    </row>
    <row r="210" spans="1:14" x14ac:dyDescent="0.25">
      <c r="A210" s="3">
        <f t="shared" si="19"/>
        <v>45866</v>
      </c>
      <c r="B210">
        <f t="shared" si="15"/>
        <v>2025</v>
      </c>
      <c r="C210">
        <f t="shared" si="16"/>
        <v>7</v>
      </c>
      <c r="D210">
        <f t="shared" si="17"/>
        <v>28</v>
      </c>
      <c r="E210" s="2">
        <f t="shared" si="18"/>
        <v>45838</v>
      </c>
      <c r="F210" s="12">
        <f>_xlfn.XLOOKUP($A210,m1_cv!$B:$B,m1_cv!$C:$C)</f>
        <v>4324</v>
      </c>
      <c r="G210">
        <f>MAX(0,ROUND(SUMIFS(m1_cv!$E:$E,m1_cv!$A:$A,$E210,m1_cv!$B:$B,$A210),0))</f>
        <v>2733</v>
      </c>
      <c r="H210">
        <f>MAX(0,ROUND(SUMIFS(m2_cv!$E:$E,m2_cv!$A:$A,$E210,m2_cv!$B:$B,$A210),0))</f>
        <v>3777</v>
      </c>
      <c r="I210">
        <f>MAX(0,ROUND(SUMIFS(m3_cv!$E:$E,m3_cv!$A:$A,$E210,m3_cv!$B:$B,$A210),0))</f>
        <v>4062</v>
      </c>
      <c r="J210">
        <f>MAX(0,ROUND(SUMIFS(m4_cv!$E:$E,m4_cv!$A:$A,$E210,m4_cv!$B:$B,$A210),0))</f>
        <v>4052</v>
      </c>
      <c r="K210">
        <f>MAX(0,ROUND(SUMIFS(m5_cv!$E:$E,m5_cv!$A:$A,$E210,m5_cv!$B:$B,$A210),0))</f>
        <v>4250</v>
      </c>
      <c r="L210">
        <f>MAX(0,ROUND(SUMIFS(m6_cv!$E:$E,m6_cv!$A:$A,$E210,m6_cv!$B:$B,$A210),0))</f>
        <v>4575</v>
      </c>
      <c r="M210">
        <f>MAX(0,ROUND(SUMIFS(m7_cv!$E:$E,m7_cv!$A:$A,$E210,m7_cv!$B:$B,$A210),0))</f>
        <v>4232</v>
      </c>
      <c r="N210">
        <f>ROUND(_xlfn.XLOOKUP($D210,Charts!$W$82:$W$112,Charts!$X$82:$X$112)*$L210+_xlfn.XLOOKUP($D210,Charts!$W$82:$W$112,Charts!$Y$82:$Y$112)*$M210,0)</f>
        <v>4575</v>
      </c>
    </row>
    <row r="211" spans="1:14" x14ac:dyDescent="0.25">
      <c r="A211" s="3">
        <f t="shared" si="19"/>
        <v>45867</v>
      </c>
      <c r="B211">
        <f t="shared" si="15"/>
        <v>2025</v>
      </c>
      <c r="C211">
        <f t="shared" si="16"/>
        <v>7</v>
      </c>
      <c r="D211">
        <f t="shared" si="17"/>
        <v>29</v>
      </c>
      <c r="E211" s="2">
        <f t="shared" si="18"/>
        <v>45838</v>
      </c>
      <c r="F211" s="12">
        <f>_xlfn.XLOOKUP($A211,m1_cv!$B:$B,m1_cv!$C:$C)</f>
        <v>5336</v>
      </c>
      <c r="G211">
        <f>MAX(0,ROUND(SUMIFS(m1_cv!$E:$E,m1_cv!$A:$A,$E211,m1_cv!$B:$B,$A211),0))</f>
        <v>3239</v>
      </c>
      <c r="H211">
        <f>MAX(0,ROUND(SUMIFS(m2_cv!$E:$E,m2_cv!$A:$A,$E211,m2_cv!$B:$B,$A211),0))</f>
        <v>5311</v>
      </c>
      <c r="I211">
        <f>MAX(0,ROUND(SUMIFS(m3_cv!$E:$E,m3_cv!$A:$A,$E211,m3_cv!$B:$B,$A211),0))</f>
        <v>5312</v>
      </c>
      <c r="J211">
        <f>MAX(0,ROUND(SUMIFS(m4_cv!$E:$E,m4_cv!$A:$A,$E211,m4_cv!$B:$B,$A211),0))</f>
        <v>5304</v>
      </c>
      <c r="K211">
        <f>MAX(0,ROUND(SUMIFS(m5_cv!$E:$E,m5_cv!$A:$A,$E211,m5_cv!$B:$B,$A211),0))</f>
        <v>5023</v>
      </c>
      <c r="L211">
        <f>MAX(0,ROUND(SUMIFS(m6_cv!$E:$E,m6_cv!$A:$A,$E211,m6_cv!$B:$B,$A211),0))</f>
        <v>6433</v>
      </c>
      <c r="M211">
        <f>MAX(0,ROUND(SUMIFS(m7_cv!$E:$E,m7_cv!$A:$A,$E211,m7_cv!$B:$B,$A211),0))</f>
        <v>4972</v>
      </c>
      <c r="N211">
        <f>ROUND(_xlfn.XLOOKUP($D211,Charts!$W$82:$W$112,Charts!$X$82:$X$112)*$L211+_xlfn.XLOOKUP($D211,Charts!$W$82:$W$112,Charts!$Y$82:$Y$112)*$M211,0)</f>
        <v>4972</v>
      </c>
    </row>
    <row r="212" spans="1:14" x14ac:dyDescent="0.25">
      <c r="A212" s="3">
        <f t="shared" si="19"/>
        <v>45868</v>
      </c>
      <c r="B212">
        <f t="shared" si="15"/>
        <v>2025</v>
      </c>
      <c r="C212">
        <f t="shared" si="16"/>
        <v>7</v>
      </c>
      <c r="D212">
        <f t="shared" si="17"/>
        <v>30</v>
      </c>
      <c r="E212" s="2">
        <f t="shared" si="18"/>
        <v>45838</v>
      </c>
      <c r="F212" s="12">
        <f>_xlfn.XLOOKUP($A212,m1_cv!$B:$B,m1_cv!$C:$C)</f>
        <v>8373</v>
      </c>
      <c r="G212">
        <f>MAX(0,ROUND(SUMIFS(m1_cv!$E:$E,m1_cv!$A:$A,$E212,m1_cv!$B:$B,$A212),0))</f>
        <v>3296</v>
      </c>
      <c r="H212">
        <f>MAX(0,ROUND(SUMIFS(m2_cv!$E:$E,m2_cv!$A:$A,$E212,m2_cv!$B:$B,$A212),0))</f>
        <v>6446</v>
      </c>
      <c r="I212">
        <f>MAX(0,ROUND(SUMIFS(m3_cv!$E:$E,m3_cv!$A:$A,$E212,m3_cv!$B:$B,$A212),0))</f>
        <v>6493</v>
      </c>
      <c r="J212">
        <f>MAX(0,ROUND(SUMIFS(m4_cv!$E:$E,m4_cv!$A:$A,$E212,m4_cv!$B:$B,$A212),0))</f>
        <v>6488</v>
      </c>
      <c r="K212">
        <f>MAX(0,ROUND(SUMIFS(m5_cv!$E:$E,m5_cv!$A:$A,$E212,m5_cv!$B:$B,$A212),0))</f>
        <v>7561</v>
      </c>
      <c r="L212">
        <f>MAX(0,ROUND(SUMIFS(m6_cv!$E:$E,m6_cv!$A:$A,$E212,m6_cv!$B:$B,$A212),0))</f>
        <v>12975</v>
      </c>
      <c r="M212">
        <f>MAX(0,ROUND(SUMIFS(m7_cv!$E:$E,m7_cv!$A:$A,$E212,m7_cv!$B:$B,$A212),0))</f>
        <v>7579</v>
      </c>
      <c r="N212">
        <f>ROUND(_xlfn.XLOOKUP($D212,Charts!$W$82:$W$112,Charts!$X$82:$X$112)*$L212+_xlfn.XLOOKUP($D212,Charts!$W$82:$W$112,Charts!$Y$82:$Y$112)*$M212,0)</f>
        <v>7579</v>
      </c>
    </row>
    <row r="213" spans="1:14" x14ac:dyDescent="0.25">
      <c r="A213" s="3">
        <f t="shared" si="19"/>
        <v>45869</v>
      </c>
      <c r="B213">
        <f t="shared" si="15"/>
        <v>2025</v>
      </c>
      <c r="C213">
        <f t="shared" si="16"/>
        <v>7</v>
      </c>
      <c r="D213">
        <f t="shared" si="17"/>
        <v>31</v>
      </c>
      <c r="E213" s="2">
        <f t="shared" si="18"/>
        <v>45838</v>
      </c>
      <c r="F213" s="12">
        <f>_xlfn.XLOOKUP($A213,m1_cv!$B:$B,m1_cv!$C:$C)</f>
        <v>11889</v>
      </c>
      <c r="G213">
        <f>MAX(0,ROUND(SUMIFS(m1_cv!$E:$E,m1_cv!$A:$A,$E213,m1_cv!$B:$B,$A213),0))</f>
        <v>3312</v>
      </c>
      <c r="H213">
        <f>MAX(0,ROUND(SUMIFS(m2_cv!$E:$E,m2_cv!$A:$A,$E213,m2_cv!$B:$B,$A213),0))</f>
        <v>6860</v>
      </c>
      <c r="I213">
        <f>MAX(0,ROUND(SUMIFS(m3_cv!$E:$E,m3_cv!$A:$A,$E213,m3_cv!$B:$B,$A213),0))</f>
        <v>6950</v>
      </c>
      <c r="J213">
        <f>MAX(0,ROUND(SUMIFS(m4_cv!$E:$E,m4_cv!$A:$A,$E213,m4_cv!$B:$B,$A213),0))</f>
        <v>6944</v>
      </c>
      <c r="K213">
        <f>MAX(0,ROUND(SUMIFS(m5_cv!$E:$E,m5_cv!$A:$A,$E213,m5_cv!$B:$B,$A213),0))</f>
        <v>9898</v>
      </c>
      <c r="L213">
        <f>MAX(0,ROUND(SUMIFS(m6_cv!$E:$E,m6_cv!$A:$A,$E213,m6_cv!$B:$B,$A213),0))</f>
        <v>21620</v>
      </c>
      <c r="M213">
        <f>MAX(0,ROUND(SUMIFS(m7_cv!$E:$E,m7_cv!$A:$A,$E213,m7_cv!$B:$B,$A213),0))</f>
        <v>10144</v>
      </c>
      <c r="N213">
        <f>ROUND(_xlfn.XLOOKUP($D213,Charts!$W$82:$W$112,Charts!$X$82:$X$112)*$L213+_xlfn.XLOOKUP($D213,Charts!$W$82:$W$112,Charts!$Y$82:$Y$112)*$M213,0)</f>
        <v>10144</v>
      </c>
    </row>
    <row r="214" spans="1:14" x14ac:dyDescent="0.25">
      <c r="A214" s="3">
        <f t="shared" si="19"/>
        <v>45870</v>
      </c>
      <c r="B214">
        <f t="shared" si="15"/>
        <v>2025</v>
      </c>
      <c r="C214">
        <f t="shared" si="16"/>
        <v>8</v>
      </c>
      <c r="D214">
        <f t="shared" si="17"/>
        <v>1</v>
      </c>
      <c r="E214" s="2">
        <f t="shared" si="18"/>
        <v>45869</v>
      </c>
      <c r="F214" s="12">
        <f>_xlfn.XLOOKUP($A214,m1_cv!$B:$B,m1_cv!$C:$C)</f>
        <v>761</v>
      </c>
      <c r="G214">
        <f>MAX(0,ROUND(SUMIFS(m1_cv!$E:$E,m1_cv!$A:$A,$E214,m1_cv!$B:$B,$A214),0))</f>
        <v>3635</v>
      </c>
      <c r="H214">
        <f>MAX(0,ROUND(SUMIFS(m2_cv!$E:$E,m2_cv!$A:$A,$E214,m2_cv!$B:$B,$A214),0))</f>
        <v>6195</v>
      </c>
      <c r="I214">
        <f>MAX(0,ROUND(SUMIFS(m3_cv!$E:$E,m3_cv!$A:$A,$E214,m3_cv!$B:$B,$A214),0))</f>
        <v>6255</v>
      </c>
      <c r="J214">
        <f>MAX(0,ROUND(SUMIFS(m4_cv!$E:$E,m4_cv!$A:$A,$E214,m4_cv!$B:$B,$A214),0))</f>
        <v>6257</v>
      </c>
      <c r="K214">
        <f>MAX(0,ROUND(SUMIFS(m5_cv!$E:$E,m5_cv!$A:$A,$E214,m5_cv!$B:$B,$A214),0))</f>
        <v>2813</v>
      </c>
      <c r="L214">
        <f>MAX(0,ROUND(SUMIFS(m6_cv!$E:$E,m6_cv!$A:$A,$E214,m6_cv!$B:$B,$A214),0))</f>
        <v>1232</v>
      </c>
      <c r="M214">
        <f>MAX(0,ROUND(SUMIFS(m7_cv!$E:$E,m7_cv!$A:$A,$E214,m7_cv!$B:$B,$A214),0))</f>
        <v>2725</v>
      </c>
      <c r="N214">
        <f>ROUND(_xlfn.XLOOKUP($D214,Charts!$W$82:$W$112,Charts!$X$82:$X$112)*$L214+_xlfn.XLOOKUP($D214,Charts!$W$82:$W$112,Charts!$Y$82:$Y$112)*$M214,0)</f>
        <v>1232</v>
      </c>
    </row>
    <row r="215" spans="1:14" x14ac:dyDescent="0.25">
      <c r="A215" s="3">
        <f t="shared" si="19"/>
        <v>45871</v>
      </c>
      <c r="B215">
        <f t="shared" si="15"/>
        <v>2025</v>
      </c>
      <c r="C215">
        <f t="shared" si="16"/>
        <v>8</v>
      </c>
      <c r="D215">
        <f t="shared" si="17"/>
        <v>2</v>
      </c>
      <c r="E215" s="2">
        <f t="shared" si="18"/>
        <v>45869</v>
      </c>
      <c r="F215" s="12">
        <f>_xlfn.XLOOKUP($A215,m1_cv!$B:$B,m1_cv!$C:$C)</f>
        <v>74</v>
      </c>
      <c r="G215">
        <f>MAX(0,ROUND(SUMIFS(m1_cv!$E:$E,m1_cv!$A:$A,$E215,m1_cv!$B:$B,$A215),0))</f>
        <v>1412</v>
      </c>
      <c r="H215">
        <f>MAX(0,ROUND(SUMIFS(m2_cv!$E:$E,m2_cv!$A:$A,$E215,m2_cv!$B:$B,$A215),0))</f>
        <v>2312</v>
      </c>
      <c r="I215">
        <f>MAX(0,ROUND(SUMIFS(m3_cv!$E:$E,m3_cv!$A:$A,$E215,m3_cv!$B:$B,$A215),0))</f>
        <v>2368</v>
      </c>
      <c r="J215">
        <f>MAX(0,ROUND(SUMIFS(m4_cv!$E:$E,m4_cv!$A:$A,$E215,m4_cv!$B:$B,$A215),0))</f>
        <v>2372</v>
      </c>
      <c r="K215">
        <f>MAX(0,ROUND(SUMIFS(m5_cv!$E:$E,m5_cv!$A:$A,$E215,m5_cv!$B:$B,$A215),0))</f>
        <v>0</v>
      </c>
      <c r="L215">
        <f>MAX(0,ROUND(SUMIFS(m6_cv!$E:$E,m6_cv!$A:$A,$E215,m6_cv!$B:$B,$A215),0))</f>
        <v>120</v>
      </c>
      <c r="M215">
        <f>MAX(0,ROUND(SUMIFS(m7_cv!$E:$E,m7_cv!$A:$A,$E215,m7_cv!$B:$B,$A215),0))</f>
        <v>0</v>
      </c>
      <c r="N215">
        <f>ROUND(_xlfn.XLOOKUP($D215,Charts!$W$82:$W$112,Charts!$X$82:$X$112)*$L215+_xlfn.XLOOKUP($D215,Charts!$W$82:$W$112,Charts!$Y$82:$Y$112)*$M215,0)</f>
        <v>120</v>
      </c>
    </row>
    <row r="216" spans="1:14" x14ac:dyDescent="0.25">
      <c r="A216" s="3">
        <f t="shared" si="19"/>
        <v>45872</v>
      </c>
      <c r="B216">
        <f t="shared" si="15"/>
        <v>2025</v>
      </c>
      <c r="C216">
        <f t="shared" si="16"/>
        <v>8</v>
      </c>
      <c r="D216">
        <f t="shared" si="17"/>
        <v>3</v>
      </c>
      <c r="E216" s="2">
        <f t="shared" si="18"/>
        <v>45869</v>
      </c>
      <c r="F216" s="12">
        <f>_xlfn.XLOOKUP($A216,m1_cv!$B:$B,m1_cv!$C:$C)</f>
        <v>28</v>
      </c>
      <c r="G216">
        <f>MAX(0,ROUND(SUMIFS(m1_cv!$E:$E,m1_cv!$A:$A,$E216,m1_cv!$B:$B,$A216),0))</f>
        <v>866</v>
      </c>
      <c r="H216">
        <f>MAX(0,ROUND(SUMIFS(m2_cv!$E:$E,m2_cv!$A:$A,$E216,m2_cv!$B:$B,$A216),0))</f>
        <v>0</v>
      </c>
      <c r="I216">
        <f>MAX(0,ROUND(SUMIFS(m3_cv!$E:$E,m3_cv!$A:$A,$E216,m3_cv!$B:$B,$A216),0))</f>
        <v>38</v>
      </c>
      <c r="J216">
        <f>MAX(0,ROUND(SUMIFS(m4_cv!$E:$E,m4_cv!$A:$A,$E216,m4_cv!$B:$B,$A216),0))</f>
        <v>41</v>
      </c>
      <c r="K216">
        <f>MAX(0,ROUND(SUMIFS(m5_cv!$E:$E,m5_cv!$A:$A,$E216,m5_cv!$B:$B,$A216),0))</f>
        <v>0</v>
      </c>
      <c r="L216">
        <f>MAX(0,ROUND(SUMIFS(m6_cv!$E:$E,m6_cv!$A:$A,$E216,m6_cv!$B:$B,$A216),0))</f>
        <v>60</v>
      </c>
      <c r="M216">
        <f>MAX(0,ROUND(SUMIFS(m7_cv!$E:$E,m7_cv!$A:$A,$E216,m7_cv!$B:$B,$A216),0))</f>
        <v>0</v>
      </c>
      <c r="N216">
        <f>ROUND(_xlfn.XLOOKUP($D216,Charts!$W$82:$W$112,Charts!$X$82:$X$112)*$L216+_xlfn.XLOOKUP($D216,Charts!$W$82:$W$112,Charts!$Y$82:$Y$112)*$M216,0)</f>
        <v>60</v>
      </c>
    </row>
    <row r="217" spans="1:14" x14ac:dyDescent="0.25">
      <c r="A217" s="3">
        <f t="shared" si="19"/>
        <v>45873</v>
      </c>
      <c r="B217">
        <f t="shared" si="15"/>
        <v>2025</v>
      </c>
      <c r="C217">
        <f t="shared" si="16"/>
        <v>8</v>
      </c>
      <c r="D217">
        <f t="shared" si="17"/>
        <v>4</v>
      </c>
      <c r="E217" s="2">
        <f t="shared" si="18"/>
        <v>45869</v>
      </c>
      <c r="F217" s="12">
        <f>_xlfn.XLOOKUP($A217,m1_cv!$B:$B,m1_cv!$C:$C)</f>
        <v>912</v>
      </c>
      <c r="G217">
        <f>MAX(0,ROUND(SUMIFS(m1_cv!$E:$E,m1_cv!$A:$A,$E217,m1_cv!$B:$B,$A217),0))</f>
        <v>3182</v>
      </c>
      <c r="H217">
        <f>MAX(0,ROUND(SUMIFS(m2_cv!$E:$E,m2_cv!$A:$A,$E217,m2_cv!$B:$B,$A217),0))</f>
        <v>1187</v>
      </c>
      <c r="I217">
        <f>MAX(0,ROUND(SUMIFS(m3_cv!$E:$E,m3_cv!$A:$A,$E217,m3_cv!$B:$B,$A217),0))</f>
        <v>1396</v>
      </c>
      <c r="J217">
        <f>MAX(0,ROUND(SUMIFS(m4_cv!$E:$E,m4_cv!$A:$A,$E217,m4_cv!$B:$B,$A217),0))</f>
        <v>1400</v>
      </c>
      <c r="K217">
        <f>MAX(0,ROUND(SUMIFS(m5_cv!$E:$E,m5_cv!$A:$A,$E217,m5_cv!$B:$B,$A217),0))</f>
        <v>1222</v>
      </c>
      <c r="L217">
        <f>MAX(0,ROUND(SUMIFS(m6_cv!$E:$E,m6_cv!$A:$A,$E217,m6_cv!$B:$B,$A217),0))</f>
        <v>680</v>
      </c>
      <c r="M217">
        <f>MAX(0,ROUND(SUMIFS(m7_cv!$E:$E,m7_cv!$A:$A,$E217,m7_cv!$B:$B,$A217),0))</f>
        <v>1400</v>
      </c>
      <c r="N217">
        <f>ROUND(_xlfn.XLOOKUP($D217,Charts!$W$82:$W$112,Charts!$X$82:$X$112)*$L217+_xlfn.XLOOKUP($D217,Charts!$W$82:$W$112,Charts!$Y$82:$Y$112)*$M217,0)</f>
        <v>680</v>
      </c>
    </row>
    <row r="218" spans="1:14" x14ac:dyDescent="0.25">
      <c r="A218" s="3">
        <f t="shared" si="19"/>
        <v>45874</v>
      </c>
      <c r="B218">
        <f t="shared" si="15"/>
        <v>2025</v>
      </c>
      <c r="C218">
        <f t="shared" si="16"/>
        <v>8</v>
      </c>
      <c r="D218">
        <f t="shared" si="17"/>
        <v>5</v>
      </c>
      <c r="E218" s="2">
        <f t="shared" si="18"/>
        <v>45869</v>
      </c>
      <c r="F218" s="12">
        <f>_xlfn.XLOOKUP($A218,m1_cv!$B:$B,m1_cv!$C:$C)</f>
        <v>2022</v>
      </c>
      <c r="G218">
        <f>MAX(0,ROUND(SUMIFS(m1_cv!$E:$E,m1_cv!$A:$A,$E218,m1_cv!$B:$B,$A218),0))</f>
        <v>3659</v>
      </c>
      <c r="H218">
        <f>MAX(0,ROUND(SUMIFS(m2_cv!$E:$E,m2_cv!$A:$A,$E218,m2_cv!$B:$B,$A218),0))</f>
        <v>1398</v>
      </c>
      <c r="I218">
        <f>MAX(0,ROUND(SUMIFS(m3_cv!$E:$E,m3_cv!$A:$A,$E218,m3_cv!$B:$B,$A218),0))</f>
        <v>1354</v>
      </c>
      <c r="J218">
        <f>MAX(0,ROUND(SUMIFS(m4_cv!$E:$E,m4_cv!$A:$A,$E218,m4_cv!$B:$B,$A218),0))</f>
        <v>1355</v>
      </c>
      <c r="K218">
        <f>MAX(0,ROUND(SUMIFS(m5_cv!$E:$E,m5_cv!$A:$A,$E218,m5_cv!$B:$B,$A218),0))</f>
        <v>1638</v>
      </c>
      <c r="L218">
        <f>MAX(0,ROUND(SUMIFS(m6_cv!$E:$E,m6_cv!$A:$A,$E218,m6_cv!$B:$B,$A218),0))</f>
        <v>861</v>
      </c>
      <c r="M218">
        <f>MAX(0,ROUND(SUMIFS(m7_cv!$E:$E,m7_cv!$A:$A,$E218,m7_cv!$B:$B,$A218),0))</f>
        <v>1596</v>
      </c>
      <c r="N218">
        <f>ROUND(_xlfn.XLOOKUP($D218,Charts!$W$82:$W$112,Charts!$X$82:$X$112)*$L218+_xlfn.XLOOKUP($D218,Charts!$W$82:$W$112,Charts!$Y$82:$Y$112)*$M218,0)</f>
        <v>1008</v>
      </c>
    </row>
    <row r="219" spans="1:14" x14ac:dyDescent="0.25">
      <c r="A219" s="3">
        <f t="shared" si="19"/>
        <v>45875</v>
      </c>
      <c r="B219">
        <f t="shared" si="15"/>
        <v>2025</v>
      </c>
      <c r="C219">
        <f t="shared" si="16"/>
        <v>8</v>
      </c>
      <c r="D219">
        <f t="shared" si="17"/>
        <v>6</v>
      </c>
      <c r="E219" s="2">
        <f t="shared" si="18"/>
        <v>45869</v>
      </c>
      <c r="F219" s="12">
        <f>_xlfn.XLOOKUP($A219,m1_cv!$B:$B,m1_cv!$C:$C)</f>
        <v>1344</v>
      </c>
      <c r="G219">
        <f>MAX(0,ROUND(SUMIFS(m1_cv!$E:$E,m1_cv!$A:$A,$E219,m1_cv!$B:$B,$A219),0))</f>
        <v>3716</v>
      </c>
      <c r="H219">
        <f>MAX(0,ROUND(SUMIFS(m2_cv!$E:$E,m2_cv!$A:$A,$E219,m2_cv!$B:$B,$A219),0))</f>
        <v>1805</v>
      </c>
      <c r="I219">
        <f>MAX(0,ROUND(SUMIFS(m3_cv!$E:$E,m3_cv!$A:$A,$E219,m3_cv!$B:$B,$A219),0))</f>
        <v>1780</v>
      </c>
      <c r="J219">
        <f>MAX(0,ROUND(SUMIFS(m4_cv!$E:$E,m4_cv!$A:$A,$E219,m4_cv!$B:$B,$A219),0))</f>
        <v>1781</v>
      </c>
      <c r="K219">
        <f>MAX(0,ROUND(SUMIFS(m5_cv!$E:$E,m5_cv!$A:$A,$E219,m5_cv!$B:$B,$A219),0))</f>
        <v>1885</v>
      </c>
      <c r="L219">
        <f>MAX(0,ROUND(SUMIFS(m6_cv!$E:$E,m6_cv!$A:$A,$E219,m6_cv!$B:$B,$A219),0))</f>
        <v>971</v>
      </c>
      <c r="M219">
        <f>MAX(0,ROUND(SUMIFS(m7_cv!$E:$E,m7_cv!$A:$A,$E219,m7_cv!$B:$B,$A219),0))</f>
        <v>1749</v>
      </c>
      <c r="N219">
        <f>ROUND(_xlfn.XLOOKUP($D219,Charts!$W$82:$W$112,Charts!$X$82:$X$112)*$L219+_xlfn.XLOOKUP($D219,Charts!$W$82:$W$112,Charts!$Y$82:$Y$112)*$M219,0)</f>
        <v>1360</v>
      </c>
    </row>
    <row r="220" spans="1:14" x14ac:dyDescent="0.25">
      <c r="A220" s="3">
        <f t="shared" si="19"/>
        <v>45876</v>
      </c>
      <c r="B220">
        <f t="shared" si="15"/>
        <v>2025</v>
      </c>
      <c r="C220">
        <f t="shared" si="16"/>
        <v>8</v>
      </c>
      <c r="D220">
        <f t="shared" si="17"/>
        <v>7</v>
      </c>
      <c r="E220" s="2">
        <f t="shared" si="18"/>
        <v>45869</v>
      </c>
      <c r="F220" s="12">
        <f>_xlfn.XLOOKUP($A220,m1_cv!$B:$B,m1_cv!$C:$C)</f>
        <v>1585</v>
      </c>
      <c r="G220">
        <f>MAX(0,ROUND(SUMIFS(m1_cv!$E:$E,m1_cv!$A:$A,$E220,m1_cv!$B:$B,$A220),0))</f>
        <v>3733</v>
      </c>
      <c r="H220">
        <f>MAX(0,ROUND(SUMIFS(m2_cv!$E:$E,m2_cv!$A:$A,$E220,m2_cv!$B:$B,$A220),0))</f>
        <v>2224</v>
      </c>
      <c r="I220">
        <f>MAX(0,ROUND(SUMIFS(m3_cv!$E:$E,m3_cv!$A:$A,$E220,m3_cv!$B:$B,$A220),0))</f>
        <v>2146</v>
      </c>
      <c r="J220">
        <f>MAX(0,ROUND(SUMIFS(m4_cv!$E:$E,m4_cv!$A:$A,$E220,m4_cv!$B:$B,$A220),0))</f>
        <v>2147</v>
      </c>
      <c r="K220">
        <f>MAX(0,ROUND(SUMIFS(m5_cv!$E:$E,m5_cv!$A:$A,$E220,m5_cv!$B:$B,$A220),0))</f>
        <v>1855</v>
      </c>
      <c r="L220">
        <f>MAX(0,ROUND(SUMIFS(m6_cv!$E:$E,m6_cv!$A:$A,$E220,m6_cv!$B:$B,$A220),0))</f>
        <v>1068</v>
      </c>
      <c r="M220">
        <f>MAX(0,ROUND(SUMIFS(m7_cv!$E:$E,m7_cv!$A:$A,$E220,m7_cv!$B:$B,$A220),0))</f>
        <v>1810</v>
      </c>
      <c r="N220">
        <f>ROUND(_xlfn.XLOOKUP($D220,Charts!$W$82:$W$112,Charts!$X$82:$X$112)*$L220+_xlfn.XLOOKUP($D220,Charts!$W$82:$W$112,Charts!$Y$82:$Y$112)*$M220,0)</f>
        <v>1439</v>
      </c>
    </row>
    <row r="221" spans="1:14" x14ac:dyDescent="0.25">
      <c r="A221" s="3">
        <f t="shared" si="19"/>
        <v>45877</v>
      </c>
      <c r="B221">
        <f t="shared" si="15"/>
        <v>2025</v>
      </c>
      <c r="C221">
        <f t="shared" si="16"/>
        <v>8</v>
      </c>
      <c r="D221">
        <f t="shared" si="17"/>
        <v>8</v>
      </c>
      <c r="E221" s="2">
        <f t="shared" si="18"/>
        <v>45869</v>
      </c>
      <c r="F221" s="12">
        <f>_xlfn.XLOOKUP($A221,m1_cv!$B:$B,m1_cv!$C:$C)</f>
        <v>2032</v>
      </c>
      <c r="G221">
        <f>MAX(0,ROUND(SUMIFS(m1_cv!$E:$E,m1_cv!$A:$A,$E221,m1_cv!$B:$B,$A221),0))</f>
        <v>3661</v>
      </c>
      <c r="H221">
        <f>MAX(0,ROUND(SUMIFS(m2_cv!$E:$E,m2_cv!$A:$A,$E221,m2_cv!$B:$B,$A221),0))</f>
        <v>2290</v>
      </c>
      <c r="I221">
        <f>MAX(0,ROUND(SUMIFS(m3_cv!$E:$E,m3_cv!$A:$A,$E221,m3_cv!$B:$B,$A221),0))</f>
        <v>2111</v>
      </c>
      <c r="J221">
        <f>MAX(0,ROUND(SUMIFS(m4_cv!$E:$E,m4_cv!$A:$A,$E221,m4_cv!$B:$B,$A221),0))</f>
        <v>2111</v>
      </c>
      <c r="K221">
        <f>MAX(0,ROUND(SUMIFS(m5_cv!$E:$E,m5_cv!$A:$A,$E221,m5_cv!$B:$B,$A221),0))</f>
        <v>2371</v>
      </c>
      <c r="L221">
        <f>MAX(0,ROUND(SUMIFS(m6_cv!$E:$E,m6_cv!$A:$A,$E221,m6_cv!$B:$B,$A221),0))</f>
        <v>1924</v>
      </c>
      <c r="M221">
        <f>MAX(0,ROUND(SUMIFS(m7_cv!$E:$E,m7_cv!$A:$A,$E221,m7_cv!$B:$B,$A221),0))</f>
        <v>2404</v>
      </c>
      <c r="N221">
        <f>ROUND(_xlfn.XLOOKUP($D221,Charts!$W$82:$W$112,Charts!$X$82:$X$112)*$L221+_xlfn.XLOOKUP($D221,Charts!$W$82:$W$112,Charts!$Y$82:$Y$112)*$M221,0)</f>
        <v>2164</v>
      </c>
    </row>
    <row r="222" spans="1:14" x14ac:dyDescent="0.25">
      <c r="A222" s="3">
        <f t="shared" si="19"/>
        <v>45878</v>
      </c>
      <c r="B222">
        <f t="shared" si="15"/>
        <v>2025</v>
      </c>
      <c r="C222">
        <f t="shared" si="16"/>
        <v>8</v>
      </c>
      <c r="D222">
        <f t="shared" si="17"/>
        <v>9</v>
      </c>
      <c r="E222" s="2">
        <f t="shared" si="18"/>
        <v>45869</v>
      </c>
      <c r="F222" s="12">
        <f>_xlfn.XLOOKUP($A222,m1_cv!$B:$B,m1_cv!$C:$C)</f>
        <v>327</v>
      </c>
      <c r="G222">
        <f>MAX(0,ROUND(SUMIFS(m1_cv!$E:$E,m1_cv!$A:$A,$E222,m1_cv!$B:$B,$A222),0))</f>
        <v>1411</v>
      </c>
      <c r="H222">
        <f>MAX(0,ROUND(SUMIFS(m2_cv!$E:$E,m2_cv!$A:$A,$E222,m2_cv!$B:$B,$A222),0))</f>
        <v>0</v>
      </c>
      <c r="I222">
        <f>MAX(0,ROUND(SUMIFS(m3_cv!$E:$E,m3_cv!$A:$A,$E222,m3_cv!$B:$B,$A222),0))</f>
        <v>0</v>
      </c>
      <c r="J222">
        <f>MAX(0,ROUND(SUMIFS(m4_cv!$E:$E,m4_cv!$A:$A,$E222,m4_cv!$B:$B,$A222),0))</f>
        <v>0</v>
      </c>
      <c r="K222">
        <f>MAX(0,ROUND(SUMIFS(m5_cv!$E:$E,m5_cv!$A:$A,$E222,m5_cv!$B:$B,$A222),0))</f>
        <v>0</v>
      </c>
      <c r="L222">
        <f>MAX(0,ROUND(SUMIFS(m6_cv!$E:$E,m6_cv!$A:$A,$E222,m6_cv!$B:$B,$A222),0))</f>
        <v>299</v>
      </c>
      <c r="M222">
        <f>MAX(0,ROUND(SUMIFS(m7_cv!$E:$E,m7_cv!$A:$A,$E222,m7_cv!$B:$B,$A222),0))</f>
        <v>0</v>
      </c>
      <c r="N222">
        <f>ROUND(_xlfn.XLOOKUP($D222,Charts!$W$82:$W$112,Charts!$X$82:$X$112)*$L222+_xlfn.XLOOKUP($D222,Charts!$W$82:$W$112,Charts!$Y$82:$Y$112)*$M222,0)</f>
        <v>150</v>
      </c>
    </row>
    <row r="223" spans="1:14" x14ac:dyDescent="0.25">
      <c r="A223" s="3">
        <f t="shared" si="19"/>
        <v>45879</v>
      </c>
      <c r="B223">
        <f t="shared" si="15"/>
        <v>2025</v>
      </c>
      <c r="C223">
        <f t="shared" si="16"/>
        <v>8</v>
      </c>
      <c r="D223">
        <f t="shared" si="17"/>
        <v>10</v>
      </c>
      <c r="E223" s="2">
        <f t="shared" si="18"/>
        <v>45869</v>
      </c>
      <c r="F223" s="12">
        <f>_xlfn.XLOOKUP($A223,m1_cv!$B:$B,m1_cv!$C:$C)</f>
        <v>78</v>
      </c>
      <c r="G223">
        <f>MAX(0,ROUND(SUMIFS(m1_cv!$E:$E,m1_cv!$A:$A,$E223,m1_cv!$B:$B,$A223),0))</f>
        <v>840</v>
      </c>
      <c r="H223">
        <f>MAX(0,ROUND(SUMIFS(m2_cv!$E:$E,m2_cv!$A:$A,$E223,m2_cv!$B:$B,$A223),0))</f>
        <v>0</v>
      </c>
      <c r="I223">
        <f>MAX(0,ROUND(SUMIFS(m3_cv!$E:$E,m3_cv!$A:$A,$E223,m3_cv!$B:$B,$A223),0))</f>
        <v>0</v>
      </c>
      <c r="J223">
        <f>MAX(0,ROUND(SUMIFS(m4_cv!$E:$E,m4_cv!$A:$A,$E223,m4_cv!$B:$B,$A223),0))</f>
        <v>0</v>
      </c>
      <c r="K223">
        <f>MAX(0,ROUND(SUMIFS(m5_cv!$E:$E,m5_cv!$A:$A,$E223,m5_cv!$B:$B,$A223),0))</f>
        <v>0</v>
      </c>
      <c r="L223">
        <f>MAX(0,ROUND(SUMIFS(m6_cv!$E:$E,m6_cv!$A:$A,$E223,m6_cv!$B:$B,$A223),0))</f>
        <v>105</v>
      </c>
      <c r="M223">
        <f>MAX(0,ROUND(SUMIFS(m7_cv!$E:$E,m7_cv!$A:$A,$E223,m7_cv!$B:$B,$A223),0))</f>
        <v>0</v>
      </c>
      <c r="N223">
        <f>ROUND(_xlfn.XLOOKUP($D223,Charts!$W$82:$W$112,Charts!$X$82:$X$112)*$L223+_xlfn.XLOOKUP($D223,Charts!$W$82:$W$112,Charts!$Y$82:$Y$112)*$M223,0)</f>
        <v>53</v>
      </c>
    </row>
    <row r="224" spans="1:14" x14ac:dyDescent="0.25">
      <c r="A224" s="3">
        <f t="shared" si="19"/>
        <v>45880</v>
      </c>
      <c r="B224">
        <f t="shared" si="15"/>
        <v>2025</v>
      </c>
      <c r="C224">
        <f t="shared" si="16"/>
        <v>8</v>
      </c>
      <c r="D224">
        <f t="shared" si="17"/>
        <v>11</v>
      </c>
      <c r="E224" s="2">
        <f t="shared" si="18"/>
        <v>45869</v>
      </c>
      <c r="F224" s="12">
        <f>_xlfn.XLOOKUP($A224,m1_cv!$B:$B,m1_cv!$C:$C)</f>
        <v>2043</v>
      </c>
      <c r="G224">
        <f>MAX(0,ROUND(SUMIFS(m1_cv!$E:$E,m1_cv!$A:$A,$E224,m1_cv!$B:$B,$A224),0))</f>
        <v>3133</v>
      </c>
      <c r="H224">
        <f>MAX(0,ROUND(SUMIFS(m2_cv!$E:$E,m2_cv!$A:$A,$E224,m2_cv!$B:$B,$A224),0))</f>
        <v>1818</v>
      </c>
      <c r="I224">
        <f>MAX(0,ROUND(SUMIFS(m3_cv!$E:$E,m3_cv!$A:$A,$E224,m3_cv!$B:$B,$A224),0))</f>
        <v>1883</v>
      </c>
      <c r="J224">
        <f>MAX(0,ROUND(SUMIFS(m4_cv!$E:$E,m4_cv!$A:$A,$E224,m4_cv!$B:$B,$A224),0))</f>
        <v>1885</v>
      </c>
      <c r="K224">
        <f>MAX(0,ROUND(SUMIFS(m5_cv!$E:$E,m5_cv!$A:$A,$E224,m5_cv!$B:$B,$A224),0))</f>
        <v>1961</v>
      </c>
      <c r="L224">
        <f>MAX(0,ROUND(SUMIFS(m6_cv!$E:$E,m6_cv!$A:$A,$E224,m6_cv!$B:$B,$A224),0))</f>
        <v>1344</v>
      </c>
      <c r="M224">
        <f>MAX(0,ROUND(SUMIFS(m7_cv!$E:$E,m7_cv!$A:$A,$E224,m7_cv!$B:$B,$A224),0))</f>
        <v>1861</v>
      </c>
      <c r="N224">
        <f>ROUND(_xlfn.XLOOKUP($D224,Charts!$W$82:$W$112,Charts!$X$82:$X$112)*$L224+_xlfn.XLOOKUP($D224,Charts!$W$82:$W$112,Charts!$Y$82:$Y$112)*$M224,0)</f>
        <v>1706</v>
      </c>
    </row>
    <row r="225" spans="1:14" x14ac:dyDescent="0.25">
      <c r="A225" s="3">
        <f t="shared" si="19"/>
        <v>45881</v>
      </c>
      <c r="B225">
        <f t="shared" si="15"/>
        <v>2025</v>
      </c>
      <c r="C225">
        <f t="shared" si="16"/>
        <v>8</v>
      </c>
      <c r="D225">
        <f t="shared" si="17"/>
        <v>12</v>
      </c>
      <c r="E225" s="2">
        <f t="shared" si="18"/>
        <v>45869</v>
      </c>
      <c r="F225" s="12">
        <f>_xlfn.XLOOKUP($A225,m1_cv!$B:$B,m1_cv!$C:$C)</f>
        <v>2431</v>
      </c>
      <c r="G225">
        <f>MAX(0,ROUND(SUMIFS(m1_cv!$E:$E,m1_cv!$A:$A,$E225,m1_cv!$B:$B,$A225),0))</f>
        <v>3589</v>
      </c>
      <c r="H225">
        <f>MAX(0,ROUND(SUMIFS(m2_cv!$E:$E,m2_cv!$A:$A,$E225,m2_cv!$B:$B,$A225),0))</f>
        <v>2524</v>
      </c>
      <c r="I225">
        <f>MAX(0,ROUND(SUMIFS(m3_cv!$E:$E,m3_cv!$A:$A,$E225,m3_cv!$B:$B,$A225),0))</f>
        <v>2450</v>
      </c>
      <c r="J225">
        <f>MAX(0,ROUND(SUMIFS(m4_cv!$E:$E,m4_cv!$A:$A,$E225,m4_cv!$B:$B,$A225),0))</f>
        <v>2450</v>
      </c>
      <c r="K225">
        <f>MAX(0,ROUND(SUMIFS(m5_cv!$E:$E,m5_cv!$A:$A,$E225,m5_cv!$B:$B,$A225),0))</f>
        <v>2358</v>
      </c>
      <c r="L225">
        <f>MAX(0,ROUND(SUMIFS(m6_cv!$E:$E,m6_cv!$A:$A,$E225,m6_cv!$B:$B,$A225),0))</f>
        <v>1835</v>
      </c>
      <c r="M225">
        <f>MAX(0,ROUND(SUMIFS(m7_cv!$E:$E,m7_cv!$A:$A,$E225,m7_cv!$B:$B,$A225),0))</f>
        <v>2333</v>
      </c>
      <c r="N225">
        <f>ROUND(_xlfn.XLOOKUP($D225,Charts!$W$82:$W$112,Charts!$X$82:$X$112)*$L225+_xlfn.XLOOKUP($D225,Charts!$W$82:$W$112,Charts!$Y$82:$Y$112)*$M225,0)</f>
        <v>2184</v>
      </c>
    </row>
    <row r="226" spans="1:14" x14ac:dyDescent="0.25">
      <c r="A226" s="3">
        <f t="shared" si="19"/>
        <v>45882</v>
      </c>
      <c r="B226">
        <f t="shared" si="15"/>
        <v>2025</v>
      </c>
      <c r="C226">
        <f t="shared" si="16"/>
        <v>8</v>
      </c>
      <c r="D226">
        <f t="shared" si="17"/>
        <v>13</v>
      </c>
      <c r="E226" s="2">
        <f t="shared" si="18"/>
        <v>45869</v>
      </c>
      <c r="F226" s="12">
        <f>_xlfn.XLOOKUP($A226,m1_cv!$B:$B,m1_cv!$C:$C)</f>
        <v>2484</v>
      </c>
      <c r="G226">
        <f>MAX(0,ROUND(SUMIFS(m1_cv!$E:$E,m1_cv!$A:$A,$E226,m1_cv!$B:$B,$A226),0))</f>
        <v>3628</v>
      </c>
      <c r="H226">
        <f>MAX(0,ROUND(SUMIFS(m2_cv!$E:$E,m2_cv!$A:$A,$E226,m2_cv!$B:$B,$A226),0))</f>
        <v>2753</v>
      </c>
      <c r="I226">
        <f>MAX(0,ROUND(SUMIFS(m3_cv!$E:$E,m3_cv!$A:$A,$E226,m3_cv!$B:$B,$A226),0))</f>
        <v>2755</v>
      </c>
      <c r="J226">
        <f>MAX(0,ROUND(SUMIFS(m4_cv!$E:$E,m4_cv!$A:$A,$E226,m4_cv!$B:$B,$A226),0))</f>
        <v>2756</v>
      </c>
      <c r="K226">
        <f>MAX(0,ROUND(SUMIFS(m5_cv!$E:$E,m5_cv!$A:$A,$E226,m5_cv!$B:$B,$A226),0))</f>
        <v>2524</v>
      </c>
      <c r="L226">
        <f>MAX(0,ROUND(SUMIFS(m6_cv!$E:$E,m6_cv!$A:$A,$E226,m6_cv!$B:$B,$A226),0))</f>
        <v>2166</v>
      </c>
      <c r="M226">
        <f>MAX(0,ROUND(SUMIFS(m7_cv!$E:$E,m7_cv!$A:$A,$E226,m7_cv!$B:$B,$A226),0))</f>
        <v>2567</v>
      </c>
      <c r="N226">
        <f>ROUND(_xlfn.XLOOKUP($D226,Charts!$W$82:$W$112,Charts!$X$82:$X$112)*$L226+_xlfn.XLOOKUP($D226,Charts!$W$82:$W$112,Charts!$Y$82:$Y$112)*$M226,0)</f>
        <v>2447</v>
      </c>
    </row>
    <row r="227" spans="1:14" x14ac:dyDescent="0.25">
      <c r="A227" s="3">
        <f t="shared" si="19"/>
        <v>45883</v>
      </c>
      <c r="B227">
        <f t="shared" si="15"/>
        <v>2025</v>
      </c>
      <c r="C227">
        <f t="shared" si="16"/>
        <v>8</v>
      </c>
      <c r="D227">
        <f t="shared" si="17"/>
        <v>14</v>
      </c>
      <c r="E227" s="2">
        <f t="shared" si="18"/>
        <v>45869</v>
      </c>
      <c r="F227" s="12">
        <f>_xlfn.XLOOKUP($A227,m1_cv!$B:$B,m1_cv!$C:$C)</f>
        <v>2669</v>
      </c>
      <c r="G227">
        <f>MAX(0,ROUND(SUMIFS(m1_cv!$E:$E,m1_cv!$A:$A,$E227,m1_cv!$B:$B,$A227),0))</f>
        <v>3629</v>
      </c>
      <c r="H227">
        <f>MAX(0,ROUND(SUMIFS(m2_cv!$E:$E,m2_cv!$A:$A,$E227,m2_cv!$B:$B,$A227),0))</f>
        <v>2789</v>
      </c>
      <c r="I227">
        <f>MAX(0,ROUND(SUMIFS(m3_cv!$E:$E,m3_cv!$A:$A,$E227,m3_cv!$B:$B,$A227),0))</f>
        <v>2736</v>
      </c>
      <c r="J227">
        <f>MAX(0,ROUND(SUMIFS(m4_cv!$E:$E,m4_cv!$A:$A,$E227,m4_cv!$B:$B,$A227),0))</f>
        <v>2737</v>
      </c>
      <c r="K227">
        <f>MAX(0,ROUND(SUMIFS(m5_cv!$E:$E,m5_cv!$A:$A,$E227,m5_cv!$B:$B,$A227),0))</f>
        <v>2563</v>
      </c>
      <c r="L227">
        <f>MAX(0,ROUND(SUMIFS(m6_cv!$E:$E,m6_cv!$A:$A,$E227,m6_cv!$B:$B,$A227),0))</f>
        <v>2505</v>
      </c>
      <c r="M227">
        <f>MAX(0,ROUND(SUMIFS(m7_cv!$E:$E,m7_cv!$A:$A,$E227,m7_cv!$B:$B,$A227),0))</f>
        <v>2583</v>
      </c>
      <c r="N227">
        <f>ROUND(_xlfn.XLOOKUP($D227,Charts!$W$82:$W$112,Charts!$X$82:$X$112)*$L227+_xlfn.XLOOKUP($D227,Charts!$W$82:$W$112,Charts!$Y$82:$Y$112)*$M227,0)</f>
        <v>2583</v>
      </c>
    </row>
    <row r="228" spans="1:14" x14ac:dyDescent="0.25">
      <c r="A228" s="3">
        <f t="shared" si="19"/>
        <v>45884</v>
      </c>
      <c r="B228">
        <f t="shared" si="15"/>
        <v>2025</v>
      </c>
      <c r="C228">
        <f t="shared" si="16"/>
        <v>8</v>
      </c>
      <c r="D228">
        <f t="shared" si="17"/>
        <v>15</v>
      </c>
      <c r="E228" s="2">
        <f t="shared" si="18"/>
        <v>45869</v>
      </c>
      <c r="F228" s="12">
        <f>_xlfn.XLOOKUP($A228,m1_cv!$B:$B,m1_cv!$C:$C)</f>
        <v>3160</v>
      </c>
      <c r="G228">
        <f>MAX(0,ROUND(SUMIFS(m1_cv!$E:$E,m1_cv!$A:$A,$E228,m1_cv!$B:$B,$A228),0))</f>
        <v>3545</v>
      </c>
      <c r="H228">
        <f>MAX(0,ROUND(SUMIFS(m2_cv!$E:$E,m2_cv!$A:$A,$E228,m2_cv!$B:$B,$A228),0))</f>
        <v>2711</v>
      </c>
      <c r="I228">
        <f>MAX(0,ROUND(SUMIFS(m3_cv!$E:$E,m3_cv!$A:$A,$E228,m3_cv!$B:$B,$A228),0))</f>
        <v>2535</v>
      </c>
      <c r="J228">
        <f>MAX(0,ROUND(SUMIFS(m4_cv!$E:$E,m4_cv!$A:$A,$E228,m4_cv!$B:$B,$A228),0))</f>
        <v>2536</v>
      </c>
      <c r="K228">
        <f>MAX(0,ROUND(SUMIFS(m5_cv!$E:$E,m5_cv!$A:$A,$E228,m5_cv!$B:$B,$A228),0))</f>
        <v>2574</v>
      </c>
      <c r="L228">
        <f>MAX(0,ROUND(SUMIFS(m6_cv!$E:$E,m6_cv!$A:$A,$E228,m6_cv!$B:$B,$A228),0))</f>
        <v>2528</v>
      </c>
      <c r="M228">
        <f>MAX(0,ROUND(SUMIFS(m7_cv!$E:$E,m7_cv!$A:$A,$E228,m7_cv!$B:$B,$A228),0))</f>
        <v>2574</v>
      </c>
      <c r="N228">
        <f>ROUND(_xlfn.XLOOKUP($D228,Charts!$W$82:$W$112,Charts!$X$82:$X$112)*$L228+_xlfn.XLOOKUP($D228,Charts!$W$82:$W$112,Charts!$Y$82:$Y$112)*$M228,0)</f>
        <v>2574</v>
      </c>
    </row>
    <row r="229" spans="1:14" x14ac:dyDescent="0.25">
      <c r="A229" s="3">
        <f t="shared" si="19"/>
        <v>45885</v>
      </c>
      <c r="B229">
        <f t="shared" si="15"/>
        <v>2025</v>
      </c>
      <c r="C229">
        <f t="shared" si="16"/>
        <v>8</v>
      </c>
      <c r="D229">
        <f t="shared" si="17"/>
        <v>16</v>
      </c>
      <c r="E229" s="2">
        <f t="shared" si="18"/>
        <v>45869</v>
      </c>
      <c r="F229" s="12">
        <f>_xlfn.XLOOKUP($A229,m1_cv!$B:$B,m1_cv!$C:$C)</f>
        <v>560</v>
      </c>
      <c r="G229">
        <f>MAX(0,ROUND(SUMIFS(m1_cv!$E:$E,m1_cv!$A:$A,$E229,m1_cv!$B:$B,$A229),0))</f>
        <v>1285</v>
      </c>
      <c r="H229">
        <f>MAX(0,ROUND(SUMIFS(m2_cv!$E:$E,m2_cv!$A:$A,$E229,m2_cv!$B:$B,$A229),0))</f>
        <v>557</v>
      </c>
      <c r="I229">
        <f>MAX(0,ROUND(SUMIFS(m3_cv!$E:$E,m3_cv!$A:$A,$E229,m3_cv!$B:$B,$A229),0))</f>
        <v>325</v>
      </c>
      <c r="J229">
        <f>MAX(0,ROUND(SUMIFS(m4_cv!$E:$E,m4_cv!$A:$A,$E229,m4_cv!$B:$B,$A229),0))</f>
        <v>327</v>
      </c>
      <c r="K229">
        <f>MAX(0,ROUND(SUMIFS(m5_cv!$E:$E,m5_cv!$A:$A,$E229,m5_cv!$B:$B,$A229),0))</f>
        <v>474</v>
      </c>
      <c r="L229">
        <f>MAX(0,ROUND(SUMIFS(m6_cv!$E:$E,m6_cv!$A:$A,$E229,m6_cv!$B:$B,$A229),0))</f>
        <v>431</v>
      </c>
      <c r="M229">
        <f>MAX(0,ROUND(SUMIFS(m7_cv!$E:$E,m7_cv!$A:$A,$E229,m7_cv!$B:$B,$A229),0))</f>
        <v>456</v>
      </c>
      <c r="N229">
        <f>ROUND(_xlfn.XLOOKUP($D229,Charts!$W$82:$W$112,Charts!$X$82:$X$112)*$L229+_xlfn.XLOOKUP($D229,Charts!$W$82:$W$112,Charts!$Y$82:$Y$112)*$M229,0)</f>
        <v>456</v>
      </c>
    </row>
    <row r="230" spans="1:14" x14ac:dyDescent="0.25">
      <c r="A230" s="3">
        <f t="shared" si="19"/>
        <v>45886</v>
      </c>
      <c r="B230">
        <f t="shared" si="15"/>
        <v>2025</v>
      </c>
      <c r="C230">
        <f t="shared" si="16"/>
        <v>8</v>
      </c>
      <c r="D230">
        <f t="shared" si="17"/>
        <v>17</v>
      </c>
      <c r="E230" s="2">
        <f t="shared" si="18"/>
        <v>45869</v>
      </c>
      <c r="F230" s="12">
        <f>_xlfn.XLOOKUP($A230,m1_cv!$B:$B,m1_cv!$C:$C)</f>
        <v>166</v>
      </c>
      <c r="G230">
        <f>MAX(0,ROUND(SUMIFS(m1_cv!$E:$E,m1_cv!$A:$A,$E230,m1_cv!$B:$B,$A230),0))</f>
        <v>707</v>
      </c>
      <c r="H230">
        <f>MAX(0,ROUND(SUMIFS(m2_cv!$E:$E,m2_cv!$A:$A,$E230,m2_cv!$B:$B,$A230),0))</f>
        <v>226</v>
      </c>
      <c r="I230">
        <f>MAX(0,ROUND(SUMIFS(m3_cv!$E:$E,m3_cv!$A:$A,$E230,m3_cv!$B:$B,$A230),0))</f>
        <v>49</v>
      </c>
      <c r="J230">
        <f>MAX(0,ROUND(SUMIFS(m4_cv!$E:$E,m4_cv!$A:$A,$E230,m4_cv!$B:$B,$A230),0))</f>
        <v>50</v>
      </c>
      <c r="K230">
        <f>MAX(0,ROUND(SUMIFS(m5_cv!$E:$E,m5_cv!$A:$A,$E230,m5_cv!$B:$B,$A230),0))</f>
        <v>130</v>
      </c>
      <c r="L230">
        <f>MAX(0,ROUND(SUMIFS(m6_cv!$E:$E,m6_cv!$A:$A,$E230,m6_cv!$B:$B,$A230),0))</f>
        <v>165</v>
      </c>
      <c r="M230">
        <f>MAX(0,ROUND(SUMIFS(m7_cv!$E:$E,m7_cv!$A:$A,$E230,m7_cv!$B:$B,$A230),0))</f>
        <v>110</v>
      </c>
      <c r="N230">
        <f>ROUND(_xlfn.XLOOKUP($D230,Charts!$W$82:$W$112,Charts!$X$82:$X$112)*$L230+_xlfn.XLOOKUP($D230,Charts!$W$82:$W$112,Charts!$Y$82:$Y$112)*$M230,0)</f>
        <v>110</v>
      </c>
    </row>
    <row r="231" spans="1:14" x14ac:dyDescent="0.25">
      <c r="A231" s="3">
        <f t="shared" si="19"/>
        <v>45887</v>
      </c>
      <c r="B231">
        <f t="shared" si="15"/>
        <v>2025</v>
      </c>
      <c r="C231">
        <f t="shared" si="16"/>
        <v>8</v>
      </c>
      <c r="D231">
        <f t="shared" si="17"/>
        <v>18</v>
      </c>
      <c r="E231" s="2">
        <f t="shared" si="18"/>
        <v>45869</v>
      </c>
      <c r="F231" s="12">
        <f>_xlfn.XLOOKUP($A231,m1_cv!$B:$B,m1_cv!$C:$C)</f>
        <v>3003</v>
      </c>
      <c r="G231">
        <f>MAX(0,ROUND(SUMIFS(m1_cv!$E:$E,m1_cv!$A:$A,$E231,m1_cv!$B:$B,$A231),0))</f>
        <v>2997</v>
      </c>
      <c r="H231">
        <f>MAX(0,ROUND(SUMIFS(m2_cv!$E:$E,m2_cv!$A:$A,$E231,m2_cv!$B:$B,$A231),0))</f>
        <v>2747</v>
      </c>
      <c r="I231">
        <f>MAX(0,ROUND(SUMIFS(m3_cv!$E:$E,m3_cv!$A:$A,$E231,m3_cv!$B:$B,$A231),0))</f>
        <v>2872</v>
      </c>
      <c r="J231">
        <f>MAX(0,ROUND(SUMIFS(m4_cv!$E:$E,m4_cv!$A:$A,$E231,m4_cv!$B:$B,$A231),0))</f>
        <v>2875</v>
      </c>
      <c r="K231">
        <f>MAX(0,ROUND(SUMIFS(m5_cv!$E:$E,m5_cv!$A:$A,$E231,m5_cv!$B:$B,$A231),0))</f>
        <v>2747</v>
      </c>
      <c r="L231">
        <f>MAX(0,ROUND(SUMIFS(m6_cv!$E:$E,m6_cv!$A:$A,$E231,m6_cv!$B:$B,$A231),0))</f>
        <v>2159</v>
      </c>
      <c r="M231">
        <f>MAX(0,ROUND(SUMIFS(m7_cv!$E:$E,m7_cv!$A:$A,$E231,m7_cv!$B:$B,$A231),0))</f>
        <v>2732</v>
      </c>
      <c r="N231">
        <f>ROUND(_xlfn.XLOOKUP($D231,Charts!$W$82:$W$112,Charts!$X$82:$X$112)*$L231+_xlfn.XLOOKUP($D231,Charts!$W$82:$W$112,Charts!$Y$82:$Y$112)*$M231,0)</f>
        <v>2732</v>
      </c>
    </row>
    <row r="232" spans="1:14" x14ac:dyDescent="0.25">
      <c r="A232" s="3">
        <f t="shared" si="19"/>
        <v>45888</v>
      </c>
      <c r="B232">
        <f t="shared" si="15"/>
        <v>2025</v>
      </c>
      <c r="C232">
        <f t="shared" si="16"/>
        <v>8</v>
      </c>
      <c r="D232">
        <f t="shared" si="17"/>
        <v>19</v>
      </c>
      <c r="E232" s="2">
        <f t="shared" si="18"/>
        <v>45869</v>
      </c>
      <c r="F232" s="12">
        <f>_xlfn.XLOOKUP($A232,m1_cv!$B:$B,m1_cv!$C:$C)</f>
        <v>3182</v>
      </c>
      <c r="G232">
        <f>MAX(0,ROUND(SUMIFS(m1_cv!$E:$E,m1_cv!$A:$A,$E232,m1_cv!$B:$B,$A232),0))</f>
        <v>3452</v>
      </c>
      <c r="H232">
        <f>MAX(0,ROUND(SUMIFS(m2_cv!$E:$E,m2_cv!$A:$A,$E232,m2_cv!$B:$B,$A232),0))</f>
        <v>3227</v>
      </c>
      <c r="I232">
        <f>MAX(0,ROUND(SUMIFS(m3_cv!$E:$E,m3_cv!$A:$A,$E232,m3_cv!$B:$B,$A232),0))</f>
        <v>3199</v>
      </c>
      <c r="J232">
        <f>MAX(0,ROUND(SUMIFS(m4_cv!$E:$E,m4_cv!$A:$A,$E232,m4_cv!$B:$B,$A232),0))</f>
        <v>3200</v>
      </c>
      <c r="K232">
        <f>MAX(0,ROUND(SUMIFS(m5_cv!$E:$E,m5_cv!$A:$A,$E232,m5_cv!$B:$B,$A232),0))</f>
        <v>3038</v>
      </c>
      <c r="L232">
        <f>MAX(0,ROUND(SUMIFS(m6_cv!$E:$E,m6_cv!$A:$A,$E232,m6_cv!$B:$B,$A232),0))</f>
        <v>2902</v>
      </c>
      <c r="M232">
        <f>MAX(0,ROUND(SUMIFS(m7_cv!$E:$E,m7_cv!$A:$A,$E232,m7_cv!$B:$B,$A232),0))</f>
        <v>3030</v>
      </c>
      <c r="N232">
        <f>ROUND(_xlfn.XLOOKUP($D232,Charts!$W$82:$W$112,Charts!$X$82:$X$112)*$L232+_xlfn.XLOOKUP($D232,Charts!$W$82:$W$112,Charts!$Y$82:$Y$112)*$M232,0)</f>
        <v>3030</v>
      </c>
    </row>
    <row r="233" spans="1:14" x14ac:dyDescent="0.25">
      <c r="A233" s="3">
        <f t="shared" si="19"/>
        <v>45889</v>
      </c>
      <c r="B233">
        <f t="shared" si="15"/>
        <v>2025</v>
      </c>
      <c r="C233">
        <f t="shared" si="16"/>
        <v>8</v>
      </c>
      <c r="D233">
        <f t="shared" si="17"/>
        <v>20</v>
      </c>
      <c r="E233" s="2">
        <f t="shared" si="18"/>
        <v>45869</v>
      </c>
      <c r="F233" s="12">
        <f>_xlfn.XLOOKUP($A233,m1_cv!$B:$B,m1_cv!$C:$C)</f>
        <v>3745</v>
      </c>
      <c r="G233">
        <f>MAX(0,ROUND(SUMIFS(m1_cv!$E:$E,m1_cv!$A:$A,$E233,m1_cv!$B:$B,$A233),0))</f>
        <v>3493</v>
      </c>
      <c r="H233">
        <f>MAX(0,ROUND(SUMIFS(m2_cv!$E:$E,m2_cv!$A:$A,$E233,m2_cv!$B:$B,$A233),0))</f>
        <v>3196</v>
      </c>
      <c r="I233">
        <f>MAX(0,ROUND(SUMIFS(m3_cv!$E:$E,m3_cv!$A:$A,$E233,m3_cv!$B:$B,$A233),0))</f>
        <v>3202</v>
      </c>
      <c r="J233">
        <f>MAX(0,ROUND(SUMIFS(m4_cv!$E:$E,m4_cv!$A:$A,$E233,m4_cv!$B:$B,$A233),0))</f>
        <v>3204</v>
      </c>
      <c r="K233">
        <f>MAX(0,ROUND(SUMIFS(m5_cv!$E:$E,m5_cv!$A:$A,$E233,m5_cv!$B:$B,$A233),0))</f>
        <v>3151</v>
      </c>
      <c r="L233">
        <f>MAX(0,ROUND(SUMIFS(m6_cv!$E:$E,m6_cv!$A:$A,$E233,m6_cv!$B:$B,$A233),0))</f>
        <v>3299</v>
      </c>
      <c r="M233">
        <f>MAX(0,ROUND(SUMIFS(m7_cv!$E:$E,m7_cv!$A:$A,$E233,m7_cv!$B:$B,$A233),0))</f>
        <v>3208</v>
      </c>
      <c r="N233">
        <f>ROUND(_xlfn.XLOOKUP($D233,Charts!$W$82:$W$112,Charts!$X$82:$X$112)*$L233+_xlfn.XLOOKUP($D233,Charts!$W$82:$W$112,Charts!$Y$82:$Y$112)*$M233,0)</f>
        <v>3208</v>
      </c>
    </row>
    <row r="234" spans="1:14" x14ac:dyDescent="0.25">
      <c r="A234" s="3">
        <f t="shared" si="19"/>
        <v>45890</v>
      </c>
      <c r="B234">
        <f t="shared" si="15"/>
        <v>2025</v>
      </c>
      <c r="C234">
        <f t="shared" si="16"/>
        <v>8</v>
      </c>
      <c r="D234">
        <f t="shared" si="17"/>
        <v>21</v>
      </c>
      <c r="E234" s="2">
        <f t="shared" si="18"/>
        <v>45869</v>
      </c>
      <c r="F234" s="12">
        <f>_xlfn.XLOOKUP($A234,m1_cv!$B:$B,m1_cv!$C:$C)</f>
        <v>3754</v>
      </c>
      <c r="G234">
        <f>MAX(0,ROUND(SUMIFS(m1_cv!$E:$E,m1_cv!$A:$A,$E234,m1_cv!$B:$B,$A234),0))</f>
        <v>3498</v>
      </c>
      <c r="H234">
        <f>MAX(0,ROUND(SUMIFS(m2_cv!$E:$E,m2_cv!$A:$A,$E234,m2_cv!$B:$B,$A234),0))</f>
        <v>3206</v>
      </c>
      <c r="I234">
        <f>MAX(0,ROUND(SUMIFS(m3_cv!$E:$E,m3_cv!$A:$A,$E234,m3_cv!$B:$B,$A234),0))</f>
        <v>3132</v>
      </c>
      <c r="J234">
        <f>MAX(0,ROUND(SUMIFS(m4_cv!$E:$E,m4_cv!$A:$A,$E234,m4_cv!$B:$B,$A234),0))</f>
        <v>3134</v>
      </c>
      <c r="K234">
        <f>MAX(0,ROUND(SUMIFS(m5_cv!$E:$E,m5_cv!$A:$A,$E234,m5_cv!$B:$B,$A234),0))</f>
        <v>3266</v>
      </c>
      <c r="L234">
        <f>MAX(0,ROUND(SUMIFS(m6_cv!$E:$E,m6_cv!$A:$A,$E234,m6_cv!$B:$B,$A234),0))</f>
        <v>3698</v>
      </c>
      <c r="M234">
        <f>MAX(0,ROUND(SUMIFS(m7_cv!$E:$E,m7_cv!$A:$A,$E234,m7_cv!$B:$B,$A234),0))</f>
        <v>3324</v>
      </c>
      <c r="N234">
        <f>ROUND(_xlfn.XLOOKUP($D234,Charts!$W$82:$W$112,Charts!$X$82:$X$112)*$L234+_xlfn.XLOOKUP($D234,Charts!$W$82:$W$112,Charts!$Y$82:$Y$112)*$M234,0)</f>
        <v>3324</v>
      </c>
    </row>
    <row r="235" spans="1:14" x14ac:dyDescent="0.25">
      <c r="A235" s="3">
        <f t="shared" si="19"/>
        <v>45891</v>
      </c>
      <c r="B235">
        <f t="shared" si="15"/>
        <v>2025</v>
      </c>
      <c r="C235">
        <f t="shared" si="16"/>
        <v>8</v>
      </c>
      <c r="D235">
        <f t="shared" si="17"/>
        <v>22</v>
      </c>
      <c r="E235" s="2">
        <f t="shared" si="18"/>
        <v>45869</v>
      </c>
      <c r="F235" s="12">
        <f>_xlfn.XLOOKUP($A235,m1_cv!$B:$B,m1_cv!$C:$C)</f>
        <v>3741</v>
      </c>
      <c r="G235">
        <f>MAX(0,ROUND(SUMIFS(m1_cv!$E:$E,m1_cv!$A:$A,$E235,m1_cv!$B:$B,$A235),0))</f>
        <v>3419</v>
      </c>
      <c r="H235">
        <f>MAX(0,ROUND(SUMIFS(m2_cv!$E:$E,m2_cv!$A:$A,$E235,m2_cv!$B:$B,$A235),0))</f>
        <v>3363</v>
      </c>
      <c r="I235">
        <f>MAX(0,ROUND(SUMIFS(m3_cv!$E:$E,m3_cv!$A:$A,$E235,m3_cv!$B:$B,$A235),0))</f>
        <v>3193</v>
      </c>
      <c r="J235">
        <f>MAX(0,ROUND(SUMIFS(m4_cv!$E:$E,m4_cv!$A:$A,$E235,m4_cv!$B:$B,$A235),0))</f>
        <v>3194</v>
      </c>
      <c r="K235">
        <f>MAX(0,ROUND(SUMIFS(m5_cv!$E:$E,m5_cv!$A:$A,$E235,m5_cv!$B:$B,$A235),0))</f>
        <v>3394</v>
      </c>
      <c r="L235">
        <f>MAX(0,ROUND(SUMIFS(m6_cv!$E:$E,m6_cv!$A:$A,$E235,m6_cv!$B:$B,$A235),0))</f>
        <v>3659</v>
      </c>
      <c r="M235">
        <f>MAX(0,ROUND(SUMIFS(m7_cv!$E:$E,m7_cv!$A:$A,$E235,m7_cv!$B:$B,$A235),0))</f>
        <v>3291</v>
      </c>
      <c r="N235">
        <f>ROUND(_xlfn.XLOOKUP($D235,Charts!$W$82:$W$112,Charts!$X$82:$X$112)*$L235+_xlfn.XLOOKUP($D235,Charts!$W$82:$W$112,Charts!$Y$82:$Y$112)*$M235,0)</f>
        <v>3291</v>
      </c>
    </row>
    <row r="236" spans="1:14" x14ac:dyDescent="0.25">
      <c r="A236" s="3">
        <f t="shared" si="19"/>
        <v>45892</v>
      </c>
      <c r="B236">
        <f t="shared" si="15"/>
        <v>2025</v>
      </c>
      <c r="C236">
        <f t="shared" si="16"/>
        <v>8</v>
      </c>
      <c r="D236">
        <f t="shared" si="17"/>
        <v>23</v>
      </c>
      <c r="E236" s="2">
        <f t="shared" si="18"/>
        <v>45869</v>
      </c>
      <c r="F236" s="12">
        <f>_xlfn.XLOOKUP($A236,m1_cv!$B:$B,m1_cv!$C:$C)</f>
        <v>761</v>
      </c>
      <c r="G236">
        <f>MAX(0,ROUND(SUMIFS(m1_cv!$E:$E,m1_cv!$A:$A,$E236,m1_cv!$B:$B,$A236),0))</f>
        <v>1167</v>
      </c>
      <c r="H236">
        <f>MAX(0,ROUND(SUMIFS(m2_cv!$E:$E,m2_cv!$A:$A,$E236,m2_cv!$B:$B,$A236),0))</f>
        <v>1458</v>
      </c>
      <c r="I236">
        <f>MAX(0,ROUND(SUMIFS(m3_cv!$E:$E,m3_cv!$A:$A,$E236,m3_cv!$B:$B,$A236),0))</f>
        <v>1301</v>
      </c>
      <c r="J236">
        <f>MAX(0,ROUND(SUMIFS(m4_cv!$E:$E,m4_cv!$A:$A,$E236,m4_cv!$B:$B,$A236),0))</f>
        <v>1303</v>
      </c>
      <c r="K236">
        <f>MAX(0,ROUND(SUMIFS(m5_cv!$E:$E,m5_cv!$A:$A,$E236,m5_cv!$B:$B,$A236),0))</f>
        <v>1294</v>
      </c>
      <c r="L236">
        <f>MAX(0,ROUND(SUMIFS(m6_cv!$E:$E,m6_cv!$A:$A,$E236,m6_cv!$B:$B,$A236),0))</f>
        <v>605</v>
      </c>
      <c r="M236">
        <f>MAX(0,ROUND(SUMIFS(m7_cv!$E:$E,m7_cv!$A:$A,$E236,m7_cv!$B:$B,$A236),0))</f>
        <v>1203</v>
      </c>
      <c r="N236">
        <f>ROUND(_xlfn.XLOOKUP($D236,Charts!$W$82:$W$112,Charts!$X$82:$X$112)*$L236+_xlfn.XLOOKUP($D236,Charts!$W$82:$W$112,Charts!$Y$82:$Y$112)*$M236,0)</f>
        <v>1203</v>
      </c>
    </row>
    <row r="237" spans="1:14" x14ac:dyDescent="0.25">
      <c r="A237" s="3">
        <f t="shared" si="19"/>
        <v>45893</v>
      </c>
      <c r="B237">
        <f t="shared" si="15"/>
        <v>2025</v>
      </c>
      <c r="C237">
        <f t="shared" si="16"/>
        <v>8</v>
      </c>
      <c r="D237">
        <f t="shared" si="17"/>
        <v>24</v>
      </c>
      <c r="E237" s="2">
        <f t="shared" si="18"/>
        <v>45869</v>
      </c>
      <c r="F237" s="12">
        <f>_xlfn.XLOOKUP($A237,m1_cv!$B:$B,m1_cv!$C:$C)</f>
        <v>239</v>
      </c>
      <c r="G237">
        <f>MAX(0,ROUND(SUMIFS(m1_cv!$E:$E,m1_cv!$A:$A,$E237,m1_cv!$B:$B,$A237),0))</f>
        <v>597</v>
      </c>
      <c r="H237">
        <f>MAX(0,ROUND(SUMIFS(m2_cv!$E:$E,m2_cv!$A:$A,$E237,m2_cv!$B:$B,$A237),0))</f>
        <v>1130</v>
      </c>
      <c r="I237">
        <f>MAX(0,ROUND(SUMIFS(m3_cv!$E:$E,m3_cv!$A:$A,$E237,m3_cv!$B:$B,$A237),0))</f>
        <v>1096</v>
      </c>
      <c r="J237">
        <f>MAX(0,ROUND(SUMIFS(m4_cv!$E:$E,m4_cv!$A:$A,$E237,m4_cv!$B:$B,$A237),0))</f>
        <v>1097</v>
      </c>
      <c r="K237">
        <f>MAX(0,ROUND(SUMIFS(m5_cv!$E:$E,m5_cv!$A:$A,$E237,m5_cv!$B:$B,$A237),0))</f>
        <v>780</v>
      </c>
      <c r="L237">
        <f>MAX(0,ROUND(SUMIFS(m6_cv!$E:$E,m6_cv!$A:$A,$E237,m6_cv!$B:$B,$A237),0))</f>
        <v>216</v>
      </c>
      <c r="M237">
        <f>MAX(0,ROUND(SUMIFS(m7_cv!$E:$E,m7_cv!$A:$A,$E237,m7_cv!$B:$B,$A237),0))</f>
        <v>891</v>
      </c>
      <c r="N237">
        <f>ROUND(_xlfn.XLOOKUP($D237,Charts!$W$82:$W$112,Charts!$X$82:$X$112)*$L237+_xlfn.XLOOKUP($D237,Charts!$W$82:$W$112,Charts!$Y$82:$Y$112)*$M237,0)</f>
        <v>216</v>
      </c>
    </row>
    <row r="238" spans="1:14" x14ac:dyDescent="0.25">
      <c r="A238" s="3">
        <f t="shared" si="19"/>
        <v>45894</v>
      </c>
      <c r="B238">
        <f t="shared" si="15"/>
        <v>2025</v>
      </c>
      <c r="C238">
        <f t="shared" si="16"/>
        <v>8</v>
      </c>
      <c r="D238">
        <f t="shared" si="17"/>
        <v>25</v>
      </c>
      <c r="E238" s="2">
        <f t="shared" si="18"/>
        <v>45869</v>
      </c>
      <c r="F238" s="12">
        <f>_xlfn.XLOOKUP($A238,m1_cv!$B:$B,m1_cv!$C:$C)</f>
        <v>3838</v>
      </c>
      <c r="G238">
        <f>MAX(0,ROUND(SUMIFS(m1_cv!$E:$E,m1_cv!$A:$A,$E238,m1_cv!$B:$B,$A238),0))</f>
        <v>2897</v>
      </c>
      <c r="H238">
        <f>MAX(0,ROUND(SUMIFS(m2_cv!$E:$E,m2_cv!$A:$A,$E238,m2_cv!$B:$B,$A238),0))</f>
        <v>3425</v>
      </c>
      <c r="I238">
        <f>MAX(0,ROUND(SUMIFS(m3_cv!$E:$E,m3_cv!$A:$A,$E238,m3_cv!$B:$B,$A238),0))</f>
        <v>3719</v>
      </c>
      <c r="J238">
        <f>MAX(0,ROUND(SUMIFS(m4_cv!$E:$E,m4_cv!$A:$A,$E238,m4_cv!$B:$B,$A238),0))</f>
        <v>3721</v>
      </c>
      <c r="K238">
        <f>MAX(0,ROUND(SUMIFS(m5_cv!$E:$E,m5_cv!$A:$A,$E238,m5_cv!$B:$B,$A238),0))</f>
        <v>4000</v>
      </c>
      <c r="L238">
        <f>MAX(0,ROUND(SUMIFS(m6_cv!$E:$E,m6_cv!$A:$A,$E238,m6_cv!$B:$B,$A238),0))</f>
        <v>4825</v>
      </c>
      <c r="M238">
        <f>MAX(0,ROUND(SUMIFS(m7_cv!$E:$E,m7_cv!$A:$A,$E238,m7_cv!$B:$B,$A238),0))</f>
        <v>4120</v>
      </c>
      <c r="N238">
        <f>ROUND(_xlfn.XLOOKUP($D238,Charts!$W$82:$W$112,Charts!$X$82:$X$112)*$L238+_xlfn.XLOOKUP($D238,Charts!$W$82:$W$112,Charts!$Y$82:$Y$112)*$M238,0)</f>
        <v>4825</v>
      </c>
    </row>
    <row r="239" spans="1:14" x14ac:dyDescent="0.25">
      <c r="A239" s="3">
        <f t="shared" si="19"/>
        <v>45895</v>
      </c>
      <c r="B239">
        <f t="shared" si="15"/>
        <v>2025</v>
      </c>
      <c r="C239">
        <f t="shared" si="16"/>
        <v>8</v>
      </c>
      <c r="D239">
        <f t="shared" si="17"/>
        <v>26</v>
      </c>
      <c r="E239" s="2">
        <f t="shared" si="18"/>
        <v>45869</v>
      </c>
      <c r="F239" s="12">
        <f>_xlfn.XLOOKUP($A239,m1_cv!$B:$B,m1_cv!$C:$C)</f>
        <v>5214</v>
      </c>
      <c r="G239">
        <f>MAX(0,ROUND(SUMIFS(m1_cv!$E:$E,m1_cv!$A:$A,$E239,m1_cv!$B:$B,$A239),0))</f>
        <v>3361</v>
      </c>
      <c r="H239">
        <f>MAX(0,ROUND(SUMIFS(m2_cv!$E:$E,m2_cv!$A:$A,$E239,m2_cv!$B:$B,$A239),0))</f>
        <v>3782</v>
      </c>
      <c r="I239">
        <f>MAX(0,ROUND(SUMIFS(m3_cv!$E:$E,m3_cv!$A:$A,$E239,m3_cv!$B:$B,$A239),0))</f>
        <v>3904</v>
      </c>
      <c r="J239">
        <f>MAX(0,ROUND(SUMIFS(m4_cv!$E:$E,m4_cv!$A:$A,$E239,m4_cv!$B:$B,$A239),0))</f>
        <v>3905</v>
      </c>
      <c r="K239">
        <f>MAX(0,ROUND(SUMIFS(m5_cv!$E:$E,m5_cv!$A:$A,$E239,m5_cv!$B:$B,$A239),0))</f>
        <v>4235</v>
      </c>
      <c r="L239">
        <f>MAX(0,ROUND(SUMIFS(m6_cv!$E:$E,m6_cv!$A:$A,$E239,m6_cv!$B:$B,$A239),0))</f>
        <v>5759</v>
      </c>
      <c r="M239">
        <f>MAX(0,ROUND(SUMIFS(m7_cv!$E:$E,m7_cv!$A:$A,$E239,m7_cv!$B:$B,$A239),0))</f>
        <v>4185</v>
      </c>
      <c r="N239">
        <f>ROUND(_xlfn.XLOOKUP($D239,Charts!$W$82:$W$112,Charts!$X$82:$X$112)*$L239+_xlfn.XLOOKUP($D239,Charts!$W$82:$W$112,Charts!$Y$82:$Y$112)*$M239,0)</f>
        <v>5759</v>
      </c>
    </row>
    <row r="240" spans="1:14" x14ac:dyDescent="0.25">
      <c r="A240" s="3">
        <f t="shared" si="19"/>
        <v>45896</v>
      </c>
      <c r="B240">
        <f t="shared" si="15"/>
        <v>2025</v>
      </c>
      <c r="C240">
        <f t="shared" si="16"/>
        <v>8</v>
      </c>
      <c r="D240">
        <f t="shared" si="17"/>
        <v>27</v>
      </c>
      <c r="E240" s="2">
        <f t="shared" si="18"/>
        <v>45869</v>
      </c>
      <c r="F240" s="12">
        <f>_xlfn.XLOOKUP($A240,m1_cv!$B:$B,m1_cv!$C:$C)</f>
        <v>5989</v>
      </c>
      <c r="G240">
        <f>MAX(0,ROUND(SUMIFS(m1_cv!$E:$E,m1_cv!$A:$A,$E240,m1_cv!$B:$B,$A240),0))</f>
        <v>3412</v>
      </c>
      <c r="H240">
        <f>MAX(0,ROUND(SUMIFS(m2_cv!$E:$E,m2_cv!$A:$A,$E240,m2_cv!$B:$B,$A240),0))</f>
        <v>4088</v>
      </c>
      <c r="I240">
        <f>MAX(0,ROUND(SUMIFS(m3_cv!$E:$E,m3_cv!$A:$A,$E240,m3_cv!$B:$B,$A240),0))</f>
        <v>4221</v>
      </c>
      <c r="J240">
        <f>MAX(0,ROUND(SUMIFS(m4_cv!$E:$E,m4_cv!$A:$A,$E240,m4_cv!$B:$B,$A240),0))</f>
        <v>4222</v>
      </c>
      <c r="K240">
        <f>MAX(0,ROUND(SUMIFS(m5_cv!$E:$E,m5_cv!$A:$A,$E240,m5_cv!$B:$B,$A240),0))</f>
        <v>4551</v>
      </c>
      <c r="L240">
        <f>MAX(0,ROUND(SUMIFS(m6_cv!$E:$E,m6_cv!$A:$A,$E240,m6_cv!$B:$B,$A240),0))</f>
        <v>6045</v>
      </c>
      <c r="M240">
        <f>MAX(0,ROUND(SUMIFS(m7_cv!$E:$E,m7_cv!$A:$A,$E240,m7_cv!$B:$B,$A240),0))</f>
        <v>4508</v>
      </c>
      <c r="N240">
        <f>ROUND(_xlfn.XLOOKUP($D240,Charts!$W$82:$W$112,Charts!$X$82:$X$112)*$L240+_xlfn.XLOOKUP($D240,Charts!$W$82:$W$112,Charts!$Y$82:$Y$112)*$M240,0)</f>
        <v>6045</v>
      </c>
    </row>
    <row r="241" spans="1:14" x14ac:dyDescent="0.25">
      <c r="A241" s="3">
        <f t="shared" si="19"/>
        <v>45897</v>
      </c>
      <c r="B241">
        <f t="shared" si="15"/>
        <v>2025</v>
      </c>
      <c r="C241">
        <f t="shared" si="16"/>
        <v>8</v>
      </c>
      <c r="D241">
        <f t="shared" si="17"/>
        <v>28</v>
      </c>
      <c r="E241" s="2">
        <f t="shared" si="18"/>
        <v>45869</v>
      </c>
      <c r="F241" s="12">
        <f>_xlfn.XLOOKUP($A241,m1_cv!$B:$B,m1_cv!$C:$C)</f>
        <v>7115</v>
      </c>
      <c r="G241">
        <f>MAX(0,ROUND(SUMIFS(m1_cv!$E:$E,m1_cv!$A:$A,$E241,m1_cv!$B:$B,$A241),0))</f>
        <v>3426</v>
      </c>
      <c r="H241">
        <f>MAX(0,ROUND(SUMIFS(m2_cv!$E:$E,m2_cv!$A:$A,$E241,m2_cv!$B:$B,$A241),0))</f>
        <v>4932</v>
      </c>
      <c r="I241">
        <f>MAX(0,ROUND(SUMIFS(m3_cv!$E:$E,m3_cv!$A:$A,$E241,m3_cv!$B:$B,$A241),0))</f>
        <v>4992</v>
      </c>
      <c r="J241">
        <f>MAX(0,ROUND(SUMIFS(m4_cv!$E:$E,m4_cv!$A:$A,$E241,m4_cv!$B:$B,$A241),0))</f>
        <v>4993</v>
      </c>
      <c r="K241">
        <f>MAX(0,ROUND(SUMIFS(m5_cv!$E:$E,m5_cv!$A:$A,$E241,m5_cv!$B:$B,$A241),0))</f>
        <v>5013</v>
      </c>
      <c r="L241">
        <f>MAX(0,ROUND(SUMIFS(m6_cv!$E:$E,m6_cv!$A:$A,$E241,m6_cv!$B:$B,$A241),0))</f>
        <v>6652</v>
      </c>
      <c r="M241">
        <f>MAX(0,ROUND(SUMIFS(m7_cv!$E:$E,m7_cv!$A:$A,$E241,m7_cv!$B:$B,$A241),0))</f>
        <v>4969</v>
      </c>
      <c r="N241">
        <f>ROUND(_xlfn.XLOOKUP($D241,Charts!$W$82:$W$112,Charts!$X$82:$X$112)*$L241+_xlfn.XLOOKUP($D241,Charts!$W$82:$W$112,Charts!$Y$82:$Y$112)*$M241,0)</f>
        <v>6652</v>
      </c>
    </row>
    <row r="242" spans="1:14" x14ac:dyDescent="0.25">
      <c r="A242" s="3">
        <f t="shared" si="19"/>
        <v>45898</v>
      </c>
      <c r="B242">
        <f t="shared" si="15"/>
        <v>2025</v>
      </c>
      <c r="C242">
        <f t="shared" si="16"/>
        <v>8</v>
      </c>
      <c r="D242">
        <f t="shared" si="17"/>
        <v>29</v>
      </c>
      <c r="E242" s="2">
        <f t="shared" si="18"/>
        <v>45869</v>
      </c>
      <c r="F242" s="12">
        <f>_xlfn.XLOOKUP($A242,m1_cv!$B:$B,m1_cv!$C:$C)</f>
        <v>9571</v>
      </c>
      <c r="G242">
        <f>MAX(0,ROUND(SUMIFS(m1_cv!$E:$E,m1_cv!$A:$A,$E242,m1_cv!$B:$B,$A242),0))</f>
        <v>3357</v>
      </c>
      <c r="H242">
        <f>MAX(0,ROUND(SUMIFS(m2_cv!$E:$E,m2_cv!$A:$A,$E242,m2_cv!$B:$B,$A242),0))</f>
        <v>6025</v>
      </c>
      <c r="I242">
        <f>MAX(0,ROUND(SUMIFS(m3_cv!$E:$E,m3_cv!$A:$A,$E242,m3_cv!$B:$B,$A242),0))</f>
        <v>6024</v>
      </c>
      <c r="J242">
        <f>MAX(0,ROUND(SUMIFS(m4_cv!$E:$E,m4_cv!$A:$A,$E242,m4_cv!$B:$B,$A242),0))</f>
        <v>6025</v>
      </c>
      <c r="K242">
        <f>MAX(0,ROUND(SUMIFS(m5_cv!$E:$E,m5_cv!$A:$A,$E242,m5_cv!$B:$B,$A242),0))</f>
        <v>5377</v>
      </c>
      <c r="L242">
        <f>MAX(0,ROUND(SUMIFS(m6_cv!$E:$E,m6_cv!$A:$A,$E242,m6_cv!$B:$B,$A242),0))</f>
        <v>6716</v>
      </c>
      <c r="M242">
        <f>MAX(0,ROUND(SUMIFS(m7_cv!$E:$E,m7_cv!$A:$A,$E242,m7_cv!$B:$B,$A242),0))</f>
        <v>5360</v>
      </c>
      <c r="N242">
        <f>ROUND(_xlfn.XLOOKUP($D242,Charts!$W$82:$W$112,Charts!$X$82:$X$112)*$L242+_xlfn.XLOOKUP($D242,Charts!$W$82:$W$112,Charts!$Y$82:$Y$112)*$M242,0)</f>
        <v>5360</v>
      </c>
    </row>
    <row r="243" spans="1:14" x14ac:dyDescent="0.25">
      <c r="A243" s="3">
        <f t="shared" si="19"/>
        <v>45899</v>
      </c>
      <c r="B243">
        <f t="shared" si="15"/>
        <v>2025</v>
      </c>
      <c r="C243">
        <f t="shared" si="16"/>
        <v>8</v>
      </c>
      <c r="D243">
        <f t="shared" si="17"/>
        <v>30</v>
      </c>
      <c r="E243" s="2">
        <f t="shared" si="18"/>
        <v>45869</v>
      </c>
      <c r="F243" s="12">
        <f>_xlfn.XLOOKUP($A243,m1_cv!$B:$B,m1_cv!$C:$C)</f>
        <v>5764</v>
      </c>
      <c r="G243">
        <f>MAX(0,ROUND(SUMIFS(m1_cv!$E:$E,m1_cv!$A:$A,$E243,m1_cv!$B:$B,$A243),0))</f>
        <v>1113</v>
      </c>
      <c r="H243">
        <f>MAX(0,ROUND(SUMIFS(m2_cv!$E:$E,m2_cv!$A:$A,$E243,m2_cv!$B:$B,$A243),0))</f>
        <v>4573</v>
      </c>
      <c r="I243">
        <f>MAX(0,ROUND(SUMIFS(m3_cv!$E:$E,m3_cv!$A:$A,$E243,m3_cv!$B:$B,$A243),0))</f>
        <v>4615</v>
      </c>
      <c r="J243">
        <f>MAX(0,ROUND(SUMIFS(m4_cv!$E:$E,m4_cv!$A:$A,$E243,m4_cv!$B:$B,$A243),0))</f>
        <v>4617</v>
      </c>
      <c r="K243">
        <f>MAX(0,ROUND(SUMIFS(m5_cv!$E:$E,m5_cv!$A:$A,$E243,m5_cv!$B:$B,$A243),0))</f>
        <v>5391</v>
      </c>
      <c r="L243">
        <f>MAX(0,ROUND(SUMIFS(m6_cv!$E:$E,m6_cv!$A:$A,$E243,m6_cv!$B:$B,$A243),0))</f>
        <v>1970</v>
      </c>
      <c r="M243">
        <f>MAX(0,ROUND(SUMIFS(m7_cv!$E:$E,m7_cv!$A:$A,$E243,m7_cv!$B:$B,$A243),0))</f>
        <v>5528</v>
      </c>
      <c r="N243">
        <f>ROUND(_xlfn.XLOOKUP($D243,Charts!$W$82:$W$112,Charts!$X$82:$X$112)*$L243+_xlfn.XLOOKUP($D243,Charts!$W$82:$W$112,Charts!$Y$82:$Y$112)*$M243,0)</f>
        <v>5528</v>
      </c>
    </row>
    <row r="244" spans="1:14" x14ac:dyDescent="0.25">
      <c r="A244" s="3">
        <f t="shared" si="19"/>
        <v>45900</v>
      </c>
      <c r="B244">
        <f t="shared" si="15"/>
        <v>2025</v>
      </c>
      <c r="C244">
        <f t="shared" si="16"/>
        <v>8</v>
      </c>
      <c r="D244">
        <f t="shared" si="17"/>
        <v>31</v>
      </c>
      <c r="E244" s="2">
        <f t="shared" si="18"/>
        <v>45869</v>
      </c>
      <c r="F244" s="12">
        <f>_xlfn.XLOOKUP($A244,m1_cv!$B:$B,m1_cv!$C:$C)</f>
        <v>386</v>
      </c>
      <c r="G244">
        <f>MAX(0,ROUND(SUMIFS(m1_cv!$E:$E,m1_cv!$A:$A,$E244,m1_cv!$B:$B,$A244),0))</f>
        <v>551</v>
      </c>
      <c r="H244">
        <f>MAX(0,ROUND(SUMIFS(m2_cv!$E:$E,m2_cv!$A:$A,$E244,m2_cv!$B:$B,$A244),0))</f>
        <v>3826</v>
      </c>
      <c r="I244">
        <f>MAX(0,ROUND(SUMIFS(m3_cv!$E:$E,m3_cv!$A:$A,$E244,m3_cv!$B:$B,$A244),0))</f>
        <v>2280</v>
      </c>
      <c r="J244">
        <f>MAX(0,ROUND(SUMIFS(m4_cv!$E:$E,m4_cv!$A:$A,$E244,m4_cv!$B:$B,$A244),0))</f>
        <v>2259</v>
      </c>
      <c r="K244">
        <f>MAX(0,ROUND(SUMIFS(m5_cv!$E:$E,m5_cv!$A:$A,$E244,m5_cv!$B:$B,$A244),0))</f>
        <v>5338</v>
      </c>
      <c r="L244">
        <f>MAX(0,ROUND(SUMIFS(m6_cv!$E:$E,m6_cv!$A:$A,$E244,m6_cv!$B:$B,$A244),0))</f>
        <v>123</v>
      </c>
      <c r="M244">
        <f>MAX(0,ROUND(SUMIFS(m7_cv!$E:$E,m7_cv!$A:$A,$E244,m7_cv!$B:$B,$A244),0))</f>
        <v>5470</v>
      </c>
      <c r="N244">
        <f>ROUND(_xlfn.XLOOKUP($D244,Charts!$W$82:$W$112,Charts!$X$82:$X$112)*$L244+_xlfn.XLOOKUP($D244,Charts!$W$82:$W$112,Charts!$Y$82:$Y$112)*$M244,0)</f>
        <v>5470</v>
      </c>
    </row>
    <row r="245" spans="1:14" x14ac:dyDescent="0.25">
      <c r="A245" s="3">
        <f t="shared" si="19"/>
        <v>45901</v>
      </c>
      <c r="B245">
        <f t="shared" si="15"/>
        <v>2025</v>
      </c>
      <c r="C245">
        <f t="shared" si="16"/>
        <v>9</v>
      </c>
      <c r="D245">
        <f t="shared" si="17"/>
        <v>1</v>
      </c>
      <c r="E245" s="2">
        <f t="shared" si="18"/>
        <v>45900</v>
      </c>
      <c r="F245" s="12">
        <f>_xlfn.XLOOKUP($A245,m1_cv!$B:$B,m1_cv!$C:$C)</f>
        <v>34</v>
      </c>
      <c r="G245">
        <f>MAX(0,ROUND(SUMIFS(m1_cv!$E:$E,m1_cv!$A:$A,$E245,m1_cv!$B:$B,$A245),0))</f>
        <v>3187</v>
      </c>
      <c r="H245">
        <f>MAX(0,ROUND(SUMIFS(m2_cv!$E:$E,m2_cv!$A:$A,$E245,m2_cv!$B:$B,$A245),0))</f>
        <v>4895</v>
      </c>
      <c r="I245">
        <f>MAX(0,ROUND(SUMIFS(m3_cv!$E:$E,m3_cv!$A:$A,$E245,m3_cv!$B:$B,$A245),0))</f>
        <v>3582</v>
      </c>
      <c r="J245">
        <f>MAX(0,ROUND(SUMIFS(m4_cv!$E:$E,m4_cv!$A:$A,$E245,m4_cv!$B:$B,$A245),0))</f>
        <v>3614</v>
      </c>
      <c r="K245">
        <f>MAX(0,ROUND(SUMIFS(m5_cv!$E:$E,m5_cv!$A:$A,$E245,m5_cv!$B:$B,$A245),0))</f>
        <v>535</v>
      </c>
      <c r="L245">
        <f>MAX(0,ROUND(SUMIFS(m6_cv!$E:$E,m6_cv!$A:$A,$E245,m6_cv!$B:$B,$A245),0))</f>
        <v>100</v>
      </c>
      <c r="M245">
        <f>MAX(0,ROUND(SUMIFS(m7_cv!$E:$E,m7_cv!$A:$A,$E245,m7_cv!$B:$B,$A245),0))</f>
        <v>302</v>
      </c>
      <c r="N245">
        <f>ROUND(_xlfn.XLOOKUP($D245,Charts!$W$82:$W$112,Charts!$X$82:$X$112)*$L245+_xlfn.XLOOKUP($D245,Charts!$W$82:$W$112,Charts!$Y$82:$Y$112)*$M245,0)</f>
        <v>100</v>
      </c>
    </row>
    <row r="246" spans="1:14" x14ac:dyDescent="0.25">
      <c r="A246" s="3">
        <f t="shared" si="19"/>
        <v>45902</v>
      </c>
      <c r="B246">
        <f t="shared" si="15"/>
        <v>2025</v>
      </c>
      <c r="C246">
        <f t="shared" si="16"/>
        <v>9</v>
      </c>
      <c r="D246">
        <f t="shared" si="17"/>
        <v>2</v>
      </c>
      <c r="E246" s="2">
        <f t="shared" si="18"/>
        <v>45900</v>
      </c>
      <c r="F246" s="12">
        <f>_xlfn.XLOOKUP($A246,m1_cv!$B:$B,m1_cv!$C:$C)</f>
        <v>463</v>
      </c>
      <c r="G246">
        <f>MAX(0,ROUND(SUMIFS(m1_cv!$E:$E,m1_cv!$A:$A,$E246,m1_cv!$B:$B,$A246),0))</f>
        <v>3652</v>
      </c>
      <c r="H246">
        <f>MAX(0,ROUND(SUMIFS(m2_cv!$E:$E,m2_cv!$A:$A,$E246,m2_cv!$B:$B,$A246),0))</f>
        <v>3542</v>
      </c>
      <c r="I246">
        <f>MAX(0,ROUND(SUMIFS(m3_cv!$E:$E,m3_cv!$A:$A,$E246,m3_cv!$B:$B,$A246),0))</f>
        <v>3779</v>
      </c>
      <c r="J246">
        <f>MAX(0,ROUND(SUMIFS(m4_cv!$E:$E,m4_cv!$A:$A,$E246,m4_cv!$B:$B,$A246),0))</f>
        <v>3776</v>
      </c>
      <c r="K246">
        <f>MAX(0,ROUND(SUMIFS(m5_cv!$E:$E,m5_cv!$A:$A,$E246,m5_cv!$B:$B,$A246),0))</f>
        <v>1849</v>
      </c>
      <c r="L246">
        <f>MAX(0,ROUND(SUMIFS(m6_cv!$E:$E,m6_cv!$A:$A,$E246,m6_cv!$B:$B,$A246),0))</f>
        <v>633</v>
      </c>
      <c r="M246">
        <f>MAX(0,ROUND(SUMIFS(m7_cv!$E:$E,m7_cv!$A:$A,$E246,m7_cv!$B:$B,$A246),0))</f>
        <v>1733</v>
      </c>
      <c r="N246">
        <f>ROUND(_xlfn.XLOOKUP($D246,Charts!$W$82:$W$112,Charts!$X$82:$X$112)*$L246+_xlfn.XLOOKUP($D246,Charts!$W$82:$W$112,Charts!$Y$82:$Y$112)*$M246,0)</f>
        <v>633</v>
      </c>
    </row>
    <row r="247" spans="1:14" x14ac:dyDescent="0.25">
      <c r="A247" s="3">
        <f t="shared" si="19"/>
        <v>45903</v>
      </c>
      <c r="B247">
        <f t="shared" si="15"/>
        <v>2025</v>
      </c>
      <c r="C247">
        <f t="shared" si="16"/>
        <v>9</v>
      </c>
      <c r="D247">
        <f t="shared" si="17"/>
        <v>3</v>
      </c>
      <c r="E247" s="2">
        <f t="shared" si="18"/>
        <v>45900</v>
      </c>
      <c r="F247" s="12">
        <f>_xlfn.XLOOKUP($A247,m1_cv!$B:$B,m1_cv!$C:$C)</f>
        <v>734</v>
      </c>
      <c r="G247">
        <f>MAX(0,ROUND(SUMIFS(m1_cv!$E:$E,m1_cv!$A:$A,$E247,m1_cv!$B:$B,$A247),0))</f>
        <v>3693</v>
      </c>
      <c r="H247">
        <f>MAX(0,ROUND(SUMIFS(m2_cv!$E:$E,m2_cv!$A:$A,$E247,m2_cv!$B:$B,$A247),0))</f>
        <v>2098</v>
      </c>
      <c r="I247">
        <f>MAX(0,ROUND(SUMIFS(m3_cv!$E:$E,m3_cv!$A:$A,$E247,m3_cv!$B:$B,$A247),0))</f>
        <v>2321</v>
      </c>
      <c r="J247">
        <f>MAX(0,ROUND(SUMIFS(m4_cv!$E:$E,m4_cv!$A:$A,$E247,m4_cv!$B:$B,$A247),0))</f>
        <v>2318</v>
      </c>
      <c r="K247">
        <f>MAX(0,ROUND(SUMIFS(m5_cv!$E:$E,m5_cv!$A:$A,$E247,m5_cv!$B:$B,$A247),0))</f>
        <v>1769</v>
      </c>
      <c r="L247">
        <f>MAX(0,ROUND(SUMIFS(m6_cv!$E:$E,m6_cv!$A:$A,$E247,m6_cv!$B:$B,$A247),0))</f>
        <v>932</v>
      </c>
      <c r="M247">
        <f>MAX(0,ROUND(SUMIFS(m7_cv!$E:$E,m7_cv!$A:$A,$E247,m7_cv!$B:$B,$A247),0))</f>
        <v>1922</v>
      </c>
      <c r="N247">
        <f>ROUND(_xlfn.XLOOKUP($D247,Charts!$W$82:$W$112,Charts!$X$82:$X$112)*$L247+_xlfn.XLOOKUP($D247,Charts!$W$82:$W$112,Charts!$Y$82:$Y$112)*$M247,0)</f>
        <v>932</v>
      </c>
    </row>
    <row r="248" spans="1:14" x14ac:dyDescent="0.25">
      <c r="A248" s="3">
        <f t="shared" si="19"/>
        <v>45904</v>
      </c>
      <c r="B248">
        <f t="shared" si="15"/>
        <v>2025</v>
      </c>
      <c r="C248">
        <f t="shared" si="16"/>
        <v>9</v>
      </c>
      <c r="D248">
        <f t="shared" si="17"/>
        <v>4</v>
      </c>
      <c r="E248" s="2">
        <f t="shared" si="18"/>
        <v>45900</v>
      </c>
      <c r="F248" s="12">
        <f>_xlfn.XLOOKUP($A248,m1_cv!$B:$B,m1_cv!$C:$C)</f>
        <v>973</v>
      </c>
      <c r="G248">
        <f>MAX(0,ROUND(SUMIFS(m1_cv!$E:$E,m1_cv!$A:$A,$E248,m1_cv!$B:$B,$A248),0))</f>
        <v>3698</v>
      </c>
      <c r="H248">
        <f>MAX(0,ROUND(SUMIFS(m2_cv!$E:$E,m2_cv!$A:$A,$E248,m2_cv!$B:$B,$A248),0))</f>
        <v>1449</v>
      </c>
      <c r="I248">
        <f>MAX(0,ROUND(SUMIFS(m3_cv!$E:$E,m3_cv!$A:$A,$E248,m3_cv!$B:$B,$A248),0))</f>
        <v>1606</v>
      </c>
      <c r="J248">
        <f>MAX(0,ROUND(SUMIFS(m4_cv!$E:$E,m4_cv!$A:$A,$E248,m4_cv!$B:$B,$A248),0))</f>
        <v>1604</v>
      </c>
      <c r="K248">
        <f>MAX(0,ROUND(SUMIFS(m5_cv!$E:$E,m5_cv!$A:$A,$E248,m5_cv!$B:$B,$A248),0))</f>
        <v>1776</v>
      </c>
      <c r="L248">
        <f>MAX(0,ROUND(SUMIFS(m6_cv!$E:$E,m6_cv!$A:$A,$E248,m6_cv!$B:$B,$A248),0))</f>
        <v>915</v>
      </c>
      <c r="M248">
        <f>MAX(0,ROUND(SUMIFS(m7_cv!$E:$E,m7_cv!$A:$A,$E248,m7_cv!$B:$B,$A248),0))</f>
        <v>1827</v>
      </c>
      <c r="N248">
        <f>ROUND(_xlfn.XLOOKUP($D248,Charts!$W$82:$W$112,Charts!$X$82:$X$112)*$L248+_xlfn.XLOOKUP($D248,Charts!$W$82:$W$112,Charts!$Y$82:$Y$112)*$M248,0)</f>
        <v>915</v>
      </c>
    </row>
    <row r="249" spans="1:14" x14ac:dyDescent="0.25">
      <c r="A249" s="3">
        <f t="shared" si="19"/>
        <v>45905</v>
      </c>
      <c r="B249">
        <f t="shared" si="15"/>
        <v>2025</v>
      </c>
      <c r="C249">
        <f t="shared" si="16"/>
        <v>9</v>
      </c>
      <c r="D249">
        <f t="shared" si="17"/>
        <v>5</v>
      </c>
      <c r="E249" s="2">
        <f t="shared" si="18"/>
        <v>45900</v>
      </c>
      <c r="F249" s="12">
        <f>_xlfn.XLOOKUP($A249,m1_cv!$B:$B,m1_cv!$C:$C)</f>
        <v>61</v>
      </c>
      <c r="G249">
        <f>MAX(0,ROUND(SUMIFS(m1_cv!$E:$E,m1_cv!$A:$A,$E249,m1_cv!$B:$B,$A249),0))</f>
        <v>3609</v>
      </c>
      <c r="H249">
        <f>MAX(0,ROUND(SUMIFS(m2_cv!$E:$E,m2_cv!$A:$A,$E249,m2_cv!$B:$B,$A249),0))</f>
        <v>1479</v>
      </c>
      <c r="I249">
        <f>MAX(0,ROUND(SUMIFS(m3_cv!$E:$E,m3_cv!$A:$A,$E249,m3_cv!$B:$B,$A249),0))</f>
        <v>0</v>
      </c>
      <c r="J249">
        <f>MAX(0,ROUND(SUMIFS(m4_cv!$E:$E,m4_cv!$A:$A,$E249,m4_cv!$B:$B,$A249),0))</f>
        <v>0</v>
      </c>
      <c r="K249">
        <f>MAX(0,ROUND(SUMIFS(m5_cv!$E:$E,m5_cv!$A:$A,$E249,m5_cv!$B:$B,$A249),0))</f>
        <v>115</v>
      </c>
      <c r="L249">
        <f>MAX(0,ROUND(SUMIFS(m6_cv!$E:$E,m6_cv!$A:$A,$E249,m6_cv!$B:$B,$A249),0))</f>
        <v>104</v>
      </c>
      <c r="M249">
        <f>MAX(0,ROUND(SUMIFS(m7_cv!$E:$E,m7_cv!$A:$A,$E249,m7_cv!$B:$B,$A249),0))</f>
        <v>0</v>
      </c>
      <c r="N249">
        <f>ROUND(_xlfn.XLOOKUP($D249,Charts!$W$82:$W$112,Charts!$X$82:$X$112)*$L249+_xlfn.XLOOKUP($D249,Charts!$W$82:$W$112,Charts!$Y$82:$Y$112)*$M249,0)</f>
        <v>83</v>
      </c>
    </row>
    <row r="250" spans="1:14" x14ac:dyDescent="0.25">
      <c r="A250" s="3">
        <f t="shared" si="19"/>
        <v>45906</v>
      </c>
      <c r="B250">
        <f t="shared" si="15"/>
        <v>2025</v>
      </c>
      <c r="C250">
        <f t="shared" si="16"/>
        <v>9</v>
      </c>
      <c r="D250">
        <f t="shared" si="17"/>
        <v>6</v>
      </c>
      <c r="E250" s="2">
        <f t="shared" si="18"/>
        <v>45900</v>
      </c>
      <c r="F250" s="12">
        <f>_xlfn.XLOOKUP($A250,m1_cv!$B:$B,m1_cv!$C:$C)</f>
        <v>107</v>
      </c>
      <c r="G250">
        <f>MAX(0,ROUND(SUMIFS(m1_cv!$E:$E,m1_cv!$A:$A,$E250,m1_cv!$B:$B,$A250),0))</f>
        <v>1330</v>
      </c>
      <c r="H250">
        <f>MAX(0,ROUND(SUMIFS(m2_cv!$E:$E,m2_cv!$A:$A,$E250,m2_cv!$B:$B,$A250),0))</f>
        <v>0</v>
      </c>
      <c r="I250">
        <f>MAX(0,ROUND(SUMIFS(m3_cv!$E:$E,m3_cv!$A:$A,$E250,m3_cv!$B:$B,$A250),0))</f>
        <v>0</v>
      </c>
      <c r="J250">
        <f>MAX(0,ROUND(SUMIFS(m4_cv!$E:$E,m4_cv!$A:$A,$E250,m4_cv!$B:$B,$A250),0))</f>
        <v>0</v>
      </c>
      <c r="K250">
        <f>MAX(0,ROUND(SUMIFS(m5_cv!$E:$E,m5_cv!$A:$A,$E250,m5_cv!$B:$B,$A250),0))</f>
        <v>0</v>
      </c>
      <c r="L250">
        <f>MAX(0,ROUND(SUMIFS(m6_cv!$E:$E,m6_cv!$A:$A,$E250,m6_cv!$B:$B,$A250),0))</f>
        <v>152</v>
      </c>
      <c r="M250">
        <f>MAX(0,ROUND(SUMIFS(m7_cv!$E:$E,m7_cv!$A:$A,$E250,m7_cv!$B:$B,$A250),0))</f>
        <v>0</v>
      </c>
      <c r="N250">
        <f>ROUND(_xlfn.XLOOKUP($D250,Charts!$W$82:$W$112,Charts!$X$82:$X$112)*$L250+_xlfn.XLOOKUP($D250,Charts!$W$82:$W$112,Charts!$Y$82:$Y$112)*$M250,0)</f>
        <v>76</v>
      </c>
    </row>
    <row r="251" spans="1:14" x14ac:dyDescent="0.25">
      <c r="A251" s="3">
        <f t="shared" si="19"/>
        <v>45907</v>
      </c>
      <c r="B251">
        <f t="shared" si="15"/>
        <v>2025</v>
      </c>
      <c r="C251">
        <f t="shared" si="16"/>
        <v>9</v>
      </c>
      <c r="D251">
        <f t="shared" si="17"/>
        <v>7</v>
      </c>
      <c r="E251" s="2">
        <f t="shared" si="18"/>
        <v>45900</v>
      </c>
      <c r="F251" s="12">
        <f>_xlfn.XLOOKUP($A251,m1_cv!$B:$B,m1_cv!$C:$C)</f>
        <v>30</v>
      </c>
      <c r="G251">
        <f>MAX(0,ROUND(SUMIFS(m1_cv!$E:$E,m1_cv!$A:$A,$E251,m1_cv!$B:$B,$A251),0))</f>
        <v>717</v>
      </c>
      <c r="H251">
        <f>MAX(0,ROUND(SUMIFS(m2_cv!$E:$E,m2_cv!$A:$A,$E251,m2_cv!$B:$B,$A251),0))</f>
        <v>0</v>
      </c>
      <c r="I251">
        <f>MAX(0,ROUND(SUMIFS(m3_cv!$E:$E,m3_cv!$A:$A,$E251,m3_cv!$B:$B,$A251),0))</f>
        <v>0</v>
      </c>
      <c r="J251">
        <f>MAX(0,ROUND(SUMIFS(m4_cv!$E:$E,m4_cv!$A:$A,$E251,m4_cv!$B:$B,$A251),0))</f>
        <v>0</v>
      </c>
      <c r="K251">
        <f>MAX(0,ROUND(SUMIFS(m5_cv!$E:$E,m5_cv!$A:$A,$E251,m5_cv!$B:$B,$A251),0))</f>
        <v>0</v>
      </c>
      <c r="L251">
        <f>MAX(0,ROUND(SUMIFS(m6_cv!$E:$E,m6_cv!$A:$A,$E251,m6_cv!$B:$B,$A251),0))</f>
        <v>56</v>
      </c>
      <c r="M251">
        <f>MAX(0,ROUND(SUMIFS(m7_cv!$E:$E,m7_cv!$A:$A,$E251,m7_cv!$B:$B,$A251),0))</f>
        <v>0</v>
      </c>
      <c r="N251">
        <f>ROUND(_xlfn.XLOOKUP($D251,Charts!$W$82:$W$112,Charts!$X$82:$X$112)*$L251+_xlfn.XLOOKUP($D251,Charts!$W$82:$W$112,Charts!$Y$82:$Y$112)*$M251,0)</f>
        <v>28</v>
      </c>
    </row>
    <row r="252" spans="1:14" x14ac:dyDescent="0.25">
      <c r="A252" s="3">
        <f t="shared" si="19"/>
        <v>45908</v>
      </c>
      <c r="B252">
        <f t="shared" si="15"/>
        <v>2025</v>
      </c>
      <c r="C252">
        <f t="shared" si="16"/>
        <v>9</v>
      </c>
      <c r="D252">
        <f t="shared" si="17"/>
        <v>8</v>
      </c>
      <c r="E252" s="2">
        <f t="shared" si="18"/>
        <v>45900</v>
      </c>
      <c r="F252" s="12">
        <f>_xlfn.XLOOKUP($A252,m1_cv!$B:$B,m1_cv!$C:$C)</f>
        <v>1382</v>
      </c>
      <c r="G252">
        <f>MAX(0,ROUND(SUMIFS(m1_cv!$E:$E,m1_cv!$A:$A,$E252,m1_cv!$B:$B,$A252),0))</f>
        <v>2995</v>
      </c>
      <c r="H252">
        <f>MAX(0,ROUND(SUMIFS(m2_cv!$E:$E,m2_cv!$A:$A,$E252,m2_cv!$B:$B,$A252),0))</f>
        <v>1610</v>
      </c>
      <c r="I252">
        <f>MAX(0,ROUND(SUMIFS(m3_cv!$E:$E,m3_cv!$A:$A,$E252,m3_cv!$B:$B,$A252),0))</f>
        <v>1804</v>
      </c>
      <c r="J252">
        <f>MAX(0,ROUND(SUMIFS(m4_cv!$E:$E,m4_cv!$A:$A,$E252,m4_cv!$B:$B,$A252),0))</f>
        <v>1803</v>
      </c>
      <c r="K252">
        <f>MAX(0,ROUND(SUMIFS(m5_cv!$E:$E,m5_cv!$A:$A,$E252,m5_cv!$B:$B,$A252),0))</f>
        <v>1976</v>
      </c>
      <c r="L252">
        <f>MAX(0,ROUND(SUMIFS(m6_cv!$E:$E,m6_cv!$A:$A,$E252,m6_cv!$B:$B,$A252),0))</f>
        <v>1293</v>
      </c>
      <c r="M252">
        <f>MAX(0,ROUND(SUMIFS(m7_cv!$E:$E,m7_cv!$A:$A,$E252,m7_cv!$B:$B,$A252),0))</f>
        <v>2064</v>
      </c>
      <c r="N252">
        <f>ROUND(_xlfn.XLOOKUP($D252,Charts!$W$82:$W$112,Charts!$X$82:$X$112)*$L252+_xlfn.XLOOKUP($D252,Charts!$W$82:$W$112,Charts!$Y$82:$Y$112)*$M252,0)</f>
        <v>1679</v>
      </c>
    </row>
    <row r="253" spans="1:14" x14ac:dyDescent="0.25">
      <c r="A253" s="3">
        <f t="shared" si="19"/>
        <v>45909</v>
      </c>
      <c r="B253">
        <f t="shared" si="15"/>
        <v>2025</v>
      </c>
      <c r="C253">
        <f t="shared" si="16"/>
        <v>9</v>
      </c>
      <c r="D253">
        <f t="shared" si="17"/>
        <v>9</v>
      </c>
      <c r="E253" s="2">
        <f t="shared" si="18"/>
        <v>45900</v>
      </c>
      <c r="F253" s="12">
        <f>_xlfn.XLOOKUP($A253,m1_cv!$B:$B,m1_cv!$C:$C)</f>
        <v>1925</v>
      </c>
      <c r="G253">
        <f>MAX(0,ROUND(SUMIFS(m1_cv!$E:$E,m1_cv!$A:$A,$E253,m1_cv!$B:$B,$A253),0))</f>
        <v>3435</v>
      </c>
      <c r="H253">
        <f>MAX(0,ROUND(SUMIFS(m2_cv!$E:$E,m2_cv!$A:$A,$E253,m2_cv!$B:$B,$A253),0))</f>
        <v>1950</v>
      </c>
      <c r="I253">
        <f>MAX(0,ROUND(SUMIFS(m3_cv!$E:$E,m3_cv!$A:$A,$E253,m3_cv!$B:$B,$A253),0))</f>
        <v>1898</v>
      </c>
      <c r="J253">
        <f>MAX(0,ROUND(SUMIFS(m4_cv!$E:$E,m4_cv!$A:$A,$E253,m4_cv!$B:$B,$A253),0))</f>
        <v>1899</v>
      </c>
      <c r="K253">
        <f>MAX(0,ROUND(SUMIFS(m5_cv!$E:$E,m5_cv!$A:$A,$E253,m5_cv!$B:$B,$A253),0))</f>
        <v>2097</v>
      </c>
      <c r="L253">
        <f>MAX(0,ROUND(SUMIFS(m6_cv!$E:$E,m6_cv!$A:$A,$E253,m6_cv!$B:$B,$A253),0))</f>
        <v>1523</v>
      </c>
      <c r="M253">
        <f>MAX(0,ROUND(SUMIFS(m7_cv!$E:$E,m7_cv!$A:$A,$E253,m7_cv!$B:$B,$A253),0))</f>
        <v>2131</v>
      </c>
      <c r="N253">
        <f>ROUND(_xlfn.XLOOKUP($D253,Charts!$W$82:$W$112,Charts!$X$82:$X$112)*$L253+_xlfn.XLOOKUP($D253,Charts!$W$82:$W$112,Charts!$Y$82:$Y$112)*$M253,0)</f>
        <v>1827</v>
      </c>
    </row>
    <row r="254" spans="1:14" x14ac:dyDescent="0.25">
      <c r="A254" s="3">
        <f t="shared" si="19"/>
        <v>45910</v>
      </c>
      <c r="B254">
        <f t="shared" si="15"/>
        <v>2025</v>
      </c>
      <c r="C254">
        <f t="shared" si="16"/>
        <v>9</v>
      </c>
      <c r="D254">
        <f t="shared" si="17"/>
        <v>10</v>
      </c>
      <c r="E254" s="2">
        <f t="shared" si="18"/>
        <v>45900</v>
      </c>
      <c r="F254" s="12">
        <f>_xlfn.XLOOKUP($A254,m1_cv!$B:$B,m1_cv!$C:$C)</f>
        <v>1988</v>
      </c>
      <c r="G254">
        <f>MAX(0,ROUND(SUMIFS(m1_cv!$E:$E,m1_cv!$A:$A,$E254,m1_cv!$B:$B,$A254),0))</f>
        <v>3456</v>
      </c>
      <c r="H254">
        <f>MAX(0,ROUND(SUMIFS(m2_cv!$E:$E,m2_cv!$A:$A,$E254,m2_cv!$B:$B,$A254),0))</f>
        <v>2040</v>
      </c>
      <c r="I254">
        <f>MAX(0,ROUND(SUMIFS(m3_cv!$E:$E,m3_cv!$A:$A,$E254,m3_cv!$B:$B,$A254),0))</f>
        <v>2043</v>
      </c>
      <c r="J254">
        <f>MAX(0,ROUND(SUMIFS(m4_cv!$E:$E,m4_cv!$A:$A,$E254,m4_cv!$B:$B,$A254),0))</f>
        <v>2044</v>
      </c>
      <c r="K254">
        <f>MAX(0,ROUND(SUMIFS(m5_cv!$E:$E,m5_cv!$A:$A,$E254,m5_cv!$B:$B,$A254),0))</f>
        <v>2180</v>
      </c>
      <c r="L254">
        <f>MAX(0,ROUND(SUMIFS(m6_cv!$E:$E,m6_cv!$A:$A,$E254,m6_cv!$B:$B,$A254),0))</f>
        <v>1543</v>
      </c>
      <c r="M254">
        <f>MAX(0,ROUND(SUMIFS(m7_cv!$E:$E,m7_cv!$A:$A,$E254,m7_cv!$B:$B,$A254),0))</f>
        <v>2088</v>
      </c>
      <c r="N254">
        <f>ROUND(_xlfn.XLOOKUP($D254,Charts!$W$82:$W$112,Charts!$X$82:$X$112)*$L254+_xlfn.XLOOKUP($D254,Charts!$W$82:$W$112,Charts!$Y$82:$Y$112)*$M254,0)</f>
        <v>1816</v>
      </c>
    </row>
    <row r="255" spans="1:14" x14ac:dyDescent="0.25">
      <c r="A255" s="3">
        <f t="shared" si="19"/>
        <v>45911</v>
      </c>
      <c r="B255">
        <f t="shared" si="15"/>
        <v>2025</v>
      </c>
      <c r="C255">
        <f t="shared" si="16"/>
        <v>9</v>
      </c>
      <c r="D255">
        <f t="shared" si="17"/>
        <v>11</v>
      </c>
      <c r="E255" s="2">
        <f t="shared" si="18"/>
        <v>45900</v>
      </c>
      <c r="F255" s="12">
        <f>_xlfn.XLOOKUP($A255,m1_cv!$B:$B,m1_cv!$C:$C)</f>
        <v>2414</v>
      </c>
      <c r="G255">
        <f>MAX(0,ROUND(SUMIFS(m1_cv!$E:$E,m1_cv!$A:$A,$E255,m1_cv!$B:$B,$A255),0))</f>
        <v>3443</v>
      </c>
      <c r="H255">
        <f>MAX(0,ROUND(SUMIFS(m2_cv!$E:$E,m2_cv!$A:$A,$E255,m2_cv!$B:$B,$A255),0))</f>
        <v>2268</v>
      </c>
      <c r="I255">
        <f>MAX(0,ROUND(SUMIFS(m3_cv!$E:$E,m3_cv!$A:$A,$E255,m3_cv!$B:$B,$A255),0))</f>
        <v>2311</v>
      </c>
      <c r="J255">
        <f>MAX(0,ROUND(SUMIFS(m4_cv!$E:$E,m4_cv!$A:$A,$E255,m4_cv!$B:$B,$A255),0))</f>
        <v>2312</v>
      </c>
      <c r="K255">
        <f>MAX(0,ROUND(SUMIFS(m5_cv!$E:$E,m5_cv!$A:$A,$E255,m5_cv!$B:$B,$A255),0))</f>
        <v>2273</v>
      </c>
      <c r="L255">
        <f>MAX(0,ROUND(SUMIFS(m6_cv!$E:$E,m6_cv!$A:$A,$E255,m6_cv!$B:$B,$A255),0))</f>
        <v>1651</v>
      </c>
      <c r="M255">
        <f>MAX(0,ROUND(SUMIFS(m7_cv!$E:$E,m7_cv!$A:$A,$E255,m7_cv!$B:$B,$A255),0))</f>
        <v>2207</v>
      </c>
      <c r="N255">
        <f>ROUND(_xlfn.XLOOKUP($D255,Charts!$W$82:$W$112,Charts!$X$82:$X$112)*$L255+_xlfn.XLOOKUP($D255,Charts!$W$82:$W$112,Charts!$Y$82:$Y$112)*$M255,0)</f>
        <v>2040</v>
      </c>
    </row>
    <row r="256" spans="1:14" x14ac:dyDescent="0.25">
      <c r="A256" s="3">
        <f t="shared" si="19"/>
        <v>45912</v>
      </c>
      <c r="B256">
        <f t="shared" si="15"/>
        <v>2025</v>
      </c>
      <c r="C256">
        <f t="shared" si="16"/>
        <v>9</v>
      </c>
      <c r="D256">
        <f t="shared" si="17"/>
        <v>12</v>
      </c>
      <c r="E256" s="2">
        <f t="shared" si="18"/>
        <v>45900</v>
      </c>
      <c r="F256" s="12">
        <f>_xlfn.XLOOKUP($A256,m1_cv!$B:$B,m1_cv!$C:$C)</f>
        <v>2644</v>
      </c>
      <c r="G256">
        <f>MAX(0,ROUND(SUMIFS(m1_cv!$E:$E,m1_cv!$A:$A,$E256,m1_cv!$B:$B,$A256),0))</f>
        <v>3342</v>
      </c>
      <c r="H256">
        <f>MAX(0,ROUND(SUMIFS(m2_cv!$E:$E,m2_cv!$A:$A,$E256,m2_cv!$B:$B,$A256),0))</f>
        <v>2409</v>
      </c>
      <c r="I256">
        <f>MAX(0,ROUND(SUMIFS(m3_cv!$E:$E,m3_cv!$A:$A,$E256,m3_cv!$B:$B,$A256),0))</f>
        <v>2445</v>
      </c>
      <c r="J256">
        <f>MAX(0,ROUND(SUMIFS(m4_cv!$E:$E,m4_cv!$A:$A,$E256,m4_cv!$B:$B,$A256),0))</f>
        <v>2448</v>
      </c>
      <c r="K256">
        <f>MAX(0,ROUND(SUMIFS(m5_cv!$E:$E,m5_cv!$A:$A,$E256,m5_cv!$B:$B,$A256),0))</f>
        <v>2265</v>
      </c>
      <c r="L256">
        <f>MAX(0,ROUND(SUMIFS(m6_cv!$E:$E,m6_cv!$A:$A,$E256,m6_cv!$B:$B,$A256),0))</f>
        <v>1674</v>
      </c>
      <c r="M256">
        <f>MAX(0,ROUND(SUMIFS(m7_cv!$E:$E,m7_cv!$A:$A,$E256,m7_cv!$B:$B,$A256),0))</f>
        <v>2289</v>
      </c>
      <c r="N256">
        <f>ROUND(_xlfn.XLOOKUP($D256,Charts!$W$82:$W$112,Charts!$X$82:$X$112)*$L256+_xlfn.XLOOKUP($D256,Charts!$W$82:$W$112,Charts!$Y$82:$Y$112)*$M256,0)</f>
        <v>2105</v>
      </c>
    </row>
    <row r="257" spans="1:14" x14ac:dyDescent="0.25">
      <c r="A257" s="3">
        <f t="shared" si="19"/>
        <v>45913</v>
      </c>
      <c r="B257">
        <f t="shared" si="15"/>
        <v>2025</v>
      </c>
      <c r="C257">
        <f t="shared" si="16"/>
        <v>9</v>
      </c>
      <c r="D257">
        <f t="shared" si="17"/>
        <v>13</v>
      </c>
      <c r="E257" s="2">
        <f t="shared" si="18"/>
        <v>45900</v>
      </c>
      <c r="F257" s="12">
        <f>_xlfn.XLOOKUP($A257,m1_cv!$B:$B,m1_cv!$C:$C)</f>
        <v>439</v>
      </c>
      <c r="G257">
        <f>MAX(0,ROUND(SUMIFS(m1_cv!$E:$E,m1_cv!$A:$A,$E257,m1_cv!$B:$B,$A257),0))</f>
        <v>1056</v>
      </c>
      <c r="H257">
        <f>MAX(0,ROUND(SUMIFS(m2_cv!$E:$E,m2_cv!$A:$A,$E257,m2_cv!$B:$B,$A257),0))</f>
        <v>232</v>
      </c>
      <c r="I257">
        <f>MAX(0,ROUND(SUMIFS(m3_cv!$E:$E,m3_cv!$A:$A,$E257,m3_cv!$B:$B,$A257),0))</f>
        <v>241</v>
      </c>
      <c r="J257">
        <f>MAX(0,ROUND(SUMIFS(m4_cv!$E:$E,m4_cv!$A:$A,$E257,m4_cv!$B:$B,$A257),0))</f>
        <v>243</v>
      </c>
      <c r="K257">
        <f>MAX(0,ROUND(SUMIFS(m5_cv!$E:$E,m5_cv!$A:$A,$E257,m5_cv!$B:$B,$A257),0))</f>
        <v>24</v>
      </c>
      <c r="L257">
        <f>MAX(0,ROUND(SUMIFS(m6_cv!$E:$E,m6_cv!$A:$A,$E257,m6_cv!$B:$B,$A257),0))</f>
        <v>302</v>
      </c>
      <c r="M257">
        <f>MAX(0,ROUND(SUMIFS(m7_cv!$E:$E,m7_cv!$A:$A,$E257,m7_cv!$B:$B,$A257),0))</f>
        <v>60</v>
      </c>
      <c r="N257">
        <f>ROUND(_xlfn.XLOOKUP($D257,Charts!$W$82:$W$112,Charts!$X$82:$X$112)*$L257+_xlfn.XLOOKUP($D257,Charts!$W$82:$W$112,Charts!$Y$82:$Y$112)*$M257,0)</f>
        <v>133</v>
      </c>
    </row>
    <row r="258" spans="1:14" x14ac:dyDescent="0.25">
      <c r="A258" s="3">
        <f t="shared" si="19"/>
        <v>45914</v>
      </c>
      <c r="B258">
        <f t="shared" si="15"/>
        <v>2025</v>
      </c>
      <c r="C258">
        <f t="shared" si="16"/>
        <v>9</v>
      </c>
      <c r="D258">
        <f t="shared" si="17"/>
        <v>14</v>
      </c>
      <c r="E258" s="2">
        <f t="shared" si="18"/>
        <v>45900</v>
      </c>
      <c r="F258" s="12">
        <f>_xlfn.XLOOKUP($A258,m1_cv!$B:$B,m1_cv!$C:$C)</f>
        <v>108</v>
      </c>
      <c r="G258">
        <f>MAX(0,ROUND(SUMIFS(m1_cv!$E:$E,m1_cv!$A:$A,$E258,m1_cv!$B:$B,$A258),0))</f>
        <v>439</v>
      </c>
      <c r="H258">
        <f>MAX(0,ROUND(SUMIFS(m2_cv!$E:$E,m2_cv!$A:$A,$E258,m2_cv!$B:$B,$A258),0))</f>
        <v>0</v>
      </c>
      <c r="I258">
        <f>MAX(0,ROUND(SUMIFS(m3_cv!$E:$E,m3_cv!$A:$A,$E258,m3_cv!$B:$B,$A258),0))</f>
        <v>0</v>
      </c>
      <c r="J258">
        <f>MAX(0,ROUND(SUMIFS(m4_cv!$E:$E,m4_cv!$A:$A,$E258,m4_cv!$B:$B,$A258),0))</f>
        <v>0</v>
      </c>
      <c r="K258">
        <f>MAX(0,ROUND(SUMIFS(m5_cv!$E:$E,m5_cv!$A:$A,$E258,m5_cv!$B:$B,$A258),0))</f>
        <v>0</v>
      </c>
      <c r="L258">
        <f>MAX(0,ROUND(SUMIFS(m6_cv!$E:$E,m6_cv!$A:$A,$E258,m6_cv!$B:$B,$A258),0))</f>
        <v>119</v>
      </c>
      <c r="M258">
        <f>MAX(0,ROUND(SUMIFS(m7_cv!$E:$E,m7_cv!$A:$A,$E258,m7_cv!$B:$B,$A258),0))</f>
        <v>0</v>
      </c>
      <c r="N258">
        <f>ROUND(_xlfn.XLOOKUP($D258,Charts!$W$82:$W$112,Charts!$X$82:$X$112)*$L258+_xlfn.XLOOKUP($D258,Charts!$W$82:$W$112,Charts!$Y$82:$Y$112)*$M258,0)</f>
        <v>0</v>
      </c>
    </row>
    <row r="259" spans="1:14" x14ac:dyDescent="0.25">
      <c r="A259" s="3">
        <f t="shared" si="19"/>
        <v>45915</v>
      </c>
      <c r="B259">
        <f t="shared" ref="B259:B322" si="20">YEAR(A259)</f>
        <v>2025</v>
      </c>
      <c r="C259">
        <f t="shared" ref="C259:C322" si="21">MONTH($A259)</f>
        <v>9</v>
      </c>
      <c r="D259">
        <f t="shared" ref="D259:D322" si="22">DAY($A259)</f>
        <v>15</v>
      </c>
      <c r="E259" s="2">
        <f t="shared" ref="E259:E322" si="23">DATE($B259,$C259,1)-1</f>
        <v>45900</v>
      </c>
      <c r="F259" s="12">
        <f>_xlfn.XLOOKUP($A259,m1_cv!$B:$B,m1_cv!$C:$C)</f>
        <v>19</v>
      </c>
      <c r="G259">
        <f>MAX(0,ROUND(SUMIFS(m1_cv!$E:$E,m1_cv!$A:$A,$E259,m1_cv!$B:$B,$A259),0))</f>
        <v>2720</v>
      </c>
      <c r="H259">
        <f>MAX(0,ROUND(SUMIFS(m2_cv!$E:$E,m2_cv!$A:$A,$E259,m2_cv!$B:$B,$A259),0))</f>
        <v>1987</v>
      </c>
      <c r="I259">
        <f>MAX(0,ROUND(SUMIFS(m3_cv!$E:$E,m3_cv!$A:$A,$E259,m3_cv!$B:$B,$A259),0))</f>
        <v>320</v>
      </c>
      <c r="J259">
        <f>MAX(0,ROUND(SUMIFS(m4_cv!$E:$E,m4_cv!$A:$A,$E259,m4_cv!$B:$B,$A259),0))</f>
        <v>358</v>
      </c>
      <c r="K259">
        <f>MAX(0,ROUND(SUMIFS(m5_cv!$E:$E,m5_cv!$A:$A,$E259,m5_cv!$B:$B,$A259),0))</f>
        <v>416</v>
      </c>
      <c r="L259">
        <f>MAX(0,ROUND(SUMIFS(m6_cv!$E:$E,m6_cv!$A:$A,$E259,m6_cv!$B:$B,$A259),0))</f>
        <v>186</v>
      </c>
      <c r="M259">
        <f>MAX(0,ROUND(SUMIFS(m7_cv!$E:$E,m7_cv!$A:$A,$E259,m7_cv!$B:$B,$A259),0))</f>
        <v>372</v>
      </c>
      <c r="N259">
        <f>ROUND(_xlfn.XLOOKUP($D259,Charts!$W$82:$W$112,Charts!$X$82:$X$112)*$L259+_xlfn.XLOOKUP($D259,Charts!$W$82:$W$112,Charts!$Y$82:$Y$112)*$M259,0)</f>
        <v>372</v>
      </c>
    </row>
    <row r="260" spans="1:14" x14ac:dyDescent="0.25">
      <c r="A260" s="3">
        <f t="shared" ref="A260:A323" si="24">A259+1</f>
        <v>45916</v>
      </c>
      <c r="B260">
        <f t="shared" si="20"/>
        <v>2025</v>
      </c>
      <c r="C260">
        <f t="shared" si="21"/>
        <v>9</v>
      </c>
      <c r="D260">
        <f t="shared" si="22"/>
        <v>16</v>
      </c>
      <c r="E260" s="2">
        <f t="shared" si="23"/>
        <v>45900</v>
      </c>
      <c r="F260" s="12">
        <f>_xlfn.XLOOKUP($A260,m1_cv!$B:$B,m1_cv!$C:$C)</f>
        <v>5</v>
      </c>
      <c r="G260">
        <f>MAX(0,ROUND(SUMIFS(m1_cv!$E:$E,m1_cv!$A:$A,$E260,m1_cv!$B:$B,$A260),0))</f>
        <v>3168</v>
      </c>
      <c r="H260">
        <f>MAX(0,ROUND(SUMIFS(m2_cv!$E:$E,m2_cv!$A:$A,$E260,m2_cv!$B:$B,$A260),0))</f>
        <v>2597</v>
      </c>
      <c r="I260">
        <f>MAX(0,ROUND(SUMIFS(m3_cv!$E:$E,m3_cv!$A:$A,$E260,m3_cv!$B:$B,$A260),0))</f>
        <v>695</v>
      </c>
      <c r="J260">
        <f>MAX(0,ROUND(SUMIFS(m4_cv!$E:$E,m4_cv!$A:$A,$E260,m4_cv!$B:$B,$A260),0))</f>
        <v>736</v>
      </c>
      <c r="K260">
        <f>MAX(0,ROUND(SUMIFS(m5_cv!$E:$E,m5_cv!$A:$A,$E260,m5_cv!$B:$B,$A260),0))</f>
        <v>836</v>
      </c>
      <c r="L260">
        <f>MAX(0,ROUND(SUMIFS(m6_cv!$E:$E,m6_cv!$A:$A,$E260,m6_cv!$B:$B,$A260),0))</f>
        <v>243</v>
      </c>
      <c r="M260">
        <f>MAX(0,ROUND(SUMIFS(m7_cv!$E:$E,m7_cv!$A:$A,$E260,m7_cv!$B:$B,$A260),0))</f>
        <v>785</v>
      </c>
      <c r="N260">
        <f>ROUND(_xlfn.XLOOKUP($D260,Charts!$W$82:$W$112,Charts!$X$82:$X$112)*$L260+_xlfn.XLOOKUP($D260,Charts!$W$82:$W$112,Charts!$Y$82:$Y$112)*$M260,0)</f>
        <v>785</v>
      </c>
    </row>
    <row r="261" spans="1:14" x14ac:dyDescent="0.25">
      <c r="A261" s="3">
        <f t="shared" si="24"/>
        <v>45917</v>
      </c>
      <c r="B261">
        <f t="shared" si="20"/>
        <v>2025</v>
      </c>
      <c r="C261">
        <f t="shared" si="21"/>
        <v>9</v>
      </c>
      <c r="D261">
        <f t="shared" si="22"/>
        <v>17</v>
      </c>
      <c r="E261" s="2">
        <f t="shared" si="23"/>
        <v>45900</v>
      </c>
      <c r="F261" s="12">
        <f>_xlfn.XLOOKUP($A261,m1_cv!$B:$B,m1_cv!$C:$C)</f>
        <v>2108</v>
      </c>
      <c r="G261">
        <f>MAX(0,ROUND(SUMIFS(m1_cv!$E:$E,m1_cv!$A:$A,$E261,m1_cv!$B:$B,$A261),0))</f>
        <v>3200</v>
      </c>
      <c r="H261">
        <f>MAX(0,ROUND(SUMIFS(m2_cv!$E:$E,m2_cv!$A:$A,$E261,m2_cv!$B:$B,$A261),0))</f>
        <v>2870</v>
      </c>
      <c r="I261">
        <f>MAX(0,ROUND(SUMIFS(m3_cv!$E:$E,m3_cv!$A:$A,$E261,m3_cv!$B:$B,$A261),0))</f>
        <v>2822</v>
      </c>
      <c r="J261">
        <f>MAX(0,ROUND(SUMIFS(m4_cv!$E:$E,m4_cv!$A:$A,$E261,m4_cv!$B:$B,$A261),0))</f>
        <v>2824</v>
      </c>
      <c r="K261">
        <f>MAX(0,ROUND(SUMIFS(m5_cv!$E:$E,m5_cv!$A:$A,$E261,m5_cv!$B:$B,$A261),0))</f>
        <v>2759</v>
      </c>
      <c r="L261">
        <f>MAX(0,ROUND(SUMIFS(m6_cv!$E:$E,m6_cv!$A:$A,$E261,m6_cv!$B:$B,$A261),0))</f>
        <v>2231</v>
      </c>
      <c r="M261">
        <f>MAX(0,ROUND(SUMIFS(m7_cv!$E:$E,m7_cv!$A:$A,$E261,m7_cv!$B:$B,$A261),0))</f>
        <v>2746</v>
      </c>
      <c r="N261">
        <f>ROUND(_xlfn.XLOOKUP($D261,Charts!$W$82:$W$112,Charts!$X$82:$X$112)*$L261+_xlfn.XLOOKUP($D261,Charts!$W$82:$W$112,Charts!$Y$82:$Y$112)*$M261,0)</f>
        <v>2746</v>
      </c>
    </row>
    <row r="262" spans="1:14" x14ac:dyDescent="0.25">
      <c r="A262" s="3">
        <f t="shared" si="24"/>
        <v>45918</v>
      </c>
      <c r="B262">
        <f t="shared" si="20"/>
        <v>2025</v>
      </c>
      <c r="C262">
        <f t="shared" si="21"/>
        <v>9</v>
      </c>
      <c r="D262">
        <f t="shared" si="22"/>
        <v>18</v>
      </c>
      <c r="E262" s="2">
        <f t="shared" si="23"/>
        <v>45900</v>
      </c>
      <c r="F262" s="12">
        <f>_xlfn.XLOOKUP($A262,m1_cv!$B:$B,m1_cv!$C:$C)</f>
        <v>3129</v>
      </c>
      <c r="G262">
        <f>MAX(0,ROUND(SUMIFS(m1_cv!$E:$E,m1_cv!$A:$A,$E262,m1_cv!$B:$B,$A262),0))</f>
        <v>3204</v>
      </c>
      <c r="H262">
        <f>MAX(0,ROUND(SUMIFS(m2_cv!$E:$E,m2_cv!$A:$A,$E262,m2_cv!$B:$B,$A262),0))</f>
        <v>3010</v>
      </c>
      <c r="I262">
        <f>MAX(0,ROUND(SUMIFS(m3_cv!$E:$E,m3_cv!$A:$A,$E262,m3_cv!$B:$B,$A262),0))</f>
        <v>3004</v>
      </c>
      <c r="J262">
        <f>MAX(0,ROUND(SUMIFS(m4_cv!$E:$E,m4_cv!$A:$A,$E262,m4_cv!$B:$B,$A262),0))</f>
        <v>3007</v>
      </c>
      <c r="K262">
        <f>MAX(0,ROUND(SUMIFS(m5_cv!$E:$E,m5_cv!$A:$A,$E262,m5_cv!$B:$B,$A262),0))</f>
        <v>2813</v>
      </c>
      <c r="L262">
        <f>MAX(0,ROUND(SUMIFS(m6_cv!$E:$E,m6_cv!$A:$A,$E262,m6_cv!$B:$B,$A262),0))</f>
        <v>2415</v>
      </c>
      <c r="M262">
        <f>MAX(0,ROUND(SUMIFS(m7_cv!$E:$E,m7_cv!$A:$A,$E262,m7_cv!$B:$B,$A262),0))</f>
        <v>2797</v>
      </c>
      <c r="N262">
        <f>ROUND(_xlfn.XLOOKUP($D262,Charts!$W$82:$W$112,Charts!$X$82:$X$112)*$L262+_xlfn.XLOOKUP($D262,Charts!$W$82:$W$112,Charts!$Y$82:$Y$112)*$M262,0)</f>
        <v>2797</v>
      </c>
    </row>
    <row r="263" spans="1:14" x14ac:dyDescent="0.25">
      <c r="A263" s="3">
        <f t="shared" si="24"/>
        <v>45919</v>
      </c>
      <c r="B263">
        <f t="shared" si="20"/>
        <v>2025</v>
      </c>
      <c r="C263">
        <f t="shared" si="21"/>
        <v>9</v>
      </c>
      <c r="D263">
        <f t="shared" si="22"/>
        <v>19</v>
      </c>
      <c r="E263" s="2">
        <f t="shared" si="23"/>
        <v>45900</v>
      </c>
      <c r="F263" s="12">
        <f>_xlfn.XLOOKUP($A263,m1_cv!$B:$B,m1_cv!$C:$C)</f>
        <v>3027</v>
      </c>
      <c r="G263">
        <f>MAX(0,ROUND(SUMIFS(m1_cv!$E:$E,m1_cv!$A:$A,$E263,m1_cv!$B:$B,$A263),0))</f>
        <v>3124</v>
      </c>
      <c r="H263">
        <f>MAX(0,ROUND(SUMIFS(m2_cv!$E:$E,m2_cv!$A:$A,$E263,m2_cv!$B:$B,$A263),0))</f>
        <v>2902</v>
      </c>
      <c r="I263">
        <f>MAX(0,ROUND(SUMIFS(m3_cv!$E:$E,m3_cv!$A:$A,$E263,m3_cv!$B:$B,$A263),0))</f>
        <v>2855</v>
      </c>
      <c r="J263">
        <f>MAX(0,ROUND(SUMIFS(m4_cv!$E:$E,m4_cv!$A:$A,$E263,m4_cv!$B:$B,$A263),0))</f>
        <v>2858</v>
      </c>
      <c r="K263">
        <f>MAX(0,ROUND(SUMIFS(m5_cv!$E:$E,m5_cv!$A:$A,$E263,m5_cv!$B:$B,$A263),0))</f>
        <v>2747</v>
      </c>
      <c r="L263">
        <f>MAX(0,ROUND(SUMIFS(m6_cv!$E:$E,m6_cv!$A:$A,$E263,m6_cv!$B:$B,$A263),0))</f>
        <v>2400</v>
      </c>
      <c r="M263">
        <f>MAX(0,ROUND(SUMIFS(m7_cv!$E:$E,m7_cv!$A:$A,$E263,m7_cv!$B:$B,$A263),0))</f>
        <v>2764</v>
      </c>
      <c r="N263">
        <f>ROUND(_xlfn.XLOOKUP($D263,Charts!$W$82:$W$112,Charts!$X$82:$X$112)*$L263+_xlfn.XLOOKUP($D263,Charts!$W$82:$W$112,Charts!$Y$82:$Y$112)*$M263,0)</f>
        <v>2764</v>
      </c>
    </row>
    <row r="264" spans="1:14" x14ac:dyDescent="0.25">
      <c r="A264" s="3">
        <f t="shared" si="24"/>
        <v>45920</v>
      </c>
      <c r="B264">
        <f t="shared" si="20"/>
        <v>2025</v>
      </c>
      <c r="C264">
        <f t="shared" si="21"/>
        <v>9</v>
      </c>
      <c r="D264">
        <f t="shared" si="22"/>
        <v>20</v>
      </c>
      <c r="E264" s="2">
        <f t="shared" si="23"/>
        <v>45900</v>
      </c>
      <c r="F264" s="12">
        <f>_xlfn.XLOOKUP($A264,m1_cv!$B:$B,m1_cv!$C:$C)</f>
        <v>525</v>
      </c>
      <c r="G264">
        <f>MAX(0,ROUND(SUMIFS(m1_cv!$E:$E,m1_cv!$A:$A,$E264,m1_cv!$B:$B,$A264),0))</f>
        <v>862</v>
      </c>
      <c r="H264">
        <f>MAX(0,ROUND(SUMIFS(m2_cv!$E:$E,m2_cv!$A:$A,$E264,m2_cv!$B:$B,$A264),0))</f>
        <v>591</v>
      </c>
      <c r="I264">
        <f>MAX(0,ROUND(SUMIFS(m3_cv!$E:$E,m3_cv!$A:$A,$E264,m3_cv!$B:$B,$A264),0))</f>
        <v>475</v>
      </c>
      <c r="J264">
        <f>MAX(0,ROUND(SUMIFS(m4_cv!$E:$E,m4_cv!$A:$A,$E264,m4_cv!$B:$B,$A264),0))</f>
        <v>478</v>
      </c>
      <c r="K264">
        <f>MAX(0,ROUND(SUMIFS(m5_cv!$E:$E,m5_cv!$A:$A,$E264,m5_cv!$B:$B,$A264),0))</f>
        <v>546</v>
      </c>
      <c r="L264">
        <f>MAX(0,ROUND(SUMIFS(m6_cv!$E:$E,m6_cv!$A:$A,$E264,m6_cv!$B:$B,$A264),0))</f>
        <v>425</v>
      </c>
      <c r="M264">
        <f>MAX(0,ROUND(SUMIFS(m7_cv!$E:$E,m7_cv!$A:$A,$E264,m7_cv!$B:$B,$A264),0))</f>
        <v>624</v>
      </c>
      <c r="N264">
        <f>ROUND(_xlfn.XLOOKUP($D264,Charts!$W$82:$W$112,Charts!$X$82:$X$112)*$L264+_xlfn.XLOOKUP($D264,Charts!$W$82:$W$112,Charts!$Y$82:$Y$112)*$M264,0)</f>
        <v>624</v>
      </c>
    </row>
    <row r="265" spans="1:14" x14ac:dyDescent="0.25">
      <c r="A265" s="3">
        <f t="shared" si="24"/>
        <v>45921</v>
      </c>
      <c r="B265">
        <f t="shared" si="20"/>
        <v>2025</v>
      </c>
      <c r="C265">
        <f t="shared" si="21"/>
        <v>9</v>
      </c>
      <c r="D265">
        <f t="shared" si="22"/>
        <v>21</v>
      </c>
      <c r="E265" s="2">
        <f t="shared" si="23"/>
        <v>45900</v>
      </c>
      <c r="F265" s="12">
        <f>_xlfn.XLOOKUP($A265,m1_cv!$B:$B,m1_cv!$C:$C)</f>
        <v>107</v>
      </c>
      <c r="G265">
        <f>MAX(0,ROUND(SUMIFS(m1_cv!$E:$E,m1_cv!$A:$A,$E265,m1_cv!$B:$B,$A265),0))</f>
        <v>274</v>
      </c>
      <c r="H265">
        <f>MAX(0,ROUND(SUMIFS(m2_cv!$E:$E,m2_cv!$A:$A,$E265,m2_cv!$B:$B,$A265),0))</f>
        <v>126</v>
      </c>
      <c r="I265">
        <f>MAX(0,ROUND(SUMIFS(m3_cv!$E:$E,m3_cv!$A:$A,$E265,m3_cv!$B:$B,$A265),0))</f>
        <v>0</v>
      </c>
      <c r="J265">
        <f>MAX(0,ROUND(SUMIFS(m4_cv!$E:$E,m4_cv!$A:$A,$E265,m4_cv!$B:$B,$A265),0))</f>
        <v>0</v>
      </c>
      <c r="K265">
        <f>MAX(0,ROUND(SUMIFS(m5_cv!$E:$E,m5_cv!$A:$A,$E265,m5_cv!$B:$B,$A265),0))</f>
        <v>154</v>
      </c>
      <c r="L265">
        <f>MAX(0,ROUND(SUMIFS(m6_cv!$E:$E,m6_cv!$A:$A,$E265,m6_cv!$B:$B,$A265),0))</f>
        <v>168</v>
      </c>
      <c r="M265">
        <f>MAX(0,ROUND(SUMIFS(m7_cv!$E:$E,m7_cv!$A:$A,$E265,m7_cv!$B:$B,$A265),0))</f>
        <v>119</v>
      </c>
      <c r="N265">
        <f>ROUND(_xlfn.XLOOKUP($D265,Charts!$W$82:$W$112,Charts!$X$82:$X$112)*$L265+_xlfn.XLOOKUP($D265,Charts!$W$82:$W$112,Charts!$Y$82:$Y$112)*$M265,0)</f>
        <v>119</v>
      </c>
    </row>
    <row r="266" spans="1:14" x14ac:dyDescent="0.25">
      <c r="A266" s="3">
        <f t="shared" si="24"/>
        <v>45922</v>
      </c>
      <c r="B266">
        <f t="shared" si="20"/>
        <v>2025</v>
      </c>
      <c r="C266">
        <f t="shared" si="21"/>
        <v>9</v>
      </c>
      <c r="D266">
        <f t="shared" si="22"/>
        <v>22</v>
      </c>
      <c r="E266" s="2">
        <f t="shared" si="23"/>
        <v>45900</v>
      </c>
      <c r="F266" s="12">
        <f>_xlfn.XLOOKUP($A266,m1_cv!$B:$B,m1_cv!$C:$C)</f>
        <v>2480</v>
      </c>
      <c r="G266">
        <f>MAX(0,ROUND(SUMIFS(m1_cv!$E:$E,m1_cv!$A:$A,$E266,m1_cv!$B:$B,$A266),0))</f>
        <v>2585</v>
      </c>
      <c r="H266">
        <f>MAX(0,ROUND(SUMIFS(m2_cv!$E:$E,m2_cv!$A:$A,$E266,m2_cv!$B:$B,$A266),0))</f>
        <v>2757</v>
      </c>
      <c r="I266">
        <f>MAX(0,ROUND(SUMIFS(m3_cv!$E:$E,m3_cv!$A:$A,$E266,m3_cv!$B:$B,$A266),0))</f>
        <v>2790</v>
      </c>
      <c r="J266">
        <f>MAX(0,ROUND(SUMIFS(m4_cv!$E:$E,m4_cv!$A:$A,$E266,m4_cv!$B:$B,$A266),0))</f>
        <v>2792</v>
      </c>
      <c r="K266">
        <f>MAX(0,ROUND(SUMIFS(m5_cv!$E:$E,m5_cv!$A:$A,$E266,m5_cv!$B:$B,$A266),0))</f>
        <v>2852</v>
      </c>
      <c r="L266">
        <f>MAX(0,ROUND(SUMIFS(m6_cv!$E:$E,m6_cv!$A:$A,$E266,m6_cv!$B:$B,$A266),0))</f>
        <v>2221</v>
      </c>
      <c r="M266">
        <f>MAX(0,ROUND(SUMIFS(m7_cv!$E:$E,m7_cv!$A:$A,$E266,m7_cv!$B:$B,$A266),0))</f>
        <v>2711</v>
      </c>
      <c r="N266">
        <f>ROUND(_xlfn.XLOOKUP($D266,Charts!$W$82:$W$112,Charts!$X$82:$X$112)*$L266+_xlfn.XLOOKUP($D266,Charts!$W$82:$W$112,Charts!$Y$82:$Y$112)*$M266,0)</f>
        <v>2711</v>
      </c>
    </row>
    <row r="267" spans="1:14" x14ac:dyDescent="0.25">
      <c r="A267" s="3">
        <f t="shared" si="24"/>
        <v>45923</v>
      </c>
      <c r="B267">
        <f t="shared" si="20"/>
        <v>2025</v>
      </c>
      <c r="C267">
        <f t="shared" si="21"/>
        <v>9</v>
      </c>
      <c r="D267">
        <f t="shared" si="22"/>
        <v>23</v>
      </c>
      <c r="E267" s="2">
        <f t="shared" si="23"/>
        <v>45900</v>
      </c>
      <c r="F267" s="12">
        <f>_xlfn.XLOOKUP($A267,m1_cv!$B:$B,m1_cv!$C:$C)</f>
        <v>2893</v>
      </c>
      <c r="G267">
        <f>MAX(0,ROUND(SUMIFS(m1_cv!$E:$E,m1_cv!$A:$A,$E267,m1_cv!$B:$B,$A267),0))</f>
        <v>3064</v>
      </c>
      <c r="H267">
        <f>MAX(0,ROUND(SUMIFS(m2_cv!$E:$E,m2_cv!$A:$A,$E267,m2_cv!$B:$B,$A267),0))</f>
        <v>3508</v>
      </c>
      <c r="I267">
        <f>MAX(0,ROUND(SUMIFS(m3_cv!$E:$E,m3_cv!$A:$A,$E267,m3_cv!$B:$B,$A267),0))</f>
        <v>3388</v>
      </c>
      <c r="J267">
        <f>MAX(0,ROUND(SUMIFS(m4_cv!$E:$E,m4_cv!$A:$A,$E267,m4_cv!$B:$B,$A267),0))</f>
        <v>3392</v>
      </c>
      <c r="K267">
        <f>MAX(0,ROUND(SUMIFS(m5_cv!$E:$E,m5_cv!$A:$A,$E267,m5_cv!$B:$B,$A267),0))</f>
        <v>3194</v>
      </c>
      <c r="L267">
        <f>MAX(0,ROUND(SUMIFS(m6_cv!$E:$E,m6_cv!$A:$A,$E267,m6_cv!$B:$B,$A267),0))</f>
        <v>2809</v>
      </c>
      <c r="M267">
        <f>MAX(0,ROUND(SUMIFS(m7_cv!$E:$E,m7_cv!$A:$A,$E267,m7_cv!$B:$B,$A267),0))</f>
        <v>3219</v>
      </c>
      <c r="N267">
        <f>ROUND(_xlfn.XLOOKUP($D267,Charts!$W$82:$W$112,Charts!$X$82:$X$112)*$L267+_xlfn.XLOOKUP($D267,Charts!$W$82:$W$112,Charts!$Y$82:$Y$112)*$M267,0)</f>
        <v>3219</v>
      </c>
    </row>
    <row r="268" spans="1:14" x14ac:dyDescent="0.25">
      <c r="A268" s="3">
        <f t="shared" si="24"/>
        <v>45924</v>
      </c>
      <c r="B268">
        <f t="shared" si="20"/>
        <v>2025</v>
      </c>
      <c r="C268">
        <f t="shared" si="21"/>
        <v>9</v>
      </c>
      <c r="D268">
        <f t="shared" si="22"/>
        <v>24</v>
      </c>
      <c r="E268" s="2">
        <f t="shared" si="23"/>
        <v>45900</v>
      </c>
      <c r="F268" s="12">
        <f>_xlfn.XLOOKUP($A268,m1_cv!$B:$B,m1_cv!$C:$C)</f>
        <v>3143</v>
      </c>
      <c r="G268">
        <f>MAX(0,ROUND(SUMIFS(m1_cv!$E:$E,m1_cv!$A:$A,$E268,m1_cv!$B:$B,$A268),0))</f>
        <v>3129</v>
      </c>
      <c r="H268">
        <f>MAX(0,ROUND(SUMIFS(m2_cv!$E:$E,m2_cv!$A:$A,$E268,m2_cv!$B:$B,$A268),0))</f>
        <v>3665</v>
      </c>
      <c r="I268">
        <f>MAX(0,ROUND(SUMIFS(m3_cv!$E:$E,m3_cv!$A:$A,$E268,m3_cv!$B:$B,$A268),0))</f>
        <v>3684</v>
      </c>
      <c r="J268">
        <f>MAX(0,ROUND(SUMIFS(m4_cv!$E:$E,m4_cv!$A:$A,$E268,m4_cv!$B:$B,$A268),0))</f>
        <v>3688</v>
      </c>
      <c r="K268">
        <f>MAX(0,ROUND(SUMIFS(m5_cv!$E:$E,m5_cv!$A:$A,$E268,m5_cv!$B:$B,$A268),0))</f>
        <v>4064</v>
      </c>
      <c r="L268">
        <f>MAX(0,ROUND(SUMIFS(m6_cv!$E:$E,m6_cv!$A:$A,$E268,m6_cv!$B:$B,$A268),0))</f>
        <v>5330</v>
      </c>
      <c r="M268">
        <f>MAX(0,ROUND(SUMIFS(m7_cv!$E:$E,m7_cv!$A:$A,$E268,m7_cv!$B:$B,$A268),0))</f>
        <v>4245</v>
      </c>
      <c r="N268">
        <f>ROUND(_xlfn.XLOOKUP($D268,Charts!$W$82:$W$112,Charts!$X$82:$X$112)*$L268+_xlfn.XLOOKUP($D268,Charts!$W$82:$W$112,Charts!$Y$82:$Y$112)*$M268,0)</f>
        <v>5330</v>
      </c>
    </row>
    <row r="269" spans="1:14" x14ac:dyDescent="0.25">
      <c r="A269" s="3">
        <f t="shared" si="24"/>
        <v>45925</v>
      </c>
      <c r="B269">
        <f t="shared" si="20"/>
        <v>2025</v>
      </c>
      <c r="C269">
        <f t="shared" si="21"/>
        <v>9</v>
      </c>
      <c r="D269">
        <f t="shared" si="22"/>
        <v>25</v>
      </c>
      <c r="E269" s="2">
        <f t="shared" si="23"/>
        <v>45900</v>
      </c>
      <c r="F269" s="12">
        <f>_xlfn.XLOOKUP($A269,m1_cv!$B:$B,m1_cv!$C:$C)</f>
        <v>3361</v>
      </c>
      <c r="G269">
        <f>MAX(0,ROUND(SUMIFS(m1_cv!$E:$E,m1_cv!$A:$A,$E269,m1_cv!$B:$B,$A269),0))</f>
        <v>3167</v>
      </c>
      <c r="H269">
        <f>MAX(0,ROUND(SUMIFS(m2_cv!$E:$E,m2_cv!$A:$A,$E269,m2_cv!$B:$B,$A269),0))</f>
        <v>3629</v>
      </c>
      <c r="I269">
        <f>MAX(0,ROUND(SUMIFS(m3_cv!$E:$E,m3_cv!$A:$A,$E269,m3_cv!$B:$B,$A269),0))</f>
        <v>3699</v>
      </c>
      <c r="J269">
        <f>MAX(0,ROUND(SUMIFS(m4_cv!$E:$E,m4_cv!$A:$A,$E269,m4_cv!$B:$B,$A269),0))</f>
        <v>3703</v>
      </c>
      <c r="K269">
        <f>MAX(0,ROUND(SUMIFS(m5_cv!$E:$E,m5_cv!$A:$A,$E269,m5_cv!$B:$B,$A269),0))</f>
        <v>4013</v>
      </c>
      <c r="L269">
        <f>MAX(0,ROUND(SUMIFS(m6_cv!$E:$E,m6_cv!$A:$A,$E269,m6_cv!$B:$B,$A269),0))</f>
        <v>5215</v>
      </c>
      <c r="M269">
        <f>MAX(0,ROUND(SUMIFS(m7_cv!$E:$E,m7_cv!$A:$A,$E269,m7_cv!$B:$B,$A269),0))</f>
        <v>4037</v>
      </c>
      <c r="N269">
        <f>ROUND(_xlfn.XLOOKUP($D269,Charts!$W$82:$W$112,Charts!$X$82:$X$112)*$L269+_xlfn.XLOOKUP($D269,Charts!$W$82:$W$112,Charts!$Y$82:$Y$112)*$M269,0)</f>
        <v>5215</v>
      </c>
    </row>
    <row r="270" spans="1:14" x14ac:dyDescent="0.25">
      <c r="A270" s="3">
        <f t="shared" si="24"/>
        <v>45926</v>
      </c>
      <c r="B270">
        <f t="shared" si="20"/>
        <v>2025</v>
      </c>
      <c r="C270">
        <f t="shared" si="21"/>
        <v>9</v>
      </c>
      <c r="D270">
        <f t="shared" si="22"/>
        <v>26</v>
      </c>
      <c r="E270" s="2">
        <f t="shared" si="23"/>
        <v>45900</v>
      </c>
      <c r="F270" s="12">
        <f>_xlfn.XLOOKUP($A270,m1_cv!$B:$B,m1_cv!$C:$C)</f>
        <v>3885</v>
      </c>
      <c r="G270">
        <f>MAX(0,ROUND(SUMIFS(m1_cv!$E:$E,m1_cv!$A:$A,$E270,m1_cv!$B:$B,$A270),0))</f>
        <v>3119</v>
      </c>
      <c r="H270">
        <f>MAX(0,ROUND(SUMIFS(m2_cv!$E:$E,m2_cv!$A:$A,$E270,m2_cv!$B:$B,$A270),0))</f>
        <v>3656</v>
      </c>
      <c r="I270">
        <f>MAX(0,ROUND(SUMIFS(m3_cv!$E:$E,m3_cv!$A:$A,$E270,m3_cv!$B:$B,$A270),0))</f>
        <v>3667</v>
      </c>
      <c r="J270">
        <f>MAX(0,ROUND(SUMIFS(m4_cv!$E:$E,m4_cv!$A:$A,$E270,m4_cv!$B:$B,$A270),0))</f>
        <v>3671</v>
      </c>
      <c r="K270">
        <f>MAX(0,ROUND(SUMIFS(m5_cv!$E:$E,m5_cv!$A:$A,$E270,m5_cv!$B:$B,$A270),0))</f>
        <v>4070</v>
      </c>
      <c r="L270">
        <f>MAX(0,ROUND(SUMIFS(m6_cv!$E:$E,m6_cv!$A:$A,$E270,m6_cv!$B:$B,$A270),0))</f>
        <v>4802</v>
      </c>
      <c r="M270">
        <f>MAX(0,ROUND(SUMIFS(m7_cv!$E:$E,m7_cv!$A:$A,$E270,m7_cv!$B:$B,$A270),0))</f>
        <v>3991</v>
      </c>
      <c r="N270">
        <f>ROUND(_xlfn.XLOOKUP($D270,Charts!$W$82:$W$112,Charts!$X$82:$X$112)*$L270+_xlfn.XLOOKUP($D270,Charts!$W$82:$W$112,Charts!$Y$82:$Y$112)*$M270,0)</f>
        <v>4802</v>
      </c>
    </row>
    <row r="271" spans="1:14" x14ac:dyDescent="0.25">
      <c r="A271" s="3">
        <f t="shared" si="24"/>
        <v>45927</v>
      </c>
      <c r="B271">
        <f t="shared" si="20"/>
        <v>2025</v>
      </c>
      <c r="C271">
        <f t="shared" si="21"/>
        <v>9</v>
      </c>
      <c r="D271">
        <f t="shared" si="22"/>
        <v>27</v>
      </c>
      <c r="E271" s="2">
        <f t="shared" si="23"/>
        <v>45900</v>
      </c>
      <c r="F271" s="12">
        <f>_xlfn.XLOOKUP($A271,m1_cv!$B:$B,m1_cv!$C:$C)</f>
        <v>1024</v>
      </c>
      <c r="G271">
        <f>MAX(0,ROUND(SUMIFS(m1_cv!$E:$E,m1_cv!$A:$A,$E271,m1_cv!$B:$B,$A271),0))</f>
        <v>889</v>
      </c>
      <c r="H271">
        <f>MAX(0,ROUND(SUMIFS(m2_cv!$E:$E,m2_cv!$A:$A,$E271,m2_cv!$B:$B,$A271),0))</f>
        <v>1994</v>
      </c>
      <c r="I271">
        <f>MAX(0,ROUND(SUMIFS(m3_cv!$E:$E,m3_cv!$A:$A,$E271,m3_cv!$B:$B,$A271),0))</f>
        <v>1936</v>
      </c>
      <c r="J271">
        <f>MAX(0,ROUND(SUMIFS(m4_cv!$E:$E,m4_cv!$A:$A,$E271,m4_cv!$B:$B,$A271),0))</f>
        <v>1940</v>
      </c>
      <c r="K271">
        <f>MAX(0,ROUND(SUMIFS(m5_cv!$E:$E,m5_cv!$A:$A,$E271,m5_cv!$B:$B,$A271),0))</f>
        <v>2203</v>
      </c>
      <c r="L271">
        <f>MAX(0,ROUND(SUMIFS(m6_cv!$E:$E,m6_cv!$A:$A,$E271,m6_cv!$B:$B,$A271),0))</f>
        <v>835</v>
      </c>
      <c r="M271">
        <f>MAX(0,ROUND(SUMIFS(m7_cv!$E:$E,m7_cv!$A:$A,$E271,m7_cv!$B:$B,$A271),0))</f>
        <v>2141</v>
      </c>
      <c r="N271">
        <f>ROUND(_xlfn.XLOOKUP($D271,Charts!$W$82:$W$112,Charts!$X$82:$X$112)*$L271+_xlfn.XLOOKUP($D271,Charts!$W$82:$W$112,Charts!$Y$82:$Y$112)*$M271,0)</f>
        <v>835</v>
      </c>
    </row>
    <row r="272" spans="1:14" x14ac:dyDescent="0.25">
      <c r="A272" s="3">
        <f t="shared" si="24"/>
        <v>45928</v>
      </c>
      <c r="B272">
        <f t="shared" si="20"/>
        <v>2025</v>
      </c>
      <c r="C272">
        <f t="shared" si="21"/>
        <v>9</v>
      </c>
      <c r="D272">
        <f t="shared" si="22"/>
        <v>28</v>
      </c>
      <c r="E272" s="2">
        <f t="shared" si="23"/>
        <v>45900</v>
      </c>
      <c r="F272" s="12">
        <f>_xlfn.XLOOKUP($A272,m1_cv!$B:$B,m1_cv!$C:$C)</f>
        <v>280</v>
      </c>
      <c r="G272">
        <f>MAX(0,ROUND(SUMIFS(m1_cv!$E:$E,m1_cv!$A:$A,$E272,m1_cv!$B:$B,$A272),0))</f>
        <v>331</v>
      </c>
      <c r="H272">
        <f>MAX(0,ROUND(SUMIFS(m2_cv!$E:$E,m2_cv!$A:$A,$E272,m2_cv!$B:$B,$A272),0))</f>
        <v>2487</v>
      </c>
      <c r="I272">
        <f>MAX(0,ROUND(SUMIFS(m3_cv!$E:$E,m3_cv!$A:$A,$E272,m3_cv!$B:$B,$A272),0))</f>
        <v>2429</v>
      </c>
      <c r="J272">
        <f>MAX(0,ROUND(SUMIFS(m4_cv!$E:$E,m4_cv!$A:$A,$E272,m4_cv!$B:$B,$A272),0))</f>
        <v>2433</v>
      </c>
      <c r="K272">
        <f>MAX(0,ROUND(SUMIFS(m5_cv!$E:$E,m5_cv!$A:$A,$E272,m5_cv!$B:$B,$A272),0))</f>
        <v>2159</v>
      </c>
      <c r="L272">
        <f>MAX(0,ROUND(SUMIFS(m6_cv!$E:$E,m6_cv!$A:$A,$E272,m6_cv!$B:$B,$A272),0))</f>
        <v>342</v>
      </c>
      <c r="M272">
        <f>MAX(0,ROUND(SUMIFS(m7_cv!$E:$E,m7_cv!$A:$A,$E272,m7_cv!$B:$B,$A272),0))</f>
        <v>2142</v>
      </c>
      <c r="N272">
        <f>ROUND(_xlfn.XLOOKUP($D272,Charts!$W$82:$W$112,Charts!$X$82:$X$112)*$L272+_xlfn.XLOOKUP($D272,Charts!$W$82:$W$112,Charts!$Y$82:$Y$112)*$M272,0)</f>
        <v>342</v>
      </c>
    </row>
    <row r="273" spans="1:14" x14ac:dyDescent="0.25">
      <c r="A273" s="3">
        <f t="shared" si="24"/>
        <v>45929</v>
      </c>
      <c r="B273">
        <f t="shared" si="20"/>
        <v>2025</v>
      </c>
      <c r="C273">
        <f t="shared" si="21"/>
        <v>9</v>
      </c>
      <c r="D273">
        <f t="shared" si="22"/>
        <v>29</v>
      </c>
      <c r="E273" s="2">
        <f t="shared" si="23"/>
        <v>45900</v>
      </c>
      <c r="F273" s="12">
        <f>_xlfn.XLOOKUP($A273,m1_cv!$B:$B,m1_cv!$C:$C)</f>
        <v>8852</v>
      </c>
      <c r="G273">
        <f>MAX(0,ROUND(SUMIFS(m1_cv!$E:$E,m1_cv!$A:$A,$E273,m1_cv!$B:$B,$A273),0))</f>
        <v>2669</v>
      </c>
      <c r="H273">
        <f>MAX(0,ROUND(SUMIFS(m2_cv!$E:$E,m2_cv!$A:$A,$E273,m2_cv!$B:$B,$A273),0))</f>
        <v>5858</v>
      </c>
      <c r="I273">
        <f>MAX(0,ROUND(SUMIFS(m3_cv!$E:$E,m3_cv!$A:$A,$E273,m3_cv!$B:$B,$A273),0))</f>
        <v>6044</v>
      </c>
      <c r="J273">
        <f>MAX(0,ROUND(SUMIFS(m4_cv!$E:$E,m4_cv!$A:$A,$E273,m4_cv!$B:$B,$A273),0))</f>
        <v>6045</v>
      </c>
      <c r="K273">
        <f>MAX(0,ROUND(SUMIFS(m5_cv!$E:$E,m5_cv!$A:$A,$E273,m5_cv!$B:$B,$A273),0))</f>
        <v>7168</v>
      </c>
      <c r="L273">
        <f>MAX(0,ROUND(SUMIFS(m6_cv!$E:$E,m6_cv!$A:$A,$E273,m6_cv!$B:$B,$A273),0))</f>
        <v>8491</v>
      </c>
      <c r="M273">
        <f>MAX(0,ROUND(SUMIFS(m7_cv!$E:$E,m7_cv!$A:$A,$E273,m7_cv!$B:$B,$A273),0))</f>
        <v>7303</v>
      </c>
      <c r="N273">
        <f>ROUND(_xlfn.XLOOKUP($D273,Charts!$W$82:$W$112,Charts!$X$82:$X$112)*$L273+_xlfn.XLOOKUP($D273,Charts!$W$82:$W$112,Charts!$Y$82:$Y$112)*$M273,0)</f>
        <v>7303</v>
      </c>
    </row>
    <row r="274" spans="1:14" x14ac:dyDescent="0.25">
      <c r="A274" s="3">
        <f t="shared" si="24"/>
        <v>45930</v>
      </c>
      <c r="B274">
        <f t="shared" si="20"/>
        <v>2025</v>
      </c>
      <c r="C274">
        <f t="shared" si="21"/>
        <v>9</v>
      </c>
      <c r="D274">
        <f t="shared" si="22"/>
        <v>30</v>
      </c>
      <c r="E274" s="2">
        <f t="shared" si="23"/>
        <v>45900</v>
      </c>
      <c r="F274" s="12">
        <f>_xlfn.XLOOKUP($A274,m1_cv!$B:$B,m1_cv!$C:$C)</f>
        <v>14458</v>
      </c>
      <c r="G274">
        <f>MAX(0,ROUND(SUMIFS(m1_cv!$E:$E,m1_cv!$A:$A,$E274,m1_cv!$B:$B,$A274),0))</f>
        <v>3174</v>
      </c>
      <c r="H274">
        <f>MAX(0,ROUND(SUMIFS(m2_cv!$E:$E,m2_cv!$A:$A,$E274,m2_cv!$B:$B,$A274),0))</f>
        <v>6622</v>
      </c>
      <c r="I274">
        <f>MAX(0,ROUND(SUMIFS(m3_cv!$E:$E,m3_cv!$A:$A,$E274,m3_cv!$B:$B,$A274),0))</f>
        <v>6684</v>
      </c>
      <c r="J274">
        <f>MAX(0,ROUND(SUMIFS(m4_cv!$E:$E,m4_cv!$A:$A,$E274,m4_cv!$B:$B,$A274),0))</f>
        <v>6685</v>
      </c>
      <c r="K274">
        <f>MAX(0,ROUND(SUMIFS(m5_cv!$E:$E,m5_cv!$A:$A,$E274,m5_cv!$B:$B,$A274),0))</f>
        <v>9656</v>
      </c>
      <c r="L274">
        <f>MAX(0,ROUND(SUMIFS(m6_cv!$E:$E,m6_cv!$A:$A,$E274,m6_cv!$B:$B,$A274),0))</f>
        <v>17261</v>
      </c>
      <c r="M274">
        <f>MAX(0,ROUND(SUMIFS(m7_cv!$E:$E,m7_cv!$A:$A,$E274,m7_cv!$B:$B,$A274),0))</f>
        <v>9840</v>
      </c>
      <c r="N274">
        <f>ROUND(_xlfn.XLOOKUP($D274,Charts!$W$82:$W$112,Charts!$X$82:$X$112)*$L274+_xlfn.XLOOKUP($D274,Charts!$W$82:$W$112,Charts!$Y$82:$Y$112)*$M274,0)</f>
        <v>9840</v>
      </c>
    </row>
    <row r="275" spans="1:14" x14ac:dyDescent="0.25">
      <c r="A275" s="3">
        <f t="shared" si="24"/>
        <v>45931</v>
      </c>
      <c r="B275">
        <f t="shared" si="20"/>
        <v>2025</v>
      </c>
      <c r="C275">
        <f t="shared" si="21"/>
        <v>10</v>
      </c>
      <c r="D275">
        <f t="shared" si="22"/>
        <v>1</v>
      </c>
      <c r="E275" s="2">
        <f t="shared" si="23"/>
        <v>45930</v>
      </c>
      <c r="F275" s="12">
        <f>_xlfn.XLOOKUP($A275,m1_cv!$B:$B,m1_cv!$C:$C)</f>
        <v>639</v>
      </c>
      <c r="G275">
        <f>MAX(0,ROUND(SUMIFS(m1_cv!$E:$E,m1_cv!$A:$A,$E275,m1_cv!$B:$B,$A275),0))</f>
        <v>3564</v>
      </c>
      <c r="H275">
        <f>MAX(0,ROUND(SUMIFS(m2_cv!$E:$E,m2_cv!$A:$A,$E275,m2_cv!$B:$B,$A275),0))</f>
        <v>6005</v>
      </c>
      <c r="I275">
        <f>MAX(0,ROUND(SUMIFS(m3_cv!$E:$E,m3_cv!$A:$A,$E275,m3_cv!$B:$B,$A275),0))</f>
        <v>6224</v>
      </c>
      <c r="J275">
        <f>MAX(0,ROUND(SUMIFS(m4_cv!$E:$E,m4_cv!$A:$A,$E275,m4_cv!$B:$B,$A275),0))</f>
        <v>6220</v>
      </c>
      <c r="K275">
        <f>MAX(0,ROUND(SUMIFS(m5_cv!$E:$E,m5_cv!$A:$A,$E275,m5_cv!$B:$B,$A275),0))</f>
        <v>2794</v>
      </c>
      <c r="L275">
        <f>MAX(0,ROUND(SUMIFS(m6_cv!$E:$E,m6_cv!$A:$A,$E275,m6_cv!$B:$B,$A275),0))</f>
        <v>1089</v>
      </c>
      <c r="M275">
        <f>MAX(0,ROUND(SUMIFS(m7_cv!$E:$E,m7_cv!$A:$A,$E275,m7_cv!$B:$B,$A275),0))</f>
        <v>2622</v>
      </c>
      <c r="N275">
        <f>ROUND(_xlfn.XLOOKUP($D275,Charts!$W$82:$W$112,Charts!$X$82:$X$112)*$L275+_xlfn.XLOOKUP($D275,Charts!$W$82:$W$112,Charts!$Y$82:$Y$112)*$M275,0)</f>
        <v>1089</v>
      </c>
    </row>
    <row r="276" spans="1:14" x14ac:dyDescent="0.25">
      <c r="A276" s="3">
        <f t="shared" si="24"/>
        <v>45932</v>
      </c>
      <c r="B276">
        <f t="shared" si="20"/>
        <v>2025</v>
      </c>
      <c r="C276">
        <f t="shared" si="21"/>
        <v>10</v>
      </c>
      <c r="D276">
        <f t="shared" si="22"/>
        <v>2</v>
      </c>
      <c r="E276" s="2">
        <f t="shared" si="23"/>
        <v>45930</v>
      </c>
      <c r="F276" s="12">
        <f>_xlfn.XLOOKUP($A276,m1_cv!$B:$B,m1_cv!$C:$C)</f>
        <v>823</v>
      </c>
      <c r="G276">
        <f>MAX(0,ROUND(SUMIFS(m1_cv!$E:$E,m1_cv!$A:$A,$E276,m1_cv!$B:$B,$A276),0))</f>
        <v>3630</v>
      </c>
      <c r="H276">
        <f>MAX(0,ROUND(SUMIFS(m2_cv!$E:$E,m2_cv!$A:$A,$E276,m2_cv!$B:$B,$A276),0))</f>
        <v>4372</v>
      </c>
      <c r="I276">
        <f>MAX(0,ROUND(SUMIFS(m3_cv!$E:$E,m3_cv!$A:$A,$E276,m3_cv!$B:$B,$A276),0))</f>
        <v>4594</v>
      </c>
      <c r="J276">
        <f>MAX(0,ROUND(SUMIFS(m4_cv!$E:$E,m4_cv!$A:$A,$E276,m4_cv!$B:$B,$A276),0))</f>
        <v>4591</v>
      </c>
      <c r="K276">
        <f>MAX(0,ROUND(SUMIFS(m5_cv!$E:$E,m5_cv!$A:$A,$E276,m5_cv!$B:$B,$A276),0))</f>
        <v>2042</v>
      </c>
      <c r="L276">
        <f>MAX(0,ROUND(SUMIFS(m6_cv!$E:$E,m6_cv!$A:$A,$E276,m6_cv!$B:$B,$A276),0))</f>
        <v>673</v>
      </c>
      <c r="M276">
        <f>MAX(0,ROUND(SUMIFS(m7_cv!$E:$E,m7_cv!$A:$A,$E276,m7_cv!$B:$B,$A276),0))</f>
        <v>1719</v>
      </c>
      <c r="N276">
        <f>ROUND(_xlfn.XLOOKUP($D276,Charts!$W$82:$W$112,Charts!$X$82:$X$112)*$L276+_xlfn.XLOOKUP($D276,Charts!$W$82:$W$112,Charts!$Y$82:$Y$112)*$M276,0)</f>
        <v>673</v>
      </c>
    </row>
    <row r="277" spans="1:14" x14ac:dyDescent="0.25">
      <c r="A277" s="3">
        <f t="shared" si="24"/>
        <v>45933</v>
      </c>
      <c r="B277">
        <f t="shared" si="20"/>
        <v>2025</v>
      </c>
      <c r="C277">
        <f t="shared" si="21"/>
        <v>10</v>
      </c>
      <c r="D277">
        <f t="shared" si="22"/>
        <v>3</v>
      </c>
      <c r="E277" s="2">
        <f t="shared" si="23"/>
        <v>45930</v>
      </c>
      <c r="F277" s="12">
        <f>_xlfn.XLOOKUP($A277,m1_cv!$B:$B,m1_cv!$C:$C)</f>
        <v>996</v>
      </c>
      <c r="G277">
        <f>MAX(0,ROUND(SUMIFS(m1_cv!$E:$E,m1_cv!$A:$A,$E277,m1_cv!$B:$B,$A277),0))</f>
        <v>3593</v>
      </c>
      <c r="H277">
        <f>MAX(0,ROUND(SUMIFS(m2_cv!$E:$E,m2_cv!$A:$A,$E277,m2_cv!$B:$B,$A277),0))</f>
        <v>2565</v>
      </c>
      <c r="I277">
        <f>MAX(0,ROUND(SUMIFS(m3_cv!$E:$E,m3_cv!$A:$A,$E277,m3_cv!$B:$B,$A277),0))</f>
        <v>2712</v>
      </c>
      <c r="J277">
        <f>MAX(0,ROUND(SUMIFS(m4_cv!$E:$E,m4_cv!$A:$A,$E277,m4_cv!$B:$B,$A277),0))</f>
        <v>2710</v>
      </c>
      <c r="K277">
        <f>MAX(0,ROUND(SUMIFS(m5_cv!$E:$E,m5_cv!$A:$A,$E277,m5_cv!$B:$B,$A277),0))</f>
        <v>1620</v>
      </c>
      <c r="L277">
        <f>MAX(0,ROUND(SUMIFS(m6_cv!$E:$E,m6_cv!$A:$A,$E277,m6_cv!$B:$B,$A277),0))</f>
        <v>873</v>
      </c>
      <c r="M277">
        <f>MAX(0,ROUND(SUMIFS(m7_cv!$E:$E,m7_cv!$A:$A,$E277,m7_cv!$B:$B,$A277),0))</f>
        <v>1700</v>
      </c>
      <c r="N277">
        <f>ROUND(_xlfn.XLOOKUP($D277,Charts!$W$82:$W$112,Charts!$X$82:$X$112)*$L277+_xlfn.XLOOKUP($D277,Charts!$W$82:$W$112,Charts!$Y$82:$Y$112)*$M277,0)</f>
        <v>873</v>
      </c>
    </row>
    <row r="278" spans="1:14" x14ac:dyDescent="0.25">
      <c r="A278" s="3">
        <f t="shared" si="24"/>
        <v>45934</v>
      </c>
      <c r="B278">
        <f t="shared" si="20"/>
        <v>2025</v>
      </c>
      <c r="C278">
        <f t="shared" si="21"/>
        <v>10</v>
      </c>
      <c r="D278">
        <f t="shared" si="22"/>
        <v>4</v>
      </c>
      <c r="E278" s="2">
        <f t="shared" si="23"/>
        <v>45930</v>
      </c>
      <c r="F278" s="12">
        <f>_xlfn.XLOOKUP($A278,m1_cv!$B:$B,m1_cv!$C:$C)</f>
        <v>141</v>
      </c>
      <c r="G278">
        <f>MAX(0,ROUND(SUMIFS(m1_cv!$E:$E,m1_cv!$A:$A,$E278,m1_cv!$B:$B,$A278),0))</f>
        <v>1374</v>
      </c>
      <c r="H278">
        <f>MAX(0,ROUND(SUMIFS(m2_cv!$E:$E,m2_cv!$A:$A,$E278,m2_cv!$B:$B,$A278),0))</f>
        <v>0</v>
      </c>
      <c r="I278">
        <f>MAX(0,ROUND(SUMIFS(m3_cv!$E:$E,m3_cv!$A:$A,$E278,m3_cv!$B:$B,$A278),0))</f>
        <v>0</v>
      </c>
      <c r="J278">
        <f>MAX(0,ROUND(SUMIFS(m4_cv!$E:$E,m4_cv!$A:$A,$E278,m4_cv!$B:$B,$A278),0))</f>
        <v>0</v>
      </c>
      <c r="K278">
        <f>MAX(0,ROUND(SUMIFS(m5_cv!$E:$E,m5_cv!$A:$A,$E278,m5_cv!$B:$B,$A278),0))</f>
        <v>0</v>
      </c>
      <c r="L278">
        <f>MAX(0,ROUND(SUMIFS(m6_cv!$E:$E,m6_cv!$A:$A,$E278,m6_cv!$B:$B,$A278),0))</f>
        <v>133</v>
      </c>
      <c r="M278">
        <f>MAX(0,ROUND(SUMIFS(m7_cv!$E:$E,m7_cv!$A:$A,$E278,m7_cv!$B:$B,$A278),0))</f>
        <v>0</v>
      </c>
      <c r="N278">
        <f>ROUND(_xlfn.XLOOKUP($D278,Charts!$W$82:$W$112,Charts!$X$82:$X$112)*$L278+_xlfn.XLOOKUP($D278,Charts!$W$82:$W$112,Charts!$Y$82:$Y$112)*$M278,0)</f>
        <v>133</v>
      </c>
    </row>
    <row r="279" spans="1:14" x14ac:dyDescent="0.25">
      <c r="A279" s="3">
        <f t="shared" si="24"/>
        <v>45935</v>
      </c>
      <c r="B279">
        <f t="shared" si="20"/>
        <v>2025</v>
      </c>
      <c r="C279">
        <f t="shared" si="21"/>
        <v>10</v>
      </c>
      <c r="D279">
        <f t="shared" si="22"/>
        <v>5</v>
      </c>
      <c r="E279" s="2">
        <f t="shared" si="23"/>
        <v>45930</v>
      </c>
      <c r="F279" s="12">
        <f>_xlfn.XLOOKUP($A279,m1_cv!$B:$B,m1_cv!$C:$C)</f>
        <v>38</v>
      </c>
      <c r="G279">
        <f>MAX(0,ROUND(SUMIFS(m1_cv!$E:$E,m1_cv!$A:$A,$E279,m1_cv!$B:$B,$A279),0))</f>
        <v>815</v>
      </c>
      <c r="H279">
        <f>MAX(0,ROUND(SUMIFS(m2_cv!$E:$E,m2_cv!$A:$A,$E279,m2_cv!$B:$B,$A279),0))</f>
        <v>0</v>
      </c>
      <c r="I279">
        <f>MAX(0,ROUND(SUMIFS(m3_cv!$E:$E,m3_cv!$A:$A,$E279,m3_cv!$B:$B,$A279),0))</f>
        <v>0</v>
      </c>
      <c r="J279">
        <f>MAX(0,ROUND(SUMIFS(m4_cv!$E:$E,m4_cv!$A:$A,$E279,m4_cv!$B:$B,$A279),0))</f>
        <v>0</v>
      </c>
      <c r="K279">
        <f>MAX(0,ROUND(SUMIFS(m5_cv!$E:$E,m5_cv!$A:$A,$E279,m5_cv!$B:$B,$A279),0))</f>
        <v>0</v>
      </c>
      <c r="L279">
        <f>MAX(0,ROUND(SUMIFS(m6_cv!$E:$E,m6_cv!$A:$A,$E279,m6_cv!$B:$B,$A279),0))</f>
        <v>50</v>
      </c>
      <c r="M279">
        <f>MAX(0,ROUND(SUMIFS(m7_cv!$E:$E,m7_cv!$A:$A,$E279,m7_cv!$B:$B,$A279),0))</f>
        <v>0</v>
      </c>
      <c r="N279">
        <f>ROUND(_xlfn.XLOOKUP($D279,Charts!$W$82:$W$112,Charts!$X$82:$X$112)*$L279+_xlfn.XLOOKUP($D279,Charts!$W$82:$W$112,Charts!$Y$82:$Y$112)*$M279,0)</f>
        <v>40</v>
      </c>
    </row>
    <row r="280" spans="1:14" x14ac:dyDescent="0.25">
      <c r="A280" s="3">
        <f t="shared" si="24"/>
        <v>45936</v>
      </c>
      <c r="B280">
        <f t="shared" si="20"/>
        <v>2025</v>
      </c>
      <c r="C280">
        <f t="shared" si="21"/>
        <v>10</v>
      </c>
      <c r="D280">
        <f t="shared" si="22"/>
        <v>6</v>
      </c>
      <c r="E280" s="2">
        <f t="shared" si="23"/>
        <v>45930</v>
      </c>
      <c r="F280" s="12">
        <f>_xlfn.XLOOKUP($A280,m1_cv!$B:$B,m1_cv!$C:$C)</f>
        <v>1044</v>
      </c>
      <c r="G280">
        <f>MAX(0,ROUND(SUMIFS(m1_cv!$E:$E,m1_cv!$A:$A,$E280,m1_cv!$B:$B,$A280),0))</f>
        <v>3130</v>
      </c>
      <c r="H280">
        <f>MAX(0,ROUND(SUMIFS(m2_cv!$E:$E,m2_cv!$A:$A,$E280,m2_cv!$B:$B,$A280),0))</f>
        <v>1229</v>
      </c>
      <c r="I280">
        <f>MAX(0,ROUND(SUMIFS(m3_cv!$E:$E,m3_cv!$A:$A,$E280,m3_cv!$B:$B,$A280),0))</f>
        <v>1519</v>
      </c>
      <c r="J280">
        <f>MAX(0,ROUND(SUMIFS(m4_cv!$E:$E,m4_cv!$A:$A,$E280,m4_cv!$B:$B,$A280),0))</f>
        <v>1516</v>
      </c>
      <c r="K280">
        <f>MAX(0,ROUND(SUMIFS(m5_cv!$E:$E,m5_cv!$A:$A,$E280,m5_cv!$B:$B,$A280),0))</f>
        <v>1603</v>
      </c>
      <c r="L280">
        <f>MAX(0,ROUND(SUMIFS(m6_cv!$E:$E,m6_cv!$A:$A,$E280,m6_cv!$B:$B,$A280),0))</f>
        <v>693</v>
      </c>
      <c r="M280">
        <f>MAX(0,ROUND(SUMIFS(m7_cv!$E:$E,m7_cv!$A:$A,$E280,m7_cv!$B:$B,$A280),0))</f>
        <v>1476</v>
      </c>
      <c r="N280">
        <f>ROUND(_xlfn.XLOOKUP($D280,Charts!$W$82:$W$112,Charts!$X$82:$X$112)*$L280+_xlfn.XLOOKUP($D280,Charts!$W$82:$W$112,Charts!$Y$82:$Y$112)*$M280,0)</f>
        <v>1085</v>
      </c>
    </row>
    <row r="281" spans="1:14" x14ac:dyDescent="0.25">
      <c r="A281" s="3">
        <f t="shared" si="24"/>
        <v>45937</v>
      </c>
      <c r="B281">
        <f t="shared" si="20"/>
        <v>2025</v>
      </c>
      <c r="C281">
        <f t="shared" si="21"/>
        <v>10</v>
      </c>
      <c r="D281">
        <f t="shared" si="22"/>
        <v>7</v>
      </c>
      <c r="E281" s="2">
        <f t="shared" si="23"/>
        <v>45930</v>
      </c>
      <c r="F281" s="12">
        <f>_xlfn.XLOOKUP($A281,m1_cv!$B:$B,m1_cv!$C:$C)</f>
        <v>1351</v>
      </c>
      <c r="G281">
        <f>MAX(0,ROUND(SUMIFS(m1_cv!$E:$E,m1_cv!$A:$A,$E281,m1_cv!$B:$B,$A281),0))</f>
        <v>3633</v>
      </c>
      <c r="H281">
        <f>MAX(0,ROUND(SUMIFS(m2_cv!$E:$E,m2_cv!$A:$A,$E281,m2_cv!$B:$B,$A281),0))</f>
        <v>2107</v>
      </c>
      <c r="I281">
        <f>MAX(0,ROUND(SUMIFS(m3_cv!$E:$E,m3_cv!$A:$A,$E281,m3_cv!$B:$B,$A281),0))</f>
        <v>2153</v>
      </c>
      <c r="J281">
        <f>MAX(0,ROUND(SUMIFS(m4_cv!$E:$E,m4_cv!$A:$A,$E281,m4_cv!$B:$B,$A281),0))</f>
        <v>2149</v>
      </c>
      <c r="K281">
        <f>MAX(0,ROUND(SUMIFS(m5_cv!$E:$E,m5_cv!$A:$A,$E281,m5_cv!$B:$B,$A281),0))</f>
        <v>1856</v>
      </c>
      <c r="L281">
        <f>MAX(0,ROUND(SUMIFS(m6_cv!$E:$E,m6_cv!$A:$A,$E281,m6_cv!$B:$B,$A281),0))</f>
        <v>919</v>
      </c>
      <c r="M281">
        <f>MAX(0,ROUND(SUMIFS(m7_cv!$E:$E,m7_cv!$A:$A,$E281,m7_cv!$B:$B,$A281),0))</f>
        <v>1802</v>
      </c>
      <c r="N281">
        <f>ROUND(_xlfn.XLOOKUP($D281,Charts!$W$82:$W$112,Charts!$X$82:$X$112)*$L281+_xlfn.XLOOKUP($D281,Charts!$W$82:$W$112,Charts!$Y$82:$Y$112)*$M281,0)</f>
        <v>1361</v>
      </c>
    </row>
    <row r="282" spans="1:14" x14ac:dyDescent="0.25">
      <c r="A282" s="3">
        <f t="shared" si="24"/>
        <v>45938</v>
      </c>
      <c r="B282">
        <f t="shared" si="20"/>
        <v>2025</v>
      </c>
      <c r="C282">
        <f t="shared" si="21"/>
        <v>10</v>
      </c>
      <c r="D282">
        <f t="shared" si="22"/>
        <v>8</v>
      </c>
      <c r="E282" s="2">
        <f t="shared" si="23"/>
        <v>45930</v>
      </c>
      <c r="F282" s="12">
        <f>_xlfn.XLOOKUP($A282,m1_cv!$B:$B,m1_cv!$C:$C)</f>
        <v>1654</v>
      </c>
      <c r="G282">
        <f>MAX(0,ROUND(SUMIFS(m1_cv!$E:$E,m1_cv!$A:$A,$E282,m1_cv!$B:$B,$A282),0))</f>
        <v>3644</v>
      </c>
      <c r="H282">
        <f>MAX(0,ROUND(SUMIFS(m2_cv!$E:$E,m2_cv!$A:$A,$E282,m2_cv!$B:$B,$A282),0))</f>
        <v>2247</v>
      </c>
      <c r="I282">
        <f>MAX(0,ROUND(SUMIFS(m3_cv!$E:$E,m3_cv!$A:$A,$E282,m3_cv!$B:$B,$A282),0))</f>
        <v>2279</v>
      </c>
      <c r="J282">
        <f>MAX(0,ROUND(SUMIFS(m4_cv!$E:$E,m4_cv!$A:$A,$E282,m4_cv!$B:$B,$A282),0))</f>
        <v>2275</v>
      </c>
      <c r="K282">
        <f>MAX(0,ROUND(SUMIFS(m5_cv!$E:$E,m5_cv!$A:$A,$E282,m5_cv!$B:$B,$A282),0))</f>
        <v>2500</v>
      </c>
      <c r="L282">
        <f>MAX(0,ROUND(SUMIFS(m6_cv!$E:$E,m6_cv!$A:$A,$E282,m6_cv!$B:$B,$A282),0))</f>
        <v>1925</v>
      </c>
      <c r="M282">
        <f>MAX(0,ROUND(SUMIFS(m7_cv!$E:$E,m7_cv!$A:$A,$E282,m7_cv!$B:$B,$A282),0))</f>
        <v>2528</v>
      </c>
      <c r="N282">
        <f>ROUND(_xlfn.XLOOKUP($D282,Charts!$W$82:$W$112,Charts!$X$82:$X$112)*$L282+_xlfn.XLOOKUP($D282,Charts!$W$82:$W$112,Charts!$Y$82:$Y$112)*$M282,0)</f>
        <v>2227</v>
      </c>
    </row>
    <row r="283" spans="1:14" x14ac:dyDescent="0.25">
      <c r="A283" s="3">
        <f t="shared" si="24"/>
        <v>45939</v>
      </c>
      <c r="B283">
        <f t="shared" si="20"/>
        <v>2025</v>
      </c>
      <c r="C283">
        <f t="shared" si="21"/>
        <v>10</v>
      </c>
      <c r="D283">
        <f t="shared" si="22"/>
        <v>9</v>
      </c>
      <c r="E283" s="2">
        <f t="shared" si="23"/>
        <v>45930</v>
      </c>
      <c r="F283" s="12">
        <f>_xlfn.XLOOKUP($A283,m1_cv!$B:$B,m1_cv!$C:$C)</f>
        <v>2108</v>
      </c>
      <c r="G283">
        <f>MAX(0,ROUND(SUMIFS(m1_cv!$E:$E,m1_cv!$A:$A,$E283,m1_cv!$B:$B,$A283),0))</f>
        <v>3670</v>
      </c>
      <c r="H283">
        <f>MAX(0,ROUND(SUMIFS(m2_cv!$E:$E,m2_cv!$A:$A,$E283,m2_cv!$B:$B,$A283),0))</f>
        <v>2187</v>
      </c>
      <c r="I283">
        <f>MAX(0,ROUND(SUMIFS(m3_cv!$E:$E,m3_cv!$A:$A,$E283,m3_cv!$B:$B,$A283),0))</f>
        <v>2152</v>
      </c>
      <c r="J283">
        <f>MAX(0,ROUND(SUMIFS(m4_cv!$E:$E,m4_cv!$A:$A,$E283,m4_cv!$B:$B,$A283),0))</f>
        <v>2148</v>
      </c>
      <c r="K283">
        <f>MAX(0,ROUND(SUMIFS(m5_cv!$E:$E,m5_cv!$A:$A,$E283,m5_cv!$B:$B,$A283),0))</f>
        <v>2332</v>
      </c>
      <c r="L283">
        <f>MAX(0,ROUND(SUMIFS(m6_cv!$E:$E,m6_cv!$A:$A,$E283,m6_cv!$B:$B,$A283),0))</f>
        <v>1908</v>
      </c>
      <c r="M283">
        <f>MAX(0,ROUND(SUMIFS(m7_cv!$E:$E,m7_cv!$A:$A,$E283,m7_cv!$B:$B,$A283),0))</f>
        <v>2406</v>
      </c>
      <c r="N283">
        <f>ROUND(_xlfn.XLOOKUP($D283,Charts!$W$82:$W$112,Charts!$X$82:$X$112)*$L283+_xlfn.XLOOKUP($D283,Charts!$W$82:$W$112,Charts!$Y$82:$Y$112)*$M283,0)</f>
        <v>2157</v>
      </c>
    </row>
    <row r="284" spans="1:14" x14ac:dyDescent="0.25">
      <c r="A284" s="3">
        <f t="shared" si="24"/>
        <v>45940</v>
      </c>
      <c r="B284">
        <f t="shared" si="20"/>
        <v>2025</v>
      </c>
      <c r="C284">
        <f t="shared" si="21"/>
        <v>10</v>
      </c>
      <c r="D284">
        <f t="shared" si="22"/>
        <v>10</v>
      </c>
      <c r="E284" s="2">
        <f t="shared" si="23"/>
        <v>45930</v>
      </c>
      <c r="F284" s="12">
        <f>_xlfn.XLOOKUP($A284,m1_cv!$B:$B,m1_cv!$C:$C)</f>
        <v>2215</v>
      </c>
      <c r="G284">
        <f>MAX(0,ROUND(SUMIFS(m1_cv!$E:$E,m1_cv!$A:$A,$E284,m1_cv!$B:$B,$A284),0))</f>
        <v>3594</v>
      </c>
      <c r="H284">
        <f>MAX(0,ROUND(SUMIFS(m2_cv!$E:$E,m2_cv!$A:$A,$E284,m2_cv!$B:$B,$A284),0))</f>
        <v>2091</v>
      </c>
      <c r="I284">
        <f>MAX(0,ROUND(SUMIFS(m3_cv!$E:$E,m3_cv!$A:$A,$E284,m3_cv!$B:$B,$A284),0))</f>
        <v>2004</v>
      </c>
      <c r="J284">
        <f>MAX(0,ROUND(SUMIFS(m4_cv!$E:$E,m4_cv!$A:$A,$E284,m4_cv!$B:$B,$A284),0))</f>
        <v>2000</v>
      </c>
      <c r="K284">
        <f>MAX(0,ROUND(SUMIFS(m5_cv!$E:$E,m5_cv!$A:$A,$E284,m5_cv!$B:$B,$A284),0))</f>
        <v>2232</v>
      </c>
      <c r="L284">
        <f>MAX(0,ROUND(SUMIFS(m6_cv!$E:$E,m6_cv!$A:$A,$E284,m6_cv!$B:$B,$A284),0))</f>
        <v>1720</v>
      </c>
      <c r="M284">
        <f>MAX(0,ROUND(SUMIFS(m7_cv!$E:$E,m7_cv!$A:$A,$E284,m7_cv!$B:$B,$A284),0))</f>
        <v>2206</v>
      </c>
      <c r="N284">
        <f>ROUND(_xlfn.XLOOKUP($D284,Charts!$W$82:$W$112,Charts!$X$82:$X$112)*$L284+_xlfn.XLOOKUP($D284,Charts!$W$82:$W$112,Charts!$Y$82:$Y$112)*$M284,0)</f>
        <v>1963</v>
      </c>
    </row>
    <row r="285" spans="1:14" x14ac:dyDescent="0.25">
      <c r="A285" s="3">
        <f t="shared" si="24"/>
        <v>45941</v>
      </c>
      <c r="B285">
        <f t="shared" si="20"/>
        <v>2025</v>
      </c>
      <c r="C285">
        <f t="shared" si="21"/>
        <v>10</v>
      </c>
      <c r="D285">
        <f t="shared" si="22"/>
        <v>11</v>
      </c>
      <c r="E285" s="2">
        <f t="shared" si="23"/>
        <v>45930</v>
      </c>
      <c r="F285" s="12">
        <f>_xlfn.XLOOKUP($A285,m1_cv!$B:$B,m1_cv!$C:$C)</f>
        <v>380</v>
      </c>
      <c r="G285">
        <f>MAX(0,ROUND(SUMIFS(m1_cv!$E:$E,m1_cv!$A:$A,$E285,m1_cv!$B:$B,$A285),0))</f>
        <v>1337</v>
      </c>
      <c r="H285">
        <f>MAX(0,ROUND(SUMIFS(m2_cv!$E:$E,m2_cv!$A:$A,$E285,m2_cv!$B:$B,$A285),0))</f>
        <v>24</v>
      </c>
      <c r="I285">
        <f>MAX(0,ROUND(SUMIFS(m3_cv!$E:$E,m3_cv!$A:$A,$E285,m3_cv!$B:$B,$A285),0))</f>
        <v>0</v>
      </c>
      <c r="J285">
        <f>MAX(0,ROUND(SUMIFS(m4_cv!$E:$E,m4_cv!$A:$A,$E285,m4_cv!$B:$B,$A285),0))</f>
        <v>0</v>
      </c>
      <c r="K285">
        <f>MAX(0,ROUND(SUMIFS(m5_cv!$E:$E,m5_cv!$A:$A,$E285,m5_cv!$B:$B,$A285),0))</f>
        <v>64</v>
      </c>
      <c r="L285">
        <f>MAX(0,ROUND(SUMIFS(m6_cv!$E:$E,m6_cv!$A:$A,$E285,m6_cv!$B:$B,$A285),0))</f>
        <v>290</v>
      </c>
      <c r="M285">
        <f>MAX(0,ROUND(SUMIFS(m7_cv!$E:$E,m7_cv!$A:$A,$E285,m7_cv!$B:$B,$A285),0))</f>
        <v>0</v>
      </c>
      <c r="N285">
        <f>ROUND(_xlfn.XLOOKUP($D285,Charts!$W$82:$W$112,Charts!$X$82:$X$112)*$L285+_xlfn.XLOOKUP($D285,Charts!$W$82:$W$112,Charts!$Y$82:$Y$112)*$M285,0)</f>
        <v>87</v>
      </c>
    </row>
    <row r="286" spans="1:14" x14ac:dyDescent="0.25">
      <c r="A286" s="3">
        <f t="shared" si="24"/>
        <v>45942</v>
      </c>
      <c r="B286">
        <f t="shared" si="20"/>
        <v>2025</v>
      </c>
      <c r="C286">
        <f t="shared" si="21"/>
        <v>10</v>
      </c>
      <c r="D286">
        <f t="shared" si="22"/>
        <v>12</v>
      </c>
      <c r="E286" s="2">
        <f t="shared" si="23"/>
        <v>45930</v>
      </c>
      <c r="F286" s="12">
        <f>_xlfn.XLOOKUP($A286,m1_cv!$B:$B,m1_cv!$C:$C)</f>
        <v>120</v>
      </c>
      <c r="G286">
        <f>MAX(0,ROUND(SUMIFS(m1_cv!$E:$E,m1_cv!$A:$A,$E286,m1_cv!$B:$B,$A286),0))</f>
        <v>743</v>
      </c>
      <c r="H286">
        <f>MAX(0,ROUND(SUMIFS(m2_cv!$E:$E,m2_cv!$A:$A,$E286,m2_cv!$B:$B,$A286),0))</f>
        <v>0</v>
      </c>
      <c r="I286">
        <f>MAX(0,ROUND(SUMIFS(m3_cv!$E:$E,m3_cv!$A:$A,$E286,m3_cv!$B:$B,$A286),0))</f>
        <v>0</v>
      </c>
      <c r="J286">
        <f>MAX(0,ROUND(SUMIFS(m4_cv!$E:$E,m4_cv!$A:$A,$E286,m4_cv!$B:$B,$A286),0))</f>
        <v>0</v>
      </c>
      <c r="K286">
        <f>MAX(0,ROUND(SUMIFS(m5_cv!$E:$E,m5_cv!$A:$A,$E286,m5_cv!$B:$B,$A286),0))</f>
        <v>0</v>
      </c>
      <c r="L286">
        <f>MAX(0,ROUND(SUMIFS(m6_cv!$E:$E,m6_cv!$A:$A,$E286,m6_cv!$B:$B,$A286),0))</f>
        <v>115</v>
      </c>
      <c r="M286">
        <f>MAX(0,ROUND(SUMIFS(m7_cv!$E:$E,m7_cv!$A:$A,$E286,m7_cv!$B:$B,$A286),0))</f>
        <v>0</v>
      </c>
      <c r="N286">
        <f>ROUND(_xlfn.XLOOKUP($D286,Charts!$W$82:$W$112,Charts!$X$82:$X$112)*$L286+_xlfn.XLOOKUP($D286,Charts!$W$82:$W$112,Charts!$Y$82:$Y$112)*$M286,0)</f>
        <v>35</v>
      </c>
    </row>
    <row r="287" spans="1:14" x14ac:dyDescent="0.25">
      <c r="A287" s="3">
        <f t="shared" si="24"/>
        <v>45943</v>
      </c>
      <c r="B287">
        <f t="shared" si="20"/>
        <v>2025</v>
      </c>
      <c r="C287">
        <f t="shared" si="21"/>
        <v>10</v>
      </c>
      <c r="D287">
        <f t="shared" si="22"/>
        <v>13</v>
      </c>
      <c r="E287" s="2">
        <f t="shared" si="23"/>
        <v>45930</v>
      </c>
      <c r="F287" s="12">
        <f>_xlfn.XLOOKUP($A287,m1_cv!$B:$B,m1_cv!$C:$C)</f>
        <v>2406</v>
      </c>
      <c r="G287">
        <f>MAX(0,ROUND(SUMIFS(m1_cv!$E:$E,m1_cv!$A:$A,$E287,m1_cv!$B:$B,$A287),0))</f>
        <v>3027</v>
      </c>
      <c r="H287">
        <f>MAX(0,ROUND(SUMIFS(m2_cv!$E:$E,m2_cv!$A:$A,$E287,m2_cv!$B:$B,$A287),0))</f>
        <v>2208</v>
      </c>
      <c r="I287">
        <f>MAX(0,ROUND(SUMIFS(m3_cv!$E:$E,m3_cv!$A:$A,$E287,m3_cv!$B:$B,$A287),0))</f>
        <v>2505</v>
      </c>
      <c r="J287">
        <f>MAX(0,ROUND(SUMIFS(m4_cv!$E:$E,m4_cv!$A:$A,$E287,m4_cv!$B:$B,$A287),0))</f>
        <v>2501</v>
      </c>
      <c r="K287">
        <f>MAX(0,ROUND(SUMIFS(m5_cv!$E:$E,m5_cv!$A:$A,$E287,m5_cv!$B:$B,$A287),0))</f>
        <v>2240</v>
      </c>
      <c r="L287">
        <f>MAX(0,ROUND(SUMIFS(m6_cv!$E:$E,m6_cv!$A:$A,$E287,m6_cv!$B:$B,$A287),0))</f>
        <v>1607</v>
      </c>
      <c r="M287">
        <f>MAX(0,ROUND(SUMIFS(m7_cv!$E:$E,m7_cv!$A:$A,$E287,m7_cv!$B:$B,$A287),0))</f>
        <v>2268</v>
      </c>
      <c r="N287">
        <f>ROUND(_xlfn.XLOOKUP($D287,Charts!$W$82:$W$112,Charts!$X$82:$X$112)*$L287+_xlfn.XLOOKUP($D287,Charts!$W$82:$W$112,Charts!$Y$82:$Y$112)*$M287,0)</f>
        <v>2070</v>
      </c>
    </row>
    <row r="288" spans="1:14" x14ac:dyDescent="0.25">
      <c r="A288" s="3">
        <f t="shared" si="24"/>
        <v>45944</v>
      </c>
      <c r="B288">
        <f t="shared" si="20"/>
        <v>2025</v>
      </c>
      <c r="C288">
        <f t="shared" si="21"/>
        <v>10</v>
      </c>
      <c r="D288">
        <f t="shared" si="22"/>
        <v>14</v>
      </c>
      <c r="E288" s="2">
        <f t="shared" si="23"/>
        <v>45930</v>
      </c>
      <c r="F288" s="12">
        <f>_xlfn.XLOOKUP($A288,m1_cv!$B:$B,m1_cv!$C:$C)</f>
        <v>2958</v>
      </c>
      <c r="G288">
        <f>MAX(0,ROUND(SUMIFS(m1_cv!$E:$E,m1_cv!$A:$A,$E288,m1_cv!$B:$B,$A288),0))</f>
        <v>3501</v>
      </c>
      <c r="H288">
        <f>MAX(0,ROUND(SUMIFS(m2_cv!$E:$E,m2_cv!$A:$A,$E288,m2_cv!$B:$B,$A288),0))</f>
        <v>2676</v>
      </c>
      <c r="I288">
        <f>MAX(0,ROUND(SUMIFS(m3_cv!$E:$E,m3_cv!$A:$A,$E288,m3_cv!$B:$B,$A288),0))</f>
        <v>2721</v>
      </c>
      <c r="J288">
        <f>MAX(0,ROUND(SUMIFS(m4_cv!$E:$E,m4_cv!$A:$A,$E288,m4_cv!$B:$B,$A288),0))</f>
        <v>2717</v>
      </c>
      <c r="K288">
        <f>MAX(0,ROUND(SUMIFS(m5_cv!$E:$E,m5_cv!$A:$A,$E288,m5_cv!$B:$B,$A288),0))</f>
        <v>2538</v>
      </c>
      <c r="L288">
        <f>MAX(0,ROUND(SUMIFS(m6_cv!$E:$E,m6_cv!$A:$A,$E288,m6_cv!$B:$B,$A288),0))</f>
        <v>2181</v>
      </c>
      <c r="M288">
        <f>MAX(0,ROUND(SUMIFS(m7_cv!$E:$E,m7_cv!$A:$A,$E288,m7_cv!$B:$B,$A288),0))</f>
        <v>2565</v>
      </c>
      <c r="N288">
        <f>ROUND(_xlfn.XLOOKUP($D288,Charts!$W$82:$W$112,Charts!$X$82:$X$112)*$L288+_xlfn.XLOOKUP($D288,Charts!$W$82:$W$112,Charts!$Y$82:$Y$112)*$M288,0)</f>
        <v>2565</v>
      </c>
    </row>
    <row r="289" spans="1:14" x14ac:dyDescent="0.25">
      <c r="A289" s="3">
        <f t="shared" si="24"/>
        <v>45945</v>
      </c>
      <c r="B289">
        <f t="shared" si="20"/>
        <v>2025</v>
      </c>
      <c r="C289">
        <f t="shared" si="21"/>
        <v>10</v>
      </c>
      <c r="D289">
        <f t="shared" si="22"/>
        <v>15</v>
      </c>
      <c r="E289" s="2">
        <f t="shared" si="23"/>
        <v>45930</v>
      </c>
      <c r="F289" s="12">
        <f>_xlfn.XLOOKUP($A289,m1_cv!$B:$B,m1_cv!$C:$C)</f>
        <v>3074</v>
      </c>
      <c r="G289">
        <f>MAX(0,ROUND(SUMIFS(m1_cv!$E:$E,m1_cv!$A:$A,$E289,m1_cv!$B:$B,$A289),0))</f>
        <v>3489</v>
      </c>
      <c r="H289">
        <f>MAX(0,ROUND(SUMIFS(m2_cv!$E:$E,m2_cv!$A:$A,$E289,m2_cv!$B:$B,$A289),0))</f>
        <v>2662</v>
      </c>
      <c r="I289">
        <f>MAX(0,ROUND(SUMIFS(m3_cv!$E:$E,m3_cv!$A:$A,$E289,m3_cv!$B:$B,$A289),0))</f>
        <v>2669</v>
      </c>
      <c r="J289">
        <f>MAX(0,ROUND(SUMIFS(m4_cv!$E:$E,m4_cv!$A:$A,$E289,m4_cv!$B:$B,$A289),0))</f>
        <v>2666</v>
      </c>
      <c r="K289">
        <f>MAX(0,ROUND(SUMIFS(m5_cv!$E:$E,m5_cv!$A:$A,$E289,m5_cv!$B:$B,$A289),0))</f>
        <v>2662</v>
      </c>
      <c r="L289">
        <f>MAX(0,ROUND(SUMIFS(m6_cv!$E:$E,m6_cv!$A:$A,$E289,m6_cv!$B:$B,$A289),0))</f>
        <v>2451</v>
      </c>
      <c r="M289">
        <f>MAX(0,ROUND(SUMIFS(m7_cv!$E:$E,m7_cv!$A:$A,$E289,m7_cv!$B:$B,$A289),0))</f>
        <v>2661</v>
      </c>
      <c r="N289">
        <f>ROUND(_xlfn.XLOOKUP($D289,Charts!$W$82:$W$112,Charts!$X$82:$X$112)*$L289+_xlfn.XLOOKUP($D289,Charts!$W$82:$W$112,Charts!$Y$82:$Y$112)*$M289,0)</f>
        <v>2661</v>
      </c>
    </row>
    <row r="290" spans="1:14" x14ac:dyDescent="0.25">
      <c r="A290" s="3">
        <f t="shared" si="24"/>
        <v>45946</v>
      </c>
      <c r="B290">
        <f t="shared" si="20"/>
        <v>2025</v>
      </c>
      <c r="C290">
        <f t="shared" si="21"/>
        <v>10</v>
      </c>
      <c r="D290">
        <f t="shared" si="22"/>
        <v>16</v>
      </c>
      <c r="E290" s="2">
        <f t="shared" si="23"/>
        <v>45930</v>
      </c>
      <c r="F290" s="12">
        <f>_xlfn.XLOOKUP($A290,m1_cv!$B:$B,m1_cv!$C:$C)</f>
        <v>3505</v>
      </c>
      <c r="G290">
        <f>MAX(0,ROUND(SUMIFS(m1_cv!$E:$E,m1_cv!$A:$A,$E290,m1_cv!$B:$B,$A290),0))</f>
        <v>3497</v>
      </c>
      <c r="H290">
        <f>MAX(0,ROUND(SUMIFS(m2_cv!$E:$E,m2_cv!$A:$A,$E290,m2_cv!$B:$B,$A290),0))</f>
        <v>2783</v>
      </c>
      <c r="I290">
        <f>MAX(0,ROUND(SUMIFS(m3_cv!$E:$E,m3_cv!$A:$A,$E290,m3_cv!$B:$B,$A290),0))</f>
        <v>2720</v>
      </c>
      <c r="J290">
        <f>MAX(0,ROUND(SUMIFS(m4_cv!$E:$E,m4_cv!$A:$A,$E290,m4_cv!$B:$B,$A290),0))</f>
        <v>2717</v>
      </c>
      <c r="K290">
        <f>MAX(0,ROUND(SUMIFS(m5_cv!$E:$E,m5_cv!$A:$A,$E290,m5_cv!$B:$B,$A290),0))</f>
        <v>2810</v>
      </c>
      <c r="L290">
        <f>MAX(0,ROUND(SUMIFS(m6_cv!$E:$E,m6_cv!$A:$A,$E290,m6_cv!$B:$B,$A290),0))</f>
        <v>2635</v>
      </c>
      <c r="M290">
        <f>MAX(0,ROUND(SUMIFS(m7_cv!$E:$E,m7_cv!$A:$A,$E290,m7_cv!$B:$B,$A290),0))</f>
        <v>2767</v>
      </c>
      <c r="N290">
        <f>ROUND(_xlfn.XLOOKUP($D290,Charts!$W$82:$W$112,Charts!$X$82:$X$112)*$L290+_xlfn.XLOOKUP($D290,Charts!$W$82:$W$112,Charts!$Y$82:$Y$112)*$M290,0)</f>
        <v>2767</v>
      </c>
    </row>
    <row r="291" spans="1:14" x14ac:dyDescent="0.25">
      <c r="A291" s="3">
        <f t="shared" si="24"/>
        <v>45947</v>
      </c>
      <c r="B291">
        <f t="shared" si="20"/>
        <v>2025</v>
      </c>
      <c r="C291">
        <f t="shared" si="21"/>
        <v>10</v>
      </c>
      <c r="D291">
        <f t="shared" si="22"/>
        <v>17</v>
      </c>
      <c r="E291" s="2">
        <f t="shared" si="23"/>
        <v>45930</v>
      </c>
      <c r="F291" s="12">
        <f>_xlfn.XLOOKUP($A291,m1_cv!$B:$B,m1_cv!$C:$C)</f>
        <v>3630</v>
      </c>
      <c r="G291">
        <f>MAX(0,ROUND(SUMIFS(m1_cv!$E:$E,m1_cv!$A:$A,$E291,m1_cv!$B:$B,$A291),0))</f>
        <v>3408</v>
      </c>
      <c r="H291">
        <f>MAX(0,ROUND(SUMIFS(m2_cv!$E:$E,m2_cv!$A:$A,$E291,m2_cv!$B:$B,$A291),0))</f>
        <v>2942</v>
      </c>
      <c r="I291">
        <f>MAX(0,ROUND(SUMIFS(m3_cv!$E:$E,m3_cv!$A:$A,$E291,m3_cv!$B:$B,$A291),0))</f>
        <v>2847</v>
      </c>
      <c r="J291">
        <f>MAX(0,ROUND(SUMIFS(m4_cv!$E:$E,m4_cv!$A:$A,$E291,m4_cv!$B:$B,$A291),0))</f>
        <v>2843</v>
      </c>
      <c r="K291">
        <f>MAX(0,ROUND(SUMIFS(m5_cv!$E:$E,m5_cv!$A:$A,$E291,m5_cv!$B:$B,$A291),0))</f>
        <v>2900</v>
      </c>
      <c r="L291">
        <f>MAX(0,ROUND(SUMIFS(m6_cv!$E:$E,m6_cv!$A:$A,$E291,m6_cv!$B:$B,$A291),0))</f>
        <v>2545</v>
      </c>
      <c r="M291">
        <f>MAX(0,ROUND(SUMIFS(m7_cv!$E:$E,m7_cv!$A:$A,$E291,m7_cv!$B:$B,$A291),0))</f>
        <v>2870</v>
      </c>
      <c r="N291">
        <f>ROUND(_xlfn.XLOOKUP($D291,Charts!$W$82:$W$112,Charts!$X$82:$X$112)*$L291+_xlfn.XLOOKUP($D291,Charts!$W$82:$W$112,Charts!$Y$82:$Y$112)*$M291,0)</f>
        <v>2870</v>
      </c>
    </row>
    <row r="292" spans="1:14" x14ac:dyDescent="0.25">
      <c r="A292" s="3">
        <f t="shared" si="24"/>
        <v>45948</v>
      </c>
      <c r="B292">
        <f t="shared" si="20"/>
        <v>2025</v>
      </c>
      <c r="C292">
        <f t="shared" si="21"/>
        <v>10</v>
      </c>
      <c r="D292">
        <f t="shared" si="22"/>
        <v>18</v>
      </c>
      <c r="E292" s="2">
        <f t="shared" si="23"/>
        <v>45930</v>
      </c>
      <c r="F292" s="12">
        <f>_xlfn.XLOOKUP($A292,m1_cv!$B:$B,m1_cv!$C:$C)</f>
        <v>653</v>
      </c>
      <c r="G292">
        <f>MAX(0,ROUND(SUMIFS(m1_cv!$E:$E,m1_cv!$A:$A,$E292,m1_cv!$B:$B,$A292),0))</f>
        <v>1143</v>
      </c>
      <c r="H292">
        <f>MAX(0,ROUND(SUMIFS(m2_cv!$E:$E,m2_cv!$A:$A,$E292,m2_cv!$B:$B,$A292),0))</f>
        <v>906</v>
      </c>
      <c r="I292">
        <f>MAX(0,ROUND(SUMIFS(m3_cv!$E:$E,m3_cv!$A:$A,$E292,m3_cv!$B:$B,$A292),0))</f>
        <v>839</v>
      </c>
      <c r="J292">
        <f>MAX(0,ROUND(SUMIFS(m4_cv!$E:$E,m4_cv!$A:$A,$E292,m4_cv!$B:$B,$A292),0))</f>
        <v>835</v>
      </c>
      <c r="K292">
        <f>MAX(0,ROUND(SUMIFS(m5_cv!$E:$E,m5_cv!$A:$A,$E292,m5_cv!$B:$B,$A292),0))</f>
        <v>721</v>
      </c>
      <c r="L292">
        <f>MAX(0,ROUND(SUMIFS(m6_cv!$E:$E,m6_cv!$A:$A,$E292,m6_cv!$B:$B,$A292),0))</f>
        <v>442</v>
      </c>
      <c r="M292">
        <f>MAX(0,ROUND(SUMIFS(m7_cv!$E:$E,m7_cv!$A:$A,$E292,m7_cv!$B:$B,$A292),0))</f>
        <v>709</v>
      </c>
      <c r="N292">
        <f>ROUND(_xlfn.XLOOKUP($D292,Charts!$W$82:$W$112,Charts!$X$82:$X$112)*$L292+_xlfn.XLOOKUP($D292,Charts!$W$82:$W$112,Charts!$Y$82:$Y$112)*$M292,0)</f>
        <v>709</v>
      </c>
    </row>
    <row r="293" spans="1:14" x14ac:dyDescent="0.25">
      <c r="A293" s="3">
        <f t="shared" si="24"/>
        <v>45949</v>
      </c>
      <c r="B293">
        <f t="shared" si="20"/>
        <v>2025</v>
      </c>
      <c r="C293">
        <f t="shared" si="21"/>
        <v>10</v>
      </c>
      <c r="D293">
        <f t="shared" si="22"/>
        <v>19</v>
      </c>
      <c r="E293" s="2">
        <f t="shared" si="23"/>
        <v>45930</v>
      </c>
      <c r="F293" s="12">
        <f>_xlfn.XLOOKUP($A293,m1_cv!$B:$B,m1_cv!$C:$C)</f>
        <v>180</v>
      </c>
      <c r="G293">
        <f>MAX(0,ROUND(SUMIFS(m1_cv!$E:$E,m1_cv!$A:$A,$E293,m1_cv!$B:$B,$A293),0))</f>
        <v>547</v>
      </c>
      <c r="H293">
        <f>MAX(0,ROUND(SUMIFS(m2_cv!$E:$E,m2_cv!$A:$A,$E293,m2_cv!$B:$B,$A293),0))</f>
        <v>380</v>
      </c>
      <c r="I293">
        <f>MAX(0,ROUND(SUMIFS(m3_cv!$E:$E,m3_cv!$A:$A,$E293,m3_cv!$B:$B,$A293),0))</f>
        <v>381</v>
      </c>
      <c r="J293">
        <f>MAX(0,ROUND(SUMIFS(m4_cv!$E:$E,m4_cv!$A:$A,$E293,m4_cv!$B:$B,$A293),0))</f>
        <v>376</v>
      </c>
      <c r="K293">
        <f>MAX(0,ROUND(SUMIFS(m5_cv!$E:$E,m5_cv!$A:$A,$E293,m5_cv!$B:$B,$A293),0))</f>
        <v>192</v>
      </c>
      <c r="L293">
        <f>MAX(0,ROUND(SUMIFS(m6_cv!$E:$E,m6_cv!$A:$A,$E293,m6_cv!$B:$B,$A293),0))</f>
        <v>173</v>
      </c>
      <c r="M293">
        <f>MAX(0,ROUND(SUMIFS(m7_cv!$E:$E,m7_cv!$A:$A,$E293,m7_cv!$B:$B,$A293),0))</f>
        <v>181</v>
      </c>
      <c r="N293">
        <f>ROUND(_xlfn.XLOOKUP($D293,Charts!$W$82:$W$112,Charts!$X$82:$X$112)*$L293+_xlfn.XLOOKUP($D293,Charts!$W$82:$W$112,Charts!$Y$82:$Y$112)*$M293,0)</f>
        <v>181</v>
      </c>
    </row>
    <row r="294" spans="1:14" x14ac:dyDescent="0.25">
      <c r="A294" s="3">
        <f t="shared" si="24"/>
        <v>45950</v>
      </c>
      <c r="B294">
        <f t="shared" si="20"/>
        <v>2025</v>
      </c>
      <c r="C294">
        <f t="shared" si="21"/>
        <v>10</v>
      </c>
      <c r="D294">
        <f t="shared" si="22"/>
        <v>20</v>
      </c>
      <c r="E294" s="2">
        <f t="shared" si="23"/>
        <v>45930</v>
      </c>
      <c r="F294" s="12">
        <f>_xlfn.XLOOKUP($A294,m1_cv!$B:$B,m1_cv!$C:$C)</f>
        <v>250</v>
      </c>
      <c r="G294">
        <f>MAX(0,ROUND(SUMIFS(m1_cv!$E:$E,m1_cv!$A:$A,$E294,m1_cv!$B:$B,$A294),0))</f>
        <v>2834</v>
      </c>
      <c r="H294">
        <f>MAX(0,ROUND(SUMIFS(m2_cv!$E:$E,m2_cv!$A:$A,$E294,m2_cv!$B:$B,$A294),0))</f>
        <v>2617</v>
      </c>
      <c r="I294">
        <f>MAX(0,ROUND(SUMIFS(m3_cv!$E:$E,m3_cv!$A:$A,$E294,m3_cv!$B:$B,$A294),0))</f>
        <v>1008</v>
      </c>
      <c r="J294">
        <f>MAX(0,ROUND(SUMIFS(m4_cv!$E:$E,m4_cv!$A:$A,$E294,m4_cv!$B:$B,$A294),0))</f>
        <v>999</v>
      </c>
      <c r="K294">
        <f>MAX(0,ROUND(SUMIFS(m5_cv!$E:$E,m5_cv!$A:$A,$E294,m5_cv!$B:$B,$A294),0))</f>
        <v>982</v>
      </c>
      <c r="L294">
        <f>MAX(0,ROUND(SUMIFS(m6_cv!$E:$E,m6_cv!$A:$A,$E294,m6_cv!$B:$B,$A294),0))</f>
        <v>239</v>
      </c>
      <c r="M294">
        <f>MAX(0,ROUND(SUMIFS(m7_cv!$E:$E,m7_cv!$A:$A,$E294,m7_cv!$B:$B,$A294),0))</f>
        <v>1035</v>
      </c>
      <c r="N294">
        <f>ROUND(_xlfn.XLOOKUP($D294,Charts!$W$82:$W$112,Charts!$X$82:$X$112)*$L294+_xlfn.XLOOKUP($D294,Charts!$W$82:$W$112,Charts!$Y$82:$Y$112)*$M294,0)</f>
        <v>1035</v>
      </c>
    </row>
    <row r="295" spans="1:14" x14ac:dyDescent="0.25">
      <c r="A295" s="3">
        <f t="shared" si="24"/>
        <v>45951</v>
      </c>
      <c r="B295">
        <f t="shared" si="20"/>
        <v>2025</v>
      </c>
      <c r="C295">
        <f t="shared" si="21"/>
        <v>10</v>
      </c>
      <c r="D295">
        <f t="shared" si="22"/>
        <v>21</v>
      </c>
      <c r="E295" s="2">
        <f t="shared" si="23"/>
        <v>45930</v>
      </c>
      <c r="F295" s="12">
        <f>_xlfn.XLOOKUP($A295,m1_cv!$B:$B,m1_cv!$C:$C)</f>
        <v>2797</v>
      </c>
      <c r="G295">
        <f>MAX(0,ROUND(SUMIFS(m1_cv!$E:$E,m1_cv!$A:$A,$E295,m1_cv!$B:$B,$A295),0))</f>
        <v>3316</v>
      </c>
      <c r="H295">
        <f>MAX(0,ROUND(SUMIFS(m2_cv!$E:$E,m2_cv!$A:$A,$E295,m2_cv!$B:$B,$A295),0))</f>
        <v>3084</v>
      </c>
      <c r="I295">
        <f>MAX(0,ROUND(SUMIFS(m3_cv!$E:$E,m3_cv!$A:$A,$E295,m3_cv!$B:$B,$A295),0))</f>
        <v>2990</v>
      </c>
      <c r="J295">
        <f>MAX(0,ROUND(SUMIFS(m4_cv!$E:$E,m4_cv!$A:$A,$E295,m4_cv!$B:$B,$A295),0))</f>
        <v>2986</v>
      </c>
      <c r="K295">
        <f>MAX(0,ROUND(SUMIFS(m5_cv!$E:$E,m5_cv!$A:$A,$E295,m5_cv!$B:$B,$A295),0))</f>
        <v>3110</v>
      </c>
      <c r="L295">
        <f>MAX(0,ROUND(SUMIFS(m6_cv!$E:$E,m6_cv!$A:$A,$E295,m6_cv!$B:$B,$A295),0))</f>
        <v>3137</v>
      </c>
      <c r="M295">
        <f>MAX(0,ROUND(SUMIFS(m7_cv!$E:$E,m7_cv!$A:$A,$E295,m7_cv!$B:$B,$A295),0))</f>
        <v>3152</v>
      </c>
      <c r="N295">
        <f>ROUND(_xlfn.XLOOKUP($D295,Charts!$W$82:$W$112,Charts!$X$82:$X$112)*$L295+_xlfn.XLOOKUP($D295,Charts!$W$82:$W$112,Charts!$Y$82:$Y$112)*$M295,0)</f>
        <v>3152</v>
      </c>
    </row>
    <row r="296" spans="1:14" x14ac:dyDescent="0.25">
      <c r="A296" s="3">
        <f t="shared" si="24"/>
        <v>45952</v>
      </c>
      <c r="B296">
        <f t="shared" si="20"/>
        <v>2025</v>
      </c>
      <c r="C296">
        <f t="shared" si="21"/>
        <v>10</v>
      </c>
      <c r="D296">
        <f t="shared" si="22"/>
        <v>22</v>
      </c>
      <c r="E296" s="2">
        <f t="shared" si="23"/>
        <v>45930</v>
      </c>
      <c r="F296" s="12">
        <f>_xlfn.XLOOKUP($A296,m1_cv!$B:$B,m1_cv!$C:$C)</f>
        <v>3644</v>
      </c>
      <c r="G296">
        <f>MAX(0,ROUND(SUMIFS(m1_cv!$E:$E,m1_cv!$A:$A,$E296,m1_cv!$B:$B,$A296),0))</f>
        <v>3317</v>
      </c>
      <c r="H296">
        <f>MAX(0,ROUND(SUMIFS(m2_cv!$E:$E,m2_cv!$A:$A,$E296,m2_cv!$B:$B,$A296),0))</f>
        <v>3315</v>
      </c>
      <c r="I296">
        <f>MAX(0,ROUND(SUMIFS(m3_cv!$E:$E,m3_cv!$A:$A,$E296,m3_cv!$B:$B,$A296),0))</f>
        <v>3199</v>
      </c>
      <c r="J296">
        <f>MAX(0,ROUND(SUMIFS(m4_cv!$E:$E,m4_cv!$A:$A,$E296,m4_cv!$B:$B,$A296),0))</f>
        <v>3195</v>
      </c>
      <c r="K296">
        <f>MAX(0,ROUND(SUMIFS(m5_cv!$E:$E,m5_cv!$A:$A,$E296,m5_cv!$B:$B,$A296),0))</f>
        <v>3339</v>
      </c>
      <c r="L296">
        <f>MAX(0,ROUND(SUMIFS(m6_cv!$E:$E,m6_cv!$A:$A,$E296,m6_cv!$B:$B,$A296),0))</f>
        <v>3502</v>
      </c>
      <c r="M296">
        <f>MAX(0,ROUND(SUMIFS(m7_cv!$E:$E,m7_cv!$A:$A,$E296,m7_cv!$B:$B,$A296),0))</f>
        <v>3224</v>
      </c>
      <c r="N296">
        <f>ROUND(_xlfn.XLOOKUP($D296,Charts!$W$82:$W$112,Charts!$X$82:$X$112)*$L296+_xlfn.XLOOKUP($D296,Charts!$W$82:$W$112,Charts!$Y$82:$Y$112)*$M296,0)</f>
        <v>3224</v>
      </c>
    </row>
    <row r="297" spans="1:14" x14ac:dyDescent="0.25">
      <c r="A297" s="3">
        <f t="shared" si="24"/>
        <v>45953</v>
      </c>
      <c r="B297">
        <f t="shared" si="20"/>
        <v>2025</v>
      </c>
      <c r="C297">
        <f t="shared" si="21"/>
        <v>10</v>
      </c>
      <c r="D297">
        <f t="shared" si="22"/>
        <v>23</v>
      </c>
      <c r="E297" s="2">
        <f t="shared" si="23"/>
        <v>45930</v>
      </c>
      <c r="F297" s="12">
        <f>_xlfn.XLOOKUP($A297,m1_cv!$B:$B,m1_cv!$C:$C)</f>
        <v>4009</v>
      </c>
      <c r="G297">
        <f>MAX(0,ROUND(SUMIFS(m1_cv!$E:$E,m1_cv!$A:$A,$E297,m1_cv!$B:$B,$A297),0))</f>
        <v>3342</v>
      </c>
      <c r="H297">
        <f>MAX(0,ROUND(SUMIFS(m2_cv!$E:$E,m2_cv!$A:$A,$E297,m2_cv!$B:$B,$A297),0))</f>
        <v>3671</v>
      </c>
      <c r="I297">
        <f>MAX(0,ROUND(SUMIFS(m3_cv!$E:$E,m3_cv!$A:$A,$E297,m3_cv!$B:$B,$A297),0))</f>
        <v>3553</v>
      </c>
      <c r="J297">
        <f>MAX(0,ROUND(SUMIFS(m4_cv!$E:$E,m4_cv!$A:$A,$E297,m4_cv!$B:$B,$A297),0))</f>
        <v>3549</v>
      </c>
      <c r="K297">
        <f>MAX(0,ROUND(SUMIFS(m5_cv!$E:$E,m5_cv!$A:$A,$E297,m5_cv!$B:$B,$A297),0))</f>
        <v>3476</v>
      </c>
      <c r="L297">
        <f>MAX(0,ROUND(SUMIFS(m6_cv!$E:$E,m6_cv!$A:$A,$E297,m6_cv!$B:$B,$A297),0))</f>
        <v>3658</v>
      </c>
      <c r="M297">
        <f>MAX(0,ROUND(SUMIFS(m7_cv!$E:$E,m7_cv!$A:$A,$E297,m7_cv!$B:$B,$A297),0))</f>
        <v>3390</v>
      </c>
      <c r="N297">
        <f>ROUND(_xlfn.XLOOKUP($D297,Charts!$W$82:$W$112,Charts!$X$82:$X$112)*$L297+_xlfn.XLOOKUP($D297,Charts!$W$82:$W$112,Charts!$Y$82:$Y$112)*$M297,0)</f>
        <v>3390</v>
      </c>
    </row>
    <row r="298" spans="1:14" x14ac:dyDescent="0.25">
      <c r="A298" s="3">
        <f t="shared" si="24"/>
        <v>45954</v>
      </c>
      <c r="B298">
        <f t="shared" si="20"/>
        <v>2025</v>
      </c>
      <c r="C298">
        <f t="shared" si="21"/>
        <v>10</v>
      </c>
      <c r="D298">
        <f t="shared" si="22"/>
        <v>24</v>
      </c>
      <c r="E298" s="2">
        <f t="shared" si="23"/>
        <v>45930</v>
      </c>
      <c r="F298" s="12">
        <f>_xlfn.XLOOKUP($A298,m1_cv!$B:$B,m1_cv!$C:$C)</f>
        <v>4008</v>
      </c>
      <c r="G298">
        <f>MAX(0,ROUND(SUMIFS(m1_cv!$E:$E,m1_cv!$A:$A,$E298,m1_cv!$B:$B,$A298),0))</f>
        <v>3272</v>
      </c>
      <c r="H298">
        <f>MAX(0,ROUND(SUMIFS(m2_cv!$E:$E,m2_cv!$A:$A,$E298,m2_cv!$B:$B,$A298),0))</f>
        <v>3808</v>
      </c>
      <c r="I298">
        <f>MAX(0,ROUND(SUMIFS(m3_cv!$E:$E,m3_cv!$A:$A,$E298,m3_cv!$B:$B,$A298),0))</f>
        <v>3731</v>
      </c>
      <c r="J298">
        <f>MAX(0,ROUND(SUMIFS(m4_cv!$E:$E,m4_cv!$A:$A,$E298,m4_cv!$B:$B,$A298),0))</f>
        <v>3726</v>
      </c>
      <c r="K298">
        <f>MAX(0,ROUND(SUMIFS(m5_cv!$E:$E,m5_cv!$A:$A,$E298,m5_cv!$B:$B,$A298),0))</f>
        <v>3399</v>
      </c>
      <c r="L298">
        <f>MAX(0,ROUND(SUMIFS(m6_cv!$E:$E,m6_cv!$A:$A,$E298,m6_cv!$B:$B,$A298),0))</f>
        <v>3268</v>
      </c>
      <c r="M298">
        <f>MAX(0,ROUND(SUMIFS(m7_cv!$E:$E,m7_cv!$A:$A,$E298,m7_cv!$B:$B,$A298),0))</f>
        <v>3494</v>
      </c>
      <c r="N298">
        <f>ROUND(_xlfn.XLOOKUP($D298,Charts!$W$82:$W$112,Charts!$X$82:$X$112)*$L298+_xlfn.XLOOKUP($D298,Charts!$W$82:$W$112,Charts!$Y$82:$Y$112)*$M298,0)</f>
        <v>3268</v>
      </c>
    </row>
    <row r="299" spans="1:14" x14ac:dyDescent="0.25">
      <c r="A299" s="3">
        <f t="shared" si="24"/>
        <v>45955</v>
      </c>
      <c r="B299">
        <f t="shared" si="20"/>
        <v>2025</v>
      </c>
      <c r="C299">
        <f t="shared" si="21"/>
        <v>10</v>
      </c>
      <c r="D299">
        <f t="shared" si="22"/>
        <v>25</v>
      </c>
      <c r="E299" s="2">
        <f t="shared" si="23"/>
        <v>45930</v>
      </c>
      <c r="F299" s="12">
        <f>_xlfn.XLOOKUP($A299,m1_cv!$B:$B,m1_cv!$C:$C)</f>
        <v>971</v>
      </c>
      <c r="G299">
        <f>MAX(0,ROUND(SUMIFS(m1_cv!$E:$E,m1_cv!$A:$A,$E299,m1_cv!$B:$B,$A299),0))</f>
        <v>1030</v>
      </c>
      <c r="H299">
        <f>MAX(0,ROUND(SUMIFS(m2_cv!$E:$E,m2_cv!$A:$A,$E299,m2_cv!$B:$B,$A299),0))</f>
        <v>1537</v>
      </c>
      <c r="I299">
        <f>MAX(0,ROUND(SUMIFS(m3_cv!$E:$E,m3_cv!$A:$A,$E299,m3_cv!$B:$B,$A299),0))</f>
        <v>1524</v>
      </c>
      <c r="J299">
        <f>MAX(0,ROUND(SUMIFS(m4_cv!$E:$E,m4_cv!$A:$A,$E299,m4_cv!$B:$B,$A299),0))</f>
        <v>1520</v>
      </c>
      <c r="K299">
        <f>MAX(0,ROUND(SUMIFS(m5_cv!$E:$E,m5_cv!$A:$A,$E299,m5_cv!$B:$B,$A299),0))</f>
        <v>1818</v>
      </c>
      <c r="L299">
        <f>MAX(0,ROUND(SUMIFS(m6_cv!$E:$E,m6_cv!$A:$A,$E299,m6_cv!$B:$B,$A299),0))</f>
        <v>945</v>
      </c>
      <c r="M299">
        <f>MAX(0,ROUND(SUMIFS(m7_cv!$E:$E,m7_cv!$A:$A,$E299,m7_cv!$B:$B,$A299),0))</f>
        <v>1918</v>
      </c>
      <c r="N299">
        <f>ROUND(_xlfn.XLOOKUP($D299,Charts!$W$82:$W$112,Charts!$X$82:$X$112)*$L299+_xlfn.XLOOKUP($D299,Charts!$W$82:$W$112,Charts!$Y$82:$Y$112)*$M299,0)</f>
        <v>945</v>
      </c>
    </row>
    <row r="300" spans="1:14" x14ac:dyDescent="0.25">
      <c r="A300" s="3">
        <f t="shared" si="24"/>
        <v>45956</v>
      </c>
      <c r="B300">
        <f t="shared" si="20"/>
        <v>2025</v>
      </c>
      <c r="C300">
        <f t="shared" si="21"/>
        <v>10</v>
      </c>
      <c r="D300">
        <f t="shared" si="22"/>
        <v>26</v>
      </c>
      <c r="E300" s="2">
        <f t="shared" si="23"/>
        <v>45930</v>
      </c>
      <c r="F300" s="12">
        <f>_xlfn.XLOOKUP($A300,m1_cv!$B:$B,m1_cv!$C:$C)</f>
        <v>238</v>
      </c>
      <c r="G300">
        <f>MAX(0,ROUND(SUMIFS(m1_cv!$E:$E,m1_cv!$A:$A,$E300,m1_cv!$B:$B,$A300),0))</f>
        <v>458</v>
      </c>
      <c r="H300">
        <f>MAX(0,ROUND(SUMIFS(m2_cv!$E:$E,m2_cv!$A:$A,$E300,m2_cv!$B:$B,$A300),0))</f>
        <v>909</v>
      </c>
      <c r="I300">
        <f>MAX(0,ROUND(SUMIFS(m3_cv!$E:$E,m3_cv!$A:$A,$E300,m3_cv!$B:$B,$A300),0))</f>
        <v>961</v>
      </c>
      <c r="J300">
        <f>MAX(0,ROUND(SUMIFS(m4_cv!$E:$E,m4_cv!$A:$A,$E300,m4_cv!$B:$B,$A300),0))</f>
        <v>957</v>
      </c>
      <c r="K300">
        <f>MAX(0,ROUND(SUMIFS(m5_cv!$E:$E,m5_cv!$A:$A,$E300,m5_cv!$B:$B,$A300),0))</f>
        <v>1282</v>
      </c>
      <c r="L300">
        <f>MAX(0,ROUND(SUMIFS(m6_cv!$E:$E,m6_cv!$A:$A,$E300,m6_cv!$B:$B,$A300),0))</f>
        <v>330</v>
      </c>
      <c r="M300">
        <f>MAX(0,ROUND(SUMIFS(m7_cv!$E:$E,m7_cv!$A:$A,$E300,m7_cv!$B:$B,$A300),0))</f>
        <v>1259</v>
      </c>
      <c r="N300">
        <f>ROUND(_xlfn.XLOOKUP($D300,Charts!$W$82:$W$112,Charts!$X$82:$X$112)*$L300+_xlfn.XLOOKUP($D300,Charts!$W$82:$W$112,Charts!$Y$82:$Y$112)*$M300,0)</f>
        <v>330</v>
      </c>
    </row>
    <row r="301" spans="1:14" x14ac:dyDescent="0.25">
      <c r="A301" s="3">
        <f t="shared" si="24"/>
        <v>45957</v>
      </c>
      <c r="B301">
        <f t="shared" si="20"/>
        <v>2025</v>
      </c>
      <c r="C301">
        <f t="shared" si="21"/>
        <v>10</v>
      </c>
      <c r="D301">
        <f t="shared" si="22"/>
        <v>27</v>
      </c>
      <c r="E301" s="2">
        <f t="shared" si="23"/>
        <v>45930</v>
      </c>
      <c r="F301" s="12">
        <f>_xlfn.XLOOKUP($A301,m1_cv!$B:$B,m1_cv!$C:$C)</f>
        <v>4219</v>
      </c>
      <c r="G301">
        <f>MAX(0,ROUND(SUMIFS(m1_cv!$E:$E,m1_cv!$A:$A,$E301,m1_cv!$B:$B,$A301),0))</f>
        <v>2771</v>
      </c>
      <c r="H301">
        <f>MAX(0,ROUND(SUMIFS(m2_cv!$E:$E,m2_cv!$A:$A,$E301,m2_cv!$B:$B,$A301),0))</f>
        <v>3531</v>
      </c>
      <c r="I301">
        <f>MAX(0,ROUND(SUMIFS(m3_cv!$E:$E,m3_cv!$A:$A,$E301,m3_cv!$B:$B,$A301),0))</f>
        <v>3776</v>
      </c>
      <c r="J301">
        <f>MAX(0,ROUND(SUMIFS(m4_cv!$E:$E,m4_cv!$A:$A,$E301,m4_cv!$B:$B,$A301),0))</f>
        <v>3774</v>
      </c>
      <c r="K301">
        <f>MAX(0,ROUND(SUMIFS(m5_cv!$E:$E,m5_cv!$A:$A,$E301,m5_cv!$B:$B,$A301),0))</f>
        <v>4084</v>
      </c>
      <c r="L301">
        <f>MAX(0,ROUND(SUMIFS(m6_cv!$E:$E,m6_cv!$A:$A,$E301,m6_cv!$B:$B,$A301),0))</f>
        <v>4187</v>
      </c>
      <c r="M301">
        <f>MAX(0,ROUND(SUMIFS(m7_cv!$E:$E,m7_cv!$A:$A,$E301,m7_cv!$B:$B,$A301),0))</f>
        <v>4024</v>
      </c>
      <c r="N301">
        <f>ROUND(_xlfn.XLOOKUP($D301,Charts!$W$82:$W$112,Charts!$X$82:$X$112)*$L301+_xlfn.XLOOKUP($D301,Charts!$W$82:$W$112,Charts!$Y$82:$Y$112)*$M301,0)</f>
        <v>4187</v>
      </c>
    </row>
    <row r="302" spans="1:14" x14ac:dyDescent="0.25">
      <c r="A302" s="3">
        <f t="shared" si="24"/>
        <v>45958</v>
      </c>
      <c r="B302">
        <f t="shared" si="20"/>
        <v>2025</v>
      </c>
      <c r="C302">
        <f t="shared" si="21"/>
        <v>10</v>
      </c>
      <c r="D302">
        <f t="shared" si="22"/>
        <v>28</v>
      </c>
      <c r="E302" s="2">
        <f t="shared" si="23"/>
        <v>45930</v>
      </c>
      <c r="F302" s="12">
        <f>_xlfn.XLOOKUP($A302,m1_cv!$B:$B,m1_cv!$C:$C)</f>
        <v>5659</v>
      </c>
      <c r="G302">
        <f>MAX(0,ROUND(SUMIFS(m1_cv!$E:$E,m1_cv!$A:$A,$E302,m1_cv!$B:$B,$A302),0))</f>
        <v>3279</v>
      </c>
      <c r="H302">
        <f>MAX(0,ROUND(SUMIFS(m2_cv!$E:$E,m2_cv!$A:$A,$E302,m2_cv!$B:$B,$A302),0))</f>
        <v>4878</v>
      </c>
      <c r="I302">
        <f>MAX(0,ROUND(SUMIFS(m3_cv!$E:$E,m3_cv!$A:$A,$E302,m3_cv!$B:$B,$A302),0))</f>
        <v>4856</v>
      </c>
      <c r="J302">
        <f>MAX(0,ROUND(SUMIFS(m4_cv!$E:$E,m4_cv!$A:$A,$E302,m4_cv!$B:$B,$A302),0))</f>
        <v>4852</v>
      </c>
      <c r="K302">
        <f>MAX(0,ROUND(SUMIFS(m5_cv!$E:$E,m5_cv!$A:$A,$E302,m5_cv!$B:$B,$A302),0))</f>
        <v>4851</v>
      </c>
      <c r="L302">
        <f>MAX(0,ROUND(SUMIFS(m6_cv!$E:$E,m6_cv!$A:$A,$E302,m6_cv!$B:$B,$A302),0))</f>
        <v>5638</v>
      </c>
      <c r="M302">
        <f>MAX(0,ROUND(SUMIFS(m7_cv!$E:$E,m7_cv!$A:$A,$E302,m7_cv!$B:$B,$A302),0))</f>
        <v>4753</v>
      </c>
      <c r="N302">
        <f>ROUND(_xlfn.XLOOKUP($D302,Charts!$W$82:$W$112,Charts!$X$82:$X$112)*$L302+_xlfn.XLOOKUP($D302,Charts!$W$82:$W$112,Charts!$Y$82:$Y$112)*$M302,0)</f>
        <v>5638</v>
      </c>
    </row>
    <row r="303" spans="1:14" x14ac:dyDescent="0.25">
      <c r="A303" s="3">
        <f t="shared" si="24"/>
        <v>45959</v>
      </c>
      <c r="B303">
        <f t="shared" si="20"/>
        <v>2025</v>
      </c>
      <c r="C303">
        <f t="shared" si="21"/>
        <v>10</v>
      </c>
      <c r="D303">
        <f t="shared" si="22"/>
        <v>29</v>
      </c>
      <c r="E303" s="2">
        <f t="shared" si="23"/>
        <v>45930</v>
      </c>
      <c r="F303" s="12">
        <f>_xlfn.XLOOKUP($A303,m1_cv!$B:$B,m1_cv!$C:$C)</f>
        <v>6381</v>
      </c>
      <c r="G303">
        <f>MAX(0,ROUND(SUMIFS(m1_cv!$E:$E,m1_cv!$A:$A,$E303,m1_cv!$B:$B,$A303),0))</f>
        <v>3305</v>
      </c>
      <c r="H303">
        <f>MAX(0,ROUND(SUMIFS(m2_cv!$E:$E,m2_cv!$A:$A,$E303,m2_cv!$B:$B,$A303),0))</f>
        <v>6063</v>
      </c>
      <c r="I303">
        <f>MAX(0,ROUND(SUMIFS(m3_cv!$E:$E,m3_cv!$A:$A,$E303,m3_cv!$B:$B,$A303),0))</f>
        <v>6076</v>
      </c>
      <c r="J303">
        <f>MAX(0,ROUND(SUMIFS(m4_cv!$E:$E,m4_cv!$A:$A,$E303,m4_cv!$B:$B,$A303),0))</f>
        <v>6072</v>
      </c>
      <c r="K303">
        <f>MAX(0,ROUND(SUMIFS(m5_cv!$E:$E,m5_cv!$A:$A,$E303,m5_cv!$B:$B,$A303),0))</f>
        <v>5342</v>
      </c>
      <c r="L303">
        <f>MAX(0,ROUND(SUMIFS(m6_cv!$E:$E,m6_cv!$A:$A,$E303,m6_cv!$B:$B,$A303),0))</f>
        <v>6568</v>
      </c>
      <c r="M303">
        <f>MAX(0,ROUND(SUMIFS(m7_cv!$E:$E,m7_cv!$A:$A,$E303,m7_cv!$B:$B,$A303),0))</f>
        <v>5363</v>
      </c>
      <c r="N303">
        <f>ROUND(_xlfn.XLOOKUP($D303,Charts!$W$82:$W$112,Charts!$X$82:$X$112)*$L303+_xlfn.XLOOKUP($D303,Charts!$W$82:$W$112,Charts!$Y$82:$Y$112)*$M303,0)</f>
        <v>5363</v>
      </c>
    </row>
    <row r="304" spans="1:14" x14ac:dyDescent="0.25">
      <c r="A304" s="3">
        <f t="shared" si="24"/>
        <v>45960</v>
      </c>
      <c r="B304">
        <f t="shared" si="20"/>
        <v>2025</v>
      </c>
      <c r="C304">
        <f t="shared" si="21"/>
        <v>10</v>
      </c>
      <c r="D304">
        <f t="shared" si="22"/>
        <v>30</v>
      </c>
      <c r="E304" s="2">
        <f t="shared" si="23"/>
        <v>45930</v>
      </c>
      <c r="F304" s="12">
        <f>_xlfn.XLOOKUP($A304,m1_cv!$B:$B,m1_cv!$C:$C)</f>
        <v>7936</v>
      </c>
      <c r="G304">
        <f>MAX(0,ROUND(SUMIFS(m1_cv!$E:$E,m1_cv!$A:$A,$E304,m1_cv!$B:$B,$A304),0))</f>
        <v>3355</v>
      </c>
      <c r="H304">
        <f>MAX(0,ROUND(SUMIFS(m2_cv!$E:$E,m2_cv!$A:$A,$E304,m2_cv!$B:$B,$A304),0))</f>
        <v>6851</v>
      </c>
      <c r="I304">
        <f>MAX(0,ROUND(SUMIFS(m3_cv!$E:$E,m3_cv!$A:$A,$E304,m3_cv!$B:$B,$A304),0))</f>
        <v>6914</v>
      </c>
      <c r="J304">
        <f>MAX(0,ROUND(SUMIFS(m4_cv!$E:$E,m4_cv!$A:$A,$E304,m4_cv!$B:$B,$A304),0))</f>
        <v>6909</v>
      </c>
      <c r="K304">
        <f>MAX(0,ROUND(SUMIFS(m5_cv!$E:$E,m5_cv!$A:$A,$E304,m5_cv!$B:$B,$A304),0))</f>
        <v>7693</v>
      </c>
      <c r="L304">
        <f>MAX(0,ROUND(SUMIFS(m6_cv!$E:$E,m6_cv!$A:$A,$E304,m6_cv!$B:$B,$A304),0))</f>
        <v>12849</v>
      </c>
      <c r="M304">
        <f>MAX(0,ROUND(SUMIFS(m7_cv!$E:$E,m7_cv!$A:$A,$E304,m7_cv!$B:$B,$A304),0))</f>
        <v>7882</v>
      </c>
      <c r="N304">
        <f>ROUND(_xlfn.XLOOKUP($D304,Charts!$W$82:$W$112,Charts!$X$82:$X$112)*$L304+_xlfn.XLOOKUP($D304,Charts!$W$82:$W$112,Charts!$Y$82:$Y$112)*$M304,0)</f>
        <v>7882</v>
      </c>
    </row>
    <row r="305" spans="1:14" x14ac:dyDescent="0.25">
      <c r="A305" s="3">
        <f t="shared" si="24"/>
        <v>45961</v>
      </c>
      <c r="B305">
        <f t="shared" si="20"/>
        <v>2025</v>
      </c>
      <c r="C305">
        <f t="shared" si="21"/>
        <v>10</v>
      </c>
      <c r="D305">
        <f t="shared" si="22"/>
        <v>31</v>
      </c>
      <c r="E305" s="2">
        <f t="shared" si="23"/>
        <v>45930</v>
      </c>
      <c r="F305" s="12">
        <f>_xlfn.XLOOKUP($A305,m1_cv!$B:$B,m1_cv!$C:$C)</f>
        <v>13386</v>
      </c>
      <c r="G305">
        <f>MAX(0,ROUND(SUMIFS(m1_cv!$E:$E,m1_cv!$A:$A,$E305,m1_cv!$B:$B,$A305),0))</f>
        <v>3307</v>
      </c>
      <c r="H305">
        <f>MAX(0,ROUND(SUMIFS(m2_cv!$E:$E,m2_cv!$A:$A,$E305,m2_cv!$B:$B,$A305),0))</f>
        <v>6522</v>
      </c>
      <c r="I305">
        <f>MAX(0,ROUND(SUMIFS(m3_cv!$E:$E,m3_cv!$A:$A,$E305,m3_cv!$B:$B,$A305),0))</f>
        <v>6639</v>
      </c>
      <c r="J305">
        <f>MAX(0,ROUND(SUMIFS(m4_cv!$E:$E,m4_cv!$A:$A,$E305,m4_cv!$B:$B,$A305),0))</f>
        <v>6635</v>
      </c>
      <c r="K305">
        <f>MAX(0,ROUND(SUMIFS(m5_cv!$E:$E,m5_cv!$A:$A,$E305,m5_cv!$B:$B,$A305),0))</f>
        <v>9679</v>
      </c>
      <c r="L305">
        <f>MAX(0,ROUND(SUMIFS(m6_cv!$E:$E,m6_cv!$A:$A,$E305,m6_cv!$B:$B,$A305),0))</f>
        <v>17879</v>
      </c>
      <c r="M305">
        <f>MAX(0,ROUND(SUMIFS(m7_cv!$E:$E,m7_cv!$A:$A,$E305,m7_cv!$B:$B,$A305),0))</f>
        <v>9763</v>
      </c>
      <c r="N305">
        <f>ROUND(_xlfn.XLOOKUP($D305,Charts!$W$82:$W$112,Charts!$X$82:$X$112)*$L305+_xlfn.XLOOKUP($D305,Charts!$W$82:$W$112,Charts!$Y$82:$Y$112)*$M305,0)</f>
        <v>9763</v>
      </c>
    </row>
    <row r="306" spans="1:14" x14ac:dyDescent="0.25">
      <c r="A306" s="3">
        <f t="shared" si="24"/>
        <v>45962</v>
      </c>
      <c r="B306">
        <f t="shared" si="20"/>
        <v>2025</v>
      </c>
      <c r="C306">
        <f t="shared" si="21"/>
        <v>11</v>
      </c>
      <c r="D306">
        <f t="shared" si="22"/>
        <v>1</v>
      </c>
      <c r="E306" s="2">
        <f t="shared" si="23"/>
        <v>45961</v>
      </c>
      <c r="F306" s="12">
        <f>_xlfn.XLOOKUP($A306,m1_cv!$B:$B,m1_cv!$C:$C)</f>
        <v>104</v>
      </c>
      <c r="G306">
        <f>MAX(0,ROUND(SUMIFS(m1_cv!$E:$E,m1_cv!$A:$A,$E306,m1_cv!$B:$B,$A306),0))</f>
        <v>1466</v>
      </c>
      <c r="H306">
        <f>MAX(0,ROUND(SUMIFS(m2_cv!$E:$E,m2_cv!$A:$A,$E306,m2_cv!$B:$B,$A306),0))</f>
        <v>3069</v>
      </c>
      <c r="I306">
        <f>MAX(0,ROUND(SUMIFS(m3_cv!$E:$E,m3_cv!$A:$A,$E306,m3_cv!$B:$B,$A306),0))</f>
        <v>3225</v>
      </c>
      <c r="J306">
        <f>MAX(0,ROUND(SUMIFS(m4_cv!$E:$E,m4_cv!$A:$A,$E306,m4_cv!$B:$B,$A306),0))</f>
        <v>3218</v>
      </c>
      <c r="K306">
        <f>MAX(0,ROUND(SUMIFS(m5_cv!$E:$E,m5_cv!$A:$A,$E306,m5_cv!$B:$B,$A306),0))</f>
        <v>174</v>
      </c>
      <c r="L306">
        <f>MAX(0,ROUND(SUMIFS(m6_cv!$E:$E,m6_cv!$A:$A,$E306,m6_cv!$B:$B,$A306),0))</f>
        <v>170</v>
      </c>
      <c r="M306">
        <f>MAX(0,ROUND(SUMIFS(m7_cv!$E:$E,m7_cv!$A:$A,$E306,m7_cv!$B:$B,$A306),0))</f>
        <v>0</v>
      </c>
      <c r="N306">
        <f>ROUND(_xlfn.XLOOKUP($D306,Charts!$W$82:$W$112,Charts!$X$82:$X$112)*$L306+_xlfn.XLOOKUP($D306,Charts!$W$82:$W$112,Charts!$Y$82:$Y$112)*$M306,0)</f>
        <v>170</v>
      </c>
    </row>
    <row r="307" spans="1:14" x14ac:dyDescent="0.25">
      <c r="A307" s="3">
        <f t="shared" si="24"/>
        <v>45963</v>
      </c>
      <c r="B307">
        <f t="shared" si="20"/>
        <v>2025</v>
      </c>
      <c r="C307">
        <f t="shared" si="21"/>
        <v>11</v>
      </c>
      <c r="D307">
        <f t="shared" si="22"/>
        <v>2</v>
      </c>
      <c r="E307" s="2">
        <f t="shared" si="23"/>
        <v>45961</v>
      </c>
      <c r="F307" s="12">
        <f>_xlfn.XLOOKUP($A307,m1_cv!$B:$B,m1_cv!$C:$C)</f>
        <v>32</v>
      </c>
      <c r="G307">
        <f>MAX(0,ROUND(SUMIFS(m1_cv!$E:$E,m1_cv!$A:$A,$E307,m1_cv!$B:$B,$A307),0))</f>
        <v>906</v>
      </c>
      <c r="H307">
        <f>MAX(0,ROUND(SUMIFS(m2_cv!$E:$E,m2_cv!$A:$A,$E307,m2_cv!$B:$B,$A307),0))</f>
        <v>668</v>
      </c>
      <c r="I307">
        <f>MAX(0,ROUND(SUMIFS(m3_cv!$E:$E,m3_cv!$A:$A,$E307,m3_cv!$B:$B,$A307),0))</f>
        <v>857</v>
      </c>
      <c r="J307">
        <f>MAX(0,ROUND(SUMIFS(m4_cv!$E:$E,m4_cv!$A:$A,$E307,m4_cv!$B:$B,$A307),0))</f>
        <v>851</v>
      </c>
      <c r="K307">
        <f>MAX(0,ROUND(SUMIFS(m5_cv!$E:$E,m5_cv!$A:$A,$E307,m5_cv!$B:$B,$A307),0))</f>
        <v>0</v>
      </c>
      <c r="L307">
        <f>MAX(0,ROUND(SUMIFS(m6_cv!$E:$E,m6_cv!$A:$A,$E307,m6_cv!$B:$B,$A307),0))</f>
        <v>36</v>
      </c>
      <c r="M307">
        <f>MAX(0,ROUND(SUMIFS(m7_cv!$E:$E,m7_cv!$A:$A,$E307,m7_cv!$B:$B,$A307),0))</f>
        <v>0</v>
      </c>
      <c r="N307">
        <f>ROUND(_xlfn.XLOOKUP($D307,Charts!$W$82:$W$112,Charts!$X$82:$X$112)*$L307+_xlfn.XLOOKUP($D307,Charts!$W$82:$W$112,Charts!$Y$82:$Y$112)*$M307,0)</f>
        <v>36</v>
      </c>
    </row>
    <row r="308" spans="1:14" x14ac:dyDescent="0.25">
      <c r="A308" s="3">
        <f t="shared" si="24"/>
        <v>45964</v>
      </c>
      <c r="B308">
        <f t="shared" si="20"/>
        <v>2025</v>
      </c>
      <c r="C308">
        <f t="shared" si="21"/>
        <v>11</v>
      </c>
      <c r="D308">
        <f t="shared" si="22"/>
        <v>3</v>
      </c>
      <c r="E308" s="2">
        <f t="shared" si="23"/>
        <v>45961</v>
      </c>
      <c r="F308" s="12">
        <f>_xlfn.XLOOKUP($A308,m1_cv!$B:$B,m1_cv!$C:$C)</f>
        <v>607</v>
      </c>
      <c r="G308">
        <f>MAX(0,ROUND(SUMIFS(m1_cv!$E:$E,m1_cv!$A:$A,$E308,m1_cv!$B:$B,$A308),0))</f>
        <v>3211</v>
      </c>
      <c r="H308">
        <f>MAX(0,ROUND(SUMIFS(m2_cv!$E:$E,m2_cv!$A:$A,$E308,m2_cv!$B:$B,$A308),0))</f>
        <v>1511</v>
      </c>
      <c r="I308">
        <f>MAX(0,ROUND(SUMIFS(m3_cv!$E:$E,m3_cv!$A:$A,$E308,m3_cv!$B:$B,$A308),0))</f>
        <v>1898</v>
      </c>
      <c r="J308">
        <f>MAX(0,ROUND(SUMIFS(m4_cv!$E:$E,m4_cv!$A:$A,$E308,m4_cv!$B:$B,$A308),0))</f>
        <v>1892</v>
      </c>
      <c r="K308">
        <f>MAX(0,ROUND(SUMIFS(m5_cv!$E:$E,m5_cv!$A:$A,$E308,m5_cv!$B:$B,$A308),0))</f>
        <v>1368</v>
      </c>
      <c r="L308">
        <f>MAX(0,ROUND(SUMIFS(m6_cv!$E:$E,m6_cv!$A:$A,$E308,m6_cv!$B:$B,$A308),0))</f>
        <v>671</v>
      </c>
      <c r="M308">
        <f>MAX(0,ROUND(SUMIFS(m7_cv!$E:$E,m7_cv!$A:$A,$E308,m7_cv!$B:$B,$A308),0))</f>
        <v>1566</v>
      </c>
      <c r="N308">
        <f>ROUND(_xlfn.XLOOKUP($D308,Charts!$W$82:$W$112,Charts!$X$82:$X$112)*$L308+_xlfn.XLOOKUP($D308,Charts!$W$82:$W$112,Charts!$Y$82:$Y$112)*$M308,0)</f>
        <v>671</v>
      </c>
    </row>
    <row r="309" spans="1:14" x14ac:dyDescent="0.25">
      <c r="A309" s="3">
        <f t="shared" si="24"/>
        <v>45965</v>
      </c>
      <c r="B309">
        <f t="shared" si="20"/>
        <v>2025</v>
      </c>
      <c r="C309">
        <f t="shared" si="21"/>
        <v>11</v>
      </c>
      <c r="D309">
        <f t="shared" si="22"/>
        <v>4</v>
      </c>
      <c r="E309" s="2">
        <f t="shared" si="23"/>
        <v>45961</v>
      </c>
      <c r="F309" s="12">
        <f>_xlfn.XLOOKUP($A309,m1_cv!$B:$B,m1_cv!$C:$C)</f>
        <v>821</v>
      </c>
      <c r="G309">
        <f>MAX(0,ROUND(SUMIFS(m1_cv!$E:$E,m1_cv!$A:$A,$E309,m1_cv!$B:$B,$A309),0))</f>
        <v>3726</v>
      </c>
      <c r="H309">
        <f>MAX(0,ROUND(SUMIFS(m2_cv!$E:$E,m2_cv!$A:$A,$E309,m2_cv!$B:$B,$A309),0))</f>
        <v>1405</v>
      </c>
      <c r="I309">
        <f>MAX(0,ROUND(SUMIFS(m3_cv!$E:$E,m3_cv!$A:$A,$E309,m3_cv!$B:$B,$A309),0))</f>
        <v>1533</v>
      </c>
      <c r="J309">
        <f>MAX(0,ROUND(SUMIFS(m4_cv!$E:$E,m4_cv!$A:$A,$E309,m4_cv!$B:$B,$A309),0))</f>
        <v>1526</v>
      </c>
      <c r="K309">
        <f>MAX(0,ROUND(SUMIFS(m5_cv!$E:$E,m5_cv!$A:$A,$E309,m5_cv!$B:$B,$A309),0))</f>
        <v>1736</v>
      </c>
      <c r="L309">
        <f>MAX(0,ROUND(SUMIFS(m6_cv!$E:$E,m6_cv!$A:$A,$E309,m6_cv!$B:$B,$A309),0))</f>
        <v>814</v>
      </c>
      <c r="M309">
        <f>MAX(0,ROUND(SUMIFS(m7_cv!$E:$E,m7_cv!$A:$A,$E309,m7_cv!$B:$B,$A309),0))</f>
        <v>1799</v>
      </c>
      <c r="N309">
        <f>ROUND(_xlfn.XLOOKUP($D309,Charts!$W$82:$W$112,Charts!$X$82:$X$112)*$L309+_xlfn.XLOOKUP($D309,Charts!$W$82:$W$112,Charts!$Y$82:$Y$112)*$M309,0)</f>
        <v>814</v>
      </c>
    </row>
    <row r="310" spans="1:14" x14ac:dyDescent="0.25">
      <c r="A310" s="3">
        <f t="shared" si="24"/>
        <v>45966</v>
      </c>
      <c r="B310">
        <f t="shared" si="20"/>
        <v>2025</v>
      </c>
      <c r="C310">
        <f t="shared" si="21"/>
        <v>11</v>
      </c>
      <c r="D310">
        <f t="shared" si="22"/>
        <v>5</v>
      </c>
      <c r="E310" s="2">
        <f t="shared" si="23"/>
        <v>45961</v>
      </c>
      <c r="F310" s="12">
        <f>_xlfn.XLOOKUP($A310,m1_cv!$B:$B,m1_cv!$C:$C)</f>
        <v>1032</v>
      </c>
      <c r="G310">
        <f>MAX(0,ROUND(SUMIFS(m1_cv!$E:$E,m1_cv!$A:$A,$E310,m1_cv!$B:$B,$A310),0))</f>
        <v>3731</v>
      </c>
      <c r="H310">
        <f>MAX(0,ROUND(SUMIFS(m2_cv!$E:$E,m2_cv!$A:$A,$E310,m2_cv!$B:$B,$A310),0))</f>
        <v>1584</v>
      </c>
      <c r="I310">
        <f>MAX(0,ROUND(SUMIFS(m3_cv!$E:$E,m3_cv!$A:$A,$E310,m3_cv!$B:$B,$A310),0))</f>
        <v>1731</v>
      </c>
      <c r="J310">
        <f>MAX(0,ROUND(SUMIFS(m4_cv!$E:$E,m4_cv!$A:$A,$E310,m4_cv!$B:$B,$A310),0))</f>
        <v>1724</v>
      </c>
      <c r="K310">
        <f>MAX(0,ROUND(SUMIFS(m5_cv!$E:$E,m5_cv!$A:$A,$E310,m5_cv!$B:$B,$A310),0))</f>
        <v>1993</v>
      </c>
      <c r="L310">
        <f>MAX(0,ROUND(SUMIFS(m6_cv!$E:$E,m6_cv!$A:$A,$E310,m6_cv!$B:$B,$A310),0))</f>
        <v>919</v>
      </c>
      <c r="M310">
        <f>MAX(0,ROUND(SUMIFS(m7_cv!$E:$E,m7_cv!$A:$A,$E310,m7_cv!$B:$B,$A310),0))</f>
        <v>1870</v>
      </c>
      <c r="N310">
        <f>ROUND(_xlfn.XLOOKUP($D310,Charts!$W$82:$W$112,Charts!$X$82:$X$112)*$L310+_xlfn.XLOOKUP($D310,Charts!$W$82:$W$112,Charts!$Y$82:$Y$112)*$M310,0)</f>
        <v>1109</v>
      </c>
    </row>
    <row r="311" spans="1:14" x14ac:dyDescent="0.25">
      <c r="A311" s="3">
        <f t="shared" si="24"/>
        <v>45967</v>
      </c>
      <c r="B311">
        <f t="shared" si="20"/>
        <v>2025</v>
      </c>
      <c r="C311">
        <f t="shared" si="21"/>
        <v>11</v>
      </c>
      <c r="D311">
        <f t="shared" si="22"/>
        <v>6</v>
      </c>
      <c r="E311" s="2">
        <f t="shared" si="23"/>
        <v>45961</v>
      </c>
      <c r="F311" s="12">
        <f>_xlfn.XLOOKUP($A311,m1_cv!$B:$B,m1_cv!$C:$C)</f>
        <v>1396</v>
      </c>
      <c r="G311">
        <f>MAX(0,ROUND(SUMIFS(m1_cv!$E:$E,m1_cv!$A:$A,$E311,m1_cv!$B:$B,$A311),0))</f>
        <v>3770</v>
      </c>
      <c r="H311">
        <f>MAX(0,ROUND(SUMIFS(m2_cv!$E:$E,m2_cv!$A:$A,$E311,m2_cv!$B:$B,$A311),0))</f>
        <v>2064</v>
      </c>
      <c r="I311">
        <f>MAX(0,ROUND(SUMIFS(m3_cv!$E:$E,m3_cv!$A:$A,$E311,m3_cv!$B:$B,$A311),0))</f>
        <v>2186</v>
      </c>
      <c r="J311">
        <f>MAX(0,ROUND(SUMIFS(m4_cv!$E:$E,m4_cv!$A:$A,$E311,m4_cv!$B:$B,$A311),0))</f>
        <v>2179</v>
      </c>
      <c r="K311">
        <f>MAX(0,ROUND(SUMIFS(m5_cv!$E:$E,m5_cv!$A:$A,$E311,m5_cv!$B:$B,$A311),0))</f>
        <v>2076</v>
      </c>
      <c r="L311">
        <f>MAX(0,ROUND(SUMIFS(m6_cv!$E:$E,m6_cv!$A:$A,$E311,m6_cv!$B:$B,$A311),0))</f>
        <v>1027</v>
      </c>
      <c r="M311">
        <f>MAX(0,ROUND(SUMIFS(m7_cv!$E:$E,m7_cv!$A:$A,$E311,m7_cv!$B:$B,$A311),0))</f>
        <v>1986</v>
      </c>
      <c r="N311">
        <f>ROUND(_xlfn.XLOOKUP($D311,Charts!$W$82:$W$112,Charts!$X$82:$X$112)*$L311+_xlfn.XLOOKUP($D311,Charts!$W$82:$W$112,Charts!$Y$82:$Y$112)*$M311,0)</f>
        <v>1507</v>
      </c>
    </row>
    <row r="312" spans="1:14" x14ac:dyDescent="0.25">
      <c r="A312" s="3">
        <f t="shared" si="24"/>
        <v>45968</v>
      </c>
      <c r="B312">
        <f t="shared" si="20"/>
        <v>2025</v>
      </c>
      <c r="C312">
        <f t="shared" si="21"/>
        <v>11</v>
      </c>
      <c r="D312">
        <f t="shared" si="22"/>
        <v>7</v>
      </c>
      <c r="E312" s="2">
        <f t="shared" si="23"/>
        <v>45961</v>
      </c>
      <c r="F312" s="12">
        <f>_xlfn.XLOOKUP($A312,m1_cv!$B:$B,m1_cv!$C:$C)</f>
        <v>1612</v>
      </c>
      <c r="G312">
        <f>MAX(0,ROUND(SUMIFS(m1_cv!$E:$E,m1_cv!$A:$A,$E312,m1_cv!$B:$B,$A312),0))</f>
        <v>3722</v>
      </c>
      <c r="H312">
        <f>MAX(0,ROUND(SUMIFS(m2_cv!$E:$E,m2_cv!$A:$A,$E312,m2_cv!$B:$B,$A312),0))</f>
        <v>2267</v>
      </c>
      <c r="I312">
        <f>MAX(0,ROUND(SUMIFS(m3_cv!$E:$E,m3_cv!$A:$A,$E312,m3_cv!$B:$B,$A312),0))</f>
        <v>2325</v>
      </c>
      <c r="J312">
        <f>MAX(0,ROUND(SUMIFS(m4_cv!$E:$E,m4_cv!$A:$A,$E312,m4_cv!$B:$B,$A312),0))</f>
        <v>2319</v>
      </c>
      <c r="K312">
        <f>MAX(0,ROUND(SUMIFS(m5_cv!$E:$E,m5_cv!$A:$A,$E312,m5_cv!$B:$B,$A312),0))</f>
        <v>1892</v>
      </c>
      <c r="L312">
        <f>MAX(0,ROUND(SUMIFS(m6_cv!$E:$E,m6_cv!$A:$A,$E312,m6_cv!$B:$B,$A312),0))</f>
        <v>974</v>
      </c>
      <c r="M312">
        <f>MAX(0,ROUND(SUMIFS(m7_cv!$E:$E,m7_cv!$A:$A,$E312,m7_cv!$B:$B,$A312),0))</f>
        <v>1911</v>
      </c>
      <c r="N312">
        <f>ROUND(_xlfn.XLOOKUP($D312,Charts!$W$82:$W$112,Charts!$X$82:$X$112)*$L312+_xlfn.XLOOKUP($D312,Charts!$W$82:$W$112,Charts!$Y$82:$Y$112)*$M312,0)</f>
        <v>1443</v>
      </c>
    </row>
    <row r="313" spans="1:14" x14ac:dyDescent="0.25">
      <c r="A313" s="3">
        <f t="shared" si="24"/>
        <v>45969</v>
      </c>
      <c r="B313">
        <f t="shared" si="20"/>
        <v>2025</v>
      </c>
      <c r="C313">
        <f t="shared" si="21"/>
        <v>11</v>
      </c>
      <c r="D313">
        <f t="shared" si="22"/>
        <v>8</v>
      </c>
      <c r="E313" s="2">
        <f t="shared" si="23"/>
        <v>45961</v>
      </c>
      <c r="F313" s="12">
        <f>_xlfn.XLOOKUP($A313,m1_cv!$B:$B,m1_cv!$C:$C)</f>
        <v>206</v>
      </c>
      <c r="G313">
        <f>MAX(0,ROUND(SUMIFS(m1_cv!$E:$E,m1_cv!$A:$A,$E313,m1_cv!$B:$B,$A313),0))</f>
        <v>1417</v>
      </c>
      <c r="H313">
        <f>MAX(0,ROUND(SUMIFS(m2_cv!$E:$E,m2_cv!$A:$A,$E313,m2_cv!$B:$B,$A313),0))</f>
        <v>0</v>
      </c>
      <c r="I313">
        <f>MAX(0,ROUND(SUMIFS(m3_cv!$E:$E,m3_cv!$A:$A,$E313,m3_cv!$B:$B,$A313),0))</f>
        <v>0</v>
      </c>
      <c r="J313">
        <f>MAX(0,ROUND(SUMIFS(m4_cv!$E:$E,m4_cv!$A:$A,$E313,m4_cv!$B:$B,$A313),0))</f>
        <v>0</v>
      </c>
      <c r="K313">
        <f>MAX(0,ROUND(SUMIFS(m5_cv!$E:$E,m5_cv!$A:$A,$E313,m5_cv!$B:$B,$A313),0))</f>
        <v>149</v>
      </c>
      <c r="L313">
        <f>MAX(0,ROUND(SUMIFS(m6_cv!$E:$E,m6_cv!$A:$A,$E313,m6_cv!$B:$B,$A313),0))</f>
        <v>302</v>
      </c>
      <c r="M313">
        <f>MAX(0,ROUND(SUMIFS(m7_cv!$E:$E,m7_cv!$A:$A,$E313,m7_cv!$B:$B,$A313),0))</f>
        <v>238</v>
      </c>
      <c r="N313">
        <f>ROUND(_xlfn.XLOOKUP($D313,Charts!$W$82:$W$112,Charts!$X$82:$X$112)*$L313+_xlfn.XLOOKUP($D313,Charts!$W$82:$W$112,Charts!$Y$82:$Y$112)*$M313,0)</f>
        <v>270</v>
      </c>
    </row>
    <row r="314" spans="1:14" x14ac:dyDescent="0.25">
      <c r="A314" s="3">
        <f t="shared" si="24"/>
        <v>45970</v>
      </c>
      <c r="B314">
        <f t="shared" si="20"/>
        <v>2025</v>
      </c>
      <c r="C314">
        <f t="shared" si="21"/>
        <v>11</v>
      </c>
      <c r="D314">
        <f t="shared" si="22"/>
        <v>9</v>
      </c>
      <c r="E314" s="2">
        <f t="shared" si="23"/>
        <v>45961</v>
      </c>
      <c r="F314" s="12">
        <f>_xlfn.XLOOKUP($A314,m1_cv!$B:$B,m1_cv!$C:$C)</f>
        <v>95</v>
      </c>
      <c r="G314">
        <f>MAX(0,ROUND(SUMIFS(m1_cv!$E:$E,m1_cv!$A:$A,$E314,m1_cv!$B:$B,$A314),0))</f>
        <v>819</v>
      </c>
      <c r="H314">
        <f>MAX(0,ROUND(SUMIFS(m2_cv!$E:$E,m2_cv!$A:$A,$E314,m2_cv!$B:$B,$A314),0))</f>
        <v>0</v>
      </c>
      <c r="I314">
        <f>MAX(0,ROUND(SUMIFS(m3_cv!$E:$E,m3_cv!$A:$A,$E314,m3_cv!$B:$B,$A314),0))</f>
        <v>0</v>
      </c>
      <c r="J314">
        <f>MAX(0,ROUND(SUMIFS(m4_cv!$E:$E,m4_cv!$A:$A,$E314,m4_cv!$B:$B,$A314),0))</f>
        <v>0</v>
      </c>
      <c r="K314">
        <f>MAX(0,ROUND(SUMIFS(m5_cv!$E:$E,m5_cv!$A:$A,$E314,m5_cv!$B:$B,$A314),0))</f>
        <v>0</v>
      </c>
      <c r="L314">
        <f>MAX(0,ROUND(SUMIFS(m6_cv!$E:$E,m6_cv!$A:$A,$E314,m6_cv!$B:$B,$A314),0))</f>
        <v>104</v>
      </c>
      <c r="M314">
        <f>MAX(0,ROUND(SUMIFS(m7_cv!$E:$E,m7_cv!$A:$A,$E314,m7_cv!$B:$B,$A314),0))</f>
        <v>0</v>
      </c>
      <c r="N314">
        <f>ROUND(_xlfn.XLOOKUP($D314,Charts!$W$82:$W$112,Charts!$X$82:$X$112)*$L314+_xlfn.XLOOKUP($D314,Charts!$W$82:$W$112,Charts!$Y$82:$Y$112)*$M314,0)</f>
        <v>52</v>
      </c>
    </row>
    <row r="315" spans="1:14" x14ac:dyDescent="0.25">
      <c r="A315" s="3">
        <f t="shared" si="24"/>
        <v>45971</v>
      </c>
      <c r="B315">
        <f t="shared" si="20"/>
        <v>2025</v>
      </c>
      <c r="C315">
        <f t="shared" si="21"/>
        <v>11</v>
      </c>
      <c r="D315">
        <f t="shared" si="22"/>
        <v>10</v>
      </c>
      <c r="E315" s="2">
        <f t="shared" si="23"/>
        <v>45961</v>
      </c>
      <c r="F315" s="12">
        <f>_xlfn.XLOOKUP($A315,m1_cv!$B:$B,m1_cv!$C:$C)</f>
        <v>1552</v>
      </c>
      <c r="G315">
        <f>MAX(0,ROUND(SUMIFS(m1_cv!$E:$E,m1_cv!$A:$A,$E315,m1_cv!$B:$B,$A315),0))</f>
        <v>3089</v>
      </c>
      <c r="H315">
        <f>MAX(0,ROUND(SUMIFS(m2_cv!$E:$E,m2_cv!$A:$A,$E315,m2_cv!$B:$B,$A315),0))</f>
        <v>1687</v>
      </c>
      <c r="I315">
        <f>MAX(0,ROUND(SUMIFS(m3_cv!$E:$E,m3_cv!$A:$A,$E315,m3_cv!$B:$B,$A315),0))</f>
        <v>1961</v>
      </c>
      <c r="J315">
        <f>MAX(0,ROUND(SUMIFS(m4_cv!$E:$E,m4_cv!$A:$A,$E315,m4_cv!$B:$B,$A315),0))</f>
        <v>1954</v>
      </c>
      <c r="K315">
        <f>MAX(0,ROUND(SUMIFS(m5_cv!$E:$E,m5_cv!$A:$A,$E315,m5_cv!$B:$B,$A315),0))</f>
        <v>2087</v>
      </c>
      <c r="L315">
        <f>MAX(0,ROUND(SUMIFS(m6_cv!$E:$E,m6_cv!$A:$A,$E315,m6_cv!$B:$B,$A315),0))</f>
        <v>1303</v>
      </c>
      <c r="M315">
        <f>MAX(0,ROUND(SUMIFS(m7_cv!$E:$E,m7_cv!$A:$A,$E315,m7_cv!$B:$B,$A315),0))</f>
        <v>2013</v>
      </c>
      <c r="N315">
        <f>ROUND(_xlfn.XLOOKUP($D315,Charts!$W$82:$W$112,Charts!$X$82:$X$112)*$L315+_xlfn.XLOOKUP($D315,Charts!$W$82:$W$112,Charts!$Y$82:$Y$112)*$M315,0)</f>
        <v>1658</v>
      </c>
    </row>
    <row r="316" spans="1:14" x14ac:dyDescent="0.25">
      <c r="A316" s="3">
        <f t="shared" si="24"/>
        <v>45972</v>
      </c>
      <c r="B316">
        <f t="shared" si="20"/>
        <v>2025</v>
      </c>
      <c r="C316">
        <f t="shared" si="21"/>
        <v>11</v>
      </c>
      <c r="D316">
        <f t="shared" si="22"/>
        <v>11</v>
      </c>
      <c r="E316" s="2">
        <f t="shared" si="23"/>
        <v>45961</v>
      </c>
      <c r="F316" s="12">
        <f>_xlfn.XLOOKUP($A316,m1_cv!$B:$B,m1_cv!$C:$C)</f>
        <v>1937</v>
      </c>
      <c r="G316">
        <f>MAX(0,ROUND(SUMIFS(m1_cv!$E:$E,m1_cv!$A:$A,$E316,m1_cv!$B:$B,$A316),0))</f>
        <v>3571</v>
      </c>
      <c r="H316">
        <f>MAX(0,ROUND(SUMIFS(m2_cv!$E:$E,m2_cv!$A:$A,$E316,m2_cv!$B:$B,$A316),0))</f>
        <v>2422</v>
      </c>
      <c r="I316">
        <f>MAX(0,ROUND(SUMIFS(m3_cv!$E:$E,m3_cv!$A:$A,$E316,m3_cv!$B:$B,$A316),0))</f>
        <v>2541</v>
      </c>
      <c r="J316">
        <f>MAX(0,ROUND(SUMIFS(m4_cv!$E:$E,m4_cv!$A:$A,$E316,m4_cv!$B:$B,$A316),0))</f>
        <v>2535</v>
      </c>
      <c r="K316">
        <f>MAX(0,ROUND(SUMIFS(m5_cv!$E:$E,m5_cv!$A:$A,$E316,m5_cv!$B:$B,$A316),0))</f>
        <v>2506</v>
      </c>
      <c r="L316">
        <f>MAX(0,ROUND(SUMIFS(m6_cv!$E:$E,m6_cv!$A:$A,$E316,m6_cv!$B:$B,$A316),0))</f>
        <v>1717</v>
      </c>
      <c r="M316">
        <f>MAX(0,ROUND(SUMIFS(m7_cv!$E:$E,m7_cv!$A:$A,$E316,m7_cv!$B:$B,$A316),0))</f>
        <v>2431</v>
      </c>
      <c r="N316">
        <f>ROUND(_xlfn.XLOOKUP($D316,Charts!$W$82:$W$112,Charts!$X$82:$X$112)*$L316+_xlfn.XLOOKUP($D316,Charts!$W$82:$W$112,Charts!$Y$82:$Y$112)*$M316,0)</f>
        <v>2217</v>
      </c>
    </row>
    <row r="317" spans="1:14" x14ac:dyDescent="0.25">
      <c r="A317" s="3">
        <f t="shared" si="24"/>
        <v>45973</v>
      </c>
      <c r="B317">
        <f t="shared" si="20"/>
        <v>2025</v>
      </c>
      <c r="C317">
        <f t="shared" si="21"/>
        <v>11</v>
      </c>
      <c r="D317">
        <f t="shared" si="22"/>
        <v>12</v>
      </c>
      <c r="E317" s="2">
        <f t="shared" si="23"/>
        <v>45961</v>
      </c>
      <c r="F317" s="12">
        <f>_xlfn.XLOOKUP($A317,m1_cv!$B:$B,m1_cv!$C:$C)</f>
        <v>2198</v>
      </c>
      <c r="G317">
        <f>MAX(0,ROUND(SUMIFS(m1_cv!$E:$E,m1_cv!$A:$A,$E317,m1_cv!$B:$B,$A317),0))</f>
        <v>3544</v>
      </c>
      <c r="H317">
        <f>MAX(0,ROUND(SUMIFS(m2_cv!$E:$E,m2_cv!$A:$A,$E317,m2_cv!$B:$B,$A317),0))</f>
        <v>2651</v>
      </c>
      <c r="I317">
        <f>MAX(0,ROUND(SUMIFS(m3_cv!$E:$E,m3_cv!$A:$A,$E317,m3_cv!$B:$B,$A317),0))</f>
        <v>2864</v>
      </c>
      <c r="J317">
        <f>MAX(0,ROUND(SUMIFS(m4_cv!$E:$E,m4_cv!$A:$A,$E317,m4_cv!$B:$B,$A317),0))</f>
        <v>2857</v>
      </c>
      <c r="K317">
        <f>MAX(0,ROUND(SUMIFS(m5_cv!$E:$E,m5_cv!$A:$A,$E317,m5_cv!$B:$B,$A317),0))</f>
        <v>2655</v>
      </c>
      <c r="L317">
        <f>MAX(0,ROUND(SUMIFS(m6_cv!$E:$E,m6_cv!$A:$A,$E317,m6_cv!$B:$B,$A317),0))</f>
        <v>2007</v>
      </c>
      <c r="M317">
        <f>MAX(0,ROUND(SUMIFS(m7_cv!$E:$E,m7_cv!$A:$A,$E317,m7_cv!$B:$B,$A317),0))</f>
        <v>2672</v>
      </c>
      <c r="N317">
        <f>ROUND(_xlfn.XLOOKUP($D317,Charts!$W$82:$W$112,Charts!$X$82:$X$112)*$L317+_xlfn.XLOOKUP($D317,Charts!$W$82:$W$112,Charts!$Y$82:$Y$112)*$M317,0)</f>
        <v>2473</v>
      </c>
    </row>
    <row r="318" spans="1:14" x14ac:dyDescent="0.25">
      <c r="A318" s="3">
        <f t="shared" si="24"/>
        <v>45974</v>
      </c>
      <c r="B318">
        <f t="shared" si="20"/>
        <v>2025</v>
      </c>
      <c r="C318">
        <f t="shared" si="21"/>
        <v>11</v>
      </c>
      <c r="D318">
        <f t="shared" si="22"/>
        <v>13</v>
      </c>
      <c r="E318" s="2">
        <f t="shared" si="23"/>
        <v>45961</v>
      </c>
      <c r="F318" s="12">
        <f>_xlfn.XLOOKUP($A318,m1_cv!$B:$B,m1_cv!$C:$C)</f>
        <v>2401</v>
      </c>
      <c r="G318">
        <f>MAX(0,ROUND(SUMIFS(m1_cv!$E:$E,m1_cv!$A:$A,$E318,m1_cv!$B:$B,$A318),0))</f>
        <v>3556</v>
      </c>
      <c r="H318">
        <f>MAX(0,ROUND(SUMIFS(m2_cv!$E:$E,m2_cv!$A:$A,$E318,m2_cv!$B:$B,$A318),0))</f>
        <v>2756</v>
      </c>
      <c r="I318">
        <f>MAX(0,ROUND(SUMIFS(m3_cv!$E:$E,m3_cv!$A:$A,$E318,m3_cv!$B:$B,$A318),0))</f>
        <v>2956</v>
      </c>
      <c r="J318">
        <f>MAX(0,ROUND(SUMIFS(m4_cv!$E:$E,m4_cv!$A:$A,$E318,m4_cv!$B:$B,$A318),0))</f>
        <v>2950</v>
      </c>
      <c r="K318">
        <f>MAX(0,ROUND(SUMIFS(m5_cv!$E:$E,m5_cv!$A:$A,$E318,m5_cv!$B:$B,$A318),0))</f>
        <v>2704</v>
      </c>
      <c r="L318">
        <f>MAX(0,ROUND(SUMIFS(m6_cv!$E:$E,m6_cv!$A:$A,$E318,m6_cv!$B:$B,$A318),0))</f>
        <v>2293</v>
      </c>
      <c r="M318">
        <f>MAX(0,ROUND(SUMIFS(m7_cv!$E:$E,m7_cv!$A:$A,$E318,m7_cv!$B:$B,$A318),0))</f>
        <v>2747</v>
      </c>
      <c r="N318">
        <f>ROUND(_xlfn.XLOOKUP($D318,Charts!$W$82:$W$112,Charts!$X$82:$X$112)*$L318+_xlfn.XLOOKUP($D318,Charts!$W$82:$W$112,Charts!$Y$82:$Y$112)*$M318,0)</f>
        <v>2611</v>
      </c>
    </row>
    <row r="319" spans="1:14" x14ac:dyDescent="0.25">
      <c r="A319" s="3">
        <f t="shared" si="24"/>
        <v>45975</v>
      </c>
      <c r="B319">
        <f t="shared" si="20"/>
        <v>2025</v>
      </c>
      <c r="C319">
        <f t="shared" si="21"/>
        <v>11</v>
      </c>
      <c r="D319">
        <f t="shared" si="22"/>
        <v>14</v>
      </c>
      <c r="E319" s="2">
        <f t="shared" si="23"/>
        <v>45961</v>
      </c>
      <c r="F319" s="12">
        <f>_xlfn.XLOOKUP($A319,m1_cv!$B:$B,m1_cv!$C:$C)</f>
        <v>2547</v>
      </c>
      <c r="G319">
        <f>MAX(0,ROUND(SUMIFS(m1_cv!$E:$E,m1_cv!$A:$A,$E319,m1_cv!$B:$B,$A319),0))</f>
        <v>3485</v>
      </c>
      <c r="H319">
        <f>MAX(0,ROUND(SUMIFS(m2_cv!$E:$E,m2_cv!$A:$A,$E319,m2_cv!$B:$B,$A319),0))</f>
        <v>2670</v>
      </c>
      <c r="I319">
        <f>MAX(0,ROUND(SUMIFS(m3_cv!$E:$E,m3_cv!$A:$A,$E319,m3_cv!$B:$B,$A319),0))</f>
        <v>2776</v>
      </c>
      <c r="J319">
        <f>MAX(0,ROUND(SUMIFS(m4_cv!$E:$E,m4_cv!$A:$A,$E319,m4_cv!$B:$B,$A319),0))</f>
        <v>2769</v>
      </c>
      <c r="K319">
        <f>MAX(0,ROUND(SUMIFS(m5_cv!$E:$E,m5_cv!$A:$A,$E319,m5_cv!$B:$B,$A319),0))</f>
        <v>2695</v>
      </c>
      <c r="L319">
        <f>MAX(0,ROUND(SUMIFS(m6_cv!$E:$E,m6_cv!$A:$A,$E319,m6_cv!$B:$B,$A319),0))</f>
        <v>2273</v>
      </c>
      <c r="M319">
        <f>MAX(0,ROUND(SUMIFS(m7_cv!$E:$E,m7_cv!$A:$A,$E319,m7_cv!$B:$B,$A319),0))</f>
        <v>2728</v>
      </c>
      <c r="N319">
        <f>ROUND(_xlfn.XLOOKUP($D319,Charts!$W$82:$W$112,Charts!$X$82:$X$112)*$L319+_xlfn.XLOOKUP($D319,Charts!$W$82:$W$112,Charts!$Y$82:$Y$112)*$M319,0)</f>
        <v>2728</v>
      </c>
    </row>
    <row r="320" spans="1:14" x14ac:dyDescent="0.25">
      <c r="A320" s="3">
        <f t="shared" si="24"/>
        <v>45976</v>
      </c>
      <c r="B320">
        <f t="shared" si="20"/>
        <v>2025</v>
      </c>
      <c r="C320">
        <f t="shared" si="21"/>
        <v>11</v>
      </c>
      <c r="D320">
        <f t="shared" si="22"/>
        <v>15</v>
      </c>
      <c r="E320" s="2">
        <f t="shared" si="23"/>
        <v>45961</v>
      </c>
      <c r="F320" s="12">
        <f>_xlfn.XLOOKUP($A320,m1_cv!$B:$B,m1_cv!$C:$C)</f>
        <v>773</v>
      </c>
      <c r="G320">
        <f>MAX(0,ROUND(SUMIFS(m1_cv!$E:$E,m1_cv!$A:$A,$E320,m1_cv!$B:$B,$A320),0))</f>
        <v>1162</v>
      </c>
      <c r="H320">
        <f>MAX(0,ROUND(SUMIFS(m2_cv!$E:$E,m2_cv!$A:$A,$E320,m2_cv!$B:$B,$A320),0))</f>
        <v>410</v>
      </c>
      <c r="I320">
        <f>MAX(0,ROUND(SUMIFS(m3_cv!$E:$E,m3_cv!$A:$A,$E320,m3_cv!$B:$B,$A320),0))</f>
        <v>432</v>
      </c>
      <c r="J320">
        <f>MAX(0,ROUND(SUMIFS(m4_cv!$E:$E,m4_cv!$A:$A,$E320,m4_cv!$B:$B,$A320),0))</f>
        <v>424</v>
      </c>
      <c r="K320">
        <f>MAX(0,ROUND(SUMIFS(m5_cv!$E:$E,m5_cv!$A:$A,$E320,m5_cv!$B:$B,$A320),0))</f>
        <v>510</v>
      </c>
      <c r="L320">
        <f>MAX(0,ROUND(SUMIFS(m6_cv!$E:$E,m6_cv!$A:$A,$E320,m6_cv!$B:$B,$A320),0))</f>
        <v>386</v>
      </c>
      <c r="M320">
        <f>MAX(0,ROUND(SUMIFS(m7_cv!$E:$E,m7_cv!$A:$A,$E320,m7_cv!$B:$B,$A320),0))</f>
        <v>500</v>
      </c>
      <c r="N320">
        <f>ROUND(_xlfn.XLOOKUP($D320,Charts!$W$82:$W$112,Charts!$X$82:$X$112)*$L320+_xlfn.XLOOKUP($D320,Charts!$W$82:$W$112,Charts!$Y$82:$Y$112)*$M320,0)</f>
        <v>500</v>
      </c>
    </row>
    <row r="321" spans="1:14" x14ac:dyDescent="0.25">
      <c r="A321" s="3">
        <f t="shared" si="24"/>
        <v>45977</v>
      </c>
      <c r="B321">
        <f t="shared" si="20"/>
        <v>2025</v>
      </c>
      <c r="C321">
        <f t="shared" si="21"/>
        <v>11</v>
      </c>
      <c r="D321">
        <f t="shared" si="22"/>
        <v>16</v>
      </c>
      <c r="E321" s="2">
        <f t="shared" si="23"/>
        <v>45961</v>
      </c>
      <c r="F321" s="12">
        <f>_xlfn.XLOOKUP($A321,m1_cv!$B:$B,m1_cv!$C:$C)</f>
        <v>113</v>
      </c>
      <c r="G321">
        <f>MAX(0,ROUND(SUMIFS(m1_cv!$E:$E,m1_cv!$A:$A,$E321,m1_cv!$B:$B,$A321),0))</f>
        <v>552</v>
      </c>
      <c r="H321">
        <f>MAX(0,ROUND(SUMIFS(m2_cv!$E:$E,m2_cv!$A:$A,$E321,m2_cv!$B:$B,$A321),0))</f>
        <v>19</v>
      </c>
      <c r="I321">
        <f>MAX(0,ROUND(SUMIFS(m3_cv!$E:$E,m3_cv!$A:$A,$E321,m3_cv!$B:$B,$A321),0))</f>
        <v>56</v>
      </c>
      <c r="J321">
        <f>MAX(0,ROUND(SUMIFS(m4_cv!$E:$E,m4_cv!$A:$A,$E321,m4_cv!$B:$B,$A321),0))</f>
        <v>49</v>
      </c>
      <c r="K321">
        <f>MAX(0,ROUND(SUMIFS(m5_cv!$E:$E,m5_cv!$A:$A,$E321,m5_cv!$B:$B,$A321),0))</f>
        <v>124</v>
      </c>
      <c r="L321">
        <f>MAX(0,ROUND(SUMIFS(m6_cv!$E:$E,m6_cv!$A:$A,$E321,m6_cv!$B:$B,$A321),0))</f>
        <v>143</v>
      </c>
      <c r="M321">
        <f>MAX(0,ROUND(SUMIFS(m7_cv!$E:$E,m7_cv!$A:$A,$E321,m7_cv!$B:$B,$A321),0))</f>
        <v>85</v>
      </c>
      <c r="N321">
        <f>ROUND(_xlfn.XLOOKUP($D321,Charts!$W$82:$W$112,Charts!$X$82:$X$112)*$L321+_xlfn.XLOOKUP($D321,Charts!$W$82:$W$112,Charts!$Y$82:$Y$112)*$M321,0)</f>
        <v>85</v>
      </c>
    </row>
    <row r="322" spans="1:14" x14ac:dyDescent="0.25">
      <c r="A322" s="3">
        <f t="shared" si="24"/>
        <v>45978</v>
      </c>
      <c r="B322">
        <f t="shared" si="20"/>
        <v>2025</v>
      </c>
      <c r="C322">
        <f t="shared" si="21"/>
        <v>11</v>
      </c>
      <c r="D322">
        <f t="shared" si="22"/>
        <v>17</v>
      </c>
      <c r="E322" s="2">
        <f t="shared" si="23"/>
        <v>45961</v>
      </c>
      <c r="F322" s="12">
        <f>_xlfn.XLOOKUP($A322,m1_cv!$B:$B,m1_cv!$C:$C)</f>
        <v>2849</v>
      </c>
      <c r="G322">
        <f>MAX(0,ROUND(SUMIFS(m1_cv!$E:$E,m1_cv!$A:$A,$E322,m1_cv!$B:$B,$A322),0))</f>
        <v>2816</v>
      </c>
      <c r="H322">
        <f>MAX(0,ROUND(SUMIFS(m2_cv!$E:$E,m2_cv!$A:$A,$E322,m2_cv!$B:$B,$A322),0))</f>
        <v>2558</v>
      </c>
      <c r="I322">
        <f>MAX(0,ROUND(SUMIFS(m3_cv!$E:$E,m3_cv!$A:$A,$E322,m3_cv!$B:$B,$A322),0))</f>
        <v>2870</v>
      </c>
      <c r="J322">
        <f>MAX(0,ROUND(SUMIFS(m4_cv!$E:$E,m4_cv!$A:$A,$E322,m4_cv!$B:$B,$A322),0))</f>
        <v>2863</v>
      </c>
      <c r="K322">
        <f>MAX(0,ROUND(SUMIFS(m5_cv!$E:$E,m5_cv!$A:$A,$E322,m5_cv!$B:$B,$A322),0))</f>
        <v>2760</v>
      </c>
      <c r="L322">
        <f>MAX(0,ROUND(SUMIFS(m6_cv!$E:$E,m6_cv!$A:$A,$E322,m6_cv!$B:$B,$A322),0))</f>
        <v>1890</v>
      </c>
      <c r="M322">
        <f>MAX(0,ROUND(SUMIFS(m7_cv!$E:$E,m7_cv!$A:$A,$E322,m7_cv!$B:$B,$A322),0))</f>
        <v>2752</v>
      </c>
      <c r="N322">
        <f>ROUND(_xlfn.XLOOKUP($D322,Charts!$W$82:$W$112,Charts!$X$82:$X$112)*$L322+_xlfn.XLOOKUP($D322,Charts!$W$82:$W$112,Charts!$Y$82:$Y$112)*$M322,0)</f>
        <v>2752</v>
      </c>
    </row>
    <row r="323" spans="1:14" x14ac:dyDescent="0.25">
      <c r="A323" s="3">
        <f t="shared" si="24"/>
        <v>45979</v>
      </c>
      <c r="B323">
        <f t="shared" ref="B323:B386" si="25">YEAR(A323)</f>
        <v>2025</v>
      </c>
      <c r="C323">
        <f t="shared" ref="C323:C386" si="26">MONTH($A323)</f>
        <v>11</v>
      </c>
      <c r="D323">
        <f t="shared" ref="D323:D386" si="27">DAY($A323)</f>
        <v>18</v>
      </c>
      <c r="E323" s="2">
        <f t="shared" ref="E323:E386" si="28">DATE($B323,$C323,1)-1</f>
        <v>45961</v>
      </c>
      <c r="F323" s="12">
        <f>_xlfn.XLOOKUP($A323,m1_cv!$B:$B,m1_cv!$C:$C)</f>
        <v>3351</v>
      </c>
      <c r="G323">
        <f>MAX(0,ROUND(SUMIFS(m1_cv!$E:$E,m1_cv!$A:$A,$E323,m1_cv!$B:$B,$A323),0))</f>
        <v>3297</v>
      </c>
      <c r="H323">
        <f>MAX(0,ROUND(SUMIFS(m2_cv!$E:$E,m2_cv!$A:$A,$E323,m2_cv!$B:$B,$A323),0))</f>
        <v>3154</v>
      </c>
      <c r="I323">
        <f>MAX(0,ROUND(SUMIFS(m3_cv!$E:$E,m3_cv!$A:$A,$E323,m3_cv!$B:$B,$A323),0))</f>
        <v>3290</v>
      </c>
      <c r="J323">
        <f>MAX(0,ROUND(SUMIFS(m4_cv!$E:$E,m4_cv!$A:$A,$E323,m4_cv!$B:$B,$A323),0))</f>
        <v>3283</v>
      </c>
      <c r="K323">
        <f>MAX(0,ROUND(SUMIFS(m5_cv!$E:$E,m5_cv!$A:$A,$E323,m5_cv!$B:$B,$A323),0))</f>
        <v>3068</v>
      </c>
      <c r="L323">
        <f>MAX(0,ROUND(SUMIFS(m6_cv!$E:$E,m6_cv!$A:$A,$E323,m6_cv!$B:$B,$A323),0))</f>
        <v>2492</v>
      </c>
      <c r="M323">
        <f>MAX(0,ROUND(SUMIFS(m7_cv!$E:$E,m7_cv!$A:$A,$E323,m7_cv!$B:$B,$A323),0))</f>
        <v>3066</v>
      </c>
      <c r="N323">
        <f>ROUND(_xlfn.XLOOKUP($D323,Charts!$W$82:$W$112,Charts!$X$82:$X$112)*$L323+_xlfn.XLOOKUP($D323,Charts!$W$82:$W$112,Charts!$Y$82:$Y$112)*$M323,0)</f>
        <v>3066</v>
      </c>
    </row>
    <row r="324" spans="1:14" x14ac:dyDescent="0.25">
      <c r="A324" s="3">
        <f t="shared" ref="A324:A387" si="29">A323+1</f>
        <v>45980</v>
      </c>
      <c r="B324">
        <f t="shared" si="25"/>
        <v>2025</v>
      </c>
      <c r="C324">
        <f t="shared" si="26"/>
        <v>11</v>
      </c>
      <c r="D324">
        <f t="shared" si="27"/>
        <v>19</v>
      </c>
      <c r="E324" s="2">
        <f t="shared" si="28"/>
        <v>45961</v>
      </c>
      <c r="F324" s="12">
        <f>_xlfn.XLOOKUP($A324,m1_cv!$B:$B,m1_cv!$C:$C)</f>
        <v>3248</v>
      </c>
      <c r="G324">
        <f>MAX(0,ROUND(SUMIFS(m1_cv!$E:$E,m1_cv!$A:$A,$E324,m1_cv!$B:$B,$A324),0))</f>
        <v>3276</v>
      </c>
      <c r="H324">
        <f>MAX(0,ROUND(SUMIFS(m2_cv!$E:$E,m2_cv!$A:$A,$E324,m2_cv!$B:$B,$A324),0))</f>
        <v>3100</v>
      </c>
      <c r="I324">
        <f>MAX(0,ROUND(SUMIFS(m3_cv!$E:$E,m3_cv!$A:$A,$E324,m3_cv!$B:$B,$A324),0))</f>
        <v>3267</v>
      </c>
      <c r="J324">
        <f>MAX(0,ROUND(SUMIFS(m4_cv!$E:$E,m4_cv!$A:$A,$E324,m4_cv!$B:$B,$A324),0))</f>
        <v>3260</v>
      </c>
      <c r="K324">
        <f>MAX(0,ROUND(SUMIFS(m5_cv!$E:$E,m5_cv!$A:$A,$E324,m5_cv!$B:$B,$A324),0))</f>
        <v>3107</v>
      </c>
      <c r="L324">
        <f>MAX(0,ROUND(SUMIFS(m6_cv!$E:$E,m6_cv!$A:$A,$E324,m6_cv!$B:$B,$A324),0))</f>
        <v>2829</v>
      </c>
      <c r="M324">
        <f>MAX(0,ROUND(SUMIFS(m7_cv!$E:$E,m7_cv!$A:$A,$E324,m7_cv!$B:$B,$A324),0))</f>
        <v>3133</v>
      </c>
      <c r="N324">
        <f>ROUND(_xlfn.XLOOKUP($D324,Charts!$W$82:$W$112,Charts!$X$82:$X$112)*$L324+_xlfn.XLOOKUP($D324,Charts!$W$82:$W$112,Charts!$Y$82:$Y$112)*$M324,0)</f>
        <v>3133</v>
      </c>
    </row>
    <row r="325" spans="1:14" x14ac:dyDescent="0.25">
      <c r="A325" s="3">
        <f t="shared" si="29"/>
        <v>45981</v>
      </c>
      <c r="B325">
        <f t="shared" si="25"/>
        <v>2025</v>
      </c>
      <c r="C325">
        <f t="shared" si="26"/>
        <v>11</v>
      </c>
      <c r="D325">
        <f t="shared" si="27"/>
        <v>20</v>
      </c>
      <c r="E325" s="2">
        <f t="shared" si="28"/>
        <v>45961</v>
      </c>
      <c r="F325" s="12">
        <f>_xlfn.XLOOKUP($A325,m1_cv!$B:$B,m1_cv!$C:$C)</f>
        <v>3581</v>
      </c>
      <c r="G325">
        <f>MAX(0,ROUND(SUMIFS(m1_cv!$E:$E,m1_cv!$A:$A,$E325,m1_cv!$B:$B,$A325),0))</f>
        <v>3300</v>
      </c>
      <c r="H325">
        <f>MAX(0,ROUND(SUMIFS(m2_cv!$E:$E,m2_cv!$A:$A,$E325,m2_cv!$B:$B,$A325),0))</f>
        <v>3075</v>
      </c>
      <c r="I325">
        <f>MAX(0,ROUND(SUMIFS(m3_cv!$E:$E,m3_cv!$A:$A,$E325,m3_cv!$B:$B,$A325),0))</f>
        <v>3158</v>
      </c>
      <c r="J325">
        <f>MAX(0,ROUND(SUMIFS(m4_cv!$E:$E,m4_cv!$A:$A,$E325,m4_cv!$B:$B,$A325),0))</f>
        <v>3150</v>
      </c>
      <c r="K325">
        <f>MAX(0,ROUND(SUMIFS(m5_cv!$E:$E,m5_cv!$A:$A,$E325,m5_cv!$B:$B,$A325),0))</f>
        <v>3173</v>
      </c>
      <c r="L325">
        <f>MAX(0,ROUND(SUMIFS(m6_cv!$E:$E,m6_cv!$A:$A,$E325,m6_cv!$B:$B,$A325),0))</f>
        <v>3147</v>
      </c>
      <c r="M325">
        <f>MAX(0,ROUND(SUMIFS(m7_cv!$E:$E,m7_cv!$A:$A,$E325,m7_cv!$B:$B,$A325),0))</f>
        <v>3253</v>
      </c>
      <c r="N325">
        <f>ROUND(_xlfn.XLOOKUP($D325,Charts!$W$82:$W$112,Charts!$X$82:$X$112)*$L325+_xlfn.XLOOKUP($D325,Charts!$W$82:$W$112,Charts!$Y$82:$Y$112)*$M325,0)</f>
        <v>3253</v>
      </c>
    </row>
    <row r="326" spans="1:14" x14ac:dyDescent="0.25">
      <c r="A326" s="3">
        <f t="shared" si="29"/>
        <v>45982</v>
      </c>
      <c r="B326">
        <f t="shared" si="25"/>
        <v>2025</v>
      </c>
      <c r="C326">
        <f t="shared" si="26"/>
        <v>11</v>
      </c>
      <c r="D326">
        <f t="shared" si="27"/>
        <v>21</v>
      </c>
      <c r="E326" s="2">
        <f t="shared" si="28"/>
        <v>45961</v>
      </c>
      <c r="F326" s="12">
        <f>_xlfn.XLOOKUP($A326,m1_cv!$B:$B,m1_cv!$C:$C)</f>
        <v>3622</v>
      </c>
      <c r="G326">
        <f>MAX(0,ROUND(SUMIFS(m1_cv!$E:$E,m1_cv!$A:$A,$E326,m1_cv!$B:$B,$A326),0))</f>
        <v>3248</v>
      </c>
      <c r="H326">
        <f>MAX(0,ROUND(SUMIFS(m2_cv!$E:$E,m2_cv!$A:$A,$E326,m2_cv!$B:$B,$A326),0))</f>
        <v>3153</v>
      </c>
      <c r="I326">
        <f>MAX(0,ROUND(SUMIFS(m3_cv!$E:$E,m3_cv!$A:$A,$E326,m3_cv!$B:$B,$A326),0))</f>
        <v>3108</v>
      </c>
      <c r="J326">
        <f>MAX(0,ROUND(SUMIFS(m4_cv!$E:$E,m4_cv!$A:$A,$E326,m4_cv!$B:$B,$A326),0))</f>
        <v>3100</v>
      </c>
      <c r="K326">
        <f>MAX(0,ROUND(SUMIFS(m5_cv!$E:$E,m5_cv!$A:$A,$E326,m5_cv!$B:$B,$A326),0))</f>
        <v>3275</v>
      </c>
      <c r="L326">
        <f>MAX(0,ROUND(SUMIFS(m6_cv!$E:$E,m6_cv!$A:$A,$E326,m6_cv!$B:$B,$A326),0))</f>
        <v>3082</v>
      </c>
      <c r="M326">
        <f>MAX(0,ROUND(SUMIFS(m7_cv!$E:$E,m7_cv!$A:$A,$E326,m7_cv!$B:$B,$A326),0))</f>
        <v>3250</v>
      </c>
      <c r="N326">
        <f>ROUND(_xlfn.XLOOKUP($D326,Charts!$W$82:$W$112,Charts!$X$82:$X$112)*$L326+_xlfn.XLOOKUP($D326,Charts!$W$82:$W$112,Charts!$Y$82:$Y$112)*$M326,0)</f>
        <v>3250</v>
      </c>
    </row>
    <row r="327" spans="1:14" x14ac:dyDescent="0.25">
      <c r="A327" s="3">
        <f t="shared" si="29"/>
        <v>45983</v>
      </c>
      <c r="B327">
        <f t="shared" si="25"/>
        <v>2025</v>
      </c>
      <c r="C327">
        <f t="shared" si="26"/>
        <v>11</v>
      </c>
      <c r="D327">
        <f t="shared" si="27"/>
        <v>22</v>
      </c>
      <c r="E327" s="2">
        <f t="shared" si="28"/>
        <v>45961</v>
      </c>
      <c r="F327" s="12">
        <f>_xlfn.XLOOKUP($A327,m1_cv!$B:$B,m1_cv!$C:$C)</f>
        <v>783</v>
      </c>
      <c r="G327">
        <f>MAX(0,ROUND(SUMIFS(m1_cv!$E:$E,m1_cv!$A:$A,$E327,m1_cv!$B:$B,$A327),0))</f>
        <v>949</v>
      </c>
      <c r="H327">
        <f>MAX(0,ROUND(SUMIFS(m2_cv!$E:$E,m2_cv!$A:$A,$E327,m2_cv!$B:$B,$A327),0))</f>
        <v>1188</v>
      </c>
      <c r="I327">
        <f>MAX(0,ROUND(SUMIFS(m3_cv!$E:$E,m3_cv!$A:$A,$E327,m3_cv!$B:$B,$A327),0))</f>
        <v>1080</v>
      </c>
      <c r="J327">
        <f>MAX(0,ROUND(SUMIFS(m4_cv!$E:$E,m4_cv!$A:$A,$E327,m4_cv!$B:$B,$A327),0))</f>
        <v>1071</v>
      </c>
      <c r="K327">
        <f>MAX(0,ROUND(SUMIFS(m5_cv!$E:$E,m5_cv!$A:$A,$E327,m5_cv!$B:$B,$A327),0))</f>
        <v>1140</v>
      </c>
      <c r="L327">
        <f>MAX(0,ROUND(SUMIFS(m6_cv!$E:$E,m6_cv!$A:$A,$E327,m6_cv!$B:$B,$A327),0))</f>
        <v>515</v>
      </c>
      <c r="M327">
        <f>MAX(0,ROUND(SUMIFS(m7_cv!$E:$E,m7_cv!$A:$A,$E327,m7_cv!$B:$B,$A327),0))</f>
        <v>1012</v>
      </c>
      <c r="N327">
        <f>ROUND(_xlfn.XLOOKUP($D327,Charts!$W$82:$W$112,Charts!$X$82:$X$112)*$L327+_xlfn.XLOOKUP($D327,Charts!$W$82:$W$112,Charts!$Y$82:$Y$112)*$M327,0)</f>
        <v>1012</v>
      </c>
    </row>
    <row r="328" spans="1:14" x14ac:dyDescent="0.25">
      <c r="A328" s="3">
        <f t="shared" si="29"/>
        <v>45984</v>
      </c>
      <c r="B328">
        <f t="shared" si="25"/>
        <v>2025</v>
      </c>
      <c r="C328">
        <f t="shared" si="26"/>
        <v>11</v>
      </c>
      <c r="D328">
        <f t="shared" si="27"/>
        <v>23</v>
      </c>
      <c r="E328" s="2">
        <f t="shared" si="28"/>
        <v>45961</v>
      </c>
      <c r="F328" s="12">
        <f>_xlfn.XLOOKUP($A328,m1_cv!$B:$B,m1_cv!$C:$C)</f>
        <v>188</v>
      </c>
      <c r="G328">
        <f>MAX(0,ROUND(SUMIFS(m1_cv!$E:$E,m1_cv!$A:$A,$E328,m1_cv!$B:$B,$A328),0))</f>
        <v>369</v>
      </c>
      <c r="H328">
        <f>MAX(0,ROUND(SUMIFS(m2_cv!$E:$E,m2_cv!$A:$A,$E328,m2_cv!$B:$B,$A328),0))</f>
        <v>921</v>
      </c>
      <c r="I328">
        <f>MAX(0,ROUND(SUMIFS(m3_cv!$E:$E,m3_cv!$A:$A,$E328,m3_cv!$B:$B,$A328),0))</f>
        <v>879</v>
      </c>
      <c r="J328">
        <f>MAX(0,ROUND(SUMIFS(m4_cv!$E:$E,m4_cv!$A:$A,$E328,m4_cv!$B:$B,$A328),0))</f>
        <v>871</v>
      </c>
      <c r="K328">
        <f>MAX(0,ROUND(SUMIFS(m5_cv!$E:$E,m5_cv!$A:$A,$E328,m5_cv!$B:$B,$A328),0))</f>
        <v>635</v>
      </c>
      <c r="L328">
        <f>MAX(0,ROUND(SUMIFS(m6_cv!$E:$E,m6_cv!$A:$A,$E328,m6_cv!$B:$B,$A328),0))</f>
        <v>182</v>
      </c>
      <c r="M328">
        <f>MAX(0,ROUND(SUMIFS(m7_cv!$E:$E,m7_cv!$A:$A,$E328,m7_cv!$B:$B,$A328),0))</f>
        <v>668</v>
      </c>
      <c r="N328">
        <f>ROUND(_xlfn.XLOOKUP($D328,Charts!$W$82:$W$112,Charts!$X$82:$X$112)*$L328+_xlfn.XLOOKUP($D328,Charts!$W$82:$W$112,Charts!$Y$82:$Y$112)*$M328,0)</f>
        <v>668</v>
      </c>
    </row>
    <row r="329" spans="1:14" x14ac:dyDescent="0.25">
      <c r="A329" s="3">
        <f t="shared" si="29"/>
        <v>45985</v>
      </c>
      <c r="B329">
        <f t="shared" si="25"/>
        <v>2025</v>
      </c>
      <c r="C329">
        <f t="shared" si="26"/>
        <v>11</v>
      </c>
      <c r="D329">
        <f t="shared" si="27"/>
        <v>24</v>
      </c>
      <c r="E329" s="2">
        <f t="shared" si="28"/>
        <v>45961</v>
      </c>
      <c r="F329" s="12">
        <f>_xlfn.XLOOKUP($A329,m1_cv!$B:$B,m1_cv!$C:$C)</f>
        <v>3515</v>
      </c>
      <c r="G329">
        <f>MAX(0,ROUND(SUMIFS(m1_cv!$E:$E,m1_cv!$A:$A,$E329,m1_cv!$B:$B,$A329),0))</f>
        <v>2667</v>
      </c>
      <c r="H329">
        <f>MAX(0,ROUND(SUMIFS(m2_cv!$E:$E,m2_cv!$A:$A,$E329,m2_cv!$B:$B,$A329),0))</f>
        <v>3300</v>
      </c>
      <c r="I329">
        <f>MAX(0,ROUND(SUMIFS(m3_cv!$E:$E,m3_cv!$A:$A,$E329,m3_cv!$B:$B,$A329),0))</f>
        <v>3566</v>
      </c>
      <c r="J329">
        <f>MAX(0,ROUND(SUMIFS(m4_cv!$E:$E,m4_cv!$A:$A,$E329,m4_cv!$B:$B,$A329),0))</f>
        <v>3559</v>
      </c>
      <c r="K329">
        <f>MAX(0,ROUND(SUMIFS(m5_cv!$E:$E,m5_cv!$A:$A,$E329,m5_cv!$B:$B,$A329),0))</f>
        <v>3845</v>
      </c>
      <c r="L329">
        <f>MAX(0,ROUND(SUMIFS(m6_cv!$E:$E,m6_cv!$A:$A,$E329,m6_cv!$B:$B,$A329),0))</f>
        <v>4058</v>
      </c>
      <c r="M329">
        <f>MAX(0,ROUND(SUMIFS(m7_cv!$E:$E,m7_cv!$A:$A,$E329,m7_cv!$B:$B,$A329),0))</f>
        <v>4009</v>
      </c>
      <c r="N329">
        <f>ROUND(_xlfn.XLOOKUP($D329,Charts!$W$82:$W$112,Charts!$X$82:$X$112)*$L329+_xlfn.XLOOKUP($D329,Charts!$W$82:$W$112,Charts!$Y$82:$Y$112)*$M329,0)</f>
        <v>4058</v>
      </c>
    </row>
    <row r="330" spans="1:14" x14ac:dyDescent="0.25">
      <c r="A330" s="3">
        <f t="shared" si="29"/>
        <v>45986</v>
      </c>
      <c r="B330">
        <f t="shared" si="25"/>
        <v>2025</v>
      </c>
      <c r="C330">
        <f t="shared" si="26"/>
        <v>11</v>
      </c>
      <c r="D330">
        <f t="shared" si="27"/>
        <v>25</v>
      </c>
      <c r="E330" s="2">
        <f t="shared" si="28"/>
        <v>45961</v>
      </c>
      <c r="F330" s="12">
        <f>_xlfn.XLOOKUP($A330,m1_cv!$B:$B,m1_cv!$C:$C)</f>
        <v>4824</v>
      </c>
      <c r="G330">
        <f>MAX(0,ROUND(SUMIFS(m1_cv!$E:$E,m1_cv!$A:$A,$E330,m1_cv!$B:$B,$A330),0))</f>
        <v>3186</v>
      </c>
      <c r="H330">
        <f>MAX(0,ROUND(SUMIFS(m2_cv!$E:$E,m2_cv!$A:$A,$E330,m2_cv!$B:$B,$A330),0))</f>
        <v>3685</v>
      </c>
      <c r="I330">
        <f>MAX(0,ROUND(SUMIFS(m3_cv!$E:$E,m3_cv!$A:$A,$E330,m3_cv!$B:$B,$A330),0))</f>
        <v>3768</v>
      </c>
      <c r="J330">
        <f>MAX(0,ROUND(SUMIFS(m4_cv!$E:$E,m4_cv!$A:$A,$E330,m4_cv!$B:$B,$A330),0))</f>
        <v>3761</v>
      </c>
      <c r="K330">
        <f>MAX(0,ROUND(SUMIFS(m5_cv!$E:$E,m5_cv!$A:$A,$E330,m5_cv!$B:$B,$A330),0))</f>
        <v>4031</v>
      </c>
      <c r="L330">
        <f>MAX(0,ROUND(SUMIFS(m6_cv!$E:$E,m6_cv!$A:$A,$E330,m6_cv!$B:$B,$A330),0))</f>
        <v>4727</v>
      </c>
      <c r="M330">
        <f>MAX(0,ROUND(SUMIFS(m7_cv!$E:$E,m7_cv!$A:$A,$E330,m7_cv!$B:$B,$A330),0))</f>
        <v>4052</v>
      </c>
      <c r="N330">
        <f>ROUND(_xlfn.XLOOKUP($D330,Charts!$W$82:$W$112,Charts!$X$82:$X$112)*$L330+_xlfn.XLOOKUP($D330,Charts!$W$82:$W$112,Charts!$Y$82:$Y$112)*$M330,0)</f>
        <v>4727</v>
      </c>
    </row>
    <row r="331" spans="1:14" x14ac:dyDescent="0.25">
      <c r="A331" s="3">
        <f t="shared" si="29"/>
        <v>45987</v>
      </c>
      <c r="B331">
        <f t="shared" si="25"/>
        <v>2025</v>
      </c>
      <c r="C331">
        <f t="shared" si="26"/>
        <v>11</v>
      </c>
      <c r="D331">
        <f t="shared" si="27"/>
        <v>26</v>
      </c>
      <c r="E331" s="2">
        <f t="shared" si="28"/>
        <v>45961</v>
      </c>
      <c r="F331" s="12">
        <f>_xlfn.XLOOKUP($A331,m1_cv!$B:$B,m1_cv!$C:$C)</f>
        <v>5463</v>
      </c>
      <c r="G331">
        <f>MAX(0,ROUND(SUMIFS(m1_cv!$E:$E,m1_cv!$A:$A,$E331,m1_cv!$B:$B,$A331),0))</f>
        <v>3207</v>
      </c>
      <c r="H331">
        <f>MAX(0,ROUND(SUMIFS(m2_cv!$E:$E,m2_cv!$A:$A,$E331,m2_cv!$B:$B,$A331),0))</f>
        <v>3771</v>
      </c>
      <c r="I331">
        <f>MAX(0,ROUND(SUMIFS(m3_cv!$E:$E,m3_cv!$A:$A,$E331,m3_cv!$B:$B,$A331),0))</f>
        <v>3858</v>
      </c>
      <c r="J331">
        <f>MAX(0,ROUND(SUMIFS(m4_cv!$E:$E,m4_cv!$A:$A,$E331,m4_cv!$B:$B,$A331),0))</f>
        <v>3851</v>
      </c>
      <c r="K331">
        <f>MAX(0,ROUND(SUMIFS(m5_cv!$E:$E,m5_cv!$A:$A,$E331,m5_cv!$B:$B,$A331),0))</f>
        <v>4208</v>
      </c>
      <c r="L331">
        <f>MAX(0,ROUND(SUMIFS(m6_cv!$E:$E,m6_cv!$A:$A,$E331,m6_cv!$B:$B,$A331),0))</f>
        <v>4896</v>
      </c>
      <c r="M331">
        <f>MAX(0,ROUND(SUMIFS(m7_cv!$E:$E,m7_cv!$A:$A,$E331,m7_cv!$B:$B,$A331),0))</f>
        <v>4166</v>
      </c>
      <c r="N331">
        <f>ROUND(_xlfn.XLOOKUP($D331,Charts!$W$82:$W$112,Charts!$X$82:$X$112)*$L331+_xlfn.XLOOKUP($D331,Charts!$W$82:$W$112,Charts!$Y$82:$Y$112)*$M331,0)</f>
        <v>4896</v>
      </c>
    </row>
    <row r="332" spans="1:14" x14ac:dyDescent="0.25">
      <c r="A332" s="3">
        <f t="shared" si="29"/>
        <v>45988</v>
      </c>
      <c r="B332">
        <f t="shared" si="25"/>
        <v>2025</v>
      </c>
      <c r="C332">
        <f t="shared" si="26"/>
        <v>11</v>
      </c>
      <c r="D332">
        <f t="shared" si="27"/>
        <v>27</v>
      </c>
      <c r="E332" s="2">
        <f t="shared" si="28"/>
        <v>45961</v>
      </c>
      <c r="F332" s="12">
        <f>_xlfn.XLOOKUP($A332,m1_cv!$B:$B,m1_cv!$C:$C)</f>
        <v>7236</v>
      </c>
      <c r="G332">
        <f>MAX(0,ROUND(SUMIFS(m1_cv!$E:$E,m1_cv!$A:$A,$E332,m1_cv!$B:$B,$A332),0))</f>
        <v>3276</v>
      </c>
      <c r="H332">
        <f>MAX(0,ROUND(SUMIFS(m2_cv!$E:$E,m2_cv!$A:$A,$E332,m2_cv!$B:$B,$A332),0))</f>
        <v>4438</v>
      </c>
      <c r="I332">
        <f>MAX(0,ROUND(SUMIFS(m3_cv!$E:$E,m3_cv!$A:$A,$E332,m3_cv!$B:$B,$A332),0))</f>
        <v>4435</v>
      </c>
      <c r="J332">
        <f>MAX(0,ROUND(SUMIFS(m4_cv!$E:$E,m4_cv!$A:$A,$E332,m4_cv!$B:$B,$A332),0))</f>
        <v>4427</v>
      </c>
      <c r="K332">
        <f>MAX(0,ROUND(SUMIFS(m5_cv!$E:$E,m5_cv!$A:$A,$E332,m5_cv!$B:$B,$A332),0))</f>
        <v>4639</v>
      </c>
      <c r="L332">
        <f>MAX(0,ROUND(SUMIFS(m6_cv!$E:$E,m6_cv!$A:$A,$E332,m6_cv!$B:$B,$A332),0))</f>
        <v>5326</v>
      </c>
      <c r="M332">
        <f>MAX(0,ROUND(SUMIFS(m7_cv!$E:$E,m7_cv!$A:$A,$E332,m7_cv!$B:$B,$A332),0))</f>
        <v>4576</v>
      </c>
      <c r="N332">
        <f>ROUND(_xlfn.XLOOKUP($D332,Charts!$W$82:$W$112,Charts!$X$82:$X$112)*$L332+_xlfn.XLOOKUP($D332,Charts!$W$82:$W$112,Charts!$Y$82:$Y$112)*$M332,0)</f>
        <v>5326</v>
      </c>
    </row>
    <row r="333" spans="1:14" x14ac:dyDescent="0.25">
      <c r="A333" s="3">
        <f t="shared" si="29"/>
        <v>45989</v>
      </c>
      <c r="B333">
        <f t="shared" si="25"/>
        <v>2025</v>
      </c>
      <c r="C333">
        <f t="shared" si="26"/>
        <v>11</v>
      </c>
      <c r="D333">
        <f t="shared" si="27"/>
        <v>28</v>
      </c>
      <c r="E333" s="2">
        <f t="shared" si="28"/>
        <v>45961</v>
      </c>
      <c r="F333" s="12">
        <f>_xlfn.XLOOKUP($A333,m1_cv!$B:$B,m1_cv!$C:$C)</f>
        <v>10013</v>
      </c>
      <c r="G333">
        <f>MAX(0,ROUND(SUMIFS(m1_cv!$E:$E,m1_cv!$A:$A,$E333,m1_cv!$B:$B,$A333),0))</f>
        <v>3268</v>
      </c>
      <c r="H333">
        <f>MAX(0,ROUND(SUMIFS(m2_cv!$E:$E,m2_cv!$A:$A,$E333,m2_cv!$B:$B,$A333),0))</f>
        <v>5521</v>
      </c>
      <c r="I333">
        <f>MAX(0,ROUND(SUMIFS(m3_cv!$E:$E,m3_cv!$A:$A,$E333,m3_cv!$B:$B,$A333),0))</f>
        <v>5426</v>
      </c>
      <c r="J333">
        <f>MAX(0,ROUND(SUMIFS(m4_cv!$E:$E,m4_cv!$A:$A,$E333,m4_cv!$B:$B,$A333),0))</f>
        <v>5417</v>
      </c>
      <c r="K333">
        <f>MAX(0,ROUND(SUMIFS(m5_cv!$E:$E,m5_cv!$A:$A,$E333,m5_cv!$B:$B,$A333),0))</f>
        <v>5102</v>
      </c>
      <c r="L333">
        <f>MAX(0,ROUND(SUMIFS(m6_cv!$E:$E,m6_cv!$A:$A,$E333,m6_cv!$B:$B,$A333),0))</f>
        <v>5422</v>
      </c>
      <c r="M333">
        <f>MAX(0,ROUND(SUMIFS(m7_cv!$E:$E,m7_cv!$A:$A,$E333,m7_cv!$B:$B,$A333),0))</f>
        <v>5043</v>
      </c>
      <c r="N333">
        <f>ROUND(_xlfn.XLOOKUP($D333,Charts!$W$82:$W$112,Charts!$X$82:$X$112)*$L333+_xlfn.XLOOKUP($D333,Charts!$W$82:$W$112,Charts!$Y$82:$Y$112)*$M333,0)</f>
        <v>5422</v>
      </c>
    </row>
    <row r="334" spans="1:14" x14ac:dyDescent="0.25">
      <c r="A334" s="3">
        <f t="shared" si="29"/>
        <v>45990</v>
      </c>
      <c r="B334">
        <f t="shared" si="25"/>
        <v>2025</v>
      </c>
      <c r="C334">
        <f t="shared" si="26"/>
        <v>11</v>
      </c>
      <c r="D334">
        <f t="shared" si="27"/>
        <v>29</v>
      </c>
      <c r="E334" s="2">
        <f t="shared" si="28"/>
        <v>45961</v>
      </c>
      <c r="F334" s="12">
        <f>_xlfn.XLOOKUP($A334,m1_cv!$B:$B,m1_cv!$C:$C)</f>
        <v>8210</v>
      </c>
      <c r="G334">
        <f>MAX(0,ROUND(SUMIFS(m1_cv!$E:$E,m1_cv!$A:$A,$E334,m1_cv!$B:$B,$A334),0))</f>
        <v>1014</v>
      </c>
      <c r="H334">
        <f>MAX(0,ROUND(SUMIFS(m2_cv!$E:$E,m2_cv!$A:$A,$E334,m2_cv!$B:$B,$A334),0))</f>
        <v>4311</v>
      </c>
      <c r="I334">
        <f>MAX(0,ROUND(SUMIFS(m3_cv!$E:$E,m3_cv!$A:$A,$E334,m3_cv!$B:$B,$A334),0))</f>
        <v>4208</v>
      </c>
      <c r="J334">
        <f>MAX(0,ROUND(SUMIFS(m4_cv!$E:$E,m4_cv!$A:$A,$E334,m4_cv!$B:$B,$A334),0))</f>
        <v>4198</v>
      </c>
      <c r="K334">
        <f>MAX(0,ROUND(SUMIFS(m5_cv!$E:$E,m5_cv!$A:$A,$E334,m5_cv!$B:$B,$A334),0))</f>
        <v>5363</v>
      </c>
      <c r="L334">
        <f>MAX(0,ROUND(SUMIFS(m6_cv!$E:$E,m6_cv!$A:$A,$E334,m6_cv!$B:$B,$A334),0))</f>
        <v>1735</v>
      </c>
      <c r="M334">
        <f>MAX(0,ROUND(SUMIFS(m7_cv!$E:$E,m7_cv!$A:$A,$E334,m7_cv!$B:$B,$A334),0))</f>
        <v>5516</v>
      </c>
      <c r="N334">
        <f>ROUND(_xlfn.XLOOKUP($D334,Charts!$W$82:$W$112,Charts!$X$82:$X$112)*$L334+_xlfn.XLOOKUP($D334,Charts!$W$82:$W$112,Charts!$Y$82:$Y$112)*$M334,0)</f>
        <v>5516</v>
      </c>
    </row>
    <row r="335" spans="1:14" x14ac:dyDescent="0.25">
      <c r="A335" s="3">
        <f t="shared" si="29"/>
        <v>45991</v>
      </c>
      <c r="B335">
        <f t="shared" si="25"/>
        <v>2025</v>
      </c>
      <c r="C335">
        <f t="shared" si="26"/>
        <v>11</v>
      </c>
      <c r="D335">
        <f t="shared" si="27"/>
        <v>30</v>
      </c>
      <c r="E335" s="2">
        <f t="shared" si="28"/>
        <v>45961</v>
      </c>
      <c r="F335" s="12">
        <f>_xlfn.XLOOKUP($A335,m1_cv!$B:$B,m1_cv!$C:$C)</f>
        <v>3567</v>
      </c>
      <c r="G335">
        <f>MAX(0,ROUND(SUMIFS(m1_cv!$E:$E,m1_cv!$A:$A,$E335,m1_cv!$B:$B,$A335),0))</f>
        <v>479</v>
      </c>
      <c r="H335">
        <f>MAX(0,ROUND(SUMIFS(m2_cv!$E:$E,m2_cv!$A:$A,$E335,m2_cv!$B:$B,$A335),0))</f>
        <v>4030</v>
      </c>
      <c r="I335">
        <f>MAX(0,ROUND(SUMIFS(m3_cv!$E:$E,m3_cv!$A:$A,$E335,m3_cv!$B:$B,$A335),0))</f>
        <v>4028</v>
      </c>
      <c r="J335">
        <f>MAX(0,ROUND(SUMIFS(m4_cv!$E:$E,m4_cv!$A:$A,$E335,m4_cv!$B:$B,$A335),0))</f>
        <v>4018</v>
      </c>
      <c r="K335">
        <f>MAX(0,ROUND(SUMIFS(m5_cv!$E:$E,m5_cv!$A:$A,$E335,m5_cv!$B:$B,$A335),0))</f>
        <v>7172</v>
      </c>
      <c r="L335">
        <f>MAX(0,ROUND(SUMIFS(m6_cv!$E:$E,m6_cv!$A:$A,$E335,m6_cv!$B:$B,$A335),0))</f>
        <v>1013</v>
      </c>
      <c r="M335">
        <f>MAX(0,ROUND(SUMIFS(m7_cv!$E:$E,m7_cv!$A:$A,$E335,m7_cv!$B:$B,$A335),0))</f>
        <v>7482</v>
      </c>
      <c r="N335">
        <f>ROUND(_xlfn.XLOOKUP($D335,Charts!$W$82:$W$112,Charts!$X$82:$X$112)*$L335+_xlfn.XLOOKUP($D335,Charts!$W$82:$W$112,Charts!$Y$82:$Y$112)*$M335,0)</f>
        <v>7482</v>
      </c>
    </row>
    <row r="336" spans="1:14" x14ac:dyDescent="0.25">
      <c r="A336" s="3">
        <f t="shared" si="29"/>
        <v>45992</v>
      </c>
      <c r="B336">
        <f t="shared" si="25"/>
        <v>2025</v>
      </c>
      <c r="C336">
        <f t="shared" si="26"/>
        <v>12</v>
      </c>
      <c r="D336">
        <f t="shared" si="27"/>
        <v>1</v>
      </c>
      <c r="E336" s="2">
        <f t="shared" si="28"/>
        <v>45991</v>
      </c>
      <c r="F336" s="12">
        <f>_xlfn.XLOOKUP($A336,m1_cv!$B:$B,m1_cv!$C:$C)</f>
        <v>659</v>
      </c>
      <c r="G336">
        <f>MAX(0,ROUND(SUMIFS(m1_cv!$E:$E,m1_cv!$A:$A,$E336,m1_cv!$B:$B,$A336),0))</f>
        <v>3274</v>
      </c>
      <c r="H336">
        <f>MAX(0,ROUND(SUMIFS(m2_cv!$E:$E,m2_cv!$A:$A,$E336,m2_cv!$B:$B,$A336),0))</f>
        <v>5688</v>
      </c>
      <c r="I336">
        <f>MAX(0,ROUND(SUMIFS(m3_cv!$E:$E,m3_cv!$A:$A,$E336,m3_cv!$B:$B,$A336),0))</f>
        <v>5975</v>
      </c>
      <c r="J336">
        <f>MAX(0,ROUND(SUMIFS(m4_cv!$E:$E,m4_cv!$A:$A,$E336,m4_cv!$B:$B,$A336),0))</f>
        <v>5975</v>
      </c>
      <c r="K336">
        <f>MAX(0,ROUND(SUMIFS(m5_cv!$E:$E,m5_cv!$A:$A,$E336,m5_cv!$B:$B,$A336),0))</f>
        <v>2526</v>
      </c>
      <c r="L336">
        <f>MAX(0,ROUND(SUMIFS(m6_cv!$E:$E,m6_cv!$A:$A,$E336,m6_cv!$B:$B,$A336),0))</f>
        <v>858</v>
      </c>
      <c r="M336">
        <f>MAX(0,ROUND(SUMIFS(m7_cv!$E:$E,m7_cv!$A:$A,$E336,m7_cv!$B:$B,$A336),0))</f>
        <v>2364</v>
      </c>
      <c r="N336">
        <f>ROUND(_xlfn.XLOOKUP($D336,Charts!$W$82:$W$112,Charts!$X$82:$X$112)*$L336+_xlfn.XLOOKUP($D336,Charts!$W$82:$W$112,Charts!$Y$82:$Y$112)*$M336,0)</f>
        <v>858</v>
      </c>
    </row>
    <row r="337" spans="1:14" x14ac:dyDescent="0.25">
      <c r="A337" s="3">
        <f t="shared" si="29"/>
        <v>45993</v>
      </c>
      <c r="B337">
        <f t="shared" si="25"/>
        <v>2025</v>
      </c>
      <c r="C337">
        <f t="shared" si="26"/>
        <v>12</v>
      </c>
      <c r="D337">
        <f t="shared" si="27"/>
        <v>2</v>
      </c>
      <c r="E337" s="2">
        <f t="shared" si="28"/>
        <v>45991</v>
      </c>
      <c r="F337" s="12">
        <f>_xlfn.XLOOKUP($A337,m1_cv!$B:$B,m1_cv!$C:$C)</f>
        <v>963</v>
      </c>
      <c r="G337">
        <f>MAX(0,ROUND(SUMIFS(m1_cv!$E:$E,m1_cv!$A:$A,$E337,m1_cv!$B:$B,$A337),0))</f>
        <v>3825</v>
      </c>
      <c r="H337">
        <f>MAX(0,ROUND(SUMIFS(m2_cv!$E:$E,m2_cv!$A:$A,$E337,m2_cv!$B:$B,$A337),0))</f>
        <v>4470</v>
      </c>
      <c r="I337">
        <f>MAX(0,ROUND(SUMIFS(m3_cv!$E:$E,m3_cv!$A:$A,$E337,m3_cv!$B:$B,$A337),0))</f>
        <v>4551</v>
      </c>
      <c r="J337">
        <f>MAX(0,ROUND(SUMIFS(m4_cv!$E:$E,m4_cv!$A:$A,$E337,m4_cv!$B:$B,$A337),0))</f>
        <v>4550</v>
      </c>
      <c r="K337">
        <f>MAX(0,ROUND(SUMIFS(m5_cv!$E:$E,m5_cv!$A:$A,$E337,m5_cv!$B:$B,$A337),0))</f>
        <v>2057</v>
      </c>
      <c r="L337">
        <f>MAX(0,ROUND(SUMIFS(m6_cv!$E:$E,m6_cv!$A:$A,$E337,m6_cv!$B:$B,$A337),0))</f>
        <v>636</v>
      </c>
      <c r="M337">
        <f>MAX(0,ROUND(SUMIFS(m7_cv!$E:$E,m7_cv!$A:$A,$E337,m7_cv!$B:$B,$A337),0))</f>
        <v>1794</v>
      </c>
      <c r="N337">
        <f>ROUND(_xlfn.XLOOKUP($D337,Charts!$W$82:$W$112,Charts!$X$82:$X$112)*$L337+_xlfn.XLOOKUP($D337,Charts!$W$82:$W$112,Charts!$Y$82:$Y$112)*$M337,0)</f>
        <v>636</v>
      </c>
    </row>
    <row r="338" spans="1:14" x14ac:dyDescent="0.25">
      <c r="A338" s="3">
        <f t="shared" si="29"/>
        <v>45994</v>
      </c>
      <c r="B338">
        <f t="shared" si="25"/>
        <v>2025</v>
      </c>
      <c r="C338">
        <f t="shared" si="26"/>
        <v>12</v>
      </c>
      <c r="D338">
        <f t="shared" si="27"/>
        <v>3</v>
      </c>
      <c r="E338" s="2">
        <f t="shared" si="28"/>
        <v>45991</v>
      </c>
      <c r="F338" s="12">
        <f>_xlfn.XLOOKUP($A338,m1_cv!$B:$B,m1_cv!$C:$C)</f>
        <v>1248</v>
      </c>
      <c r="G338">
        <f>MAX(0,ROUND(SUMIFS(m1_cv!$E:$E,m1_cv!$A:$A,$E338,m1_cv!$B:$B,$A338),0))</f>
        <v>3870</v>
      </c>
      <c r="H338">
        <f>MAX(0,ROUND(SUMIFS(m2_cv!$E:$E,m2_cv!$A:$A,$E338,m2_cv!$B:$B,$A338),0))</f>
        <v>2753</v>
      </c>
      <c r="I338">
        <f>MAX(0,ROUND(SUMIFS(m3_cv!$E:$E,m3_cv!$A:$A,$E338,m3_cv!$B:$B,$A338),0))</f>
        <v>2825</v>
      </c>
      <c r="J338">
        <f>MAX(0,ROUND(SUMIFS(m4_cv!$E:$E,m4_cv!$A:$A,$E338,m4_cv!$B:$B,$A338),0))</f>
        <v>2824</v>
      </c>
      <c r="K338">
        <f>MAX(0,ROUND(SUMIFS(m5_cv!$E:$E,m5_cv!$A:$A,$E338,m5_cv!$B:$B,$A338),0))</f>
        <v>1771</v>
      </c>
      <c r="L338">
        <f>MAX(0,ROUND(SUMIFS(m6_cv!$E:$E,m6_cv!$A:$A,$E338,m6_cv!$B:$B,$A338),0))</f>
        <v>933</v>
      </c>
      <c r="M338">
        <f>MAX(0,ROUND(SUMIFS(m7_cv!$E:$E,m7_cv!$A:$A,$E338,m7_cv!$B:$B,$A338),0))</f>
        <v>1854</v>
      </c>
      <c r="N338">
        <f>ROUND(_xlfn.XLOOKUP($D338,Charts!$W$82:$W$112,Charts!$X$82:$X$112)*$L338+_xlfn.XLOOKUP($D338,Charts!$W$82:$W$112,Charts!$Y$82:$Y$112)*$M338,0)</f>
        <v>933</v>
      </c>
    </row>
    <row r="339" spans="1:14" x14ac:dyDescent="0.25">
      <c r="A339" s="3">
        <f t="shared" si="29"/>
        <v>45995</v>
      </c>
      <c r="B339">
        <f t="shared" si="25"/>
        <v>2025</v>
      </c>
      <c r="C339">
        <f t="shared" si="26"/>
        <v>12</v>
      </c>
      <c r="D339">
        <f t="shared" si="27"/>
        <v>4</v>
      </c>
      <c r="E339" s="2">
        <f t="shared" si="28"/>
        <v>45991</v>
      </c>
      <c r="F339" s="12">
        <f>_xlfn.XLOOKUP($A339,m1_cv!$B:$B,m1_cv!$C:$C)</f>
        <v>1462</v>
      </c>
      <c r="G339">
        <f>MAX(0,ROUND(SUMIFS(m1_cv!$E:$E,m1_cv!$A:$A,$E339,m1_cv!$B:$B,$A339),0))</f>
        <v>3961</v>
      </c>
      <c r="H339">
        <f>MAX(0,ROUND(SUMIFS(m2_cv!$E:$E,m2_cv!$A:$A,$E339,m2_cv!$B:$B,$A339),0))</f>
        <v>1783</v>
      </c>
      <c r="I339">
        <f>MAX(0,ROUND(SUMIFS(m3_cv!$E:$E,m3_cv!$A:$A,$E339,m3_cv!$B:$B,$A339),0))</f>
        <v>1788</v>
      </c>
      <c r="J339">
        <f>MAX(0,ROUND(SUMIFS(m4_cv!$E:$E,m4_cv!$A:$A,$E339,m4_cv!$B:$B,$A339),0))</f>
        <v>1787</v>
      </c>
      <c r="K339">
        <f>MAX(0,ROUND(SUMIFS(m5_cv!$E:$E,m5_cv!$A:$A,$E339,m5_cv!$B:$B,$A339),0))</f>
        <v>1736</v>
      </c>
      <c r="L339">
        <f>MAX(0,ROUND(SUMIFS(m6_cv!$E:$E,m6_cv!$A:$A,$E339,m6_cv!$B:$B,$A339),0))</f>
        <v>916</v>
      </c>
      <c r="M339">
        <f>MAX(0,ROUND(SUMIFS(m7_cv!$E:$E,m7_cv!$A:$A,$E339,m7_cv!$B:$B,$A339),0))</f>
        <v>1881</v>
      </c>
      <c r="N339">
        <f>ROUND(_xlfn.XLOOKUP($D339,Charts!$W$82:$W$112,Charts!$X$82:$X$112)*$L339+_xlfn.XLOOKUP($D339,Charts!$W$82:$W$112,Charts!$Y$82:$Y$112)*$M339,0)</f>
        <v>916</v>
      </c>
    </row>
    <row r="340" spans="1:14" x14ac:dyDescent="0.25">
      <c r="A340" s="3">
        <f t="shared" si="29"/>
        <v>45996</v>
      </c>
      <c r="B340">
        <f t="shared" si="25"/>
        <v>2025</v>
      </c>
      <c r="C340">
        <f t="shared" si="26"/>
        <v>12</v>
      </c>
      <c r="D340">
        <f t="shared" si="27"/>
        <v>5</v>
      </c>
      <c r="E340" s="2">
        <f t="shared" si="28"/>
        <v>45991</v>
      </c>
      <c r="F340" s="12">
        <f>_xlfn.XLOOKUP($A340,m1_cv!$B:$B,m1_cv!$C:$C)</f>
        <v>1441</v>
      </c>
      <c r="G340">
        <f>MAX(0,ROUND(SUMIFS(m1_cv!$E:$E,m1_cv!$A:$A,$E340,m1_cv!$B:$B,$A340),0))</f>
        <v>3969</v>
      </c>
      <c r="H340">
        <f>MAX(0,ROUND(SUMIFS(m2_cv!$E:$E,m2_cv!$A:$A,$E340,m2_cv!$B:$B,$A340),0))</f>
        <v>1621</v>
      </c>
      <c r="I340">
        <f>MAX(0,ROUND(SUMIFS(m3_cv!$E:$E,m3_cv!$A:$A,$E340,m3_cv!$B:$B,$A340),0))</f>
        <v>1555</v>
      </c>
      <c r="J340">
        <f>MAX(0,ROUND(SUMIFS(m4_cv!$E:$E,m4_cv!$A:$A,$E340,m4_cv!$B:$B,$A340),0))</f>
        <v>1554</v>
      </c>
      <c r="K340">
        <f>MAX(0,ROUND(SUMIFS(m5_cv!$E:$E,m5_cv!$A:$A,$E340,m5_cv!$B:$B,$A340),0))</f>
        <v>1889</v>
      </c>
      <c r="L340">
        <f>MAX(0,ROUND(SUMIFS(m6_cv!$E:$E,m6_cv!$A:$A,$E340,m6_cv!$B:$B,$A340),0))</f>
        <v>903</v>
      </c>
      <c r="M340">
        <f>MAX(0,ROUND(SUMIFS(m7_cv!$E:$E,m7_cv!$A:$A,$E340,m7_cv!$B:$B,$A340),0))</f>
        <v>1842</v>
      </c>
      <c r="N340">
        <f>ROUND(_xlfn.XLOOKUP($D340,Charts!$W$82:$W$112,Charts!$X$82:$X$112)*$L340+_xlfn.XLOOKUP($D340,Charts!$W$82:$W$112,Charts!$Y$82:$Y$112)*$M340,0)</f>
        <v>1091</v>
      </c>
    </row>
    <row r="341" spans="1:14" x14ac:dyDescent="0.25">
      <c r="A341" s="3">
        <f t="shared" si="29"/>
        <v>45997</v>
      </c>
      <c r="B341">
        <f t="shared" si="25"/>
        <v>2025</v>
      </c>
      <c r="C341">
        <f t="shared" si="26"/>
        <v>12</v>
      </c>
      <c r="D341">
        <f t="shared" si="27"/>
        <v>6</v>
      </c>
      <c r="E341" s="2">
        <f t="shared" si="28"/>
        <v>45991</v>
      </c>
      <c r="F341" s="12">
        <f>_xlfn.XLOOKUP($A341,m1_cv!$B:$B,m1_cv!$C:$C)</f>
        <v>380</v>
      </c>
      <c r="G341">
        <f>MAX(0,ROUND(SUMIFS(m1_cv!$E:$E,m1_cv!$A:$A,$E341,m1_cv!$B:$B,$A341),0))</f>
        <v>1704</v>
      </c>
      <c r="H341">
        <f>MAX(0,ROUND(SUMIFS(m2_cv!$E:$E,m2_cv!$A:$A,$E341,m2_cv!$B:$B,$A341),0))</f>
        <v>0</v>
      </c>
      <c r="I341">
        <f>MAX(0,ROUND(SUMIFS(m3_cv!$E:$E,m3_cv!$A:$A,$E341,m3_cv!$B:$B,$A341),0))</f>
        <v>0</v>
      </c>
      <c r="J341">
        <f>MAX(0,ROUND(SUMIFS(m4_cv!$E:$E,m4_cv!$A:$A,$E341,m4_cv!$B:$B,$A341),0))</f>
        <v>0</v>
      </c>
      <c r="K341">
        <f>MAX(0,ROUND(SUMIFS(m5_cv!$E:$E,m5_cv!$A:$A,$E341,m5_cv!$B:$B,$A341),0))</f>
        <v>0</v>
      </c>
      <c r="L341">
        <f>MAX(0,ROUND(SUMIFS(m6_cv!$E:$E,m6_cv!$A:$A,$E341,m6_cv!$B:$B,$A341),0))</f>
        <v>163</v>
      </c>
      <c r="M341">
        <f>MAX(0,ROUND(SUMIFS(m7_cv!$E:$E,m7_cv!$A:$A,$E341,m7_cv!$B:$B,$A341),0))</f>
        <v>0</v>
      </c>
      <c r="N341">
        <f>ROUND(_xlfn.XLOOKUP($D341,Charts!$W$82:$W$112,Charts!$X$82:$X$112)*$L341+_xlfn.XLOOKUP($D341,Charts!$W$82:$W$112,Charts!$Y$82:$Y$112)*$M341,0)</f>
        <v>82</v>
      </c>
    </row>
    <row r="342" spans="1:14" x14ac:dyDescent="0.25">
      <c r="A342" s="3">
        <f t="shared" si="29"/>
        <v>45998</v>
      </c>
      <c r="B342">
        <f t="shared" si="25"/>
        <v>2025</v>
      </c>
      <c r="C342">
        <f t="shared" si="26"/>
        <v>12</v>
      </c>
      <c r="D342">
        <f t="shared" si="27"/>
        <v>7</v>
      </c>
      <c r="E342" s="2">
        <f t="shared" si="28"/>
        <v>45991</v>
      </c>
      <c r="F342" s="12">
        <f>_xlfn.XLOOKUP($A342,m1_cv!$B:$B,m1_cv!$C:$C)</f>
        <v>59</v>
      </c>
      <c r="G342">
        <f>MAX(0,ROUND(SUMIFS(m1_cv!$E:$E,m1_cv!$A:$A,$E342,m1_cv!$B:$B,$A342),0))</f>
        <v>1129</v>
      </c>
      <c r="H342">
        <f>MAX(0,ROUND(SUMIFS(m2_cv!$E:$E,m2_cv!$A:$A,$E342,m2_cv!$B:$B,$A342),0))</f>
        <v>0</v>
      </c>
      <c r="I342">
        <f>MAX(0,ROUND(SUMIFS(m3_cv!$E:$E,m3_cv!$A:$A,$E342,m3_cv!$B:$B,$A342),0))</f>
        <v>0</v>
      </c>
      <c r="J342">
        <f>MAX(0,ROUND(SUMIFS(m4_cv!$E:$E,m4_cv!$A:$A,$E342,m4_cv!$B:$B,$A342),0))</f>
        <v>0</v>
      </c>
      <c r="K342">
        <f>MAX(0,ROUND(SUMIFS(m5_cv!$E:$E,m5_cv!$A:$A,$E342,m5_cv!$B:$B,$A342),0))</f>
        <v>0</v>
      </c>
      <c r="L342">
        <f>MAX(0,ROUND(SUMIFS(m6_cv!$E:$E,m6_cv!$A:$A,$E342,m6_cv!$B:$B,$A342),0))</f>
        <v>62</v>
      </c>
      <c r="M342">
        <f>MAX(0,ROUND(SUMIFS(m7_cv!$E:$E,m7_cv!$A:$A,$E342,m7_cv!$B:$B,$A342),0))</f>
        <v>0</v>
      </c>
      <c r="N342">
        <f>ROUND(_xlfn.XLOOKUP($D342,Charts!$W$82:$W$112,Charts!$X$82:$X$112)*$L342+_xlfn.XLOOKUP($D342,Charts!$W$82:$W$112,Charts!$Y$82:$Y$112)*$M342,0)</f>
        <v>31</v>
      </c>
    </row>
    <row r="343" spans="1:14" x14ac:dyDescent="0.25">
      <c r="A343" s="3">
        <f t="shared" si="29"/>
        <v>45999</v>
      </c>
      <c r="B343">
        <f t="shared" si="25"/>
        <v>2025</v>
      </c>
      <c r="C343">
        <f t="shared" si="26"/>
        <v>12</v>
      </c>
      <c r="D343">
        <f t="shared" si="27"/>
        <v>8</v>
      </c>
      <c r="E343" s="2">
        <f t="shared" si="28"/>
        <v>45991</v>
      </c>
      <c r="F343" s="12">
        <f>_xlfn.XLOOKUP($A343,m1_cv!$B:$B,m1_cv!$C:$C)</f>
        <v>1698</v>
      </c>
      <c r="G343">
        <f>MAX(0,ROUND(SUMIFS(m1_cv!$E:$E,m1_cv!$A:$A,$E343,m1_cv!$B:$B,$A343),0))</f>
        <v>3421</v>
      </c>
      <c r="H343">
        <f>MAX(0,ROUND(SUMIFS(m2_cv!$E:$E,m2_cv!$A:$A,$E343,m2_cv!$B:$B,$A343),0))</f>
        <v>1945</v>
      </c>
      <c r="I343">
        <f>MAX(0,ROUND(SUMIFS(m3_cv!$E:$E,m3_cv!$A:$A,$E343,m3_cv!$B:$B,$A343),0))</f>
        <v>2072</v>
      </c>
      <c r="J343">
        <f>MAX(0,ROUND(SUMIFS(m4_cv!$E:$E,m4_cv!$A:$A,$E343,m4_cv!$B:$B,$A343),0))</f>
        <v>2071</v>
      </c>
      <c r="K343">
        <f>MAX(0,ROUND(SUMIFS(m5_cv!$E:$E,m5_cv!$A:$A,$E343,m5_cv!$B:$B,$A343),0))</f>
        <v>2308</v>
      </c>
      <c r="L343">
        <f>MAX(0,ROUND(SUMIFS(m6_cv!$E:$E,m6_cv!$A:$A,$E343,m6_cv!$B:$B,$A343),0))</f>
        <v>1555</v>
      </c>
      <c r="M343">
        <f>MAX(0,ROUND(SUMIFS(m7_cv!$E:$E,m7_cv!$A:$A,$E343,m7_cv!$B:$B,$A343),0))</f>
        <v>2377</v>
      </c>
      <c r="N343">
        <f>ROUND(_xlfn.XLOOKUP($D343,Charts!$W$82:$W$112,Charts!$X$82:$X$112)*$L343+_xlfn.XLOOKUP($D343,Charts!$W$82:$W$112,Charts!$Y$82:$Y$112)*$M343,0)</f>
        <v>1966</v>
      </c>
    </row>
    <row r="344" spans="1:14" x14ac:dyDescent="0.25">
      <c r="A344" s="3">
        <f t="shared" si="29"/>
        <v>46000</v>
      </c>
      <c r="B344">
        <f t="shared" si="25"/>
        <v>2025</v>
      </c>
      <c r="C344">
        <f t="shared" si="26"/>
        <v>12</v>
      </c>
      <c r="D344">
        <f t="shared" si="27"/>
        <v>9</v>
      </c>
      <c r="E344" s="2">
        <f t="shared" si="28"/>
        <v>45991</v>
      </c>
      <c r="F344" s="12">
        <f>_xlfn.XLOOKUP($A344,m1_cv!$B:$B,m1_cv!$C:$C)</f>
        <v>1924</v>
      </c>
      <c r="G344">
        <f>MAX(0,ROUND(SUMIFS(m1_cv!$E:$E,m1_cv!$A:$A,$E344,m1_cv!$B:$B,$A344),0))</f>
        <v>3941</v>
      </c>
      <c r="H344">
        <f>MAX(0,ROUND(SUMIFS(m2_cv!$E:$E,m2_cv!$A:$A,$E344,m2_cv!$B:$B,$A344),0))</f>
        <v>2361</v>
      </c>
      <c r="I344">
        <f>MAX(0,ROUND(SUMIFS(m3_cv!$E:$E,m3_cv!$A:$A,$E344,m3_cv!$B:$B,$A344),0))</f>
        <v>2242</v>
      </c>
      <c r="J344">
        <f>MAX(0,ROUND(SUMIFS(m4_cv!$E:$E,m4_cv!$A:$A,$E344,m4_cv!$B:$B,$A344),0))</f>
        <v>2241</v>
      </c>
      <c r="K344">
        <f>MAX(0,ROUND(SUMIFS(m5_cv!$E:$E,m5_cv!$A:$A,$E344,m5_cv!$B:$B,$A344),0))</f>
        <v>2466</v>
      </c>
      <c r="L344">
        <f>MAX(0,ROUND(SUMIFS(m6_cv!$E:$E,m6_cv!$A:$A,$E344,m6_cv!$B:$B,$A344),0))</f>
        <v>1887</v>
      </c>
      <c r="M344">
        <f>MAX(0,ROUND(SUMIFS(m7_cv!$E:$E,m7_cv!$A:$A,$E344,m7_cv!$B:$B,$A344),0))</f>
        <v>2563</v>
      </c>
      <c r="N344">
        <f>ROUND(_xlfn.XLOOKUP($D344,Charts!$W$82:$W$112,Charts!$X$82:$X$112)*$L344+_xlfn.XLOOKUP($D344,Charts!$W$82:$W$112,Charts!$Y$82:$Y$112)*$M344,0)</f>
        <v>2225</v>
      </c>
    </row>
    <row r="345" spans="1:14" x14ac:dyDescent="0.25">
      <c r="A345" s="3">
        <f t="shared" si="29"/>
        <v>46001</v>
      </c>
      <c r="B345">
        <f t="shared" si="25"/>
        <v>2025</v>
      </c>
      <c r="C345">
        <f t="shared" si="26"/>
        <v>12</v>
      </c>
      <c r="D345">
        <f t="shared" si="27"/>
        <v>10</v>
      </c>
      <c r="E345" s="2">
        <f t="shared" si="28"/>
        <v>45991</v>
      </c>
      <c r="F345" s="12">
        <f>_xlfn.XLOOKUP($A345,m1_cv!$B:$B,m1_cv!$C:$C)</f>
        <v>2624</v>
      </c>
      <c r="G345">
        <f>MAX(0,ROUND(SUMIFS(m1_cv!$E:$E,m1_cv!$A:$A,$E345,m1_cv!$B:$B,$A345),0))</f>
        <v>3954</v>
      </c>
      <c r="H345">
        <f>MAX(0,ROUND(SUMIFS(m2_cv!$E:$E,m2_cv!$A:$A,$E345,m2_cv!$B:$B,$A345),0))</f>
        <v>2373</v>
      </c>
      <c r="I345">
        <f>MAX(0,ROUND(SUMIFS(m3_cv!$E:$E,m3_cv!$A:$A,$E345,m3_cv!$B:$B,$A345),0))</f>
        <v>2296</v>
      </c>
      <c r="J345">
        <f>MAX(0,ROUND(SUMIFS(m4_cv!$E:$E,m4_cv!$A:$A,$E345,m4_cv!$B:$B,$A345),0))</f>
        <v>2294</v>
      </c>
      <c r="K345">
        <f>MAX(0,ROUND(SUMIFS(m5_cv!$E:$E,m5_cv!$A:$A,$E345,m5_cv!$B:$B,$A345),0))</f>
        <v>2529</v>
      </c>
      <c r="L345">
        <f>MAX(0,ROUND(SUMIFS(m6_cv!$E:$E,m6_cv!$A:$A,$E345,m6_cv!$B:$B,$A345),0))</f>
        <v>1998</v>
      </c>
      <c r="M345">
        <f>MAX(0,ROUND(SUMIFS(m7_cv!$E:$E,m7_cv!$A:$A,$E345,m7_cv!$B:$B,$A345),0))</f>
        <v>2500</v>
      </c>
      <c r="N345">
        <f>ROUND(_xlfn.XLOOKUP($D345,Charts!$W$82:$W$112,Charts!$X$82:$X$112)*$L345+_xlfn.XLOOKUP($D345,Charts!$W$82:$W$112,Charts!$Y$82:$Y$112)*$M345,0)</f>
        <v>2249</v>
      </c>
    </row>
    <row r="346" spans="1:14" x14ac:dyDescent="0.25">
      <c r="A346" s="3">
        <f t="shared" si="29"/>
        <v>46002</v>
      </c>
      <c r="B346">
        <f t="shared" si="25"/>
        <v>2025</v>
      </c>
      <c r="C346">
        <f t="shared" si="26"/>
        <v>12</v>
      </c>
      <c r="D346">
        <f t="shared" si="27"/>
        <v>11</v>
      </c>
      <c r="E346" s="2">
        <f t="shared" si="28"/>
        <v>45991</v>
      </c>
      <c r="F346" s="12">
        <f>_xlfn.XLOOKUP($A346,m1_cv!$B:$B,m1_cv!$C:$C)</f>
        <v>1853</v>
      </c>
      <c r="G346">
        <f>MAX(0,ROUND(SUMIFS(m1_cv!$E:$E,m1_cv!$A:$A,$E346,m1_cv!$B:$B,$A346),0))</f>
        <v>4010</v>
      </c>
      <c r="H346">
        <f>MAX(0,ROUND(SUMIFS(m2_cv!$E:$E,m2_cv!$A:$A,$E346,m2_cv!$B:$B,$A346),0))</f>
        <v>2628</v>
      </c>
      <c r="I346">
        <f>MAX(0,ROUND(SUMIFS(m3_cv!$E:$E,m3_cv!$A:$A,$E346,m3_cv!$B:$B,$A346),0))</f>
        <v>2602</v>
      </c>
      <c r="J346">
        <f>MAX(0,ROUND(SUMIFS(m4_cv!$E:$E,m4_cv!$A:$A,$E346,m4_cv!$B:$B,$A346),0))</f>
        <v>2601</v>
      </c>
      <c r="K346">
        <f>MAX(0,ROUND(SUMIFS(m5_cv!$E:$E,m5_cv!$A:$A,$E346,m5_cv!$B:$B,$A346),0))</f>
        <v>2700</v>
      </c>
      <c r="L346">
        <f>MAX(0,ROUND(SUMIFS(m6_cv!$E:$E,m6_cv!$A:$A,$E346,m6_cv!$B:$B,$A346),0))</f>
        <v>2205</v>
      </c>
      <c r="M346">
        <f>MAX(0,ROUND(SUMIFS(m7_cv!$E:$E,m7_cv!$A:$A,$E346,m7_cv!$B:$B,$A346),0))</f>
        <v>2606</v>
      </c>
      <c r="N346">
        <f>ROUND(_xlfn.XLOOKUP($D346,Charts!$W$82:$W$112,Charts!$X$82:$X$112)*$L346+_xlfn.XLOOKUP($D346,Charts!$W$82:$W$112,Charts!$Y$82:$Y$112)*$M346,0)</f>
        <v>2486</v>
      </c>
    </row>
    <row r="347" spans="1:14" x14ac:dyDescent="0.25">
      <c r="A347" s="3">
        <f t="shared" si="29"/>
        <v>46003</v>
      </c>
      <c r="B347">
        <f t="shared" si="25"/>
        <v>2025</v>
      </c>
      <c r="C347">
        <f t="shared" si="26"/>
        <v>12</v>
      </c>
      <c r="D347">
        <f t="shared" si="27"/>
        <v>12</v>
      </c>
      <c r="E347" s="2">
        <f t="shared" si="28"/>
        <v>45991</v>
      </c>
      <c r="F347" s="12">
        <f>_xlfn.XLOOKUP($A347,m1_cv!$B:$B,m1_cv!$C:$C)</f>
        <v>3010</v>
      </c>
      <c r="G347">
        <f>MAX(0,ROUND(SUMIFS(m1_cv!$E:$E,m1_cv!$A:$A,$E347,m1_cv!$B:$B,$A347),0))</f>
        <v>3982</v>
      </c>
      <c r="H347">
        <f>MAX(0,ROUND(SUMIFS(m2_cv!$E:$E,m2_cv!$A:$A,$E347,m2_cv!$B:$B,$A347),0))</f>
        <v>2880</v>
      </c>
      <c r="I347">
        <f>MAX(0,ROUND(SUMIFS(m3_cv!$E:$E,m3_cv!$A:$A,$E347,m3_cv!$B:$B,$A347),0))</f>
        <v>2904</v>
      </c>
      <c r="J347">
        <f>MAX(0,ROUND(SUMIFS(m4_cv!$E:$E,m4_cv!$A:$A,$E347,m4_cv!$B:$B,$A347),0))</f>
        <v>2903</v>
      </c>
      <c r="K347">
        <f>MAX(0,ROUND(SUMIFS(m5_cv!$E:$E,m5_cv!$A:$A,$E347,m5_cv!$B:$B,$A347),0))</f>
        <v>2823</v>
      </c>
      <c r="L347">
        <f>MAX(0,ROUND(SUMIFS(m6_cv!$E:$E,m6_cv!$A:$A,$E347,m6_cv!$B:$B,$A347),0))</f>
        <v>2298</v>
      </c>
      <c r="M347">
        <f>MAX(0,ROUND(SUMIFS(m7_cv!$E:$E,m7_cv!$A:$A,$E347,m7_cv!$B:$B,$A347),0))</f>
        <v>2811</v>
      </c>
      <c r="N347">
        <f>ROUND(_xlfn.XLOOKUP($D347,Charts!$W$82:$W$112,Charts!$X$82:$X$112)*$L347+_xlfn.XLOOKUP($D347,Charts!$W$82:$W$112,Charts!$Y$82:$Y$112)*$M347,0)</f>
        <v>2657</v>
      </c>
    </row>
    <row r="348" spans="1:14" x14ac:dyDescent="0.25">
      <c r="A348" s="3">
        <f t="shared" si="29"/>
        <v>46004</v>
      </c>
      <c r="B348">
        <f t="shared" si="25"/>
        <v>2025</v>
      </c>
      <c r="C348">
        <f t="shared" si="26"/>
        <v>12</v>
      </c>
      <c r="D348">
        <f t="shared" si="27"/>
        <v>13</v>
      </c>
      <c r="E348" s="2">
        <f t="shared" si="28"/>
        <v>45991</v>
      </c>
      <c r="F348" s="12">
        <f>_xlfn.XLOOKUP($A348,m1_cv!$B:$B,m1_cv!$C:$C)</f>
        <v>552</v>
      </c>
      <c r="G348">
        <f>MAX(0,ROUND(SUMIFS(m1_cv!$E:$E,m1_cv!$A:$A,$E348,m1_cv!$B:$B,$A348),0))</f>
        <v>1680</v>
      </c>
      <c r="H348">
        <f>MAX(0,ROUND(SUMIFS(m2_cv!$E:$E,m2_cv!$A:$A,$E348,m2_cv!$B:$B,$A348),0))</f>
        <v>754</v>
      </c>
      <c r="I348">
        <f>MAX(0,ROUND(SUMIFS(m3_cv!$E:$E,m3_cv!$A:$A,$E348,m3_cv!$B:$B,$A348),0))</f>
        <v>819</v>
      </c>
      <c r="J348">
        <f>MAX(0,ROUND(SUMIFS(m4_cv!$E:$E,m4_cv!$A:$A,$E348,m4_cv!$B:$B,$A348),0))</f>
        <v>818</v>
      </c>
      <c r="K348">
        <f>MAX(0,ROUND(SUMIFS(m5_cv!$E:$E,m5_cv!$A:$A,$E348,m5_cv!$B:$B,$A348),0))</f>
        <v>631</v>
      </c>
      <c r="L348">
        <f>MAX(0,ROUND(SUMIFS(m6_cv!$E:$E,m6_cv!$A:$A,$E348,m6_cv!$B:$B,$A348),0))</f>
        <v>427</v>
      </c>
      <c r="M348">
        <f>MAX(0,ROUND(SUMIFS(m7_cv!$E:$E,m7_cv!$A:$A,$E348,m7_cv!$B:$B,$A348),0))</f>
        <v>679</v>
      </c>
      <c r="N348">
        <f>ROUND(_xlfn.XLOOKUP($D348,Charts!$W$82:$W$112,Charts!$X$82:$X$112)*$L348+_xlfn.XLOOKUP($D348,Charts!$W$82:$W$112,Charts!$Y$82:$Y$112)*$M348,0)</f>
        <v>603</v>
      </c>
    </row>
    <row r="349" spans="1:14" x14ac:dyDescent="0.25">
      <c r="A349" s="3">
        <f t="shared" si="29"/>
        <v>46005</v>
      </c>
      <c r="B349">
        <f t="shared" si="25"/>
        <v>2025</v>
      </c>
      <c r="C349">
        <f t="shared" si="26"/>
        <v>12</v>
      </c>
      <c r="D349">
        <f t="shared" si="27"/>
        <v>14</v>
      </c>
      <c r="E349" s="2">
        <f t="shared" si="28"/>
        <v>45991</v>
      </c>
      <c r="F349" s="12">
        <f>_xlfn.XLOOKUP($A349,m1_cv!$B:$B,m1_cv!$C:$C)</f>
        <v>162</v>
      </c>
      <c r="G349">
        <f>MAX(0,ROUND(SUMIFS(m1_cv!$E:$E,m1_cv!$A:$A,$E349,m1_cv!$B:$B,$A349),0))</f>
        <v>1069</v>
      </c>
      <c r="H349">
        <f>MAX(0,ROUND(SUMIFS(m2_cv!$E:$E,m2_cv!$A:$A,$E349,m2_cv!$B:$B,$A349),0))</f>
        <v>183</v>
      </c>
      <c r="I349">
        <f>MAX(0,ROUND(SUMIFS(m3_cv!$E:$E,m3_cv!$A:$A,$E349,m3_cv!$B:$B,$A349),0))</f>
        <v>284</v>
      </c>
      <c r="J349">
        <f>MAX(0,ROUND(SUMIFS(m4_cv!$E:$E,m4_cv!$A:$A,$E349,m4_cv!$B:$B,$A349),0))</f>
        <v>282</v>
      </c>
      <c r="K349">
        <f>MAX(0,ROUND(SUMIFS(m5_cv!$E:$E,m5_cv!$A:$A,$E349,m5_cv!$B:$B,$A349),0))</f>
        <v>140</v>
      </c>
      <c r="L349">
        <f>MAX(0,ROUND(SUMIFS(m6_cv!$E:$E,m6_cv!$A:$A,$E349,m6_cv!$B:$B,$A349),0))</f>
        <v>171</v>
      </c>
      <c r="M349">
        <f>MAX(0,ROUND(SUMIFS(m7_cv!$E:$E,m7_cv!$A:$A,$E349,m7_cv!$B:$B,$A349),0))</f>
        <v>180</v>
      </c>
      <c r="N349">
        <f>ROUND(_xlfn.XLOOKUP($D349,Charts!$W$82:$W$112,Charts!$X$82:$X$112)*$L349+_xlfn.XLOOKUP($D349,Charts!$W$82:$W$112,Charts!$Y$82:$Y$112)*$M349,0)</f>
        <v>180</v>
      </c>
    </row>
    <row r="350" spans="1:14" x14ac:dyDescent="0.25">
      <c r="A350" s="3">
        <f t="shared" si="29"/>
        <v>46006</v>
      </c>
      <c r="B350">
        <f t="shared" si="25"/>
        <v>2025</v>
      </c>
      <c r="C350">
        <f t="shared" si="26"/>
        <v>12</v>
      </c>
      <c r="D350">
        <f t="shared" si="27"/>
        <v>15</v>
      </c>
      <c r="E350" s="2">
        <f t="shared" si="28"/>
        <v>45991</v>
      </c>
      <c r="F350" s="12">
        <f>_xlfn.XLOOKUP($A350,m1_cv!$B:$B,m1_cv!$C:$C)</f>
        <v>2685</v>
      </c>
      <c r="G350">
        <f>MAX(0,ROUND(SUMIFS(m1_cv!$E:$E,m1_cv!$A:$A,$E350,m1_cv!$B:$B,$A350),0))</f>
        <v>3323</v>
      </c>
      <c r="H350">
        <f>MAX(0,ROUND(SUMIFS(m2_cv!$E:$E,m2_cv!$A:$A,$E350,m2_cv!$B:$B,$A350),0))</f>
        <v>2480</v>
      </c>
      <c r="I350">
        <f>MAX(0,ROUND(SUMIFS(m3_cv!$E:$E,m3_cv!$A:$A,$E350,m3_cv!$B:$B,$A350),0))</f>
        <v>2775</v>
      </c>
      <c r="J350">
        <f>MAX(0,ROUND(SUMIFS(m4_cv!$E:$E,m4_cv!$A:$A,$E350,m4_cv!$B:$B,$A350),0))</f>
        <v>2773</v>
      </c>
      <c r="K350">
        <f>MAX(0,ROUND(SUMIFS(m5_cv!$E:$E,m5_cv!$A:$A,$E350,m5_cv!$B:$B,$A350),0))</f>
        <v>2788</v>
      </c>
      <c r="L350">
        <f>MAX(0,ROUND(SUMIFS(m6_cv!$E:$E,m6_cv!$A:$A,$E350,m6_cv!$B:$B,$A350),0))</f>
        <v>2317</v>
      </c>
      <c r="M350">
        <f>MAX(0,ROUND(SUMIFS(m7_cv!$E:$E,m7_cv!$A:$A,$E350,m7_cv!$B:$B,$A350),0))</f>
        <v>2795</v>
      </c>
      <c r="N350">
        <f>ROUND(_xlfn.XLOOKUP($D350,Charts!$W$82:$W$112,Charts!$X$82:$X$112)*$L350+_xlfn.XLOOKUP($D350,Charts!$W$82:$W$112,Charts!$Y$82:$Y$112)*$M350,0)</f>
        <v>2795</v>
      </c>
    </row>
    <row r="351" spans="1:14" x14ac:dyDescent="0.25">
      <c r="A351" s="3">
        <f t="shared" si="29"/>
        <v>46007</v>
      </c>
      <c r="B351">
        <f t="shared" si="25"/>
        <v>2025</v>
      </c>
      <c r="C351">
        <f t="shared" si="26"/>
        <v>12</v>
      </c>
      <c r="D351">
        <f t="shared" si="27"/>
        <v>16</v>
      </c>
      <c r="E351" s="2">
        <f t="shared" si="28"/>
        <v>45991</v>
      </c>
      <c r="F351" s="12">
        <f>_xlfn.XLOOKUP($A351,m1_cv!$B:$B,m1_cv!$C:$C)</f>
        <v>3397</v>
      </c>
      <c r="G351">
        <f>MAX(0,ROUND(SUMIFS(m1_cv!$E:$E,m1_cv!$A:$A,$E351,m1_cv!$B:$B,$A351),0))</f>
        <v>3808</v>
      </c>
      <c r="H351">
        <f>MAX(0,ROUND(SUMIFS(m2_cv!$E:$E,m2_cv!$A:$A,$E351,m2_cv!$B:$B,$A351),0))</f>
        <v>3089</v>
      </c>
      <c r="I351">
        <f>MAX(0,ROUND(SUMIFS(m3_cv!$E:$E,m3_cv!$A:$A,$E351,m3_cv!$B:$B,$A351),0))</f>
        <v>3153</v>
      </c>
      <c r="J351">
        <f>MAX(0,ROUND(SUMIFS(m4_cv!$E:$E,m4_cv!$A:$A,$E351,m4_cv!$B:$B,$A351),0))</f>
        <v>3151</v>
      </c>
      <c r="K351">
        <f>MAX(0,ROUND(SUMIFS(m5_cv!$E:$E,m5_cv!$A:$A,$E351,m5_cv!$B:$B,$A351),0))</f>
        <v>3272</v>
      </c>
      <c r="L351">
        <f>MAX(0,ROUND(SUMIFS(m6_cv!$E:$E,m6_cv!$A:$A,$E351,m6_cv!$B:$B,$A351),0))</f>
        <v>3048</v>
      </c>
      <c r="M351">
        <f>MAX(0,ROUND(SUMIFS(m7_cv!$E:$E,m7_cv!$A:$A,$E351,m7_cv!$B:$B,$A351),0))</f>
        <v>3236</v>
      </c>
      <c r="N351">
        <f>ROUND(_xlfn.XLOOKUP($D351,Charts!$W$82:$W$112,Charts!$X$82:$X$112)*$L351+_xlfn.XLOOKUP($D351,Charts!$W$82:$W$112,Charts!$Y$82:$Y$112)*$M351,0)</f>
        <v>3236</v>
      </c>
    </row>
    <row r="352" spans="1:14" x14ac:dyDescent="0.25">
      <c r="A352" s="3">
        <f t="shared" si="29"/>
        <v>46008</v>
      </c>
      <c r="B352">
        <f t="shared" si="25"/>
        <v>2025</v>
      </c>
      <c r="C352">
        <f t="shared" si="26"/>
        <v>12</v>
      </c>
      <c r="D352">
        <f t="shared" si="27"/>
        <v>17</v>
      </c>
      <c r="E352" s="2">
        <f t="shared" si="28"/>
        <v>45991</v>
      </c>
      <c r="F352" s="12">
        <f>_xlfn.XLOOKUP($A352,m1_cv!$B:$B,m1_cv!$C:$C)</f>
        <v>4029</v>
      </c>
      <c r="G352">
        <f>MAX(0,ROUND(SUMIFS(m1_cv!$E:$E,m1_cv!$A:$A,$E352,m1_cv!$B:$B,$A352),0))</f>
        <v>3786</v>
      </c>
      <c r="H352">
        <f>MAX(0,ROUND(SUMIFS(m2_cv!$E:$E,m2_cv!$A:$A,$E352,m2_cv!$B:$B,$A352),0))</f>
        <v>3336</v>
      </c>
      <c r="I352">
        <f>MAX(0,ROUND(SUMIFS(m3_cv!$E:$E,m3_cv!$A:$A,$E352,m3_cv!$B:$B,$A352),0))</f>
        <v>3477</v>
      </c>
      <c r="J352">
        <f>MAX(0,ROUND(SUMIFS(m4_cv!$E:$E,m4_cv!$A:$A,$E352,m4_cv!$B:$B,$A352),0))</f>
        <v>3474</v>
      </c>
      <c r="K352">
        <f>MAX(0,ROUND(SUMIFS(m5_cv!$E:$E,m5_cv!$A:$A,$E352,m5_cv!$B:$B,$A352),0))</f>
        <v>3512</v>
      </c>
      <c r="L352">
        <f>MAX(0,ROUND(SUMIFS(m6_cv!$E:$E,m6_cv!$A:$A,$E352,m6_cv!$B:$B,$A352),0))</f>
        <v>3412</v>
      </c>
      <c r="M352">
        <f>MAX(0,ROUND(SUMIFS(m7_cv!$E:$E,m7_cv!$A:$A,$E352,m7_cv!$B:$B,$A352),0))</f>
        <v>3484</v>
      </c>
      <c r="N352">
        <f>ROUND(_xlfn.XLOOKUP($D352,Charts!$W$82:$W$112,Charts!$X$82:$X$112)*$L352+_xlfn.XLOOKUP($D352,Charts!$W$82:$W$112,Charts!$Y$82:$Y$112)*$M352,0)</f>
        <v>3484</v>
      </c>
    </row>
    <row r="353" spans="1:14" x14ac:dyDescent="0.25">
      <c r="A353" s="3">
        <f t="shared" si="29"/>
        <v>46009</v>
      </c>
      <c r="B353">
        <f t="shared" si="25"/>
        <v>2025</v>
      </c>
      <c r="C353">
        <f t="shared" si="26"/>
        <v>12</v>
      </c>
      <c r="D353">
        <f t="shared" si="27"/>
        <v>18</v>
      </c>
      <c r="E353" s="2">
        <f t="shared" si="28"/>
        <v>45991</v>
      </c>
      <c r="F353" s="12">
        <f>_xlfn.XLOOKUP($A353,m1_cv!$B:$B,m1_cv!$C:$C)</f>
        <v>3874</v>
      </c>
      <c r="G353">
        <f>MAX(0,ROUND(SUMIFS(m1_cv!$E:$E,m1_cv!$A:$A,$E353,m1_cv!$B:$B,$A353),0))</f>
        <v>3808</v>
      </c>
      <c r="H353">
        <f>MAX(0,ROUND(SUMIFS(m2_cv!$E:$E,m2_cv!$A:$A,$E353,m2_cv!$B:$B,$A353),0))</f>
        <v>3588</v>
      </c>
      <c r="I353">
        <f>MAX(0,ROUND(SUMIFS(m3_cv!$E:$E,m3_cv!$A:$A,$E353,m3_cv!$B:$B,$A353),0))</f>
        <v>3800</v>
      </c>
      <c r="J353">
        <f>MAX(0,ROUND(SUMIFS(m4_cv!$E:$E,m4_cv!$A:$A,$E353,m4_cv!$B:$B,$A353),0))</f>
        <v>3798</v>
      </c>
      <c r="K353">
        <f>MAX(0,ROUND(SUMIFS(m5_cv!$E:$E,m5_cv!$A:$A,$E353,m5_cv!$B:$B,$A353),0))</f>
        <v>3661</v>
      </c>
      <c r="L353">
        <f>MAX(0,ROUND(SUMIFS(m6_cv!$E:$E,m6_cv!$A:$A,$E353,m6_cv!$B:$B,$A353),0))</f>
        <v>3783</v>
      </c>
      <c r="M353">
        <f>MAX(0,ROUND(SUMIFS(m7_cv!$E:$E,m7_cv!$A:$A,$E353,m7_cv!$B:$B,$A353),0))</f>
        <v>3662</v>
      </c>
      <c r="N353">
        <f>ROUND(_xlfn.XLOOKUP($D353,Charts!$W$82:$W$112,Charts!$X$82:$X$112)*$L353+_xlfn.XLOOKUP($D353,Charts!$W$82:$W$112,Charts!$Y$82:$Y$112)*$M353,0)</f>
        <v>3662</v>
      </c>
    </row>
    <row r="354" spans="1:14" x14ac:dyDescent="0.25">
      <c r="A354" s="3">
        <f t="shared" si="29"/>
        <v>46010</v>
      </c>
      <c r="B354">
        <f t="shared" si="25"/>
        <v>2025</v>
      </c>
      <c r="C354">
        <f t="shared" si="26"/>
        <v>12</v>
      </c>
      <c r="D354">
        <f t="shared" si="27"/>
        <v>19</v>
      </c>
      <c r="E354" s="2">
        <f t="shared" si="28"/>
        <v>45991</v>
      </c>
      <c r="F354" s="12">
        <f>_xlfn.XLOOKUP($A354,m1_cv!$B:$B,m1_cv!$C:$C)</f>
        <v>4261</v>
      </c>
      <c r="G354">
        <f>MAX(0,ROUND(SUMIFS(m1_cv!$E:$E,m1_cv!$A:$A,$E354,m1_cv!$B:$B,$A354),0))</f>
        <v>3750</v>
      </c>
      <c r="H354">
        <f>MAX(0,ROUND(SUMIFS(m2_cv!$E:$E,m2_cv!$A:$A,$E354,m2_cv!$B:$B,$A354),0))</f>
        <v>3590</v>
      </c>
      <c r="I354">
        <f>MAX(0,ROUND(SUMIFS(m3_cv!$E:$E,m3_cv!$A:$A,$E354,m3_cv!$B:$B,$A354),0))</f>
        <v>3828</v>
      </c>
      <c r="J354">
        <f>MAX(0,ROUND(SUMIFS(m4_cv!$E:$E,m4_cv!$A:$A,$E354,m4_cv!$B:$B,$A354),0))</f>
        <v>3826</v>
      </c>
      <c r="K354">
        <f>MAX(0,ROUND(SUMIFS(m5_cv!$E:$E,m5_cv!$A:$A,$E354,m5_cv!$B:$B,$A354),0))</f>
        <v>3669</v>
      </c>
      <c r="L354">
        <f>MAX(0,ROUND(SUMIFS(m6_cv!$E:$E,m6_cv!$A:$A,$E354,m6_cv!$B:$B,$A354),0))</f>
        <v>3792</v>
      </c>
      <c r="M354">
        <f>MAX(0,ROUND(SUMIFS(m7_cv!$E:$E,m7_cv!$A:$A,$E354,m7_cv!$B:$B,$A354),0))</f>
        <v>3677</v>
      </c>
      <c r="N354">
        <f>ROUND(_xlfn.XLOOKUP($D354,Charts!$W$82:$W$112,Charts!$X$82:$X$112)*$L354+_xlfn.XLOOKUP($D354,Charts!$W$82:$W$112,Charts!$Y$82:$Y$112)*$M354,0)</f>
        <v>3677</v>
      </c>
    </row>
    <row r="355" spans="1:14" x14ac:dyDescent="0.25">
      <c r="A355" s="3">
        <f t="shared" si="29"/>
        <v>46011</v>
      </c>
      <c r="B355">
        <f t="shared" si="25"/>
        <v>2025</v>
      </c>
      <c r="C355">
        <f t="shared" si="26"/>
        <v>12</v>
      </c>
      <c r="D355">
        <f t="shared" si="27"/>
        <v>20</v>
      </c>
      <c r="E355" s="2">
        <f t="shared" si="28"/>
        <v>45991</v>
      </c>
      <c r="F355" s="12">
        <f>_xlfn.XLOOKUP($A355,m1_cv!$B:$B,m1_cv!$C:$C)</f>
        <v>999</v>
      </c>
      <c r="G355">
        <f>MAX(0,ROUND(SUMIFS(m1_cv!$E:$E,m1_cv!$A:$A,$E355,m1_cv!$B:$B,$A355),0))</f>
        <v>1421</v>
      </c>
      <c r="H355">
        <f>MAX(0,ROUND(SUMIFS(m2_cv!$E:$E,m2_cv!$A:$A,$E355,m2_cv!$B:$B,$A355),0))</f>
        <v>1215</v>
      </c>
      <c r="I355">
        <f>MAX(0,ROUND(SUMIFS(m3_cv!$E:$E,m3_cv!$A:$A,$E355,m3_cv!$B:$B,$A355),0))</f>
        <v>1436</v>
      </c>
      <c r="J355">
        <f>MAX(0,ROUND(SUMIFS(m4_cv!$E:$E,m4_cv!$A:$A,$E355,m4_cv!$B:$B,$A355),0))</f>
        <v>1434</v>
      </c>
      <c r="K355">
        <f>MAX(0,ROUND(SUMIFS(m5_cv!$E:$E,m5_cv!$A:$A,$E355,m5_cv!$B:$B,$A355),0))</f>
        <v>1424</v>
      </c>
      <c r="L355">
        <f>MAX(0,ROUND(SUMIFS(m6_cv!$E:$E,m6_cv!$A:$A,$E355,m6_cv!$B:$B,$A355),0))</f>
        <v>670</v>
      </c>
      <c r="M355">
        <f>MAX(0,ROUND(SUMIFS(m7_cv!$E:$E,m7_cv!$A:$A,$E355,m7_cv!$B:$B,$A355),0))</f>
        <v>1483</v>
      </c>
      <c r="N355">
        <f>ROUND(_xlfn.XLOOKUP($D355,Charts!$W$82:$W$112,Charts!$X$82:$X$112)*$L355+_xlfn.XLOOKUP($D355,Charts!$W$82:$W$112,Charts!$Y$82:$Y$112)*$M355,0)</f>
        <v>1483</v>
      </c>
    </row>
    <row r="356" spans="1:14" x14ac:dyDescent="0.25">
      <c r="A356" s="3">
        <f t="shared" si="29"/>
        <v>46012</v>
      </c>
      <c r="B356">
        <f t="shared" si="25"/>
        <v>2025</v>
      </c>
      <c r="C356">
        <f t="shared" si="26"/>
        <v>12</v>
      </c>
      <c r="D356">
        <f t="shared" si="27"/>
        <v>21</v>
      </c>
      <c r="E356" s="2">
        <f t="shared" si="28"/>
        <v>45991</v>
      </c>
      <c r="F356" s="12">
        <f>_xlfn.XLOOKUP($A356,m1_cv!$B:$B,m1_cv!$C:$C)</f>
        <v>251</v>
      </c>
      <c r="G356">
        <f>MAX(0,ROUND(SUMIFS(m1_cv!$E:$E,m1_cv!$A:$A,$E356,m1_cv!$B:$B,$A356),0))</f>
        <v>784</v>
      </c>
      <c r="H356">
        <f>MAX(0,ROUND(SUMIFS(m2_cv!$E:$E,m2_cv!$A:$A,$E356,m2_cv!$B:$B,$A356),0))</f>
        <v>641</v>
      </c>
      <c r="I356">
        <f>MAX(0,ROUND(SUMIFS(m3_cv!$E:$E,m3_cv!$A:$A,$E356,m3_cv!$B:$B,$A356),0))</f>
        <v>850</v>
      </c>
      <c r="J356">
        <f>MAX(0,ROUND(SUMIFS(m4_cv!$E:$E,m4_cv!$A:$A,$E356,m4_cv!$B:$B,$A356),0))</f>
        <v>847</v>
      </c>
      <c r="K356">
        <f>MAX(0,ROUND(SUMIFS(m5_cv!$E:$E,m5_cv!$A:$A,$E356,m5_cv!$B:$B,$A356),0))</f>
        <v>986</v>
      </c>
      <c r="L356">
        <f>MAX(0,ROUND(SUMIFS(m6_cv!$E:$E,m6_cv!$A:$A,$E356,m6_cv!$B:$B,$A356),0))</f>
        <v>257</v>
      </c>
      <c r="M356">
        <f>MAX(0,ROUND(SUMIFS(m7_cv!$E:$E,m7_cv!$A:$A,$E356,m7_cv!$B:$B,$A356),0))</f>
        <v>1018</v>
      </c>
      <c r="N356">
        <f>ROUND(_xlfn.XLOOKUP($D356,Charts!$W$82:$W$112,Charts!$X$82:$X$112)*$L356+_xlfn.XLOOKUP($D356,Charts!$W$82:$W$112,Charts!$Y$82:$Y$112)*$M356,0)</f>
        <v>1018</v>
      </c>
    </row>
    <row r="357" spans="1:14" x14ac:dyDescent="0.25">
      <c r="A357" s="3">
        <f t="shared" si="29"/>
        <v>46013</v>
      </c>
      <c r="B357">
        <f t="shared" si="25"/>
        <v>2025</v>
      </c>
      <c r="C357">
        <f t="shared" si="26"/>
        <v>12</v>
      </c>
      <c r="D357">
        <f t="shared" si="27"/>
        <v>22</v>
      </c>
      <c r="E357" s="2">
        <f t="shared" si="28"/>
        <v>45991</v>
      </c>
      <c r="F357" s="12">
        <f>_xlfn.XLOOKUP($A357,m1_cv!$B:$B,m1_cv!$C:$C)</f>
        <v>4791</v>
      </c>
      <c r="G357">
        <f>MAX(0,ROUND(SUMIFS(m1_cv!$E:$E,m1_cv!$A:$A,$E357,m1_cv!$B:$B,$A357),0))</f>
        <v>3018</v>
      </c>
      <c r="H357">
        <f>MAX(0,ROUND(SUMIFS(m2_cv!$E:$E,m2_cv!$A:$A,$E357,m2_cv!$B:$B,$A357),0))</f>
        <v>3164</v>
      </c>
      <c r="I357">
        <f>MAX(0,ROUND(SUMIFS(m3_cv!$E:$E,m3_cv!$A:$A,$E357,m3_cv!$B:$B,$A357),0))</f>
        <v>3567</v>
      </c>
      <c r="J357">
        <f>MAX(0,ROUND(SUMIFS(m4_cv!$E:$E,m4_cv!$A:$A,$E357,m4_cv!$B:$B,$A357),0))</f>
        <v>3564</v>
      </c>
      <c r="K357">
        <f>MAX(0,ROUND(SUMIFS(m5_cv!$E:$E,m5_cv!$A:$A,$E357,m5_cv!$B:$B,$A357),0))</f>
        <v>3688</v>
      </c>
      <c r="L357">
        <f>MAX(0,ROUND(SUMIFS(m6_cv!$E:$E,m6_cv!$A:$A,$E357,m6_cv!$B:$B,$A357),0))</f>
        <v>3347</v>
      </c>
      <c r="M357">
        <f>MAX(0,ROUND(SUMIFS(m7_cv!$E:$E,m7_cv!$A:$A,$E357,m7_cv!$B:$B,$A357),0))</f>
        <v>3575</v>
      </c>
      <c r="N357">
        <f>ROUND(_xlfn.XLOOKUP($D357,Charts!$W$82:$W$112,Charts!$X$82:$X$112)*$L357+_xlfn.XLOOKUP($D357,Charts!$W$82:$W$112,Charts!$Y$82:$Y$112)*$M357,0)</f>
        <v>3575</v>
      </c>
    </row>
    <row r="358" spans="1:14" x14ac:dyDescent="0.25">
      <c r="A358" s="3">
        <f t="shared" si="29"/>
        <v>46014</v>
      </c>
      <c r="B358">
        <f t="shared" si="25"/>
        <v>2025</v>
      </c>
      <c r="C358">
        <f t="shared" si="26"/>
        <v>12</v>
      </c>
      <c r="D358">
        <f t="shared" si="27"/>
        <v>23</v>
      </c>
      <c r="E358" s="2">
        <f t="shared" si="28"/>
        <v>45991</v>
      </c>
      <c r="F358" s="12">
        <f>_xlfn.XLOOKUP($A358,m1_cv!$B:$B,m1_cv!$C:$C)</f>
        <v>5802</v>
      </c>
      <c r="G358">
        <f>MAX(0,ROUND(SUMIFS(m1_cv!$E:$E,m1_cv!$A:$A,$E358,m1_cv!$B:$B,$A358),0))</f>
        <v>3485</v>
      </c>
      <c r="H358">
        <f>MAX(0,ROUND(SUMIFS(m2_cv!$E:$E,m2_cv!$A:$A,$E358,m2_cv!$B:$B,$A358),0))</f>
        <v>3969</v>
      </c>
      <c r="I358">
        <f>MAX(0,ROUND(SUMIFS(m3_cv!$E:$E,m3_cv!$A:$A,$E358,m3_cv!$B:$B,$A358),0))</f>
        <v>4181</v>
      </c>
      <c r="J358">
        <f>MAX(0,ROUND(SUMIFS(m4_cv!$E:$E,m4_cv!$A:$A,$E358,m4_cv!$B:$B,$A358),0))</f>
        <v>4179</v>
      </c>
      <c r="K358">
        <f>MAX(0,ROUND(SUMIFS(m5_cv!$E:$E,m5_cv!$A:$A,$E358,m5_cv!$B:$B,$A358),0))</f>
        <v>4094</v>
      </c>
      <c r="L358">
        <f>MAX(0,ROUND(SUMIFS(m6_cv!$E:$E,m6_cv!$A:$A,$E358,m6_cv!$B:$B,$A358),0))</f>
        <v>4107</v>
      </c>
      <c r="M358">
        <f>MAX(0,ROUND(SUMIFS(m7_cv!$E:$E,m7_cv!$A:$A,$E358,m7_cv!$B:$B,$A358),0))</f>
        <v>4021</v>
      </c>
      <c r="N358">
        <f>ROUND(_xlfn.XLOOKUP($D358,Charts!$W$82:$W$112,Charts!$X$82:$X$112)*$L358+_xlfn.XLOOKUP($D358,Charts!$W$82:$W$112,Charts!$Y$82:$Y$112)*$M358,0)</f>
        <v>4021</v>
      </c>
    </row>
    <row r="359" spans="1:14" x14ac:dyDescent="0.25">
      <c r="A359" s="3">
        <f t="shared" si="29"/>
        <v>46015</v>
      </c>
      <c r="B359">
        <f t="shared" si="25"/>
        <v>2025</v>
      </c>
      <c r="C359">
        <f t="shared" si="26"/>
        <v>12</v>
      </c>
      <c r="D359">
        <f t="shared" si="27"/>
        <v>24</v>
      </c>
      <c r="E359" s="2">
        <f t="shared" si="28"/>
        <v>45991</v>
      </c>
      <c r="F359" s="12">
        <f>_xlfn.XLOOKUP($A359,m1_cv!$B:$B,m1_cv!$C:$C)</f>
        <v>6117</v>
      </c>
      <c r="G359">
        <f>MAX(0,ROUND(SUMIFS(m1_cv!$E:$E,m1_cv!$A:$A,$E359,m1_cv!$B:$B,$A359),0))</f>
        <v>3449</v>
      </c>
      <c r="H359">
        <f>MAX(0,ROUND(SUMIFS(m2_cv!$E:$E,m2_cv!$A:$A,$E359,m2_cv!$B:$B,$A359),0))</f>
        <v>4152</v>
      </c>
      <c r="I359">
        <f>MAX(0,ROUND(SUMIFS(m3_cv!$E:$E,m3_cv!$A:$A,$E359,m3_cv!$B:$B,$A359),0))</f>
        <v>4483</v>
      </c>
      <c r="J359">
        <f>MAX(0,ROUND(SUMIFS(m4_cv!$E:$E,m4_cv!$A:$A,$E359,m4_cv!$B:$B,$A359),0))</f>
        <v>4481</v>
      </c>
      <c r="K359">
        <f>MAX(0,ROUND(SUMIFS(m5_cv!$E:$E,m5_cv!$A:$A,$E359,m5_cv!$B:$B,$A359),0))</f>
        <v>4111</v>
      </c>
      <c r="L359">
        <f>MAX(0,ROUND(SUMIFS(m6_cv!$E:$E,m6_cv!$A:$A,$E359,m6_cv!$B:$B,$A359),0))</f>
        <v>4073</v>
      </c>
      <c r="M359">
        <f>MAX(0,ROUND(SUMIFS(m7_cv!$E:$E,m7_cv!$A:$A,$E359,m7_cv!$B:$B,$A359),0))</f>
        <v>4214</v>
      </c>
      <c r="N359">
        <f>ROUND(_xlfn.XLOOKUP($D359,Charts!$W$82:$W$112,Charts!$X$82:$X$112)*$L359+_xlfn.XLOOKUP($D359,Charts!$W$82:$W$112,Charts!$Y$82:$Y$112)*$M359,0)</f>
        <v>4073</v>
      </c>
    </row>
    <row r="360" spans="1:14" x14ac:dyDescent="0.25">
      <c r="A360" s="3">
        <f t="shared" si="29"/>
        <v>46016</v>
      </c>
      <c r="B360">
        <f t="shared" si="25"/>
        <v>2025</v>
      </c>
      <c r="C360">
        <f t="shared" si="26"/>
        <v>12</v>
      </c>
      <c r="D360">
        <f t="shared" si="27"/>
        <v>25</v>
      </c>
      <c r="E360" s="2">
        <f t="shared" si="28"/>
        <v>45991</v>
      </c>
      <c r="F360" s="12">
        <f>_xlfn.XLOOKUP($A360,m1_cv!$B:$B,m1_cv!$C:$C)</f>
        <v>400</v>
      </c>
      <c r="G360">
        <f>MAX(0,ROUND(SUMIFS(m1_cv!$E:$E,m1_cv!$A:$A,$E360,m1_cv!$B:$B,$A360),0))</f>
        <v>3462</v>
      </c>
      <c r="H360">
        <f>MAX(0,ROUND(SUMIFS(m2_cv!$E:$E,m2_cv!$A:$A,$E360,m2_cv!$B:$B,$A360),0))</f>
        <v>4152</v>
      </c>
      <c r="I360">
        <f>MAX(0,ROUND(SUMIFS(m3_cv!$E:$E,m3_cv!$A:$A,$E360,m3_cv!$B:$B,$A360),0))</f>
        <v>815</v>
      </c>
      <c r="J360">
        <f>MAX(0,ROUND(SUMIFS(m4_cv!$E:$E,m4_cv!$A:$A,$E360,m4_cv!$B:$B,$A360),0))</f>
        <v>819</v>
      </c>
      <c r="K360">
        <f>MAX(0,ROUND(SUMIFS(m5_cv!$E:$E,m5_cv!$A:$A,$E360,m5_cv!$B:$B,$A360),0))</f>
        <v>898</v>
      </c>
      <c r="L360">
        <f>MAX(0,ROUND(SUMIFS(m6_cv!$E:$E,m6_cv!$A:$A,$E360,m6_cv!$B:$B,$A360),0))</f>
        <v>347</v>
      </c>
      <c r="M360">
        <f>MAX(0,ROUND(SUMIFS(m7_cv!$E:$E,m7_cv!$A:$A,$E360,m7_cv!$B:$B,$A360),0))</f>
        <v>1083</v>
      </c>
      <c r="N360">
        <f>ROUND(_xlfn.XLOOKUP($D360,Charts!$W$82:$W$112,Charts!$X$82:$X$112)*$L360+_xlfn.XLOOKUP($D360,Charts!$W$82:$W$112,Charts!$Y$82:$Y$112)*$M360,0)</f>
        <v>347</v>
      </c>
    </row>
    <row r="361" spans="1:14" x14ac:dyDescent="0.25">
      <c r="A361" s="3">
        <f t="shared" si="29"/>
        <v>46017</v>
      </c>
      <c r="B361">
        <f t="shared" si="25"/>
        <v>2025</v>
      </c>
      <c r="C361">
        <f t="shared" si="26"/>
        <v>12</v>
      </c>
      <c r="D361">
        <f t="shared" si="27"/>
        <v>26</v>
      </c>
      <c r="E361" s="2">
        <f t="shared" si="28"/>
        <v>45991</v>
      </c>
      <c r="F361" s="12">
        <f>_xlfn.XLOOKUP($A361,m1_cv!$B:$B,m1_cv!$C:$C)</f>
        <v>6559</v>
      </c>
      <c r="G361">
        <f>MAX(0,ROUND(SUMIFS(m1_cv!$E:$E,m1_cv!$A:$A,$E361,m1_cv!$B:$B,$A361),0))</f>
        <v>3398</v>
      </c>
      <c r="H361">
        <f>MAX(0,ROUND(SUMIFS(m2_cv!$E:$E,m2_cv!$A:$A,$E361,m2_cv!$B:$B,$A361),0))</f>
        <v>4067</v>
      </c>
      <c r="I361">
        <f>MAX(0,ROUND(SUMIFS(m3_cv!$E:$E,m3_cv!$A:$A,$E361,m3_cv!$B:$B,$A361),0))</f>
        <v>4465</v>
      </c>
      <c r="J361">
        <f>MAX(0,ROUND(SUMIFS(m4_cv!$E:$E,m4_cv!$A:$A,$E361,m4_cv!$B:$B,$A361),0))</f>
        <v>4462</v>
      </c>
      <c r="K361">
        <f>MAX(0,ROUND(SUMIFS(m5_cv!$E:$E,m5_cv!$A:$A,$E361,m5_cv!$B:$B,$A361),0))</f>
        <v>4808</v>
      </c>
      <c r="L361">
        <f>MAX(0,ROUND(SUMIFS(m6_cv!$E:$E,m6_cv!$A:$A,$E361,m6_cv!$B:$B,$A361),0))</f>
        <v>6180</v>
      </c>
      <c r="M361">
        <f>MAX(0,ROUND(SUMIFS(m7_cv!$E:$E,m7_cv!$A:$A,$E361,m7_cv!$B:$B,$A361),0))</f>
        <v>4761</v>
      </c>
      <c r="N361">
        <f>ROUND(_xlfn.XLOOKUP($D361,Charts!$W$82:$W$112,Charts!$X$82:$X$112)*$L361+_xlfn.XLOOKUP($D361,Charts!$W$82:$W$112,Charts!$Y$82:$Y$112)*$M361,0)</f>
        <v>6180</v>
      </c>
    </row>
    <row r="362" spans="1:14" x14ac:dyDescent="0.25">
      <c r="A362" s="3">
        <f t="shared" si="29"/>
        <v>46018</v>
      </c>
      <c r="B362">
        <f t="shared" si="25"/>
        <v>2025</v>
      </c>
      <c r="C362">
        <f t="shared" si="26"/>
        <v>12</v>
      </c>
      <c r="D362">
        <f t="shared" si="27"/>
        <v>27</v>
      </c>
      <c r="E362" s="2">
        <f t="shared" si="28"/>
        <v>45991</v>
      </c>
      <c r="F362" s="12">
        <f>_xlfn.XLOOKUP($A362,m1_cv!$B:$B,m1_cv!$C:$C)</f>
        <v>1928</v>
      </c>
      <c r="G362">
        <f>MAX(0,ROUND(SUMIFS(m1_cv!$E:$E,m1_cv!$A:$A,$E362,m1_cv!$B:$B,$A362),0))</f>
        <v>1067</v>
      </c>
      <c r="H362">
        <f>MAX(0,ROUND(SUMIFS(m2_cv!$E:$E,m2_cv!$A:$A,$E362,m2_cv!$B:$B,$A362),0))</f>
        <v>2102</v>
      </c>
      <c r="I362">
        <f>MAX(0,ROUND(SUMIFS(m3_cv!$E:$E,m3_cv!$A:$A,$E362,m3_cv!$B:$B,$A362),0))</f>
        <v>2443</v>
      </c>
      <c r="J362">
        <f>MAX(0,ROUND(SUMIFS(m4_cv!$E:$E,m4_cv!$A:$A,$E362,m4_cv!$B:$B,$A362),0))</f>
        <v>2440</v>
      </c>
      <c r="K362">
        <f>MAX(0,ROUND(SUMIFS(m5_cv!$E:$E,m5_cv!$A:$A,$E362,m5_cv!$B:$B,$A362),0))</f>
        <v>2794</v>
      </c>
      <c r="L362">
        <f>MAX(0,ROUND(SUMIFS(m6_cv!$E:$E,m6_cv!$A:$A,$E362,m6_cv!$B:$B,$A362),0))</f>
        <v>1000</v>
      </c>
      <c r="M362">
        <f>MAX(0,ROUND(SUMIFS(m7_cv!$E:$E,m7_cv!$A:$A,$E362,m7_cv!$B:$B,$A362),0))</f>
        <v>2710</v>
      </c>
      <c r="N362">
        <f>ROUND(_xlfn.XLOOKUP($D362,Charts!$W$82:$W$112,Charts!$X$82:$X$112)*$L362+_xlfn.XLOOKUP($D362,Charts!$W$82:$W$112,Charts!$Y$82:$Y$112)*$M362,0)</f>
        <v>1000</v>
      </c>
    </row>
    <row r="363" spans="1:14" x14ac:dyDescent="0.25">
      <c r="A363" s="3">
        <f t="shared" si="29"/>
        <v>46019</v>
      </c>
      <c r="B363">
        <f t="shared" si="25"/>
        <v>2025</v>
      </c>
      <c r="C363">
        <f t="shared" si="26"/>
        <v>12</v>
      </c>
      <c r="D363">
        <f t="shared" si="27"/>
        <v>28</v>
      </c>
      <c r="E363" s="2">
        <f t="shared" si="28"/>
        <v>45991</v>
      </c>
      <c r="F363" s="12">
        <f>_xlfn.XLOOKUP($A363,m1_cv!$B:$B,m1_cv!$C:$C)</f>
        <v>428</v>
      </c>
      <c r="G363">
        <f>MAX(0,ROUND(SUMIFS(m1_cv!$E:$E,m1_cv!$A:$A,$E363,m1_cv!$B:$B,$A363),0))</f>
        <v>433</v>
      </c>
      <c r="H363">
        <f>MAX(0,ROUND(SUMIFS(m2_cv!$E:$E,m2_cv!$A:$A,$E363,m2_cv!$B:$B,$A363),0))</f>
        <v>2408</v>
      </c>
      <c r="I363">
        <f>MAX(0,ROUND(SUMIFS(m3_cv!$E:$E,m3_cv!$A:$A,$E363,m3_cv!$B:$B,$A363),0))</f>
        <v>2726</v>
      </c>
      <c r="J363">
        <f>MAX(0,ROUND(SUMIFS(m4_cv!$E:$E,m4_cv!$A:$A,$E363,m4_cv!$B:$B,$A363),0))</f>
        <v>2723</v>
      </c>
      <c r="K363">
        <f>MAX(0,ROUND(SUMIFS(m5_cv!$E:$E,m5_cv!$A:$A,$E363,m5_cv!$B:$B,$A363),0))</f>
        <v>2691</v>
      </c>
      <c r="L363">
        <f>MAX(0,ROUND(SUMIFS(m6_cv!$E:$E,m6_cv!$A:$A,$E363,m6_cv!$B:$B,$A363),0))</f>
        <v>375</v>
      </c>
      <c r="M363">
        <f>MAX(0,ROUND(SUMIFS(m7_cv!$E:$E,m7_cv!$A:$A,$E363,m7_cv!$B:$B,$A363),0))</f>
        <v>2628</v>
      </c>
      <c r="N363">
        <f>ROUND(_xlfn.XLOOKUP($D363,Charts!$W$82:$W$112,Charts!$X$82:$X$112)*$L363+_xlfn.XLOOKUP($D363,Charts!$W$82:$W$112,Charts!$Y$82:$Y$112)*$M363,0)</f>
        <v>375</v>
      </c>
    </row>
    <row r="364" spans="1:14" x14ac:dyDescent="0.25">
      <c r="A364" s="3">
        <f t="shared" si="29"/>
        <v>46020</v>
      </c>
      <c r="B364">
        <f t="shared" si="25"/>
        <v>2025</v>
      </c>
      <c r="C364">
        <f t="shared" si="26"/>
        <v>12</v>
      </c>
      <c r="D364">
        <f t="shared" si="27"/>
        <v>29</v>
      </c>
      <c r="E364" s="2">
        <f t="shared" si="28"/>
        <v>45991</v>
      </c>
      <c r="F364" s="12">
        <f>_xlfn.XLOOKUP($A364,m1_cv!$B:$B,m1_cv!$C:$C)</f>
        <v>7441</v>
      </c>
      <c r="G364">
        <f>MAX(0,ROUND(SUMIFS(m1_cv!$E:$E,m1_cv!$A:$A,$E364,m1_cv!$B:$B,$A364),0))</f>
        <v>2672</v>
      </c>
      <c r="H364">
        <f>MAX(0,ROUND(SUMIFS(m2_cv!$E:$E,m2_cv!$A:$A,$E364,m2_cv!$B:$B,$A364),0))</f>
        <v>5837</v>
      </c>
      <c r="I364">
        <f>MAX(0,ROUND(SUMIFS(m3_cv!$E:$E,m3_cv!$A:$A,$E364,m3_cv!$B:$B,$A364),0))</f>
        <v>6369</v>
      </c>
      <c r="J364">
        <f>MAX(0,ROUND(SUMIFS(m4_cv!$E:$E,m4_cv!$A:$A,$E364,m4_cv!$B:$B,$A364),0))</f>
        <v>6366</v>
      </c>
      <c r="K364">
        <f>MAX(0,ROUND(SUMIFS(m5_cv!$E:$E,m5_cv!$A:$A,$E364,m5_cv!$B:$B,$A364),0))</f>
        <v>5568</v>
      </c>
      <c r="L364">
        <f>MAX(0,ROUND(SUMIFS(m6_cv!$E:$E,m6_cv!$A:$A,$E364,m6_cv!$B:$B,$A364),0))</f>
        <v>4891</v>
      </c>
      <c r="M364">
        <f>MAX(0,ROUND(SUMIFS(m7_cv!$E:$E,m7_cv!$A:$A,$E364,m7_cv!$B:$B,$A364),0))</f>
        <v>5620</v>
      </c>
      <c r="N364">
        <f>ROUND(_xlfn.XLOOKUP($D364,Charts!$W$82:$W$112,Charts!$X$82:$X$112)*$L364+_xlfn.XLOOKUP($D364,Charts!$W$82:$W$112,Charts!$Y$82:$Y$112)*$M364,0)</f>
        <v>5620</v>
      </c>
    </row>
    <row r="365" spans="1:14" x14ac:dyDescent="0.25">
      <c r="A365" s="3">
        <f t="shared" si="29"/>
        <v>46021</v>
      </c>
      <c r="B365">
        <f t="shared" si="25"/>
        <v>2025</v>
      </c>
      <c r="C365">
        <f t="shared" si="26"/>
        <v>12</v>
      </c>
      <c r="D365">
        <f t="shared" si="27"/>
        <v>30</v>
      </c>
      <c r="E365" s="2">
        <f t="shared" si="28"/>
        <v>45991</v>
      </c>
      <c r="F365" s="12">
        <f>_xlfn.XLOOKUP($A365,m1_cv!$B:$B,m1_cv!$C:$C)</f>
        <v>10603</v>
      </c>
      <c r="G365">
        <f>MAX(0,ROUND(SUMIFS(m1_cv!$E:$E,m1_cv!$A:$A,$E365,m1_cv!$B:$B,$A365),0))</f>
        <v>3148</v>
      </c>
      <c r="H365">
        <f>MAX(0,ROUND(SUMIFS(m2_cv!$E:$E,m2_cv!$A:$A,$E365,m2_cv!$B:$B,$A365),0))</f>
        <v>6988</v>
      </c>
      <c r="I365">
        <f>MAX(0,ROUND(SUMIFS(m3_cv!$E:$E,m3_cv!$A:$A,$E365,m3_cv!$B:$B,$A365),0))</f>
        <v>7345</v>
      </c>
      <c r="J365">
        <f>MAX(0,ROUND(SUMIFS(m4_cv!$E:$E,m4_cv!$A:$A,$E365,m4_cv!$B:$B,$A365),0))</f>
        <v>7344</v>
      </c>
      <c r="K365">
        <f>MAX(0,ROUND(SUMIFS(m5_cv!$E:$E,m5_cv!$A:$A,$E365,m5_cv!$B:$B,$A365),0))</f>
        <v>8161</v>
      </c>
      <c r="L365">
        <f>MAX(0,ROUND(SUMIFS(m6_cv!$E:$E,m6_cv!$A:$A,$E365,m6_cv!$B:$B,$A365),0))</f>
        <v>11177</v>
      </c>
      <c r="M365">
        <f>MAX(0,ROUND(SUMIFS(m7_cv!$E:$E,m7_cv!$A:$A,$E365,m7_cv!$B:$B,$A365),0))</f>
        <v>8328</v>
      </c>
      <c r="N365">
        <f>ROUND(_xlfn.XLOOKUP($D365,Charts!$W$82:$W$112,Charts!$X$82:$X$112)*$L365+_xlfn.XLOOKUP($D365,Charts!$W$82:$W$112,Charts!$Y$82:$Y$112)*$M365,0)</f>
        <v>8328</v>
      </c>
    </row>
    <row r="366" spans="1:14" x14ac:dyDescent="0.25">
      <c r="A366" s="3">
        <f t="shared" si="29"/>
        <v>46022</v>
      </c>
      <c r="B366">
        <f t="shared" si="25"/>
        <v>2025</v>
      </c>
      <c r="C366">
        <f t="shared" si="26"/>
        <v>12</v>
      </c>
      <c r="D366">
        <f t="shared" si="27"/>
        <v>31</v>
      </c>
      <c r="E366" s="2">
        <f t="shared" si="28"/>
        <v>45991</v>
      </c>
      <c r="F366" s="12">
        <f>_xlfn.XLOOKUP($A366,m1_cv!$B:$B,m1_cv!$C:$C)</f>
        <v>15370</v>
      </c>
      <c r="G366">
        <f>MAX(0,ROUND(SUMIFS(m1_cv!$E:$E,m1_cv!$A:$A,$E366,m1_cv!$B:$B,$A366),0))</f>
        <v>3124</v>
      </c>
      <c r="H366">
        <f>MAX(0,ROUND(SUMIFS(m2_cv!$E:$E,m2_cv!$A:$A,$E366,m2_cv!$B:$B,$A366),0))</f>
        <v>6614</v>
      </c>
      <c r="I366">
        <f>MAX(0,ROUND(SUMIFS(m3_cv!$E:$E,m3_cv!$A:$A,$E366,m3_cv!$B:$B,$A366),0))</f>
        <v>7065</v>
      </c>
      <c r="J366">
        <f>MAX(0,ROUND(SUMIFS(m4_cv!$E:$E,m4_cv!$A:$A,$E366,m4_cv!$B:$B,$A366),0))</f>
        <v>7063</v>
      </c>
      <c r="K366">
        <f>MAX(0,ROUND(SUMIFS(m5_cv!$E:$E,m5_cv!$A:$A,$E366,m5_cv!$B:$B,$A366),0))</f>
        <v>10089</v>
      </c>
      <c r="L366">
        <f>MAX(0,ROUND(SUMIFS(m6_cv!$E:$E,m6_cv!$A:$A,$E366,m6_cv!$B:$B,$A366),0))</f>
        <v>16784</v>
      </c>
      <c r="M366">
        <f>MAX(0,ROUND(SUMIFS(m7_cv!$E:$E,m7_cv!$A:$A,$E366,m7_cv!$B:$B,$A366),0))</f>
        <v>10124</v>
      </c>
      <c r="N366">
        <f>ROUND(_xlfn.XLOOKUP($D366,Charts!$W$82:$W$112,Charts!$X$82:$X$112)*$L366+_xlfn.XLOOKUP($D366,Charts!$W$82:$W$112,Charts!$Y$82:$Y$112)*$M366,0)</f>
        <v>10124</v>
      </c>
    </row>
    <row r="367" spans="1:14" x14ac:dyDescent="0.25">
      <c r="A367" s="3">
        <f t="shared" si="29"/>
        <v>46023</v>
      </c>
      <c r="B367">
        <f t="shared" si="25"/>
        <v>2026</v>
      </c>
      <c r="C367">
        <f t="shared" si="26"/>
        <v>1</v>
      </c>
      <c r="D367">
        <f t="shared" si="27"/>
        <v>1</v>
      </c>
      <c r="E367" s="2">
        <f t="shared" si="28"/>
        <v>46022</v>
      </c>
      <c r="F367" s="12">
        <f>_xlfn.XLOOKUP($A367,m1_cv!$B:$B,m1_cv!$C:$C)</f>
        <v>2584</v>
      </c>
      <c r="G367">
        <f>MAX(0,ROUND(SUMIFS(m1_cv!$E:$E,m1_cv!$A:$A,$E367,m1_cv!$B:$B,$A367),0))</f>
        <v>3633</v>
      </c>
      <c r="H367">
        <f>MAX(0,ROUND(SUMIFS(m2_cv!$E:$E,m2_cv!$A:$A,$E367,m2_cv!$B:$B,$A367),0))</f>
        <v>5449</v>
      </c>
      <c r="I367">
        <f>MAX(0,ROUND(SUMIFS(m3_cv!$E:$E,m3_cv!$A:$A,$E367,m3_cv!$B:$B,$A367),0))</f>
        <v>4108</v>
      </c>
      <c r="J367">
        <f>MAX(0,ROUND(SUMIFS(m4_cv!$E:$E,m4_cv!$A:$A,$E367,m4_cv!$B:$B,$A367),0))</f>
        <v>4110</v>
      </c>
      <c r="K367">
        <f>MAX(0,ROUND(SUMIFS(m5_cv!$E:$E,m5_cv!$A:$A,$E367,m5_cv!$B:$B,$A367),0))</f>
        <v>1132</v>
      </c>
      <c r="L367">
        <f>MAX(0,ROUND(SUMIFS(m6_cv!$E:$E,m6_cv!$A:$A,$E367,m6_cv!$B:$B,$A367),0))</f>
        <v>98</v>
      </c>
      <c r="M367">
        <f>MAX(0,ROUND(SUMIFS(m7_cv!$E:$E,m7_cv!$A:$A,$E367,m7_cv!$B:$B,$A367),0))</f>
        <v>873</v>
      </c>
      <c r="N367">
        <f>ROUND(_xlfn.XLOOKUP($D367,Charts!$W$82:$W$112,Charts!$X$82:$X$112)*$L367+_xlfn.XLOOKUP($D367,Charts!$W$82:$W$112,Charts!$Y$82:$Y$112)*$M367,0)</f>
        <v>98</v>
      </c>
    </row>
    <row r="368" spans="1:14" x14ac:dyDescent="0.25">
      <c r="A368" s="3">
        <f t="shared" si="29"/>
        <v>46024</v>
      </c>
      <c r="B368">
        <f t="shared" si="25"/>
        <v>2026</v>
      </c>
      <c r="C368">
        <f t="shared" si="26"/>
        <v>1</v>
      </c>
      <c r="D368">
        <f t="shared" si="27"/>
        <v>2</v>
      </c>
      <c r="E368" s="2">
        <f t="shared" si="28"/>
        <v>46022</v>
      </c>
      <c r="F368" s="12">
        <f>_xlfn.XLOOKUP($A368,m1_cv!$B:$B,m1_cv!$C:$C)</f>
        <v>1536</v>
      </c>
      <c r="G368">
        <f>MAX(0,ROUND(SUMIFS(m1_cv!$E:$E,m1_cv!$A:$A,$E368,m1_cv!$B:$B,$A368),0))</f>
        <v>3609</v>
      </c>
      <c r="H368">
        <f>MAX(0,ROUND(SUMIFS(m2_cv!$E:$E,m2_cv!$A:$A,$E368,m2_cv!$B:$B,$A368),0))</f>
        <v>3535</v>
      </c>
      <c r="I368">
        <f>MAX(0,ROUND(SUMIFS(m3_cv!$E:$E,m3_cv!$A:$A,$E368,m3_cv!$B:$B,$A368),0))</f>
        <v>3923</v>
      </c>
      <c r="J368">
        <f>MAX(0,ROUND(SUMIFS(m4_cv!$E:$E,m4_cv!$A:$A,$E368,m4_cv!$B:$B,$A368),0))</f>
        <v>3921</v>
      </c>
      <c r="K368">
        <f>MAX(0,ROUND(SUMIFS(m5_cv!$E:$E,m5_cv!$A:$A,$E368,m5_cv!$B:$B,$A368),0))</f>
        <v>2167</v>
      </c>
      <c r="L368">
        <f>MAX(0,ROUND(SUMIFS(m6_cv!$E:$E,m6_cv!$A:$A,$E368,m6_cv!$B:$B,$A368),0))</f>
        <v>527</v>
      </c>
      <c r="M368">
        <f>MAX(0,ROUND(SUMIFS(m7_cv!$E:$E,m7_cv!$A:$A,$E368,m7_cv!$B:$B,$A368),0))</f>
        <v>2052</v>
      </c>
      <c r="N368">
        <f>ROUND(_xlfn.XLOOKUP($D368,Charts!$W$82:$W$112,Charts!$X$82:$X$112)*$L368+_xlfn.XLOOKUP($D368,Charts!$W$82:$W$112,Charts!$Y$82:$Y$112)*$M368,0)</f>
        <v>527</v>
      </c>
    </row>
    <row r="369" spans="1:14" x14ac:dyDescent="0.25">
      <c r="A369" s="3">
        <f t="shared" si="29"/>
        <v>46025</v>
      </c>
      <c r="B369">
        <f t="shared" si="25"/>
        <v>2026</v>
      </c>
      <c r="C369">
        <f t="shared" si="26"/>
        <v>1</v>
      </c>
      <c r="D369">
        <f t="shared" si="27"/>
        <v>3</v>
      </c>
      <c r="E369" s="2">
        <f t="shared" si="28"/>
        <v>46022</v>
      </c>
      <c r="F369" s="12">
        <f>_xlfn.XLOOKUP($A369,m1_cv!$B:$B,m1_cv!$C:$C)</f>
        <v>80</v>
      </c>
      <c r="G369">
        <f>MAX(0,ROUND(SUMIFS(m1_cv!$E:$E,m1_cv!$A:$A,$E369,m1_cv!$B:$B,$A369),0))</f>
        <v>1262</v>
      </c>
      <c r="H369">
        <f>MAX(0,ROUND(SUMIFS(m2_cv!$E:$E,m2_cv!$A:$A,$E369,m2_cv!$B:$B,$A369),0))</f>
        <v>0</v>
      </c>
      <c r="I369">
        <f>MAX(0,ROUND(SUMIFS(m3_cv!$E:$E,m3_cv!$A:$A,$E369,m3_cv!$B:$B,$A369),0))</f>
        <v>12</v>
      </c>
      <c r="J369">
        <f>MAX(0,ROUND(SUMIFS(m4_cv!$E:$E,m4_cv!$A:$A,$E369,m4_cv!$B:$B,$A369),0))</f>
        <v>9</v>
      </c>
      <c r="K369">
        <f>MAX(0,ROUND(SUMIFS(m5_cv!$E:$E,m5_cv!$A:$A,$E369,m5_cv!$B:$B,$A369),0))</f>
        <v>0</v>
      </c>
      <c r="L369">
        <f>MAX(0,ROUND(SUMIFS(m6_cv!$E:$E,m6_cv!$A:$A,$E369,m6_cv!$B:$B,$A369),0))</f>
        <v>120</v>
      </c>
      <c r="M369">
        <f>MAX(0,ROUND(SUMIFS(m7_cv!$E:$E,m7_cv!$A:$A,$E369,m7_cv!$B:$B,$A369),0))</f>
        <v>0</v>
      </c>
      <c r="N369">
        <f>ROUND(_xlfn.XLOOKUP($D369,Charts!$W$82:$W$112,Charts!$X$82:$X$112)*$L369+_xlfn.XLOOKUP($D369,Charts!$W$82:$W$112,Charts!$Y$82:$Y$112)*$M369,0)</f>
        <v>120</v>
      </c>
    </row>
    <row r="370" spans="1:14" x14ac:dyDescent="0.25">
      <c r="A370" s="3">
        <f t="shared" si="29"/>
        <v>46026</v>
      </c>
      <c r="B370">
        <f t="shared" si="25"/>
        <v>2026</v>
      </c>
      <c r="C370">
        <f t="shared" si="26"/>
        <v>1</v>
      </c>
      <c r="D370">
        <f t="shared" si="27"/>
        <v>4</v>
      </c>
      <c r="E370" s="2">
        <f t="shared" si="28"/>
        <v>46022</v>
      </c>
      <c r="F370" s="12">
        <f>_xlfn.XLOOKUP($A370,m1_cv!$B:$B,m1_cv!$C:$C)</f>
        <v>17</v>
      </c>
      <c r="G370">
        <f>MAX(0,ROUND(SUMIFS(m1_cv!$E:$E,m1_cv!$A:$A,$E370,m1_cv!$B:$B,$A370),0))</f>
        <v>621</v>
      </c>
      <c r="H370">
        <f>MAX(0,ROUND(SUMIFS(m2_cv!$E:$E,m2_cv!$A:$A,$E370,m2_cv!$B:$B,$A370),0))</f>
        <v>0</v>
      </c>
      <c r="I370">
        <f>MAX(0,ROUND(SUMIFS(m3_cv!$E:$E,m3_cv!$A:$A,$E370,m3_cv!$B:$B,$A370),0))</f>
        <v>0</v>
      </c>
      <c r="J370">
        <f>MAX(0,ROUND(SUMIFS(m4_cv!$E:$E,m4_cv!$A:$A,$E370,m4_cv!$B:$B,$A370),0))</f>
        <v>0</v>
      </c>
      <c r="K370">
        <f>MAX(0,ROUND(SUMIFS(m5_cv!$E:$E,m5_cv!$A:$A,$E370,m5_cv!$B:$B,$A370),0))</f>
        <v>0</v>
      </c>
      <c r="L370">
        <f>MAX(0,ROUND(SUMIFS(m6_cv!$E:$E,m6_cv!$A:$A,$E370,m6_cv!$B:$B,$A370),0))</f>
        <v>40</v>
      </c>
      <c r="M370">
        <f>MAX(0,ROUND(SUMIFS(m7_cv!$E:$E,m7_cv!$A:$A,$E370,m7_cv!$B:$B,$A370),0))</f>
        <v>0</v>
      </c>
      <c r="N370">
        <f>ROUND(_xlfn.XLOOKUP($D370,Charts!$W$82:$W$112,Charts!$X$82:$X$112)*$L370+_xlfn.XLOOKUP($D370,Charts!$W$82:$W$112,Charts!$Y$82:$Y$112)*$M370,0)</f>
        <v>40</v>
      </c>
    </row>
    <row r="371" spans="1:14" x14ac:dyDescent="0.25">
      <c r="A371" s="3">
        <f t="shared" si="29"/>
        <v>46027</v>
      </c>
      <c r="B371">
        <f t="shared" si="25"/>
        <v>2026</v>
      </c>
      <c r="C371">
        <f t="shared" si="26"/>
        <v>1</v>
      </c>
      <c r="D371">
        <f t="shared" si="27"/>
        <v>5</v>
      </c>
      <c r="E371" s="2">
        <f t="shared" si="28"/>
        <v>46022</v>
      </c>
      <c r="F371" s="12">
        <f>_xlfn.XLOOKUP($A371,m1_cv!$B:$B,m1_cv!$C:$C)</f>
        <v>340</v>
      </c>
      <c r="G371">
        <f>MAX(0,ROUND(SUMIFS(m1_cv!$E:$E,m1_cv!$A:$A,$E371,m1_cv!$B:$B,$A371),0))</f>
        <v>2871</v>
      </c>
      <c r="H371">
        <f>MAX(0,ROUND(SUMIFS(m2_cv!$E:$E,m2_cv!$A:$A,$E371,m2_cv!$B:$B,$A371),0))</f>
        <v>969</v>
      </c>
      <c r="I371">
        <f>MAX(0,ROUND(SUMIFS(m3_cv!$E:$E,m3_cv!$A:$A,$E371,m3_cv!$B:$B,$A371),0))</f>
        <v>1403</v>
      </c>
      <c r="J371">
        <f>MAX(0,ROUND(SUMIFS(m4_cv!$E:$E,m4_cv!$A:$A,$E371,m4_cv!$B:$B,$A371),0))</f>
        <v>1398</v>
      </c>
      <c r="K371">
        <f>MAX(0,ROUND(SUMIFS(m5_cv!$E:$E,m5_cv!$A:$A,$E371,m5_cv!$B:$B,$A371),0))</f>
        <v>1722</v>
      </c>
      <c r="L371">
        <f>MAX(0,ROUND(SUMIFS(m6_cv!$E:$E,m6_cv!$A:$A,$E371,m6_cv!$B:$B,$A371),0))</f>
        <v>522</v>
      </c>
      <c r="M371">
        <f>MAX(0,ROUND(SUMIFS(m7_cv!$E:$E,m7_cv!$A:$A,$E371,m7_cv!$B:$B,$A371),0))</f>
        <v>1584</v>
      </c>
      <c r="N371">
        <f>ROUND(_xlfn.XLOOKUP($D371,Charts!$W$82:$W$112,Charts!$X$82:$X$112)*$L371+_xlfn.XLOOKUP($D371,Charts!$W$82:$W$112,Charts!$Y$82:$Y$112)*$M371,0)</f>
        <v>734</v>
      </c>
    </row>
    <row r="372" spans="1:14" x14ac:dyDescent="0.25">
      <c r="A372" s="3">
        <f t="shared" si="29"/>
        <v>46028</v>
      </c>
      <c r="B372">
        <f t="shared" si="25"/>
        <v>2026</v>
      </c>
      <c r="C372">
        <f t="shared" si="26"/>
        <v>1</v>
      </c>
      <c r="D372">
        <f t="shared" si="27"/>
        <v>6</v>
      </c>
      <c r="E372" s="2">
        <f t="shared" si="28"/>
        <v>46022</v>
      </c>
      <c r="F372" s="12">
        <f>_xlfn.XLOOKUP($A372,m1_cv!$B:$B,m1_cv!$C:$C)</f>
        <v>485</v>
      </c>
      <c r="G372">
        <f>MAX(0,ROUND(SUMIFS(m1_cv!$E:$E,m1_cv!$A:$A,$E372,m1_cv!$B:$B,$A372),0))</f>
        <v>3349</v>
      </c>
      <c r="H372">
        <f>MAX(0,ROUND(SUMIFS(m2_cv!$E:$E,m2_cv!$A:$A,$E372,m2_cv!$B:$B,$A372),0))</f>
        <v>1852</v>
      </c>
      <c r="I372">
        <f>MAX(0,ROUND(SUMIFS(m3_cv!$E:$E,m3_cv!$A:$A,$E372,m3_cv!$B:$B,$A372),0))</f>
        <v>2026</v>
      </c>
      <c r="J372">
        <f>MAX(0,ROUND(SUMIFS(m4_cv!$E:$E,m4_cv!$A:$A,$E372,m4_cv!$B:$B,$A372),0))</f>
        <v>2022</v>
      </c>
      <c r="K372">
        <f>MAX(0,ROUND(SUMIFS(m5_cv!$E:$E,m5_cv!$A:$A,$E372,m5_cv!$B:$B,$A372),0))</f>
        <v>1992</v>
      </c>
      <c r="L372">
        <f>MAX(0,ROUND(SUMIFS(m6_cv!$E:$E,m6_cv!$A:$A,$E372,m6_cv!$B:$B,$A372),0))</f>
        <v>672</v>
      </c>
      <c r="M372">
        <f>MAX(0,ROUND(SUMIFS(m7_cv!$E:$E,m7_cv!$A:$A,$E372,m7_cv!$B:$B,$A372),0))</f>
        <v>1896</v>
      </c>
      <c r="N372">
        <f>ROUND(_xlfn.XLOOKUP($D372,Charts!$W$82:$W$112,Charts!$X$82:$X$112)*$L372+_xlfn.XLOOKUP($D372,Charts!$W$82:$W$112,Charts!$Y$82:$Y$112)*$M372,0)</f>
        <v>1284</v>
      </c>
    </row>
    <row r="373" spans="1:14" x14ac:dyDescent="0.25">
      <c r="A373" s="3">
        <f t="shared" si="29"/>
        <v>46029</v>
      </c>
      <c r="B373">
        <f t="shared" si="25"/>
        <v>2026</v>
      </c>
      <c r="C373">
        <f t="shared" si="26"/>
        <v>1</v>
      </c>
      <c r="D373">
        <f t="shared" si="27"/>
        <v>7</v>
      </c>
      <c r="E373" s="2">
        <f t="shared" si="28"/>
        <v>46022</v>
      </c>
      <c r="F373" s="12">
        <f>_xlfn.XLOOKUP($A373,m1_cv!$B:$B,m1_cv!$C:$C)</f>
        <v>532</v>
      </c>
      <c r="G373">
        <f>MAX(0,ROUND(SUMIFS(m1_cv!$E:$E,m1_cv!$A:$A,$E373,m1_cv!$B:$B,$A373),0))</f>
        <v>3343</v>
      </c>
      <c r="H373">
        <f>MAX(0,ROUND(SUMIFS(m2_cv!$E:$E,m2_cv!$A:$A,$E373,m2_cv!$B:$B,$A373),0))</f>
        <v>2066</v>
      </c>
      <c r="I373">
        <f>MAX(0,ROUND(SUMIFS(m3_cv!$E:$E,m3_cv!$A:$A,$E373,m3_cv!$B:$B,$A373),0))</f>
        <v>2212</v>
      </c>
      <c r="J373">
        <f>MAX(0,ROUND(SUMIFS(m4_cv!$E:$E,m4_cv!$A:$A,$E373,m4_cv!$B:$B,$A373),0))</f>
        <v>2207</v>
      </c>
      <c r="K373">
        <f>MAX(0,ROUND(SUMIFS(m5_cv!$E:$E,m5_cv!$A:$A,$E373,m5_cv!$B:$B,$A373),0))</f>
        <v>1840</v>
      </c>
      <c r="L373">
        <f>MAX(0,ROUND(SUMIFS(m6_cv!$E:$E,m6_cv!$A:$A,$E373,m6_cv!$B:$B,$A373),0))</f>
        <v>703</v>
      </c>
      <c r="M373">
        <f>MAX(0,ROUND(SUMIFS(m7_cv!$E:$E,m7_cv!$A:$A,$E373,m7_cv!$B:$B,$A373),0))</f>
        <v>1841</v>
      </c>
      <c r="N373">
        <f>ROUND(_xlfn.XLOOKUP($D373,Charts!$W$82:$W$112,Charts!$X$82:$X$112)*$L373+_xlfn.XLOOKUP($D373,Charts!$W$82:$W$112,Charts!$Y$82:$Y$112)*$M373,0)</f>
        <v>1272</v>
      </c>
    </row>
    <row r="374" spans="1:14" x14ac:dyDescent="0.25">
      <c r="A374" s="3">
        <f t="shared" si="29"/>
        <v>46030</v>
      </c>
      <c r="B374">
        <f t="shared" si="25"/>
        <v>2026</v>
      </c>
      <c r="C374">
        <f t="shared" si="26"/>
        <v>1</v>
      </c>
      <c r="D374">
        <f t="shared" si="27"/>
        <v>8</v>
      </c>
      <c r="E374" s="2">
        <f t="shared" si="28"/>
        <v>46022</v>
      </c>
      <c r="F374" s="12">
        <f>_xlfn.XLOOKUP($A374,m1_cv!$B:$B,m1_cv!$C:$C)</f>
        <v>659</v>
      </c>
      <c r="G374">
        <f>MAX(0,ROUND(SUMIFS(m1_cv!$E:$E,m1_cv!$A:$A,$E374,m1_cv!$B:$B,$A374),0))</f>
        <v>3265</v>
      </c>
      <c r="H374">
        <f>MAX(0,ROUND(SUMIFS(m2_cv!$E:$E,m2_cv!$A:$A,$E374,m2_cv!$B:$B,$A374),0))</f>
        <v>1947</v>
      </c>
      <c r="I374">
        <f>MAX(0,ROUND(SUMIFS(m3_cv!$E:$E,m3_cv!$A:$A,$E374,m3_cv!$B:$B,$A374),0))</f>
        <v>2018</v>
      </c>
      <c r="J374">
        <f>MAX(0,ROUND(SUMIFS(m4_cv!$E:$E,m4_cv!$A:$A,$E374,m4_cv!$B:$B,$A374),0))</f>
        <v>2013</v>
      </c>
      <c r="K374">
        <f>MAX(0,ROUND(SUMIFS(m5_cv!$E:$E,m5_cv!$A:$A,$E374,m5_cv!$B:$B,$A374),0))</f>
        <v>2299</v>
      </c>
      <c r="L374">
        <f>MAX(0,ROUND(SUMIFS(m6_cv!$E:$E,m6_cv!$A:$A,$E374,m6_cv!$B:$B,$A374),0))</f>
        <v>1329</v>
      </c>
      <c r="M374">
        <f>MAX(0,ROUND(SUMIFS(m7_cv!$E:$E,m7_cv!$A:$A,$E374,m7_cv!$B:$B,$A374),0))</f>
        <v>2369</v>
      </c>
      <c r="N374">
        <f>ROUND(_xlfn.XLOOKUP($D374,Charts!$W$82:$W$112,Charts!$X$82:$X$112)*$L374+_xlfn.XLOOKUP($D374,Charts!$W$82:$W$112,Charts!$Y$82:$Y$112)*$M374,0)</f>
        <v>1849</v>
      </c>
    </row>
    <row r="375" spans="1:14" x14ac:dyDescent="0.25">
      <c r="A375" s="3">
        <f t="shared" si="29"/>
        <v>46031</v>
      </c>
      <c r="B375">
        <f t="shared" si="25"/>
        <v>2026</v>
      </c>
      <c r="C375">
        <f t="shared" si="26"/>
        <v>1</v>
      </c>
      <c r="D375">
        <f t="shared" si="27"/>
        <v>9</v>
      </c>
      <c r="E375" s="2">
        <f t="shared" si="28"/>
        <v>46022</v>
      </c>
      <c r="F375" s="12">
        <f>_xlfn.XLOOKUP($A375,m1_cv!$B:$B,m1_cv!$C:$C)</f>
        <v>787</v>
      </c>
      <c r="G375">
        <f>MAX(0,ROUND(SUMIFS(m1_cv!$E:$E,m1_cv!$A:$A,$E375,m1_cv!$B:$B,$A375),0))</f>
        <v>3237</v>
      </c>
      <c r="H375">
        <f>MAX(0,ROUND(SUMIFS(m2_cv!$E:$E,m2_cv!$A:$A,$E375,m2_cv!$B:$B,$A375),0))</f>
        <v>1821</v>
      </c>
      <c r="I375">
        <f>MAX(0,ROUND(SUMIFS(m3_cv!$E:$E,m3_cv!$A:$A,$E375,m3_cv!$B:$B,$A375),0))</f>
        <v>1778</v>
      </c>
      <c r="J375">
        <f>MAX(0,ROUND(SUMIFS(m4_cv!$E:$E,m4_cv!$A:$A,$E375,m4_cv!$B:$B,$A375),0))</f>
        <v>1772</v>
      </c>
      <c r="K375">
        <f>MAX(0,ROUND(SUMIFS(m5_cv!$E:$E,m5_cv!$A:$A,$E375,m5_cv!$B:$B,$A375),0))</f>
        <v>2108</v>
      </c>
      <c r="L375">
        <f>MAX(0,ROUND(SUMIFS(m6_cv!$E:$E,m6_cv!$A:$A,$E375,m6_cv!$B:$B,$A375),0))</f>
        <v>1173</v>
      </c>
      <c r="M375">
        <f>MAX(0,ROUND(SUMIFS(m7_cv!$E:$E,m7_cv!$A:$A,$E375,m7_cv!$B:$B,$A375),0))</f>
        <v>2150</v>
      </c>
      <c r="N375">
        <f>ROUND(_xlfn.XLOOKUP($D375,Charts!$W$82:$W$112,Charts!$X$82:$X$112)*$L375+_xlfn.XLOOKUP($D375,Charts!$W$82:$W$112,Charts!$Y$82:$Y$112)*$M375,0)</f>
        <v>1662</v>
      </c>
    </row>
    <row r="376" spans="1:14" x14ac:dyDescent="0.25">
      <c r="A376" s="3">
        <f t="shared" si="29"/>
        <v>46032</v>
      </c>
      <c r="B376">
        <f t="shared" si="25"/>
        <v>2026</v>
      </c>
      <c r="C376">
        <f t="shared" si="26"/>
        <v>1</v>
      </c>
      <c r="D376">
        <f t="shared" si="27"/>
        <v>10</v>
      </c>
      <c r="E376" s="2">
        <f t="shared" si="28"/>
        <v>46022</v>
      </c>
      <c r="F376" s="12">
        <f>_xlfn.XLOOKUP($A376,m1_cv!$B:$B,m1_cv!$C:$C)</f>
        <v>137</v>
      </c>
      <c r="G376">
        <f>MAX(0,ROUND(SUMIFS(m1_cv!$E:$E,m1_cv!$A:$A,$E376,m1_cv!$B:$B,$A376),0))</f>
        <v>890</v>
      </c>
      <c r="H376">
        <f>MAX(0,ROUND(SUMIFS(m2_cv!$E:$E,m2_cv!$A:$A,$E376,m2_cv!$B:$B,$A376),0))</f>
        <v>0</v>
      </c>
      <c r="I376">
        <f>MAX(0,ROUND(SUMIFS(m3_cv!$E:$E,m3_cv!$A:$A,$E376,m3_cv!$B:$B,$A376),0))</f>
        <v>0</v>
      </c>
      <c r="J376">
        <f>MAX(0,ROUND(SUMIFS(m4_cv!$E:$E,m4_cv!$A:$A,$E376,m4_cv!$B:$B,$A376),0))</f>
        <v>0</v>
      </c>
      <c r="K376">
        <f>MAX(0,ROUND(SUMIFS(m5_cv!$E:$E,m5_cv!$A:$A,$E376,m5_cv!$B:$B,$A376),0))</f>
        <v>0</v>
      </c>
      <c r="L376">
        <f>MAX(0,ROUND(SUMIFS(m6_cv!$E:$E,m6_cv!$A:$A,$E376,m6_cv!$B:$B,$A376),0))</f>
        <v>192</v>
      </c>
      <c r="M376">
        <f>MAX(0,ROUND(SUMIFS(m7_cv!$E:$E,m7_cv!$A:$A,$E376,m7_cv!$B:$B,$A376),0))</f>
        <v>0</v>
      </c>
      <c r="N376">
        <f>ROUND(_xlfn.XLOOKUP($D376,Charts!$W$82:$W$112,Charts!$X$82:$X$112)*$L376+_xlfn.XLOOKUP($D376,Charts!$W$82:$W$112,Charts!$Y$82:$Y$112)*$M376,0)</f>
        <v>96</v>
      </c>
    </row>
    <row r="377" spans="1:14" x14ac:dyDescent="0.25">
      <c r="A377" s="3">
        <f t="shared" si="29"/>
        <v>46033</v>
      </c>
      <c r="B377">
        <f t="shared" si="25"/>
        <v>2026</v>
      </c>
      <c r="C377">
        <f t="shared" si="26"/>
        <v>1</v>
      </c>
      <c r="D377">
        <f t="shared" si="27"/>
        <v>11</v>
      </c>
      <c r="E377" s="2">
        <f t="shared" si="28"/>
        <v>46022</v>
      </c>
      <c r="F377" s="12">
        <f>_xlfn.XLOOKUP($A377,m1_cv!$B:$B,m1_cv!$C:$C)</f>
        <v>44</v>
      </c>
      <c r="G377">
        <f>MAX(0,ROUND(SUMIFS(m1_cv!$E:$E,m1_cv!$A:$A,$E377,m1_cv!$B:$B,$A377),0))</f>
        <v>254</v>
      </c>
      <c r="H377">
        <f>MAX(0,ROUND(SUMIFS(m2_cv!$E:$E,m2_cv!$A:$A,$E377,m2_cv!$B:$B,$A377),0))</f>
        <v>0</v>
      </c>
      <c r="I377">
        <f>MAX(0,ROUND(SUMIFS(m3_cv!$E:$E,m3_cv!$A:$A,$E377,m3_cv!$B:$B,$A377),0))</f>
        <v>0</v>
      </c>
      <c r="J377">
        <f>MAX(0,ROUND(SUMIFS(m4_cv!$E:$E,m4_cv!$A:$A,$E377,m4_cv!$B:$B,$A377),0))</f>
        <v>0</v>
      </c>
      <c r="K377">
        <f>MAX(0,ROUND(SUMIFS(m5_cv!$E:$E,m5_cv!$A:$A,$E377,m5_cv!$B:$B,$A377),0))</f>
        <v>0</v>
      </c>
      <c r="L377">
        <f>MAX(0,ROUND(SUMIFS(m6_cv!$E:$E,m6_cv!$A:$A,$E377,m6_cv!$B:$B,$A377),0))</f>
        <v>73</v>
      </c>
      <c r="M377">
        <f>MAX(0,ROUND(SUMIFS(m7_cv!$E:$E,m7_cv!$A:$A,$E377,m7_cv!$B:$B,$A377),0))</f>
        <v>0</v>
      </c>
      <c r="N377">
        <f>ROUND(_xlfn.XLOOKUP($D377,Charts!$W$82:$W$112,Charts!$X$82:$X$112)*$L377+_xlfn.XLOOKUP($D377,Charts!$W$82:$W$112,Charts!$Y$82:$Y$112)*$M377,0)</f>
        <v>22</v>
      </c>
    </row>
    <row r="378" spans="1:14" x14ac:dyDescent="0.25">
      <c r="A378" s="3">
        <f t="shared" si="29"/>
        <v>46034</v>
      </c>
      <c r="B378">
        <f t="shared" si="25"/>
        <v>2026</v>
      </c>
      <c r="C378">
        <f t="shared" si="26"/>
        <v>1</v>
      </c>
      <c r="D378">
        <f t="shared" si="27"/>
        <v>12</v>
      </c>
      <c r="E378" s="2">
        <f t="shared" si="28"/>
        <v>46022</v>
      </c>
      <c r="F378" s="12">
        <f>_xlfn.XLOOKUP($A378,m1_cv!$B:$B,m1_cv!$C:$C)</f>
        <v>779</v>
      </c>
      <c r="G378">
        <f>MAX(0,ROUND(SUMIFS(m1_cv!$E:$E,m1_cv!$A:$A,$E378,m1_cv!$B:$B,$A378),0))</f>
        <v>2513</v>
      </c>
      <c r="H378">
        <f>MAX(0,ROUND(SUMIFS(m2_cv!$E:$E,m2_cv!$A:$A,$E378,m2_cv!$B:$B,$A378),0))</f>
        <v>1672</v>
      </c>
      <c r="I378">
        <f>MAX(0,ROUND(SUMIFS(m3_cv!$E:$E,m3_cv!$A:$A,$E378,m3_cv!$B:$B,$A378),0))</f>
        <v>1951</v>
      </c>
      <c r="J378">
        <f>MAX(0,ROUND(SUMIFS(m4_cv!$E:$E,m4_cv!$A:$A,$E378,m4_cv!$B:$B,$A378),0))</f>
        <v>1945</v>
      </c>
      <c r="K378">
        <f>MAX(0,ROUND(SUMIFS(m5_cv!$E:$E,m5_cv!$A:$A,$E378,m5_cv!$B:$B,$A378),0))</f>
        <v>1850</v>
      </c>
      <c r="L378">
        <f>MAX(0,ROUND(SUMIFS(m6_cv!$E:$E,m6_cv!$A:$A,$E378,m6_cv!$B:$B,$A378),0))</f>
        <v>1029</v>
      </c>
      <c r="M378">
        <f>MAX(0,ROUND(SUMIFS(m7_cv!$E:$E,m7_cv!$A:$A,$E378,m7_cv!$B:$B,$A378),0))</f>
        <v>1864</v>
      </c>
      <c r="N378">
        <f>ROUND(_xlfn.XLOOKUP($D378,Charts!$W$82:$W$112,Charts!$X$82:$X$112)*$L378+_xlfn.XLOOKUP($D378,Charts!$W$82:$W$112,Charts!$Y$82:$Y$112)*$M378,0)</f>
        <v>1614</v>
      </c>
    </row>
    <row r="379" spans="1:14" x14ac:dyDescent="0.25">
      <c r="A379" s="3">
        <f t="shared" si="29"/>
        <v>46035</v>
      </c>
      <c r="B379">
        <f t="shared" si="25"/>
        <v>2026</v>
      </c>
      <c r="C379">
        <f t="shared" si="26"/>
        <v>1</v>
      </c>
      <c r="D379">
        <f t="shared" si="27"/>
        <v>13</v>
      </c>
      <c r="E379" s="2">
        <f t="shared" si="28"/>
        <v>46022</v>
      </c>
      <c r="F379" s="12">
        <f>_xlfn.XLOOKUP($A379,m1_cv!$B:$B,m1_cv!$C:$C)</f>
        <v>1113</v>
      </c>
      <c r="G379">
        <f>MAX(0,ROUND(SUMIFS(m1_cv!$E:$E,m1_cv!$A:$A,$E379,m1_cv!$B:$B,$A379),0))</f>
        <v>3005</v>
      </c>
      <c r="H379">
        <f>MAX(0,ROUND(SUMIFS(m2_cv!$E:$E,m2_cv!$A:$A,$E379,m2_cv!$B:$B,$A379),0))</f>
        <v>2198</v>
      </c>
      <c r="I379">
        <f>MAX(0,ROUND(SUMIFS(m3_cv!$E:$E,m3_cv!$A:$A,$E379,m3_cv!$B:$B,$A379),0))</f>
        <v>2250</v>
      </c>
      <c r="J379">
        <f>MAX(0,ROUND(SUMIFS(m4_cv!$E:$E,m4_cv!$A:$A,$E379,m4_cv!$B:$B,$A379),0))</f>
        <v>2245</v>
      </c>
      <c r="K379">
        <f>MAX(0,ROUND(SUMIFS(m5_cv!$E:$E,m5_cv!$A:$A,$E379,m5_cv!$B:$B,$A379),0))</f>
        <v>2136</v>
      </c>
      <c r="L379">
        <f>MAX(0,ROUND(SUMIFS(m6_cv!$E:$E,m6_cv!$A:$A,$E379,m6_cv!$B:$B,$A379),0))</f>
        <v>1433</v>
      </c>
      <c r="M379">
        <f>MAX(0,ROUND(SUMIFS(m7_cv!$E:$E,m7_cv!$A:$A,$E379,m7_cv!$B:$B,$A379),0))</f>
        <v>2181</v>
      </c>
      <c r="N379">
        <f>ROUND(_xlfn.XLOOKUP($D379,Charts!$W$82:$W$112,Charts!$X$82:$X$112)*$L379+_xlfn.XLOOKUP($D379,Charts!$W$82:$W$112,Charts!$Y$82:$Y$112)*$M379,0)</f>
        <v>1957</v>
      </c>
    </row>
    <row r="380" spans="1:14" x14ac:dyDescent="0.25">
      <c r="A380" s="3">
        <f t="shared" si="29"/>
        <v>46036</v>
      </c>
      <c r="B380">
        <f t="shared" si="25"/>
        <v>2026</v>
      </c>
      <c r="C380">
        <f t="shared" si="26"/>
        <v>1</v>
      </c>
      <c r="D380">
        <f t="shared" si="27"/>
        <v>14</v>
      </c>
      <c r="E380" s="2">
        <f t="shared" si="28"/>
        <v>46022</v>
      </c>
      <c r="F380" s="12">
        <f>_xlfn.XLOOKUP($A380,m1_cv!$B:$B,m1_cv!$C:$C)</f>
        <v>1419</v>
      </c>
      <c r="G380">
        <f>MAX(0,ROUND(SUMIFS(m1_cv!$E:$E,m1_cv!$A:$A,$E380,m1_cv!$B:$B,$A380),0))</f>
        <v>3017</v>
      </c>
      <c r="H380">
        <f>MAX(0,ROUND(SUMIFS(m2_cv!$E:$E,m2_cv!$A:$A,$E380,m2_cv!$B:$B,$A380),0))</f>
        <v>2173</v>
      </c>
      <c r="I380">
        <f>MAX(0,ROUND(SUMIFS(m3_cv!$E:$E,m3_cv!$A:$A,$E380,m3_cv!$B:$B,$A380),0))</f>
        <v>2195</v>
      </c>
      <c r="J380">
        <f>MAX(0,ROUND(SUMIFS(m4_cv!$E:$E,m4_cv!$A:$A,$E380,m4_cv!$B:$B,$A380),0))</f>
        <v>2190</v>
      </c>
      <c r="K380">
        <f>MAX(0,ROUND(SUMIFS(m5_cv!$E:$E,m5_cv!$A:$A,$E380,m5_cv!$B:$B,$A380),0))</f>
        <v>2230</v>
      </c>
      <c r="L380">
        <f>MAX(0,ROUND(SUMIFS(m6_cv!$E:$E,m6_cv!$A:$A,$E380,m6_cv!$B:$B,$A380),0))</f>
        <v>1669</v>
      </c>
      <c r="M380">
        <f>MAX(0,ROUND(SUMIFS(m7_cv!$E:$E,m7_cv!$A:$A,$E380,m7_cv!$B:$B,$A380),0))</f>
        <v>2242</v>
      </c>
      <c r="N380">
        <f>ROUND(_xlfn.XLOOKUP($D380,Charts!$W$82:$W$112,Charts!$X$82:$X$112)*$L380+_xlfn.XLOOKUP($D380,Charts!$W$82:$W$112,Charts!$Y$82:$Y$112)*$M380,0)</f>
        <v>2242</v>
      </c>
    </row>
    <row r="381" spans="1:14" x14ac:dyDescent="0.25">
      <c r="A381" s="3">
        <f t="shared" si="29"/>
        <v>46037</v>
      </c>
      <c r="B381">
        <f t="shared" si="25"/>
        <v>2026</v>
      </c>
      <c r="C381">
        <f t="shared" si="26"/>
        <v>1</v>
      </c>
      <c r="D381">
        <f t="shared" si="27"/>
        <v>15</v>
      </c>
      <c r="E381" s="2">
        <f t="shared" si="28"/>
        <v>46022</v>
      </c>
      <c r="F381" s="12">
        <f>_xlfn.XLOOKUP($A381,m1_cv!$B:$B,m1_cv!$C:$C)</f>
        <v>1874</v>
      </c>
      <c r="G381">
        <f>MAX(0,ROUND(SUMIFS(m1_cv!$E:$E,m1_cv!$A:$A,$E381,m1_cv!$B:$B,$A381),0))</f>
        <v>2960</v>
      </c>
      <c r="H381">
        <f>MAX(0,ROUND(SUMIFS(m2_cv!$E:$E,m2_cv!$A:$A,$E381,m2_cv!$B:$B,$A381),0))</f>
        <v>2173</v>
      </c>
      <c r="I381">
        <f>MAX(0,ROUND(SUMIFS(m3_cv!$E:$E,m3_cv!$A:$A,$E381,m3_cv!$B:$B,$A381),0))</f>
        <v>2132</v>
      </c>
      <c r="J381">
        <f>MAX(0,ROUND(SUMIFS(m4_cv!$E:$E,m4_cv!$A:$A,$E381,m4_cv!$B:$B,$A381),0))</f>
        <v>2127</v>
      </c>
      <c r="K381">
        <f>MAX(0,ROUND(SUMIFS(m5_cv!$E:$E,m5_cv!$A:$A,$E381,m5_cv!$B:$B,$A381),0))</f>
        <v>2319</v>
      </c>
      <c r="L381">
        <f>MAX(0,ROUND(SUMIFS(m6_cv!$E:$E,m6_cv!$A:$A,$E381,m6_cv!$B:$B,$A381),0))</f>
        <v>1866</v>
      </c>
      <c r="M381">
        <f>MAX(0,ROUND(SUMIFS(m7_cv!$E:$E,m7_cv!$A:$A,$E381,m7_cv!$B:$B,$A381),0))</f>
        <v>2293</v>
      </c>
      <c r="N381">
        <f>ROUND(_xlfn.XLOOKUP($D381,Charts!$W$82:$W$112,Charts!$X$82:$X$112)*$L381+_xlfn.XLOOKUP($D381,Charts!$W$82:$W$112,Charts!$Y$82:$Y$112)*$M381,0)</f>
        <v>2293</v>
      </c>
    </row>
    <row r="382" spans="1:14" x14ac:dyDescent="0.25">
      <c r="A382" s="3">
        <f t="shared" si="29"/>
        <v>46038</v>
      </c>
      <c r="B382">
        <f t="shared" si="25"/>
        <v>2026</v>
      </c>
      <c r="C382">
        <f t="shared" si="26"/>
        <v>1</v>
      </c>
      <c r="D382">
        <f t="shared" si="27"/>
        <v>16</v>
      </c>
      <c r="E382" s="2">
        <f t="shared" si="28"/>
        <v>46022</v>
      </c>
      <c r="F382" s="12">
        <f>_xlfn.XLOOKUP($A382,m1_cv!$B:$B,m1_cv!$C:$C)</f>
        <v>2020</v>
      </c>
      <c r="G382">
        <f>MAX(0,ROUND(SUMIFS(m1_cv!$E:$E,m1_cv!$A:$A,$E382,m1_cv!$B:$B,$A382),0))</f>
        <v>2956</v>
      </c>
      <c r="H382">
        <f>MAX(0,ROUND(SUMIFS(m2_cv!$E:$E,m2_cv!$A:$A,$E382,m2_cv!$B:$B,$A382),0))</f>
        <v>2365</v>
      </c>
      <c r="I382">
        <f>MAX(0,ROUND(SUMIFS(m3_cv!$E:$E,m3_cv!$A:$A,$E382,m3_cv!$B:$B,$A382),0))</f>
        <v>2256</v>
      </c>
      <c r="J382">
        <f>MAX(0,ROUND(SUMIFS(m4_cv!$E:$E,m4_cv!$A:$A,$E382,m4_cv!$B:$B,$A382),0))</f>
        <v>2250</v>
      </c>
      <c r="K382">
        <f>MAX(0,ROUND(SUMIFS(m5_cv!$E:$E,m5_cv!$A:$A,$E382,m5_cv!$B:$B,$A382),0))</f>
        <v>2461</v>
      </c>
      <c r="L382">
        <f>MAX(0,ROUND(SUMIFS(m6_cv!$E:$E,m6_cv!$A:$A,$E382,m6_cv!$B:$B,$A382),0))</f>
        <v>1877</v>
      </c>
      <c r="M382">
        <f>MAX(0,ROUND(SUMIFS(m7_cv!$E:$E,m7_cv!$A:$A,$E382,m7_cv!$B:$B,$A382),0))</f>
        <v>2415</v>
      </c>
      <c r="N382">
        <f>ROUND(_xlfn.XLOOKUP($D382,Charts!$W$82:$W$112,Charts!$X$82:$X$112)*$L382+_xlfn.XLOOKUP($D382,Charts!$W$82:$W$112,Charts!$Y$82:$Y$112)*$M382,0)</f>
        <v>2415</v>
      </c>
    </row>
    <row r="383" spans="1:14" x14ac:dyDescent="0.25">
      <c r="A383" s="3">
        <f t="shared" si="29"/>
        <v>46039</v>
      </c>
      <c r="B383">
        <f t="shared" si="25"/>
        <v>2026</v>
      </c>
      <c r="C383">
        <f t="shared" si="26"/>
        <v>1</v>
      </c>
      <c r="D383">
        <f t="shared" si="27"/>
        <v>17</v>
      </c>
      <c r="E383" s="2">
        <f t="shared" si="28"/>
        <v>46022</v>
      </c>
      <c r="F383" s="12">
        <f>_xlfn.XLOOKUP($A383,m1_cv!$B:$B,m1_cv!$C:$C)</f>
        <v>451</v>
      </c>
      <c r="G383">
        <f>MAX(0,ROUND(SUMIFS(m1_cv!$E:$E,m1_cv!$A:$A,$E383,m1_cv!$B:$B,$A383),0))</f>
        <v>636</v>
      </c>
      <c r="H383">
        <f>MAX(0,ROUND(SUMIFS(m2_cv!$E:$E,m2_cv!$A:$A,$E383,m2_cv!$B:$B,$A383),0))</f>
        <v>287</v>
      </c>
      <c r="I383">
        <f>MAX(0,ROUND(SUMIFS(m3_cv!$E:$E,m3_cv!$A:$A,$E383,m3_cv!$B:$B,$A383),0))</f>
        <v>209</v>
      </c>
      <c r="J383">
        <f>MAX(0,ROUND(SUMIFS(m4_cv!$E:$E,m4_cv!$A:$A,$E383,m4_cv!$B:$B,$A383),0))</f>
        <v>203</v>
      </c>
      <c r="K383">
        <f>MAX(0,ROUND(SUMIFS(m5_cv!$E:$E,m5_cv!$A:$A,$E383,m5_cv!$B:$B,$A383),0))</f>
        <v>261</v>
      </c>
      <c r="L383">
        <f>MAX(0,ROUND(SUMIFS(m6_cv!$E:$E,m6_cv!$A:$A,$E383,m6_cv!$B:$B,$A383),0))</f>
        <v>337</v>
      </c>
      <c r="M383">
        <f>MAX(0,ROUND(SUMIFS(m7_cv!$E:$E,m7_cv!$A:$A,$E383,m7_cv!$B:$B,$A383),0))</f>
        <v>237</v>
      </c>
      <c r="N383">
        <f>ROUND(_xlfn.XLOOKUP($D383,Charts!$W$82:$W$112,Charts!$X$82:$X$112)*$L383+_xlfn.XLOOKUP($D383,Charts!$W$82:$W$112,Charts!$Y$82:$Y$112)*$M383,0)</f>
        <v>237</v>
      </c>
    </row>
    <row r="384" spans="1:14" x14ac:dyDescent="0.25">
      <c r="A384" s="3">
        <f t="shared" si="29"/>
        <v>46040</v>
      </c>
      <c r="B384">
        <f t="shared" si="25"/>
        <v>2026</v>
      </c>
      <c r="C384">
        <f t="shared" si="26"/>
        <v>1</v>
      </c>
      <c r="D384">
        <f t="shared" si="27"/>
        <v>18</v>
      </c>
      <c r="E384" s="2">
        <f t="shared" si="28"/>
        <v>46022</v>
      </c>
      <c r="F384" s="12">
        <f>_xlfn.XLOOKUP($A384,m1_cv!$B:$B,m1_cv!$C:$C)</f>
        <v>76</v>
      </c>
      <c r="G384">
        <f>MAX(0,ROUND(SUMIFS(m1_cv!$E:$E,m1_cv!$A:$A,$E384,m1_cv!$B:$B,$A384),0))</f>
        <v>30</v>
      </c>
      <c r="H384">
        <f>MAX(0,ROUND(SUMIFS(m2_cv!$E:$E,m2_cv!$A:$A,$E384,m2_cv!$B:$B,$A384),0))</f>
        <v>0</v>
      </c>
      <c r="I384">
        <f>MAX(0,ROUND(SUMIFS(m3_cv!$E:$E,m3_cv!$A:$A,$E384,m3_cv!$B:$B,$A384),0))</f>
        <v>0</v>
      </c>
      <c r="J384">
        <f>MAX(0,ROUND(SUMIFS(m4_cv!$E:$E,m4_cv!$A:$A,$E384,m4_cv!$B:$B,$A384),0))</f>
        <v>0</v>
      </c>
      <c r="K384">
        <f>MAX(0,ROUND(SUMIFS(m5_cv!$E:$E,m5_cv!$A:$A,$E384,m5_cv!$B:$B,$A384),0))</f>
        <v>0</v>
      </c>
      <c r="L384">
        <f>MAX(0,ROUND(SUMIFS(m6_cv!$E:$E,m6_cv!$A:$A,$E384,m6_cv!$B:$B,$A384),0))</f>
        <v>133</v>
      </c>
      <c r="M384">
        <f>MAX(0,ROUND(SUMIFS(m7_cv!$E:$E,m7_cv!$A:$A,$E384,m7_cv!$B:$B,$A384),0))</f>
        <v>0</v>
      </c>
      <c r="N384">
        <f>ROUND(_xlfn.XLOOKUP($D384,Charts!$W$82:$W$112,Charts!$X$82:$X$112)*$L384+_xlfn.XLOOKUP($D384,Charts!$W$82:$W$112,Charts!$Y$82:$Y$112)*$M384,0)</f>
        <v>0</v>
      </c>
    </row>
    <row r="385" spans="1:14" x14ac:dyDescent="0.25">
      <c r="A385" s="3">
        <f t="shared" si="29"/>
        <v>46041</v>
      </c>
      <c r="B385">
        <f t="shared" si="25"/>
        <v>2026</v>
      </c>
      <c r="C385">
        <f t="shared" si="26"/>
        <v>1</v>
      </c>
      <c r="D385">
        <f t="shared" si="27"/>
        <v>19</v>
      </c>
      <c r="E385" s="2">
        <f t="shared" si="28"/>
        <v>46022</v>
      </c>
      <c r="F385" s="12">
        <f>_xlfn.XLOOKUP($A385,m1_cv!$B:$B,m1_cv!$C:$C)</f>
        <v>1963</v>
      </c>
      <c r="G385">
        <f>MAX(0,ROUND(SUMIFS(m1_cv!$E:$E,m1_cv!$A:$A,$E385,m1_cv!$B:$B,$A385),0))</f>
        <v>2319</v>
      </c>
      <c r="H385">
        <f>MAX(0,ROUND(SUMIFS(m2_cv!$E:$E,m2_cv!$A:$A,$E385,m2_cv!$B:$B,$A385),0))</f>
        <v>2042</v>
      </c>
      <c r="I385">
        <f>MAX(0,ROUND(SUMIFS(m3_cv!$E:$E,m3_cv!$A:$A,$E385,m3_cv!$B:$B,$A385),0))</f>
        <v>2316</v>
      </c>
      <c r="J385">
        <f>MAX(0,ROUND(SUMIFS(m4_cv!$E:$E,m4_cv!$A:$A,$E385,m4_cv!$B:$B,$A385),0))</f>
        <v>2310</v>
      </c>
      <c r="K385">
        <f>MAX(0,ROUND(SUMIFS(m5_cv!$E:$E,m5_cv!$A:$A,$E385,m5_cv!$B:$B,$A385),0))</f>
        <v>2261</v>
      </c>
      <c r="L385">
        <f>MAX(0,ROUND(SUMIFS(m6_cv!$E:$E,m6_cv!$A:$A,$E385,m6_cv!$B:$B,$A385),0))</f>
        <v>1902</v>
      </c>
      <c r="M385">
        <f>MAX(0,ROUND(SUMIFS(m7_cv!$E:$E,m7_cv!$A:$A,$E385,m7_cv!$B:$B,$A385),0))</f>
        <v>2294</v>
      </c>
      <c r="N385">
        <f>ROUND(_xlfn.XLOOKUP($D385,Charts!$W$82:$W$112,Charts!$X$82:$X$112)*$L385+_xlfn.XLOOKUP($D385,Charts!$W$82:$W$112,Charts!$Y$82:$Y$112)*$M385,0)</f>
        <v>2294</v>
      </c>
    </row>
    <row r="386" spans="1:14" x14ac:dyDescent="0.25">
      <c r="A386" s="3">
        <f t="shared" si="29"/>
        <v>46042</v>
      </c>
      <c r="B386">
        <f t="shared" si="25"/>
        <v>2026</v>
      </c>
      <c r="C386">
        <f t="shared" si="26"/>
        <v>1</v>
      </c>
      <c r="D386">
        <f t="shared" si="27"/>
        <v>20</v>
      </c>
      <c r="E386" s="2">
        <f t="shared" si="28"/>
        <v>46022</v>
      </c>
      <c r="F386" s="12">
        <f>_xlfn.XLOOKUP($A386,m1_cv!$B:$B,m1_cv!$C:$C)</f>
        <v>2481</v>
      </c>
      <c r="G386">
        <f>MAX(0,ROUND(SUMIFS(m1_cv!$E:$E,m1_cv!$A:$A,$E386,m1_cv!$B:$B,$A386),0))</f>
        <v>2843</v>
      </c>
      <c r="H386">
        <f>MAX(0,ROUND(SUMIFS(m2_cv!$E:$E,m2_cv!$A:$A,$E386,m2_cv!$B:$B,$A386),0))</f>
        <v>2489</v>
      </c>
      <c r="I386">
        <f>MAX(0,ROUND(SUMIFS(m3_cv!$E:$E,m3_cv!$A:$A,$E386,m3_cv!$B:$B,$A386),0))</f>
        <v>2507</v>
      </c>
      <c r="J386">
        <f>MAX(0,ROUND(SUMIFS(m4_cv!$E:$E,m4_cv!$A:$A,$E386,m4_cv!$B:$B,$A386),0))</f>
        <v>2502</v>
      </c>
      <c r="K386">
        <f>MAX(0,ROUND(SUMIFS(m5_cv!$E:$E,m5_cv!$A:$A,$E386,m5_cv!$B:$B,$A386),0))</f>
        <v>2640</v>
      </c>
      <c r="L386">
        <f>MAX(0,ROUND(SUMIFS(m6_cv!$E:$E,m6_cv!$A:$A,$E386,m6_cv!$B:$B,$A386),0))</f>
        <v>2681</v>
      </c>
      <c r="M386">
        <f>MAX(0,ROUND(SUMIFS(m7_cv!$E:$E,m7_cv!$A:$A,$E386,m7_cv!$B:$B,$A386),0))</f>
        <v>2692</v>
      </c>
      <c r="N386">
        <f>ROUND(_xlfn.XLOOKUP($D386,Charts!$W$82:$W$112,Charts!$X$82:$X$112)*$L386+_xlfn.XLOOKUP($D386,Charts!$W$82:$W$112,Charts!$Y$82:$Y$112)*$M386,0)</f>
        <v>2692</v>
      </c>
    </row>
    <row r="387" spans="1:14" x14ac:dyDescent="0.25">
      <c r="A387" s="3">
        <f t="shared" si="29"/>
        <v>46043</v>
      </c>
      <c r="B387">
        <f t="shared" ref="B387:B450" si="30">YEAR(A387)</f>
        <v>2026</v>
      </c>
      <c r="C387">
        <f t="shared" ref="C387:C450" si="31">MONTH($A387)</f>
        <v>1</v>
      </c>
      <c r="D387">
        <f t="shared" ref="D387:D450" si="32">DAY($A387)</f>
        <v>21</v>
      </c>
      <c r="E387" s="2">
        <f t="shared" ref="E387:E450" si="33">DATE($B387,$C387,1)-1</f>
        <v>46022</v>
      </c>
      <c r="F387" s="12">
        <f>_xlfn.XLOOKUP($A387,m1_cv!$B:$B,m1_cv!$C:$C)</f>
        <v>2679</v>
      </c>
      <c r="G387">
        <f>MAX(0,ROUND(SUMIFS(m1_cv!$E:$E,m1_cv!$A:$A,$E387,m1_cv!$B:$B,$A387),0))</f>
        <v>2887</v>
      </c>
      <c r="H387">
        <f>MAX(0,ROUND(SUMIFS(m2_cv!$E:$E,m2_cv!$A:$A,$E387,m2_cv!$B:$B,$A387),0))</f>
        <v>2675</v>
      </c>
      <c r="I387">
        <f>MAX(0,ROUND(SUMIFS(m3_cv!$E:$E,m3_cv!$A:$A,$E387,m3_cv!$B:$B,$A387),0))</f>
        <v>2676</v>
      </c>
      <c r="J387">
        <f>MAX(0,ROUND(SUMIFS(m4_cv!$E:$E,m4_cv!$A:$A,$E387,m4_cv!$B:$B,$A387),0))</f>
        <v>2672</v>
      </c>
      <c r="K387">
        <f>MAX(0,ROUND(SUMIFS(m5_cv!$E:$E,m5_cv!$A:$A,$E387,m5_cv!$B:$B,$A387),0))</f>
        <v>2913</v>
      </c>
      <c r="L387">
        <f>MAX(0,ROUND(SUMIFS(m6_cv!$E:$E,m6_cv!$A:$A,$E387,m6_cv!$B:$B,$A387),0))</f>
        <v>3182</v>
      </c>
      <c r="M387">
        <f>MAX(0,ROUND(SUMIFS(m7_cv!$E:$E,m7_cv!$A:$A,$E387,m7_cv!$B:$B,$A387),0))</f>
        <v>2860</v>
      </c>
      <c r="N387">
        <f>ROUND(_xlfn.XLOOKUP($D387,Charts!$W$82:$W$112,Charts!$X$82:$X$112)*$L387+_xlfn.XLOOKUP($D387,Charts!$W$82:$W$112,Charts!$Y$82:$Y$112)*$M387,0)</f>
        <v>2860</v>
      </c>
    </row>
    <row r="388" spans="1:14" x14ac:dyDescent="0.25">
      <c r="A388" s="3">
        <f t="shared" ref="A388:A451" si="34">A387+1</f>
        <v>46044</v>
      </c>
      <c r="B388">
        <f t="shared" si="30"/>
        <v>2026</v>
      </c>
      <c r="C388">
        <f t="shared" si="31"/>
        <v>1</v>
      </c>
      <c r="D388">
        <f t="shared" si="32"/>
        <v>22</v>
      </c>
      <c r="E388" s="2">
        <f t="shared" si="33"/>
        <v>46022</v>
      </c>
      <c r="F388" s="12">
        <f>_xlfn.XLOOKUP($A388,m1_cv!$B:$B,m1_cv!$C:$C)</f>
        <v>2830</v>
      </c>
      <c r="G388">
        <f>MAX(0,ROUND(SUMIFS(m1_cv!$E:$E,m1_cv!$A:$A,$E388,m1_cv!$B:$B,$A388),0))</f>
        <v>2862</v>
      </c>
      <c r="H388">
        <f>MAX(0,ROUND(SUMIFS(m2_cv!$E:$E,m2_cv!$A:$A,$E388,m2_cv!$B:$B,$A388),0))</f>
        <v>2997</v>
      </c>
      <c r="I388">
        <f>MAX(0,ROUND(SUMIFS(m3_cv!$E:$E,m3_cv!$A:$A,$E388,m3_cv!$B:$B,$A388),0))</f>
        <v>3006</v>
      </c>
      <c r="J388">
        <f>MAX(0,ROUND(SUMIFS(m4_cv!$E:$E,m4_cv!$A:$A,$E388,m4_cv!$B:$B,$A388),0))</f>
        <v>3003</v>
      </c>
      <c r="K388">
        <f>MAX(0,ROUND(SUMIFS(m5_cv!$E:$E,m5_cv!$A:$A,$E388,m5_cv!$B:$B,$A388),0))</f>
        <v>3110</v>
      </c>
      <c r="L388">
        <f>MAX(0,ROUND(SUMIFS(m6_cv!$E:$E,m6_cv!$A:$A,$E388,m6_cv!$B:$B,$A388),0))</f>
        <v>3562</v>
      </c>
      <c r="M388">
        <f>MAX(0,ROUND(SUMIFS(m7_cv!$E:$E,m7_cv!$A:$A,$E388,m7_cv!$B:$B,$A388),0))</f>
        <v>2994</v>
      </c>
      <c r="N388">
        <f>ROUND(_xlfn.XLOOKUP($D388,Charts!$W$82:$W$112,Charts!$X$82:$X$112)*$L388+_xlfn.XLOOKUP($D388,Charts!$W$82:$W$112,Charts!$Y$82:$Y$112)*$M388,0)</f>
        <v>2994</v>
      </c>
    </row>
    <row r="389" spans="1:14" x14ac:dyDescent="0.25">
      <c r="A389" s="3">
        <f t="shared" si="34"/>
        <v>46045</v>
      </c>
      <c r="B389">
        <f t="shared" si="30"/>
        <v>2026</v>
      </c>
      <c r="C389">
        <f t="shared" si="31"/>
        <v>1</v>
      </c>
      <c r="D389">
        <f t="shared" si="32"/>
        <v>23</v>
      </c>
      <c r="E389" s="2">
        <f t="shared" si="33"/>
        <v>46022</v>
      </c>
      <c r="F389" s="12">
        <f>_xlfn.XLOOKUP($A389,m1_cv!$B:$B,m1_cv!$C:$C)</f>
        <v>3000</v>
      </c>
      <c r="G389">
        <f>MAX(0,ROUND(SUMIFS(m1_cv!$E:$E,m1_cv!$A:$A,$E389,m1_cv!$B:$B,$A389),0))</f>
        <v>2890</v>
      </c>
      <c r="H389">
        <f>MAX(0,ROUND(SUMIFS(m2_cv!$E:$E,m2_cv!$A:$A,$E389,m2_cv!$B:$B,$A389),0))</f>
        <v>3319</v>
      </c>
      <c r="I389">
        <f>MAX(0,ROUND(SUMIFS(m3_cv!$E:$E,m3_cv!$A:$A,$E389,m3_cv!$B:$B,$A389),0))</f>
        <v>3361</v>
      </c>
      <c r="J389">
        <f>MAX(0,ROUND(SUMIFS(m4_cv!$E:$E,m4_cv!$A:$A,$E389,m4_cv!$B:$B,$A389),0))</f>
        <v>3358</v>
      </c>
      <c r="K389">
        <f>MAX(0,ROUND(SUMIFS(m5_cv!$E:$E,m5_cv!$A:$A,$E389,m5_cv!$B:$B,$A389),0))</f>
        <v>3186</v>
      </c>
      <c r="L389">
        <f>MAX(0,ROUND(SUMIFS(m6_cv!$E:$E,m6_cv!$A:$A,$E389,m6_cv!$B:$B,$A389),0))</f>
        <v>3414</v>
      </c>
      <c r="M389">
        <f>MAX(0,ROUND(SUMIFS(m7_cv!$E:$E,m7_cv!$A:$A,$E389,m7_cv!$B:$B,$A389),0))</f>
        <v>3204</v>
      </c>
      <c r="N389">
        <f>ROUND(_xlfn.XLOOKUP($D389,Charts!$W$82:$W$112,Charts!$X$82:$X$112)*$L389+_xlfn.XLOOKUP($D389,Charts!$W$82:$W$112,Charts!$Y$82:$Y$112)*$M389,0)</f>
        <v>3204</v>
      </c>
    </row>
    <row r="390" spans="1:14" x14ac:dyDescent="0.25">
      <c r="A390" s="3">
        <f t="shared" si="34"/>
        <v>46046</v>
      </c>
      <c r="B390">
        <f t="shared" si="30"/>
        <v>2026</v>
      </c>
      <c r="C390">
        <f t="shared" si="31"/>
        <v>1</v>
      </c>
      <c r="D390">
        <f t="shared" si="32"/>
        <v>24</v>
      </c>
      <c r="E390" s="2">
        <f t="shared" si="33"/>
        <v>46022</v>
      </c>
      <c r="F390" s="12">
        <f>_xlfn.XLOOKUP($A390,m1_cv!$B:$B,m1_cv!$C:$C)</f>
        <v>902</v>
      </c>
      <c r="G390">
        <f>MAX(0,ROUND(SUMIFS(m1_cv!$E:$E,m1_cv!$A:$A,$E390,m1_cv!$B:$B,$A390),0))</f>
        <v>601</v>
      </c>
      <c r="H390">
        <f>MAX(0,ROUND(SUMIFS(m2_cv!$E:$E,m2_cv!$A:$A,$E390,m2_cv!$B:$B,$A390),0))</f>
        <v>1085</v>
      </c>
      <c r="I390">
        <f>MAX(0,ROUND(SUMIFS(m3_cv!$E:$E,m3_cv!$A:$A,$E390,m3_cv!$B:$B,$A390),0))</f>
        <v>1237</v>
      </c>
      <c r="J390">
        <f>MAX(0,ROUND(SUMIFS(m4_cv!$E:$E,m4_cv!$A:$A,$E390,m4_cv!$B:$B,$A390),0))</f>
        <v>1233</v>
      </c>
      <c r="K390">
        <f>MAX(0,ROUND(SUMIFS(m5_cv!$E:$E,m5_cv!$A:$A,$E390,m5_cv!$B:$B,$A390),0))</f>
        <v>820</v>
      </c>
      <c r="L390">
        <f>MAX(0,ROUND(SUMIFS(m6_cv!$E:$E,m6_cv!$A:$A,$E390,m6_cv!$B:$B,$A390),0))</f>
        <v>554</v>
      </c>
      <c r="M390">
        <f>MAX(0,ROUND(SUMIFS(m7_cv!$E:$E,m7_cv!$A:$A,$E390,m7_cv!$B:$B,$A390),0))</f>
        <v>909</v>
      </c>
      <c r="N390">
        <f>ROUND(_xlfn.XLOOKUP($D390,Charts!$W$82:$W$112,Charts!$X$82:$X$112)*$L390+_xlfn.XLOOKUP($D390,Charts!$W$82:$W$112,Charts!$Y$82:$Y$112)*$M390,0)</f>
        <v>554</v>
      </c>
    </row>
    <row r="391" spans="1:14" x14ac:dyDescent="0.25">
      <c r="A391" s="3">
        <f t="shared" si="34"/>
        <v>46047</v>
      </c>
      <c r="B391">
        <f t="shared" si="30"/>
        <v>2026</v>
      </c>
      <c r="C391">
        <f t="shared" si="31"/>
        <v>1</v>
      </c>
      <c r="D391">
        <f t="shared" si="32"/>
        <v>25</v>
      </c>
      <c r="E391" s="2">
        <f t="shared" si="33"/>
        <v>46022</v>
      </c>
      <c r="F391" s="12">
        <f>_xlfn.XLOOKUP($A391,m1_cv!$B:$B,m1_cv!$C:$C)</f>
        <v>150</v>
      </c>
      <c r="G391">
        <f>MAX(0,ROUND(SUMIFS(m1_cv!$E:$E,m1_cv!$A:$A,$E391,m1_cv!$B:$B,$A391),0))</f>
        <v>24</v>
      </c>
      <c r="H391">
        <f>MAX(0,ROUND(SUMIFS(m2_cv!$E:$E,m2_cv!$A:$A,$E391,m2_cv!$B:$B,$A391),0))</f>
        <v>409</v>
      </c>
      <c r="I391">
        <f>MAX(0,ROUND(SUMIFS(m3_cv!$E:$E,m3_cv!$A:$A,$E391,m3_cv!$B:$B,$A391),0))</f>
        <v>689</v>
      </c>
      <c r="J391">
        <f>MAX(0,ROUND(SUMIFS(m4_cv!$E:$E,m4_cv!$A:$A,$E391,m4_cv!$B:$B,$A391),0))</f>
        <v>686</v>
      </c>
      <c r="K391">
        <f>MAX(0,ROUND(SUMIFS(m5_cv!$E:$E,m5_cv!$A:$A,$E391,m5_cv!$B:$B,$A391),0))</f>
        <v>991</v>
      </c>
      <c r="L391">
        <f>MAX(0,ROUND(SUMIFS(m6_cv!$E:$E,m6_cv!$A:$A,$E391,m6_cv!$B:$B,$A391),0))</f>
        <v>357</v>
      </c>
      <c r="M391">
        <f>MAX(0,ROUND(SUMIFS(m7_cv!$E:$E,m7_cv!$A:$A,$E391,m7_cv!$B:$B,$A391),0))</f>
        <v>1023</v>
      </c>
      <c r="N391">
        <f>ROUND(_xlfn.XLOOKUP($D391,Charts!$W$82:$W$112,Charts!$X$82:$X$112)*$L391+_xlfn.XLOOKUP($D391,Charts!$W$82:$W$112,Charts!$Y$82:$Y$112)*$M391,0)</f>
        <v>357</v>
      </c>
    </row>
    <row r="392" spans="1:14" x14ac:dyDescent="0.25">
      <c r="A392" s="3">
        <f t="shared" si="34"/>
        <v>46048</v>
      </c>
      <c r="B392">
        <f t="shared" si="30"/>
        <v>2026</v>
      </c>
      <c r="C392">
        <f t="shared" si="31"/>
        <v>1</v>
      </c>
      <c r="D392">
        <f t="shared" si="32"/>
        <v>26</v>
      </c>
      <c r="E392" s="2">
        <f t="shared" si="33"/>
        <v>46022</v>
      </c>
      <c r="F392" s="12">
        <f>_xlfn.XLOOKUP($A392,m1_cv!$B:$B,m1_cv!$C:$C)</f>
        <v>3603</v>
      </c>
      <c r="G392">
        <f>MAX(0,ROUND(SUMIFS(m1_cv!$E:$E,m1_cv!$A:$A,$E392,m1_cv!$B:$B,$A392),0))</f>
        <v>2341</v>
      </c>
      <c r="H392">
        <f>MAX(0,ROUND(SUMIFS(m2_cv!$E:$E,m2_cv!$A:$A,$E392,m2_cv!$B:$B,$A392),0))</f>
        <v>2844</v>
      </c>
      <c r="I392">
        <f>MAX(0,ROUND(SUMIFS(m3_cv!$E:$E,m3_cv!$A:$A,$E392,m3_cv!$B:$B,$A392),0))</f>
        <v>3364</v>
      </c>
      <c r="J392">
        <f>MAX(0,ROUND(SUMIFS(m4_cv!$E:$E,m4_cv!$A:$A,$E392,m4_cv!$B:$B,$A392),0))</f>
        <v>3361</v>
      </c>
      <c r="K392">
        <f>MAX(0,ROUND(SUMIFS(m5_cv!$E:$E,m5_cv!$A:$A,$E392,m5_cv!$B:$B,$A392),0))</f>
        <v>3728</v>
      </c>
      <c r="L392">
        <f>MAX(0,ROUND(SUMIFS(m6_cv!$E:$E,m6_cv!$A:$A,$E392,m6_cv!$B:$B,$A392),0))</f>
        <v>4609</v>
      </c>
      <c r="M392">
        <f>MAX(0,ROUND(SUMIFS(m7_cv!$E:$E,m7_cv!$A:$A,$E392,m7_cv!$B:$B,$A392),0))</f>
        <v>3672</v>
      </c>
      <c r="N392">
        <f>ROUND(_xlfn.XLOOKUP($D392,Charts!$W$82:$W$112,Charts!$X$82:$X$112)*$L392+_xlfn.XLOOKUP($D392,Charts!$W$82:$W$112,Charts!$Y$82:$Y$112)*$M392,0)</f>
        <v>4609</v>
      </c>
    </row>
    <row r="393" spans="1:14" x14ac:dyDescent="0.25">
      <c r="A393" s="3">
        <f t="shared" si="34"/>
        <v>46049</v>
      </c>
      <c r="B393">
        <f t="shared" si="30"/>
        <v>2026</v>
      </c>
      <c r="C393">
        <f t="shared" si="31"/>
        <v>1</v>
      </c>
      <c r="D393">
        <f t="shared" si="32"/>
        <v>27</v>
      </c>
      <c r="E393" s="2">
        <f t="shared" si="33"/>
        <v>46022</v>
      </c>
      <c r="F393" s="12">
        <f>_xlfn.XLOOKUP($A393,m1_cv!$B:$B,m1_cv!$C:$C)</f>
        <v>4548</v>
      </c>
      <c r="G393">
        <f>MAX(0,ROUND(SUMIFS(m1_cv!$E:$E,m1_cv!$A:$A,$E393,m1_cv!$B:$B,$A393),0))</f>
        <v>2889</v>
      </c>
      <c r="H393">
        <f>MAX(0,ROUND(SUMIFS(m2_cv!$E:$E,m2_cv!$A:$A,$E393,m2_cv!$B:$B,$A393),0))</f>
        <v>4039</v>
      </c>
      <c r="I393">
        <f>MAX(0,ROUND(SUMIFS(m3_cv!$E:$E,m3_cv!$A:$A,$E393,m3_cv!$B:$B,$A393),0))</f>
        <v>4303</v>
      </c>
      <c r="J393">
        <f>MAX(0,ROUND(SUMIFS(m4_cv!$E:$E,m4_cv!$A:$A,$E393,m4_cv!$B:$B,$A393),0))</f>
        <v>4301</v>
      </c>
      <c r="K393">
        <f>MAX(0,ROUND(SUMIFS(m5_cv!$E:$E,m5_cv!$A:$A,$E393,m5_cv!$B:$B,$A393),0))</f>
        <v>4505</v>
      </c>
      <c r="L393">
        <f>MAX(0,ROUND(SUMIFS(m6_cv!$E:$E,m6_cv!$A:$A,$E393,m6_cv!$B:$B,$A393),0))</f>
        <v>6252</v>
      </c>
      <c r="M393">
        <f>MAX(0,ROUND(SUMIFS(m7_cv!$E:$E,m7_cv!$A:$A,$E393,m7_cv!$B:$B,$A393),0))</f>
        <v>4400</v>
      </c>
      <c r="N393">
        <f>ROUND(_xlfn.XLOOKUP($D393,Charts!$W$82:$W$112,Charts!$X$82:$X$112)*$L393+_xlfn.XLOOKUP($D393,Charts!$W$82:$W$112,Charts!$Y$82:$Y$112)*$M393,0)</f>
        <v>6252</v>
      </c>
    </row>
    <row r="394" spans="1:14" x14ac:dyDescent="0.25">
      <c r="A394" s="3">
        <f t="shared" si="34"/>
        <v>46050</v>
      </c>
      <c r="B394">
        <f t="shared" si="30"/>
        <v>2026</v>
      </c>
      <c r="C394">
        <f t="shared" si="31"/>
        <v>1</v>
      </c>
      <c r="D394">
        <f t="shared" si="32"/>
        <v>28</v>
      </c>
      <c r="E394" s="2">
        <f t="shared" si="33"/>
        <v>46022</v>
      </c>
      <c r="F394" s="12">
        <f>_xlfn.XLOOKUP($A394,m1_cv!$B:$B,m1_cv!$C:$C)</f>
        <v>5313</v>
      </c>
      <c r="G394">
        <f>MAX(0,ROUND(SUMIFS(m1_cv!$E:$E,m1_cv!$A:$A,$E394,m1_cv!$B:$B,$A394),0))</f>
        <v>2955</v>
      </c>
      <c r="H394">
        <f>MAX(0,ROUND(SUMIFS(m2_cv!$E:$E,m2_cv!$A:$A,$E394,m2_cv!$B:$B,$A394),0))</f>
        <v>5262</v>
      </c>
      <c r="I394">
        <f>MAX(0,ROUND(SUMIFS(m3_cv!$E:$E,m3_cv!$A:$A,$E394,m3_cv!$B:$B,$A394),0))</f>
        <v>5540</v>
      </c>
      <c r="J394">
        <f>MAX(0,ROUND(SUMIFS(m4_cv!$E:$E,m4_cv!$A:$A,$E394,m4_cv!$B:$B,$A394),0))</f>
        <v>5538</v>
      </c>
      <c r="K394">
        <f>MAX(0,ROUND(SUMIFS(m5_cv!$E:$E,m5_cv!$A:$A,$E394,m5_cv!$B:$B,$A394),0))</f>
        <v>5137</v>
      </c>
      <c r="L394">
        <f>MAX(0,ROUND(SUMIFS(m6_cv!$E:$E,m6_cv!$A:$A,$E394,m6_cv!$B:$B,$A394),0))</f>
        <v>7444</v>
      </c>
      <c r="M394">
        <f>MAX(0,ROUND(SUMIFS(m7_cv!$E:$E,m7_cv!$A:$A,$E394,m7_cv!$B:$B,$A394),0))</f>
        <v>5080</v>
      </c>
      <c r="N394">
        <f>ROUND(_xlfn.XLOOKUP($D394,Charts!$W$82:$W$112,Charts!$X$82:$X$112)*$L394+_xlfn.XLOOKUP($D394,Charts!$W$82:$W$112,Charts!$Y$82:$Y$112)*$M394,0)</f>
        <v>7444</v>
      </c>
    </row>
    <row r="395" spans="1:14" x14ac:dyDescent="0.25">
      <c r="A395" s="3">
        <f t="shared" si="34"/>
        <v>46051</v>
      </c>
      <c r="B395">
        <f t="shared" si="30"/>
        <v>2026</v>
      </c>
      <c r="C395">
        <f t="shared" si="31"/>
        <v>1</v>
      </c>
      <c r="D395">
        <f t="shared" si="32"/>
        <v>29</v>
      </c>
      <c r="E395" s="2">
        <f t="shared" si="33"/>
        <v>46022</v>
      </c>
      <c r="F395" s="12">
        <f>_xlfn.XLOOKUP($A395,m1_cv!$B:$B,m1_cv!$C:$C)</f>
        <v>7326</v>
      </c>
      <c r="G395">
        <f>MAX(0,ROUND(SUMIFS(m1_cv!$E:$E,m1_cv!$A:$A,$E395,m1_cv!$B:$B,$A395),0))</f>
        <v>2950</v>
      </c>
      <c r="H395">
        <f>MAX(0,ROUND(SUMIFS(m2_cv!$E:$E,m2_cv!$A:$A,$E395,m2_cv!$B:$B,$A395),0))</f>
        <v>6328</v>
      </c>
      <c r="I395">
        <f>MAX(0,ROUND(SUMIFS(m3_cv!$E:$E,m3_cv!$A:$A,$E395,m3_cv!$B:$B,$A395),0))</f>
        <v>6656</v>
      </c>
      <c r="J395">
        <f>MAX(0,ROUND(SUMIFS(m4_cv!$E:$E,m4_cv!$A:$A,$E395,m4_cv!$B:$B,$A395),0))</f>
        <v>6653</v>
      </c>
      <c r="K395">
        <f>MAX(0,ROUND(SUMIFS(m5_cv!$E:$E,m5_cv!$A:$A,$E395,m5_cv!$B:$B,$A395),0))</f>
        <v>5394</v>
      </c>
      <c r="L395">
        <f>MAX(0,ROUND(SUMIFS(m6_cv!$E:$E,m6_cv!$A:$A,$E395,m6_cv!$B:$B,$A395),0))</f>
        <v>8263</v>
      </c>
      <c r="M395">
        <f>MAX(0,ROUND(SUMIFS(m7_cv!$E:$E,m7_cv!$A:$A,$E395,m7_cv!$B:$B,$A395),0))</f>
        <v>5535</v>
      </c>
      <c r="N395">
        <f>ROUND(_xlfn.XLOOKUP($D395,Charts!$W$82:$W$112,Charts!$X$82:$X$112)*$L395+_xlfn.XLOOKUP($D395,Charts!$W$82:$W$112,Charts!$Y$82:$Y$112)*$M395,0)</f>
        <v>5535</v>
      </c>
    </row>
    <row r="396" spans="1:14" x14ac:dyDescent="0.25">
      <c r="A396" s="3">
        <f t="shared" si="34"/>
        <v>46052</v>
      </c>
      <c r="B396">
        <f t="shared" si="30"/>
        <v>2026</v>
      </c>
      <c r="C396">
        <f t="shared" si="31"/>
        <v>1</v>
      </c>
      <c r="D396">
        <f t="shared" si="32"/>
        <v>30</v>
      </c>
      <c r="E396" s="2">
        <f t="shared" si="33"/>
        <v>46022</v>
      </c>
      <c r="F396" s="12">
        <f>_xlfn.XLOOKUP($A396,m1_cv!$B:$B,m1_cv!$C:$C)</f>
        <v>10276</v>
      </c>
      <c r="G396">
        <f>MAX(0,ROUND(SUMIFS(m1_cv!$E:$E,m1_cv!$A:$A,$E396,m1_cv!$B:$B,$A396),0))</f>
        <v>2995</v>
      </c>
      <c r="H396">
        <f>MAX(0,ROUND(SUMIFS(m2_cv!$E:$E,m2_cv!$A:$A,$E396,m2_cv!$B:$B,$A396),0))</f>
        <v>6588</v>
      </c>
      <c r="I396">
        <f>MAX(0,ROUND(SUMIFS(m3_cv!$E:$E,m3_cv!$A:$A,$E396,m3_cv!$B:$B,$A396),0))</f>
        <v>6962</v>
      </c>
      <c r="J396">
        <f>MAX(0,ROUND(SUMIFS(m4_cv!$E:$E,m4_cv!$A:$A,$E396,m4_cv!$B:$B,$A396),0))</f>
        <v>6959</v>
      </c>
      <c r="K396">
        <f>MAX(0,ROUND(SUMIFS(m5_cv!$E:$E,m5_cv!$A:$A,$E396,m5_cv!$B:$B,$A396),0))</f>
        <v>7546</v>
      </c>
      <c r="L396">
        <f>MAX(0,ROUND(SUMIFS(m6_cv!$E:$E,m6_cv!$A:$A,$E396,m6_cv!$B:$B,$A396),0))</f>
        <v>13990</v>
      </c>
      <c r="M396">
        <f>MAX(0,ROUND(SUMIFS(m7_cv!$E:$E,m7_cv!$A:$A,$E396,m7_cv!$B:$B,$A396),0))</f>
        <v>7629</v>
      </c>
      <c r="N396">
        <f>ROUND(_xlfn.XLOOKUP($D396,Charts!$W$82:$W$112,Charts!$X$82:$X$112)*$L396+_xlfn.XLOOKUP($D396,Charts!$W$82:$W$112,Charts!$Y$82:$Y$112)*$M396,0)</f>
        <v>7629</v>
      </c>
    </row>
    <row r="397" spans="1:14" x14ac:dyDescent="0.25">
      <c r="A397" s="3">
        <f t="shared" si="34"/>
        <v>46053</v>
      </c>
      <c r="B397">
        <f t="shared" si="30"/>
        <v>2026</v>
      </c>
      <c r="C397">
        <f t="shared" si="31"/>
        <v>1</v>
      </c>
      <c r="D397">
        <f t="shared" si="32"/>
        <v>31</v>
      </c>
      <c r="E397" s="2">
        <f t="shared" si="33"/>
        <v>46022</v>
      </c>
      <c r="F397" s="12">
        <f>_xlfn.XLOOKUP($A397,m1_cv!$B:$B,m1_cv!$C:$C)</f>
        <v>7991</v>
      </c>
      <c r="G397">
        <f>MAX(0,ROUND(SUMIFS(m1_cv!$E:$E,m1_cv!$A:$A,$E397,m1_cv!$B:$B,$A397),0))</f>
        <v>719</v>
      </c>
      <c r="H397">
        <f>MAX(0,ROUND(SUMIFS(m2_cv!$E:$E,m2_cv!$A:$A,$E397,m2_cv!$B:$B,$A397),0))</f>
        <v>3359</v>
      </c>
      <c r="I397">
        <f>MAX(0,ROUND(SUMIFS(m3_cv!$E:$E,m3_cv!$A:$A,$E397,m3_cv!$B:$B,$A397),0))</f>
        <v>3810</v>
      </c>
      <c r="J397">
        <f>MAX(0,ROUND(SUMIFS(m4_cv!$E:$E,m4_cv!$A:$A,$E397,m4_cv!$B:$B,$A397),0))</f>
        <v>3808</v>
      </c>
      <c r="K397">
        <f>MAX(0,ROUND(SUMIFS(m5_cv!$E:$E,m5_cv!$A:$A,$E397,m5_cv!$B:$B,$A397),0))</f>
        <v>7089</v>
      </c>
      <c r="L397">
        <f>MAX(0,ROUND(SUMIFS(m6_cv!$E:$E,m6_cv!$A:$A,$E397,m6_cv!$B:$B,$A397),0))</f>
        <v>3255</v>
      </c>
      <c r="M397">
        <f>MAX(0,ROUND(SUMIFS(m7_cv!$E:$E,m7_cv!$A:$A,$E397,m7_cv!$B:$B,$A397),0))</f>
        <v>6951</v>
      </c>
      <c r="N397">
        <f>ROUND(_xlfn.XLOOKUP($D397,Charts!$W$82:$W$112,Charts!$X$82:$X$112)*$L397+_xlfn.XLOOKUP($D397,Charts!$W$82:$W$112,Charts!$Y$82:$Y$112)*$M397,0)</f>
        <v>6951</v>
      </c>
    </row>
    <row r="398" spans="1:14" x14ac:dyDescent="0.25">
      <c r="A398" s="3">
        <f t="shared" si="34"/>
        <v>46054</v>
      </c>
      <c r="B398">
        <f t="shared" si="30"/>
        <v>2026</v>
      </c>
      <c r="C398">
        <f t="shared" si="31"/>
        <v>2</v>
      </c>
      <c r="D398">
        <f t="shared" si="32"/>
        <v>1</v>
      </c>
      <c r="E398" s="2">
        <f t="shared" si="33"/>
        <v>46053</v>
      </c>
      <c r="F398" s="12">
        <f>_xlfn.XLOOKUP($A398,m1_cv!$B:$B,m1_cv!$C:$C)</f>
        <v>26</v>
      </c>
      <c r="G398">
        <f>MAX(0,ROUND(SUMIFS(m1_cv!$E:$E,m1_cv!$A:$A,$E398,m1_cv!$B:$B,$A398),0))</f>
        <v>486</v>
      </c>
      <c r="H398">
        <f>MAX(0,ROUND(SUMIFS(m2_cv!$E:$E,m2_cv!$A:$A,$E398,m2_cv!$B:$B,$A398),0))</f>
        <v>1194</v>
      </c>
      <c r="I398">
        <f>MAX(0,ROUND(SUMIFS(m3_cv!$E:$E,m3_cv!$A:$A,$E398,m3_cv!$B:$B,$A398),0))</f>
        <v>0</v>
      </c>
      <c r="J398">
        <f>MAX(0,ROUND(SUMIFS(m4_cv!$E:$E,m4_cv!$A:$A,$E398,m4_cv!$B:$B,$A398),0))</f>
        <v>0</v>
      </c>
      <c r="K398">
        <f>MAX(0,ROUND(SUMIFS(m5_cv!$E:$E,m5_cv!$A:$A,$E398,m5_cv!$B:$B,$A398),0))</f>
        <v>0</v>
      </c>
      <c r="L398">
        <f>MAX(0,ROUND(SUMIFS(m6_cv!$E:$E,m6_cv!$A:$A,$E398,m6_cv!$B:$B,$A398),0))</f>
        <v>6</v>
      </c>
      <c r="M398">
        <f>MAX(0,ROUND(SUMIFS(m7_cv!$E:$E,m7_cv!$A:$A,$E398,m7_cv!$B:$B,$A398),0))</f>
        <v>0</v>
      </c>
      <c r="N398">
        <f>ROUND(_xlfn.XLOOKUP($D398,Charts!$W$82:$W$112,Charts!$X$82:$X$112)*$L398+_xlfn.XLOOKUP($D398,Charts!$W$82:$W$112,Charts!$Y$82:$Y$112)*$M398,0)</f>
        <v>6</v>
      </c>
    </row>
    <row r="399" spans="1:14" x14ac:dyDescent="0.25">
      <c r="A399" s="3">
        <f t="shared" si="34"/>
        <v>46055</v>
      </c>
      <c r="B399">
        <f t="shared" si="30"/>
        <v>2026</v>
      </c>
      <c r="C399">
        <f t="shared" si="31"/>
        <v>2</v>
      </c>
      <c r="D399">
        <f t="shared" si="32"/>
        <v>2</v>
      </c>
      <c r="E399" s="2">
        <f t="shared" si="33"/>
        <v>46053</v>
      </c>
      <c r="F399" s="12">
        <f>_xlfn.XLOOKUP($A399,m1_cv!$B:$B,m1_cv!$C:$C)</f>
        <v>134</v>
      </c>
      <c r="G399">
        <f>MAX(0,ROUND(SUMIFS(m1_cv!$E:$E,m1_cv!$A:$A,$E399,m1_cv!$B:$B,$A399),0))</f>
        <v>2790</v>
      </c>
      <c r="H399">
        <f>MAX(0,ROUND(SUMIFS(m2_cv!$E:$E,m2_cv!$A:$A,$E399,m2_cv!$B:$B,$A399),0))</f>
        <v>1744</v>
      </c>
      <c r="I399">
        <f>MAX(0,ROUND(SUMIFS(m3_cv!$E:$E,m3_cv!$A:$A,$E399,m3_cv!$B:$B,$A399),0))</f>
        <v>617</v>
      </c>
      <c r="J399">
        <f>MAX(0,ROUND(SUMIFS(m4_cv!$E:$E,m4_cv!$A:$A,$E399,m4_cv!$B:$B,$A399),0))</f>
        <v>614</v>
      </c>
      <c r="K399">
        <f>MAX(0,ROUND(SUMIFS(m5_cv!$E:$E,m5_cv!$A:$A,$E399,m5_cv!$B:$B,$A399),0))</f>
        <v>0</v>
      </c>
      <c r="L399">
        <f>MAX(0,ROUND(SUMIFS(m6_cv!$E:$E,m6_cv!$A:$A,$E399,m6_cv!$B:$B,$A399),0))</f>
        <v>52</v>
      </c>
      <c r="M399">
        <f>MAX(0,ROUND(SUMIFS(m7_cv!$E:$E,m7_cv!$A:$A,$E399,m7_cv!$B:$B,$A399),0))</f>
        <v>0</v>
      </c>
      <c r="N399">
        <f>ROUND(_xlfn.XLOOKUP($D399,Charts!$W$82:$W$112,Charts!$X$82:$X$112)*$L399+_xlfn.XLOOKUP($D399,Charts!$W$82:$W$112,Charts!$Y$82:$Y$112)*$M399,0)</f>
        <v>52</v>
      </c>
    </row>
    <row r="400" spans="1:14" x14ac:dyDescent="0.25">
      <c r="A400" s="3">
        <f t="shared" si="34"/>
        <v>46056</v>
      </c>
      <c r="B400">
        <f t="shared" si="30"/>
        <v>2026</v>
      </c>
      <c r="C400">
        <f t="shared" si="31"/>
        <v>2</v>
      </c>
      <c r="D400">
        <f t="shared" si="32"/>
        <v>3</v>
      </c>
      <c r="E400" s="2">
        <f t="shared" si="33"/>
        <v>46053</v>
      </c>
      <c r="F400" s="12">
        <f>_xlfn.XLOOKUP($A400,m1_cv!$B:$B,m1_cv!$C:$C)</f>
        <v>521</v>
      </c>
      <c r="G400">
        <f>MAX(0,ROUND(SUMIFS(m1_cv!$E:$E,m1_cv!$A:$A,$E400,m1_cv!$B:$B,$A400),0))</f>
        <v>3332</v>
      </c>
      <c r="H400">
        <f>MAX(0,ROUND(SUMIFS(m2_cv!$E:$E,m2_cv!$A:$A,$E400,m2_cv!$B:$B,$A400),0))</f>
        <v>1240</v>
      </c>
      <c r="I400">
        <f>MAX(0,ROUND(SUMIFS(m3_cv!$E:$E,m3_cv!$A:$A,$E400,m3_cv!$B:$B,$A400),0))</f>
        <v>0</v>
      </c>
      <c r="J400">
        <f>MAX(0,ROUND(SUMIFS(m4_cv!$E:$E,m4_cv!$A:$A,$E400,m4_cv!$B:$B,$A400),0))</f>
        <v>0</v>
      </c>
      <c r="K400">
        <f>MAX(0,ROUND(SUMIFS(m5_cv!$E:$E,m5_cv!$A:$A,$E400,m5_cv!$B:$B,$A400),0))</f>
        <v>0</v>
      </c>
      <c r="L400">
        <f>MAX(0,ROUND(SUMIFS(m6_cv!$E:$E,m6_cv!$A:$A,$E400,m6_cv!$B:$B,$A400),0))</f>
        <v>96</v>
      </c>
      <c r="M400">
        <f>MAX(0,ROUND(SUMIFS(m7_cv!$E:$E,m7_cv!$A:$A,$E400,m7_cv!$B:$B,$A400),0))</f>
        <v>0</v>
      </c>
      <c r="N400">
        <f>ROUND(_xlfn.XLOOKUP($D400,Charts!$W$82:$W$112,Charts!$X$82:$X$112)*$L400+_xlfn.XLOOKUP($D400,Charts!$W$82:$W$112,Charts!$Y$82:$Y$112)*$M400,0)</f>
        <v>96</v>
      </c>
    </row>
    <row r="401" spans="1:14" x14ac:dyDescent="0.25">
      <c r="A401" s="3">
        <f t="shared" si="34"/>
        <v>46057</v>
      </c>
      <c r="B401">
        <f t="shared" si="30"/>
        <v>2026</v>
      </c>
      <c r="C401">
        <f t="shared" si="31"/>
        <v>2</v>
      </c>
      <c r="D401">
        <f t="shared" si="32"/>
        <v>4</v>
      </c>
      <c r="E401" s="2">
        <f t="shared" si="33"/>
        <v>46053</v>
      </c>
      <c r="F401" s="12">
        <f>_xlfn.XLOOKUP($A401,m1_cv!$B:$B,m1_cv!$C:$C)</f>
        <v>696</v>
      </c>
      <c r="G401">
        <f>MAX(0,ROUND(SUMIFS(m1_cv!$E:$E,m1_cv!$A:$A,$E401,m1_cv!$B:$B,$A401),0))</f>
        <v>3390</v>
      </c>
      <c r="H401">
        <f>MAX(0,ROUND(SUMIFS(m2_cv!$E:$E,m2_cv!$A:$A,$E401,m2_cv!$B:$B,$A401),0))</f>
        <v>1179</v>
      </c>
      <c r="I401">
        <f>MAX(0,ROUND(SUMIFS(m3_cv!$E:$E,m3_cv!$A:$A,$E401,m3_cv!$B:$B,$A401),0))</f>
        <v>1615</v>
      </c>
      <c r="J401">
        <f>MAX(0,ROUND(SUMIFS(m4_cv!$E:$E,m4_cv!$A:$A,$E401,m4_cv!$B:$B,$A401),0))</f>
        <v>1612</v>
      </c>
      <c r="K401">
        <f>MAX(0,ROUND(SUMIFS(m5_cv!$E:$E,m5_cv!$A:$A,$E401,m5_cv!$B:$B,$A401),0))</f>
        <v>1855</v>
      </c>
      <c r="L401">
        <f>MAX(0,ROUND(SUMIFS(m6_cv!$E:$E,m6_cv!$A:$A,$E401,m6_cv!$B:$B,$A401),0))</f>
        <v>962</v>
      </c>
      <c r="M401">
        <f>MAX(0,ROUND(SUMIFS(m7_cv!$E:$E,m7_cv!$A:$A,$E401,m7_cv!$B:$B,$A401),0))</f>
        <v>1783</v>
      </c>
      <c r="N401">
        <f>ROUND(_xlfn.XLOOKUP($D401,Charts!$W$82:$W$112,Charts!$X$82:$X$112)*$L401+_xlfn.XLOOKUP($D401,Charts!$W$82:$W$112,Charts!$Y$82:$Y$112)*$M401,0)</f>
        <v>962</v>
      </c>
    </row>
    <row r="402" spans="1:14" x14ac:dyDescent="0.25">
      <c r="A402" s="3">
        <f t="shared" si="34"/>
        <v>46058</v>
      </c>
      <c r="B402">
        <f t="shared" si="30"/>
        <v>2026</v>
      </c>
      <c r="C402">
        <f t="shared" si="31"/>
        <v>2</v>
      </c>
      <c r="D402">
        <f t="shared" si="32"/>
        <v>5</v>
      </c>
      <c r="E402" s="2">
        <f t="shared" si="33"/>
        <v>46053</v>
      </c>
      <c r="F402" s="12">
        <f>_xlfn.XLOOKUP($A402,m1_cv!$B:$B,m1_cv!$C:$C)</f>
        <v>1038</v>
      </c>
      <c r="G402">
        <f>MAX(0,ROUND(SUMIFS(m1_cv!$E:$E,m1_cv!$A:$A,$E402,m1_cv!$B:$B,$A402),0))</f>
        <v>3375</v>
      </c>
      <c r="H402">
        <f>MAX(0,ROUND(SUMIFS(m2_cv!$E:$E,m2_cv!$A:$A,$E402,m2_cv!$B:$B,$A402),0))</f>
        <v>1557</v>
      </c>
      <c r="I402">
        <f>MAX(0,ROUND(SUMIFS(m3_cv!$E:$E,m3_cv!$A:$A,$E402,m3_cv!$B:$B,$A402),0))</f>
        <v>1988</v>
      </c>
      <c r="J402">
        <f>MAX(0,ROUND(SUMIFS(m4_cv!$E:$E,m4_cv!$A:$A,$E402,m4_cv!$B:$B,$A402),0))</f>
        <v>1984</v>
      </c>
      <c r="K402">
        <f>MAX(0,ROUND(SUMIFS(m5_cv!$E:$E,m5_cv!$A:$A,$E402,m5_cv!$B:$B,$A402),0))</f>
        <v>2002</v>
      </c>
      <c r="L402">
        <f>MAX(0,ROUND(SUMIFS(m6_cv!$E:$E,m6_cv!$A:$A,$E402,m6_cv!$B:$B,$A402),0))</f>
        <v>1075</v>
      </c>
      <c r="M402">
        <f>MAX(0,ROUND(SUMIFS(m7_cv!$E:$E,m7_cv!$A:$A,$E402,m7_cv!$B:$B,$A402),0))</f>
        <v>1866</v>
      </c>
      <c r="N402">
        <f>ROUND(_xlfn.XLOOKUP($D402,Charts!$W$82:$W$112,Charts!$X$82:$X$112)*$L402+_xlfn.XLOOKUP($D402,Charts!$W$82:$W$112,Charts!$Y$82:$Y$112)*$M402,0)</f>
        <v>1233</v>
      </c>
    </row>
    <row r="403" spans="1:14" x14ac:dyDescent="0.25">
      <c r="A403" s="3">
        <f t="shared" si="34"/>
        <v>46059</v>
      </c>
      <c r="B403">
        <f t="shared" si="30"/>
        <v>2026</v>
      </c>
      <c r="C403">
        <f t="shared" si="31"/>
        <v>2</v>
      </c>
      <c r="D403">
        <f t="shared" si="32"/>
        <v>6</v>
      </c>
      <c r="E403" s="2">
        <f t="shared" si="33"/>
        <v>46053</v>
      </c>
      <c r="F403" s="12">
        <f>_xlfn.XLOOKUP($A403,m1_cv!$B:$B,m1_cv!$C:$C)</f>
        <v>1414</v>
      </c>
      <c r="G403">
        <f>MAX(0,ROUND(SUMIFS(m1_cv!$E:$E,m1_cv!$A:$A,$E403,m1_cv!$B:$B,$A403),0))</f>
        <v>3404</v>
      </c>
      <c r="H403">
        <f>MAX(0,ROUND(SUMIFS(m2_cv!$E:$E,m2_cv!$A:$A,$E403,m2_cv!$B:$B,$A403),0))</f>
        <v>1950</v>
      </c>
      <c r="I403">
        <f>MAX(0,ROUND(SUMIFS(m3_cv!$E:$E,m3_cv!$A:$A,$E403,m3_cv!$B:$B,$A403),0))</f>
        <v>2291</v>
      </c>
      <c r="J403">
        <f>MAX(0,ROUND(SUMIFS(m4_cv!$E:$E,m4_cv!$A:$A,$E403,m4_cv!$B:$B,$A403),0))</f>
        <v>2288</v>
      </c>
      <c r="K403">
        <f>MAX(0,ROUND(SUMIFS(m5_cv!$E:$E,m5_cv!$A:$A,$E403,m5_cv!$B:$B,$A403),0))</f>
        <v>1924</v>
      </c>
      <c r="L403">
        <f>MAX(0,ROUND(SUMIFS(m6_cv!$E:$E,m6_cv!$A:$A,$E403,m6_cv!$B:$B,$A403),0))</f>
        <v>1027</v>
      </c>
      <c r="M403">
        <f>MAX(0,ROUND(SUMIFS(m7_cv!$E:$E,m7_cv!$A:$A,$E403,m7_cv!$B:$B,$A403),0))</f>
        <v>1887</v>
      </c>
      <c r="N403">
        <f>ROUND(_xlfn.XLOOKUP($D403,Charts!$W$82:$W$112,Charts!$X$82:$X$112)*$L403+_xlfn.XLOOKUP($D403,Charts!$W$82:$W$112,Charts!$Y$82:$Y$112)*$M403,0)</f>
        <v>1457</v>
      </c>
    </row>
    <row r="404" spans="1:14" x14ac:dyDescent="0.25">
      <c r="A404" s="3">
        <f t="shared" si="34"/>
        <v>46060</v>
      </c>
      <c r="B404">
        <f t="shared" si="30"/>
        <v>2026</v>
      </c>
      <c r="C404">
        <f t="shared" si="31"/>
        <v>2</v>
      </c>
      <c r="D404">
        <f t="shared" si="32"/>
        <v>7</v>
      </c>
      <c r="E404" s="2">
        <f t="shared" si="33"/>
        <v>46053</v>
      </c>
      <c r="F404" s="12">
        <f>_xlfn.XLOOKUP($A404,m1_cv!$B:$B,m1_cv!$C:$C)</f>
        <v>286</v>
      </c>
      <c r="G404">
        <f>MAX(0,ROUND(SUMIFS(m1_cv!$E:$E,m1_cv!$A:$A,$E404,m1_cv!$B:$B,$A404),0))</f>
        <v>1117</v>
      </c>
      <c r="H404">
        <f>MAX(0,ROUND(SUMIFS(m2_cv!$E:$E,m2_cv!$A:$A,$E404,m2_cv!$B:$B,$A404),0))</f>
        <v>0</v>
      </c>
      <c r="I404">
        <f>MAX(0,ROUND(SUMIFS(m3_cv!$E:$E,m3_cv!$A:$A,$E404,m3_cv!$B:$B,$A404),0))</f>
        <v>16</v>
      </c>
      <c r="J404">
        <f>MAX(0,ROUND(SUMIFS(m4_cv!$E:$E,m4_cv!$A:$A,$E404,m4_cv!$B:$B,$A404),0))</f>
        <v>13</v>
      </c>
      <c r="K404">
        <f>MAX(0,ROUND(SUMIFS(m5_cv!$E:$E,m5_cv!$A:$A,$E404,m5_cv!$B:$B,$A404),0))</f>
        <v>0</v>
      </c>
      <c r="L404">
        <f>MAX(0,ROUND(SUMIFS(m6_cv!$E:$E,m6_cv!$A:$A,$E404,m6_cv!$B:$B,$A404),0))</f>
        <v>163</v>
      </c>
      <c r="M404">
        <f>MAX(0,ROUND(SUMIFS(m7_cv!$E:$E,m7_cv!$A:$A,$E404,m7_cv!$B:$B,$A404),0))</f>
        <v>0</v>
      </c>
      <c r="N404">
        <f>ROUND(_xlfn.XLOOKUP($D404,Charts!$W$82:$W$112,Charts!$X$82:$X$112)*$L404+_xlfn.XLOOKUP($D404,Charts!$W$82:$W$112,Charts!$Y$82:$Y$112)*$M404,0)</f>
        <v>82</v>
      </c>
    </row>
    <row r="405" spans="1:14" x14ac:dyDescent="0.25">
      <c r="A405" s="3">
        <f t="shared" si="34"/>
        <v>46061</v>
      </c>
      <c r="B405">
        <f t="shared" si="30"/>
        <v>2026</v>
      </c>
      <c r="C405">
        <f t="shared" si="31"/>
        <v>2</v>
      </c>
      <c r="D405">
        <f t="shared" si="32"/>
        <v>8</v>
      </c>
      <c r="E405" s="2">
        <f t="shared" si="33"/>
        <v>46053</v>
      </c>
      <c r="F405" s="12">
        <f>_xlfn.XLOOKUP($A405,m1_cv!$B:$B,m1_cv!$C:$C)</f>
        <v>82</v>
      </c>
      <c r="G405">
        <f>MAX(0,ROUND(SUMIFS(m1_cv!$E:$E,m1_cv!$A:$A,$E405,m1_cv!$B:$B,$A405),0))</f>
        <v>491</v>
      </c>
      <c r="H405">
        <f>MAX(0,ROUND(SUMIFS(m2_cv!$E:$E,m2_cv!$A:$A,$E405,m2_cv!$B:$B,$A405),0))</f>
        <v>0</v>
      </c>
      <c r="I405">
        <f>MAX(0,ROUND(SUMIFS(m3_cv!$E:$E,m3_cv!$A:$A,$E405,m3_cv!$B:$B,$A405),0))</f>
        <v>0</v>
      </c>
      <c r="J405">
        <f>MAX(0,ROUND(SUMIFS(m4_cv!$E:$E,m4_cv!$A:$A,$E405,m4_cv!$B:$B,$A405),0))</f>
        <v>0</v>
      </c>
      <c r="K405">
        <f>MAX(0,ROUND(SUMIFS(m5_cv!$E:$E,m5_cv!$A:$A,$E405,m5_cv!$B:$B,$A405),0))</f>
        <v>0</v>
      </c>
      <c r="L405">
        <f>MAX(0,ROUND(SUMIFS(m6_cv!$E:$E,m6_cv!$A:$A,$E405,m6_cv!$B:$B,$A405),0))</f>
        <v>100</v>
      </c>
      <c r="M405">
        <f>MAX(0,ROUND(SUMIFS(m7_cv!$E:$E,m7_cv!$A:$A,$E405,m7_cv!$B:$B,$A405),0))</f>
        <v>0</v>
      </c>
      <c r="N405">
        <f>ROUND(_xlfn.XLOOKUP($D405,Charts!$W$82:$W$112,Charts!$X$82:$X$112)*$L405+_xlfn.XLOOKUP($D405,Charts!$W$82:$W$112,Charts!$Y$82:$Y$112)*$M405,0)</f>
        <v>50</v>
      </c>
    </row>
    <row r="406" spans="1:14" x14ac:dyDescent="0.25">
      <c r="A406" s="3">
        <f t="shared" si="34"/>
        <v>46062</v>
      </c>
      <c r="B406">
        <f t="shared" si="30"/>
        <v>2026</v>
      </c>
      <c r="C406">
        <f t="shared" si="31"/>
        <v>2</v>
      </c>
      <c r="D406">
        <f t="shared" si="32"/>
        <v>9</v>
      </c>
      <c r="E406" s="2">
        <f t="shared" si="33"/>
        <v>46053</v>
      </c>
      <c r="F406" s="12">
        <f>_xlfn.XLOOKUP($A406,m1_cv!$B:$B,m1_cv!$C:$C)</f>
        <v>1902</v>
      </c>
      <c r="G406">
        <f>MAX(0,ROUND(SUMIFS(m1_cv!$E:$E,m1_cv!$A:$A,$E406,m1_cv!$B:$B,$A406),0))</f>
        <v>2766</v>
      </c>
      <c r="H406">
        <f>MAX(0,ROUND(SUMIFS(m2_cv!$E:$E,m2_cv!$A:$A,$E406,m2_cv!$B:$B,$A406),0))</f>
        <v>1355</v>
      </c>
      <c r="I406">
        <f>MAX(0,ROUND(SUMIFS(m3_cv!$E:$E,m3_cv!$A:$A,$E406,m3_cv!$B:$B,$A406),0))</f>
        <v>1796</v>
      </c>
      <c r="J406">
        <f>MAX(0,ROUND(SUMIFS(m4_cv!$E:$E,m4_cv!$A:$A,$E406,m4_cv!$B:$B,$A406),0))</f>
        <v>1794</v>
      </c>
      <c r="K406">
        <f>MAX(0,ROUND(SUMIFS(m5_cv!$E:$E,m5_cv!$A:$A,$E406,m5_cv!$B:$B,$A406),0))</f>
        <v>1906</v>
      </c>
      <c r="L406">
        <f>MAX(0,ROUND(SUMIFS(m6_cv!$E:$E,m6_cv!$A:$A,$E406,m6_cv!$B:$B,$A406),0))</f>
        <v>1211</v>
      </c>
      <c r="M406">
        <f>MAX(0,ROUND(SUMIFS(m7_cv!$E:$E,m7_cv!$A:$A,$E406,m7_cv!$B:$B,$A406),0))</f>
        <v>1882</v>
      </c>
      <c r="N406">
        <f>ROUND(_xlfn.XLOOKUP($D406,Charts!$W$82:$W$112,Charts!$X$82:$X$112)*$L406+_xlfn.XLOOKUP($D406,Charts!$W$82:$W$112,Charts!$Y$82:$Y$112)*$M406,0)</f>
        <v>1547</v>
      </c>
    </row>
    <row r="407" spans="1:14" x14ac:dyDescent="0.25">
      <c r="A407" s="3">
        <f t="shared" si="34"/>
        <v>46063</v>
      </c>
      <c r="B407">
        <f t="shared" si="30"/>
        <v>2026</v>
      </c>
      <c r="C407">
        <f t="shared" si="31"/>
        <v>2</v>
      </c>
      <c r="D407">
        <f t="shared" si="32"/>
        <v>10</v>
      </c>
      <c r="E407" s="2">
        <f t="shared" si="33"/>
        <v>46053</v>
      </c>
      <c r="F407" s="12">
        <f>_xlfn.XLOOKUP($A407,m1_cv!$B:$B,m1_cv!$C:$C)</f>
        <v>2288</v>
      </c>
      <c r="G407">
        <f>MAX(0,ROUND(SUMIFS(m1_cv!$E:$E,m1_cv!$A:$A,$E407,m1_cv!$B:$B,$A407),0))</f>
        <v>3281</v>
      </c>
      <c r="H407">
        <f>MAX(0,ROUND(SUMIFS(m2_cv!$E:$E,m2_cv!$A:$A,$E407,m2_cv!$B:$B,$A407),0))</f>
        <v>2065</v>
      </c>
      <c r="I407">
        <f>MAX(0,ROUND(SUMIFS(m3_cv!$E:$E,m3_cv!$A:$A,$E407,m3_cv!$B:$B,$A407),0))</f>
        <v>2313</v>
      </c>
      <c r="J407">
        <f>MAX(0,ROUND(SUMIFS(m4_cv!$E:$E,m4_cv!$A:$A,$E407,m4_cv!$B:$B,$A407),0))</f>
        <v>2312</v>
      </c>
      <c r="K407">
        <f>MAX(0,ROUND(SUMIFS(m5_cv!$E:$E,m5_cv!$A:$A,$E407,m5_cv!$B:$B,$A407),0))</f>
        <v>2314</v>
      </c>
      <c r="L407">
        <f>MAX(0,ROUND(SUMIFS(m6_cv!$E:$E,m6_cv!$A:$A,$E407,m6_cv!$B:$B,$A407),0))</f>
        <v>1520</v>
      </c>
      <c r="M407">
        <f>MAX(0,ROUND(SUMIFS(m7_cv!$E:$E,m7_cv!$A:$A,$E407,m7_cv!$B:$B,$A407),0))</f>
        <v>2218</v>
      </c>
      <c r="N407">
        <f>ROUND(_xlfn.XLOOKUP($D407,Charts!$W$82:$W$112,Charts!$X$82:$X$112)*$L407+_xlfn.XLOOKUP($D407,Charts!$W$82:$W$112,Charts!$Y$82:$Y$112)*$M407,0)</f>
        <v>1869</v>
      </c>
    </row>
    <row r="408" spans="1:14" x14ac:dyDescent="0.25">
      <c r="A408" s="3">
        <f t="shared" si="34"/>
        <v>46064</v>
      </c>
      <c r="B408">
        <f t="shared" si="30"/>
        <v>2026</v>
      </c>
      <c r="C408">
        <f t="shared" si="31"/>
        <v>2</v>
      </c>
      <c r="D408">
        <f t="shared" si="32"/>
        <v>11</v>
      </c>
      <c r="E408" s="2">
        <f t="shared" si="33"/>
        <v>46053</v>
      </c>
      <c r="F408" s="12">
        <f>_xlfn.XLOOKUP($A408,m1_cv!$B:$B,m1_cv!$C:$C)</f>
        <v>2663</v>
      </c>
      <c r="G408">
        <f>MAX(0,ROUND(SUMIFS(m1_cv!$E:$E,m1_cv!$A:$A,$E408,m1_cv!$B:$B,$A408),0))</f>
        <v>3318</v>
      </c>
      <c r="H408">
        <f>MAX(0,ROUND(SUMIFS(m2_cv!$E:$E,m2_cv!$A:$A,$E408,m2_cv!$B:$B,$A408),0))</f>
        <v>2377</v>
      </c>
      <c r="I408">
        <f>MAX(0,ROUND(SUMIFS(m3_cv!$E:$E,m3_cv!$A:$A,$E408,m3_cv!$B:$B,$A408),0))</f>
        <v>2697</v>
      </c>
      <c r="J408">
        <f>MAX(0,ROUND(SUMIFS(m4_cv!$E:$E,m4_cv!$A:$A,$E408,m4_cv!$B:$B,$A408),0))</f>
        <v>2694</v>
      </c>
      <c r="K408">
        <f>MAX(0,ROUND(SUMIFS(m5_cv!$E:$E,m5_cv!$A:$A,$E408,m5_cv!$B:$B,$A408),0))</f>
        <v>2493</v>
      </c>
      <c r="L408">
        <f>MAX(0,ROUND(SUMIFS(m6_cv!$E:$E,m6_cv!$A:$A,$E408,m6_cv!$B:$B,$A408),0))</f>
        <v>1716</v>
      </c>
      <c r="M408">
        <f>MAX(0,ROUND(SUMIFS(m7_cv!$E:$E,m7_cv!$A:$A,$E408,m7_cv!$B:$B,$A408),0))</f>
        <v>2449</v>
      </c>
      <c r="N408">
        <f>ROUND(_xlfn.XLOOKUP($D408,Charts!$W$82:$W$112,Charts!$X$82:$X$112)*$L408+_xlfn.XLOOKUP($D408,Charts!$W$82:$W$112,Charts!$Y$82:$Y$112)*$M408,0)</f>
        <v>2229</v>
      </c>
    </row>
    <row r="409" spans="1:14" x14ac:dyDescent="0.25">
      <c r="A409" s="3">
        <f t="shared" si="34"/>
        <v>46065</v>
      </c>
      <c r="B409">
        <f t="shared" si="30"/>
        <v>2026</v>
      </c>
      <c r="C409">
        <f t="shared" si="31"/>
        <v>2</v>
      </c>
      <c r="D409">
        <f t="shared" si="32"/>
        <v>12</v>
      </c>
      <c r="E409" s="2">
        <f t="shared" si="33"/>
        <v>46053</v>
      </c>
      <c r="F409" s="12">
        <f>_xlfn.XLOOKUP($A409,m1_cv!$B:$B,m1_cv!$C:$C)</f>
        <v>3108</v>
      </c>
      <c r="G409">
        <f>MAX(0,ROUND(SUMIFS(m1_cv!$E:$E,m1_cv!$A:$A,$E409,m1_cv!$B:$B,$A409),0))</f>
        <v>3285</v>
      </c>
      <c r="H409">
        <f>MAX(0,ROUND(SUMIFS(m2_cv!$E:$E,m2_cv!$A:$A,$E409,m2_cv!$B:$B,$A409),0))</f>
        <v>2489</v>
      </c>
      <c r="I409">
        <f>MAX(0,ROUND(SUMIFS(m3_cv!$E:$E,m3_cv!$A:$A,$E409,m3_cv!$B:$B,$A409),0))</f>
        <v>2820</v>
      </c>
      <c r="J409">
        <f>MAX(0,ROUND(SUMIFS(m4_cv!$E:$E,m4_cv!$A:$A,$E409,m4_cv!$B:$B,$A409),0))</f>
        <v>2817</v>
      </c>
      <c r="K409">
        <f>MAX(0,ROUND(SUMIFS(m5_cv!$E:$E,m5_cv!$A:$A,$E409,m5_cv!$B:$B,$A409),0))</f>
        <v>2519</v>
      </c>
      <c r="L409">
        <f>MAX(0,ROUND(SUMIFS(m6_cv!$E:$E,m6_cv!$A:$A,$E409,m6_cv!$B:$B,$A409),0))</f>
        <v>1962</v>
      </c>
      <c r="M409">
        <f>MAX(0,ROUND(SUMIFS(m7_cv!$E:$E,m7_cv!$A:$A,$E409,m7_cv!$B:$B,$A409),0))</f>
        <v>2546</v>
      </c>
      <c r="N409">
        <f>ROUND(_xlfn.XLOOKUP($D409,Charts!$W$82:$W$112,Charts!$X$82:$X$112)*$L409+_xlfn.XLOOKUP($D409,Charts!$W$82:$W$112,Charts!$Y$82:$Y$112)*$M409,0)</f>
        <v>2371</v>
      </c>
    </row>
    <row r="410" spans="1:14" x14ac:dyDescent="0.25">
      <c r="A410" s="3">
        <f t="shared" si="34"/>
        <v>46066</v>
      </c>
      <c r="B410">
        <f t="shared" si="30"/>
        <v>2026</v>
      </c>
      <c r="C410">
        <f t="shared" si="31"/>
        <v>2</v>
      </c>
      <c r="D410">
        <f t="shared" si="32"/>
        <v>13</v>
      </c>
      <c r="E410" s="2">
        <f t="shared" si="33"/>
        <v>46053</v>
      </c>
      <c r="F410" s="12">
        <f>_xlfn.XLOOKUP($A410,m1_cv!$B:$B,m1_cv!$C:$C)</f>
        <v>3172</v>
      </c>
      <c r="G410">
        <f>MAX(0,ROUND(SUMIFS(m1_cv!$E:$E,m1_cv!$A:$A,$E410,m1_cv!$B:$B,$A410),0))</f>
        <v>3302</v>
      </c>
      <c r="H410">
        <f>MAX(0,ROUND(SUMIFS(m2_cv!$E:$E,m2_cv!$A:$A,$E410,m2_cv!$B:$B,$A410),0))</f>
        <v>2494</v>
      </c>
      <c r="I410">
        <f>MAX(0,ROUND(SUMIFS(m3_cv!$E:$E,m3_cv!$A:$A,$E410,m3_cv!$B:$B,$A410),0))</f>
        <v>2698</v>
      </c>
      <c r="J410">
        <f>MAX(0,ROUND(SUMIFS(m4_cv!$E:$E,m4_cv!$A:$A,$E410,m4_cv!$B:$B,$A410),0))</f>
        <v>2695</v>
      </c>
      <c r="K410">
        <f>MAX(0,ROUND(SUMIFS(m5_cv!$E:$E,m5_cv!$A:$A,$E410,m5_cv!$B:$B,$A410),0))</f>
        <v>2502</v>
      </c>
      <c r="L410">
        <f>MAX(0,ROUND(SUMIFS(m6_cv!$E:$E,m6_cv!$A:$A,$E410,m6_cv!$B:$B,$A410),0))</f>
        <v>1938</v>
      </c>
      <c r="M410">
        <f>MAX(0,ROUND(SUMIFS(m7_cv!$E:$E,m7_cv!$A:$A,$E410,m7_cv!$B:$B,$A410),0))</f>
        <v>2540</v>
      </c>
      <c r="N410">
        <f>ROUND(_xlfn.XLOOKUP($D410,Charts!$W$82:$W$112,Charts!$X$82:$X$112)*$L410+_xlfn.XLOOKUP($D410,Charts!$W$82:$W$112,Charts!$Y$82:$Y$112)*$M410,0)</f>
        <v>2359</v>
      </c>
    </row>
    <row r="411" spans="1:14" x14ac:dyDescent="0.25">
      <c r="A411" s="3">
        <f t="shared" si="34"/>
        <v>46067</v>
      </c>
      <c r="B411">
        <f t="shared" si="30"/>
        <v>2026</v>
      </c>
      <c r="C411">
        <f t="shared" si="31"/>
        <v>2</v>
      </c>
      <c r="D411">
        <f t="shared" si="32"/>
        <v>14</v>
      </c>
      <c r="E411" s="2">
        <f t="shared" si="33"/>
        <v>46053</v>
      </c>
      <c r="F411" s="12">
        <f>_xlfn.XLOOKUP($A411,m1_cv!$B:$B,m1_cv!$C:$C)</f>
        <v>913</v>
      </c>
      <c r="G411">
        <f>MAX(0,ROUND(SUMIFS(m1_cv!$E:$E,m1_cv!$A:$A,$E411,m1_cv!$B:$B,$A411),0))</f>
        <v>1008</v>
      </c>
      <c r="H411">
        <f>MAX(0,ROUND(SUMIFS(m2_cv!$E:$E,m2_cv!$A:$A,$E411,m2_cv!$B:$B,$A411),0))</f>
        <v>195</v>
      </c>
      <c r="I411">
        <f>MAX(0,ROUND(SUMIFS(m3_cv!$E:$E,m3_cv!$A:$A,$E411,m3_cv!$B:$B,$A411),0))</f>
        <v>281</v>
      </c>
      <c r="J411">
        <f>MAX(0,ROUND(SUMIFS(m4_cv!$E:$E,m4_cv!$A:$A,$E411,m4_cv!$B:$B,$A411),0))</f>
        <v>278</v>
      </c>
      <c r="K411">
        <f>MAX(0,ROUND(SUMIFS(m5_cv!$E:$E,m5_cv!$A:$A,$E411,m5_cv!$B:$B,$A411),0))</f>
        <v>259</v>
      </c>
      <c r="L411">
        <f>MAX(0,ROUND(SUMIFS(m6_cv!$E:$E,m6_cv!$A:$A,$E411,m6_cv!$B:$B,$A411),0))</f>
        <v>332</v>
      </c>
      <c r="M411">
        <f>MAX(0,ROUND(SUMIFS(m7_cv!$E:$E,m7_cv!$A:$A,$E411,m7_cv!$B:$B,$A411),0))</f>
        <v>263</v>
      </c>
      <c r="N411">
        <f>ROUND(_xlfn.XLOOKUP($D411,Charts!$W$82:$W$112,Charts!$X$82:$X$112)*$L411+_xlfn.XLOOKUP($D411,Charts!$W$82:$W$112,Charts!$Y$82:$Y$112)*$M411,0)</f>
        <v>263</v>
      </c>
    </row>
    <row r="412" spans="1:14" x14ac:dyDescent="0.25">
      <c r="A412" s="3">
        <f t="shared" si="34"/>
        <v>46068</v>
      </c>
      <c r="B412">
        <f t="shared" si="30"/>
        <v>2026</v>
      </c>
      <c r="C412">
        <f t="shared" si="31"/>
        <v>2</v>
      </c>
      <c r="D412">
        <f t="shared" si="32"/>
        <v>15</v>
      </c>
      <c r="E412" s="2">
        <f t="shared" si="33"/>
        <v>46053</v>
      </c>
      <c r="F412" s="12">
        <f>_xlfn.XLOOKUP($A412,m1_cv!$B:$B,m1_cv!$C:$C)</f>
        <v>208</v>
      </c>
      <c r="G412">
        <f>MAX(0,ROUND(SUMIFS(m1_cv!$E:$E,m1_cv!$A:$A,$E412,m1_cv!$B:$B,$A412),0))</f>
        <v>379</v>
      </c>
      <c r="H412">
        <f>MAX(0,ROUND(SUMIFS(m2_cv!$E:$E,m2_cv!$A:$A,$E412,m2_cv!$B:$B,$A412),0))</f>
        <v>0</v>
      </c>
      <c r="I412">
        <f>MAX(0,ROUND(SUMIFS(m3_cv!$E:$E,m3_cv!$A:$A,$E412,m3_cv!$B:$B,$A412),0))</f>
        <v>0</v>
      </c>
      <c r="J412">
        <f>MAX(0,ROUND(SUMIFS(m4_cv!$E:$E,m4_cv!$A:$A,$E412,m4_cv!$B:$B,$A412),0))</f>
        <v>0</v>
      </c>
      <c r="K412">
        <f>MAX(0,ROUND(SUMIFS(m5_cv!$E:$E,m5_cv!$A:$A,$E412,m5_cv!$B:$B,$A412),0))</f>
        <v>0</v>
      </c>
      <c r="L412">
        <f>MAX(0,ROUND(SUMIFS(m6_cv!$E:$E,m6_cv!$A:$A,$E412,m6_cv!$B:$B,$A412),0))</f>
        <v>118</v>
      </c>
      <c r="M412">
        <f>MAX(0,ROUND(SUMIFS(m7_cv!$E:$E,m7_cv!$A:$A,$E412,m7_cv!$B:$B,$A412),0))</f>
        <v>0</v>
      </c>
      <c r="N412">
        <f>ROUND(_xlfn.XLOOKUP($D412,Charts!$W$82:$W$112,Charts!$X$82:$X$112)*$L412+_xlfn.XLOOKUP($D412,Charts!$W$82:$W$112,Charts!$Y$82:$Y$112)*$M412,0)</f>
        <v>0</v>
      </c>
    </row>
    <row r="413" spans="1:14" x14ac:dyDescent="0.25">
      <c r="A413" s="3">
        <f t="shared" si="34"/>
        <v>46069</v>
      </c>
      <c r="B413">
        <f t="shared" si="30"/>
        <v>2026</v>
      </c>
      <c r="C413">
        <f t="shared" si="31"/>
        <v>2</v>
      </c>
      <c r="D413">
        <f t="shared" si="32"/>
        <v>16</v>
      </c>
      <c r="E413" s="2">
        <f t="shared" si="33"/>
        <v>46053</v>
      </c>
      <c r="F413" s="12">
        <f>_xlfn.XLOOKUP($A413,m1_cv!$B:$B,m1_cv!$C:$C)</f>
        <v>1728</v>
      </c>
      <c r="G413">
        <f>MAX(0,ROUND(SUMIFS(m1_cv!$E:$E,m1_cv!$A:$A,$E413,m1_cv!$B:$B,$A413),0))</f>
        <v>2658</v>
      </c>
      <c r="H413">
        <f>MAX(0,ROUND(SUMIFS(m2_cv!$E:$E,m2_cv!$A:$A,$E413,m2_cv!$B:$B,$A413),0))</f>
        <v>2288</v>
      </c>
      <c r="I413">
        <f>MAX(0,ROUND(SUMIFS(m3_cv!$E:$E,m3_cv!$A:$A,$E413,m3_cv!$B:$B,$A413),0))</f>
        <v>2535</v>
      </c>
      <c r="J413">
        <f>MAX(0,ROUND(SUMIFS(m4_cv!$E:$E,m4_cv!$A:$A,$E413,m4_cv!$B:$B,$A413),0))</f>
        <v>2532</v>
      </c>
      <c r="K413">
        <f>MAX(0,ROUND(SUMIFS(m5_cv!$E:$E,m5_cv!$A:$A,$E413,m5_cv!$B:$B,$A413),0))</f>
        <v>2503</v>
      </c>
      <c r="L413">
        <f>MAX(0,ROUND(SUMIFS(m6_cv!$E:$E,m6_cv!$A:$A,$E413,m6_cv!$B:$B,$A413),0))</f>
        <v>1556</v>
      </c>
      <c r="M413">
        <f>MAX(0,ROUND(SUMIFS(m7_cv!$E:$E,m7_cv!$A:$A,$E413,m7_cv!$B:$B,$A413),0))</f>
        <v>2458</v>
      </c>
      <c r="N413">
        <f>ROUND(_xlfn.XLOOKUP($D413,Charts!$W$82:$W$112,Charts!$X$82:$X$112)*$L413+_xlfn.XLOOKUP($D413,Charts!$W$82:$W$112,Charts!$Y$82:$Y$112)*$M413,0)</f>
        <v>2458</v>
      </c>
    </row>
    <row r="414" spans="1:14" x14ac:dyDescent="0.25">
      <c r="A414" s="3">
        <f t="shared" si="34"/>
        <v>46070</v>
      </c>
      <c r="B414">
        <f t="shared" si="30"/>
        <v>2026</v>
      </c>
      <c r="C414">
        <f t="shared" si="31"/>
        <v>2</v>
      </c>
      <c r="D414">
        <f t="shared" si="32"/>
        <v>17</v>
      </c>
      <c r="E414" s="2">
        <f t="shared" si="33"/>
        <v>46053</v>
      </c>
      <c r="F414" s="12">
        <f>_xlfn.XLOOKUP($A414,m1_cv!$B:$B,m1_cv!$C:$C)</f>
        <v>27</v>
      </c>
      <c r="G414">
        <f>MAX(0,ROUND(SUMIFS(m1_cv!$E:$E,m1_cv!$A:$A,$E414,m1_cv!$B:$B,$A414),0))</f>
        <v>3182</v>
      </c>
      <c r="H414">
        <f>MAX(0,ROUND(SUMIFS(m2_cv!$E:$E,m2_cv!$A:$A,$E414,m2_cv!$B:$B,$A414),0))</f>
        <v>2993</v>
      </c>
      <c r="I414">
        <f>MAX(0,ROUND(SUMIFS(m3_cv!$E:$E,m3_cv!$A:$A,$E414,m3_cv!$B:$B,$A414),0))</f>
        <v>619</v>
      </c>
      <c r="J414">
        <f>MAX(0,ROUND(SUMIFS(m4_cv!$E:$E,m4_cv!$A:$A,$E414,m4_cv!$B:$B,$A414),0))</f>
        <v>619</v>
      </c>
      <c r="K414">
        <f>MAX(0,ROUND(SUMIFS(m5_cv!$E:$E,m5_cv!$A:$A,$E414,m5_cv!$B:$B,$A414),0))</f>
        <v>762</v>
      </c>
      <c r="L414">
        <f>MAX(0,ROUND(SUMIFS(m6_cv!$E:$E,m6_cv!$A:$A,$E414,m6_cv!$B:$B,$A414),0))</f>
        <v>37</v>
      </c>
      <c r="M414">
        <f>MAX(0,ROUND(SUMIFS(m7_cv!$E:$E,m7_cv!$A:$A,$E414,m7_cv!$B:$B,$A414),0))</f>
        <v>777</v>
      </c>
      <c r="N414">
        <f>ROUND(_xlfn.XLOOKUP($D414,Charts!$W$82:$W$112,Charts!$X$82:$X$112)*$L414+_xlfn.XLOOKUP($D414,Charts!$W$82:$W$112,Charts!$Y$82:$Y$112)*$M414,0)</f>
        <v>777</v>
      </c>
    </row>
    <row r="415" spans="1:14" x14ac:dyDescent="0.25">
      <c r="A415" s="3">
        <f t="shared" si="34"/>
        <v>46071</v>
      </c>
      <c r="B415">
        <f t="shared" si="30"/>
        <v>2026</v>
      </c>
      <c r="C415">
        <f t="shared" si="31"/>
        <v>2</v>
      </c>
      <c r="D415">
        <f t="shared" si="32"/>
        <v>18</v>
      </c>
      <c r="E415" s="2">
        <f t="shared" si="33"/>
        <v>46053</v>
      </c>
      <c r="F415" s="12">
        <f>_xlfn.XLOOKUP($A415,m1_cv!$B:$B,m1_cv!$C:$C)</f>
        <v>21</v>
      </c>
      <c r="G415">
        <f>MAX(0,ROUND(SUMIFS(m1_cv!$E:$E,m1_cv!$A:$A,$E415,m1_cv!$B:$B,$A415),0))</f>
        <v>3233</v>
      </c>
      <c r="H415">
        <f>MAX(0,ROUND(SUMIFS(m2_cv!$E:$E,m2_cv!$A:$A,$E415,m2_cv!$B:$B,$A415),0))</f>
        <v>3054</v>
      </c>
      <c r="I415">
        <f>MAX(0,ROUND(SUMIFS(m3_cv!$E:$E,m3_cv!$A:$A,$E415,m3_cv!$B:$B,$A415),0))</f>
        <v>713</v>
      </c>
      <c r="J415">
        <f>MAX(0,ROUND(SUMIFS(m4_cv!$E:$E,m4_cv!$A:$A,$E415,m4_cv!$B:$B,$A415),0))</f>
        <v>712</v>
      </c>
      <c r="K415">
        <f>MAX(0,ROUND(SUMIFS(m5_cv!$E:$E,m5_cv!$A:$A,$E415,m5_cv!$B:$B,$A415),0))</f>
        <v>824</v>
      </c>
      <c r="L415">
        <f>MAX(0,ROUND(SUMIFS(m6_cv!$E:$E,m6_cv!$A:$A,$E415,m6_cv!$B:$B,$A415),0))</f>
        <v>42</v>
      </c>
      <c r="M415">
        <f>MAX(0,ROUND(SUMIFS(m7_cv!$E:$E,m7_cv!$A:$A,$E415,m7_cv!$B:$B,$A415),0))</f>
        <v>858</v>
      </c>
      <c r="N415">
        <f>ROUND(_xlfn.XLOOKUP($D415,Charts!$W$82:$W$112,Charts!$X$82:$X$112)*$L415+_xlfn.XLOOKUP($D415,Charts!$W$82:$W$112,Charts!$Y$82:$Y$112)*$M415,0)</f>
        <v>858</v>
      </c>
    </row>
    <row r="416" spans="1:14" x14ac:dyDescent="0.25">
      <c r="A416" s="3">
        <f t="shared" si="34"/>
        <v>46072</v>
      </c>
      <c r="B416">
        <f t="shared" si="30"/>
        <v>2026</v>
      </c>
      <c r="C416">
        <f t="shared" si="31"/>
        <v>2</v>
      </c>
      <c r="D416">
        <f t="shared" si="32"/>
        <v>19</v>
      </c>
      <c r="E416" s="2">
        <f t="shared" si="33"/>
        <v>46053</v>
      </c>
      <c r="F416" s="12">
        <f>_xlfn.XLOOKUP($A416,m1_cv!$B:$B,m1_cv!$C:$C)</f>
        <v>1000</v>
      </c>
      <c r="G416">
        <f>MAX(0,ROUND(SUMIFS(m1_cv!$E:$E,m1_cv!$A:$A,$E416,m1_cv!$B:$B,$A416),0))</f>
        <v>3218</v>
      </c>
      <c r="H416">
        <f>MAX(0,ROUND(SUMIFS(m2_cv!$E:$E,m2_cv!$A:$A,$E416,m2_cv!$B:$B,$A416),0))</f>
        <v>2944</v>
      </c>
      <c r="I416">
        <f>MAX(0,ROUND(SUMIFS(m3_cv!$E:$E,m3_cv!$A:$A,$E416,m3_cv!$B:$B,$A416),0))</f>
        <v>2978</v>
      </c>
      <c r="J416">
        <f>MAX(0,ROUND(SUMIFS(m4_cv!$E:$E,m4_cv!$A:$A,$E416,m4_cv!$B:$B,$A416),0))</f>
        <v>2975</v>
      </c>
      <c r="K416">
        <f>MAX(0,ROUND(SUMIFS(m5_cv!$E:$E,m5_cv!$A:$A,$E416,m5_cv!$B:$B,$A416),0))</f>
        <v>2933</v>
      </c>
      <c r="L416">
        <f>MAX(0,ROUND(SUMIFS(m6_cv!$E:$E,m6_cv!$A:$A,$E416,m6_cv!$B:$B,$A416),0))</f>
        <v>2652</v>
      </c>
      <c r="M416">
        <f>MAX(0,ROUND(SUMIFS(m7_cv!$E:$E,m7_cv!$A:$A,$E416,m7_cv!$B:$B,$A416),0))</f>
        <v>2987</v>
      </c>
      <c r="N416">
        <f>ROUND(_xlfn.XLOOKUP($D416,Charts!$W$82:$W$112,Charts!$X$82:$X$112)*$L416+_xlfn.XLOOKUP($D416,Charts!$W$82:$W$112,Charts!$Y$82:$Y$112)*$M416,0)</f>
        <v>2987</v>
      </c>
    </row>
    <row r="417" spans="1:25" x14ac:dyDescent="0.25">
      <c r="A417" s="3">
        <f t="shared" si="34"/>
        <v>46073</v>
      </c>
      <c r="B417">
        <f t="shared" si="30"/>
        <v>2026</v>
      </c>
      <c r="C417">
        <f t="shared" si="31"/>
        <v>2</v>
      </c>
      <c r="D417">
        <f t="shared" si="32"/>
        <v>20</v>
      </c>
      <c r="E417" s="2">
        <f t="shared" si="33"/>
        <v>46053</v>
      </c>
      <c r="F417" s="12">
        <f>_xlfn.XLOOKUP($A417,m1_cv!$B:$B,m1_cv!$C:$C)</f>
        <v>1555</v>
      </c>
      <c r="G417">
        <f>MAX(0,ROUND(SUMIFS(m1_cv!$E:$E,m1_cv!$A:$A,$E417,m1_cv!$B:$B,$A417),0))</f>
        <v>3258</v>
      </c>
      <c r="H417">
        <f>MAX(0,ROUND(SUMIFS(m2_cv!$E:$E,m2_cv!$A:$A,$E417,m2_cv!$B:$B,$A417),0))</f>
        <v>3005</v>
      </c>
      <c r="I417">
        <f>MAX(0,ROUND(SUMIFS(m3_cv!$E:$E,m3_cv!$A:$A,$E417,m3_cv!$B:$B,$A417),0))</f>
        <v>2866</v>
      </c>
      <c r="J417">
        <f>MAX(0,ROUND(SUMIFS(m4_cv!$E:$E,m4_cv!$A:$A,$E417,m4_cv!$B:$B,$A417),0))</f>
        <v>2864</v>
      </c>
      <c r="K417">
        <f>MAX(0,ROUND(SUMIFS(m5_cv!$E:$E,m5_cv!$A:$A,$E417,m5_cv!$B:$B,$A417),0))</f>
        <v>3034</v>
      </c>
      <c r="L417">
        <f>MAX(0,ROUND(SUMIFS(m6_cv!$E:$E,m6_cv!$A:$A,$E417,m6_cv!$B:$B,$A417),0))</f>
        <v>2661</v>
      </c>
      <c r="M417">
        <f>MAX(0,ROUND(SUMIFS(m7_cv!$E:$E,m7_cv!$A:$A,$E417,m7_cv!$B:$B,$A417),0))</f>
        <v>3054</v>
      </c>
      <c r="N417">
        <f>ROUND(_xlfn.XLOOKUP($D417,Charts!$W$82:$W$112,Charts!$X$82:$X$112)*$L417+_xlfn.XLOOKUP($D417,Charts!$W$82:$W$112,Charts!$Y$82:$Y$112)*$M417,0)</f>
        <v>3054</v>
      </c>
    </row>
    <row r="418" spans="1:25" x14ac:dyDescent="0.25">
      <c r="A418" s="3">
        <f t="shared" si="34"/>
        <v>46074</v>
      </c>
      <c r="B418">
        <f t="shared" si="30"/>
        <v>2026</v>
      </c>
      <c r="C418">
        <f t="shared" si="31"/>
        <v>2</v>
      </c>
      <c r="D418">
        <f t="shared" si="32"/>
        <v>21</v>
      </c>
      <c r="E418" s="2">
        <f t="shared" si="33"/>
        <v>46053</v>
      </c>
      <c r="F418" s="12">
        <f>_xlfn.XLOOKUP($A418,m1_cv!$B:$B,m1_cv!$C:$C)</f>
        <v>492</v>
      </c>
      <c r="G418">
        <f>MAX(0,ROUND(SUMIFS(m1_cv!$E:$E,m1_cv!$A:$A,$E418,m1_cv!$B:$B,$A418),0))</f>
        <v>989</v>
      </c>
      <c r="H418">
        <f>MAX(0,ROUND(SUMIFS(m2_cv!$E:$E,m2_cv!$A:$A,$E418,m2_cv!$B:$B,$A418),0))</f>
        <v>996</v>
      </c>
      <c r="I418">
        <f>MAX(0,ROUND(SUMIFS(m3_cv!$E:$E,m3_cv!$A:$A,$E418,m3_cv!$B:$B,$A418),0))</f>
        <v>756</v>
      </c>
      <c r="J418">
        <f>MAX(0,ROUND(SUMIFS(m4_cv!$E:$E,m4_cv!$A:$A,$E418,m4_cv!$B:$B,$A418),0))</f>
        <v>754</v>
      </c>
      <c r="K418">
        <f>MAX(0,ROUND(SUMIFS(m5_cv!$E:$E,m5_cv!$A:$A,$E418,m5_cv!$B:$B,$A418),0))</f>
        <v>923</v>
      </c>
      <c r="L418">
        <f>MAX(0,ROUND(SUMIFS(m6_cv!$E:$E,m6_cv!$A:$A,$E418,m6_cv!$B:$B,$A418),0))</f>
        <v>469</v>
      </c>
      <c r="M418">
        <f>MAX(0,ROUND(SUMIFS(m7_cv!$E:$E,m7_cv!$A:$A,$E418,m7_cv!$B:$B,$A418),0))</f>
        <v>818</v>
      </c>
      <c r="N418">
        <f>ROUND(_xlfn.XLOOKUP($D418,Charts!$W$82:$W$112,Charts!$X$82:$X$112)*$L418+_xlfn.XLOOKUP($D418,Charts!$W$82:$W$112,Charts!$Y$82:$Y$112)*$M418,0)</f>
        <v>818</v>
      </c>
    </row>
    <row r="419" spans="1:25" x14ac:dyDescent="0.25">
      <c r="A419" s="3">
        <f t="shared" si="34"/>
        <v>46075</v>
      </c>
      <c r="B419">
        <f t="shared" si="30"/>
        <v>2026</v>
      </c>
      <c r="C419">
        <f t="shared" si="31"/>
        <v>2</v>
      </c>
      <c r="D419">
        <f t="shared" si="32"/>
        <v>22</v>
      </c>
      <c r="E419" s="2">
        <f t="shared" si="33"/>
        <v>46053</v>
      </c>
      <c r="F419" s="12">
        <f>_xlfn.XLOOKUP($A419,m1_cv!$B:$B,m1_cv!$C:$C)</f>
        <v>159</v>
      </c>
      <c r="G419">
        <f>MAX(0,ROUND(SUMIFS(m1_cv!$E:$E,m1_cv!$A:$A,$E419,m1_cv!$B:$B,$A419),0))</f>
        <v>388</v>
      </c>
      <c r="H419">
        <f>MAX(0,ROUND(SUMIFS(m2_cv!$E:$E,m2_cv!$A:$A,$E419,m2_cv!$B:$B,$A419),0))</f>
        <v>766</v>
      </c>
      <c r="I419">
        <f>MAX(0,ROUND(SUMIFS(m3_cv!$E:$E,m3_cv!$A:$A,$E419,m3_cv!$B:$B,$A419),0))</f>
        <v>556</v>
      </c>
      <c r="J419">
        <f>MAX(0,ROUND(SUMIFS(m4_cv!$E:$E,m4_cv!$A:$A,$E419,m4_cv!$B:$B,$A419),0))</f>
        <v>554</v>
      </c>
      <c r="K419">
        <f>MAX(0,ROUND(SUMIFS(m5_cv!$E:$E,m5_cv!$A:$A,$E419,m5_cv!$B:$B,$A419),0))</f>
        <v>1255</v>
      </c>
      <c r="L419">
        <f>MAX(0,ROUND(SUMIFS(m6_cv!$E:$E,m6_cv!$A:$A,$E419,m6_cv!$B:$B,$A419),0))</f>
        <v>303</v>
      </c>
      <c r="M419">
        <f>MAX(0,ROUND(SUMIFS(m7_cv!$E:$E,m7_cv!$A:$A,$E419,m7_cv!$B:$B,$A419),0))</f>
        <v>1221</v>
      </c>
      <c r="N419">
        <f>ROUND(_xlfn.XLOOKUP($D419,Charts!$W$82:$W$112,Charts!$X$82:$X$112)*$L419+_xlfn.XLOOKUP($D419,Charts!$W$82:$W$112,Charts!$Y$82:$Y$112)*$M419,0)</f>
        <v>1221</v>
      </c>
    </row>
    <row r="420" spans="1:25" x14ac:dyDescent="0.25">
      <c r="A420" s="3">
        <f t="shared" si="34"/>
        <v>46076</v>
      </c>
      <c r="B420">
        <f t="shared" si="30"/>
        <v>2026</v>
      </c>
      <c r="C420">
        <f t="shared" si="31"/>
        <v>2</v>
      </c>
      <c r="D420">
        <f t="shared" si="32"/>
        <v>23</v>
      </c>
      <c r="E420" s="2">
        <f t="shared" si="33"/>
        <v>46053</v>
      </c>
      <c r="F420" s="12">
        <f>_xlfn.XLOOKUP($A420,m1_cv!$B:$B,m1_cv!$C:$C)</f>
        <v>2313</v>
      </c>
      <c r="G420">
        <f>MAX(0,ROUND(SUMIFS(m1_cv!$E:$E,m1_cv!$A:$A,$E420,m1_cv!$B:$B,$A420),0))</f>
        <v>2697</v>
      </c>
      <c r="H420">
        <f>MAX(0,ROUND(SUMIFS(m2_cv!$E:$E,m2_cv!$A:$A,$E420,m2_cv!$B:$B,$A420),0))</f>
        <v>3269</v>
      </c>
      <c r="I420">
        <f>MAX(0,ROUND(SUMIFS(m3_cv!$E:$E,m3_cv!$A:$A,$E420,m3_cv!$B:$B,$A420),0))</f>
        <v>3347</v>
      </c>
      <c r="J420">
        <f>MAX(0,ROUND(SUMIFS(m4_cv!$E:$E,m4_cv!$A:$A,$E420,m4_cv!$B:$B,$A420),0))</f>
        <v>3344</v>
      </c>
      <c r="K420">
        <f>MAX(0,ROUND(SUMIFS(m5_cv!$E:$E,m5_cv!$A:$A,$E420,m5_cv!$B:$B,$A420),0))</f>
        <v>3755</v>
      </c>
      <c r="L420">
        <f>MAX(0,ROUND(SUMIFS(m6_cv!$E:$E,m6_cv!$A:$A,$E420,m6_cv!$B:$B,$A420),0))</f>
        <v>3808</v>
      </c>
      <c r="M420">
        <f>MAX(0,ROUND(SUMIFS(m7_cv!$E:$E,m7_cv!$A:$A,$E420,m7_cv!$B:$B,$A420),0))</f>
        <v>3870</v>
      </c>
      <c r="N420">
        <f>ROUND(_xlfn.XLOOKUP($D420,Charts!$W$82:$W$112,Charts!$X$82:$X$112)*$L420+_xlfn.XLOOKUP($D420,Charts!$W$82:$W$112,Charts!$Y$82:$Y$112)*$M420,0)</f>
        <v>3870</v>
      </c>
    </row>
    <row r="421" spans="1:25" x14ac:dyDescent="0.25">
      <c r="A421" s="3">
        <f t="shared" si="34"/>
        <v>46077</v>
      </c>
      <c r="B421">
        <f t="shared" si="30"/>
        <v>2026</v>
      </c>
      <c r="C421">
        <f t="shared" si="31"/>
        <v>2</v>
      </c>
      <c r="D421">
        <f t="shared" si="32"/>
        <v>24</v>
      </c>
      <c r="E421" s="2">
        <f t="shared" si="33"/>
        <v>46053</v>
      </c>
      <c r="F421" s="12">
        <f>_xlfn.XLOOKUP($A421,m1_cv!$B:$B,m1_cv!$C:$C)</f>
        <v>3081</v>
      </c>
      <c r="G421">
        <f>MAX(0,ROUND(SUMIFS(m1_cv!$E:$E,m1_cv!$A:$A,$E421,m1_cv!$B:$B,$A421),0))</f>
        <v>3252</v>
      </c>
      <c r="H421">
        <f>MAX(0,ROUND(SUMIFS(m2_cv!$E:$E,m2_cv!$A:$A,$E421,m2_cv!$B:$B,$A421),0))</f>
        <v>3728</v>
      </c>
      <c r="I421">
        <f>MAX(0,ROUND(SUMIFS(m3_cv!$E:$E,m3_cv!$A:$A,$E421,m3_cv!$B:$B,$A421),0))</f>
        <v>3659</v>
      </c>
      <c r="J421">
        <f>MAX(0,ROUND(SUMIFS(m4_cv!$E:$E,m4_cv!$A:$A,$E421,m4_cv!$B:$B,$A421),0))</f>
        <v>3657</v>
      </c>
      <c r="K421">
        <f>MAX(0,ROUND(SUMIFS(m5_cv!$E:$E,m5_cv!$A:$A,$E421,m5_cv!$B:$B,$A421),0))</f>
        <v>3955</v>
      </c>
      <c r="L421">
        <f>MAX(0,ROUND(SUMIFS(m6_cv!$E:$E,m6_cv!$A:$A,$E421,m6_cv!$B:$B,$A421),0))</f>
        <v>4600</v>
      </c>
      <c r="M421">
        <f>MAX(0,ROUND(SUMIFS(m7_cv!$E:$E,m7_cv!$A:$A,$E421,m7_cv!$B:$B,$A421),0))</f>
        <v>4047</v>
      </c>
      <c r="N421">
        <f>ROUND(_xlfn.XLOOKUP($D421,Charts!$W$82:$W$112,Charts!$X$82:$X$112)*$L421+_xlfn.XLOOKUP($D421,Charts!$W$82:$W$112,Charts!$Y$82:$Y$112)*$M421,0)</f>
        <v>4600</v>
      </c>
    </row>
    <row r="422" spans="1:25" x14ac:dyDescent="0.25">
      <c r="A422" s="3">
        <f t="shared" si="34"/>
        <v>46078</v>
      </c>
      <c r="B422">
        <f t="shared" si="30"/>
        <v>2026</v>
      </c>
      <c r="C422">
        <f t="shared" si="31"/>
        <v>2</v>
      </c>
      <c r="D422">
        <f t="shared" si="32"/>
        <v>25</v>
      </c>
      <c r="E422" s="2">
        <f t="shared" si="33"/>
        <v>46053</v>
      </c>
      <c r="F422" s="12">
        <f>_xlfn.XLOOKUP($A422,m1_cv!$B:$B,m1_cv!$C:$C)</f>
        <v>4066</v>
      </c>
      <c r="G422">
        <f>MAX(0,ROUND(SUMIFS(m1_cv!$E:$E,m1_cv!$A:$A,$E422,m1_cv!$B:$B,$A422),0))</f>
        <v>3333</v>
      </c>
      <c r="H422">
        <f>MAX(0,ROUND(SUMIFS(m2_cv!$E:$E,m2_cv!$A:$A,$E422,m2_cv!$B:$B,$A422),0))</f>
        <v>3738</v>
      </c>
      <c r="I422">
        <f>MAX(0,ROUND(SUMIFS(m3_cv!$E:$E,m3_cv!$A:$A,$E422,m3_cv!$B:$B,$A422),0))</f>
        <v>3706</v>
      </c>
      <c r="J422">
        <f>MAX(0,ROUND(SUMIFS(m4_cv!$E:$E,m4_cv!$A:$A,$E422,m4_cv!$B:$B,$A422),0))</f>
        <v>3702</v>
      </c>
      <c r="K422">
        <f>MAX(0,ROUND(SUMIFS(m5_cv!$E:$E,m5_cv!$A:$A,$E422,m5_cv!$B:$B,$A422),0))</f>
        <v>4075</v>
      </c>
      <c r="L422">
        <f>MAX(0,ROUND(SUMIFS(m6_cv!$E:$E,m6_cv!$A:$A,$E422,m6_cv!$B:$B,$A422),0))</f>
        <v>4837</v>
      </c>
      <c r="M422">
        <f>MAX(0,ROUND(SUMIFS(m7_cv!$E:$E,m7_cv!$A:$A,$E422,m7_cv!$B:$B,$A422),0))</f>
        <v>4059</v>
      </c>
      <c r="N422">
        <f>ROUND(_xlfn.XLOOKUP($D422,Charts!$W$82:$W$112,Charts!$X$82:$X$112)*$L422+_xlfn.XLOOKUP($D422,Charts!$W$82:$W$112,Charts!$Y$82:$Y$112)*$M422,0)</f>
        <v>4837</v>
      </c>
    </row>
    <row r="423" spans="1:25" x14ac:dyDescent="0.25">
      <c r="A423" s="3">
        <f t="shared" si="34"/>
        <v>46079</v>
      </c>
      <c r="B423">
        <f t="shared" si="30"/>
        <v>2026</v>
      </c>
      <c r="C423">
        <f t="shared" si="31"/>
        <v>2</v>
      </c>
      <c r="D423">
        <f t="shared" si="32"/>
        <v>26</v>
      </c>
      <c r="E423" s="2">
        <f t="shared" si="33"/>
        <v>46053</v>
      </c>
      <c r="F423" s="12">
        <f>_xlfn.XLOOKUP($A423,m1_cv!$B:$B,m1_cv!$C:$C)</f>
        <v>5569</v>
      </c>
      <c r="G423">
        <f>MAX(0,ROUND(SUMIFS(m1_cv!$E:$E,m1_cv!$A:$A,$E423,m1_cv!$B:$B,$A423),0))</f>
        <v>3348</v>
      </c>
      <c r="H423">
        <f>MAX(0,ROUND(SUMIFS(m2_cv!$E:$E,m2_cv!$A:$A,$E423,m2_cv!$B:$B,$A423),0))</f>
        <v>4115</v>
      </c>
      <c r="I423">
        <f>MAX(0,ROUND(SUMIFS(m3_cv!$E:$E,m3_cv!$A:$A,$E423,m3_cv!$B:$B,$A423),0))</f>
        <v>4027</v>
      </c>
      <c r="J423">
        <f>MAX(0,ROUND(SUMIFS(m4_cv!$E:$E,m4_cv!$A:$A,$E423,m4_cv!$B:$B,$A423),0))</f>
        <v>4023</v>
      </c>
      <c r="K423">
        <f>MAX(0,ROUND(SUMIFS(m5_cv!$E:$E,m5_cv!$A:$A,$E423,m5_cv!$B:$B,$A423),0))</f>
        <v>4419</v>
      </c>
      <c r="L423">
        <f>MAX(0,ROUND(SUMIFS(m6_cv!$E:$E,m6_cv!$A:$A,$E423,m6_cv!$B:$B,$A423),0))</f>
        <v>5385</v>
      </c>
      <c r="M423">
        <f>MAX(0,ROUND(SUMIFS(m7_cv!$E:$E,m7_cv!$A:$A,$E423,m7_cv!$B:$B,$A423),0))</f>
        <v>4348</v>
      </c>
      <c r="N423">
        <f>ROUND(_xlfn.XLOOKUP($D423,Charts!$W$82:$W$112,Charts!$X$82:$X$112)*$L423+_xlfn.XLOOKUP($D423,Charts!$W$82:$W$112,Charts!$Y$82:$Y$112)*$M423,0)</f>
        <v>5385</v>
      </c>
    </row>
    <row r="424" spans="1:25" x14ac:dyDescent="0.25">
      <c r="A424" s="3">
        <f t="shared" si="34"/>
        <v>46080</v>
      </c>
      <c r="B424">
        <f t="shared" si="30"/>
        <v>2026</v>
      </c>
      <c r="C424">
        <f t="shared" si="31"/>
        <v>2</v>
      </c>
      <c r="D424">
        <f t="shared" si="32"/>
        <v>27</v>
      </c>
      <c r="E424" s="2">
        <f t="shared" si="33"/>
        <v>46053</v>
      </c>
      <c r="F424" s="12">
        <f>_xlfn.XLOOKUP($A424,m1_cv!$B:$B,m1_cv!$C:$C)</f>
        <v>8803</v>
      </c>
      <c r="G424">
        <f>MAX(0,ROUND(SUMIFS(m1_cv!$E:$E,m1_cv!$A:$A,$E424,m1_cv!$B:$B,$A424),0))</f>
        <v>3417</v>
      </c>
      <c r="H424">
        <f>MAX(0,ROUND(SUMIFS(m2_cv!$E:$E,m2_cv!$A:$A,$E424,m2_cv!$B:$B,$A424),0))</f>
        <v>5151</v>
      </c>
      <c r="I424">
        <f>MAX(0,ROUND(SUMIFS(m3_cv!$E:$E,m3_cv!$A:$A,$E424,m3_cv!$B:$B,$A424),0))</f>
        <v>4922</v>
      </c>
      <c r="J424">
        <f>MAX(0,ROUND(SUMIFS(m4_cv!$E:$E,m4_cv!$A:$A,$E424,m4_cv!$B:$B,$A424),0))</f>
        <v>4918</v>
      </c>
      <c r="K424">
        <f>MAX(0,ROUND(SUMIFS(m5_cv!$E:$E,m5_cv!$A:$A,$E424,m5_cv!$B:$B,$A424),0))</f>
        <v>7423</v>
      </c>
      <c r="L424">
        <f>MAX(0,ROUND(SUMIFS(m6_cv!$E:$E,m6_cv!$A:$A,$E424,m6_cv!$B:$B,$A424),0))</f>
        <v>10564</v>
      </c>
      <c r="M424">
        <f>MAX(0,ROUND(SUMIFS(m7_cv!$E:$E,m7_cv!$A:$A,$E424,m7_cv!$B:$B,$A424),0))</f>
        <v>7344</v>
      </c>
      <c r="N424">
        <f>ROUND(_xlfn.XLOOKUP($D424,Charts!$W$82:$W$112,Charts!$X$82:$X$112)*$L424+_xlfn.XLOOKUP($D424,Charts!$W$82:$W$112,Charts!$Y$82:$Y$112)*$M424,0)</f>
        <v>10564</v>
      </c>
    </row>
    <row r="425" spans="1:25" x14ac:dyDescent="0.25">
      <c r="A425" s="3">
        <f t="shared" si="34"/>
        <v>46081</v>
      </c>
      <c r="B425">
        <f t="shared" si="30"/>
        <v>2026</v>
      </c>
      <c r="C425">
        <f t="shared" si="31"/>
        <v>2</v>
      </c>
      <c r="D425">
        <f t="shared" si="32"/>
        <v>28</v>
      </c>
      <c r="E425" s="2">
        <f t="shared" si="33"/>
        <v>46053</v>
      </c>
      <c r="F425" s="12">
        <f>_xlfn.XLOOKUP($A425,m1_cv!$B:$B,m1_cv!$C:$C)</f>
        <v>9425</v>
      </c>
      <c r="G425">
        <f>MAX(0,ROUND(SUMIFS(m1_cv!$E:$E,m1_cv!$A:$A,$E425,m1_cv!$B:$B,$A425),0))</f>
        <v>1174</v>
      </c>
      <c r="H425">
        <f>MAX(0,ROUND(SUMIFS(m2_cv!$E:$E,m2_cv!$A:$A,$E425,m2_cv!$B:$B,$A425),0))</f>
        <v>4125</v>
      </c>
      <c r="I425">
        <f>MAX(0,ROUND(SUMIFS(m3_cv!$E:$E,m3_cv!$A:$A,$E425,m3_cv!$B:$B,$A425),0))</f>
        <v>3861</v>
      </c>
      <c r="J425">
        <f>MAX(0,ROUND(SUMIFS(m4_cv!$E:$E,m4_cv!$A:$A,$E425,m4_cv!$B:$B,$A425),0))</f>
        <v>3858</v>
      </c>
      <c r="K425">
        <f>MAX(0,ROUND(SUMIFS(m5_cv!$E:$E,m5_cv!$A:$A,$E425,m5_cv!$B:$B,$A425),0))</f>
        <v>8105</v>
      </c>
      <c r="L425">
        <f>MAX(0,ROUND(SUMIFS(m6_cv!$E:$E,m6_cv!$A:$A,$E425,m6_cv!$B:$B,$A425),0))</f>
        <v>3414</v>
      </c>
      <c r="M425">
        <f>MAX(0,ROUND(SUMIFS(m7_cv!$E:$E,m7_cv!$A:$A,$E425,m7_cv!$B:$B,$A425),0))</f>
        <v>8316</v>
      </c>
      <c r="N425">
        <f>ROUND(_xlfn.XLOOKUP($D425,Charts!$W$82:$W$112,Charts!$X$82:$X$112)*$L425+_xlfn.XLOOKUP($D425,Charts!$W$82:$W$112,Charts!$Y$82:$Y$112)*$M425,0)</f>
        <v>3414</v>
      </c>
      <c r="P425" s="9" t="s">
        <v>17</v>
      </c>
      <c r="Q425" s="9" t="s">
        <v>18</v>
      </c>
      <c r="R425" s="9" t="s">
        <v>25</v>
      </c>
      <c r="S425" s="9" t="s">
        <v>26</v>
      </c>
      <c r="T425" s="9" t="s">
        <v>27</v>
      </c>
      <c r="V425" s="9" t="s">
        <v>26</v>
      </c>
      <c r="W425" s="9" t="s">
        <v>28</v>
      </c>
      <c r="X425" s="9" t="s">
        <v>11</v>
      </c>
    </row>
    <row r="426" spans="1:25" x14ac:dyDescent="0.25">
      <c r="A426" s="3">
        <f t="shared" si="34"/>
        <v>46082</v>
      </c>
      <c r="B426">
        <f t="shared" si="30"/>
        <v>2026</v>
      </c>
      <c r="C426">
        <f t="shared" si="31"/>
        <v>3</v>
      </c>
      <c r="D426">
        <f t="shared" si="32"/>
        <v>1</v>
      </c>
      <c r="E426" s="2">
        <f t="shared" si="33"/>
        <v>46081</v>
      </c>
      <c r="F426" s="12">
        <f>_xlfn.XLOOKUP($A426,m1_cv!$B:$B,m1_cv!$C:$C)</f>
        <v>40</v>
      </c>
      <c r="G426">
        <f>MAX(0,ROUND(SUMIFS(m1_cv!$E:$E,m1_cv!$A:$A,$E426,m1_cv!$B:$B,$A426),0))</f>
        <v>759</v>
      </c>
      <c r="H426">
        <f>MAX(0,ROUND(SUMIFS(m2_cv!$E:$E,m2_cv!$A:$A,$E426,m2_cv!$B:$B,$A426),0))</f>
        <v>4377</v>
      </c>
      <c r="I426">
        <f>MAX(0,ROUND(SUMIFS(m3_cv!$E:$E,m3_cv!$A:$A,$E426,m3_cv!$B:$B,$A426),0))</f>
        <v>4263</v>
      </c>
      <c r="J426">
        <f>MAX(0,ROUND(SUMIFS(m4_cv!$E:$E,m4_cv!$A:$A,$E426,m4_cv!$B:$B,$A426),0))</f>
        <v>4257</v>
      </c>
      <c r="K426">
        <f>MAX(0,ROUND(SUMIFS(m5_cv!$E:$E,m5_cv!$A:$A,$E426,m5_cv!$B:$B,$A426),0))</f>
        <v>972</v>
      </c>
      <c r="L426">
        <f>MAX(0,ROUND(SUMIFS(m6_cv!$E:$E,m6_cv!$A:$A,$E426,m6_cv!$B:$B,$A426),0))</f>
        <v>95</v>
      </c>
      <c r="M426">
        <f>MAX(0,ROUND(SUMIFS(m7_cv!$E:$E,m7_cv!$A:$A,$E426,m7_cv!$B:$B,$A426),0))</f>
        <v>1294</v>
      </c>
      <c r="N426">
        <f>ROUND(_xlfn.XLOOKUP($D426,Charts!$W$82:$W$112,Charts!$X$82:$X$112)*$L426+_xlfn.XLOOKUP($D426,Charts!$W$82:$W$112,Charts!$Y$82:$Y$112)*$M426,0)</f>
        <v>95</v>
      </c>
      <c r="P426">
        <v>95</v>
      </c>
      <c r="Q426" s="14">
        <v>1294</v>
      </c>
      <c r="R426">
        <f t="shared" ref="R426:R456" si="35">Q426-S426</f>
        <v>1199</v>
      </c>
      <c r="S426">
        <f>P426</f>
        <v>95</v>
      </c>
      <c r="T426">
        <f>S426</f>
        <v>95</v>
      </c>
      <c r="V426" s="9" t="s">
        <v>29</v>
      </c>
      <c r="W426" s="9" t="s">
        <v>29</v>
      </c>
      <c r="X426" s="9" t="s">
        <v>29</v>
      </c>
    </row>
    <row r="427" spans="1:25" x14ac:dyDescent="0.25">
      <c r="A427" s="3">
        <f t="shared" si="34"/>
        <v>46083</v>
      </c>
      <c r="B427">
        <f t="shared" si="30"/>
        <v>2026</v>
      </c>
      <c r="C427">
        <f t="shared" si="31"/>
        <v>3</v>
      </c>
      <c r="D427">
        <f t="shared" si="32"/>
        <v>2</v>
      </c>
      <c r="E427" s="2">
        <f t="shared" si="33"/>
        <v>46081</v>
      </c>
      <c r="F427" s="12">
        <f>_xlfn.XLOOKUP($A427,m1_cv!$B:$B,m1_cv!$C:$C)</f>
        <v>617</v>
      </c>
      <c r="G427">
        <f>MAX(0,ROUND(SUMIFS(m1_cv!$E:$E,m1_cv!$A:$A,$E427,m1_cv!$B:$B,$A427),0))</f>
        <v>3079</v>
      </c>
      <c r="H427">
        <f>MAX(0,ROUND(SUMIFS(m2_cv!$E:$E,m2_cv!$A:$A,$E427,m2_cv!$B:$B,$A427),0))</f>
        <v>6287</v>
      </c>
      <c r="I427">
        <f>MAX(0,ROUND(SUMIFS(m3_cv!$E:$E,m3_cv!$A:$A,$E427,m3_cv!$B:$B,$A427),0))</f>
        <v>6488</v>
      </c>
      <c r="J427">
        <f>MAX(0,ROUND(SUMIFS(m4_cv!$E:$E,m4_cv!$A:$A,$E427,m4_cv!$B:$B,$A427),0))</f>
        <v>6484</v>
      </c>
      <c r="K427">
        <f>MAX(0,ROUND(SUMIFS(m5_cv!$E:$E,m5_cv!$A:$A,$E427,m5_cv!$B:$B,$A427),0))</f>
        <v>2916</v>
      </c>
      <c r="L427">
        <f>MAX(0,ROUND(SUMIFS(m6_cv!$E:$E,m6_cv!$A:$A,$E427,m6_cv!$B:$B,$A427),0))</f>
        <v>836</v>
      </c>
      <c r="M427">
        <f>MAX(0,ROUND(SUMIFS(m7_cv!$E:$E,m7_cv!$A:$A,$E427,m7_cv!$B:$B,$A427),0))</f>
        <v>2797</v>
      </c>
      <c r="N427">
        <f>ROUND(_xlfn.XLOOKUP($D427,Charts!$W$82:$W$112,Charts!$X$82:$X$112)*$L427+_xlfn.XLOOKUP($D427,Charts!$W$82:$W$112,Charts!$Y$82:$Y$112)*$M427,0)</f>
        <v>836</v>
      </c>
      <c r="P427">
        <v>836</v>
      </c>
      <c r="Q427" s="14">
        <v>2797</v>
      </c>
      <c r="R427">
        <f t="shared" si="35"/>
        <v>1961</v>
      </c>
      <c r="S427">
        <f>P427</f>
        <v>836</v>
      </c>
      <c r="T427">
        <f t="shared" ref="T427:T437" si="36">S427</f>
        <v>836</v>
      </c>
      <c r="V427">
        <f>SUM(S$426:S427)</f>
        <v>931</v>
      </c>
      <c r="W427">
        <f>SUM(T$426:T427)</f>
        <v>931</v>
      </c>
      <c r="X427">
        <f>SUM(F$426:F427)</f>
        <v>657</v>
      </c>
      <c r="Y427">
        <f>W427-X427</f>
        <v>274</v>
      </c>
    </row>
    <row r="428" spans="1:25" x14ac:dyDescent="0.25">
      <c r="A428" s="3">
        <f t="shared" si="34"/>
        <v>46084</v>
      </c>
      <c r="B428">
        <f t="shared" si="30"/>
        <v>2026</v>
      </c>
      <c r="C428">
        <f t="shared" si="31"/>
        <v>3</v>
      </c>
      <c r="D428">
        <f t="shared" si="32"/>
        <v>3</v>
      </c>
      <c r="E428" s="2">
        <f t="shared" si="33"/>
        <v>46081</v>
      </c>
      <c r="F428" s="12">
        <f>_xlfn.XLOOKUP($A428,m1_cv!$B:$B,m1_cv!$C:$C)</f>
        <v>799</v>
      </c>
      <c r="G428">
        <f>MAX(0,ROUND(SUMIFS(m1_cv!$E:$E,m1_cv!$A:$A,$E428,m1_cv!$B:$B,$A428),0))</f>
        <v>3644</v>
      </c>
      <c r="H428">
        <f>MAX(0,ROUND(SUMIFS(m2_cv!$E:$E,m2_cv!$A:$A,$E428,m2_cv!$B:$B,$A428),0))</f>
        <v>5336</v>
      </c>
      <c r="I428">
        <f>MAX(0,ROUND(SUMIFS(m3_cv!$E:$E,m3_cv!$A:$A,$E428,m3_cv!$B:$B,$A428),0))</f>
        <v>5408</v>
      </c>
      <c r="J428">
        <f>MAX(0,ROUND(SUMIFS(m4_cv!$E:$E,m4_cv!$A:$A,$E428,m4_cv!$B:$B,$A428),0))</f>
        <v>5402</v>
      </c>
      <c r="K428">
        <f>MAX(0,ROUND(SUMIFS(m5_cv!$E:$E,m5_cv!$A:$A,$E428,m5_cv!$B:$B,$A428),0))</f>
        <v>2569</v>
      </c>
      <c r="L428">
        <f>MAX(0,ROUND(SUMIFS(m6_cv!$E:$E,m6_cv!$A:$A,$E428,m6_cv!$B:$B,$A428),0))</f>
        <v>1413</v>
      </c>
      <c r="M428">
        <f>MAX(0,ROUND(SUMIFS(m7_cv!$E:$E,m7_cv!$A:$A,$E428,m7_cv!$B:$B,$A428),0))</f>
        <v>2199</v>
      </c>
      <c r="N428">
        <f>ROUND(_xlfn.XLOOKUP($D428,Charts!$W$82:$W$112,Charts!$X$82:$X$112)*$L428+_xlfn.XLOOKUP($D428,Charts!$W$82:$W$112,Charts!$Y$82:$Y$112)*$M428,0)</f>
        <v>1413</v>
      </c>
      <c r="P428">
        <v>1413</v>
      </c>
      <c r="Q428" s="14">
        <v>2199</v>
      </c>
      <c r="R428">
        <f t="shared" si="35"/>
        <v>786</v>
      </c>
      <c r="S428">
        <f>P428</f>
        <v>1413</v>
      </c>
      <c r="T428">
        <f t="shared" si="36"/>
        <v>1413</v>
      </c>
      <c r="V428">
        <f>SUM(S$426:S428)</f>
        <v>2344</v>
      </c>
      <c r="W428">
        <f>SUM(T$426:T428)</f>
        <v>2344</v>
      </c>
      <c r="X428">
        <f>SUM(F$426:F428)</f>
        <v>1456</v>
      </c>
      <c r="Y428">
        <f t="shared" ref="Y428:Y456" si="37">W428-X428</f>
        <v>888</v>
      </c>
    </row>
    <row r="429" spans="1:25" x14ac:dyDescent="0.25">
      <c r="A429" s="3">
        <f t="shared" si="34"/>
        <v>46085</v>
      </c>
      <c r="B429">
        <f t="shared" si="30"/>
        <v>2026</v>
      </c>
      <c r="C429">
        <f t="shared" si="31"/>
        <v>3</v>
      </c>
      <c r="D429">
        <f t="shared" si="32"/>
        <v>4</v>
      </c>
      <c r="E429" s="2">
        <f t="shared" si="33"/>
        <v>46081</v>
      </c>
      <c r="F429" s="12">
        <f>_xlfn.XLOOKUP($A429,m1_cv!$B:$B,m1_cv!$C:$C)</f>
        <v>995</v>
      </c>
      <c r="G429">
        <f>MAX(0,ROUND(SUMIFS(m1_cv!$E:$E,m1_cv!$A:$A,$E429,m1_cv!$B:$B,$A429),0))</f>
        <v>3744</v>
      </c>
      <c r="H429">
        <f>MAX(0,ROUND(SUMIFS(m2_cv!$E:$E,m2_cv!$A:$A,$E429,m2_cv!$B:$B,$A429),0))</f>
        <v>3537</v>
      </c>
      <c r="I429">
        <f>MAX(0,ROUND(SUMIFS(m3_cv!$E:$E,m3_cv!$A:$A,$E429,m3_cv!$B:$B,$A429),0))</f>
        <v>3631</v>
      </c>
      <c r="J429">
        <f>MAX(0,ROUND(SUMIFS(m4_cv!$E:$E,m4_cv!$A:$A,$E429,m4_cv!$B:$B,$A429),0))</f>
        <v>3626</v>
      </c>
      <c r="K429">
        <f>MAX(0,ROUND(SUMIFS(m5_cv!$E:$E,m5_cv!$A:$A,$E429,m5_cv!$B:$B,$A429),0))</f>
        <v>1979</v>
      </c>
      <c r="L429">
        <f>MAX(0,ROUND(SUMIFS(m6_cv!$E:$E,m6_cv!$A:$A,$E429,m6_cv!$B:$B,$A429),0))</f>
        <v>1185</v>
      </c>
      <c r="M429">
        <f>MAX(0,ROUND(SUMIFS(m7_cv!$E:$E,m7_cv!$A:$A,$E429,m7_cv!$B:$B,$A429),0))</f>
        <v>1882</v>
      </c>
      <c r="N429">
        <f>ROUND(_xlfn.XLOOKUP($D429,Charts!$W$82:$W$112,Charts!$X$82:$X$112)*$L429+_xlfn.XLOOKUP($D429,Charts!$W$82:$W$112,Charts!$Y$82:$Y$112)*$M429,0)</f>
        <v>1185</v>
      </c>
      <c r="P429">
        <v>1185</v>
      </c>
      <c r="Q429" s="14">
        <v>1882</v>
      </c>
      <c r="R429">
        <f t="shared" si="35"/>
        <v>697</v>
      </c>
      <c r="S429">
        <f>P429</f>
        <v>1185</v>
      </c>
      <c r="T429">
        <f t="shared" si="36"/>
        <v>1185</v>
      </c>
      <c r="V429">
        <f>SUM(S$426:S429)</f>
        <v>3529</v>
      </c>
      <c r="W429">
        <f>SUM(T$426:T429)</f>
        <v>3529</v>
      </c>
      <c r="X429">
        <f>SUM(F$426:F429)</f>
        <v>2451</v>
      </c>
      <c r="Y429">
        <f t="shared" si="37"/>
        <v>1078</v>
      </c>
    </row>
    <row r="430" spans="1:25" x14ac:dyDescent="0.25">
      <c r="A430" s="3">
        <f t="shared" si="34"/>
        <v>46086</v>
      </c>
      <c r="B430">
        <f t="shared" si="30"/>
        <v>2026</v>
      </c>
      <c r="C430">
        <f t="shared" si="31"/>
        <v>3</v>
      </c>
      <c r="D430">
        <f t="shared" si="32"/>
        <v>5</v>
      </c>
      <c r="E430" s="2">
        <f t="shared" si="33"/>
        <v>46081</v>
      </c>
      <c r="F430" s="12">
        <f>_xlfn.XLOOKUP($A430,m1_cv!$B:$B,m1_cv!$C:$C)</f>
        <v>1314</v>
      </c>
      <c r="G430">
        <f>MAX(0,ROUND(SUMIFS(m1_cv!$E:$E,m1_cv!$A:$A,$E430,m1_cv!$B:$B,$A430),0))</f>
        <v>3779</v>
      </c>
      <c r="H430">
        <f>MAX(0,ROUND(SUMIFS(m2_cv!$E:$E,m2_cv!$A:$A,$E430,m2_cv!$B:$B,$A430),0))</f>
        <v>2118</v>
      </c>
      <c r="I430">
        <f>MAX(0,ROUND(SUMIFS(m3_cv!$E:$E,m3_cv!$A:$A,$E430,m3_cv!$B:$B,$A430),0))</f>
        <v>2162</v>
      </c>
      <c r="J430">
        <f>MAX(0,ROUND(SUMIFS(m4_cv!$E:$E,m4_cv!$A:$A,$E430,m4_cv!$B:$B,$A430),0))</f>
        <v>2157</v>
      </c>
      <c r="K430">
        <f>MAX(0,ROUND(SUMIFS(m5_cv!$E:$E,m5_cv!$A:$A,$E430,m5_cv!$B:$B,$A430),0))</f>
        <v>1726</v>
      </c>
      <c r="L430">
        <f>MAX(0,ROUND(SUMIFS(m6_cv!$E:$E,m6_cv!$A:$A,$E430,m6_cv!$B:$B,$A430),0))</f>
        <v>1081</v>
      </c>
      <c r="M430">
        <f>MAX(0,ROUND(SUMIFS(m7_cv!$E:$E,m7_cv!$A:$A,$E430,m7_cv!$B:$B,$A430),0))</f>
        <v>1919</v>
      </c>
      <c r="N430">
        <f>ROUND(_xlfn.XLOOKUP($D430,Charts!$W$82:$W$112,Charts!$X$82:$X$112)*$L430+_xlfn.XLOOKUP($D430,Charts!$W$82:$W$112,Charts!$Y$82:$Y$112)*$M430,0)</f>
        <v>1249</v>
      </c>
      <c r="P430">
        <v>1081</v>
      </c>
      <c r="Q430" s="14">
        <v>1919</v>
      </c>
      <c r="R430">
        <f t="shared" si="35"/>
        <v>838</v>
      </c>
      <c r="S430">
        <f>P430</f>
        <v>1081</v>
      </c>
      <c r="T430">
        <f t="shared" si="36"/>
        <v>1081</v>
      </c>
      <c r="V430">
        <f>SUM(S$426:S430)</f>
        <v>4610</v>
      </c>
      <c r="W430">
        <f>SUM(T$426:T430)</f>
        <v>4610</v>
      </c>
      <c r="X430">
        <f>SUM(F$426:F430)</f>
        <v>3765</v>
      </c>
      <c r="Y430">
        <f t="shared" si="37"/>
        <v>845</v>
      </c>
    </row>
    <row r="431" spans="1:25" x14ac:dyDescent="0.25">
      <c r="A431" s="3">
        <f t="shared" si="34"/>
        <v>46087</v>
      </c>
      <c r="B431">
        <f t="shared" si="30"/>
        <v>2026</v>
      </c>
      <c r="C431">
        <f t="shared" si="31"/>
        <v>3</v>
      </c>
      <c r="D431">
        <f t="shared" si="32"/>
        <v>6</v>
      </c>
      <c r="E431" s="2">
        <f t="shared" si="33"/>
        <v>46081</v>
      </c>
      <c r="F431" s="12">
        <f>_xlfn.XLOOKUP($A431,m1_cv!$B:$B,m1_cv!$C:$C)</f>
        <v>1617</v>
      </c>
      <c r="G431">
        <f>MAX(0,ROUND(SUMIFS(m1_cv!$E:$E,m1_cv!$A:$A,$E431,m1_cv!$B:$B,$A431),0))</f>
        <v>3863</v>
      </c>
      <c r="H431">
        <f>MAX(0,ROUND(SUMIFS(m2_cv!$E:$E,m2_cv!$A:$A,$E431,m2_cv!$B:$B,$A431),0))</f>
        <v>1652</v>
      </c>
      <c r="I431">
        <f>MAX(0,ROUND(SUMIFS(m3_cv!$E:$E,m3_cv!$A:$A,$E431,m3_cv!$B:$B,$A431),0))</f>
        <v>1588</v>
      </c>
      <c r="J431">
        <f>MAX(0,ROUND(SUMIFS(m4_cv!$E:$E,m4_cv!$A:$A,$E431,m4_cv!$B:$B,$A431),0))</f>
        <v>1582</v>
      </c>
      <c r="K431">
        <f>MAX(0,ROUND(SUMIFS(m5_cv!$E:$E,m5_cv!$A:$A,$E431,m5_cv!$B:$B,$A431),0))</f>
        <v>1832</v>
      </c>
      <c r="L431">
        <f>MAX(0,ROUND(SUMIFS(m6_cv!$E:$E,m6_cv!$A:$A,$E431,m6_cv!$B:$B,$A431),0))</f>
        <v>989</v>
      </c>
      <c r="M431">
        <f>MAX(0,ROUND(SUMIFS(m7_cv!$E:$E,m7_cv!$A:$A,$E431,m7_cv!$B:$B,$A431),0))</f>
        <v>1890</v>
      </c>
      <c r="N431">
        <f>ROUND(_xlfn.XLOOKUP($D431,Charts!$W$82:$W$112,Charts!$X$82:$X$112)*$L431+_xlfn.XLOOKUP($D431,Charts!$W$82:$W$112,Charts!$Y$82:$Y$112)*$M431,0)</f>
        <v>1440</v>
      </c>
      <c r="P431">
        <v>989</v>
      </c>
      <c r="Q431" s="14">
        <v>1890</v>
      </c>
      <c r="R431">
        <f t="shared" si="35"/>
        <v>901</v>
      </c>
      <c r="S431">
        <f>P431</f>
        <v>989</v>
      </c>
      <c r="T431">
        <f t="shared" si="36"/>
        <v>989</v>
      </c>
      <c r="V431">
        <f>SUM(S$426:S431)</f>
        <v>5599</v>
      </c>
      <c r="W431">
        <f>SUM(T$426:T431)</f>
        <v>5599</v>
      </c>
      <c r="X431">
        <f>SUM(F$426:F431)</f>
        <v>5382</v>
      </c>
      <c r="Y431">
        <f t="shared" si="37"/>
        <v>217</v>
      </c>
    </row>
    <row r="432" spans="1:25" x14ac:dyDescent="0.25">
      <c r="A432" s="3">
        <f t="shared" si="34"/>
        <v>46088</v>
      </c>
      <c r="B432">
        <f t="shared" si="30"/>
        <v>2026</v>
      </c>
      <c r="C432">
        <f t="shared" si="31"/>
        <v>3</v>
      </c>
      <c r="D432">
        <f t="shared" si="32"/>
        <v>7</v>
      </c>
      <c r="E432" s="2">
        <f t="shared" si="33"/>
        <v>46081</v>
      </c>
      <c r="F432" s="12">
        <f>_xlfn.XLOOKUP($A432,m1_cv!$B:$B,m1_cv!$C:$C)</f>
        <v>220</v>
      </c>
      <c r="G432">
        <f>MAX(0,ROUND(SUMIFS(m1_cv!$E:$E,m1_cv!$A:$A,$E432,m1_cv!$B:$B,$A432),0))</f>
        <v>1634</v>
      </c>
      <c r="H432">
        <f>MAX(0,ROUND(SUMIFS(m2_cv!$E:$E,m2_cv!$A:$A,$E432,m2_cv!$B:$B,$A432),0))</f>
        <v>0</v>
      </c>
      <c r="I432">
        <f>MAX(0,ROUND(SUMIFS(m3_cv!$E:$E,m3_cv!$A:$A,$E432,m3_cv!$B:$B,$A432),0))</f>
        <v>0</v>
      </c>
      <c r="J432">
        <f>MAX(0,ROUND(SUMIFS(m4_cv!$E:$E,m4_cv!$A:$A,$E432,m4_cv!$B:$B,$A432),0))</f>
        <v>0</v>
      </c>
      <c r="K432">
        <f>MAX(0,ROUND(SUMIFS(m5_cv!$E:$E,m5_cv!$A:$A,$E432,m5_cv!$B:$B,$A432),0))</f>
        <v>0</v>
      </c>
      <c r="L432">
        <f>MAX(0,ROUND(SUMIFS(m6_cv!$E:$E,m6_cv!$A:$A,$E432,m6_cv!$B:$B,$A432),0))</f>
        <v>19</v>
      </c>
      <c r="M432">
        <f>MAX(0,ROUND(SUMIFS(m7_cv!$E:$E,m7_cv!$A:$A,$E432,m7_cv!$B:$B,$A432),0))</f>
        <v>0</v>
      </c>
      <c r="N432">
        <f>ROUND(_xlfn.XLOOKUP($D432,Charts!$W$82:$W$112,Charts!$X$82:$X$112)*$L432+_xlfn.XLOOKUP($D432,Charts!$W$82:$W$112,Charts!$Y$82:$Y$112)*$M432,0)</f>
        <v>10</v>
      </c>
      <c r="P432">
        <v>19</v>
      </c>
      <c r="Q432" s="14">
        <v>0</v>
      </c>
      <c r="R432">
        <f t="shared" si="35"/>
        <v>-19</v>
      </c>
      <c r="S432">
        <f>P432</f>
        <v>19</v>
      </c>
      <c r="T432">
        <f t="shared" si="36"/>
        <v>19</v>
      </c>
      <c r="V432">
        <f>SUM(S$426:S432)</f>
        <v>5618</v>
      </c>
      <c r="W432">
        <f>SUM(T$426:T432)</f>
        <v>5618</v>
      </c>
      <c r="X432">
        <f>SUM(F$426:F432)</f>
        <v>5602</v>
      </c>
      <c r="Y432">
        <f t="shared" si="37"/>
        <v>16</v>
      </c>
    </row>
    <row r="433" spans="1:25" x14ac:dyDescent="0.25">
      <c r="A433" s="3">
        <f t="shared" si="34"/>
        <v>46089</v>
      </c>
      <c r="B433">
        <f t="shared" si="30"/>
        <v>2026</v>
      </c>
      <c r="C433">
        <f t="shared" si="31"/>
        <v>3</v>
      </c>
      <c r="D433">
        <f t="shared" si="32"/>
        <v>8</v>
      </c>
      <c r="E433" s="2">
        <f t="shared" si="33"/>
        <v>46081</v>
      </c>
      <c r="F433" s="12">
        <f>_xlfn.XLOOKUP($A433,m1_cv!$B:$B,m1_cv!$C:$C)</f>
        <v>43</v>
      </c>
      <c r="G433">
        <f>MAX(0,ROUND(SUMIFS(m1_cv!$E:$E,m1_cv!$A:$A,$E433,m1_cv!$B:$B,$A433),0))</f>
        <v>1001</v>
      </c>
      <c r="H433">
        <f>MAX(0,ROUND(SUMIFS(m2_cv!$E:$E,m2_cv!$A:$A,$E433,m2_cv!$B:$B,$A433),0))</f>
        <v>0</v>
      </c>
      <c r="I433">
        <f>MAX(0,ROUND(SUMIFS(m3_cv!$E:$E,m3_cv!$A:$A,$E433,m3_cv!$B:$B,$A433),0))</f>
        <v>0</v>
      </c>
      <c r="J433">
        <f>MAX(0,ROUND(SUMIFS(m4_cv!$E:$E,m4_cv!$A:$A,$E433,m4_cv!$B:$B,$A433),0))</f>
        <v>0</v>
      </c>
      <c r="K433">
        <f>MAX(0,ROUND(SUMIFS(m5_cv!$E:$E,m5_cv!$A:$A,$E433,m5_cv!$B:$B,$A433),0))</f>
        <v>0</v>
      </c>
      <c r="L433">
        <f>MAX(0,ROUND(SUMIFS(m6_cv!$E:$E,m6_cv!$A:$A,$E433,m6_cv!$B:$B,$A433),0))</f>
        <v>128</v>
      </c>
      <c r="M433">
        <f>MAX(0,ROUND(SUMIFS(m7_cv!$E:$E,m7_cv!$A:$A,$E433,m7_cv!$B:$B,$A433),0))</f>
        <v>0</v>
      </c>
      <c r="N433">
        <f>ROUND(_xlfn.XLOOKUP($D433,Charts!$W$82:$W$112,Charts!$X$82:$X$112)*$L433+_xlfn.XLOOKUP($D433,Charts!$W$82:$W$112,Charts!$Y$82:$Y$112)*$M433,0)</f>
        <v>64</v>
      </c>
      <c r="P433">
        <v>128</v>
      </c>
      <c r="Q433" s="14">
        <v>0</v>
      </c>
      <c r="R433">
        <f t="shared" si="35"/>
        <v>-128</v>
      </c>
      <c r="S433">
        <f>P433</f>
        <v>128</v>
      </c>
      <c r="T433">
        <f t="shared" si="36"/>
        <v>128</v>
      </c>
      <c r="V433">
        <f>SUM(S$426:S433)</f>
        <v>5746</v>
      </c>
      <c r="W433">
        <f>SUM(T$426:T433)</f>
        <v>5746</v>
      </c>
      <c r="X433">
        <f>SUM(F$426:F433)</f>
        <v>5645</v>
      </c>
      <c r="Y433">
        <f t="shared" si="37"/>
        <v>101</v>
      </c>
    </row>
    <row r="434" spans="1:25" x14ac:dyDescent="0.25">
      <c r="A434" s="3">
        <f t="shared" si="34"/>
        <v>46090</v>
      </c>
      <c r="B434">
        <f t="shared" si="30"/>
        <v>2026</v>
      </c>
      <c r="C434">
        <f t="shared" si="31"/>
        <v>3</v>
      </c>
      <c r="D434">
        <f t="shared" si="32"/>
        <v>9</v>
      </c>
      <c r="E434" s="2">
        <f t="shared" si="33"/>
        <v>46081</v>
      </c>
      <c r="F434" s="12">
        <f>_xlfn.XLOOKUP($A434,m1_cv!$B:$B,m1_cv!$C:$C)</f>
        <v>1766</v>
      </c>
      <c r="G434">
        <f>MAX(0,ROUND(SUMIFS(m1_cv!$E:$E,m1_cv!$A:$A,$E434,m1_cv!$B:$B,$A434),0))</f>
        <v>3287</v>
      </c>
      <c r="H434">
        <f>MAX(0,ROUND(SUMIFS(m2_cv!$E:$E,m2_cv!$A:$A,$E434,m2_cv!$B:$B,$A434),0))</f>
        <v>1986</v>
      </c>
      <c r="I434">
        <f>MAX(0,ROUND(SUMIFS(m3_cv!$E:$E,m3_cv!$A:$A,$E434,m3_cv!$B:$B,$A434),0))</f>
        <v>2119</v>
      </c>
      <c r="J434">
        <f>MAX(0,ROUND(SUMIFS(m4_cv!$E:$E,m4_cv!$A:$A,$E434,m4_cv!$B:$B,$A434),0))</f>
        <v>2114</v>
      </c>
      <c r="K434">
        <f>MAX(0,ROUND(SUMIFS(m5_cv!$E:$E,m5_cv!$A:$A,$E434,m5_cv!$B:$B,$A434),0))</f>
        <v>2381</v>
      </c>
      <c r="L434">
        <f>MAX(0,ROUND(SUMIFS(m6_cv!$E:$E,m6_cv!$A:$A,$E434,m6_cv!$B:$B,$A434),0))</f>
        <v>1698</v>
      </c>
      <c r="M434">
        <f>MAX(0,ROUND(SUMIFS(m7_cv!$E:$E,m7_cv!$A:$A,$E434,m7_cv!$B:$B,$A434),0))</f>
        <v>2398</v>
      </c>
      <c r="N434">
        <f>ROUND(_xlfn.XLOOKUP($D434,Charts!$W$82:$W$112,Charts!$X$82:$X$112)*$L434+_xlfn.XLOOKUP($D434,Charts!$W$82:$W$112,Charts!$Y$82:$Y$112)*$M434,0)</f>
        <v>2048</v>
      </c>
      <c r="P434">
        <v>1698</v>
      </c>
      <c r="Q434" s="14">
        <v>2398</v>
      </c>
      <c r="R434">
        <f t="shared" si="35"/>
        <v>700</v>
      </c>
      <c r="S434">
        <f>P434</f>
        <v>1698</v>
      </c>
      <c r="T434">
        <f t="shared" si="36"/>
        <v>1698</v>
      </c>
      <c r="V434">
        <f>SUM(S$426:S434)</f>
        <v>7444</v>
      </c>
      <c r="W434">
        <f>SUM(T$426:T434)</f>
        <v>7444</v>
      </c>
      <c r="X434">
        <f>SUM(F$426:F434)</f>
        <v>7411</v>
      </c>
      <c r="Y434">
        <f t="shared" si="37"/>
        <v>33</v>
      </c>
    </row>
    <row r="435" spans="1:25" x14ac:dyDescent="0.25">
      <c r="A435" s="3">
        <f t="shared" si="34"/>
        <v>46091</v>
      </c>
      <c r="B435">
        <f t="shared" si="30"/>
        <v>2026</v>
      </c>
      <c r="C435">
        <f t="shared" si="31"/>
        <v>3</v>
      </c>
      <c r="D435">
        <f t="shared" si="32"/>
        <v>10</v>
      </c>
      <c r="E435" s="2">
        <f t="shared" si="33"/>
        <v>46081</v>
      </c>
      <c r="F435" s="12">
        <f>_xlfn.XLOOKUP($A435,m1_cv!$B:$B,m1_cv!$C:$C)</f>
        <v>2170</v>
      </c>
      <c r="G435">
        <f>MAX(0,ROUND(SUMIFS(m1_cv!$E:$E,m1_cv!$A:$A,$E435,m1_cv!$B:$B,$A435),0))</f>
        <v>3814</v>
      </c>
      <c r="H435">
        <f>MAX(0,ROUND(SUMIFS(m2_cv!$E:$E,m2_cv!$A:$A,$E435,m2_cv!$B:$B,$A435),0))</f>
        <v>2463</v>
      </c>
      <c r="I435">
        <f>MAX(0,ROUND(SUMIFS(m3_cv!$E:$E,m3_cv!$A:$A,$E435,m3_cv!$B:$B,$A435),0))</f>
        <v>2370</v>
      </c>
      <c r="J435">
        <f>MAX(0,ROUND(SUMIFS(m4_cv!$E:$E,m4_cv!$A:$A,$E435,m4_cv!$B:$B,$A435),0))</f>
        <v>2364</v>
      </c>
      <c r="K435">
        <f>MAX(0,ROUND(SUMIFS(m5_cv!$E:$E,m5_cv!$A:$A,$E435,m5_cv!$B:$B,$A435),0))</f>
        <v>2536</v>
      </c>
      <c r="L435">
        <f>MAX(0,ROUND(SUMIFS(m6_cv!$E:$E,m6_cv!$A:$A,$E435,m6_cv!$B:$B,$A435),0))</f>
        <v>2107</v>
      </c>
      <c r="M435">
        <f>MAX(0,ROUND(SUMIFS(m7_cv!$E:$E,m7_cv!$A:$A,$E435,m7_cv!$B:$B,$A435),0))</f>
        <v>2633</v>
      </c>
      <c r="N435">
        <f>ROUND(_xlfn.XLOOKUP($D435,Charts!$W$82:$W$112,Charts!$X$82:$X$112)*$L435+_xlfn.XLOOKUP($D435,Charts!$W$82:$W$112,Charts!$Y$82:$Y$112)*$M435,0)</f>
        <v>2370</v>
      </c>
      <c r="P435">
        <v>2107</v>
      </c>
      <c r="Q435" s="14">
        <v>2633</v>
      </c>
      <c r="R435">
        <f t="shared" si="35"/>
        <v>526</v>
      </c>
      <c r="S435">
        <f>P435</f>
        <v>2107</v>
      </c>
      <c r="T435">
        <f t="shared" si="36"/>
        <v>2107</v>
      </c>
      <c r="V435">
        <f>SUM(S$426:S435)</f>
        <v>9551</v>
      </c>
      <c r="W435">
        <f>SUM(T$426:T435)</f>
        <v>9551</v>
      </c>
      <c r="X435">
        <f>SUM(F$426:F435)</f>
        <v>9581</v>
      </c>
      <c r="Y435">
        <f t="shared" si="37"/>
        <v>-30</v>
      </c>
    </row>
    <row r="436" spans="1:25" x14ac:dyDescent="0.25">
      <c r="A436" s="3">
        <f t="shared" si="34"/>
        <v>46092</v>
      </c>
      <c r="B436">
        <f t="shared" si="30"/>
        <v>2026</v>
      </c>
      <c r="C436">
        <f t="shared" si="31"/>
        <v>3</v>
      </c>
      <c r="D436">
        <f t="shared" si="32"/>
        <v>11</v>
      </c>
      <c r="E436" s="2">
        <f t="shared" si="33"/>
        <v>46081</v>
      </c>
      <c r="F436" s="12">
        <f>_xlfn.XLOOKUP($A436,m1_cv!$B:$B,m1_cv!$C:$C)</f>
        <v>2907</v>
      </c>
      <c r="G436">
        <f>MAX(0,ROUND(SUMIFS(m1_cv!$E:$E,m1_cv!$A:$A,$E436,m1_cv!$B:$B,$A436),0))</f>
        <v>3876</v>
      </c>
      <c r="H436">
        <f>MAX(0,ROUND(SUMIFS(m2_cv!$E:$E,m2_cv!$A:$A,$E436,m2_cv!$B:$B,$A436),0))</f>
        <v>2463</v>
      </c>
      <c r="I436">
        <f>MAX(0,ROUND(SUMIFS(m3_cv!$E:$E,m3_cv!$A:$A,$E436,m3_cv!$B:$B,$A436),0))</f>
        <v>2382</v>
      </c>
      <c r="J436">
        <f>MAX(0,ROUND(SUMIFS(m4_cv!$E:$E,m4_cv!$A:$A,$E436,m4_cv!$B:$B,$A436),0))</f>
        <v>2376</v>
      </c>
      <c r="K436">
        <f>MAX(0,ROUND(SUMIFS(m5_cv!$E:$E,m5_cv!$A:$A,$E436,m5_cv!$B:$B,$A436),0))</f>
        <v>2577</v>
      </c>
      <c r="L436">
        <f>MAX(0,ROUND(SUMIFS(m6_cv!$E:$E,m6_cv!$A:$A,$E436,m6_cv!$B:$B,$A436),0))</f>
        <v>2154</v>
      </c>
      <c r="M436">
        <f>MAX(0,ROUND(SUMIFS(m7_cv!$E:$E,m7_cv!$A:$A,$E436,m7_cv!$B:$B,$A436),0))</f>
        <v>2621</v>
      </c>
      <c r="N436">
        <f>ROUND(_xlfn.XLOOKUP($D436,Charts!$W$82:$W$112,Charts!$X$82:$X$112)*$L436+_xlfn.XLOOKUP($D436,Charts!$W$82:$W$112,Charts!$Y$82:$Y$112)*$M436,0)</f>
        <v>2481</v>
      </c>
      <c r="P436">
        <v>2154</v>
      </c>
      <c r="Q436" s="14">
        <v>2621</v>
      </c>
      <c r="R436">
        <f t="shared" si="35"/>
        <v>0</v>
      </c>
      <c r="S436">
        <f>Q436</f>
        <v>2621</v>
      </c>
      <c r="T436">
        <f>ROUND(S436+S436/$S$459*$R$457,0)</f>
        <v>3010</v>
      </c>
      <c r="V436">
        <f>SUM(S$426:S436)</f>
        <v>12172</v>
      </c>
      <c r="W436">
        <f>SUM(T$426:T436)</f>
        <v>12561</v>
      </c>
      <c r="X436">
        <f>SUM(F$426:F436)</f>
        <v>12488</v>
      </c>
      <c r="Y436">
        <f t="shared" si="37"/>
        <v>73</v>
      </c>
    </row>
    <row r="437" spans="1:25" x14ac:dyDescent="0.25">
      <c r="A437" s="3">
        <f t="shared" si="34"/>
        <v>46093</v>
      </c>
      <c r="B437">
        <f t="shared" si="30"/>
        <v>2026</v>
      </c>
      <c r="C437">
        <f t="shared" si="31"/>
        <v>3</v>
      </c>
      <c r="D437">
        <f t="shared" si="32"/>
        <v>12</v>
      </c>
      <c r="E437" s="2">
        <f t="shared" si="33"/>
        <v>46081</v>
      </c>
      <c r="F437" s="12">
        <f>_xlfn.XLOOKUP($A437,m1_cv!$B:$B,m1_cv!$C:$C)</f>
        <v>3020</v>
      </c>
      <c r="G437">
        <f>MAX(0,ROUND(SUMIFS(m1_cv!$E:$E,m1_cv!$A:$A,$E437,m1_cv!$B:$B,$A437),0))</f>
        <v>3871</v>
      </c>
      <c r="H437">
        <f>MAX(0,ROUND(SUMIFS(m2_cv!$E:$E,m2_cv!$A:$A,$E437,m2_cv!$B:$B,$A437),0))</f>
        <v>2573</v>
      </c>
      <c r="I437">
        <f>MAX(0,ROUND(SUMIFS(m3_cv!$E:$E,m3_cv!$A:$A,$E437,m3_cv!$B:$B,$A437),0))</f>
        <v>2526</v>
      </c>
      <c r="J437">
        <f>MAX(0,ROUND(SUMIFS(m4_cv!$E:$E,m4_cv!$A:$A,$E437,m4_cv!$B:$B,$A437),0))</f>
        <v>2520</v>
      </c>
      <c r="K437">
        <f>MAX(0,ROUND(SUMIFS(m5_cv!$E:$E,m5_cv!$A:$A,$E437,m5_cv!$B:$B,$A437),0))</f>
        <v>2688</v>
      </c>
      <c r="L437">
        <f>MAX(0,ROUND(SUMIFS(m6_cv!$E:$E,m6_cv!$A:$A,$E437,m6_cv!$B:$B,$A437),0))</f>
        <v>2296</v>
      </c>
      <c r="M437">
        <f>MAX(0,ROUND(SUMIFS(m7_cv!$E:$E,m7_cv!$A:$A,$E437,m7_cv!$B:$B,$A437),0))</f>
        <v>2623</v>
      </c>
      <c r="N437">
        <f>ROUND(_xlfn.XLOOKUP($D437,Charts!$W$82:$W$112,Charts!$X$82:$X$112)*$L437+_xlfn.XLOOKUP($D437,Charts!$W$82:$W$112,Charts!$Y$82:$Y$112)*$M437,0)</f>
        <v>2525</v>
      </c>
      <c r="P437">
        <v>2296</v>
      </c>
      <c r="Q437" s="14">
        <v>2623</v>
      </c>
      <c r="R437">
        <f t="shared" si="35"/>
        <v>0</v>
      </c>
      <c r="S437">
        <f t="shared" ref="S435:S442" si="38">Q437</f>
        <v>2623</v>
      </c>
      <c r="T437">
        <f t="shared" ref="T437:T455" si="39">ROUND(S437+S437/$S$459*$R$457,0)</f>
        <v>3012</v>
      </c>
      <c r="V437">
        <f>SUM(S$426:S437)</f>
        <v>14795</v>
      </c>
      <c r="W437">
        <f>SUM(T$426:T437)</f>
        <v>15573</v>
      </c>
      <c r="X437">
        <f>SUM(F$426:F437)</f>
        <v>15508</v>
      </c>
      <c r="Y437">
        <f t="shared" si="37"/>
        <v>65</v>
      </c>
    </row>
    <row r="438" spans="1:25" x14ac:dyDescent="0.25">
      <c r="A438" s="3">
        <f t="shared" si="34"/>
        <v>46094</v>
      </c>
      <c r="B438">
        <f t="shared" si="30"/>
        <v>2026</v>
      </c>
      <c r="C438">
        <f t="shared" si="31"/>
        <v>3</v>
      </c>
      <c r="D438">
        <f t="shared" si="32"/>
        <v>13</v>
      </c>
      <c r="E438" s="2">
        <f t="shared" si="33"/>
        <v>46081</v>
      </c>
      <c r="F438" s="12">
        <f>_xlfn.XLOOKUP($A438,m1_cv!$B:$B,m1_cv!$C:$C)</f>
        <v>3551</v>
      </c>
      <c r="G438">
        <f>MAX(0,ROUND(SUMIFS(m1_cv!$E:$E,m1_cv!$A:$A,$E438,m1_cv!$B:$B,$A438),0))</f>
        <v>3914</v>
      </c>
      <c r="H438">
        <f>MAX(0,ROUND(SUMIFS(m2_cv!$E:$E,m2_cv!$A:$A,$E438,m2_cv!$B:$B,$A438),0))</f>
        <v>2878</v>
      </c>
      <c r="I438">
        <f>MAX(0,ROUND(SUMIFS(m3_cv!$E:$E,m3_cv!$A:$A,$E438,m3_cv!$B:$B,$A438),0))</f>
        <v>2845</v>
      </c>
      <c r="J438">
        <f>MAX(0,ROUND(SUMIFS(m4_cv!$E:$E,m4_cv!$A:$A,$E438,m4_cv!$B:$B,$A438),0))</f>
        <v>2839</v>
      </c>
      <c r="K438">
        <f>MAX(0,ROUND(SUMIFS(m5_cv!$E:$E,m5_cv!$A:$A,$E438,m5_cv!$B:$B,$A438),0))</f>
        <v>2834</v>
      </c>
      <c r="L438">
        <f>MAX(0,ROUND(SUMIFS(m6_cv!$E:$E,m6_cv!$A:$A,$E438,m6_cv!$B:$B,$A438),0))</f>
        <v>2295</v>
      </c>
      <c r="M438">
        <f>MAX(0,ROUND(SUMIFS(m7_cv!$E:$E,m7_cv!$A:$A,$E438,m7_cv!$B:$B,$A438),0))</f>
        <v>2777</v>
      </c>
      <c r="N438">
        <f>ROUND(_xlfn.XLOOKUP($D438,Charts!$W$82:$W$112,Charts!$X$82:$X$112)*$L438+_xlfn.XLOOKUP($D438,Charts!$W$82:$W$112,Charts!$Y$82:$Y$112)*$M438,0)</f>
        <v>2632</v>
      </c>
      <c r="P438">
        <v>2295</v>
      </c>
      <c r="Q438" s="14">
        <v>2777</v>
      </c>
      <c r="R438">
        <f t="shared" si="35"/>
        <v>0</v>
      </c>
      <c r="S438">
        <f t="shared" si="38"/>
        <v>2777</v>
      </c>
      <c r="T438">
        <f t="shared" si="39"/>
        <v>3189</v>
      </c>
      <c r="V438">
        <f>SUM(S$426:S438)</f>
        <v>17572</v>
      </c>
      <c r="W438">
        <f>SUM(T$426:T438)</f>
        <v>18762</v>
      </c>
      <c r="X438">
        <f>SUM(F$426:F438)</f>
        <v>19059</v>
      </c>
      <c r="Y438">
        <f t="shared" si="37"/>
        <v>-297</v>
      </c>
    </row>
    <row r="439" spans="1:25" x14ac:dyDescent="0.25">
      <c r="A439" s="3">
        <f t="shared" si="34"/>
        <v>46095</v>
      </c>
      <c r="B439">
        <f t="shared" si="30"/>
        <v>2026</v>
      </c>
      <c r="C439">
        <f t="shared" si="31"/>
        <v>3</v>
      </c>
      <c r="D439">
        <f t="shared" si="32"/>
        <v>14</v>
      </c>
      <c r="E439" s="2">
        <f t="shared" si="33"/>
        <v>46081</v>
      </c>
      <c r="F439" s="12">
        <f>_xlfn.XLOOKUP($A439,m1_cv!$B:$B,m1_cv!$C:$C)</f>
        <v>1088</v>
      </c>
      <c r="G439">
        <f>MAX(0,ROUND(SUMIFS(m1_cv!$E:$E,m1_cv!$A:$A,$E439,m1_cv!$B:$B,$A439),0))</f>
        <v>1646</v>
      </c>
      <c r="H439">
        <f>MAX(0,ROUND(SUMIFS(m2_cv!$E:$E,m2_cv!$A:$A,$E439,m2_cv!$B:$B,$A439),0))</f>
        <v>833</v>
      </c>
      <c r="I439">
        <f>MAX(0,ROUND(SUMIFS(m3_cv!$E:$E,m3_cv!$A:$A,$E439,m3_cv!$B:$B,$A439),0))</f>
        <v>851</v>
      </c>
      <c r="J439">
        <f>MAX(0,ROUND(SUMIFS(m4_cv!$E:$E,m4_cv!$A:$A,$E439,m4_cv!$B:$B,$A439),0))</f>
        <v>844</v>
      </c>
      <c r="K439">
        <f>MAX(0,ROUND(SUMIFS(m5_cv!$E:$E,m5_cv!$A:$A,$E439,m5_cv!$B:$B,$A439),0))</f>
        <v>640</v>
      </c>
      <c r="L439">
        <f>MAX(0,ROUND(SUMIFS(m6_cv!$E:$E,m6_cv!$A:$A,$E439,m6_cv!$B:$B,$A439),0))</f>
        <v>429</v>
      </c>
      <c r="M439">
        <f>MAX(0,ROUND(SUMIFS(m7_cv!$E:$E,m7_cv!$A:$A,$E439,m7_cv!$B:$B,$A439),0))</f>
        <v>666</v>
      </c>
      <c r="N439">
        <f>ROUND(_xlfn.XLOOKUP($D439,Charts!$W$82:$W$112,Charts!$X$82:$X$112)*$L439+_xlfn.XLOOKUP($D439,Charts!$W$82:$W$112,Charts!$Y$82:$Y$112)*$M439,0)</f>
        <v>666</v>
      </c>
      <c r="P439">
        <v>429</v>
      </c>
      <c r="Q439" s="14">
        <v>666</v>
      </c>
      <c r="R439">
        <f t="shared" si="35"/>
        <v>0</v>
      </c>
      <c r="S439">
        <f t="shared" si="38"/>
        <v>666</v>
      </c>
      <c r="T439">
        <f t="shared" si="39"/>
        <v>765</v>
      </c>
      <c r="V439">
        <f>SUM(S$426:S439)</f>
        <v>18238</v>
      </c>
      <c r="W439">
        <f>SUM(T$426:T439)</f>
        <v>19527</v>
      </c>
      <c r="X439">
        <f>SUM(F$426:F439)</f>
        <v>20147</v>
      </c>
      <c r="Y439">
        <f t="shared" si="37"/>
        <v>-620</v>
      </c>
    </row>
    <row r="440" spans="1:25" x14ac:dyDescent="0.25">
      <c r="A440" s="3">
        <f t="shared" si="34"/>
        <v>46096</v>
      </c>
      <c r="B440">
        <f t="shared" si="30"/>
        <v>2026</v>
      </c>
      <c r="C440">
        <f t="shared" si="31"/>
        <v>3</v>
      </c>
      <c r="D440">
        <f t="shared" si="32"/>
        <v>15</v>
      </c>
      <c r="E440" s="2">
        <f t="shared" si="33"/>
        <v>46081</v>
      </c>
      <c r="F440" s="12">
        <f>_xlfn.XLOOKUP($A440,m1_cv!$B:$B,m1_cv!$C:$C)</f>
        <v>228</v>
      </c>
      <c r="G440">
        <f>MAX(0,ROUND(SUMIFS(m1_cv!$E:$E,m1_cv!$A:$A,$E440,m1_cv!$B:$B,$A440),0))</f>
        <v>974</v>
      </c>
      <c r="H440">
        <f>MAX(0,ROUND(SUMIFS(m2_cv!$E:$E,m2_cv!$A:$A,$E440,m2_cv!$B:$B,$A440),0))</f>
        <v>249</v>
      </c>
      <c r="I440">
        <f>MAX(0,ROUND(SUMIFS(m3_cv!$E:$E,m3_cv!$A:$A,$E440,m3_cv!$B:$B,$A440),0))</f>
        <v>319</v>
      </c>
      <c r="J440">
        <f>MAX(0,ROUND(SUMIFS(m4_cv!$E:$E,m4_cv!$A:$A,$E440,m4_cv!$B:$B,$A440),0))</f>
        <v>313</v>
      </c>
      <c r="K440">
        <f>MAX(0,ROUND(SUMIFS(m5_cv!$E:$E,m5_cv!$A:$A,$E440,m5_cv!$B:$B,$A440),0))</f>
        <v>106</v>
      </c>
      <c r="L440">
        <f>MAX(0,ROUND(SUMIFS(m6_cv!$E:$E,m6_cv!$A:$A,$E440,m6_cv!$B:$B,$A440),0))</f>
        <v>165</v>
      </c>
      <c r="M440">
        <f>MAX(0,ROUND(SUMIFS(m7_cv!$E:$E,m7_cv!$A:$A,$E440,m7_cv!$B:$B,$A440),0))</f>
        <v>164</v>
      </c>
      <c r="N440">
        <f>ROUND(_xlfn.XLOOKUP($D440,Charts!$W$82:$W$112,Charts!$X$82:$X$112)*$L440+_xlfn.XLOOKUP($D440,Charts!$W$82:$W$112,Charts!$Y$82:$Y$112)*$M440,0)</f>
        <v>164</v>
      </c>
      <c r="P440">
        <v>165</v>
      </c>
      <c r="Q440" s="14">
        <v>164</v>
      </c>
      <c r="R440">
        <f t="shared" si="35"/>
        <v>0</v>
      </c>
      <c r="S440">
        <f t="shared" si="38"/>
        <v>164</v>
      </c>
      <c r="T440">
        <f t="shared" si="39"/>
        <v>188</v>
      </c>
      <c r="V440">
        <f>SUM(S$426:S440)</f>
        <v>18402</v>
      </c>
      <c r="W440">
        <f>SUM(T$426:T440)</f>
        <v>19715</v>
      </c>
      <c r="X440">
        <f>SUM(F$426:F440)</f>
        <v>20375</v>
      </c>
      <c r="Y440">
        <f t="shared" si="37"/>
        <v>-660</v>
      </c>
    </row>
    <row r="441" spans="1:25" x14ac:dyDescent="0.25">
      <c r="A441" s="3">
        <f t="shared" si="34"/>
        <v>46097</v>
      </c>
      <c r="B441">
        <f t="shared" si="30"/>
        <v>2026</v>
      </c>
      <c r="C441">
        <f t="shared" si="31"/>
        <v>3</v>
      </c>
      <c r="D441">
        <f t="shared" si="32"/>
        <v>16</v>
      </c>
      <c r="E441" s="2">
        <f t="shared" si="33"/>
        <v>46081</v>
      </c>
      <c r="F441" s="12">
        <f>_xlfn.XLOOKUP($A441,m1_cv!$B:$B,m1_cv!$C:$C)</f>
        <v>3950</v>
      </c>
      <c r="G441">
        <f>MAX(0,ROUND(SUMIFS(m1_cv!$E:$E,m1_cv!$A:$A,$E441,m1_cv!$B:$B,$A441),0))</f>
        <v>3224</v>
      </c>
      <c r="H441">
        <f>MAX(0,ROUND(SUMIFS(m2_cv!$E:$E,m2_cv!$A:$A,$E441,m2_cv!$B:$B,$A441),0))</f>
        <v>2485</v>
      </c>
      <c r="I441">
        <f>MAX(0,ROUND(SUMIFS(m3_cv!$E:$E,m3_cv!$A:$A,$E441,m3_cv!$B:$B,$A441),0))</f>
        <v>2732</v>
      </c>
      <c r="J441">
        <f>MAX(0,ROUND(SUMIFS(m4_cv!$E:$E,m4_cv!$A:$A,$E441,m4_cv!$B:$B,$A441),0))</f>
        <v>2728</v>
      </c>
      <c r="K441">
        <f>MAX(0,ROUND(SUMIFS(m5_cv!$E:$E,m5_cv!$A:$A,$E441,m5_cv!$B:$B,$A441),0))</f>
        <v>2663</v>
      </c>
      <c r="L441">
        <f>MAX(0,ROUND(SUMIFS(m6_cv!$E:$E,m6_cv!$A:$A,$E441,m6_cv!$B:$B,$A441),0))</f>
        <v>2242</v>
      </c>
      <c r="M441">
        <f>MAX(0,ROUND(SUMIFS(m7_cv!$E:$E,m7_cv!$A:$A,$E441,m7_cv!$B:$B,$A441),0))</f>
        <v>2704</v>
      </c>
      <c r="N441">
        <f>ROUND(_xlfn.XLOOKUP($D441,Charts!$W$82:$W$112,Charts!$X$82:$X$112)*$L441+_xlfn.XLOOKUP($D441,Charts!$W$82:$W$112,Charts!$Y$82:$Y$112)*$M441,0)</f>
        <v>2704</v>
      </c>
      <c r="P441">
        <v>2242</v>
      </c>
      <c r="Q441" s="14">
        <v>2704</v>
      </c>
      <c r="R441">
        <f t="shared" si="35"/>
        <v>0</v>
      </c>
      <c r="S441">
        <f t="shared" si="38"/>
        <v>2704</v>
      </c>
      <c r="T441">
        <f t="shared" si="39"/>
        <v>3105</v>
      </c>
      <c r="V441">
        <f>SUM(S$426:S441)</f>
        <v>21106</v>
      </c>
      <c r="W441">
        <f>SUM(T$426:T441)</f>
        <v>22820</v>
      </c>
      <c r="X441">
        <f>SUM(F$426:F441)</f>
        <v>24325</v>
      </c>
      <c r="Y441">
        <f t="shared" si="37"/>
        <v>-1505</v>
      </c>
    </row>
    <row r="442" spans="1:25" x14ac:dyDescent="0.25">
      <c r="A442" s="3">
        <f t="shared" si="34"/>
        <v>46098</v>
      </c>
      <c r="B442">
        <f t="shared" si="30"/>
        <v>2026</v>
      </c>
      <c r="C442">
        <f t="shared" si="31"/>
        <v>3</v>
      </c>
      <c r="D442">
        <f t="shared" si="32"/>
        <v>17</v>
      </c>
      <c r="E442" s="2">
        <f t="shared" si="33"/>
        <v>46081</v>
      </c>
      <c r="F442" s="12">
        <f>_xlfn.XLOOKUP($A442,m1_cv!$B:$B,m1_cv!$C:$C)</f>
        <v>5807</v>
      </c>
      <c r="G442">
        <f>MAX(0,ROUND(SUMIFS(m1_cv!$E:$E,m1_cv!$A:$A,$E442,m1_cv!$B:$B,$A442),0))</f>
        <v>3719</v>
      </c>
      <c r="H442">
        <f>MAX(0,ROUND(SUMIFS(m2_cv!$E:$E,m2_cv!$A:$A,$E442,m2_cv!$B:$B,$A442),0))</f>
        <v>3012</v>
      </c>
      <c r="I442">
        <f>MAX(0,ROUND(SUMIFS(m3_cv!$E:$E,m3_cv!$A:$A,$E442,m3_cv!$B:$B,$A442),0))</f>
        <v>3020</v>
      </c>
      <c r="J442">
        <f>MAX(0,ROUND(SUMIFS(m4_cv!$E:$E,m4_cv!$A:$A,$E442,m4_cv!$B:$B,$A442),0))</f>
        <v>3014</v>
      </c>
      <c r="K442">
        <f>MAX(0,ROUND(SUMIFS(m5_cv!$E:$E,m5_cv!$A:$A,$E442,m5_cv!$B:$B,$A442),0))</f>
        <v>3100</v>
      </c>
      <c r="L442">
        <f>MAX(0,ROUND(SUMIFS(m6_cv!$E:$E,m6_cv!$A:$A,$E442,m6_cv!$B:$B,$A442),0))</f>
        <v>2922</v>
      </c>
      <c r="M442">
        <f>MAX(0,ROUND(SUMIFS(m7_cv!$E:$E,m7_cv!$A:$A,$E442,m7_cv!$B:$B,$A442),0))</f>
        <v>3092</v>
      </c>
      <c r="N442">
        <f>ROUND(_xlfn.XLOOKUP($D442,Charts!$W$82:$W$112,Charts!$X$82:$X$112)*$L442+_xlfn.XLOOKUP($D442,Charts!$W$82:$W$112,Charts!$Y$82:$Y$112)*$M442,0)</f>
        <v>3092</v>
      </c>
      <c r="P442">
        <v>2922</v>
      </c>
      <c r="Q442" s="14">
        <v>3092</v>
      </c>
      <c r="R442">
        <f t="shared" si="35"/>
        <v>0</v>
      </c>
      <c r="S442">
        <f t="shared" si="38"/>
        <v>3092</v>
      </c>
      <c r="T442">
        <f t="shared" si="39"/>
        <v>3550</v>
      </c>
      <c r="V442">
        <f>SUM(S$426:S442)</f>
        <v>24198</v>
      </c>
      <c r="W442">
        <f>SUM(T$426:T442)</f>
        <v>26370</v>
      </c>
      <c r="X442">
        <f>SUM(F$426:F442)</f>
        <v>30132</v>
      </c>
      <c r="Y442">
        <f t="shared" si="37"/>
        <v>-3762</v>
      </c>
    </row>
    <row r="443" spans="1:25" x14ac:dyDescent="0.25">
      <c r="A443" s="3">
        <f t="shared" si="34"/>
        <v>46099</v>
      </c>
      <c r="B443">
        <f t="shared" si="30"/>
        <v>2026</v>
      </c>
      <c r="C443">
        <f t="shared" si="31"/>
        <v>3</v>
      </c>
      <c r="D443">
        <f t="shared" si="32"/>
        <v>18</v>
      </c>
      <c r="E443" s="2">
        <f t="shared" si="33"/>
        <v>46081</v>
      </c>
      <c r="F443" s="12">
        <f>_xlfn.XLOOKUP($A443,m1_cv!$B:$B,m1_cv!$C:$C)</f>
        <v>5295</v>
      </c>
      <c r="G443">
        <f>MAX(0,ROUND(SUMIFS(m1_cv!$E:$E,m1_cv!$A:$A,$E443,m1_cv!$B:$B,$A443),0))</f>
        <v>3750</v>
      </c>
      <c r="H443">
        <f>MAX(0,ROUND(SUMIFS(m2_cv!$E:$E,m2_cv!$A:$A,$E443,m2_cv!$B:$B,$A443),0))</f>
        <v>3240</v>
      </c>
      <c r="I443">
        <f>MAX(0,ROUND(SUMIFS(m3_cv!$E:$E,m3_cv!$A:$A,$E443,m3_cv!$B:$B,$A443),0))</f>
        <v>3281</v>
      </c>
      <c r="J443">
        <f>MAX(0,ROUND(SUMIFS(m4_cv!$E:$E,m4_cv!$A:$A,$E443,m4_cv!$B:$B,$A443),0))</f>
        <v>3274</v>
      </c>
      <c r="K443">
        <f>MAX(0,ROUND(SUMIFS(m5_cv!$E:$E,m5_cv!$A:$A,$E443,m5_cv!$B:$B,$A443),0))</f>
        <v>3347</v>
      </c>
      <c r="L443">
        <f>MAX(0,ROUND(SUMIFS(m6_cv!$E:$E,m6_cv!$A:$A,$E443,m6_cv!$B:$B,$A443),0))</f>
        <v>3138</v>
      </c>
      <c r="M443">
        <f>MAX(0,ROUND(SUMIFS(m7_cv!$E:$E,m7_cv!$A:$A,$E443,m7_cv!$B:$B,$A443),0))</f>
        <v>3300</v>
      </c>
      <c r="N443">
        <f>ROUND(_xlfn.XLOOKUP($D443,Charts!$W$82:$W$112,Charts!$X$82:$X$112)*$L443+_xlfn.XLOOKUP($D443,Charts!$W$82:$W$112,Charts!$Y$82:$Y$112)*$M443,0)</f>
        <v>3300</v>
      </c>
      <c r="P443">
        <v>3138</v>
      </c>
      <c r="Q443" s="14">
        <v>3300</v>
      </c>
      <c r="R443">
        <f t="shared" si="35"/>
        <v>0</v>
      </c>
      <c r="S443">
        <f>Q443</f>
        <v>3300</v>
      </c>
      <c r="T443">
        <f t="shared" si="39"/>
        <v>3789</v>
      </c>
      <c r="V443">
        <f>SUM(S$426:S443)</f>
        <v>27498</v>
      </c>
      <c r="W443">
        <f>SUM(T$426:T443)</f>
        <v>30159</v>
      </c>
      <c r="X443">
        <f>SUM(F$426:F443)</f>
        <v>35427</v>
      </c>
      <c r="Y443">
        <f t="shared" si="37"/>
        <v>-5268</v>
      </c>
    </row>
    <row r="444" spans="1:25" x14ac:dyDescent="0.25">
      <c r="A444" s="3">
        <f t="shared" si="34"/>
        <v>46100</v>
      </c>
      <c r="B444">
        <f t="shared" si="30"/>
        <v>2026</v>
      </c>
      <c r="C444">
        <f t="shared" si="31"/>
        <v>3</v>
      </c>
      <c r="D444">
        <f t="shared" si="32"/>
        <v>19</v>
      </c>
      <c r="E444" s="2">
        <f t="shared" si="33"/>
        <v>46081</v>
      </c>
      <c r="F444" s="12">
        <f>_xlfn.XLOOKUP($A444,m1_cv!$B:$B,m1_cv!$C:$C)</f>
        <v>3557</v>
      </c>
      <c r="G444">
        <f>MAX(0,ROUND(SUMIFS(m1_cv!$E:$E,m1_cv!$A:$A,$E444,m1_cv!$B:$B,$A444),0))</f>
        <v>3719</v>
      </c>
      <c r="H444">
        <f>MAX(0,ROUND(SUMIFS(m2_cv!$E:$E,m2_cv!$A:$A,$E444,m2_cv!$B:$B,$A444),0))</f>
        <v>3435</v>
      </c>
      <c r="I444">
        <f>MAX(0,ROUND(SUMIFS(m3_cv!$E:$E,m3_cv!$A:$A,$E444,m3_cv!$B:$B,$A444),0))</f>
        <v>3536</v>
      </c>
      <c r="J444">
        <f>MAX(0,ROUND(SUMIFS(m4_cv!$E:$E,m4_cv!$A:$A,$E444,m4_cv!$B:$B,$A444),0))</f>
        <v>3530</v>
      </c>
      <c r="K444">
        <f>MAX(0,ROUND(SUMIFS(m5_cv!$E:$E,m5_cv!$A:$A,$E444,m5_cv!$B:$B,$A444),0))</f>
        <v>3462</v>
      </c>
      <c r="L444">
        <f>MAX(0,ROUND(SUMIFS(m6_cv!$E:$E,m6_cv!$A:$A,$E444,m6_cv!$B:$B,$A444),0))</f>
        <v>3406</v>
      </c>
      <c r="M444">
        <f>MAX(0,ROUND(SUMIFS(m7_cv!$E:$E,m7_cv!$A:$A,$E444,m7_cv!$B:$B,$A444),0))</f>
        <v>3455</v>
      </c>
      <c r="N444">
        <f>ROUND(_xlfn.XLOOKUP($D444,Charts!$W$82:$W$112,Charts!$X$82:$X$112)*$L444+_xlfn.XLOOKUP($D444,Charts!$W$82:$W$112,Charts!$Y$82:$Y$112)*$M444,0)</f>
        <v>3455</v>
      </c>
      <c r="P444">
        <v>3406</v>
      </c>
      <c r="Q444" s="14">
        <v>3455</v>
      </c>
      <c r="R444">
        <f t="shared" si="35"/>
        <v>0</v>
      </c>
      <c r="S444">
        <f t="shared" ref="S444:S456" si="40">Q444</f>
        <v>3455</v>
      </c>
      <c r="T444">
        <f t="shared" si="39"/>
        <v>3967</v>
      </c>
      <c r="V444">
        <f>SUM(S$426:S444)</f>
        <v>30953</v>
      </c>
      <c r="W444">
        <f>SUM(T$426:T444)</f>
        <v>34126</v>
      </c>
      <c r="X444">
        <f>SUM(F$426:F444)</f>
        <v>38984</v>
      </c>
      <c r="Y444">
        <f t="shared" si="37"/>
        <v>-4858</v>
      </c>
    </row>
    <row r="445" spans="1:25" x14ac:dyDescent="0.25">
      <c r="A445" s="3">
        <f t="shared" si="34"/>
        <v>46101</v>
      </c>
      <c r="B445">
        <f t="shared" si="30"/>
        <v>2026</v>
      </c>
      <c r="C445">
        <f t="shared" si="31"/>
        <v>3</v>
      </c>
      <c r="D445">
        <f t="shared" si="32"/>
        <v>20</v>
      </c>
      <c r="E445" s="2">
        <f t="shared" si="33"/>
        <v>46081</v>
      </c>
      <c r="F445" s="12">
        <f>_xlfn.XLOOKUP($A445,m1_cv!$B:$B,m1_cv!$C:$C)</f>
        <v>61</v>
      </c>
      <c r="G445">
        <f>MAX(0,ROUND(SUMIFS(m1_cv!$E:$E,m1_cv!$A:$A,$E445,m1_cv!$B:$B,$A445),0))</f>
        <v>3740</v>
      </c>
      <c r="H445">
        <f>MAX(0,ROUND(SUMIFS(m2_cv!$E:$E,m2_cv!$A:$A,$E445,m2_cv!$B:$B,$A445),0))</f>
        <v>3542</v>
      </c>
      <c r="I445">
        <f>MAX(0,ROUND(SUMIFS(m3_cv!$E:$E,m3_cv!$A:$A,$E445,m3_cv!$B:$B,$A445),0))</f>
        <v>275</v>
      </c>
      <c r="J445">
        <f>MAX(0,ROUND(SUMIFS(m4_cv!$E:$E,m4_cv!$A:$A,$E445,m4_cv!$B:$B,$A445),0))</f>
        <v>260</v>
      </c>
      <c r="K445">
        <f>MAX(0,ROUND(SUMIFS(m5_cv!$E:$E,m5_cv!$A:$A,$E445,m5_cv!$B:$B,$A445),0))</f>
        <v>0</v>
      </c>
      <c r="L445">
        <f>MAX(0,ROUND(SUMIFS(m6_cv!$E:$E,m6_cv!$A:$A,$E445,m6_cv!$B:$B,$A445),0))</f>
        <v>24</v>
      </c>
      <c r="M445">
        <f>MAX(0,ROUND(SUMIFS(m7_cv!$E:$E,m7_cv!$A:$A,$E445,m7_cv!$B:$B,$A445),0))</f>
        <v>0</v>
      </c>
      <c r="N445">
        <f>ROUND(_xlfn.XLOOKUP($D445,Charts!$W$82:$W$112,Charts!$X$82:$X$112)*$L445+_xlfn.XLOOKUP($D445,Charts!$W$82:$W$112,Charts!$Y$82:$Y$112)*$M445,0)</f>
        <v>0</v>
      </c>
      <c r="P445">
        <v>24</v>
      </c>
      <c r="Q445" s="14">
        <v>0</v>
      </c>
      <c r="R445">
        <f t="shared" si="35"/>
        <v>0</v>
      </c>
      <c r="S445">
        <f t="shared" si="40"/>
        <v>0</v>
      </c>
      <c r="T445">
        <f t="shared" si="39"/>
        <v>0</v>
      </c>
      <c r="V445">
        <f>SUM(S$426:S445)</f>
        <v>30953</v>
      </c>
      <c r="W445">
        <f>SUM(T$426:T445)</f>
        <v>34126</v>
      </c>
      <c r="X445">
        <f>SUM(F$426:F445)</f>
        <v>39045</v>
      </c>
      <c r="Y445">
        <f t="shared" si="37"/>
        <v>-4919</v>
      </c>
    </row>
    <row r="446" spans="1:25" x14ac:dyDescent="0.25">
      <c r="A446" s="3">
        <f t="shared" si="34"/>
        <v>46102</v>
      </c>
      <c r="B446">
        <f t="shared" si="30"/>
        <v>2026</v>
      </c>
      <c r="C446">
        <f t="shared" si="31"/>
        <v>3</v>
      </c>
      <c r="D446">
        <f t="shared" si="32"/>
        <v>21</v>
      </c>
      <c r="E446" s="2">
        <f t="shared" si="33"/>
        <v>46081</v>
      </c>
      <c r="F446" s="12">
        <f>_xlfn.XLOOKUP($A446,m1_cv!$B:$B,m1_cv!$C:$C)</f>
        <v>3</v>
      </c>
      <c r="G446">
        <f>MAX(0,ROUND(SUMIFS(m1_cv!$E:$E,m1_cv!$A:$A,$E446,m1_cv!$B:$B,$A446),0))</f>
        <v>1454</v>
      </c>
      <c r="H446">
        <f>MAX(0,ROUND(SUMIFS(m2_cv!$E:$E,m2_cv!$A:$A,$E446,m2_cv!$B:$B,$A446),0))</f>
        <v>1190</v>
      </c>
      <c r="I446">
        <f>MAX(0,ROUND(SUMIFS(m3_cv!$E:$E,m3_cv!$A:$A,$E446,m3_cv!$B:$B,$A446),0))</f>
        <v>0</v>
      </c>
      <c r="J446">
        <f>MAX(0,ROUND(SUMIFS(m4_cv!$E:$E,m4_cv!$A:$A,$E446,m4_cv!$B:$B,$A446),0))</f>
        <v>0</v>
      </c>
      <c r="K446">
        <f>MAX(0,ROUND(SUMIFS(m5_cv!$E:$E,m5_cv!$A:$A,$E446,m5_cv!$B:$B,$A446),0))</f>
        <v>0</v>
      </c>
      <c r="L446">
        <f>MAX(0,ROUND(SUMIFS(m6_cv!$E:$E,m6_cv!$A:$A,$E446,m6_cv!$B:$B,$A446),0))</f>
        <v>0</v>
      </c>
      <c r="M446">
        <f>MAX(0,ROUND(SUMIFS(m7_cv!$E:$E,m7_cv!$A:$A,$E446,m7_cv!$B:$B,$A446),0))</f>
        <v>0</v>
      </c>
      <c r="N446">
        <f>ROUND(_xlfn.XLOOKUP($D446,Charts!$W$82:$W$112,Charts!$X$82:$X$112)*$L446+_xlfn.XLOOKUP($D446,Charts!$W$82:$W$112,Charts!$Y$82:$Y$112)*$M446,0)</f>
        <v>0</v>
      </c>
      <c r="P446">
        <v>0</v>
      </c>
      <c r="Q446" s="14">
        <v>0</v>
      </c>
      <c r="R446">
        <f t="shared" si="35"/>
        <v>0</v>
      </c>
      <c r="S446">
        <f t="shared" si="40"/>
        <v>0</v>
      </c>
      <c r="T446">
        <f t="shared" si="39"/>
        <v>0</v>
      </c>
      <c r="V446">
        <f>SUM(S$426:S446)</f>
        <v>30953</v>
      </c>
      <c r="W446">
        <f>SUM(T$426:T446)</f>
        <v>34126</v>
      </c>
      <c r="X446">
        <f>SUM(F$426:F446)</f>
        <v>39048</v>
      </c>
      <c r="Y446">
        <f t="shared" si="37"/>
        <v>-4922</v>
      </c>
    </row>
    <row r="447" spans="1:25" x14ac:dyDescent="0.25">
      <c r="A447" s="3">
        <f t="shared" si="34"/>
        <v>46103</v>
      </c>
      <c r="B447">
        <f t="shared" si="30"/>
        <v>2026</v>
      </c>
      <c r="C447">
        <f t="shared" si="31"/>
        <v>3</v>
      </c>
      <c r="D447">
        <f t="shared" si="32"/>
        <v>22</v>
      </c>
      <c r="E447" s="2">
        <f t="shared" si="33"/>
        <v>46081</v>
      </c>
      <c r="F447" s="12">
        <f>_xlfn.XLOOKUP($A447,m1_cv!$B:$B,m1_cv!$C:$C)</f>
        <v>6</v>
      </c>
      <c r="G447">
        <f>MAX(0,ROUND(SUMIFS(m1_cv!$E:$E,m1_cv!$A:$A,$E447,m1_cv!$B:$B,$A447),0))</f>
        <v>770</v>
      </c>
      <c r="H447">
        <f>MAX(0,ROUND(SUMIFS(m2_cv!$E:$E,m2_cv!$A:$A,$E447,m2_cv!$B:$B,$A447),0))</f>
        <v>488</v>
      </c>
      <c r="I447">
        <f>MAX(0,ROUND(SUMIFS(m3_cv!$E:$E,m3_cv!$A:$A,$E447,m3_cv!$B:$B,$A447),0))</f>
        <v>0</v>
      </c>
      <c r="J447">
        <f>MAX(0,ROUND(SUMIFS(m4_cv!$E:$E,m4_cv!$A:$A,$E447,m4_cv!$B:$B,$A447),0))</f>
        <v>0</v>
      </c>
      <c r="K447">
        <f>MAX(0,ROUND(SUMIFS(m5_cv!$E:$E,m5_cv!$A:$A,$E447,m5_cv!$B:$B,$A447),0))</f>
        <v>0</v>
      </c>
      <c r="L447">
        <f>MAX(0,ROUND(SUMIFS(m6_cv!$E:$E,m6_cv!$A:$A,$E447,m6_cv!$B:$B,$A447),0))</f>
        <v>0</v>
      </c>
      <c r="M447">
        <f>MAX(0,ROUND(SUMIFS(m7_cv!$E:$E,m7_cv!$A:$A,$E447,m7_cv!$B:$B,$A447),0))</f>
        <v>0</v>
      </c>
      <c r="N447">
        <f>ROUND(_xlfn.XLOOKUP($D447,Charts!$W$82:$W$112,Charts!$X$82:$X$112)*$L447+_xlfn.XLOOKUP($D447,Charts!$W$82:$W$112,Charts!$Y$82:$Y$112)*$M447,0)</f>
        <v>0</v>
      </c>
      <c r="P447">
        <v>0</v>
      </c>
      <c r="Q447" s="14">
        <v>0</v>
      </c>
      <c r="R447">
        <f t="shared" si="35"/>
        <v>0</v>
      </c>
      <c r="S447">
        <f t="shared" si="40"/>
        <v>0</v>
      </c>
      <c r="T447">
        <f t="shared" si="39"/>
        <v>0</v>
      </c>
      <c r="V447">
        <f>SUM(S$426:S447)</f>
        <v>30953</v>
      </c>
      <c r="W447">
        <f>SUM(T$426:T447)</f>
        <v>34126</v>
      </c>
      <c r="X447">
        <f>SUM(F$426:F447)</f>
        <v>39054</v>
      </c>
      <c r="Y447">
        <f t="shared" si="37"/>
        <v>-4928</v>
      </c>
    </row>
    <row r="448" spans="1:25" x14ac:dyDescent="0.25">
      <c r="A448" s="3">
        <f t="shared" si="34"/>
        <v>46104</v>
      </c>
      <c r="B448">
        <f t="shared" si="30"/>
        <v>2026</v>
      </c>
      <c r="C448">
        <f t="shared" si="31"/>
        <v>3</v>
      </c>
      <c r="D448">
        <f t="shared" si="32"/>
        <v>23</v>
      </c>
      <c r="E448" s="2">
        <f t="shared" si="33"/>
        <v>46081</v>
      </c>
      <c r="F448" s="12">
        <f>_xlfn.XLOOKUP($A448,m1_cv!$B:$B,m1_cv!$C:$C)</f>
        <v>23</v>
      </c>
      <c r="G448">
        <f>MAX(0,ROUND(SUMIFS(m1_cv!$E:$E,m1_cv!$A:$A,$E448,m1_cv!$B:$B,$A448),0))</f>
        <v>3011</v>
      </c>
      <c r="H448">
        <f>MAX(0,ROUND(SUMIFS(m2_cv!$E:$E,m2_cv!$A:$A,$E448,m2_cv!$B:$B,$A448),0))</f>
        <v>2900</v>
      </c>
      <c r="I448">
        <f>MAX(0,ROUND(SUMIFS(m3_cv!$E:$E,m3_cv!$A:$A,$E448,m3_cv!$B:$B,$A448),0))</f>
        <v>0</v>
      </c>
      <c r="J448">
        <f>MAX(0,ROUND(SUMIFS(m4_cv!$E:$E,m4_cv!$A:$A,$E448,m4_cv!$B:$B,$A448),0))</f>
        <v>0</v>
      </c>
      <c r="K448">
        <f>MAX(0,ROUND(SUMIFS(m5_cv!$E:$E,m5_cv!$A:$A,$E448,m5_cv!$B:$B,$A448),0))</f>
        <v>0</v>
      </c>
      <c r="L448">
        <f>MAX(0,ROUND(SUMIFS(m6_cv!$E:$E,m6_cv!$A:$A,$E448,m6_cv!$B:$B,$A448),0))</f>
        <v>1</v>
      </c>
      <c r="M448">
        <f>MAX(0,ROUND(SUMIFS(m7_cv!$E:$E,m7_cv!$A:$A,$E448,m7_cv!$B:$B,$A448),0))</f>
        <v>0</v>
      </c>
      <c r="N448">
        <f>ROUND(_xlfn.XLOOKUP($D448,Charts!$W$82:$W$112,Charts!$X$82:$X$112)*$L448+_xlfn.XLOOKUP($D448,Charts!$W$82:$W$112,Charts!$Y$82:$Y$112)*$M448,0)</f>
        <v>0</v>
      </c>
      <c r="P448">
        <v>1</v>
      </c>
      <c r="Q448" s="14">
        <v>0</v>
      </c>
      <c r="R448">
        <f t="shared" si="35"/>
        <v>0</v>
      </c>
      <c r="S448">
        <f t="shared" si="40"/>
        <v>0</v>
      </c>
      <c r="T448">
        <f t="shared" si="39"/>
        <v>0</v>
      </c>
      <c r="V448">
        <f>SUM(S$426:S448)</f>
        <v>30953</v>
      </c>
      <c r="W448">
        <f>SUM(T$426:T448)</f>
        <v>34126</v>
      </c>
      <c r="X448">
        <f>SUM(F$426:F448)</f>
        <v>39077</v>
      </c>
      <c r="Y448">
        <f t="shared" si="37"/>
        <v>-4951</v>
      </c>
    </row>
    <row r="449" spans="1:25" x14ac:dyDescent="0.25">
      <c r="A449" s="3">
        <f t="shared" si="34"/>
        <v>46105</v>
      </c>
      <c r="B449">
        <f t="shared" si="30"/>
        <v>2026</v>
      </c>
      <c r="C449">
        <f t="shared" si="31"/>
        <v>3</v>
      </c>
      <c r="D449">
        <f t="shared" si="32"/>
        <v>24</v>
      </c>
      <c r="E449" s="2">
        <f t="shared" si="33"/>
        <v>46081</v>
      </c>
      <c r="F449" s="12">
        <f>_xlfn.XLOOKUP($A449,m1_cv!$B:$B,m1_cv!$C:$C)</f>
        <v>974</v>
      </c>
      <c r="G449">
        <f>MAX(0,ROUND(SUMIFS(m1_cv!$E:$E,m1_cv!$A:$A,$E449,m1_cv!$B:$B,$A449),0))</f>
        <v>3501</v>
      </c>
      <c r="H449">
        <f>MAX(0,ROUND(SUMIFS(m2_cv!$E:$E,m2_cv!$A:$A,$E449,m2_cv!$B:$B,$A449),0))</f>
        <v>3705</v>
      </c>
      <c r="I449">
        <f>MAX(0,ROUND(SUMIFS(m3_cv!$E:$E,m3_cv!$A:$A,$E449,m3_cv!$B:$B,$A449),0))</f>
        <v>1459</v>
      </c>
      <c r="J449">
        <f>MAX(0,ROUND(SUMIFS(m4_cv!$E:$E,m4_cv!$A:$A,$E449,m4_cv!$B:$B,$A449),0))</f>
        <v>1449</v>
      </c>
      <c r="K449">
        <f>MAX(0,ROUND(SUMIFS(m5_cv!$E:$E,m5_cv!$A:$A,$E449,m5_cv!$B:$B,$A449),0))</f>
        <v>2052</v>
      </c>
      <c r="L449">
        <f>MAX(0,ROUND(SUMIFS(m6_cv!$E:$E,m6_cv!$A:$A,$E449,m6_cv!$B:$B,$A449),0))</f>
        <v>242</v>
      </c>
      <c r="M449">
        <f>MAX(0,ROUND(SUMIFS(m7_cv!$E:$E,m7_cv!$A:$A,$E449,m7_cv!$B:$B,$A449),0))</f>
        <v>2085</v>
      </c>
      <c r="N449">
        <f>ROUND(_xlfn.XLOOKUP($D449,Charts!$W$82:$W$112,Charts!$X$82:$X$112)*$L449+_xlfn.XLOOKUP($D449,Charts!$W$82:$W$112,Charts!$Y$82:$Y$112)*$M449,0)</f>
        <v>242</v>
      </c>
      <c r="P449">
        <v>242</v>
      </c>
      <c r="Q449" s="14">
        <v>2085</v>
      </c>
      <c r="R449">
        <f t="shared" si="35"/>
        <v>0</v>
      </c>
      <c r="S449">
        <f t="shared" si="40"/>
        <v>2085</v>
      </c>
      <c r="T449">
        <f t="shared" si="39"/>
        <v>2394</v>
      </c>
      <c r="V449">
        <f>SUM(S$426:S449)</f>
        <v>33038</v>
      </c>
      <c r="W449">
        <f>SUM(T$426:T449)</f>
        <v>36520</v>
      </c>
      <c r="X449">
        <f>SUM(F$426:F449)</f>
        <v>40051</v>
      </c>
      <c r="Y449">
        <f t="shared" si="37"/>
        <v>-3531</v>
      </c>
    </row>
    <row r="450" spans="1:25" x14ac:dyDescent="0.25">
      <c r="A450" s="3">
        <f t="shared" si="34"/>
        <v>46106</v>
      </c>
      <c r="B450">
        <f t="shared" si="30"/>
        <v>2026</v>
      </c>
      <c r="C450">
        <f t="shared" si="31"/>
        <v>3</v>
      </c>
      <c r="D450">
        <f t="shared" si="32"/>
        <v>25</v>
      </c>
      <c r="E450" s="2">
        <f t="shared" si="33"/>
        <v>46081</v>
      </c>
      <c r="F450" s="12">
        <f>_xlfn.XLOOKUP($A450,m1_cv!$B:$B,m1_cv!$C:$C)</f>
        <v>1752</v>
      </c>
      <c r="G450">
        <f>MAX(0,ROUND(SUMIFS(m1_cv!$E:$E,m1_cv!$A:$A,$E450,m1_cv!$B:$B,$A450),0))</f>
        <v>3533</v>
      </c>
      <c r="H450">
        <f>MAX(0,ROUND(SUMIFS(m2_cv!$E:$E,m2_cv!$A:$A,$E450,m2_cv!$B:$B,$A450),0))</f>
        <v>4017</v>
      </c>
      <c r="I450">
        <f>MAX(0,ROUND(SUMIFS(m3_cv!$E:$E,m3_cv!$A:$A,$E450,m3_cv!$B:$B,$A450),0))</f>
        <v>2527</v>
      </c>
      <c r="J450">
        <f>MAX(0,ROUND(SUMIFS(m4_cv!$E:$E,m4_cv!$A:$A,$E450,m4_cv!$B:$B,$A450),0))</f>
        <v>2536</v>
      </c>
      <c r="K450">
        <f>MAX(0,ROUND(SUMIFS(m5_cv!$E:$E,m5_cv!$A:$A,$E450,m5_cv!$B:$B,$A450),0))</f>
        <v>2847</v>
      </c>
      <c r="L450">
        <f>MAX(0,ROUND(SUMIFS(m6_cv!$E:$E,m6_cv!$A:$A,$E450,m6_cv!$B:$B,$A450),0))</f>
        <v>909</v>
      </c>
      <c r="M450">
        <f>MAX(0,ROUND(SUMIFS(m7_cv!$E:$E,m7_cv!$A:$A,$E450,m7_cv!$B:$B,$A450),0))</f>
        <v>2908</v>
      </c>
      <c r="N450">
        <f>ROUND(_xlfn.XLOOKUP($D450,Charts!$W$82:$W$112,Charts!$X$82:$X$112)*$L450+_xlfn.XLOOKUP($D450,Charts!$W$82:$W$112,Charts!$Y$82:$Y$112)*$M450,0)</f>
        <v>909</v>
      </c>
      <c r="P450">
        <v>909</v>
      </c>
      <c r="Q450" s="14">
        <v>2908</v>
      </c>
      <c r="R450">
        <f t="shared" si="35"/>
        <v>0</v>
      </c>
      <c r="S450">
        <f t="shared" si="40"/>
        <v>2908</v>
      </c>
      <c r="T450">
        <f t="shared" si="39"/>
        <v>3339</v>
      </c>
      <c r="V450">
        <f>SUM(S$426:S450)</f>
        <v>35946</v>
      </c>
      <c r="W450">
        <f>SUM(T$426:T450)</f>
        <v>39859</v>
      </c>
      <c r="X450">
        <f>SUM(F$426:F450)</f>
        <v>41803</v>
      </c>
      <c r="Y450">
        <f t="shared" si="37"/>
        <v>-1944</v>
      </c>
    </row>
    <row r="451" spans="1:25" x14ac:dyDescent="0.25">
      <c r="A451" s="3">
        <f t="shared" si="34"/>
        <v>46107</v>
      </c>
      <c r="B451">
        <f t="shared" ref="B451:B456" si="41">YEAR(A451)</f>
        <v>2026</v>
      </c>
      <c r="C451">
        <f t="shared" ref="C451:C456" si="42">MONTH($A451)</f>
        <v>3</v>
      </c>
      <c r="D451">
        <f t="shared" ref="D451:D456" si="43">DAY($A451)</f>
        <v>26</v>
      </c>
      <c r="E451" s="2">
        <f t="shared" ref="E451:E456" si="44">DATE($B451,$C451,1)-1</f>
        <v>46081</v>
      </c>
      <c r="F451" s="12">
        <f>_xlfn.XLOOKUP($A451,m1_cv!$B:$B,m1_cv!$C:$C)</f>
        <v>2884</v>
      </c>
      <c r="G451">
        <f>MAX(0,ROUND(SUMIFS(m1_cv!$E:$E,m1_cv!$A:$A,$E451,m1_cv!$B:$B,$A451),0))</f>
        <v>3506</v>
      </c>
      <c r="H451">
        <f>MAX(0,ROUND(SUMIFS(m2_cv!$E:$E,m2_cv!$A:$A,$E451,m2_cv!$B:$B,$A451),0))</f>
        <v>4023</v>
      </c>
      <c r="I451">
        <f>MAX(0,ROUND(SUMIFS(m3_cv!$E:$E,m3_cv!$A:$A,$E451,m3_cv!$B:$B,$A451),0))</f>
        <v>3634</v>
      </c>
      <c r="J451">
        <f>MAX(0,ROUND(SUMIFS(m4_cv!$E:$E,m4_cv!$A:$A,$E451,m4_cv!$B:$B,$A451),0))</f>
        <v>3616</v>
      </c>
      <c r="K451">
        <f>MAX(0,ROUND(SUMIFS(m5_cv!$E:$E,m5_cv!$A:$A,$E451,m5_cv!$B:$B,$A451),0))</f>
        <v>3752</v>
      </c>
      <c r="L451">
        <f>MAX(0,ROUND(SUMIFS(m6_cv!$E:$E,m6_cv!$A:$A,$E451,m6_cv!$B:$B,$A451),0))</f>
        <v>1880</v>
      </c>
      <c r="M451">
        <f>MAX(0,ROUND(SUMIFS(m7_cv!$E:$E,m7_cv!$A:$A,$E451,m7_cv!$B:$B,$A451),0))</f>
        <v>3862</v>
      </c>
      <c r="N451">
        <f>ROUND(_xlfn.XLOOKUP($D451,Charts!$W$82:$W$112,Charts!$X$82:$X$112)*$L451+_xlfn.XLOOKUP($D451,Charts!$W$82:$W$112,Charts!$Y$82:$Y$112)*$M451,0)</f>
        <v>1880</v>
      </c>
      <c r="P451">
        <v>1880</v>
      </c>
      <c r="Q451" s="14">
        <v>3862</v>
      </c>
      <c r="R451">
        <f t="shared" si="35"/>
        <v>0</v>
      </c>
      <c r="S451">
        <f t="shared" si="40"/>
        <v>3862</v>
      </c>
      <c r="T451">
        <f t="shared" si="39"/>
        <v>4435</v>
      </c>
      <c r="V451">
        <f>SUM(S$426:S451)</f>
        <v>39808</v>
      </c>
      <c r="W451">
        <f>SUM(T$426:T451)</f>
        <v>44294</v>
      </c>
      <c r="X451">
        <f>SUM(F$426:F451)</f>
        <v>44687</v>
      </c>
      <c r="Y451">
        <f t="shared" si="37"/>
        <v>-393</v>
      </c>
    </row>
    <row r="452" spans="1:25" x14ac:dyDescent="0.25">
      <c r="A452" s="3">
        <f t="shared" ref="A452:A456" si="45">A451+1</f>
        <v>46108</v>
      </c>
      <c r="B452">
        <f t="shared" si="41"/>
        <v>2026</v>
      </c>
      <c r="C452">
        <f t="shared" si="42"/>
        <v>3</v>
      </c>
      <c r="D452">
        <f t="shared" si="43"/>
        <v>27</v>
      </c>
      <c r="E452" s="2">
        <f t="shared" si="44"/>
        <v>46081</v>
      </c>
      <c r="F452" s="12">
        <f>_xlfn.XLOOKUP($A452,m1_cv!$B:$B,m1_cv!$C:$C)</f>
        <v>3597</v>
      </c>
      <c r="G452">
        <f>MAX(0,ROUND(SUMIFS(m1_cv!$E:$E,m1_cv!$A:$A,$E452,m1_cv!$B:$B,$A452),0))</f>
        <v>3534</v>
      </c>
      <c r="H452">
        <f>MAX(0,ROUND(SUMIFS(m2_cv!$E:$E,m2_cv!$A:$A,$E452,m2_cv!$B:$B,$A452),0))</f>
        <v>3936</v>
      </c>
      <c r="I452">
        <f>MAX(0,ROUND(SUMIFS(m3_cv!$E:$E,m3_cv!$A:$A,$E452,m3_cv!$B:$B,$A452),0))</f>
        <v>2330</v>
      </c>
      <c r="J452">
        <f>MAX(0,ROUND(SUMIFS(m4_cv!$E:$E,m4_cv!$A:$A,$E452,m4_cv!$B:$B,$A452),0))</f>
        <v>2309</v>
      </c>
      <c r="K452">
        <f>MAX(0,ROUND(SUMIFS(m5_cv!$E:$E,m5_cv!$A:$A,$E452,m5_cv!$B:$B,$A452),0))</f>
        <v>1918</v>
      </c>
      <c r="L452">
        <f>MAX(0,ROUND(SUMIFS(m6_cv!$E:$E,m6_cv!$A:$A,$E452,m6_cv!$B:$B,$A452),0))</f>
        <v>1778</v>
      </c>
      <c r="M452">
        <f>MAX(0,ROUND(SUMIFS(m7_cv!$E:$E,m7_cv!$A:$A,$E452,m7_cv!$B:$B,$A452),0))</f>
        <v>2007</v>
      </c>
      <c r="N452">
        <f>ROUND(_xlfn.XLOOKUP($D452,Charts!$W$82:$W$112,Charts!$X$82:$X$112)*$L452+_xlfn.XLOOKUP($D452,Charts!$W$82:$W$112,Charts!$Y$82:$Y$112)*$M452,0)</f>
        <v>1778</v>
      </c>
      <c r="P452">
        <v>1778</v>
      </c>
      <c r="Q452" s="14">
        <v>2007</v>
      </c>
      <c r="R452">
        <f t="shared" si="35"/>
        <v>0</v>
      </c>
      <c r="S452">
        <f t="shared" si="40"/>
        <v>2007</v>
      </c>
      <c r="T452">
        <f t="shared" si="39"/>
        <v>2305</v>
      </c>
      <c r="V452">
        <f>SUM(S$426:S452)</f>
        <v>41815</v>
      </c>
      <c r="W452">
        <f>SUM(T$426:T452)</f>
        <v>46599</v>
      </c>
      <c r="X452">
        <f>SUM(F$426:F452)</f>
        <v>48284</v>
      </c>
      <c r="Y452">
        <f t="shared" si="37"/>
        <v>-1685</v>
      </c>
    </row>
    <row r="453" spans="1:25" x14ac:dyDescent="0.25">
      <c r="A453" s="3">
        <f t="shared" si="45"/>
        <v>46109</v>
      </c>
      <c r="B453">
        <f t="shared" si="41"/>
        <v>2026</v>
      </c>
      <c r="C453">
        <f t="shared" si="42"/>
        <v>3</v>
      </c>
      <c r="D453">
        <f t="shared" si="43"/>
        <v>28</v>
      </c>
      <c r="E453" s="2">
        <f t="shared" si="44"/>
        <v>46081</v>
      </c>
      <c r="F453" s="12">
        <f>_xlfn.XLOOKUP($A453,m1_cv!$B:$B,m1_cv!$C:$C)</f>
        <v>1207</v>
      </c>
      <c r="G453">
        <f>MAX(0,ROUND(SUMIFS(m1_cv!$E:$E,m1_cv!$A:$A,$E453,m1_cv!$B:$B,$A453),0))</f>
        <v>1258</v>
      </c>
      <c r="H453">
        <f>MAX(0,ROUND(SUMIFS(m2_cv!$E:$E,m2_cv!$A:$A,$E453,m2_cv!$B:$B,$A453),0))</f>
        <v>1788</v>
      </c>
      <c r="I453">
        <f>MAX(0,ROUND(SUMIFS(m3_cv!$E:$E,m3_cv!$A:$A,$E453,m3_cv!$B:$B,$A453),0))</f>
        <v>449</v>
      </c>
      <c r="J453">
        <f>MAX(0,ROUND(SUMIFS(m4_cv!$E:$E,m4_cv!$A:$A,$E453,m4_cv!$B:$B,$A453),0))</f>
        <v>443</v>
      </c>
      <c r="K453">
        <f>MAX(0,ROUND(SUMIFS(m5_cv!$E:$E,m5_cv!$A:$A,$E453,m5_cv!$B:$B,$A453),0))</f>
        <v>890</v>
      </c>
      <c r="L453">
        <f>MAX(0,ROUND(SUMIFS(m6_cv!$E:$E,m6_cv!$A:$A,$E453,m6_cv!$B:$B,$A453),0))</f>
        <v>407</v>
      </c>
      <c r="M453">
        <f>MAX(0,ROUND(SUMIFS(m7_cv!$E:$E,m7_cv!$A:$A,$E453,m7_cv!$B:$B,$A453),0))</f>
        <v>766</v>
      </c>
      <c r="N453">
        <f>ROUND(_xlfn.XLOOKUP($D453,Charts!$W$82:$W$112,Charts!$X$82:$X$112)*$L453+_xlfn.XLOOKUP($D453,Charts!$W$82:$W$112,Charts!$Y$82:$Y$112)*$M453,0)</f>
        <v>407</v>
      </c>
      <c r="P453">
        <v>407</v>
      </c>
      <c r="Q453" s="14">
        <v>766</v>
      </c>
      <c r="R453">
        <f t="shared" si="35"/>
        <v>0</v>
      </c>
      <c r="S453">
        <f t="shared" si="40"/>
        <v>766</v>
      </c>
      <c r="T453">
        <f t="shared" si="39"/>
        <v>880</v>
      </c>
      <c r="V453">
        <f>SUM(S$426:S453)</f>
        <v>42581</v>
      </c>
      <c r="W453">
        <f>SUM(T$426:T453)</f>
        <v>47479</v>
      </c>
      <c r="X453">
        <f>SUM(F$426:F453)</f>
        <v>49491</v>
      </c>
      <c r="Y453">
        <f t="shared" si="37"/>
        <v>-2012</v>
      </c>
    </row>
    <row r="454" spans="1:25" x14ac:dyDescent="0.25">
      <c r="A454" s="3">
        <f t="shared" si="45"/>
        <v>46110</v>
      </c>
      <c r="B454">
        <f t="shared" si="41"/>
        <v>2026</v>
      </c>
      <c r="C454">
        <f t="shared" si="42"/>
        <v>3</v>
      </c>
      <c r="D454">
        <f t="shared" si="43"/>
        <v>29</v>
      </c>
      <c r="E454" s="2">
        <f t="shared" si="44"/>
        <v>46081</v>
      </c>
      <c r="F454" s="12">
        <f>_xlfn.XLOOKUP($A454,m1_cv!$B:$B,m1_cv!$C:$C)</f>
        <v>183</v>
      </c>
      <c r="G454">
        <f>MAX(0,ROUND(SUMIFS(m1_cv!$E:$E,m1_cv!$A:$A,$E454,m1_cv!$B:$B,$A454),0))</f>
        <v>587</v>
      </c>
      <c r="H454">
        <f>MAX(0,ROUND(SUMIFS(m2_cv!$E:$E,m2_cv!$A:$A,$E454,m2_cv!$B:$B,$A454),0))</f>
        <v>1848</v>
      </c>
      <c r="I454">
        <f>MAX(0,ROUND(SUMIFS(m3_cv!$E:$E,m3_cv!$A:$A,$E454,m3_cv!$B:$B,$A454),0))</f>
        <v>379</v>
      </c>
      <c r="J454">
        <f>MAX(0,ROUND(SUMIFS(m4_cv!$E:$E,m4_cv!$A:$A,$E454,m4_cv!$B:$B,$A454),0))</f>
        <v>344</v>
      </c>
      <c r="K454">
        <f>MAX(0,ROUND(SUMIFS(m5_cv!$E:$E,m5_cv!$A:$A,$E454,m5_cv!$B:$B,$A454),0))</f>
        <v>0</v>
      </c>
      <c r="L454">
        <f>MAX(0,ROUND(SUMIFS(m6_cv!$E:$E,m6_cv!$A:$A,$E454,m6_cv!$B:$B,$A454),0))</f>
        <v>260</v>
      </c>
      <c r="M454">
        <f>MAX(0,ROUND(SUMIFS(m7_cv!$E:$E,m7_cv!$A:$A,$E454,m7_cv!$B:$B,$A454),0))</f>
        <v>0</v>
      </c>
      <c r="N454">
        <f>ROUND(_xlfn.XLOOKUP($D454,Charts!$W$82:$W$112,Charts!$X$82:$X$112)*$L454+_xlfn.XLOOKUP($D454,Charts!$W$82:$W$112,Charts!$Y$82:$Y$112)*$M454,0)</f>
        <v>0</v>
      </c>
      <c r="P454">
        <v>260</v>
      </c>
      <c r="Q454" s="14">
        <v>0</v>
      </c>
      <c r="R454">
        <f t="shared" si="35"/>
        <v>0</v>
      </c>
      <c r="S454">
        <f t="shared" si="40"/>
        <v>0</v>
      </c>
      <c r="T454">
        <f t="shared" si="39"/>
        <v>0</v>
      </c>
      <c r="V454">
        <f>SUM(S$426:S454)</f>
        <v>42581</v>
      </c>
      <c r="W454">
        <f>SUM(T$426:T454)</f>
        <v>47479</v>
      </c>
      <c r="X454">
        <f>SUM(F$426:F454)</f>
        <v>49674</v>
      </c>
      <c r="Y454">
        <f t="shared" si="37"/>
        <v>-2195</v>
      </c>
    </row>
    <row r="455" spans="1:25" x14ac:dyDescent="0.25">
      <c r="A455" s="3">
        <f t="shared" si="45"/>
        <v>46111</v>
      </c>
      <c r="B455">
        <f t="shared" si="41"/>
        <v>2026</v>
      </c>
      <c r="C455">
        <f t="shared" si="42"/>
        <v>3</v>
      </c>
      <c r="D455">
        <f t="shared" si="43"/>
        <v>30</v>
      </c>
      <c r="E455" s="2">
        <f t="shared" si="44"/>
        <v>46081</v>
      </c>
      <c r="F455" s="12">
        <f>_xlfn.XLOOKUP($A455,m1_cv!$B:$B,m1_cv!$C:$C)</f>
        <v>4959</v>
      </c>
      <c r="G455">
        <f>MAX(0,ROUND(SUMIFS(m1_cv!$E:$E,m1_cv!$A:$A,$E455,m1_cv!$B:$B,$A455),0))</f>
        <v>2842</v>
      </c>
      <c r="H455">
        <f>MAX(0,ROUND(SUMIFS(m2_cv!$E:$E,m2_cv!$A:$A,$E455,m2_cv!$B:$B,$A455),0))</f>
        <v>5293</v>
      </c>
      <c r="I455">
        <f>MAX(0,ROUND(SUMIFS(m3_cv!$E:$E,m3_cv!$A:$A,$E455,m3_cv!$B:$B,$A455),0))</f>
        <v>4099</v>
      </c>
      <c r="J455">
        <f>MAX(0,ROUND(SUMIFS(m4_cv!$E:$E,m4_cv!$A:$A,$E455,m4_cv!$B:$B,$A455),0))</f>
        <v>4085</v>
      </c>
      <c r="K455">
        <f>MAX(0,ROUND(SUMIFS(m5_cv!$E:$E,m5_cv!$A:$A,$E455,m5_cv!$B:$B,$A455),0))</f>
        <v>6388</v>
      </c>
      <c r="L455">
        <f>MAX(0,ROUND(SUMIFS(m6_cv!$E:$E,m6_cv!$A:$A,$E455,m6_cv!$B:$B,$A455),0))</f>
        <v>7029</v>
      </c>
      <c r="M455">
        <f>MAX(0,ROUND(SUMIFS(m7_cv!$E:$E,m7_cv!$A:$A,$E455,m7_cv!$B:$B,$A455),0))</f>
        <v>6267</v>
      </c>
      <c r="N455">
        <f>ROUND(_xlfn.XLOOKUP($D455,Charts!$W$82:$W$112,Charts!$X$82:$X$112)*$L455+_xlfn.XLOOKUP($D455,Charts!$W$82:$W$112,Charts!$Y$82:$Y$112)*$M455,0)</f>
        <v>6267</v>
      </c>
      <c r="P455">
        <v>7029</v>
      </c>
      <c r="Q455" s="14">
        <v>6267</v>
      </c>
      <c r="R455">
        <f t="shared" si="35"/>
        <v>0</v>
      </c>
      <c r="S455">
        <f t="shared" si="40"/>
        <v>6267</v>
      </c>
      <c r="T455">
        <f t="shared" si="39"/>
        <v>7196</v>
      </c>
      <c r="V455">
        <f>SUM(S$426:S455)</f>
        <v>48848</v>
      </c>
      <c r="W455">
        <f>SUM(T$426:T455)</f>
        <v>54675</v>
      </c>
      <c r="X455">
        <f>SUM(F$426:F455)</f>
        <v>54633</v>
      </c>
      <c r="Y455">
        <f t="shared" si="37"/>
        <v>42</v>
      </c>
    </row>
    <row r="456" spans="1:25" x14ac:dyDescent="0.25">
      <c r="A456" s="3">
        <f t="shared" si="45"/>
        <v>46112</v>
      </c>
      <c r="B456">
        <f t="shared" si="41"/>
        <v>2026</v>
      </c>
      <c r="C456">
        <f t="shared" si="42"/>
        <v>3</v>
      </c>
      <c r="D456">
        <f t="shared" si="43"/>
        <v>31</v>
      </c>
      <c r="E456" s="2">
        <f t="shared" si="44"/>
        <v>46081</v>
      </c>
      <c r="F456" s="12">
        <f>_xlfn.XLOOKUP($A456,m1_cv!$B:$B,m1_cv!$C:$C)</f>
        <v>13213</v>
      </c>
      <c r="G456">
        <f>MAX(0,ROUND(SUMIFS(m1_cv!$E:$E,m1_cv!$A:$A,$E456,m1_cv!$B:$B,$A456),0))</f>
        <v>3348</v>
      </c>
      <c r="H456">
        <f>MAX(0,ROUND(SUMIFS(m2_cv!$E:$E,m2_cv!$A:$A,$E456,m2_cv!$B:$B,$A456),0))</f>
        <v>6814</v>
      </c>
      <c r="I456">
        <f>MAX(0,ROUND(SUMIFS(m3_cv!$E:$E,m3_cv!$A:$A,$E456,m3_cv!$B:$B,$A456),0))</f>
        <v>6926</v>
      </c>
      <c r="J456">
        <f>MAX(0,ROUND(SUMIFS(m4_cv!$E:$E,m4_cv!$A:$A,$E456,m4_cv!$B:$B,$A456),0))</f>
        <v>6920</v>
      </c>
      <c r="K456">
        <f>MAX(0,ROUND(SUMIFS(m5_cv!$E:$E,m5_cv!$A:$A,$E456,m5_cv!$B:$B,$A456),0))</f>
        <v>10692</v>
      </c>
      <c r="L456">
        <f>MAX(0,ROUND(SUMIFS(m6_cv!$E:$E,m6_cv!$A:$A,$E456,m6_cv!$B:$B,$A456),0))</f>
        <v>23412</v>
      </c>
      <c r="M456">
        <f>MAX(0,ROUND(SUMIFS(m7_cv!$E:$E,m7_cv!$A:$A,$E456,m7_cv!$B:$B,$A456),0))</f>
        <v>11027</v>
      </c>
      <c r="N456">
        <f>ROUND(_xlfn.XLOOKUP($D456,Charts!$W$82:$W$112,Charts!$X$82:$X$112)*$L456+_xlfn.XLOOKUP($D456,Charts!$W$82:$W$112,Charts!$Y$82:$Y$112)*$M456,0)</f>
        <v>11027</v>
      </c>
      <c r="P456" s="13">
        <v>23412</v>
      </c>
      <c r="Q456" s="15">
        <v>11027</v>
      </c>
      <c r="R456" s="13">
        <f t="shared" si="35"/>
        <v>0</v>
      </c>
      <c r="S456" s="13">
        <f t="shared" si="40"/>
        <v>11027</v>
      </c>
      <c r="T456" s="13">
        <f>Q457-SUM(T426:T455)</f>
        <v>12661</v>
      </c>
      <c r="V456">
        <f>SUM(S$426:S456)</f>
        <v>59875</v>
      </c>
      <c r="W456">
        <f>SUM(T$426:T456)</f>
        <v>67336</v>
      </c>
      <c r="X456">
        <f>SUM(F$426:F456)</f>
        <v>67846</v>
      </c>
      <c r="Y456">
        <f t="shared" si="37"/>
        <v>-510</v>
      </c>
    </row>
    <row r="457" spans="1:25" x14ac:dyDescent="0.25">
      <c r="P457" s="4">
        <f>SUM(P426:P456)</f>
        <v>64540</v>
      </c>
      <c r="Q457" s="16">
        <f>SUM(Q426:Q456)</f>
        <v>67336</v>
      </c>
      <c r="R457" s="4">
        <f>Q457-S457</f>
        <v>7461</v>
      </c>
      <c r="S457" s="4">
        <f>SUM(S426:S456)</f>
        <v>59875</v>
      </c>
      <c r="T457" s="4">
        <f>SUM(T426:T456)</f>
        <v>67336</v>
      </c>
    </row>
    <row r="459" spans="1:25" x14ac:dyDescent="0.25">
      <c r="S459">
        <f>SUM(S436:S456)</f>
        <v>50324</v>
      </c>
    </row>
  </sheetData>
  <autoFilter ref="A1:M456" xr:uid="{1F9728D5-E78B-4B73-B990-591C587F86FC}"/>
  <phoneticPr fontId="3" type="noConversion"/>
  <conditionalFormatting sqref="Y427:Y45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{91D06760-C9AC-4FE7-A3DD-44AF24A789E7}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06760-C9AC-4FE7-A3DD-44AF24A789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Y427:Y456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0D04-731D-435A-AEEA-EA1FECE1E1BA}">
  <dimension ref="A1:H466"/>
  <sheetViews>
    <sheetView topLeftCell="A431" workbookViewId="0">
      <selection activeCell="D466" sqref="D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DATE(YEAR(m1_crossvalid[[#This Row],[cutoff]]),MONTH(m1_crossvalid[[#This Row],[cutoff]]),DAY(m1_crossvalid[[#This Row],[cutoff]]))</f>
        <v>45657</v>
      </c>
      <c r="B2" s="7">
        <f>DATE(YEAR(m1_crossvalid[[#This Row],[ds]]),MONTH(m1_crossvalid[[#This Row],[ds]]),DAY(m1_crossvalid[[#This Row],[ds]]))</f>
        <v>45658</v>
      </c>
      <c r="C2">
        <v>90</v>
      </c>
      <c r="D2" s="1">
        <v>45658.333333333336</v>
      </c>
      <c r="E2">
        <v>3522.3645771012375</v>
      </c>
      <c r="F2">
        <v>878.3879672642189</v>
      </c>
      <c r="G2">
        <v>6025.7068847574537</v>
      </c>
      <c r="H2" s="1">
        <v>45657.333333333336</v>
      </c>
    </row>
    <row r="3" spans="1:8" x14ac:dyDescent="0.25">
      <c r="A3" s="7">
        <f>DATE(YEAR(m1_crossvalid[[#This Row],[cutoff]]),MONTH(m1_crossvalid[[#This Row],[cutoff]]),DAY(m1_crossvalid[[#This Row],[cutoff]]))</f>
        <v>45657</v>
      </c>
      <c r="B3" s="7">
        <f>DATE(YEAR(m1_crossvalid[[#This Row],[ds]]),MONTH(m1_crossvalid[[#This Row],[ds]]),DAY(m1_crossvalid[[#This Row],[ds]]))</f>
        <v>45659</v>
      </c>
      <c r="C3">
        <v>541</v>
      </c>
      <c r="D3" s="1">
        <v>45659.333333333336</v>
      </c>
      <c r="E3">
        <v>3467.478953813059</v>
      </c>
      <c r="F3">
        <v>797.17544020521711</v>
      </c>
      <c r="G3">
        <v>6099.9159298799705</v>
      </c>
      <c r="H3" s="1">
        <v>45657.333333333336</v>
      </c>
    </row>
    <row r="4" spans="1:8" x14ac:dyDescent="0.25">
      <c r="A4" s="7">
        <f>DATE(YEAR(m1_crossvalid[[#This Row],[cutoff]]),MONTH(m1_crossvalid[[#This Row],[cutoff]]),DAY(m1_crossvalid[[#This Row],[cutoff]]))</f>
        <v>45657</v>
      </c>
      <c r="B4" s="7">
        <f>DATE(YEAR(m1_crossvalid[[#This Row],[ds]]),MONTH(m1_crossvalid[[#This Row],[ds]]),DAY(m1_crossvalid[[#This Row],[ds]]))</f>
        <v>45660</v>
      </c>
      <c r="C4">
        <v>563</v>
      </c>
      <c r="D4" s="1">
        <v>45660.333333333336</v>
      </c>
      <c r="E4">
        <v>3306.6604613573754</v>
      </c>
      <c r="F4">
        <v>671.17404057748763</v>
      </c>
      <c r="G4">
        <v>5875.4936152783648</v>
      </c>
      <c r="H4" s="1">
        <v>45657.333333333336</v>
      </c>
    </row>
    <row r="5" spans="1:8" x14ac:dyDescent="0.25">
      <c r="A5" s="7">
        <f>DATE(YEAR(m1_crossvalid[[#This Row],[cutoff]]),MONTH(m1_crossvalid[[#This Row],[cutoff]]),DAY(m1_crossvalid[[#This Row],[cutoff]]))</f>
        <v>45657</v>
      </c>
      <c r="B5" s="7">
        <f>DATE(YEAR(m1_crossvalid[[#This Row],[ds]]),MONTH(m1_crossvalid[[#This Row],[ds]]),DAY(m1_crossvalid[[#This Row],[ds]]))</f>
        <v>45661</v>
      </c>
      <c r="C5">
        <v>42</v>
      </c>
      <c r="D5" s="1">
        <v>45661.333333333336</v>
      </c>
      <c r="E5">
        <v>1098.1645075574099</v>
      </c>
      <c r="F5">
        <v>-1457.5155296428904</v>
      </c>
      <c r="G5">
        <v>3818.5008577690623</v>
      </c>
      <c r="H5" s="1">
        <v>45657.333333333336</v>
      </c>
    </row>
    <row r="6" spans="1:8" x14ac:dyDescent="0.25">
      <c r="A6" s="7">
        <f>DATE(YEAR(m1_crossvalid[[#This Row],[cutoff]]),MONTH(m1_crossvalid[[#This Row],[cutoff]]),DAY(m1_crossvalid[[#This Row],[cutoff]]))</f>
        <v>45657</v>
      </c>
      <c r="B6" s="7">
        <f>DATE(YEAR(m1_crossvalid[[#This Row],[ds]]),MONTH(m1_crossvalid[[#This Row],[ds]]),DAY(m1_crossvalid[[#This Row],[ds]]))</f>
        <v>45662</v>
      </c>
      <c r="C6">
        <v>22</v>
      </c>
      <c r="D6" s="1">
        <v>45662.333333333336</v>
      </c>
      <c r="E6">
        <v>505.22375628464056</v>
      </c>
      <c r="F6">
        <v>-2263.5332597332581</v>
      </c>
      <c r="G6">
        <v>3062.7836893179251</v>
      </c>
      <c r="H6" s="1">
        <v>45657.333333333336</v>
      </c>
    </row>
    <row r="7" spans="1:8" x14ac:dyDescent="0.25">
      <c r="A7" s="7">
        <f>DATE(YEAR(m1_crossvalid[[#This Row],[cutoff]]),MONTH(m1_crossvalid[[#This Row],[cutoff]]),DAY(m1_crossvalid[[#This Row],[cutoff]]))</f>
        <v>45657</v>
      </c>
      <c r="B7" s="7">
        <f>DATE(YEAR(m1_crossvalid[[#This Row],[ds]]),MONTH(m1_crossvalid[[#This Row],[ds]]),DAY(m1_crossvalid[[#This Row],[ds]]))</f>
        <v>45663</v>
      </c>
      <c r="C7">
        <v>533</v>
      </c>
      <c r="D7" s="1">
        <v>45663.333333333336</v>
      </c>
      <c r="E7">
        <v>2745.2820860230968</v>
      </c>
      <c r="F7">
        <v>139.44056640091435</v>
      </c>
      <c r="G7">
        <v>5294.0800561968872</v>
      </c>
      <c r="H7" s="1">
        <v>45657.333333333336</v>
      </c>
    </row>
    <row r="8" spans="1:8" x14ac:dyDescent="0.25">
      <c r="A8" s="7">
        <f>DATE(YEAR(m1_crossvalid[[#This Row],[cutoff]]),MONTH(m1_crossvalid[[#This Row],[cutoff]]),DAY(m1_crossvalid[[#This Row],[cutoff]]))</f>
        <v>45657</v>
      </c>
      <c r="B8" s="7">
        <f>DATE(YEAR(m1_crossvalid[[#This Row],[ds]]),MONTH(m1_crossvalid[[#This Row],[ds]]),DAY(m1_crossvalid[[#This Row],[ds]]))</f>
        <v>45664</v>
      </c>
      <c r="C8">
        <v>712</v>
      </c>
      <c r="D8" s="1">
        <v>45664.333333333336</v>
      </c>
      <c r="E8">
        <v>3283.8701326814639</v>
      </c>
      <c r="F8">
        <v>648.44784576757706</v>
      </c>
      <c r="G8">
        <v>5803.1806857238171</v>
      </c>
      <c r="H8" s="1">
        <v>45657.333333333336</v>
      </c>
    </row>
    <row r="9" spans="1:8" x14ac:dyDescent="0.25">
      <c r="A9" s="7">
        <f>DATE(YEAR(m1_crossvalid[[#This Row],[cutoff]]),MONTH(m1_crossvalid[[#This Row],[cutoff]]),DAY(m1_crossvalid[[#This Row],[cutoff]]))</f>
        <v>45657</v>
      </c>
      <c r="B9" s="7">
        <f>DATE(YEAR(m1_crossvalid[[#This Row],[ds]]),MONTH(m1_crossvalid[[#This Row],[ds]]),DAY(m1_crossvalid[[#This Row],[ds]]))</f>
        <v>45665</v>
      </c>
      <c r="C9">
        <v>904</v>
      </c>
      <c r="D9" s="1">
        <v>45665.333333333336</v>
      </c>
      <c r="E9">
        <v>3229.692365169587</v>
      </c>
      <c r="F9">
        <v>627.4740350554822</v>
      </c>
      <c r="G9">
        <v>5827.933734012915</v>
      </c>
      <c r="H9" s="1">
        <v>45657.333333333336</v>
      </c>
    </row>
    <row r="10" spans="1:8" x14ac:dyDescent="0.25">
      <c r="A10" s="7">
        <f>DATE(YEAR(m1_crossvalid[[#This Row],[cutoff]]),MONTH(m1_crossvalid[[#This Row],[cutoff]]),DAY(m1_crossvalid[[#This Row],[cutoff]]))</f>
        <v>45657</v>
      </c>
      <c r="B10" s="7">
        <f>DATE(YEAR(m1_crossvalid[[#This Row],[ds]]),MONTH(m1_crossvalid[[#This Row],[ds]]),DAY(m1_crossvalid[[#This Row],[ds]]))</f>
        <v>45666</v>
      </c>
      <c r="C10">
        <v>1135</v>
      </c>
      <c r="D10" s="1">
        <v>45666.333333333336</v>
      </c>
      <c r="E10">
        <v>3181.1759103846202</v>
      </c>
      <c r="F10">
        <v>668.1438293006064</v>
      </c>
      <c r="G10">
        <v>5881.3410601422747</v>
      </c>
      <c r="H10" s="1">
        <v>45657.333333333336</v>
      </c>
    </row>
    <row r="11" spans="1:8" x14ac:dyDescent="0.25">
      <c r="A11" s="7">
        <f>DATE(YEAR(m1_crossvalid[[#This Row],[cutoff]]),MONTH(m1_crossvalid[[#This Row],[cutoff]]),DAY(m1_crossvalid[[#This Row],[cutoff]]))</f>
        <v>45657</v>
      </c>
      <c r="B11" s="7">
        <f>DATE(YEAR(m1_crossvalid[[#This Row],[ds]]),MONTH(m1_crossvalid[[#This Row],[ds]]),DAY(m1_crossvalid[[#This Row],[ds]]))</f>
        <v>45667</v>
      </c>
      <c r="C11">
        <v>1270</v>
      </c>
      <c r="D11" s="1">
        <v>45667.333333333336</v>
      </c>
      <c r="E11">
        <v>3030.0615851439825</v>
      </c>
      <c r="F11">
        <v>415.71686930644785</v>
      </c>
      <c r="G11">
        <v>5746.5583398610597</v>
      </c>
      <c r="H11" s="1">
        <v>45657.333333333336</v>
      </c>
    </row>
    <row r="12" spans="1:8" x14ac:dyDescent="0.25">
      <c r="A12" s="7">
        <f>DATE(YEAR(m1_crossvalid[[#This Row],[cutoff]]),MONTH(m1_crossvalid[[#This Row],[cutoff]]),DAY(m1_crossvalid[[#This Row],[cutoff]]))</f>
        <v>45657</v>
      </c>
      <c r="B12" s="7">
        <f>DATE(YEAR(m1_crossvalid[[#This Row],[ds]]),MONTH(m1_crossvalid[[#This Row],[ds]]),DAY(m1_crossvalid[[#This Row],[ds]]))</f>
        <v>45668</v>
      </c>
      <c r="C12">
        <v>203</v>
      </c>
      <c r="D12" s="1">
        <v>45668.333333333336</v>
      </c>
      <c r="E12">
        <v>834.34571326892251</v>
      </c>
      <c r="F12">
        <v>-1712.2316842547352</v>
      </c>
      <c r="G12">
        <v>3722.1210346965613</v>
      </c>
      <c r="H12" s="1">
        <v>45657.333333333336</v>
      </c>
    </row>
    <row r="13" spans="1:8" x14ac:dyDescent="0.25">
      <c r="A13" s="7">
        <f>DATE(YEAR(m1_crossvalid[[#This Row],[cutoff]]),MONTH(m1_crossvalid[[#This Row],[cutoff]]),DAY(m1_crossvalid[[#This Row],[cutoff]]))</f>
        <v>45657</v>
      </c>
      <c r="B13" s="7">
        <f>DATE(YEAR(m1_crossvalid[[#This Row],[ds]]),MONTH(m1_crossvalid[[#This Row],[ds]]),DAY(m1_crossvalid[[#This Row],[ds]]))</f>
        <v>45669</v>
      </c>
      <c r="C13">
        <v>41</v>
      </c>
      <c r="D13" s="1">
        <v>45669.333333333336</v>
      </c>
      <c r="E13">
        <v>256.94978125737498</v>
      </c>
      <c r="F13">
        <v>-2460.0052436958631</v>
      </c>
      <c r="G13">
        <v>2875.7946360987012</v>
      </c>
      <c r="H13" s="1">
        <v>45657.333333333336</v>
      </c>
    </row>
    <row r="14" spans="1:8" x14ac:dyDescent="0.25">
      <c r="A14" s="7">
        <f>DATE(YEAR(m1_crossvalid[[#This Row],[cutoff]]),MONTH(m1_crossvalid[[#This Row],[cutoff]]),DAY(m1_crossvalid[[#This Row],[cutoff]]))</f>
        <v>45657</v>
      </c>
      <c r="B14" s="7">
        <f>DATE(YEAR(m1_crossvalid[[#This Row],[ds]]),MONTH(m1_crossvalid[[#This Row],[ds]]),DAY(m1_crossvalid[[#This Row],[ds]]))</f>
        <v>45670</v>
      </c>
      <c r="C14">
        <v>1313</v>
      </c>
      <c r="D14" s="1">
        <v>45670.333333333336</v>
      </c>
      <c r="E14">
        <v>2514.9628995769713</v>
      </c>
      <c r="F14">
        <v>-321.24644870334629</v>
      </c>
      <c r="G14">
        <v>5024.016727390499</v>
      </c>
      <c r="H14" s="1">
        <v>45657.333333333336</v>
      </c>
    </row>
    <row r="15" spans="1:8" x14ac:dyDescent="0.25">
      <c r="A15" s="7">
        <f>DATE(YEAR(m1_crossvalid[[#This Row],[cutoff]]),MONTH(m1_crossvalid[[#This Row],[cutoff]]),DAY(m1_crossvalid[[#This Row],[cutoff]]))</f>
        <v>45657</v>
      </c>
      <c r="B15" s="7">
        <f>DATE(YEAR(m1_crossvalid[[#This Row],[ds]]),MONTH(m1_crossvalid[[#This Row],[ds]]),DAY(m1_crossvalid[[#This Row],[ds]]))</f>
        <v>45671</v>
      </c>
      <c r="C15">
        <v>1609</v>
      </c>
      <c r="D15" s="1">
        <v>45671.333333333336</v>
      </c>
      <c r="E15">
        <v>3073.526728869565</v>
      </c>
      <c r="F15">
        <v>282.75409732994007</v>
      </c>
      <c r="G15">
        <v>5808.533808394739</v>
      </c>
      <c r="H15" s="1">
        <v>45657.333333333336</v>
      </c>
    </row>
    <row r="16" spans="1:8" x14ac:dyDescent="0.25">
      <c r="A16" s="7">
        <f>DATE(YEAR(m1_crossvalid[[#This Row],[cutoff]]),MONTH(m1_crossvalid[[#This Row],[cutoff]]),DAY(m1_crossvalid[[#This Row],[cutoff]]))</f>
        <v>45657</v>
      </c>
      <c r="B16" s="7">
        <f>DATE(YEAR(m1_crossvalid[[#This Row],[ds]]),MONTH(m1_crossvalid[[#This Row],[ds]]),DAY(m1_crossvalid[[#This Row],[ds]]))</f>
        <v>45672</v>
      </c>
      <c r="C16">
        <v>2010</v>
      </c>
      <c r="D16" s="1">
        <v>45672.333333333336</v>
      </c>
      <c r="E16">
        <v>3040.9325571274071</v>
      </c>
      <c r="F16">
        <v>534.32211935288035</v>
      </c>
      <c r="G16">
        <v>5577.459392354298</v>
      </c>
      <c r="H16" s="1">
        <v>45657.333333333336</v>
      </c>
    </row>
    <row r="17" spans="1:8" x14ac:dyDescent="0.25">
      <c r="A17" s="7">
        <f>DATE(YEAR(m1_crossvalid[[#This Row],[cutoff]]),MONTH(m1_crossvalid[[#This Row],[cutoff]]),DAY(m1_crossvalid[[#This Row],[cutoff]]))</f>
        <v>45657</v>
      </c>
      <c r="B17" s="7">
        <f>DATE(YEAR(m1_crossvalid[[#This Row],[ds]]),MONTH(m1_crossvalid[[#This Row],[ds]]),DAY(m1_crossvalid[[#This Row],[ds]]))</f>
        <v>45673</v>
      </c>
      <c r="C17">
        <v>2206</v>
      </c>
      <c r="D17" s="1">
        <v>45673.333333333336</v>
      </c>
      <c r="E17">
        <v>3015.180469197498</v>
      </c>
      <c r="F17">
        <v>520.11292467949784</v>
      </c>
      <c r="G17">
        <v>5754.3296528251649</v>
      </c>
      <c r="H17" s="1">
        <v>45657.333333333336</v>
      </c>
    </row>
    <row r="18" spans="1:8" x14ac:dyDescent="0.25">
      <c r="A18" s="7">
        <f>DATE(YEAR(m1_crossvalid[[#This Row],[cutoff]]),MONTH(m1_crossvalid[[#This Row],[cutoff]]),DAY(m1_crossvalid[[#This Row],[cutoff]]))</f>
        <v>45657</v>
      </c>
      <c r="B18" s="7">
        <f>DATE(YEAR(m1_crossvalid[[#This Row],[ds]]),MONTH(m1_crossvalid[[#This Row],[ds]]),DAY(m1_crossvalid[[#This Row],[ds]]))</f>
        <v>45674</v>
      </c>
      <c r="C18">
        <v>2291</v>
      </c>
      <c r="D18" s="1">
        <v>45674.333333333336</v>
      </c>
      <c r="E18">
        <v>2887.580785767791</v>
      </c>
      <c r="F18">
        <v>336.63516001662094</v>
      </c>
      <c r="G18">
        <v>5497.5851419129385</v>
      </c>
      <c r="H18" s="1">
        <v>45657.333333333336</v>
      </c>
    </row>
    <row r="19" spans="1:8" x14ac:dyDescent="0.25">
      <c r="A19" s="7">
        <f>DATE(YEAR(m1_crossvalid[[#This Row],[cutoff]]),MONTH(m1_crossvalid[[#This Row],[cutoff]]),DAY(m1_crossvalid[[#This Row],[cutoff]]))</f>
        <v>45657</v>
      </c>
      <c r="B19" s="7">
        <f>DATE(YEAR(m1_crossvalid[[#This Row],[ds]]),MONTH(m1_crossvalid[[#This Row],[ds]]),DAY(m1_crossvalid[[#This Row],[ds]]))</f>
        <v>45675</v>
      </c>
      <c r="C19">
        <v>401</v>
      </c>
      <c r="D19" s="1">
        <v>45675.333333333336</v>
      </c>
      <c r="E19">
        <v>715.7060724831847</v>
      </c>
      <c r="F19">
        <v>-1827.2584709207599</v>
      </c>
      <c r="G19">
        <v>3398.7828026765619</v>
      </c>
      <c r="H19" s="1">
        <v>45657.333333333336</v>
      </c>
    </row>
    <row r="20" spans="1:8" x14ac:dyDescent="0.25">
      <c r="A20" s="7">
        <f>DATE(YEAR(m1_crossvalid[[#This Row],[cutoff]]),MONTH(m1_crossvalid[[#This Row],[cutoff]]),DAY(m1_crossvalid[[#This Row],[cutoff]]))</f>
        <v>45657</v>
      </c>
      <c r="B20" s="7">
        <f>DATE(YEAR(m1_crossvalid[[#This Row],[ds]]),MONTH(m1_crossvalid[[#This Row],[ds]]),DAY(m1_crossvalid[[#This Row],[ds]]))</f>
        <v>45676</v>
      </c>
      <c r="C20">
        <v>129</v>
      </c>
      <c r="D20" s="1">
        <v>45676.333333333336</v>
      </c>
      <c r="E20">
        <v>162.07050562798486</v>
      </c>
      <c r="F20">
        <v>-2634.6036031915596</v>
      </c>
      <c r="G20">
        <v>2587.6422115307487</v>
      </c>
      <c r="H20" s="1">
        <v>45657.333333333336</v>
      </c>
    </row>
    <row r="21" spans="1:8" x14ac:dyDescent="0.25">
      <c r="A21" s="7">
        <f>DATE(YEAR(m1_crossvalid[[#This Row],[cutoff]]),MONTH(m1_crossvalid[[#This Row],[cutoff]]),DAY(m1_crossvalid[[#This Row],[cutoff]]))</f>
        <v>45657</v>
      </c>
      <c r="B21" s="7">
        <f>DATE(YEAR(m1_crossvalid[[#This Row],[ds]]),MONTH(m1_crossvalid[[#This Row],[ds]]),DAY(m1_crossvalid[[#This Row],[ds]]))</f>
        <v>45677</v>
      </c>
      <c r="C21">
        <v>2385</v>
      </c>
      <c r="D21" s="1">
        <v>45677.333333333336</v>
      </c>
      <c r="E21">
        <v>2443.3813125027282</v>
      </c>
      <c r="F21">
        <v>-146.6262315162169</v>
      </c>
      <c r="G21">
        <v>5016.1448728162986</v>
      </c>
      <c r="H21" s="1">
        <v>45657.333333333336</v>
      </c>
    </row>
    <row r="22" spans="1:8" x14ac:dyDescent="0.25">
      <c r="A22" s="7">
        <f>DATE(YEAR(m1_crossvalid[[#This Row],[cutoff]]),MONTH(m1_crossvalid[[#This Row],[cutoff]]),DAY(m1_crossvalid[[#This Row],[cutoff]]))</f>
        <v>45657</v>
      </c>
      <c r="B22" s="7">
        <f>DATE(YEAR(m1_crossvalid[[#This Row],[ds]]),MONTH(m1_crossvalid[[#This Row],[ds]]),DAY(m1_crossvalid[[#This Row],[ds]]))</f>
        <v>45678</v>
      </c>
      <c r="C22">
        <v>3051</v>
      </c>
      <c r="D22" s="1">
        <v>45678.333333333336</v>
      </c>
      <c r="E22">
        <v>3024.4317216057589</v>
      </c>
      <c r="F22">
        <v>392.23919442078403</v>
      </c>
      <c r="G22">
        <v>5533.9586711234297</v>
      </c>
      <c r="H22" s="1">
        <v>45657.333333333336</v>
      </c>
    </row>
    <row r="23" spans="1:8" x14ac:dyDescent="0.25">
      <c r="A23" s="7">
        <f>DATE(YEAR(m1_crossvalid[[#This Row],[cutoff]]),MONTH(m1_crossvalid[[#This Row],[cutoff]]),DAY(m1_crossvalid[[#This Row],[cutoff]]))</f>
        <v>45657</v>
      </c>
      <c r="B23" s="7">
        <f>DATE(YEAR(m1_crossvalid[[#This Row],[ds]]),MONTH(m1_crossvalid[[#This Row],[ds]]),DAY(m1_crossvalid[[#This Row],[ds]]))</f>
        <v>45679</v>
      </c>
      <c r="C23">
        <v>2878</v>
      </c>
      <c r="D23" s="1">
        <v>45679.333333333336</v>
      </c>
      <c r="E23">
        <v>3013.2049151589822</v>
      </c>
      <c r="F23">
        <v>399.57953705471937</v>
      </c>
      <c r="G23">
        <v>5631.2229799720435</v>
      </c>
      <c r="H23" s="1">
        <v>45657.333333333336</v>
      </c>
    </row>
    <row r="24" spans="1:8" x14ac:dyDescent="0.25">
      <c r="A24" s="7">
        <f>DATE(YEAR(m1_crossvalid[[#This Row],[cutoff]]),MONTH(m1_crossvalid[[#This Row],[cutoff]]),DAY(m1_crossvalid[[#This Row],[cutoff]]))</f>
        <v>45657</v>
      </c>
      <c r="B24" s="7">
        <f>DATE(YEAR(m1_crossvalid[[#This Row],[ds]]),MONTH(m1_crossvalid[[#This Row],[ds]]),DAY(m1_crossvalid[[#This Row],[ds]]))</f>
        <v>45680</v>
      </c>
      <c r="C24">
        <v>4853</v>
      </c>
      <c r="D24" s="1">
        <v>45680.333333333336</v>
      </c>
      <c r="E24">
        <v>3007.4387680412665</v>
      </c>
      <c r="F24">
        <v>321.76927334910448</v>
      </c>
      <c r="G24">
        <v>5611.7783035090479</v>
      </c>
      <c r="H24" s="1">
        <v>45657.333333333336</v>
      </c>
    </row>
    <row r="25" spans="1:8" x14ac:dyDescent="0.25">
      <c r="A25" s="7">
        <f>DATE(YEAR(m1_crossvalid[[#This Row],[cutoff]]),MONTH(m1_crossvalid[[#This Row],[cutoff]]),DAY(m1_crossvalid[[#This Row],[cutoff]]))</f>
        <v>45657</v>
      </c>
      <c r="B25" s="7">
        <f>DATE(YEAR(m1_crossvalid[[#This Row],[ds]]),MONTH(m1_crossvalid[[#This Row],[ds]]),DAY(m1_crossvalid[[#This Row],[ds]]))</f>
        <v>45681</v>
      </c>
      <c r="C25">
        <v>5202</v>
      </c>
      <c r="D25" s="1">
        <v>45681.333333333336</v>
      </c>
      <c r="E25">
        <v>2898.2314323410974</v>
      </c>
      <c r="F25">
        <v>144.10085093289715</v>
      </c>
      <c r="G25">
        <v>5348.7623766503129</v>
      </c>
      <c r="H25" s="1">
        <v>45657.333333333336</v>
      </c>
    </row>
    <row r="26" spans="1:8" x14ac:dyDescent="0.25">
      <c r="A26" s="7">
        <f>DATE(YEAR(m1_crossvalid[[#This Row],[cutoff]]),MONTH(m1_crossvalid[[#This Row],[cutoff]]),DAY(m1_crossvalid[[#This Row],[cutoff]]))</f>
        <v>45657</v>
      </c>
      <c r="B26" s="7">
        <f>DATE(YEAR(m1_crossvalid[[#This Row],[ds]]),MONTH(m1_crossvalid[[#This Row],[ds]]),DAY(m1_crossvalid[[#This Row],[ds]]))</f>
        <v>45682</v>
      </c>
      <c r="C26">
        <v>1624</v>
      </c>
      <c r="D26" s="1">
        <v>45682.333333333336</v>
      </c>
      <c r="E26">
        <v>742.99599319544859</v>
      </c>
      <c r="F26">
        <v>-1740.4799526550914</v>
      </c>
      <c r="G26">
        <v>3260.5751873559439</v>
      </c>
      <c r="H26" s="1">
        <v>45657.333333333336</v>
      </c>
    </row>
    <row r="27" spans="1:8" x14ac:dyDescent="0.25">
      <c r="A27" s="7">
        <f>DATE(YEAR(m1_crossvalid[[#This Row],[cutoff]]),MONTH(m1_crossvalid[[#This Row],[cutoff]]),DAY(m1_crossvalid[[#This Row],[cutoff]]))</f>
        <v>45657</v>
      </c>
      <c r="B27" s="7">
        <f>DATE(YEAR(m1_crossvalid[[#This Row],[ds]]),MONTH(m1_crossvalid[[#This Row],[ds]]),DAY(m1_crossvalid[[#This Row],[ds]]))</f>
        <v>45683</v>
      </c>
      <c r="C27">
        <v>454</v>
      </c>
      <c r="D27" s="1">
        <v>45683.333333333336</v>
      </c>
      <c r="E27">
        <v>204.14095124147661</v>
      </c>
      <c r="F27">
        <v>-2408.2817407150933</v>
      </c>
      <c r="G27">
        <v>2927.3252122330837</v>
      </c>
      <c r="H27" s="1">
        <v>45657.333333333336</v>
      </c>
    </row>
    <row r="28" spans="1:8" x14ac:dyDescent="0.25">
      <c r="A28" s="7">
        <f>DATE(YEAR(m1_crossvalid[[#This Row],[cutoff]]),MONTH(m1_crossvalid[[#This Row],[cutoff]]),DAY(m1_crossvalid[[#This Row],[cutoff]]))</f>
        <v>45657</v>
      </c>
      <c r="B28" s="7">
        <f>DATE(YEAR(m1_crossvalid[[#This Row],[ds]]),MONTH(m1_crossvalid[[#This Row],[ds]]),DAY(m1_crossvalid[[#This Row],[ds]]))</f>
        <v>45684</v>
      </c>
      <c r="C28">
        <v>5598</v>
      </c>
      <c r="D28" s="1">
        <v>45684.333333333336</v>
      </c>
      <c r="E28">
        <v>2498.3212632191376</v>
      </c>
      <c r="F28">
        <v>-303.15392017979559</v>
      </c>
      <c r="G28">
        <v>4884.5431535176585</v>
      </c>
      <c r="H28" s="1">
        <v>45657.333333333336</v>
      </c>
    </row>
    <row r="29" spans="1:8" x14ac:dyDescent="0.25">
      <c r="A29" s="7">
        <f>DATE(YEAR(m1_crossvalid[[#This Row],[cutoff]]),MONTH(m1_crossvalid[[#This Row],[cutoff]]),DAY(m1_crossvalid[[#This Row],[cutoff]]))</f>
        <v>45657</v>
      </c>
      <c r="B29" s="7">
        <f>DATE(YEAR(m1_crossvalid[[#This Row],[ds]]),MONTH(m1_crossvalid[[#This Row],[ds]]),DAY(m1_crossvalid[[#This Row],[ds]]))</f>
        <v>45685</v>
      </c>
      <c r="C29">
        <v>5264</v>
      </c>
      <c r="D29" s="1">
        <v>45685.333333333336</v>
      </c>
      <c r="E29">
        <v>3090.3294321415419</v>
      </c>
      <c r="F29">
        <v>546.48242951636826</v>
      </c>
      <c r="G29">
        <v>5706.2496959209448</v>
      </c>
      <c r="H29" s="1">
        <v>45657.333333333336</v>
      </c>
    </row>
    <row r="30" spans="1:8" x14ac:dyDescent="0.25">
      <c r="A30" s="7">
        <f>DATE(YEAR(m1_crossvalid[[#This Row],[cutoff]]),MONTH(m1_crossvalid[[#This Row],[cutoff]]),DAY(m1_crossvalid[[#This Row],[cutoff]]))</f>
        <v>45657</v>
      </c>
      <c r="B30" s="7">
        <f>DATE(YEAR(m1_crossvalid[[#This Row],[ds]]),MONTH(m1_crossvalid[[#This Row],[ds]]),DAY(m1_crossvalid[[#This Row],[ds]]))</f>
        <v>45686</v>
      </c>
      <c r="C30">
        <v>310</v>
      </c>
      <c r="D30" s="1">
        <v>45686.333333333336</v>
      </c>
      <c r="E30">
        <v>3088.1962371226946</v>
      </c>
      <c r="F30">
        <v>408.78377631093298</v>
      </c>
      <c r="G30">
        <v>5700.3565057136893</v>
      </c>
      <c r="H30" s="1">
        <v>45657.333333333336</v>
      </c>
    </row>
    <row r="31" spans="1:8" x14ac:dyDescent="0.25">
      <c r="A31" s="7">
        <f>DATE(YEAR(m1_crossvalid[[#This Row],[cutoff]]),MONTH(m1_crossvalid[[#This Row],[cutoff]]),DAY(m1_crossvalid[[#This Row],[cutoff]]))</f>
        <v>45657</v>
      </c>
      <c r="B31" s="7">
        <f>DATE(YEAR(m1_crossvalid[[#This Row],[ds]]),MONTH(m1_crossvalid[[#This Row],[ds]]),DAY(m1_crossvalid[[#This Row],[ds]]))</f>
        <v>45687</v>
      </c>
      <c r="C31">
        <v>255</v>
      </c>
      <c r="D31" s="1">
        <v>45687.333333333336</v>
      </c>
      <c r="E31">
        <v>3089.7510215427678</v>
      </c>
      <c r="F31">
        <v>630.60762392687218</v>
      </c>
      <c r="G31">
        <v>5514.7666374322316</v>
      </c>
      <c r="H31" s="1">
        <v>45657.333333333336</v>
      </c>
    </row>
    <row r="32" spans="1:8" x14ac:dyDescent="0.25">
      <c r="A32" s="7">
        <f>DATE(YEAR(m1_crossvalid[[#This Row],[cutoff]]),MONTH(m1_crossvalid[[#This Row],[cutoff]]),DAY(m1_crossvalid[[#This Row],[cutoff]]))</f>
        <v>45657</v>
      </c>
      <c r="B32" s="7">
        <f>DATE(YEAR(m1_crossvalid[[#This Row],[ds]]),MONTH(m1_crossvalid[[#This Row],[ds]]),DAY(m1_crossvalid[[#This Row],[ds]]))</f>
        <v>45688</v>
      </c>
      <c r="C32">
        <v>6041</v>
      </c>
      <c r="D32" s="1">
        <v>45688.333333333336</v>
      </c>
      <c r="E32">
        <v>2986.2217663303663</v>
      </c>
      <c r="F32">
        <v>289.60542928854352</v>
      </c>
      <c r="G32">
        <v>5491.1635555000121</v>
      </c>
      <c r="H32" s="1">
        <v>45657.333333333336</v>
      </c>
    </row>
    <row r="33" spans="1:8" x14ac:dyDescent="0.25">
      <c r="A33" s="7">
        <f>DATE(YEAR(m1_crossvalid[[#This Row],[cutoff]]),MONTH(m1_crossvalid[[#This Row],[cutoff]]),DAY(m1_crossvalid[[#This Row],[cutoff]]))</f>
        <v>45688</v>
      </c>
      <c r="B33" s="7">
        <f>DATE(YEAR(m1_crossvalid[[#This Row],[ds]]),MONTH(m1_crossvalid[[#This Row],[ds]]),DAY(m1_crossvalid[[#This Row],[ds]]))</f>
        <v>45689</v>
      </c>
      <c r="C33">
        <v>47</v>
      </c>
      <c r="D33" s="1">
        <v>45689.333333333336</v>
      </c>
      <c r="E33">
        <v>933.06594549369493</v>
      </c>
      <c r="F33">
        <v>-1634.1494126831988</v>
      </c>
      <c r="G33">
        <v>3501.8116526735707</v>
      </c>
      <c r="H33" s="1">
        <v>45688.333333333336</v>
      </c>
    </row>
    <row r="34" spans="1:8" x14ac:dyDescent="0.25">
      <c r="A34" s="7">
        <f>DATE(YEAR(m1_crossvalid[[#This Row],[cutoff]]),MONTH(m1_crossvalid[[#This Row],[cutoff]]),DAY(m1_crossvalid[[#This Row],[cutoff]]))</f>
        <v>45688</v>
      </c>
      <c r="B34" s="7">
        <f>DATE(YEAR(m1_crossvalid[[#This Row],[ds]]),MONTH(m1_crossvalid[[#This Row],[ds]]),DAY(m1_crossvalid[[#This Row],[ds]]))</f>
        <v>45690</v>
      </c>
      <c r="C34">
        <v>14</v>
      </c>
      <c r="D34" s="1">
        <v>45690.333333333336</v>
      </c>
      <c r="E34">
        <v>392.09528495379072</v>
      </c>
      <c r="F34">
        <v>-2112.4044600709967</v>
      </c>
      <c r="G34">
        <v>2982.129574024968</v>
      </c>
      <c r="H34" s="1">
        <v>45688.333333333336</v>
      </c>
    </row>
    <row r="35" spans="1:8" x14ac:dyDescent="0.25">
      <c r="A35" s="7">
        <f>DATE(YEAR(m1_crossvalid[[#This Row],[cutoff]]),MONTH(m1_crossvalid[[#This Row],[cutoff]]),DAY(m1_crossvalid[[#This Row],[cutoff]]))</f>
        <v>45688</v>
      </c>
      <c r="B35" s="7">
        <f>DATE(YEAR(m1_crossvalid[[#This Row],[ds]]),MONTH(m1_crossvalid[[#This Row],[ds]]),DAY(m1_crossvalid[[#This Row],[ds]]))</f>
        <v>45691</v>
      </c>
      <c r="C35">
        <v>454</v>
      </c>
      <c r="D35" s="1">
        <v>45691.333333333336</v>
      </c>
      <c r="E35">
        <v>2676.0998999307271</v>
      </c>
      <c r="F35">
        <v>75.158991612259001</v>
      </c>
      <c r="G35">
        <v>5178.1057754633275</v>
      </c>
      <c r="H35" s="1">
        <v>45688.333333333336</v>
      </c>
    </row>
    <row r="36" spans="1:8" x14ac:dyDescent="0.25">
      <c r="A36" s="7">
        <f>DATE(YEAR(m1_crossvalid[[#This Row],[cutoff]]),MONTH(m1_crossvalid[[#This Row],[cutoff]]),DAY(m1_crossvalid[[#This Row],[cutoff]]))</f>
        <v>45688</v>
      </c>
      <c r="B36" s="7">
        <f>DATE(YEAR(m1_crossvalid[[#This Row],[ds]]),MONTH(m1_crossvalid[[#This Row],[ds]]),DAY(m1_crossvalid[[#This Row],[ds]]))</f>
        <v>45692</v>
      </c>
      <c r="C36">
        <v>626</v>
      </c>
      <c r="D36" s="1">
        <v>45692.333333333336</v>
      </c>
      <c r="E36">
        <v>3245.9242978953384</v>
      </c>
      <c r="F36">
        <v>614.75418335269785</v>
      </c>
      <c r="G36">
        <v>5705.4802320150366</v>
      </c>
      <c r="H36" s="1">
        <v>45688.333333333336</v>
      </c>
    </row>
    <row r="37" spans="1:8" x14ac:dyDescent="0.25">
      <c r="A37" s="7">
        <f>DATE(YEAR(m1_crossvalid[[#This Row],[cutoff]]),MONTH(m1_crossvalid[[#This Row],[cutoff]]),DAY(m1_crossvalid[[#This Row],[cutoff]]))</f>
        <v>45688</v>
      </c>
      <c r="B37" s="7">
        <f>DATE(YEAR(m1_crossvalid[[#This Row],[ds]]),MONTH(m1_crossvalid[[#This Row],[ds]]),DAY(m1_crossvalid[[#This Row],[ds]]))</f>
        <v>45693</v>
      </c>
      <c r="C37">
        <v>886</v>
      </c>
      <c r="D37" s="1">
        <v>45693.333333333336</v>
      </c>
      <c r="E37">
        <v>3178.5536970890016</v>
      </c>
      <c r="F37">
        <v>547.91656136041274</v>
      </c>
      <c r="G37">
        <v>5800.2544961753556</v>
      </c>
      <c r="H37" s="1">
        <v>45688.333333333336</v>
      </c>
    </row>
    <row r="38" spans="1:8" x14ac:dyDescent="0.25">
      <c r="A38" s="7">
        <f>DATE(YEAR(m1_crossvalid[[#This Row],[cutoff]]),MONTH(m1_crossvalid[[#This Row],[cutoff]]),DAY(m1_crossvalid[[#This Row],[cutoff]]))</f>
        <v>45688</v>
      </c>
      <c r="B38" s="7">
        <f>DATE(YEAR(m1_crossvalid[[#This Row],[ds]]),MONTH(m1_crossvalid[[#This Row],[ds]]),DAY(m1_crossvalid[[#This Row],[ds]]))</f>
        <v>45694</v>
      </c>
      <c r="C38">
        <v>1159</v>
      </c>
      <c r="D38" s="1">
        <v>45694.333333333336</v>
      </c>
      <c r="E38">
        <v>3181.1316134681965</v>
      </c>
      <c r="F38">
        <v>522.97036687966522</v>
      </c>
      <c r="G38">
        <v>5856.5027473001128</v>
      </c>
      <c r="H38" s="1">
        <v>45688.333333333336</v>
      </c>
    </row>
    <row r="39" spans="1:8" x14ac:dyDescent="0.25">
      <c r="A39" s="7">
        <f>DATE(YEAR(m1_crossvalid[[#This Row],[cutoff]]),MONTH(m1_crossvalid[[#This Row],[cutoff]]),DAY(m1_crossvalid[[#This Row],[cutoff]]))</f>
        <v>45688</v>
      </c>
      <c r="B39" s="7">
        <f>DATE(YEAR(m1_crossvalid[[#This Row],[ds]]),MONTH(m1_crossvalid[[#This Row],[ds]]),DAY(m1_crossvalid[[#This Row],[ds]]))</f>
        <v>45695</v>
      </c>
      <c r="C39">
        <v>1342</v>
      </c>
      <c r="D39" s="1">
        <v>45695.333333333336</v>
      </c>
      <c r="E39">
        <v>3102.4619138877397</v>
      </c>
      <c r="F39">
        <v>564.12287782296175</v>
      </c>
      <c r="G39">
        <v>5694.4578284815052</v>
      </c>
      <c r="H39" s="1">
        <v>45688.333333333336</v>
      </c>
    </row>
    <row r="40" spans="1:8" x14ac:dyDescent="0.25">
      <c r="A40" s="7">
        <f>DATE(YEAR(m1_crossvalid[[#This Row],[cutoff]]),MONTH(m1_crossvalid[[#This Row],[cutoff]]),DAY(m1_crossvalid[[#This Row],[cutoff]]))</f>
        <v>45688</v>
      </c>
      <c r="B40" s="7">
        <f>DATE(YEAR(m1_crossvalid[[#This Row],[ds]]),MONTH(m1_crossvalid[[#This Row],[ds]]),DAY(m1_crossvalid[[#This Row],[ds]]))</f>
        <v>45696</v>
      </c>
      <c r="C40">
        <v>301</v>
      </c>
      <c r="D40" s="1">
        <v>45696.333333333336</v>
      </c>
      <c r="E40">
        <v>926.55123784885222</v>
      </c>
      <c r="F40">
        <v>-1547.2135675197187</v>
      </c>
      <c r="G40">
        <v>3569.3308725082475</v>
      </c>
      <c r="H40" s="1">
        <v>45688.333333333336</v>
      </c>
    </row>
    <row r="41" spans="1:8" x14ac:dyDescent="0.25">
      <c r="A41" s="7">
        <f>DATE(YEAR(m1_crossvalid[[#This Row],[cutoff]]),MONTH(m1_crossvalid[[#This Row],[cutoff]]),DAY(m1_crossvalid[[#This Row],[cutoff]]))</f>
        <v>45688</v>
      </c>
      <c r="B41" s="7">
        <f>DATE(YEAR(m1_crossvalid[[#This Row],[ds]]),MONTH(m1_crossvalid[[#This Row],[ds]]),DAY(m1_crossvalid[[#This Row],[ds]]))</f>
        <v>45697</v>
      </c>
      <c r="C41">
        <v>54</v>
      </c>
      <c r="D41" s="1">
        <v>45697.333333333336</v>
      </c>
      <c r="E41">
        <v>375.90957942786099</v>
      </c>
      <c r="F41">
        <v>-2311.388737716049</v>
      </c>
      <c r="G41">
        <v>3042.9611541909471</v>
      </c>
      <c r="H41" s="1">
        <v>45688.333333333336</v>
      </c>
    </row>
    <row r="42" spans="1:8" x14ac:dyDescent="0.25">
      <c r="A42" s="7">
        <f>DATE(YEAR(m1_crossvalid[[#This Row],[cutoff]]),MONTH(m1_crossvalid[[#This Row],[cutoff]]),DAY(m1_crossvalid[[#This Row],[cutoff]]))</f>
        <v>45688</v>
      </c>
      <c r="B42" s="7">
        <f>DATE(YEAR(m1_crossvalid[[#This Row],[ds]]),MONTH(m1_crossvalid[[#This Row],[ds]]),DAY(m1_crossvalid[[#This Row],[ds]]))</f>
        <v>45698</v>
      </c>
      <c r="C42">
        <v>1577</v>
      </c>
      <c r="D42" s="1">
        <v>45698.333333333336</v>
      </c>
      <c r="E42">
        <v>2653.6634154721442</v>
      </c>
      <c r="F42">
        <v>10.639349996922689</v>
      </c>
      <c r="G42">
        <v>5129.2620672144594</v>
      </c>
      <c r="H42" s="1">
        <v>45688.333333333336</v>
      </c>
    </row>
    <row r="43" spans="1:8" x14ac:dyDescent="0.25">
      <c r="A43" s="7">
        <f>DATE(YEAR(m1_crossvalid[[#This Row],[cutoff]]),MONTH(m1_crossvalid[[#This Row],[cutoff]]),DAY(m1_crossvalid[[#This Row],[cutoff]]))</f>
        <v>45688</v>
      </c>
      <c r="B43" s="7">
        <f>DATE(YEAR(m1_crossvalid[[#This Row],[ds]]),MONTH(m1_crossvalid[[#This Row],[ds]]),DAY(m1_crossvalid[[#This Row],[ds]]))</f>
        <v>45699</v>
      </c>
      <c r="C43">
        <v>555</v>
      </c>
      <c r="D43" s="1">
        <v>45699.333333333336</v>
      </c>
      <c r="E43">
        <v>3220.7576388758162</v>
      </c>
      <c r="F43">
        <v>518.47415782376243</v>
      </c>
      <c r="G43">
        <v>5725.1262453503605</v>
      </c>
      <c r="H43" s="1">
        <v>45688.333333333336</v>
      </c>
    </row>
    <row r="44" spans="1:8" x14ac:dyDescent="0.25">
      <c r="A44" s="7">
        <f>DATE(YEAR(m1_crossvalid[[#This Row],[cutoff]]),MONTH(m1_crossvalid[[#This Row],[cutoff]]),DAY(m1_crossvalid[[#This Row],[cutoff]]))</f>
        <v>45688</v>
      </c>
      <c r="B44" s="7">
        <f>DATE(YEAR(m1_crossvalid[[#This Row],[ds]]),MONTH(m1_crossvalid[[#This Row],[ds]]),DAY(m1_crossvalid[[#This Row],[ds]]))</f>
        <v>45700</v>
      </c>
      <c r="C44">
        <v>1823</v>
      </c>
      <c r="D44" s="1">
        <v>45700.333333333336</v>
      </c>
      <c r="E44">
        <v>3154.168755440076</v>
      </c>
      <c r="F44">
        <v>714.52211080430584</v>
      </c>
      <c r="G44">
        <v>5690.0440972884571</v>
      </c>
      <c r="H44" s="1">
        <v>45688.333333333336</v>
      </c>
    </row>
    <row r="45" spans="1:8" x14ac:dyDescent="0.25">
      <c r="A45" s="7">
        <f>DATE(YEAR(m1_crossvalid[[#This Row],[cutoff]]),MONTH(m1_crossvalid[[#This Row],[cutoff]]),DAY(m1_crossvalid[[#This Row],[cutoff]]))</f>
        <v>45688</v>
      </c>
      <c r="B45" s="7">
        <f>DATE(YEAR(m1_crossvalid[[#This Row],[ds]]),MONTH(m1_crossvalid[[#This Row],[ds]]),DAY(m1_crossvalid[[#This Row],[ds]]))</f>
        <v>45701</v>
      </c>
      <c r="C45">
        <v>2210</v>
      </c>
      <c r="D45" s="1">
        <v>45701.333333333336</v>
      </c>
      <c r="E45">
        <v>3160.9256516421015</v>
      </c>
      <c r="F45">
        <v>692.37798518335057</v>
      </c>
      <c r="G45">
        <v>5779.4517584894129</v>
      </c>
      <c r="H45" s="1">
        <v>45688.333333333336</v>
      </c>
    </row>
    <row r="46" spans="1:8" x14ac:dyDescent="0.25">
      <c r="A46" s="7">
        <f>DATE(YEAR(m1_crossvalid[[#This Row],[cutoff]]),MONTH(m1_crossvalid[[#This Row],[cutoff]]),DAY(m1_crossvalid[[#This Row],[cutoff]]))</f>
        <v>45688</v>
      </c>
      <c r="B46" s="7">
        <f>DATE(YEAR(m1_crossvalid[[#This Row],[ds]]),MONTH(m1_crossvalid[[#This Row],[ds]]),DAY(m1_crossvalid[[#This Row],[ds]]))</f>
        <v>45702</v>
      </c>
      <c r="C46">
        <v>2308</v>
      </c>
      <c r="D46" s="1">
        <v>45702.333333333336</v>
      </c>
      <c r="E46">
        <v>3089.6177923367941</v>
      </c>
      <c r="F46">
        <v>577.77543470882779</v>
      </c>
      <c r="G46">
        <v>5637.3849569136601</v>
      </c>
      <c r="H46" s="1">
        <v>45688.333333333336</v>
      </c>
    </row>
    <row r="47" spans="1:8" x14ac:dyDescent="0.25">
      <c r="A47" s="7">
        <f>DATE(YEAR(m1_crossvalid[[#This Row],[cutoff]]),MONTH(m1_crossvalid[[#This Row],[cutoff]]),DAY(m1_crossvalid[[#This Row],[cutoff]]))</f>
        <v>45688</v>
      </c>
      <c r="B47" s="7">
        <f>DATE(YEAR(m1_crossvalid[[#This Row],[ds]]),MONTH(m1_crossvalid[[#This Row],[ds]]),DAY(m1_crossvalid[[#This Row],[ds]]))</f>
        <v>45703</v>
      </c>
      <c r="C47">
        <v>485</v>
      </c>
      <c r="D47" s="1">
        <v>45703.333333333336</v>
      </c>
      <c r="E47">
        <v>923.94652469814673</v>
      </c>
      <c r="F47">
        <v>-1675.5253528696776</v>
      </c>
      <c r="G47">
        <v>3520.5203398568115</v>
      </c>
      <c r="H47" s="1">
        <v>45688.333333333336</v>
      </c>
    </row>
    <row r="48" spans="1:8" x14ac:dyDescent="0.25">
      <c r="A48" s="7">
        <f>DATE(YEAR(m1_crossvalid[[#This Row],[cutoff]]),MONTH(m1_crossvalid[[#This Row],[cutoff]]),DAY(m1_crossvalid[[#This Row],[cutoff]]))</f>
        <v>45688</v>
      </c>
      <c r="B48" s="7">
        <f>DATE(YEAR(m1_crossvalid[[#This Row],[ds]]),MONTH(m1_crossvalid[[#This Row],[ds]]),DAY(m1_crossvalid[[#This Row],[ds]]))</f>
        <v>45704</v>
      </c>
      <c r="C48">
        <v>118</v>
      </c>
      <c r="D48" s="1">
        <v>45704.333333333336</v>
      </c>
      <c r="E48">
        <v>386.03697832350281</v>
      </c>
      <c r="F48">
        <v>-2244.3561055001369</v>
      </c>
      <c r="G48">
        <v>2868.7566433987863</v>
      </c>
      <c r="H48" s="1">
        <v>45688.333333333336</v>
      </c>
    </row>
    <row r="49" spans="1:8" x14ac:dyDescent="0.25">
      <c r="A49" s="7">
        <f>DATE(YEAR(m1_crossvalid[[#This Row],[cutoff]]),MONTH(m1_crossvalid[[#This Row],[cutoff]]),DAY(m1_crossvalid[[#This Row],[cutoff]]))</f>
        <v>45688</v>
      </c>
      <c r="B49" s="7">
        <f>DATE(YEAR(m1_crossvalid[[#This Row],[ds]]),MONTH(m1_crossvalid[[#This Row],[ds]]),DAY(m1_crossvalid[[#This Row],[ds]]))</f>
        <v>45705</v>
      </c>
      <c r="C49">
        <v>2482</v>
      </c>
      <c r="D49" s="1">
        <v>45705.333333333336</v>
      </c>
      <c r="E49">
        <v>2678.5645796463737</v>
      </c>
      <c r="F49">
        <v>-18.897671783035808</v>
      </c>
      <c r="G49">
        <v>5318.2168373957848</v>
      </c>
      <c r="H49" s="1">
        <v>45688.333333333336</v>
      </c>
    </row>
    <row r="50" spans="1:8" x14ac:dyDescent="0.25">
      <c r="A50" s="7">
        <f>DATE(YEAR(m1_crossvalid[[#This Row],[cutoff]]),MONTH(m1_crossvalid[[#This Row],[cutoff]]),DAY(m1_crossvalid[[#This Row],[cutoff]]))</f>
        <v>45688</v>
      </c>
      <c r="B50" s="7">
        <f>DATE(YEAR(m1_crossvalid[[#This Row],[ds]]),MONTH(m1_crossvalid[[#This Row],[ds]]),DAY(m1_crossvalid[[#This Row],[ds]]))</f>
        <v>45706</v>
      </c>
      <c r="C50">
        <v>2913</v>
      </c>
      <c r="D50" s="1">
        <v>45706.333333333336</v>
      </c>
      <c r="E50">
        <v>3261.9720165122299</v>
      </c>
      <c r="F50">
        <v>678.78709818224047</v>
      </c>
      <c r="G50">
        <v>6107.0697854058153</v>
      </c>
      <c r="H50" s="1">
        <v>45688.333333333336</v>
      </c>
    </row>
    <row r="51" spans="1:8" x14ac:dyDescent="0.25">
      <c r="A51" s="7">
        <f>DATE(YEAR(m1_crossvalid[[#This Row],[cutoff]]),MONTH(m1_crossvalid[[#This Row],[cutoff]]),DAY(m1_crossvalid[[#This Row],[cutoff]]))</f>
        <v>45688</v>
      </c>
      <c r="B51" s="7">
        <f>DATE(YEAR(m1_crossvalid[[#This Row],[ds]]),MONTH(m1_crossvalid[[#This Row],[ds]]),DAY(m1_crossvalid[[#This Row],[ds]]))</f>
        <v>45707</v>
      </c>
      <c r="C51">
        <v>3106</v>
      </c>
      <c r="D51" s="1">
        <v>45707.333333333336</v>
      </c>
      <c r="E51">
        <v>3212.6986463601588</v>
      </c>
      <c r="F51">
        <v>591.50840312188586</v>
      </c>
      <c r="G51">
        <v>5811.1078002262475</v>
      </c>
      <c r="H51" s="1">
        <v>45688.333333333336</v>
      </c>
    </row>
    <row r="52" spans="1:8" x14ac:dyDescent="0.25">
      <c r="A52" s="7">
        <f>DATE(YEAR(m1_crossvalid[[#This Row],[cutoff]]),MONTH(m1_crossvalid[[#This Row],[cutoff]]),DAY(m1_crossvalid[[#This Row],[cutoff]]))</f>
        <v>45688</v>
      </c>
      <c r="B52" s="7">
        <f>DATE(YEAR(m1_crossvalid[[#This Row],[ds]]),MONTH(m1_crossvalid[[#This Row],[ds]]),DAY(m1_crossvalid[[#This Row],[ds]]))</f>
        <v>45708</v>
      </c>
      <c r="C52">
        <v>3104</v>
      </c>
      <c r="D52" s="1">
        <v>45708.333333333336</v>
      </c>
      <c r="E52">
        <v>3237.2181617478109</v>
      </c>
      <c r="F52">
        <v>373.16276756722249</v>
      </c>
      <c r="G52">
        <v>5710.9573738487961</v>
      </c>
      <c r="H52" s="1">
        <v>45688.333333333336</v>
      </c>
    </row>
    <row r="53" spans="1:8" x14ac:dyDescent="0.25">
      <c r="A53" s="7">
        <f>DATE(YEAR(m1_crossvalid[[#This Row],[cutoff]]),MONTH(m1_crossvalid[[#This Row],[cutoff]]),DAY(m1_crossvalid[[#This Row],[cutoff]]))</f>
        <v>45688</v>
      </c>
      <c r="B53" s="7">
        <f>DATE(YEAR(m1_crossvalid[[#This Row],[ds]]),MONTH(m1_crossvalid[[#This Row],[ds]]),DAY(m1_crossvalid[[#This Row],[ds]]))</f>
        <v>45709</v>
      </c>
      <c r="C53">
        <v>3309</v>
      </c>
      <c r="D53" s="1">
        <v>45709.333333333336</v>
      </c>
      <c r="E53">
        <v>3183.5638651871445</v>
      </c>
      <c r="F53">
        <v>613.41350592227741</v>
      </c>
      <c r="G53">
        <v>5648.3165099259322</v>
      </c>
      <c r="H53" s="1">
        <v>45688.333333333336</v>
      </c>
    </row>
    <row r="54" spans="1:8" x14ac:dyDescent="0.25">
      <c r="A54" s="7">
        <f>DATE(YEAR(m1_crossvalid[[#This Row],[cutoff]]),MONTH(m1_crossvalid[[#This Row],[cutoff]]),DAY(m1_crossvalid[[#This Row],[cutoff]]))</f>
        <v>45688</v>
      </c>
      <c r="B54" s="7">
        <f>DATE(YEAR(m1_crossvalid[[#This Row],[ds]]),MONTH(m1_crossvalid[[#This Row],[ds]]),DAY(m1_crossvalid[[#This Row],[ds]]))</f>
        <v>45710</v>
      </c>
      <c r="C54">
        <v>732</v>
      </c>
      <c r="D54" s="1">
        <v>45710.333333333336</v>
      </c>
      <c r="E54">
        <v>1034.8967235310586</v>
      </c>
      <c r="F54">
        <v>-1662.0706283839634</v>
      </c>
      <c r="G54">
        <v>3513.2454989949274</v>
      </c>
      <c r="H54" s="1">
        <v>45688.333333333336</v>
      </c>
    </row>
    <row r="55" spans="1:8" x14ac:dyDescent="0.25">
      <c r="A55" s="7">
        <f>DATE(YEAR(m1_crossvalid[[#This Row],[cutoff]]),MONTH(m1_crossvalid[[#This Row],[cutoff]]),DAY(m1_crossvalid[[#This Row],[cutoff]]))</f>
        <v>45688</v>
      </c>
      <c r="B55" s="7">
        <f>DATE(YEAR(m1_crossvalid[[#This Row],[ds]]),MONTH(m1_crossvalid[[#This Row],[ds]]),DAY(m1_crossvalid[[#This Row],[ds]]))</f>
        <v>45711</v>
      </c>
      <c r="C55">
        <v>202</v>
      </c>
      <c r="D55" s="1">
        <v>45711.333333333336</v>
      </c>
      <c r="E55">
        <v>512.83320186117021</v>
      </c>
      <c r="F55">
        <v>-1974.4124116516675</v>
      </c>
      <c r="G55">
        <v>3111.631018103762</v>
      </c>
      <c r="H55" s="1">
        <v>45688.333333333336</v>
      </c>
    </row>
    <row r="56" spans="1:8" x14ac:dyDescent="0.25">
      <c r="A56" s="7">
        <f>DATE(YEAR(m1_crossvalid[[#This Row],[cutoff]]),MONTH(m1_crossvalid[[#This Row],[cutoff]]),DAY(m1_crossvalid[[#This Row],[cutoff]]))</f>
        <v>45688</v>
      </c>
      <c r="B56" s="7">
        <f>DATE(YEAR(m1_crossvalid[[#This Row],[ds]]),MONTH(m1_crossvalid[[#This Row],[ds]]),DAY(m1_crossvalid[[#This Row],[ds]]))</f>
        <v>45712</v>
      </c>
      <c r="C56">
        <v>3545</v>
      </c>
      <c r="D56" s="1">
        <v>45712.333333333336</v>
      </c>
      <c r="E56">
        <v>2819.5864348994146</v>
      </c>
      <c r="F56">
        <v>321.00387660694497</v>
      </c>
      <c r="G56">
        <v>5303.6347188128229</v>
      </c>
      <c r="H56" s="1">
        <v>45688.333333333336</v>
      </c>
    </row>
    <row r="57" spans="1:8" x14ac:dyDescent="0.25">
      <c r="A57" s="7">
        <f>DATE(YEAR(m1_crossvalid[[#This Row],[cutoff]]),MONTH(m1_crossvalid[[#This Row],[cutoff]]),DAY(m1_crossvalid[[#This Row],[cutoff]]))</f>
        <v>45688</v>
      </c>
      <c r="B57" s="7">
        <f>DATE(YEAR(m1_crossvalid[[#This Row],[ds]]),MONTH(m1_crossvalid[[#This Row],[ds]]),DAY(m1_crossvalid[[#This Row],[ds]]))</f>
        <v>45713</v>
      </c>
      <c r="C57">
        <v>4868</v>
      </c>
      <c r="D57" s="1">
        <v>45713.333333333336</v>
      </c>
      <c r="E57">
        <v>3415.196155266508</v>
      </c>
      <c r="F57">
        <v>853.97879923590835</v>
      </c>
      <c r="G57">
        <v>6061.1553100513165</v>
      </c>
      <c r="H57" s="1">
        <v>45688.333333333336</v>
      </c>
    </row>
    <row r="58" spans="1:8" x14ac:dyDescent="0.25">
      <c r="A58" s="7">
        <f>DATE(YEAR(m1_crossvalid[[#This Row],[cutoff]]),MONTH(m1_crossvalid[[#This Row],[cutoff]]),DAY(m1_crossvalid[[#This Row],[cutoff]]))</f>
        <v>45688</v>
      </c>
      <c r="B58" s="7">
        <f>DATE(YEAR(m1_crossvalid[[#This Row],[ds]]),MONTH(m1_crossvalid[[#This Row],[ds]]),DAY(m1_crossvalid[[#This Row],[ds]]))</f>
        <v>45714</v>
      </c>
      <c r="C58">
        <v>6187</v>
      </c>
      <c r="D58" s="1">
        <v>45714.333333333336</v>
      </c>
      <c r="E58">
        <v>3375.7690103531809</v>
      </c>
      <c r="F58">
        <v>812.39814547939136</v>
      </c>
      <c r="G58">
        <v>6006.9761797101819</v>
      </c>
      <c r="H58" s="1">
        <v>45688.333333333336</v>
      </c>
    </row>
    <row r="59" spans="1:8" x14ac:dyDescent="0.25">
      <c r="A59" s="7">
        <f>DATE(YEAR(m1_crossvalid[[#This Row],[cutoff]]),MONTH(m1_crossvalid[[#This Row],[cutoff]]),DAY(m1_crossvalid[[#This Row],[cutoff]]))</f>
        <v>45688</v>
      </c>
      <c r="B59" s="7">
        <f>DATE(YEAR(m1_crossvalid[[#This Row],[ds]]),MONTH(m1_crossvalid[[#This Row],[ds]]),DAY(m1_crossvalid[[#This Row],[ds]]))</f>
        <v>45715</v>
      </c>
      <c r="C59">
        <v>8082</v>
      </c>
      <c r="D59" s="1">
        <v>45715.333333333336</v>
      </c>
      <c r="E59">
        <v>3407.5247851660479</v>
      </c>
      <c r="F59">
        <v>819.66513593503714</v>
      </c>
      <c r="G59">
        <v>5913.0386993853326</v>
      </c>
      <c r="H59" s="1">
        <v>45688.333333333336</v>
      </c>
    </row>
    <row r="60" spans="1:8" x14ac:dyDescent="0.25">
      <c r="A60" s="7">
        <f>DATE(YEAR(m1_crossvalid[[#This Row],[cutoff]]),MONTH(m1_crossvalid[[#This Row],[cutoff]]),DAY(m1_crossvalid[[#This Row],[cutoff]]))</f>
        <v>45688</v>
      </c>
      <c r="B60" s="7">
        <f>DATE(YEAR(m1_crossvalid[[#This Row],[ds]]),MONTH(m1_crossvalid[[#This Row],[ds]]),DAY(m1_crossvalid[[#This Row],[ds]]))</f>
        <v>45716</v>
      </c>
      <c r="C60">
        <v>14838</v>
      </c>
      <c r="D60" s="1">
        <v>45716.333333333336</v>
      </c>
      <c r="E60">
        <v>3358.3276601664697</v>
      </c>
      <c r="F60">
        <v>740.97508207255237</v>
      </c>
      <c r="G60">
        <v>5909.0849172154476</v>
      </c>
      <c r="H60" s="1">
        <v>45688.333333333336</v>
      </c>
    </row>
    <row r="61" spans="1:8" x14ac:dyDescent="0.25">
      <c r="A61" s="7">
        <f>DATE(YEAR(m1_crossvalid[[#This Row],[cutoff]]),MONTH(m1_crossvalid[[#This Row],[cutoff]]),DAY(m1_crossvalid[[#This Row],[cutoff]]))</f>
        <v>45688</v>
      </c>
      <c r="B61" s="7">
        <f>DATE(YEAR(m1_crossvalid[[#This Row],[ds]]),MONTH(m1_crossvalid[[#This Row],[ds]]),DAY(m1_crossvalid[[#This Row],[ds]]))</f>
        <v>45717</v>
      </c>
      <c r="C61">
        <v>74</v>
      </c>
      <c r="D61" s="1">
        <v>45717.333333333336</v>
      </c>
      <c r="E61">
        <v>1211.2575305739099</v>
      </c>
      <c r="F61">
        <v>-1398.6587155143984</v>
      </c>
      <c r="G61">
        <v>3860.1324709916462</v>
      </c>
      <c r="H61" s="1">
        <v>45688.333333333336</v>
      </c>
    </row>
    <row r="62" spans="1:8" x14ac:dyDescent="0.25">
      <c r="A62" s="7">
        <f>DATE(YEAR(m1_crossvalid[[#This Row],[cutoff]]),MONTH(m1_crossvalid[[#This Row],[cutoff]]),DAY(m1_crossvalid[[#This Row],[cutoff]]))</f>
        <v>45688</v>
      </c>
      <c r="B62" s="7">
        <f>DATE(YEAR(m1_crossvalid[[#This Row],[ds]]),MONTH(m1_crossvalid[[#This Row],[ds]]),DAY(m1_crossvalid[[#This Row],[ds]]))</f>
        <v>45718</v>
      </c>
      <c r="C62">
        <v>27</v>
      </c>
      <c r="D62" s="1">
        <v>45718.333333333336</v>
      </c>
      <c r="E62">
        <v>687.93832630452471</v>
      </c>
      <c r="F62">
        <v>-1817.3216328272226</v>
      </c>
      <c r="G62">
        <v>3320.6938831532625</v>
      </c>
      <c r="H62" s="1">
        <v>45688.333333333336</v>
      </c>
    </row>
    <row r="63" spans="1:8" x14ac:dyDescent="0.25">
      <c r="A63" s="7">
        <f>DATE(YEAR(m1_crossvalid[[#This Row],[cutoff]]),MONTH(m1_crossvalid[[#This Row],[cutoff]]),DAY(m1_crossvalid[[#This Row],[cutoff]]))</f>
        <v>45688</v>
      </c>
      <c r="B63" s="7">
        <f>DATE(YEAR(m1_crossvalid[[#This Row],[ds]]),MONTH(m1_crossvalid[[#This Row],[ds]]),DAY(m1_crossvalid[[#This Row],[ds]]))</f>
        <v>45719</v>
      </c>
      <c r="C63">
        <v>378</v>
      </c>
      <c r="D63" s="1">
        <v>45719.333333333336</v>
      </c>
      <c r="E63">
        <v>2990.6769135679115</v>
      </c>
      <c r="F63">
        <v>415.03043211126948</v>
      </c>
      <c r="G63">
        <v>5432.6829430304369</v>
      </c>
      <c r="H63" s="1">
        <v>45688.333333333336</v>
      </c>
    </row>
    <row r="64" spans="1:8" x14ac:dyDescent="0.25">
      <c r="A64" s="7">
        <f>DATE(YEAR(m1_crossvalid[[#This Row],[cutoff]]),MONTH(m1_crossvalid[[#This Row],[cutoff]]),DAY(m1_crossvalid[[#This Row],[cutoff]]))</f>
        <v>45716</v>
      </c>
      <c r="B64" s="7">
        <f>DATE(YEAR(m1_crossvalid[[#This Row],[ds]]),MONTH(m1_crossvalid[[#This Row],[ds]]),DAY(m1_crossvalid[[#This Row],[ds]]))</f>
        <v>45717</v>
      </c>
      <c r="C64">
        <v>74</v>
      </c>
      <c r="D64" s="1">
        <v>45717.333333333336</v>
      </c>
      <c r="E64">
        <v>1569.8391385980235</v>
      </c>
      <c r="F64">
        <v>-1078.5138749080304</v>
      </c>
      <c r="G64">
        <v>4232.5646451016892</v>
      </c>
      <c r="H64" s="1">
        <v>45716.333333333336</v>
      </c>
    </row>
    <row r="65" spans="1:8" x14ac:dyDescent="0.25">
      <c r="A65" s="7">
        <f>DATE(YEAR(m1_crossvalid[[#This Row],[cutoff]]),MONTH(m1_crossvalid[[#This Row],[cutoff]]),DAY(m1_crossvalid[[#This Row],[cutoff]]))</f>
        <v>45716</v>
      </c>
      <c r="B65" s="7">
        <f>DATE(YEAR(m1_crossvalid[[#This Row],[ds]]),MONTH(m1_crossvalid[[#This Row],[ds]]),DAY(m1_crossvalid[[#This Row],[ds]]))</f>
        <v>45718</v>
      </c>
      <c r="C65">
        <v>27</v>
      </c>
      <c r="D65" s="1">
        <v>45718.333333333336</v>
      </c>
      <c r="E65">
        <v>1054.2806200016601</v>
      </c>
      <c r="F65">
        <v>-1675.4573918327562</v>
      </c>
      <c r="G65">
        <v>3789.364044581303</v>
      </c>
      <c r="H65" s="1">
        <v>45716.333333333336</v>
      </c>
    </row>
    <row r="66" spans="1:8" x14ac:dyDescent="0.25">
      <c r="A66" s="7">
        <f>DATE(YEAR(m1_crossvalid[[#This Row],[cutoff]]),MONTH(m1_crossvalid[[#This Row],[cutoff]]),DAY(m1_crossvalid[[#This Row],[cutoff]]))</f>
        <v>45716</v>
      </c>
      <c r="B66" s="7">
        <f>DATE(YEAR(m1_crossvalid[[#This Row],[ds]]),MONTH(m1_crossvalid[[#This Row],[ds]]),DAY(m1_crossvalid[[#This Row],[ds]]))</f>
        <v>45719</v>
      </c>
      <c r="C66">
        <v>378</v>
      </c>
      <c r="D66" s="1">
        <v>45719.333333333336</v>
      </c>
      <c r="E66">
        <v>3342.69515058055</v>
      </c>
      <c r="F66">
        <v>750.76273905638629</v>
      </c>
      <c r="G66">
        <v>5927.1804104625317</v>
      </c>
      <c r="H66" s="1">
        <v>45716.333333333336</v>
      </c>
    </row>
    <row r="67" spans="1:8" x14ac:dyDescent="0.25">
      <c r="A67" s="7">
        <f>DATE(YEAR(m1_crossvalid[[#This Row],[cutoff]]),MONTH(m1_crossvalid[[#This Row],[cutoff]]),DAY(m1_crossvalid[[#This Row],[cutoff]]))</f>
        <v>45716</v>
      </c>
      <c r="B67" s="7">
        <f>DATE(YEAR(m1_crossvalid[[#This Row],[ds]]),MONTH(m1_crossvalid[[#This Row],[ds]]),DAY(m1_crossvalid[[#This Row],[ds]]))</f>
        <v>45720</v>
      </c>
      <c r="C67">
        <v>666</v>
      </c>
      <c r="D67" s="1">
        <v>45720.333333333336</v>
      </c>
      <c r="E67">
        <v>3913.6247634955212</v>
      </c>
      <c r="F67">
        <v>1381.2028486815882</v>
      </c>
      <c r="G67">
        <v>6579.5019119254212</v>
      </c>
      <c r="H67" s="1">
        <v>45716.333333333336</v>
      </c>
    </row>
    <row r="68" spans="1:8" x14ac:dyDescent="0.25">
      <c r="A68" s="7">
        <f>DATE(YEAR(m1_crossvalid[[#This Row],[cutoff]]),MONTH(m1_crossvalid[[#This Row],[cutoff]]),DAY(m1_crossvalid[[#This Row],[cutoff]]))</f>
        <v>45716</v>
      </c>
      <c r="B68" s="7">
        <f>DATE(YEAR(m1_crossvalid[[#This Row],[ds]]),MONTH(m1_crossvalid[[#This Row],[ds]]),DAY(m1_crossvalid[[#This Row],[ds]]))</f>
        <v>45721</v>
      </c>
      <c r="C68">
        <v>793</v>
      </c>
      <c r="D68" s="1">
        <v>45721.333333333336</v>
      </c>
      <c r="E68">
        <v>3870.8737478311359</v>
      </c>
      <c r="F68">
        <v>1366.6547396823673</v>
      </c>
      <c r="G68">
        <v>6494.3672441399067</v>
      </c>
      <c r="H68" s="1">
        <v>45716.333333333336</v>
      </c>
    </row>
    <row r="69" spans="1:8" x14ac:dyDescent="0.25">
      <c r="A69" s="7">
        <f>DATE(YEAR(m1_crossvalid[[#This Row],[cutoff]]),MONTH(m1_crossvalid[[#This Row],[cutoff]]),DAY(m1_crossvalid[[#This Row],[cutoff]]))</f>
        <v>45716</v>
      </c>
      <c r="B69" s="7">
        <f>DATE(YEAR(m1_crossvalid[[#This Row],[ds]]),MONTH(m1_crossvalid[[#This Row],[ds]]),DAY(m1_crossvalid[[#This Row],[ds]]))</f>
        <v>45722</v>
      </c>
      <c r="C69">
        <v>1426</v>
      </c>
      <c r="D69" s="1">
        <v>45722.333333333336</v>
      </c>
      <c r="E69">
        <v>3887.0660433752628</v>
      </c>
      <c r="F69">
        <v>1180.2941538687394</v>
      </c>
      <c r="G69">
        <v>6473.6474135821936</v>
      </c>
      <c r="H69" s="1">
        <v>45716.333333333336</v>
      </c>
    </row>
    <row r="70" spans="1:8" x14ac:dyDescent="0.25">
      <c r="A70" s="7">
        <f>DATE(YEAR(m1_crossvalid[[#This Row],[cutoff]]),MONTH(m1_crossvalid[[#This Row],[cutoff]]),DAY(m1_crossvalid[[#This Row],[cutoff]]))</f>
        <v>45716</v>
      </c>
      <c r="B70" s="7">
        <f>DATE(YEAR(m1_crossvalid[[#This Row],[ds]]),MONTH(m1_crossvalid[[#This Row],[ds]]),DAY(m1_crossvalid[[#This Row],[ds]]))</f>
        <v>45723</v>
      </c>
      <c r="C70">
        <v>1674</v>
      </c>
      <c r="D70" s="1">
        <v>45723.333333333336</v>
      </c>
      <c r="E70">
        <v>3847.1147941849081</v>
      </c>
      <c r="F70">
        <v>1215.198497804181</v>
      </c>
      <c r="G70">
        <v>6503.3349571519975</v>
      </c>
      <c r="H70" s="1">
        <v>45716.333333333336</v>
      </c>
    </row>
    <row r="71" spans="1:8" x14ac:dyDescent="0.25">
      <c r="A71" s="7">
        <f>DATE(YEAR(m1_crossvalid[[#This Row],[cutoff]]),MONTH(m1_crossvalid[[#This Row],[cutoff]]),DAY(m1_crossvalid[[#This Row],[cutoff]]))</f>
        <v>45716</v>
      </c>
      <c r="B71" s="7">
        <f>DATE(YEAR(m1_crossvalid[[#This Row],[ds]]),MONTH(m1_crossvalid[[#This Row],[ds]]),DAY(m1_crossvalid[[#This Row],[ds]]))</f>
        <v>45724</v>
      </c>
      <c r="C71">
        <v>310</v>
      </c>
      <c r="D71" s="1">
        <v>45724.333333333336</v>
      </c>
      <c r="E71">
        <v>1592.9968217203395</v>
      </c>
      <c r="F71">
        <v>-1063.1244128230901</v>
      </c>
      <c r="G71">
        <v>4129.1884300140746</v>
      </c>
      <c r="H71" s="1">
        <v>45716.333333333336</v>
      </c>
    </row>
    <row r="72" spans="1:8" x14ac:dyDescent="0.25">
      <c r="A72" s="7">
        <f>DATE(YEAR(m1_crossvalid[[#This Row],[cutoff]]),MONTH(m1_crossvalid[[#This Row],[cutoff]]),DAY(m1_crossvalid[[#This Row],[cutoff]]))</f>
        <v>45716</v>
      </c>
      <c r="B72" s="7">
        <f>DATE(YEAR(m1_crossvalid[[#This Row],[ds]]),MONTH(m1_crossvalid[[#This Row],[ds]]),DAY(m1_crossvalid[[#This Row],[ds]]))</f>
        <v>45725</v>
      </c>
      <c r="C72">
        <v>109</v>
      </c>
      <c r="D72" s="1">
        <v>45725.333333333336</v>
      </c>
      <c r="E72">
        <v>1031.0518782491608</v>
      </c>
      <c r="F72">
        <v>-1511.1872610244561</v>
      </c>
      <c r="G72">
        <v>3663.7179162454122</v>
      </c>
      <c r="H72" s="1">
        <v>45716.333333333336</v>
      </c>
    </row>
    <row r="73" spans="1:8" x14ac:dyDescent="0.25">
      <c r="A73" s="7">
        <f>DATE(YEAR(m1_crossvalid[[#This Row],[cutoff]]),MONTH(m1_crossvalid[[#This Row],[cutoff]]),DAY(m1_crossvalid[[#This Row],[cutoff]]))</f>
        <v>45716</v>
      </c>
      <c r="B73" s="7">
        <f>DATE(YEAR(m1_crossvalid[[#This Row],[ds]]),MONTH(m1_crossvalid[[#This Row],[ds]]),DAY(m1_crossvalid[[#This Row],[ds]]))</f>
        <v>45726</v>
      </c>
      <c r="C73">
        <v>1900</v>
      </c>
      <c r="D73" s="1">
        <v>45726.333333333336</v>
      </c>
      <c r="E73">
        <v>3276.1651132015118</v>
      </c>
      <c r="F73">
        <v>736.37004053612122</v>
      </c>
      <c r="G73">
        <v>5698.3367313964227</v>
      </c>
      <c r="H73" s="1">
        <v>45716.333333333336</v>
      </c>
    </row>
    <row r="74" spans="1:8" x14ac:dyDescent="0.25">
      <c r="A74" s="7">
        <f>DATE(YEAR(m1_crossvalid[[#This Row],[cutoff]]),MONTH(m1_crossvalid[[#This Row],[cutoff]]),DAY(m1_crossvalid[[#This Row],[cutoff]]))</f>
        <v>45716</v>
      </c>
      <c r="B74" s="7">
        <f>DATE(YEAR(m1_crossvalid[[#This Row],[ds]]),MONTH(m1_crossvalid[[#This Row],[ds]]),DAY(m1_crossvalid[[#This Row],[ds]]))</f>
        <v>45727</v>
      </c>
      <c r="C74">
        <v>2294</v>
      </c>
      <c r="D74" s="1">
        <v>45727.333333333336</v>
      </c>
      <c r="E74">
        <v>3807.8263031666861</v>
      </c>
      <c r="F74">
        <v>1288.3090370862158</v>
      </c>
      <c r="G74">
        <v>6588.2771252333478</v>
      </c>
      <c r="H74" s="1">
        <v>45716.333333333336</v>
      </c>
    </row>
    <row r="75" spans="1:8" x14ac:dyDescent="0.25">
      <c r="A75" s="7">
        <f>DATE(YEAR(m1_crossvalid[[#This Row],[cutoff]]),MONTH(m1_crossvalid[[#This Row],[cutoff]]),DAY(m1_crossvalid[[#This Row],[cutoff]]))</f>
        <v>45716</v>
      </c>
      <c r="B75" s="7">
        <f>DATE(YEAR(m1_crossvalid[[#This Row],[ds]]),MONTH(m1_crossvalid[[#This Row],[ds]]),DAY(m1_crossvalid[[#This Row],[ds]]))</f>
        <v>45728</v>
      </c>
      <c r="C75">
        <v>2576</v>
      </c>
      <c r="D75" s="1">
        <v>45728.333333333336</v>
      </c>
      <c r="E75">
        <v>3730.6699000567505</v>
      </c>
      <c r="F75">
        <v>1075.2344879095554</v>
      </c>
      <c r="G75">
        <v>6314.8871520795728</v>
      </c>
      <c r="H75" s="1">
        <v>45716.333333333336</v>
      </c>
    </row>
    <row r="76" spans="1:8" x14ac:dyDescent="0.25">
      <c r="A76" s="7">
        <f>DATE(YEAR(m1_crossvalid[[#This Row],[cutoff]]),MONTH(m1_crossvalid[[#This Row],[cutoff]]),DAY(m1_crossvalid[[#This Row],[cutoff]]))</f>
        <v>45716</v>
      </c>
      <c r="B76" s="7">
        <f>DATE(YEAR(m1_crossvalid[[#This Row],[ds]]),MONTH(m1_crossvalid[[#This Row],[ds]]),DAY(m1_crossvalid[[#This Row],[ds]]))</f>
        <v>45729</v>
      </c>
      <c r="C76">
        <v>2235</v>
      </c>
      <c r="D76" s="1">
        <v>45729.333333333336</v>
      </c>
      <c r="E76">
        <v>3718.0102830574392</v>
      </c>
      <c r="F76">
        <v>1049.9754220726611</v>
      </c>
      <c r="G76">
        <v>6217.9461617907709</v>
      </c>
      <c r="H76" s="1">
        <v>45716.333333333336</v>
      </c>
    </row>
    <row r="77" spans="1:8" x14ac:dyDescent="0.25">
      <c r="A77" s="7">
        <f>DATE(YEAR(m1_crossvalid[[#This Row],[cutoff]]),MONTH(m1_crossvalid[[#This Row],[cutoff]]),DAY(m1_crossvalid[[#This Row],[cutoff]]))</f>
        <v>45716</v>
      </c>
      <c r="B77" s="7">
        <f>DATE(YEAR(m1_crossvalid[[#This Row],[ds]]),MONTH(m1_crossvalid[[#This Row],[ds]]),DAY(m1_crossvalid[[#This Row],[ds]]))</f>
        <v>45730</v>
      </c>
      <c r="C77">
        <v>3818</v>
      </c>
      <c r="D77" s="1">
        <v>45730.333333333336</v>
      </c>
      <c r="E77">
        <v>3655.2930917724543</v>
      </c>
      <c r="F77">
        <v>945.01173748818508</v>
      </c>
      <c r="G77">
        <v>6069.120394640252</v>
      </c>
      <c r="H77" s="1">
        <v>45716.333333333336</v>
      </c>
    </row>
    <row r="78" spans="1:8" x14ac:dyDescent="0.25">
      <c r="A78" s="7">
        <f>DATE(YEAR(m1_crossvalid[[#This Row],[cutoff]]),MONTH(m1_crossvalid[[#This Row],[cutoff]]),DAY(m1_crossvalid[[#This Row],[cutoff]]))</f>
        <v>45716</v>
      </c>
      <c r="B78" s="7">
        <f>DATE(YEAR(m1_crossvalid[[#This Row],[ds]]),MONTH(m1_crossvalid[[#This Row],[ds]]),DAY(m1_crossvalid[[#This Row],[ds]]))</f>
        <v>45731</v>
      </c>
      <c r="C78">
        <v>927</v>
      </c>
      <c r="D78" s="1">
        <v>45731.333333333336</v>
      </c>
      <c r="E78">
        <v>1384.855905870364</v>
      </c>
      <c r="F78">
        <v>-1017.7436268450289</v>
      </c>
      <c r="G78">
        <v>3840.2218366655707</v>
      </c>
      <c r="H78" s="1">
        <v>45716.333333333336</v>
      </c>
    </row>
    <row r="79" spans="1:8" x14ac:dyDescent="0.25">
      <c r="A79" s="7">
        <f>DATE(YEAR(m1_crossvalid[[#This Row],[cutoff]]),MONTH(m1_crossvalid[[#This Row],[cutoff]]),DAY(m1_crossvalid[[#This Row],[cutoff]]))</f>
        <v>45716</v>
      </c>
      <c r="B79" s="7">
        <f>DATE(YEAR(m1_crossvalid[[#This Row],[ds]]),MONTH(m1_crossvalid[[#This Row],[ds]]),DAY(m1_crossvalid[[#This Row],[ds]]))</f>
        <v>45732</v>
      </c>
      <c r="C79">
        <v>263</v>
      </c>
      <c r="D79" s="1">
        <v>45732.333333333336</v>
      </c>
      <c r="E79">
        <v>813.21851120550491</v>
      </c>
      <c r="F79">
        <v>-1682.2254893023996</v>
      </c>
      <c r="G79">
        <v>3284.3978968170559</v>
      </c>
      <c r="H79" s="1">
        <v>45716.333333333336</v>
      </c>
    </row>
    <row r="80" spans="1:8" x14ac:dyDescent="0.25">
      <c r="A80" s="7">
        <f>DATE(YEAR(m1_crossvalid[[#This Row],[cutoff]]),MONTH(m1_crossvalid[[#This Row],[cutoff]]),DAY(m1_crossvalid[[#This Row],[cutoff]]))</f>
        <v>45716</v>
      </c>
      <c r="B80" s="7">
        <f>DATE(YEAR(m1_crossvalid[[#This Row],[ds]]),MONTH(m1_crossvalid[[#This Row],[ds]]),DAY(m1_crossvalid[[#This Row],[ds]]))</f>
        <v>45733</v>
      </c>
      <c r="C80">
        <v>4812</v>
      </c>
      <c r="D80" s="1">
        <v>45733.333333333336</v>
      </c>
      <c r="E80">
        <v>3055.261428893341</v>
      </c>
      <c r="F80">
        <v>407.11472156022398</v>
      </c>
      <c r="G80">
        <v>5450.4923342549355</v>
      </c>
      <c r="H80" s="1">
        <v>45716.333333333336</v>
      </c>
    </row>
    <row r="81" spans="1:8" x14ac:dyDescent="0.25">
      <c r="A81" s="7">
        <f>DATE(YEAR(m1_crossvalid[[#This Row],[cutoff]]),MONTH(m1_crossvalid[[#This Row],[cutoff]]),DAY(m1_crossvalid[[#This Row],[cutoff]]))</f>
        <v>45716</v>
      </c>
      <c r="B81" s="7">
        <f>DATE(YEAR(m1_crossvalid[[#This Row],[ds]]),MONTH(m1_crossvalid[[#This Row],[ds]]),DAY(m1_crossvalid[[#This Row],[ds]]))</f>
        <v>45734</v>
      </c>
      <c r="C81">
        <v>1459</v>
      </c>
      <c r="D81" s="1">
        <v>45734.333333333336</v>
      </c>
      <c r="E81">
        <v>3590.2863589643603</v>
      </c>
      <c r="F81">
        <v>905.66873386283396</v>
      </c>
      <c r="G81">
        <v>6281.1725630619349</v>
      </c>
      <c r="H81" s="1">
        <v>45716.333333333336</v>
      </c>
    </row>
    <row r="82" spans="1:8" x14ac:dyDescent="0.25">
      <c r="A82" s="7">
        <f>DATE(YEAR(m1_crossvalid[[#This Row],[cutoff]]),MONTH(m1_crossvalid[[#This Row],[cutoff]]),DAY(m1_crossvalid[[#This Row],[cutoff]]))</f>
        <v>45716</v>
      </c>
      <c r="B82" s="7">
        <f>DATE(YEAR(m1_crossvalid[[#This Row],[ds]]),MONTH(m1_crossvalid[[#This Row],[ds]]),DAY(m1_crossvalid[[#This Row],[ds]]))</f>
        <v>45735</v>
      </c>
      <c r="C82">
        <v>3508</v>
      </c>
      <c r="D82" s="1">
        <v>45735.333333333336</v>
      </c>
      <c r="E82">
        <v>3522.5625495393942</v>
      </c>
      <c r="F82">
        <v>942.40823542955104</v>
      </c>
      <c r="G82">
        <v>6127.3496173355097</v>
      </c>
      <c r="H82" s="1">
        <v>45716.333333333336</v>
      </c>
    </row>
    <row r="83" spans="1:8" x14ac:dyDescent="0.25">
      <c r="A83" s="7">
        <f>DATE(YEAR(m1_crossvalid[[#This Row],[cutoff]]),MONTH(m1_crossvalid[[#This Row],[cutoff]]),DAY(m1_crossvalid[[#This Row],[cutoff]]))</f>
        <v>45716</v>
      </c>
      <c r="B83" s="7">
        <f>DATE(YEAR(m1_crossvalid[[#This Row],[ds]]),MONTH(m1_crossvalid[[#This Row],[ds]]),DAY(m1_crossvalid[[#This Row],[ds]]))</f>
        <v>45736</v>
      </c>
      <c r="C83">
        <v>3947</v>
      </c>
      <c r="D83" s="1">
        <v>45736.333333333336</v>
      </c>
      <c r="E83">
        <v>3524.8732896665051</v>
      </c>
      <c r="F83">
        <v>1128.4175436389944</v>
      </c>
      <c r="G83">
        <v>6076.8540792247832</v>
      </c>
      <c r="H83" s="1">
        <v>45716.333333333336</v>
      </c>
    </row>
    <row r="84" spans="1:8" x14ac:dyDescent="0.25">
      <c r="A84" s="7">
        <f>DATE(YEAR(m1_crossvalid[[#This Row],[cutoff]]),MONTH(m1_crossvalid[[#This Row],[cutoff]]),DAY(m1_crossvalid[[#This Row],[cutoff]]))</f>
        <v>45716</v>
      </c>
      <c r="B84" s="7">
        <f>DATE(YEAR(m1_crossvalid[[#This Row],[ds]]),MONTH(m1_crossvalid[[#This Row],[ds]]),DAY(m1_crossvalid[[#This Row],[ds]]))</f>
        <v>45737</v>
      </c>
      <c r="C84">
        <v>4280</v>
      </c>
      <c r="D84" s="1">
        <v>45737.333333333336</v>
      </c>
      <c r="E84">
        <v>3481.9830780017883</v>
      </c>
      <c r="F84">
        <v>963.50376366189857</v>
      </c>
      <c r="G84">
        <v>6051.2304689744942</v>
      </c>
      <c r="H84" s="1">
        <v>45716.333333333336</v>
      </c>
    </row>
    <row r="85" spans="1:8" x14ac:dyDescent="0.25">
      <c r="A85" s="7">
        <f>DATE(YEAR(m1_crossvalid[[#This Row],[cutoff]]),MONTH(m1_crossvalid[[#This Row],[cutoff]]),DAY(m1_crossvalid[[#This Row],[cutoff]]))</f>
        <v>45716</v>
      </c>
      <c r="B85" s="7">
        <f>DATE(YEAR(m1_crossvalid[[#This Row],[ds]]),MONTH(m1_crossvalid[[#This Row],[ds]]),DAY(m1_crossvalid[[#This Row],[ds]]))</f>
        <v>45738</v>
      </c>
      <c r="C85">
        <v>1076</v>
      </c>
      <c r="D85" s="1">
        <v>45738.333333333336</v>
      </c>
      <c r="E85">
        <v>1235.4182788136702</v>
      </c>
      <c r="F85">
        <v>-1401.7929318575593</v>
      </c>
      <c r="G85">
        <v>3588.2760876899611</v>
      </c>
      <c r="H85" s="1">
        <v>45716.333333333336</v>
      </c>
    </row>
    <row r="86" spans="1:8" x14ac:dyDescent="0.25">
      <c r="A86" s="7">
        <f>DATE(YEAR(m1_crossvalid[[#This Row],[cutoff]]),MONTH(m1_crossvalid[[#This Row],[cutoff]]),DAY(m1_crossvalid[[#This Row],[cutoff]]))</f>
        <v>45716</v>
      </c>
      <c r="B86" s="7">
        <f>DATE(YEAR(m1_crossvalid[[#This Row],[ds]]),MONTH(m1_crossvalid[[#This Row],[ds]]),DAY(m1_crossvalid[[#This Row],[ds]]))</f>
        <v>45739</v>
      </c>
      <c r="C86">
        <v>301</v>
      </c>
      <c r="D86" s="1">
        <v>45739.333333333336</v>
      </c>
      <c r="E86">
        <v>690.78093618102503</v>
      </c>
      <c r="F86">
        <v>-1844.5770409909519</v>
      </c>
      <c r="G86">
        <v>3345.3260157263271</v>
      </c>
      <c r="H86" s="1">
        <v>45716.333333333336</v>
      </c>
    </row>
    <row r="87" spans="1:8" x14ac:dyDescent="0.25">
      <c r="A87" s="7">
        <f>DATE(YEAR(m1_crossvalid[[#This Row],[cutoff]]),MONTH(m1_crossvalid[[#This Row],[cutoff]]),DAY(m1_crossvalid[[#This Row],[cutoff]]))</f>
        <v>45716</v>
      </c>
      <c r="B87" s="7">
        <f>DATE(YEAR(m1_crossvalid[[#This Row],[ds]]),MONTH(m1_crossvalid[[#This Row],[ds]]),DAY(m1_crossvalid[[#This Row],[ds]]))</f>
        <v>45740</v>
      </c>
      <c r="C87">
        <v>4292</v>
      </c>
      <c r="D87" s="1">
        <v>45740.333333333336</v>
      </c>
      <c r="E87">
        <v>2961.9537545494095</v>
      </c>
      <c r="F87">
        <v>449.34342273905497</v>
      </c>
      <c r="G87">
        <v>5642.6492121970841</v>
      </c>
      <c r="H87" s="1">
        <v>45716.333333333336</v>
      </c>
    </row>
    <row r="88" spans="1:8" x14ac:dyDescent="0.25">
      <c r="A88" s="7">
        <f>DATE(YEAR(m1_crossvalid[[#This Row],[cutoff]]),MONTH(m1_crossvalid[[#This Row],[cutoff]]),DAY(m1_crossvalid[[#This Row],[cutoff]]))</f>
        <v>45716</v>
      </c>
      <c r="B88" s="7">
        <f>DATE(YEAR(m1_crossvalid[[#This Row],[ds]]),MONTH(m1_crossvalid[[#This Row],[ds]]),DAY(m1_crossvalid[[#This Row],[ds]]))</f>
        <v>45741</v>
      </c>
      <c r="C88">
        <v>5571</v>
      </c>
      <c r="D88" s="1">
        <v>45741.333333333336</v>
      </c>
      <c r="E88">
        <v>3527.1891491829033</v>
      </c>
      <c r="F88">
        <v>795.66555593872806</v>
      </c>
      <c r="G88">
        <v>6289.5025392404286</v>
      </c>
      <c r="H88" s="1">
        <v>45716.333333333336</v>
      </c>
    </row>
    <row r="89" spans="1:8" x14ac:dyDescent="0.25">
      <c r="A89" s="7">
        <f>DATE(YEAR(m1_crossvalid[[#This Row],[cutoff]]),MONTH(m1_crossvalid[[#This Row],[cutoff]]),DAY(m1_crossvalid[[#This Row],[cutoff]]))</f>
        <v>45716</v>
      </c>
      <c r="B89" s="7">
        <f>DATE(YEAR(m1_crossvalid[[#This Row],[ds]]),MONTH(m1_crossvalid[[#This Row],[ds]]),DAY(m1_crossvalid[[#This Row],[ds]]))</f>
        <v>45742</v>
      </c>
      <c r="C89">
        <v>6352</v>
      </c>
      <c r="D89" s="1">
        <v>45742.333333333336</v>
      </c>
      <c r="E89">
        <v>3489.6855705646249</v>
      </c>
      <c r="F89">
        <v>914.09715853162186</v>
      </c>
      <c r="G89">
        <v>6165.8724223584541</v>
      </c>
      <c r="H89" s="1">
        <v>45716.333333333336</v>
      </c>
    </row>
    <row r="90" spans="1:8" x14ac:dyDescent="0.25">
      <c r="A90" s="7">
        <f>DATE(YEAR(m1_crossvalid[[#This Row],[cutoff]]),MONTH(m1_crossvalid[[#This Row],[cutoff]]),DAY(m1_crossvalid[[#This Row],[cutoff]]))</f>
        <v>45716</v>
      </c>
      <c r="B90" s="7">
        <f>DATE(YEAR(m1_crossvalid[[#This Row],[ds]]),MONTH(m1_crossvalid[[#This Row],[ds]]),DAY(m1_crossvalid[[#This Row],[ds]]))</f>
        <v>45743</v>
      </c>
      <c r="C90">
        <v>8836</v>
      </c>
      <c r="D90" s="1">
        <v>45743.333333333336</v>
      </c>
      <c r="E90">
        <v>3521.1644583872558</v>
      </c>
      <c r="F90">
        <v>837.56479333945526</v>
      </c>
      <c r="G90">
        <v>6138.3391619918802</v>
      </c>
      <c r="H90" s="1">
        <v>45716.333333333336</v>
      </c>
    </row>
    <row r="91" spans="1:8" x14ac:dyDescent="0.25">
      <c r="A91" s="7">
        <f>DATE(YEAR(m1_crossvalid[[#This Row],[cutoff]]),MONTH(m1_crossvalid[[#This Row],[cutoff]]),DAY(m1_crossvalid[[#This Row],[cutoff]]))</f>
        <v>45716</v>
      </c>
      <c r="B91" s="7">
        <f>DATE(YEAR(m1_crossvalid[[#This Row],[ds]]),MONTH(m1_crossvalid[[#This Row],[ds]]),DAY(m1_crossvalid[[#This Row],[ds]]))</f>
        <v>45744</v>
      </c>
      <c r="C91">
        <v>9717</v>
      </c>
      <c r="D91" s="1">
        <v>45744.333333333336</v>
      </c>
      <c r="E91">
        <v>3505.3675230065851</v>
      </c>
      <c r="F91">
        <v>716.55340525936333</v>
      </c>
      <c r="G91">
        <v>6119.1954964085762</v>
      </c>
      <c r="H91" s="1">
        <v>45716.333333333336</v>
      </c>
    </row>
    <row r="92" spans="1:8" x14ac:dyDescent="0.25">
      <c r="A92" s="7">
        <f>DATE(YEAR(m1_crossvalid[[#This Row],[cutoff]]),MONTH(m1_crossvalid[[#This Row],[cutoff]]),DAY(m1_crossvalid[[#This Row],[cutoff]]))</f>
        <v>45716</v>
      </c>
      <c r="B92" s="7">
        <f>DATE(YEAR(m1_crossvalid[[#This Row],[ds]]),MONTH(m1_crossvalid[[#This Row],[ds]]),DAY(m1_crossvalid[[#This Row],[ds]]))</f>
        <v>45745</v>
      </c>
      <c r="C92">
        <v>3249</v>
      </c>
      <c r="D92" s="1">
        <v>45745.333333333336</v>
      </c>
      <c r="E92">
        <v>1282.8663237825795</v>
      </c>
      <c r="F92">
        <v>-1265.4962699883172</v>
      </c>
      <c r="G92">
        <v>3764.9451056302155</v>
      </c>
      <c r="H92" s="1">
        <v>45716.333333333336</v>
      </c>
    </row>
    <row r="93" spans="1:8" x14ac:dyDescent="0.25">
      <c r="A93" s="7">
        <f>DATE(YEAR(m1_crossvalid[[#This Row],[cutoff]]),MONTH(m1_crossvalid[[#This Row],[cutoff]]),DAY(m1_crossvalid[[#This Row],[cutoff]]))</f>
        <v>45716</v>
      </c>
      <c r="B93" s="7">
        <f>DATE(YEAR(m1_crossvalid[[#This Row],[ds]]),MONTH(m1_crossvalid[[#This Row],[ds]]),DAY(m1_crossvalid[[#This Row],[ds]]))</f>
        <v>45746</v>
      </c>
      <c r="C93">
        <v>198</v>
      </c>
      <c r="D93" s="1">
        <v>45746.333333333336</v>
      </c>
      <c r="E93">
        <v>758.40300920356731</v>
      </c>
      <c r="F93">
        <v>-1723.8441735193612</v>
      </c>
      <c r="G93">
        <v>3366.8878439203918</v>
      </c>
      <c r="H93" s="1">
        <v>45716.333333333336</v>
      </c>
    </row>
    <row r="94" spans="1:8" x14ac:dyDescent="0.25">
      <c r="A94" s="7">
        <f>DATE(YEAR(m1_crossvalid[[#This Row],[cutoff]]),MONTH(m1_crossvalid[[#This Row],[cutoff]]),DAY(m1_crossvalid[[#This Row],[cutoff]]))</f>
        <v>45716</v>
      </c>
      <c r="B94" s="7">
        <f>DATE(YEAR(m1_crossvalid[[#This Row],[ds]]),MONTH(m1_crossvalid[[#This Row],[ds]]),DAY(m1_crossvalid[[#This Row],[ds]]))</f>
        <v>45747</v>
      </c>
      <c r="C94">
        <v>53</v>
      </c>
      <c r="D94" s="1">
        <v>45747.333333333336</v>
      </c>
      <c r="E94">
        <v>3045.1194796836899</v>
      </c>
      <c r="F94">
        <v>344.24258009067012</v>
      </c>
      <c r="G94">
        <v>5787.8970921442715</v>
      </c>
      <c r="H94" s="1">
        <v>45716.333333333336</v>
      </c>
    </row>
    <row r="95" spans="1:8" x14ac:dyDescent="0.25">
      <c r="A95" s="7">
        <f>DATE(YEAR(m1_crossvalid[[#This Row],[cutoff]]),MONTH(m1_crossvalid[[#This Row],[cutoff]]),DAY(m1_crossvalid[[#This Row],[cutoff]]))</f>
        <v>45747</v>
      </c>
      <c r="B95" s="7">
        <f>DATE(YEAR(m1_crossvalid[[#This Row],[ds]]),MONTH(m1_crossvalid[[#This Row],[ds]]),DAY(m1_crossvalid[[#This Row],[ds]]))</f>
        <v>45748</v>
      </c>
      <c r="C95">
        <v>2</v>
      </c>
      <c r="D95" s="1">
        <v>45748.333333333336</v>
      </c>
      <c r="E95">
        <v>3864.1781873521795</v>
      </c>
      <c r="F95">
        <v>1269.0178154426355</v>
      </c>
      <c r="G95">
        <v>6361.2875861298971</v>
      </c>
      <c r="H95" s="1">
        <v>45747.333333333336</v>
      </c>
    </row>
    <row r="96" spans="1:8" x14ac:dyDescent="0.25">
      <c r="A96" s="7">
        <f>DATE(YEAR(m1_crossvalid[[#This Row],[cutoff]]),MONTH(m1_crossvalid[[#This Row],[cutoff]]),DAY(m1_crossvalid[[#This Row],[cutoff]]))</f>
        <v>45747</v>
      </c>
      <c r="B96" s="7">
        <f>DATE(YEAR(m1_crossvalid[[#This Row],[ds]]),MONTH(m1_crossvalid[[#This Row],[ds]]),DAY(m1_crossvalid[[#This Row],[ds]]))</f>
        <v>45749</v>
      </c>
      <c r="C96">
        <v>105</v>
      </c>
      <c r="D96" s="1">
        <v>45749.333333333336</v>
      </c>
      <c r="E96">
        <v>3835.1241296221142</v>
      </c>
      <c r="F96">
        <v>1117.8207786686135</v>
      </c>
      <c r="G96">
        <v>6493.7955397581345</v>
      </c>
      <c r="H96" s="1">
        <v>45747.333333333336</v>
      </c>
    </row>
    <row r="97" spans="1:8" x14ac:dyDescent="0.25">
      <c r="A97" s="7">
        <f>DATE(YEAR(m1_crossvalid[[#This Row],[cutoff]]),MONTH(m1_crossvalid[[#This Row],[cutoff]]),DAY(m1_crossvalid[[#This Row],[cutoff]]))</f>
        <v>45747</v>
      </c>
      <c r="B97" s="7">
        <f>DATE(YEAR(m1_crossvalid[[#This Row],[ds]]),MONTH(m1_crossvalid[[#This Row],[ds]]),DAY(m1_crossvalid[[#This Row],[ds]]))</f>
        <v>45750</v>
      </c>
      <c r="C97">
        <v>284</v>
      </c>
      <c r="D97" s="1">
        <v>45750.333333333336</v>
      </c>
      <c r="E97">
        <v>3863.349209505629</v>
      </c>
      <c r="F97">
        <v>1231.4275080894836</v>
      </c>
      <c r="G97">
        <v>6518.9446815044266</v>
      </c>
      <c r="H97" s="1">
        <v>45747.333333333336</v>
      </c>
    </row>
    <row r="98" spans="1:8" x14ac:dyDescent="0.25">
      <c r="A98" s="7">
        <f>DATE(YEAR(m1_crossvalid[[#This Row],[cutoff]]),MONTH(m1_crossvalid[[#This Row],[cutoff]]),DAY(m1_crossvalid[[#This Row],[cutoff]]))</f>
        <v>45747</v>
      </c>
      <c r="B98" s="7">
        <f>DATE(YEAR(m1_crossvalid[[#This Row],[ds]]),MONTH(m1_crossvalid[[#This Row],[ds]]),DAY(m1_crossvalid[[#This Row],[ds]]))</f>
        <v>45751</v>
      </c>
      <c r="C98">
        <v>403</v>
      </c>
      <c r="D98" s="1">
        <v>45751.333333333336</v>
      </c>
      <c r="E98">
        <v>3835.4164188222767</v>
      </c>
      <c r="F98">
        <v>1057.0673562544121</v>
      </c>
      <c r="G98">
        <v>6403.6450371820411</v>
      </c>
      <c r="H98" s="1">
        <v>45747.333333333336</v>
      </c>
    </row>
    <row r="99" spans="1:8" x14ac:dyDescent="0.25">
      <c r="A99" s="7">
        <f>DATE(YEAR(m1_crossvalid[[#This Row],[cutoff]]),MONTH(m1_crossvalid[[#This Row],[cutoff]]),DAY(m1_crossvalid[[#This Row],[cutoff]]))</f>
        <v>45747</v>
      </c>
      <c r="B99" s="7">
        <f>DATE(YEAR(m1_crossvalid[[#This Row],[ds]]),MONTH(m1_crossvalid[[#This Row],[ds]]),DAY(m1_crossvalid[[#This Row],[ds]]))</f>
        <v>45752</v>
      </c>
      <c r="C99">
        <v>47</v>
      </c>
      <c r="D99" s="1">
        <v>45752.333333333336</v>
      </c>
      <c r="E99">
        <v>1534.7377186877079</v>
      </c>
      <c r="F99">
        <v>-965.36190064844629</v>
      </c>
      <c r="G99">
        <v>4263.164258800045</v>
      </c>
      <c r="H99" s="1">
        <v>45747.333333333336</v>
      </c>
    </row>
    <row r="100" spans="1:8" x14ac:dyDescent="0.25">
      <c r="A100" s="7">
        <f>DATE(YEAR(m1_crossvalid[[#This Row],[cutoff]]),MONTH(m1_crossvalid[[#This Row],[cutoff]]),DAY(m1_crossvalid[[#This Row],[cutoff]]))</f>
        <v>45747</v>
      </c>
      <c r="B100" s="7">
        <f>DATE(YEAR(m1_crossvalid[[#This Row],[ds]]),MONTH(m1_crossvalid[[#This Row],[ds]]),DAY(m1_crossvalid[[#This Row],[ds]]))</f>
        <v>45753</v>
      </c>
      <c r="C100">
        <v>11</v>
      </c>
      <c r="D100" s="1">
        <v>45753.333333333336</v>
      </c>
      <c r="E100">
        <v>949.41435761301886</v>
      </c>
      <c r="F100">
        <v>-1700.1613730510498</v>
      </c>
      <c r="G100">
        <v>3677.2355782943309</v>
      </c>
      <c r="H100" s="1">
        <v>45747.333333333336</v>
      </c>
    </row>
    <row r="101" spans="1:8" x14ac:dyDescent="0.25">
      <c r="A101" s="7">
        <f>DATE(YEAR(m1_crossvalid[[#This Row],[cutoff]]),MONTH(m1_crossvalid[[#This Row],[cutoff]]),DAY(m1_crossvalid[[#This Row],[cutoff]]))</f>
        <v>45747</v>
      </c>
      <c r="B101" s="7">
        <f>DATE(YEAR(m1_crossvalid[[#This Row],[ds]]),MONTH(m1_crossvalid[[#This Row],[ds]]),DAY(m1_crossvalid[[#This Row],[ds]]))</f>
        <v>45754</v>
      </c>
      <c r="C101">
        <v>477</v>
      </c>
      <c r="D101" s="1">
        <v>45754.333333333336</v>
      </c>
      <c r="E101">
        <v>3179.3983016308021</v>
      </c>
      <c r="F101">
        <v>396.83615038986642</v>
      </c>
      <c r="G101">
        <v>5837.4554390366029</v>
      </c>
      <c r="H101" s="1">
        <v>45747.333333333336</v>
      </c>
    </row>
    <row r="102" spans="1:8" x14ac:dyDescent="0.25">
      <c r="A102" s="7">
        <f>DATE(YEAR(m1_crossvalid[[#This Row],[cutoff]]),MONTH(m1_crossvalid[[#This Row],[cutoff]]),DAY(m1_crossvalid[[#This Row],[cutoff]]))</f>
        <v>45747</v>
      </c>
      <c r="B102" s="7">
        <f>DATE(YEAR(m1_crossvalid[[#This Row],[ds]]),MONTH(m1_crossvalid[[#This Row],[ds]]),DAY(m1_crossvalid[[#This Row],[ds]]))</f>
        <v>45755</v>
      </c>
      <c r="C102">
        <v>775</v>
      </c>
      <c r="D102" s="1">
        <v>45755.333333333336</v>
      </c>
      <c r="E102">
        <v>3694.0107841901204</v>
      </c>
      <c r="F102">
        <v>1082.6024945344027</v>
      </c>
      <c r="G102">
        <v>6463.5798280293593</v>
      </c>
      <c r="H102" s="1">
        <v>45747.333333333336</v>
      </c>
    </row>
    <row r="103" spans="1:8" x14ac:dyDescent="0.25">
      <c r="A103" s="7">
        <f>DATE(YEAR(m1_crossvalid[[#This Row],[cutoff]]),MONTH(m1_crossvalid[[#This Row],[cutoff]]),DAY(m1_crossvalid[[#This Row],[cutoff]]))</f>
        <v>45747</v>
      </c>
      <c r="B103" s="7">
        <f>DATE(YEAR(m1_crossvalid[[#This Row],[ds]]),MONTH(m1_crossvalid[[#This Row],[ds]]),DAY(m1_crossvalid[[#This Row],[ds]]))</f>
        <v>45756</v>
      </c>
      <c r="C103">
        <v>1016</v>
      </c>
      <c r="D103" s="1">
        <v>45756.333333333336</v>
      </c>
      <c r="E103">
        <v>3618.5688842041513</v>
      </c>
      <c r="F103">
        <v>930.03474549564521</v>
      </c>
      <c r="G103">
        <v>6048.2795321455906</v>
      </c>
      <c r="H103" s="1">
        <v>45747.333333333336</v>
      </c>
    </row>
    <row r="104" spans="1:8" x14ac:dyDescent="0.25">
      <c r="A104" s="7">
        <f>DATE(YEAR(m1_crossvalid[[#This Row],[cutoff]]),MONTH(m1_crossvalid[[#This Row],[cutoff]]),DAY(m1_crossvalid[[#This Row],[cutoff]]))</f>
        <v>45747</v>
      </c>
      <c r="B104" s="7">
        <f>DATE(YEAR(m1_crossvalid[[#This Row],[ds]]),MONTH(m1_crossvalid[[#This Row],[ds]]),DAY(m1_crossvalid[[#This Row],[ds]]))</f>
        <v>45757</v>
      </c>
      <c r="C104">
        <v>1422</v>
      </c>
      <c r="D104" s="1">
        <v>45757.333333333336</v>
      </c>
      <c r="E104">
        <v>3601.7818749891821</v>
      </c>
      <c r="F104">
        <v>816.98213671027509</v>
      </c>
      <c r="G104">
        <v>6258.9614884017401</v>
      </c>
      <c r="H104" s="1">
        <v>45747.333333333336</v>
      </c>
    </row>
    <row r="105" spans="1:8" x14ac:dyDescent="0.25">
      <c r="A105" s="7">
        <f>DATE(YEAR(m1_crossvalid[[#This Row],[cutoff]]),MONTH(m1_crossvalid[[#This Row],[cutoff]]),DAY(m1_crossvalid[[#This Row],[cutoff]]))</f>
        <v>45747</v>
      </c>
      <c r="B105" s="7">
        <f>DATE(YEAR(m1_crossvalid[[#This Row],[ds]]),MONTH(m1_crossvalid[[#This Row],[ds]]),DAY(m1_crossvalid[[#This Row],[ds]]))</f>
        <v>45758</v>
      </c>
      <c r="C105">
        <v>1565</v>
      </c>
      <c r="D105" s="1">
        <v>45758.333333333336</v>
      </c>
      <c r="E105">
        <v>3531.1985592506589</v>
      </c>
      <c r="F105">
        <v>1075.5118755506051</v>
      </c>
      <c r="G105">
        <v>5964.60452486127</v>
      </c>
      <c r="H105" s="1">
        <v>45747.333333333336</v>
      </c>
    </row>
    <row r="106" spans="1:8" x14ac:dyDescent="0.25">
      <c r="A106" s="7">
        <f>DATE(YEAR(m1_crossvalid[[#This Row],[cutoff]]),MONTH(m1_crossvalid[[#This Row],[cutoff]]),DAY(m1_crossvalid[[#This Row],[cutoff]]))</f>
        <v>45747</v>
      </c>
      <c r="B106" s="7">
        <f>DATE(YEAR(m1_crossvalid[[#This Row],[ds]]),MONTH(m1_crossvalid[[#This Row],[ds]]),DAY(m1_crossvalid[[#This Row],[ds]]))</f>
        <v>45759</v>
      </c>
      <c r="C106">
        <v>276</v>
      </c>
      <c r="D106" s="1">
        <v>45759.333333333336</v>
      </c>
      <c r="E106">
        <v>1191.1808628256983</v>
      </c>
      <c r="F106">
        <v>-1411.9978344997885</v>
      </c>
      <c r="G106">
        <v>3908.5717429554256</v>
      </c>
      <c r="H106" s="1">
        <v>45747.333333333336</v>
      </c>
    </row>
    <row r="107" spans="1:8" x14ac:dyDescent="0.25">
      <c r="A107" s="7">
        <f>DATE(YEAR(m1_crossvalid[[#This Row],[cutoff]]),MONTH(m1_crossvalid[[#This Row],[cutoff]]),DAY(m1_crossvalid[[#This Row],[cutoff]]))</f>
        <v>45747</v>
      </c>
      <c r="B107" s="7">
        <f>DATE(YEAR(m1_crossvalid[[#This Row],[ds]]),MONTH(m1_crossvalid[[#This Row],[ds]]),DAY(m1_crossvalid[[#This Row],[ds]]))</f>
        <v>45760</v>
      </c>
      <c r="C107">
        <v>55</v>
      </c>
      <c r="D107" s="1">
        <v>45760.333333333336</v>
      </c>
      <c r="E107">
        <v>570.71986157166452</v>
      </c>
      <c r="F107">
        <v>-2066.8466859787573</v>
      </c>
      <c r="G107">
        <v>3252.745049254554</v>
      </c>
      <c r="H107" s="1">
        <v>45747.333333333336</v>
      </c>
    </row>
    <row r="108" spans="1:8" x14ac:dyDescent="0.25">
      <c r="A108" s="7">
        <f>DATE(YEAR(m1_crossvalid[[#This Row],[cutoff]]),MONTH(m1_crossvalid[[#This Row],[cutoff]]),DAY(m1_crossvalid[[#This Row],[cutoff]]))</f>
        <v>45747</v>
      </c>
      <c r="B108" s="7">
        <f>DATE(YEAR(m1_crossvalid[[#This Row],[ds]]),MONTH(m1_crossvalid[[#This Row],[ds]]),DAY(m1_crossvalid[[#This Row],[ds]]))</f>
        <v>45761</v>
      </c>
      <c r="C108">
        <v>1634</v>
      </c>
      <c r="D108" s="1">
        <v>45761.333333333336</v>
      </c>
      <c r="E108">
        <v>2770.5743599499338</v>
      </c>
      <c r="F108">
        <v>150.25112222484256</v>
      </c>
      <c r="G108">
        <v>5460.3466090421789</v>
      </c>
      <c r="H108" s="1">
        <v>45747.333333333336</v>
      </c>
    </row>
    <row r="109" spans="1:8" x14ac:dyDescent="0.25">
      <c r="A109" s="7">
        <f>DATE(YEAR(m1_crossvalid[[#This Row],[cutoff]]),MONTH(m1_crossvalid[[#This Row],[cutoff]]),DAY(m1_crossvalid[[#This Row],[cutoff]]))</f>
        <v>45747</v>
      </c>
      <c r="B109" s="7">
        <f>DATE(YEAR(m1_crossvalid[[#This Row],[ds]]),MONTH(m1_crossvalid[[#This Row],[ds]]),DAY(m1_crossvalid[[#This Row],[ds]]))</f>
        <v>45762</v>
      </c>
      <c r="C109">
        <v>1965</v>
      </c>
      <c r="D109" s="1">
        <v>45762.333333333336</v>
      </c>
      <c r="E109">
        <v>3260.7686506625314</v>
      </c>
      <c r="F109">
        <v>596.61777093456294</v>
      </c>
      <c r="G109">
        <v>5831.2211488500734</v>
      </c>
      <c r="H109" s="1">
        <v>45747.333333333336</v>
      </c>
    </row>
    <row r="110" spans="1:8" x14ac:dyDescent="0.25">
      <c r="A110" s="7">
        <f>DATE(YEAR(m1_crossvalid[[#This Row],[cutoff]]),MONTH(m1_crossvalid[[#This Row],[cutoff]]),DAY(m1_crossvalid[[#This Row],[cutoff]]))</f>
        <v>45747</v>
      </c>
      <c r="B110" s="7">
        <f>DATE(YEAR(m1_crossvalid[[#This Row],[ds]]),MONTH(m1_crossvalid[[#This Row],[ds]]),DAY(m1_crossvalid[[#This Row],[ds]]))</f>
        <v>45763</v>
      </c>
      <c r="C110">
        <v>2361</v>
      </c>
      <c r="D110" s="1">
        <v>45763.333333333336</v>
      </c>
      <c r="E110">
        <v>3167.2009288694662</v>
      </c>
      <c r="F110">
        <v>537.94641574242212</v>
      </c>
      <c r="G110">
        <v>5815.4271964586187</v>
      </c>
      <c r="H110" s="1">
        <v>45747.333333333336</v>
      </c>
    </row>
    <row r="111" spans="1:8" x14ac:dyDescent="0.25">
      <c r="A111" s="7">
        <f>DATE(YEAR(m1_crossvalid[[#This Row],[cutoff]]),MONTH(m1_crossvalid[[#This Row],[cutoff]]),DAY(m1_crossvalid[[#This Row],[cutoff]]))</f>
        <v>45747</v>
      </c>
      <c r="B111" s="7">
        <f>DATE(YEAR(m1_crossvalid[[#This Row],[ds]]),MONTH(m1_crossvalid[[#This Row],[ds]]),DAY(m1_crossvalid[[#This Row],[ds]]))</f>
        <v>45764</v>
      </c>
      <c r="C111">
        <v>2761</v>
      </c>
      <c r="D111" s="1">
        <v>45764.333333333336</v>
      </c>
      <c r="E111">
        <v>3139.0245969330358</v>
      </c>
      <c r="F111">
        <v>478.8434315783835</v>
      </c>
      <c r="G111">
        <v>5661.303307883727</v>
      </c>
      <c r="H111" s="1">
        <v>45747.333333333336</v>
      </c>
    </row>
    <row r="112" spans="1:8" x14ac:dyDescent="0.25">
      <c r="A112" s="7">
        <f>DATE(YEAR(m1_crossvalid[[#This Row],[cutoff]]),MONTH(m1_crossvalid[[#This Row],[cutoff]]),DAY(m1_crossvalid[[#This Row],[cutoff]]))</f>
        <v>45747</v>
      </c>
      <c r="B112" s="7">
        <f>DATE(YEAR(m1_crossvalid[[#This Row],[ds]]),MONTH(m1_crossvalid[[#This Row],[ds]]),DAY(m1_crossvalid[[#This Row],[ds]]))</f>
        <v>45765</v>
      </c>
      <c r="C112">
        <v>2721</v>
      </c>
      <c r="D112" s="1">
        <v>45765.333333333336</v>
      </c>
      <c r="E112">
        <v>3064.0840823331391</v>
      </c>
      <c r="F112">
        <v>494.80413774285</v>
      </c>
      <c r="G112">
        <v>5737.3418842838946</v>
      </c>
      <c r="H112" s="1">
        <v>45747.333333333336</v>
      </c>
    </row>
    <row r="113" spans="1:8" x14ac:dyDescent="0.25">
      <c r="A113" s="7">
        <f>DATE(YEAR(m1_crossvalid[[#This Row],[cutoff]]),MONTH(m1_crossvalid[[#This Row],[cutoff]]),DAY(m1_crossvalid[[#This Row],[cutoff]]))</f>
        <v>45747</v>
      </c>
      <c r="B113" s="7">
        <f>DATE(YEAR(m1_crossvalid[[#This Row],[ds]]),MONTH(m1_crossvalid[[#This Row],[ds]]),DAY(m1_crossvalid[[#This Row],[ds]]))</f>
        <v>45766</v>
      </c>
      <c r="C113">
        <v>420</v>
      </c>
      <c r="D113" s="1">
        <v>45766.333333333336</v>
      </c>
      <c r="E113">
        <v>726.88075165278292</v>
      </c>
      <c r="F113">
        <v>-1967.0780040189302</v>
      </c>
      <c r="G113">
        <v>3259.6904217728579</v>
      </c>
      <c r="H113" s="1">
        <v>45747.333333333336</v>
      </c>
    </row>
    <row r="114" spans="1:8" x14ac:dyDescent="0.25">
      <c r="A114" s="7">
        <f>DATE(YEAR(m1_crossvalid[[#This Row],[cutoff]]),MONTH(m1_crossvalid[[#This Row],[cutoff]]),DAY(m1_crossvalid[[#This Row],[cutoff]]))</f>
        <v>45747</v>
      </c>
      <c r="B114" s="7">
        <f>DATE(YEAR(m1_crossvalid[[#This Row],[ds]]),MONTH(m1_crossvalid[[#This Row],[ds]]),DAY(m1_crossvalid[[#This Row],[ds]]))</f>
        <v>45767</v>
      </c>
      <c r="C114">
        <v>166</v>
      </c>
      <c r="D114" s="1">
        <v>45767.333333333336</v>
      </c>
      <c r="E114">
        <v>116.38529949883605</v>
      </c>
      <c r="F114">
        <v>-2386.0212663482253</v>
      </c>
      <c r="G114">
        <v>2840.6595081026517</v>
      </c>
      <c r="H114" s="1">
        <v>45747.333333333336</v>
      </c>
    </row>
    <row r="115" spans="1:8" x14ac:dyDescent="0.25">
      <c r="A115" s="7">
        <f>DATE(YEAR(m1_crossvalid[[#This Row],[cutoff]]),MONTH(m1_crossvalid[[#This Row],[cutoff]]),DAY(m1_crossvalid[[#This Row],[cutoff]]))</f>
        <v>45747</v>
      </c>
      <c r="B115" s="7">
        <f>DATE(YEAR(m1_crossvalid[[#This Row],[ds]]),MONTH(m1_crossvalid[[#This Row],[ds]]),DAY(m1_crossvalid[[#This Row],[ds]]))</f>
        <v>45768</v>
      </c>
      <c r="C115">
        <v>2715</v>
      </c>
      <c r="D115" s="1">
        <v>45768.333333333336</v>
      </c>
      <c r="E115">
        <v>2333.1768240117394</v>
      </c>
      <c r="F115">
        <v>-232.36567071900967</v>
      </c>
      <c r="G115">
        <v>4781.4623259576338</v>
      </c>
      <c r="H115" s="1">
        <v>45747.333333333336</v>
      </c>
    </row>
    <row r="116" spans="1:8" x14ac:dyDescent="0.25">
      <c r="A116" s="7">
        <f>DATE(YEAR(m1_crossvalid[[#This Row],[cutoff]]),MONTH(m1_crossvalid[[#This Row],[cutoff]]),DAY(m1_crossvalid[[#This Row],[cutoff]]))</f>
        <v>45747</v>
      </c>
      <c r="B116" s="7">
        <f>DATE(YEAR(m1_crossvalid[[#This Row],[ds]]),MONTH(m1_crossvalid[[#This Row],[ds]]),DAY(m1_crossvalid[[#This Row],[ds]]))</f>
        <v>45769</v>
      </c>
      <c r="C116">
        <v>3162</v>
      </c>
      <c r="D116" s="1">
        <v>45769.333333333336</v>
      </c>
      <c r="E116">
        <v>2846.9451976085916</v>
      </c>
      <c r="F116">
        <v>400.06178871752934</v>
      </c>
      <c r="G116">
        <v>5518.927386856587</v>
      </c>
      <c r="H116" s="1">
        <v>45747.333333333336</v>
      </c>
    </row>
    <row r="117" spans="1:8" x14ac:dyDescent="0.25">
      <c r="A117" s="7">
        <f>DATE(YEAR(m1_crossvalid[[#This Row],[cutoff]]),MONTH(m1_crossvalid[[#This Row],[cutoff]]),DAY(m1_crossvalid[[#This Row],[cutoff]]))</f>
        <v>45747</v>
      </c>
      <c r="B117" s="7">
        <f>DATE(YEAR(m1_crossvalid[[#This Row],[ds]]),MONTH(m1_crossvalid[[#This Row],[ds]]),DAY(m1_crossvalid[[#This Row],[ds]]))</f>
        <v>45770</v>
      </c>
      <c r="C117">
        <v>3604</v>
      </c>
      <c r="D117" s="1">
        <v>45770.333333333336</v>
      </c>
      <c r="E117">
        <v>2783.1080727290232</v>
      </c>
      <c r="F117">
        <v>263.94227247791605</v>
      </c>
      <c r="G117">
        <v>5481.723710337943</v>
      </c>
      <c r="H117" s="1">
        <v>45747.333333333336</v>
      </c>
    </row>
    <row r="118" spans="1:8" x14ac:dyDescent="0.25">
      <c r="A118" s="7">
        <f>DATE(YEAR(m1_crossvalid[[#This Row],[cutoff]]),MONTH(m1_crossvalid[[#This Row],[cutoff]]),DAY(m1_crossvalid[[#This Row],[cutoff]]))</f>
        <v>45747</v>
      </c>
      <c r="B118" s="7">
        <f>DATE(YEAR(m1_crossvalid[[#This Row],[ds]]),MONTH(m1_crossvalid[[#This Row],[ds]]),DAY(m1_crossvalid[[#This Row],[ds]]))</f>
        <v>45771</v>
      </c>
      <c r="C118">
        <v>3831</v>
      </c>
      <c r="D118" s="1">
        <v>45771.333333333336</v>
      </c>
      <c r="E118">
        <v>2790.2045157727398</v>
      </c>
      <c r="F118">
        <v>258.71761218644815</v>
      </c>
      <c r="G118">
        <v>5363.834417918707</v>
      </c>
      <c r="H118" s="1">
        <v>45747.333333333336</v>
      </c>
    </row>
    <row r="119" spans="1:8" x14ac:dyDescent="0.25">
      <c r="A119" s="7">
        <f>DATE(YEAR(m1_crossvalid[[#This Row],[cutoff]]),MONTH(m1_crossvalid[[#This Row],[cutoff]]),DAY(m1_crossvalid[[#This Row],[cutoff]]))</f>
        <v>45747</v>
      </c>
      <c r="B119" s="7">
        <f>DATE(YEAR(m1_crossvalid[[#This Row],[ds]]),MONTH(m1_crossvalid[[#This Row],[ds]]),DAY(m1_crossvalid[[#This Row],[ds]]))</f>
        <v>45772</v>
      </c>
      <c r="C119">
        <v>4600</v>
      </c>
      <c r="D119" s="1">
        <v>45772.333333333336</v>
      </c>
      <c r="E119">
        <v>2755.3465470974083</v>
      </c>
      <c r="F119">
        <v>29.419257287769412</v>
      </c>
      <c r="G119">
        <v>5390.9178495452397</v>
      </c>
      <c r="H119" s="1">
        <v>45747.333333333336</v>
      </c>
    </row>
    <row r="120" spans="1:8" x14ac:dyDescent="0.25">
      <c r="A120" s="7">
        <f>DATE(YEAR(m1_crossvalid[[#This Row],[cutoff]]),MONTH(m1_crossvalid[[#This Row],[cutoff]]),DAY(m1_crossvalid[[#This Row],[cutoff]]))</f>
        <v>45747</v>
      </c>
      <c r="B120" s="7">
        <f>DATE(YEAR(m1_crossvalid[[#This Row],[ds]]),MONTH(m1_crossvalid[[#This Row],[ds]]),DAY(m1_crossvalid[[#This Row],[ds]]))</f>
        <v>45773</v>
      </c>
      <c r="C120">
        <v>1014</v>
      </c>
      <c r="D120" s="1">
        <v>45773.333333333336</v>
      </c>
      <c r="E120">
        <v>462.20373319513192</v>
      </c>
      <c r="F120">
        <v>-2209.8573857091214</v>
      </c>
      <c r="G120">
        <v>3242.6572726102963</v>
      </c>
      <c r="H120" s="1">
        <v>45747.333333333336</v>
      </c>
    </row>
    <row r="121" spans="1:8" x14ac:dyDescent="0.25">
      <c r="A121" s="7">
        <f>DATE(YEAR(m1_crossvalid[[#This Row],[cutoff]]),MONTH(m1_crossvalid[[#This Row],[cutoff]]),DAY(m1_crossvalid[[#This Row],[cutoff]]))</f>
        <v>45747</v>
      </c>
      <c r="B121" s="7">
        <f>DATE(YEAR(m1_crossvalid[[#This Row],[ds]]),MONTH(m1_crossvalid[[#This Row],[ds]]),DAY(m1_crossvalid[[#This Row],[ds]]))</f>
        <v>45774</v>
      </c>
      <c r="C121">
        <v>198</v>
      </c>
      <c r="D121" s="1">
        <v>45774.333333333336</v>
      </c>
      <c r="E121">
        <v>-101.16330646887218</v>
      </c>
      <c r="F121">
        <v>-2678.772705410337</v>
      </c>
      <c r="G121">
        <v>2666.8916716188387</v>
      </c>
      <c r="H121" s="1">
        <v>45747.333333333336</v>
      </c>
    </row>
    <row r="122" spans="1:8" x14ac:dyDescent="0.25">
      <c r="A122" s="7">
        <f>DATE(YEAR(m1_crossvalid[[#This Row],[cutoff]]),MONTH(m1_crossvalid[[#This Row],[cutoff]]),DAY(m1_crossvalid[[#This Row],[cutoff]]))</f>
        <v>45747</v>
      </c>
      <c r="B122" s="7">
        <f>DATE(YEAR(m1_crossvalid[[#This Row],[ds]]),MONTH(m1_crossvalid[[#This Row],[ds]]),DAY(m1_crossvalid[[#This Row],[ds]]))</f>
        <v>45775</v>
      </c>
      <c r="C122">
        <v>5133</v>
      </c>
      <c r="D122" s="1">
        <v>45775.333333333336</v>
      </c>
      <c r="E122">
        <v>2164.8591525891097</v>
      </c>
      <c r="F122">
        <v>-670.18655918929778</v>
      </c>
      <c r="G122">
        <v>4801.871020466725</v>
      </c>
      <c r="H122" s="1">
        <v>45747.333333333336</v>
      </c>
    </row>
    <row r="123" spans="1:8" x14ac:dyDescent="0.25">
      <c r="A123" s="7">
        <f>DATE(YEAR(m1_crossvalid[[#This Row],[cutoff]]),MONTH(m1_crossvalid[[#This Row],[cutoff]]),DAY(m1_crossvalid[[#This Row],[cutoff]]))</f>
        <v>45747</v>
      </c>
      <c r="B123" s="7">
        <f>DATE(YEAR(m1_crossvalid[[#This Row],[ds]]),MONTH(m1_crossvalid[[#This Row],[ds]]),DAY(m1_crossvalid[[#This Row],[ds]]))</f>
        <v>45776</v>
      </c>
      <c r="C123">
        <v>7913</v>
      </c>
      <c r="D123" s="1">
        <v>45776.333333333336</v>
      </c>
      <c r="E123">
        <v>2728.9645162660622</v>
      </c>
      <c r="F123">
        <v>219.93057925732188</v>
      </c>
      <c r="G123">
        <v>5339.4028570192404</v>
      </c>
      <c r="H123" s="1">
        <v>45747.333333333336</v>
      </c>
    </row>
    <row r="124" spans="1:8" x14ac:dyDescent="0.25">
      <c r="A124" s="7">
        <f>DATE(YEAR(m1_crossvalid[[#This Row],[cutoff]]),MONTH(m1_crossvalid[[#This Row],[cutoff]]),DAY(m1_crossvalid[[#This Row],[cutoff]]))</f>
        <v>45747</v>
      </c>
      <c r="B124" s="7">
        <f>DATE(YEAR(m1_crossvalid[[#This Row],[ds]]),MONTH(m1_crossvalid[[#This Row],[ds]]),DAY(m1_crossvalid[[#This Row],[ds]]))</f>
        <v>45777</v>
      </c>
      <c r="C124">
        <v>14564</v>
      </c>
      <c r="D124" s="1">
        <v>45777.333333333336</v>
      </c>
      <c r="E124">
        <v>2715.567652592129</v>
      </c>
      <c r="F124">
        <v>140.817573403826</v>
      </c>
      <c r="G124">
        <v>5328.6639705265297</v>
      </c>
      <c r="H124" s="1">
        <v>45747.333333333336</v>
      </c>
    </row>
    <row r="125" spans="1:8" x14ac:dyDescent="0.25">
      <c r="A125" s="7">
        <f>DATE(YEAR(m1_crossvalid[[#This Row],[cutoff]]),MONTH(m1_crossvalid[[#This Row],[cutoff]]),DAY(m1_crossvalid[[#This Row],[cutoff]]))</f>
        <v>45747</v>
      </c>
      <c r="B125" s="7">
        <f>DATE(YEAR(m1_crossvalid[[#This Row],[ds]]),MONTH(m1_crossvalid[[#This Row],[ds]]),DAY(m1_crossvalid[[#This Row],[ds]]))</f>
        <v>45778</v>
      </c>
      <c r="C125">
        <v>24</v>
      </c>
      <c r="D125" s="1">
        <v>45778.333333333336</v>
      </c>
      <c r="E125">
        <v>2772.2231981166406</v>
      </c>
      <c r="F125">
        <v>129.75377212584311</v>
      </c>
      <c r="G125">
        <v>5343.4821222155642</v>
      </c>
      <c r="H125" s="1">
        <v>45747.333333333336</v>
      </c>
    </row>
    <row r="126" spans="1:8" x14ac:dyDescent="0.25">
      <c r="A126" s="7">
        <f>DATE(YEAR(m1_crossvalid[[#This Row],[cutoff]]),MONTH(m1_crossvalid[[#This Row],[cutoff]]),DAY(m1_crossvalid[[#This Row],[cutoff]]))</f>
        <v>45777</v>
      </c>
      <c r="B126" s="7">
        <f>DATE(YEAR(m1_crossvalid[[#This Row],[ds]]),MONTH(m1_crossvalid[[#This Row],[ds]]),DAY(m1_crossvalid[[#This Row],[ds]]))</f>
        <v>45778</v>
      </c>
      <c r="C126">
        <v>24</v>
      </c>
      <c r="D126" s="1">
        <v>45778.333333333336</v>
      </c>
      <c r="E126">
        <v>3228.6649225975134</v>
      </c>
      <c r="F126">
        <v>624.67183175900357</v>
      </c>
      <c r="G126">
        <v>5918.7494676391289</v>
      </c>
      <c r="H126" s="1">
        <v>45777.333333333336</v>
      </c>
    </row>
    <row r="127" spans="1:8" x14ac:dyDescent="0.25">
      <c r="A127" s="7">
        <f>DATE(YEAR(m1_crossvalid[[#This Row],[cutoff]]),MONTH(m1_crossvalid[[#This Row],[cutoff]]),DAY(m1_crossvalid[[#This Row],[cutoff]]))</f>
        <v>45777</v>
      </c>
      <c r="B127" s="7">
        <f>DATE(YEAR(m1_crossvalid[[#This Row],[ds]]),MONTH(m1_crossvalid[[#This Row],[ds]]),DAY(m1_crossvalid[[#This Row],[ds]]))</f>
        <v>45779</v>
      </c>
      <c r="C127">
        <v>750</v>
      </c>
      <c r="D127" s="1">
        <v>45779.333333333336</v>
      </c>
      <c r="E127">
        <v>3240.4839187408352</v>
      </c>
      <c r="F127">
        <v>757.11584087741085</v>
      </c>
      <c r="G127">
        <v>5625.1061491380842</v>
      </c>
      <c r="H127" s="1">
        <v>45777.333333333336</v>
      </c>
    </row>
    <row r="128" spans="1:8" x14ac:dyDescent="0.25">
      <c r="A128" s="7">
        <f>DATE(YEAR(m1_crossvalid[[#This Row],[cutoff]]),MONTH(m1_crossvalid[[#This Row],[cutoff]]),DAY(m1_crossvalid[[#This Row],[cutoff]]))</f>
        <v>45777</v>
      </c>
      <c r="B128" s="7">
        <f>DATE(YEAR(m1_crossvalid[[#This Row],[ds]]),MONTH(m1_crossvalid[[#This Row],[ds]]),DAY(m1_crossvalid[[#This Row],[ds]]))</f>
        <v>45780</v>
      </c>
      <c r="C128">
        <v>70</v>
      </c>
      <c r="D128" s="1">
        <v>45780.333333333336</v>
      </c>
      <c r="E128">
        <v>986.32115786701411</v>
      </c>
      <c r="F128">
        <v>-1787.2462763182866</v>
      </c>
      <c r="G128">
        <v>3617.7667194297137</v>
      </c>
      <c r="H128" s="1">
        <v>45777.333333333336</v>
      </c>
    </row>
    <row r="129" spans="1:8" x14ac:dyDescent="0.25">
      <c r="A129" s="7">
        <f>DATE(YEAR(m1_crossvalid[[#This Row],[cutoff]]),MONTH(m1_crossvalid[[#This Row],[cutoff]]),DAY(m1_crossvalid[[#This Row],[cutoff]]))</f>
        <v>45777</v>
      </c>
      <c r="B129" s="7">
        <f>DATE(YEAR(m1_crossvalid[[#This Row],[ds]]),MONTH(m1_crossvalid[[#This Row],[ds]]),DAY(m1_crossvalid[[#This Row],[ds]]))</f>
        <v>45781</v>
      </c>
      <c r="C129">
        <v>31</v>
      </c>
      <c r="D129" s="1">
        <v>45781.333333333336</v>
      </c>
      <c r="E129">
        <v>451.77314320730466</v>
      </c>
      <c r="F129">
        <v>-2146.9973576702942</v>
      </c>
      <c r="G129">
        <v>3080.3877497678136</v>
      </c>
      <c r="H129" s="1">
        <v>45777.333333333336</v>
      </c>
    </row>
    <row r="130" spans="1:8" x14ac:dyDescent="0.25">
      <c r="A130" s="7">
        <f>DATE(YEAR(m1_crossvalid[[#This Row],[cutoff]]),MONTH(m1_crossvalid[[#This Row],[cutoff]]),DAY(m1_crossvalid[[#This Row],[cutoff]]))</f>
        <v>45777</v>
      </c>
      <c r="B130" s="7">
        <f>DATE(YEAR(m1_crossvalid[[#This Row],[ds]]),MONTH(m1_crossvalid[[#This Row],[ds]]),DAY(m1_crossvalid[[#This Row],[ds]]))</f>
        <v>45782</v>
      </c>
      <c r="C130">
        <v>1026</v>
      </c>
      <c r="D130" s="1">
        <v>45782.333333333336</v>
      </c>
      <c r="E130">
        <v>2732.2578321227184</v>
      </c>
      <c r="F130">
        <v>109.32335724125724</v>
      </c>
      <c r="G130">
        <v>5395.8075485629433</v>
      </c>
      <c r="H130" s="1">
        <v>45777.333333333336</v>
      </c>
    </row>
    <row r="131" spans="1:8" x14ac:dyDescent="0.25">
      <c r="A131" s="7">
        <f>DATE(YEAR(m1_crossvalid[[#This Row],[cutoff]]),MONTH(m1_crossvalid[[#This Row],[cutoff]]),DAY(m1_crossvalid[[#This Row],[cutoff]]))</f>
        <v>45777</v>
      </c>
      <c r="B131" s="7">
        <f>DATE(YEAR(m1_crossvalid[[#This Row],[ds]]),MONTH(m1_crossvalid[[#This Row],[ds]]),DAY(m1_crossvalid[[#This Row],[ds]]))</f>
        <v>45783</v>
      </c>
      <c r="C131">
        <v>940</v>
      </c>
      <c r="D131" s="1">
        <v>45783.333333333336</v>
      </c>
      <c r="E131">
        <v>3283.4156997125792</v>
      </c>
      <c r="F131">
        <v>759.45047126517193</v>
      </c>
      <c r="G131">
        <v>5884.0657029096856</v>
      </c>
      <c r="H131" s="1">
        <v>45777.333333333336</v>
      </c>
    </row>
    <row r="132" spans="1:8" x14ac:dyDescent="0.25">
      <c r="A132" s="7">
        <f>DATE(YEAR(m1_crossvalid[[#This Row],[cutoff]]),MONTH(m1_crossvalid[[#This Row],[cutoff]]),DAY(m1_crossvalid[[#This Row],[cutoff]]))</f>
        <v>45777</v>
      </c>
      <c r="B132" s="7">
        <f>DATE(YEAR(m1_crossvalid[[#This Row],[ds]]),MONTH(m1_crossvalid[[#This Row],[ds]]),DAY(m1_crossvalid[[#This Row],[ds]]))</f>
        <v>45784</v>
      </c>
      <c r="C132">
        <v>1225</v>
      </c>
      <c r="D132" s="1">
        <v>45784.333333333336</v>
      </c>
      <c r="E132">
        <v>3301.9680302395077</v>
      </c>
      <c r="F132">
        <v>574.31063675037751</v>
      </c>
      <c r="G132">
        <v>5833.7399348630788</v>
      </c>
      <c r="H132" s="1">
        <v>45777.333333333336</v>
      </c>
    </row>
    <row r="133" spans="1:8" x14ac:dyDescent="0.25">
      <c r="A133" s="7">
        <f>DATE(YEAR(m1_crossvalid[[#This Row],[cutoff]]),MONTH(m1_crossvalid[[#This Row],[cutoff]]),DAY(m1_crossvalid[[#This Row],[cutoff]]))</f>
        <v>45777</v>
      </c>
      <c r="B133" s="7">
        <f>DATE(YEAR(m1_crossvalid[[#This Row],[ds]]),MONTH(m1_crossvalid[[#This Row],[ds]]),DAY(m1_crossvalid[[#This Row],[ds]]))</f>
        <v>45785</v>
      </c>
      <c r="C133">
        <v>1538</v>
      </c>
      <c r="D133" s="1">
        <v>45785.333333333336</v>
      </c>
      <c r="E133">
        <v>3283.9328716747477</v>
      </c>
      <c r="F133">
        <v>525.65969713328332</v>
      </c>
      <c r="G133">
        <v>5918.3677227159551</v>
      </c>
      <c r="H133" s="1">
        <v>45777.333333333336</v>
      </c>
    </row>
    <row r="134" spans="1:8" x14ac:dyDescent="0.25">
      <c r="A134" s="7">
        <f>DATE(YEAR(m1_crossvalid[[#This Row],[cutoff]]),MONTH(m1_crossvalid[[#This Row],[cutoff]]),DAY(m1_crossvalid[[#This Row],[cutoff]]))</f>
        <v>45777</v>
      </c>
      <c r="B134" s="7">
        <f>DATE(YEAR(m1_crossvalid[[#This Row],[ds]]),MONTH(m1_crossvalid[[#This Row],[ds]]),DAY(m1_crossvalid[[#This Row],[ds]]))</f>
        <v>45786</v>
      </c>
      <c r="C134">
        <v>1799</v>
      </c>
      <c r="D134" s="1">
        <v>45786.333333333336</v>
      </c>
      <c r="E134">
        <v>3276.8809034291216</v>
      </c>
      <c r="F134">
        <v>622.42494359349212</v>
      </c>
      <c r="G134">
        <v>6124.1504351023677</v>
      </c>
      <c r="H134" s="1">
        <v>45777.333333333336</v>
      </c>
    </row>
    <row r="135" spans="1:8" x14ac:dyDescent="0.25">
      <c r="A135" s="7">
        <f>DATE(YEAR(m1_crossvalid[[#This Row],[cutoff]]),MONTH(m1_crossvalid[[#This Row],[cutoff]]),DAY(m1_crossvalid[[#This Row],[cutoff]]))</f>
        <v>45777</v>
      </c>
      <c r="B135" s="7">
        <f>DATE(YEAR(m1_crossvalid[[#This Row],[ds]]),MONTH(m1_crossvalid[[#This Row],[ds]]),DAY(m1_crossvalid[[#This Row],[ds]]))</f>
        <v>45787</v>
      </c>
      <c r="C135">
        <v>415</v>
      </c>
      <c r="D135" s="1">
        <v>45787.333333333336</v>
      </c>
      <c r="E135">
        <v>1003.7775062587093</v>
      </c>
      <c r="F135">
        <v>-1781.2421127474963</v>
      </c>
      <c r="G135">
        <v>3487.4851203243234</v>
      </c>
      <c r="H135" s="1">
        <v>45777.333333333336</v>
      </c>
    </row>
    <row r="136" spans="1:8" x14ac:dyDescent="0.25">
      <c r="A136" s="7">
        <f>DATE(YEAR(m1_crossvalid[[#This Row],[cutoff]]),MONTH(m1_crossvalid[[#This Row],[cutoff]]),DAY(m1_crossvalid[[#This Row],[cutoff]]))</f>
        <v>45777</v>
      </c>
      <c r="B136" s="7">
        <f>DATE(YEAR(m1_crossvalid[[#This Row],[ds]]),MONTH(m1_crossvalid[[#This Row],[ds]]),DAY(m1_crossvalid[[#This Row],[ds]]))</f>
        <v>45788</v>
      </c>
      <c r="C136">
        <v>169</v>
      </c>
      <c r="D136" s="1">
        <v>45788.333333333336</v>
      </c>
      <c r="E136">
        <v>450.77915554937317</v>
      </c>
      <c r="F136">
        <v>-2207.3205778498491</v>
      </c>
      <c r="G136">
        <v>3052.2582720690029</v>
      </c>
      <c r="H136" s="1">
        <v>45777.333333333336</v>
      </c>
    </row>
    <row r="137" spans="1:8" x14ac:dyDescent="0.25">
      <c r="A137" s="7">
        <f>DATE(YEAR(m1_crossvalid[[#This Row],[cutoff]]),MONTH(m1_crossvalid[[#This Row],[cutoff]]),DAY(m1_crossvalid[[#This Row],[cutoff]]))</f>
        <v>45777</v>
      </c>
      <c r="B137" s="7">
        <f>DATE(YEAR(m1_crossvalid[[#This Row],[ds]]),MONTH(m1_crossvalid[[#This Row],[ds]]),DAY(m1_crossvalid[[#This Row],[ds]]))</f>
        <v>45789</v>
      </c>
      <c r="C137">
        <v>185</v>
      </c>
      <c r="D137" s="1">
        <v>45789.333333333336</v>
      </c>
      <c r="E137">
        <v>2713.8487411360202</v>
      </c>
      <c r="F137">
        <v>58.775368328614341</v>
      </c>
      <c r="G137">
        <v>5277.3237473551317</v>
      </c>
      <c r="H137" s="1">
        <v>45777.333333333336</v>
      </c>
    </row>
    <row r="138" spans="1:8" x14ac:dyDescent="0.25">
      <c r="A138" s="7">
        <f>DATE(YEAR(m1_crossvalid[[#This Row],[cutoff]]),MONTH(m1_crossvalid[[#This Row],[cutoff]]),DAY(m1_crossvalid[[#This Row],[cutoff]]))</f>
        <v>45777</v>
      </c>
      <c r="B138" s="7">
        <f>DATE(YEAR(m1_crossvalid[[#This Row],[ds]]),MONTH(m1_crossvalid[[#This Row],[ds]]),DAY(m1_crossvalid[[#This Row],[ds]]))</f>
        <v>45790</v>
      </c>
      <c r="C138">
        <v>2011</v>
      </c>
      <c r="D138" s="1">
        <v>45790.333333333336</v>
      </c>
      <c r="E138">
        <v>3249.1417212650663</v>
      </c>
      <c r="F138">
        <v>621.86892247199432</v>
      </c>
      <c r="G138">
        <v>5896.9802305652383</v>
      </c>
      <c r="H138" s="1">
        <v>45777.333333333336</v>
      </c>
    </row>
    <row r="139" spans="1:8" x14ac:dyDescent="0.25">
      <c r="A139" s="7">
        <f>DATE(YEAR(m1_crossvalid[[#This Row],[cutoff]]),MONTH(m1_crossvalid[[#This Row],[cutoff]]),DAY(m1_crossvalid[[#This Row],[cutoff]]))</f>
        <v>45777</v>
      </c>
      <c r="B139" s="7">
        <f>DATE(YEAR(m1_crossvalid[[#This Row],[ds]]),MONTH(m1_crossvalid[[#This Row],[ds]]),DAY(m1_crossvalid[[#This Row],[ds]]))</f>
        <v>45791</v>
      </c>
      <c r="C139">
        <v>2630</v>
      </c>
      <c r="D139" s="1">
        <v>45791.333333333336</v>
      </c>
      <c r="E139">
        <v>3253.8501789617649</v>
      </c>
      <c r="F139">
        <v>678.84904171580229</v>
      </c>
      <c r="G139">
        <v>5907.0202976349074</v>
      </c>
      <c r="H139" s="1">
        <v>45777.333333333336</v>
      </c>
    </row>
    <row r="140" spans="1:8" x14ac:dyDescent="0.25">
      <c r="A140" s="7">
        <f>DATE(YEAR(m1_crossvalid[[#This Row],[cutoff]]),MONTH(m1_crossvalid[[#This Row],[cutoff]]),DAY(m1_crossvalid[[#This Row],[cutoff]]))</f>
        <v>45777</v>
      </c>
      <c r="B140" s="7">
        <f>DATE(YEAR(m1_crossvalid[[#This Row],[ds]]),MONTH(m1_crossvalid[[#This Row],[ds]]),DAY(m1_crossvalid[[#This Row],[ds]]))</f>
        <v>45792</v>
      </c>
      <c r="C140">
        <v>2985</v>
      </c>
      <c r="D140" s="1">
        <v>45792.333333333336</v>
      </c>
      <c r="E140">
        <v>3224.4056146842922</v>
      </c>
      <c r="F140">
        <v>588.11638057293396</v>
      </c>
      <c r="G140">
        <v>6130.9018828948556</v>
      </c>
      <c r="H140" s="1">
        <v>45777.333333333336</v>
      </c>
    </row>
    <row r="141" spans="1:8" x14ac:dyDescent="0.25">
      <c r="A141" s="7">
        <f>DATE(YEAR(m1_crossvalid[[#This Row],[cutoff]]),MONTH(m1_crossvalid[[#This Row],[cutoff]]),DAY(m1_crossvalid[[#This Row],[cutoff]]))</f>
        <v>45777</v>
      </c>
      <c r="B141" s="7">
        <f>DATE(YEAR(m1_crossvalid[[#This Row],[ds]]),MONTH(m1_crossvalid[[#This Row],[ds]]),DAY(m1_crossvalid[[#This Row],[ds]]))</f>
        <v>45793</v>
      </c>
      <c r="C141">
        <v>3081</v>
      </c>
      <c r="D141" s="1">
        <v>45793.333333333336</v>
      </c>
      <c r="E141">
        <v>3208.7230983845934</v>
      </c>
      <c r="F141">
        <v>645.05046043617017</v>
      </c>
      <c r="G141">
        <v>5915.3042490649905</v>
      </c>
      <c r="H141" s="1">
        <v>45777.333333333336</v>
      </c>
    </row>
    <row r="142" spans="1:8" x14ac:dyDescent="0.25">
      <c r="A142" s="7">
        <f>DATE(YEAR(m1_crossvalid[[#This Row],[cutoff]]),MONTH(m1_crossvalid[[#This Row],[cutoff]]),DAY(m1_crossvalid[[#This Row],[cutoff]]))</f>
        <v>45777</v>
      </c>
      <c r="B142" s="7">
        <f>DATE(YEAR(m1_crossvalid[[#This Row],[ds]]),MONTH(m1_crossvalid[[#This Row],[ds]]),DAY(m1_crossvalid[[#This Row],[ds]]))</f>
        <v>45794</v>
      </c>
      <c r="C142">
        <v>609</v>
      </c>
      <c r="D142" s="1">
        <v>45794.333333333336</v>
      </c>
      <c r="E142">
        <v>930.03340687789182</v>
      </c>
      <c r="F142">
        <v>-1572.3700460969105</v>
      </c>
      <c r="G142">
        <v>3652.4947080558659</v>
      </c>
      <c r="H142" s="1">
        <v>45777.333333333336</v>
      </c>
    </row>
    <row r="143" spans="1:8" x14ac:dyDescent="0.25">
      <c r="A143" s="7">
        <f>DATE(YEAR(m1_crossvalid[[#This Row],[cutoff]]),MONTH(m1_crossvalid[[#This Row],[cutoff]]),DAY(m1_crossvalid[[#This Row],[cutoff]]))</f>
        <v>45777</v>
      </c>
      <c r="B143" s="7">
        <f>DATE(YEAR(m1_crossvalid[[#This Row],[ds]]),MONTH(m1_crossvalid[[#This Row],[ds]]),DAY(m1_crossvalid[[#This Row],[ds]]))</f>
        <v>45795</v>
      </c>
      <c r="C143">
        <v>185</v>
      </c>
      <c r="D143" s="1">
        <v>45795.333333333336</v>
      </c>
      <c r="E143">
        <v>374.6715585615043</v>
      </c>
      <c r="F143">
        <v>-2110.3820605970654</v>
      </c>
      <c r="G143">
        <v>2994.2517085056443</v>
      </c>
      <c r="H143" s="1">
        <v>45777.333333333336</v>
      </c>
    </row>
    <row r="144" spans="1:8" x14ac:dyDescent="0.25">
      <c r="A144" s="7">
        <f>DATE(YEAR(m1_crossvalid[[#This Row],[cutoff]]),MONTH(m1_crossvalid[[#This Row],[cutoff]]),DAY(m1_crossvalid[[#This Row],[cutoff]]))</f>
        <v>45777</v>
      </c>
      <c r="B144" s="7">
        <f>DATE(YEAR(m1_crossvalid[[#This Row],[ds]]),MONTH(m1_crossvalid[[#This Row],[ds]]),DAY(m1_crossvalid[[#This Row],[ds]]))</f>
        <v>45796</v>
      </c>
      <c r="C144">
        <v>2926</v>
      </c>
      <c r="D144" s="1">
        <v>45796.333333333336</v>
      </c>
      <c r="E144">
        <v>2638.6865849720593</v>
      </c>
      <c r="F144">
        <v>-72.277017582543735</v>
      </c>
      <c r="G144">
        <v>5132.3866527273112</v>
      </c>
      <c r="H144" s="1">
        <v>45777.333333333336</v>
      </c>
    </row>
    <row r="145" spans="1:8" x14ac:dyDescent="0.25">
      <c r="A145" s="7">
        <f>DATE(YEAR(m1_crossvalid[[#This Row],[cutoff]]),MONTH(m1_crossvalid[[#This Row],[cutoff]]),DAY(m1_crossvalid[[#This Row],[cutoff]]))</f>
        <v>45777</v>
      </c>
      <c r="B145" s="7">
        <f>DATE(YEAR(m1_crossvalid[[#This Row],[ds]]),MONTH(m1_crossvalid[[#This Row],[ds]]),DAY(m1_crossvalid[[#This Row],[ds]]))</f>
        <v>45797</v>
      </c>
      <c r="C145">
        <v>3213</v>
      </c>
      <c r="D145" s="1">
        <v>45797.333333333336</v>
      </c>
      <c r="E145">
        <v>3178.2246212979881</v>
      </c>
      <c r="F145">
        <v>419.91334711162904</v>
      </c>
      <c r="G145">
        <v>5679.7851078067242</v>
      </c>
      <c r="H145" s="1">
        <v>45777.333333333336</v>
      </c>
    </row>
    <row r="146" spans="1:8" x14ac:dyDescent="0.25">
      <c r="A146" s="7">
        <f>DATE(YEAR(m1_crossvalid[[#This Row],[cutoff]]),MONTH(m1_crossvalid[[#This Row],[cutoff]]),DAY(m1_crossvalid[[#This Row],[cutoff]]))</f>
        <v>45777</v>
      </c>
      <c r="B146" s="7">
        <f>DATE(YEAR(m1_crossvalid[[#This Row],[ds]]),MONTH(m1_crossvalid[[#This Row],[ds]]),DAY(m1_crossvalid[[#This Row],[ds]]))</f>
        <v>45798</v>
      </c>
      <c r="C146">
        <v>3566</v>
      </c>
      <c r="D146" s="1">
        <v>45798.333333333336</v>
      </c>
      <c r="E146">
        <v>3190.3724912656207</v>
      </c>
      <c r="F146">
        <v>524.27472373736566</v>
      </c>
      <c r="G146">
        <v>5820.7011878363928</v>
      </c>
      <c r="H146" s="1">
        <v>45777.333333333336</v>
      </c>
    </row>
    <row r="147" spans="1:8" x14ac:dyDescent="0.25">
      <c r="A147" s="7">
        <f>DATE(YEAR(m1_crossvalid[[#This Row],[cutoff]]),MONTH(m1_crossvalid[[#This Row],[cutoff]]),DAY(m1_crossvalid[[#This Row],[cutoff]]))</f>
        <v>45777</v>
      </c>
      <c r="B147" s="7">
        <f>DATE(YEAR(m1_crossvalid[[#This Row],[ds]]),MONTH(m1_crossvalid[[#This Row],[ds]]),DAY(m1_crossvalid[[#This Row],[ds]]))</f>
        <v>45799</v>
      </c>
      <c r="C147">
        <v>3706</v>
      </c>
      <c r="D147" s="1">
        <v>45799.333333333336</v>
      </c>
      <c r="E147">
        <v>3171.3626569892535</v>
      </c>
      <c r="F147">
        <v>641.74415321315723</v>
      </c>
      <c r="G147">
        <v>5938.9837816522277</v>
      </c>
      <c r="H147" s="1">
        <v>45777.333333333336</v>
      </c>
    </row>
    <row r="148" spans="1:8" x14ac:dyDescent="0.25">
      <c r="A148" s="7">
        <f>DATE(YEAR(m1_crossvalid[[#This Row],[cutoff]]),MONTH(m1_crossvalid[[#This Row],[cutoff]]),DAY(m1_crossvalid[[#This Row],[cutoff]]))</f>
        <v>45777</v>
      </c>
      <c r="B148" s="7">
        <f>DATE(YEAR(m1_crossvalid[[#This Row],[ds]]),MONTH(m1_crossvalid[[#This Row],[ds]]),DAY(m1_crossvalid[[#This Row],[ds]]))</f>
        <v>45800</v>
      </c>
      <c r="C148">
        <v>3920</v>
      </c>
      <c r="D148" s="1">
        <v>45800.333333333336</v>
      </c>
      <c r="E148">
        <v>3168.8221206450662</v>
      </c>
      <c r="F148">
        <v>549.0836135592408</v>
      </c>
      <c r="G148">
        <v>5846.6904774799832</v>
      </c>
      <c r="H148" s="1">
        <v>45777.333333333336</v>
      </c>
    </row>
    <row r="149" spans="1:8" x14ac:dyDescent="0.25">
      <c r="A149" s="7">
        <f>DATE(YEAR(m1_crossvalid[[#This Row],[cutoff]]),MONTH(m1_crossvalid[[#This Row],[cutoff]]),DAY(m1_crossvalid[[#This Row],[cutoff]]))</f>
        <v>45777</v>
      </c>
      <c r="B149" s="7">
        <f>DATE(YEAR(m1_crossvalid[[#This Row],[ds]]),MONTH(m1_crossvalid[[#This Row],[ds]]),DAY(m1_crossvalid[[#This Row],[ds]]))</f>
        <v>45801</v>
      </c>
      <c r="C149">
        <v>857</v>
      </c>
      <c r="D149" s="1">
        <v>45801.333333333336</v>
      </c>
      <c r="E149">
        <v>905.6117959609935</v>
      </c>
      <c r="F149">
        <v>-1850.6658337772039</v>
      </c>
      <c r="G149">
        <v>3660.2264250266044</v>
      </c>
      <c r="H149" s="1">
        <v>45777.333333333336</v>
      </c>
    </row>
    <row r="150" spans="1:8" x14ac:dyDescent="0.25">
      <c r="A150" s="7">
        <f>DATE(YEAR(m1_crossvalid[[#This Row],[cutoff]]),MONTH(m1_crossvalid[[#This Row],[cutoff]]),DAY(m1_crossvalid[[#This Row],[cutoff]]))</f>
        <v>45777</v>
      </c>
      <c r="B150" s="7">
        <f>DATE(YEAR(m1_crossvalid[[#This Row],[ds]]),MONTH(m1_crossvalid[[#This Row],[ds]]),DAY(m1_crossvalid[[#This Row],[ds]]))</f>
        <v>45802</v>
      </c>
      <c r="C150">
        <v>215</v>
      </c>
      <c r="D150" s="1">
        <v>45802.333333333336</v>
      </c>
      <c r="E150">
        <v>367.62458367891895</v>
      </c>
      <c r="F150">
        <v>-2216.5084968764968</v>
      </c>
      <c r="G150">
        <v>2927.1999794070452</v>
      </c>
      <c r="H150" s="1">
        <v>45777.333333333336</v>
      </c>
    </row>
    <row r="151" spans="1:8" x14ac:dyDescent="0.25">
      <c r="A151" s="7">
        <f>DATE(YEAR(m1_crossvalid[[#This Row],[cutoff]]),MONTH(m1_crossvalid[[#This Row],[cutoff]]),DAY(m1_crossvalid[[#This Row],[cutoff]]))</f>
        <v>45777</v>
      </c>
      <c r="B151" s="7">
        <f>DATE(YEAR(m1_crossvalid[[#This Row],[ds]]),MONTH(m1_crossvalid[[#This Row],[ds]]),DAY(m1_crossvalid[[#This Row],[ds]]))</f>
        <v>45803</v>
      </c>
      <c r="C151">
        <v>4297</v>
      </c>
      <c r="D151" s="1">
        <v>45803.333333333336</v>
      </c>
      <c r="E151">
        <v>2650.4067476983791</v>
      </c>
      <c r="F151">
        <v>-87.266559182116879</v>
      </c>
      <c r="G151">
        <v>5157.7801624431331</v>
      </c>
      <c r="H151" s="1">
        <v>45777.333333333336</v>
      </c>
    </row>
    <row r="152" spans="1:8" x14ac:dyDescent="0.25">
      <c r="A152" s="7">
        <f>DATE(YEAR(m1_crossvalid[[#This Row],[cutoff]]),MONTH(m1_crossvalid[[#This Row],[cutoff]]),DAY(m1_crossvalid[[#This Row],[cutoff]]))</f>
        <v>45777</v>
      </c>
      <c r="B152" s="7">
        <f>DATE(YEAR(m1_crossvalid[[#This Row],[ds]]),MONTH(m1_crossvalid[[#This Row],[ds]]),DAY(m1_crossvalid[[#This Row],[ds]]))</f>
        <v>45804</v>
      </c>
      <c r="C152">
        <v>5188</v>
      </c>
      <c r="D152" s="1">
        <v>45804.333333333336</v>
      </c>
      <c r="E152">
        <v>3209.5543718021104</v>
      </c>
      <c r="F152">
        <v>808.01434649862722</v>
      </c>
      <c r="G152">
        <v>5734.5099875792976</v>
      </c>
      <c r="H152" s="1">
        <v>45777.333333333336</v>
      </c>
    </row>
    <row r="153" spans="1:8" x14ac:dyDescent="0.25">
      <c r="A153" s="7">
        <f>DATE(YEAR(m1_crossvalid[[#This Row],[cutoff]]),MONTH(m1_crossvalid[[#This Row],[cutoff]]),DAY(m1_crossvalid[[#This Row],[cutoff]]))</f>
        <v>45777</v>
      </c>
      <c r="B153" s="7">
        <f>DATE(YEAR(m1_crossvalid[[#This Row],[ds]]),MONTH(m1_crossvalid[[#This Row],[ds]]),DAY(m1_crossvalid[[#This Row],[ds]]))</f>
        <v>45805</v>
      </c>
      <c r="C153">
        <v>5701</v>
      </c>
      <c r="D153" s="1">
        <v>45805.333333333336</v>
      </c>
      <c r="E153">
        <v>3241.571719692412</v>
      </c>
      <c r="F153">
        <v>689.88670133559708</v>
      </c>
      <c r="G153">
        <v>5936.6728949839398</v>
      </c>
      <c r="H153" s="1">
        <v>45777.333333333336</v>
      </c>
    </row>
    <row r="154" spans="1:8" x14ac:dyDescent="0.25">
      <c r="A154" s="7">
        <f>DATE(YEAR(m1_crossvalid[[#This Row],[cutoff]]),MONTH(m1_crossvalid[[#This Row],[cutoff]]),DAY(m1_crossvalid[[#This Row],[cutoff]]))</f>
        <v>45777</v>
      </c>
      <c r="B154" s="7">
        <f>DATE(YEAR(m1_crossvalid[[#This Row],[ds]]),MONTH(m1_crossvalid[[#This Row],[ds]]),DAY(m1_crossvalid[[#This Row],[ds]]))</f>
        <v>45806</v>
      </c>
      <c r="C154">
        <v>8103</v>
      </c>
      <c r="D154" s="1">
        <v>45806.333333333336</v>
      </c>
      <c r="E154">
        <v>3242.0919743372242</v>
      </c>
      <c r="F154">
        <v>528.74383112869202</v>
      </c>
      <c r="G154">
        <v>5690.7088990503826</v>
      </c>
      <c r="H154" s="1">
        <v>45777.333333333336</v>
      </c>
    </row>
    <row r="155" spans="1:8" x14ac:dyDescent="0.25">
      <c r="A155" s="7">
        <f>DATE(YEAR(m1_crossvalid[[#This Row],[cutoff]]),MONTH(m1_crossvalid[[#This Row],[cutoff]]),DAY(m1_crossvalid[[#This Row],[cutoff]]))</f>
        <v>45777</v>
      </c>
      <c r="B155" s="7">
        <f>DATE(YEAR(m1_crossvalid[[#This Row],[ds]]),MONTH(m1_crossvalid[[#This Row],[ds]]),DAY(m1_crossvalid[[#This Row],[ds]]))</f>
        <v>45807</v>
      </c>
      <c r="C155">
        <v>8920</v>
      </c>
      <c r="D155" s="1">
        <v>45807.333333333336</v>
      </c>
      <c r="E155">
        <v>3258.1425182715279</v>
      </c>
      <c r="F155">
        <v>809.95961204676712</v>
      </c>
      <c r="G155">
        <v>5939.2399750516615</v>
      </c>
      <c r="H155" s="1">
        <v>45777.333333333336</v>
      </c>
    </row>
    <row r="156" spans="1:8" x14ac:dyDescent="0.25">
      <c r="A156" s="7">
        <f>DATE(YEAR(m1_crossvalid[[#This Row],[cutoff]]),MONTH(m1_crossvalid[[#This Row],[cutoff]]),DAY(m1_crossvalid[[#This Row],[cutoff]]))</f>
        <v>45777</v>
      </c>
      <c r="B156" s="7">
        <f>DATE(YEAR(m1_crossvalid[[#This Row],[ds]]),MONTH(m1_crossvalid[[#This Row],[ds]]),DAY(m1_crossvalid[[#This Row],[ds]]))</f>
        <v>45808</v>
      </c>
      <c r="C156">
        <v>4108</v>
      </c>
      <c r="D156" s="1">
        <v>45808.333333333336</v>
      </c>
      <c r="E156">
        <v>1012.000828362314</v>
      </c>
      <c r="F156">
        <v>-1620.5483666448617</v>
      </c>
      <c r="G156">
        <v>3581.2593560383689</v>
      </c>
      <c r="H156" s="1">
        <v>45777.333333333336</v>
      </c>
    </row>
    <row r="157" spans="1:8" x14ac:dyDescent="0.25">
      <c r="A157" s="7">
        <f>DATE(YEAR(m1_crossvalid[[#This Row],[cutoff]]),MONTH(m1_crossvalid[[#This Row],[cutoff]]),DAY(m1_crossvalid[[#This Row],[cutoff]]))</f>
        <v>45808</v>
      </c>
      <c r="B157" s="7">
        <f>DATE(YEAR(m1_crossvalid[[#This Row],[ds]]),MONTH(m1_crossvalid[[#This Row],[ds]]),DAY(m1_crossvalid[[#This Row],[ds]]))</f>
        <v>45809</v>
      </c>
      <c r="C157">
        <v>75</v>
      </c>
      <c r="D157" s="1">
        <v>45809.333333333336</v>
      </c>
      <c r="E157">
        <v>863.87389847212853</v>
      </c>
      <c r="F157">
        <v>-1793.7194304930879</v>
      </c>
      <c r="G157">
        <v>3370.2645721252252</v>
      </c>
      <c r="H157" s="1">
        <v>45808.333333333336</v>
      </c>
    </row>
    <row r="158" spans="1:8" x14ac:dyDescent="0.25">
      <c r="A158" s="7">
        <f>DATE(YEAR(m1_crossvalid[[#This Row],[cutoff]]),MONTH(m1_crossvalid[[#This Row],[cutoff]]),DAY(m1_crossvalid[[#This Row],[cutoff]]))</f>
        <v>45808</v>
      </c>
      <c r="B158" s="7">
        <f>DATE(YEAR(m1_crossvalid[[#This Row],[ds]]),MONTH(m1_crossvalid[[#This Row],[ds]]),DAY(m1_crossvalid[[#This Row],[ds]]))</f>
        <v>45810</v>
      </c>
      <c r="C158">
        <v>3</v>
      </c>
      <c r="D158" s="1">
        <v>45810.333333333336</v>
      </c>
      <c r="E158">
        <v>3138.4423945242052</v>
      </c>
      <c r="F158">
        <v>576.31878042941867</v>
      </c>
      <c r="G158">
        <v>5909.550500722582</v>
      </c>
      <c r="H158" s="1">
        <v>45808.333333333336</v>
      </c>
    </row>
    <row r="159" spans="1:8" x14ac:dyDescent="0.25">
      <c r="A159" s="7">
        <f>DATE(YEAR(m1_crossvalid[[#This Row],[cutoff]]),MONTH(m1_crossvalid[[#This Row],[cutoff]]),DAY(m1_crossvalid[[#This Row],[cutoff]]))</f>
        <v>45808</v>
      </c>
      <c r="B159" s="7">
        <f>DATE(YEAR(m1_crossvalid[[#This Row],[ds]]),MONTH(m1_crossvalid[[#This Row],[ds]]),DAY(m1_crossvalid[[#This Row],[ds]]))</f>
        <v>45811</v>
      </c>
      <c r="C159">
        <v>578</v>
      </c>
      <c r="D159" s="1">
        <v>45811.333333333336</v>
      </c>
      <c r="E159">
        <v>3694.4986356809004</v>
      </c>
      <c r="F159">
        <v>1030.5851239253986</v>
      </c>
      <c r="G159">
        <v>6378.4335049385745</v>
      </c>
      <c r="H159" s="1">
        <v>45808.333333333336</v>
      </c>
    </row>
    <row r="160" spans="1:8" x14ac:dyDescent="0.25">
      <c r="A160" s="7">
        <f>DATE(YEAR(m1_crossvalid[[#This Row],[cutoff]]),MONTH(m1_crossvalid[[#This Row],[cutoff]]),DAY(m1_crossvalid[[#This Row],[cutoff]]))</f>
        <v>45808</v>
      </c>
      <c r="B160" s="7">
        <f>DATE(YEAR(m1_crossvalid[[#This Row],[ds]]),MONTH(m1_crossvalid[[#This Row],[ds]]),DAY(m1_crossvalid[[#This Row],[ds]]))</f>
        <v>45812</v>
      </c>
      <c r="C160">
        <v>842</v>
      </c>
      <c r="D160" s="1">
        <v>45812.333333333336</v>
      </c>
      <c r="E160">
        <v>3723.4109308802872</v>
      </c>
      <c r="F160">
        <v>1018.3108580680423</v>
      </c>
      <c r="G160">
        <v>6243.5445767579558</v>
      </c>
      <c r="H160" s="1">
        <v>45808.333333333336</v>
      </c>
    </row>
    <row r="161" spans="1:8" x14ac:dyDescent="0.25">
      <c r="A161" s="7">
        <f>DATE(YEAR(m1_crossvalid[[#This Row],[cutoff]]),MONTH(m1_crossvalid[[#This Row],[cutoff]]),DAY(m1_crossvalid[[#This Row],[cutoff]]))</f>
        <v>45808</v>
      </c>
      <c r="B161" s="7">
        <f>DATE(YEAR(m1_crossvalid[[#This Row],[ds]]),MONTH(m1_crossvalid[[#This Row],[ds]]),DAY(m1_crossvalid[[#This Row],[ds]]))</f>
        <v>45813</v>
      </c>
      <c r="C161">
        <v>1102</v>
      </c>
      <c r="D161" s="1">
        <v>45813.333333333336</v>
      </c>
      <c r="E161">
        <v>3701.4640378535114</v>
      </c>
      <c r="F161">
        <v>1044.3021395245162</v>
      </c>
      <c r="G161">
        <v>6250.2997041832514</v>
      </c>
      <c r="H161" s="1">
        <v>45808.333333333336</v>
      </c>
    </row>
    <row r="162" spans="1:8" x14ac:dyDescent="0.25">
      <c r="A162" s="7">
        <f>DATE(YEAR(m1_crossvalid[[#This Row],[cutoff]]),MONTH(m1_crossvalid[[#This Row],[cutoff]]),DAY(m1_crossvalid[[#This Row],[cutoff]]))</f>
        <v>45808</v>
      </c>
      <c r="B162" s="7">
        <f>DATE(YEAR(m1_crossvalid[[#This Row],[ds]]),MONTH(m1_crossvalid[[#This Row],[ds]]),DAY(m1_crossvalid[[#This Row],[ds]]))</f>
        <v>45814</v>
      </c>
      <c r="C162">
        <v>1098</v>
      </c>
      <c r="D162" s="1">
        <v>45814.333333333336</v>
      </c>
      <c r="E162">
        <v>3700.0150945102632</v>
      </c>
      <c r="F162">
        <v>844.51656966992937</v>
      </c>
      <c r="G162">
        <v>6328.2135478571545</v>
      </c>
      <c r="H162" s="1">
        <v>45808.333333333336</v>
      </c>
    </row>
    <row r="163" spans="1:8" x14ac:dyDescent="0.25">
      <c r="A163" s="7">
        <f>DATE(YEAR(m1_crossvalid[[#This Row],[cutoff]]),MONTH(m1_crossvalid[[#This Row],[cutoff]]),DAY(m1_crossvalid[[#This Row],[cutoff]]))</f>
        <v>45808</v>
      </c>
      <c r="B163" s="7">
        <f>DATE(YEAR(m1_crossvalid[[#This Row],[ds]]),MONTH(m1_crossvalid[[#This Row],[ds]]),DAY(m1_crossvalid[[#This Row],[ds]]))</f>
        <v>45815</v>
      </c>
      <c r="C163">
        <v>17</v>
      </c>
      <c r="D163" s="1">
        <v>45815.333333333336</v>
      </c>
      <c r="E163">
        <v>1412.1077291257329</v>
      </c>
      <c r="F163">
        <v>-1283.0251926039978</v>
      </c>
      <c r="G163">
        <v>3961.3216881155017</v>
      </c>
      <c r="H163" s="1">
        <v>45808.333333333336</v>
      </c>
    </row>
    <row r="164" spans="1:8" x14ac:dyDescent="0.25">
      <c r="A164" s="7">
        <f>DATE(YEAR(m1_crossvalid[[#This Row],[cutoff]]),MONTH(m1_crossvalid[[#This Row],[cutoff]]),DAY(m1_crossvalid[[#This Row],[cutoff]]))</f>
        <v>45808</v>
      </c>
      <c r="B164" s="7">
        <f>DATE(YEAR(m1_crossvalid[[#This Row],[ds]]),MONTH(m1_crossvalid[[#This Row],[ds]]),DAY(m1_crossvalid[[#This Row],[ds]]))</f>
        <v>45816</v>
      </c>
      <c r="C164">
        <v>2</v>
      </c>
      <c r="D164" s="1">
        <v>45816.333333333336</v>
      </c>
      <c r="E164">
        <v>836.5935944730611</v>
      </c>
      <c r="F164">
        <v>-1926.9670136427619</v>
      </c>
      <c r="G164">
        <v>3497.1905254961102</v>
      </c>
      <c r="H164" s="1">
        <v>45808.333333333336</v>
      </c>
    </row>
    <row r="165" spans="1:8" x14ac:dyDescent="0.25">
      <c r="A165" s="7">
        <f>DATE(YEAR(m1_crossvalid[[#This Row],[cutoff]]),MONTH(m1_crossvalid[[#This Row],[cutoff]]),DAY(m1_crossvalid[[#This Row],[cutoff]]))</f>
        <v>45808</v>
      </c>
      <c r="B165" s="7">
        <f>DATE(YEAR(m1_crossvalid[[#This Row],[ds]]),MONTH(m1_crossvalid[[#This Row],[ds]]),DAY(m1_crossvalid[[#This Row],[ds]]))</f>
        <v>45817</v>
      </c>
      <c r="C165">
        <v>716</v>
      </c>
      <c r="D165" s="1">
        <v>45817.333333333336</v>
      </c>
      <c r="E165">
        <v>3076.3825202898233</v>
      </c>
      <c r="F165">
        <v>601.27536708442051</v>
      </c>
      <c r="G165">
        <v>5679.7654325094454</v>
      </c>
      <c r="H165" s="1">
        <v>45808.333333333336</v>
      </c>
    </row>
    <row r="166" spans="1:8" x14ac:dyDescent="0.25">
      <c r="A166" s="7">
        <f>DATE(YEAR(m1_crossvalid[[#This Row],[cutoff]]),MONTH(m1_crossvalid[[#This Row],[cutoff]]),DAY(m1_crossvalid[[#This Row],[cutoff]]))</f>
        <v>45808</v>
      </c>
      <c r="B166" s="7">
        <f>DATE(YEAR(m1_crossvalid[[#This Row],[ds]]),MONTH(m1_crossvalid[[#This Row],[ds]]),DAY(m1_crossvalid[[#This Row],[ds]]))</f>
        <v>45818</v>
      </c>
      <c r="C166">
        <v>1129</v>
      </c>
      <c r="D166" s="1">
        <v>45818.333333333336</v>
      </c>
      <c r="E166">
        <v>3598.4791126264408</v>
      </c>
      <c r="F166">
        <v>979.50495417036552</v>
      </c>
      <c r="G166">
        <v>6255.2111306977758</v>
      </c>
      <c r="H166" s="1">
        <v>45808.333333333336</v>
      </c>
    </row>
    <row r="167" spans="1:8" x14ac:dyDescent="0.25">
      <c r="A167" s="7">
        <f>DATE(YEAR(m1_crossvalid[[#This Row],[cutoff]]),MONTH(m1_crossvalid[[#This Row],[cutoff]]),DAY(m1_crossvalid[[#This Row],[cutoff]]))</f>
        <v>45808</v>
      </c>
      <c r="B167" s="7">
        <f>DATE(YEAR(m1_crossvalid[[#This Row],[ds]]),MONTH(m1_crossvalid[[#This Row],[ds]]),DAY(m1_crossvalid[[#This Row],[ds]]))</f>
        <v>45819</v>
      </c>
      <c r="C167">
        <v>1387</v>
      </c>
      <c r="D167" s="1">
        <v>45819.333333333336</v>
      </c>
      <c r="E167">
        <v>3594.7942077911839</v>
      </c>
      <c r="F167">
        <v>805.85491599011118</v>
      </c>
      <c r="G167">
        <v>6213.8490961999887</v>
      </c>
      <c r="H167" s="1">
        <v>45808.333333333336</v>
      </c>
    </row>
    <row r="168" spans="1:8" x14ac:dyDescent="0.25">
      <c r="A168" s="7">
        <f>DATE(YEAR(m1_crossvalid[[#This Row],[cutoff]]),MONTH(m1_crossvalid[[#This Row],[cutoff]]),DAY(m1_crossvalid[[#This Row],[cutoff]]))</f>
        <v>45808</v>
      </c>
      <c r="B168" s="7">
        <f>DATE(YEAR(m1_crossvalid[[#This Row],[ds]]),MONTH(m1_crossvalid[[#This Row],[ds]]),DAY(m1_crossvalid[[#This Row],[ds]]))</f>
        <v>45820</v>
      </c>
      <c r="C168">
        <v>1689</v>
      </c>
      <c r="D168" s="1">
        <v>45820.333333333336</v>
      </c>
      <c r="E168">
        <v>3542.1361652341293</v>
      </c>
      <c r="F168">
        <v>887.9866377332703</v>
      </c>
      <c r="G168">
        <v>6096.9125756057974</v>
      </c>
      <c r="H168" s="1">
        <v>45808.333333333336</v>
      </c>
    </row>
    <row r="169" spans="1:8" x14ac:dyDescent="0.25">
      <c r="A169" s="7">
        <f>DATE(YEAR(m1_crossvalid[[#This Row],[cutoff]]),MONTH(m1_crossvalid[[#This Row],[cutoff]]),DAY(m1_crossvalid[[#This Row],[cutoff]]))</f>
        <v>45808</v>
      </c>
      <c r="B169" s="7">
        <f>DATE(YEAR(m1_crossvalid[[#This Row],[ds]]),MONTH(m1_crossvalid[[#This Row],[ds]]),DAY(m1_crossvalid[[#This Row],[ds]]))</f>
        <v>45821</v>
      </c>
      <c r="C169">
        <v>1883</v>
      </c>
      <c r="D169" s="1">
        <v>45821.333333333336</v>
      </c>
      <c r="E169">
        <v>3512.3561348196495</v>
      </c>
      <c r="F169">
        <v>978.40242615686884</v>
      </c>
      <c r="G169">
        <v>6075.1328724130017</v>
      </c>
      <c r="H169" s="1">
        <v>45808.333333333336</v>
      </c>
    </row>
    <row r="170" spans="1:8" x14ac:dyDescent="0.25">
      <c r="A170" s="7">
        <f>DATE(YEAR(m1_crossvalid[[#This Row],[cutoff]]),MONTH(m1_crossvalid[[#This Row],[cutoff]]),DAY(m1_crossvalid[[#This Row],[cutoff]]))</f>
        <v>45808</v>
      </c>
      <c r="B170" s="7">
        <f>DATE(YEAR(m1_crossvalid[[#This Row],[ds]]),MONTH(m1_crossvalid[[#This Row],[ds]]),DAY(m1_crossvalid[[#This Row],[ds]]))</f>
        <v>45822</v>
      </c>
      <c r="C170">
        <v>280</v>
      </c>
      <c r="D170" s="1">
        <v>45822.333333333336</v>
      </c>
      <c r="E170">
        <v>1198.952005709478</v>
      </c>
      <c r="F170">
        <v>-1540.7865840481516</v>
      </c>
      <c r="G170">
        <v>3802.8844056539342</v>
      </c>
      <c r="H170" s="1">
        <v>45808.333333333336</v>
      </c>
    </row>
    <row r="171" spans="1:8" x14ac:dyDescent="0.25">
      <c r="A171" s="7">
        <f>DATE(YEAR(m1_crossvalid[[#This Row],[cutoff]]),MONTH(m1_crossvalid[[#This Row],[cutoff]]),DAY(m1_crossvalid[[#This Row],[cutoff]]))</f>
        <v>45808</v>
      </c>
      <c r="B171" s="7">
        <f>DATE(YEAR(m1_crossvalid[[#This Row],[ds]]),MONTH(m1_crossvalid[[#This Row],[ds]]),DAY(m1_crossvalid[[#This Row],[ds]]))</f>
        <v>45823</v>
      </c>
      <c r="C171">
        <v>71</v>
      </c>
      <c r="D171" s="1">
        <v>45823.333333333336</v>
      </c>
      <c r="E171">
        <v>601.18052120145148</v>
      </c>
      <c r="F171">
        <v>-2111.0856120748622</v>
      </c>
      <c r="G171">
        <v>3171.2421064496602</v>
      </c>
      <c r="H171" s="1">
        <v>45808.333333333336</v>
      </c>
    </row>
    <row r="172" spans="1:8" x14ac:dyDescent="0.25">
      <c r="A172" s="7">
        <f>DATE(YEAR(m1_crossvalid[[#This Row],[cutoff]]),MONTH(m1_crossvalid[[#This Row],[cutoff]]),DAY(m1_crossvalid[[#This Row],[cutoff]]))</f>
        <v>45808</v>
      </c>
      <c r="B172" s="7">
        <f>DATE(YEAR(m1_crossvalid[[#This Row],[ds]]),MONTH(m1_crossvalid[[#This Row],[ds]]),DAY(m1_crossvalid[[#This Row],[ds]]))</f>
        <v>45824</v>
      </c>
      <c r="C172">
        <v>1852</v>
      </c>
      <c r="D172" s="1">
        <v>45824.333333333336</v>
      </c>
      <c r="E172">
        <v>2822.2989786870721</v>
      </c>
      <c r="F172">
        <v>182.62367971386558</v>
      </c>
      <c r="G172">
        <v>5358.2561555810189</v>
      </c>
      <c r="H172" s="1">
        <v>45808.333333333336</v>
      </c>
    </row>
    <row r="173" spans="1:8" x14ac:dyDescent="0.25">
      <c r="A173" s="7">
        <f>DATE(YEAR(m1_crossvalid[[#This Row],[cutoff]]),MONTH(m1_crossvalid[[#This Row],[cutoff]]),DAY(m1_crossvalid[[#This Row],[cutoff]]))</f>
        <v>45808</v>
      </c>
      <c r="B173" s="7">
        <f>DATE(YEAR(m1_crossvalid[[#This Row],[ds]]),MONTH(m1_crossvalid[[#This Row],[ds]]),DAY(m1_crossvalid[[#This Row],[ds]]))</f>
        <v>45825</v>
      </c>
      <c r="C173">
        <v>2251</v>
      </c>
      <c r="D173" s="1">
        <v>45825.333333333336</v>
      </c>
      <c r="E173">
        <v>3329.5945478294761</v>
      </c>
      <c r="F173">
        <v>854.30954112197651</v>
      </c>
      <c r="G173">
        <v>6147.0074116122296</v>
      </c>
      <c r="H173" s="1">
        <v>45808.333333333336</v>
      </c>
    </row>
    <row r="174" spans="1:8" x14ac:dyDescent="0.25">
      <c r="A174" s="7">
        <f>DATE(YEAR(m1_crossvalid[[#This Row],[cutoff]]),MONTH(m1_crossvalid[[#This Row],[cutoff]]),DAY(m1_crossvalid[[#This Row],[cutoff]]))</f>
        <v>45808</v>
      </c>
      <c r="B174" s="7">
        <f>DATE(YEAR(m1_crossvalid[[#This Row],[ds]]),MONTH(m1_crossvalid[[#This Row],[ds]]),DAY(m1_crossvalid[[#This Row],[ds]]))</f>
        <v>45826</v>
      </c>
      <c r="C174">
        <v>2552</v>
      </c>
      <c r="D174" s="1">
        <v>45826.333333333336</v>
      </c>
      <c r="E174">
        <v>3315.1897935522024</v>
      </c>
      <c r="F174">
        <v>781.85912951245882</v>
      </c>
      <c r="G174">
        <v>5965.3813076652359</v>
      </c>
      <c r="H174" s="1">
        <v>45808.333333333336</v>
      </c>
    </row>
    <row r="175" spans="1:8" x14ac:dyDescent="0.25">
      <c r="A175" s="7">
        <f>DATE(YEAR(m1_crossvalid[[#This Row],[cutoff]]),MONTH(m1_crossvalid[[#This Row],[cutoff]]),DAY(m1_crossvalid[[#This Row],[cutoff]]))</f>
        <v>45808</v>
      </c>
      <c r="B175" s="7">
        <f>DATE(YEAR(m1_crossvalid[[#This Row],[ds]]),MONTH(m1_crossvalid[[#This Row],[ds]]),DAY(m1_crossvalid[[#This Row],[ds]]))</f>
        <v>45827</v>
      </c>
      <c r="C175">
        <v>2813</v>
      </c>
      <c r="D175" s="1">
        <v>45827.333333333336</v>
      </c>
      <c r="E175">
        <v>3256.0295370633498</v>
      </c>
      <c r="F175">
        <v>587.11217314845328</v>
      </c>
      <c r="G175">
        <v>5780.9742715808243</v>
      </c>
      <c r="H175" s="1">
        <v>45808.333333333336</v>
      </c>
    </row>
    <row r="176" spans="1:8" x14ac:dyDescent="0.25">
      <c r="A176" s="7">
        <f>DATE(YEAR(m1_crossvalid[[#This Row],[cutoff]]),MONTH(m1_crossvalid[[#This Row],[cutoff]]),DAY(m1_crossvalid[[#This Row],[cutoff]]))</f>
        <v>45808</v>
      </c>
      <c r="B176" s="7">
        <f>DATE(YEAR(m1_crossvalid[[#This Row],[ds]]),MONTH(m1_crossvalid[[#This Row],[ds]]),DAY(m1_crossvalid[[#This Row],[ds]]))</f>
        <v>45828</v>
      </c>
      <c r="C176">
        <v>3023</v>
      </c>
      <c r="D176" s="1">
        <v>45828.333333333336</v>
      </c>
      <c r="E176">
        <v>3224.0233045319405</v>
      </c>
      <c r="F176">
        <v>614.32989623480807</v>
      </c>
      <c r="G176">
        <v>5904.9376616170239</v>
      </c>
      <c r="H176" s="1">
        <v>45808.333333333336</v>
      </c>
    </row>
    <row r="177" spans="1:8" x14ac:dyDescent="0.25">
      <c r="A177" s="7">
        <f>DATE(YEAR(m1_crossvalid[[#This Row],[cutoff]]),MONTH(m1_crossvalid[[#This Row],[cutoff]]),DAY(m1_crossvalid[[#This Row],[cutoff]]))</f>
        <v>45808</v>
      </c>
      <c r="B177" s="7">
        <f>DATE(YEAR(m1_crossvalid[[#This Row],[ds]]),MONTH(m1_crossvalid[[#This Row],[ds]]),DAY(m1_crossvalid[[#This Row],[ds]]))</f>
        <v>45829</v>
      </c>
      <c r="C177">
        <v>360</v>
      </c>
      <c r="D177" s="1">
        <v>45829.333333333336</v>
      </c>
      <c r="E177">
        <v>912.64814755566681</v>
      </c>
      <c r="F177">
        <v>-1667.5248080928341</v>
      </c>
      <c r="G177">
        <v>3548.5023010008185</v>
      </c>
      <c r="H177" s="1">
        <v>45808.333333333336</v>
      </c>
    </row>
    <row r="178" spans="1:8" x14ac:dyDescent="0.25">
      <c r="A178" s="7">
        <f>DATE(YEAR(m1_crossvalid[[#This Row],[cutoff]]),MONTH(m1_crossvalid[[#This Row],[cutoff]]),DAY(m1_crossvalid[[#This Row],[cutoff]]))</f>
        <v>45808</v>
      </c>
      <c r="B178" s="7">
        <f>DATE(YEAR(m1_crossvalid[[#This Row],[ds]]),MONTH(m1_crossvalid[[#This Row],[ds]]),DAY(m1_crossvalid[[#This Row],[ds]]))</f>
        <v>45830</v>
      </c>
      <c r="C178">
        <v>129</v>
      </c>
      <c r="D178" s="1">
        <v>45830.333333333336</v>
      </c>
      <c r="E178">
        <v>321.06135678807686</v>
      </c>
      <c r="F178">
        <v>-2296.1818764310597</v>
      </c>
      <c r="G178">
        <v>3083.716966337297</v>
      </c>
      <c r="H178" s="1">
        <v>45808.333333333336</v>
      </c>
    </row>
    <row r="179" spans="1:8" x14ac:dyDescent="0.25">
      <c r="A179" s="7">
        <f>DATE(YEAR(m1_crossvalid[[#This Row],[cutoff]]),MONTH(m1_crossvalid[[#This Row],[cutoff]]),DAY(m1_crossvalid[[#This Row],[cutoff]]))</f>
        <v>45808</v>
      </c>
      <c r="B179" s="7">
        <f>DATE(YEAR(m1_crossvalid[[#This Row],[ds]]),MONTH(m1_crossvalid[[#This Row],[ds]]),DAY(m1_crossvalid[[#This Row],[ds]]))</f>
        <v>45831</v>
      </c>
      <c r="C179">
        <v>3291</v>
      </c>
      <c r="D179" s="1">
        <v>45831.333333333336</v>
      </c>
      <c r="E179">
        <v>2552.344483515606</v>
      </c>
      <c r="F179">
        <v>-250.98203987504286</v>
      </c>
      <c r="G179">
        <v>5282.0944304069235</v>
      </c>
      <c r="H179" s="1">
        <v>45808.333333333336</v>
      </c>
    </row>
    <row r="180" spans="1:8" x14ac:dyDescent="0.25">
      <c r="A180" s="7">
        <f>DATE(YEAR(m1_crossvalid[[#This Row],[cutoff]]),MONTH(m1_crossvalid[[#This Row],[cutoff]]),DAY(m1_crossvalid[[#This Row],[cutoff]]))</f>
        <v>45808</v>
      </c>
      <c r="B180" s="7">
        <f>DATE(YEAR(m1_crossvalid[[#This Row],[ds]]),MONTH(m1_crossvalid[[#This Row],[ds]]),DAY(m1_crossvalid[[#This Row],[ds]]))</f>
        <v>45832</v>
      </c>
      <c r="C180">
        <v>3743</v>
      </c>
      <c r="D180" s="1">
        <v>45832.333333333336</v>
      </c>
      <c r="E180">
        <v>3073.536656813008</v>
      </c>
      <c r="F180">
        <v>455.8497941732183</v>
      </c>
      <c r="G180">
        <v>5902.5655623611119</v>
      </c>
      <c r="H180" s="1">
        <v>45808.333333333336</v>
      </c>
    </row>
    <row r="181" spans="1:8" x14ac:dyDescent="0.25">
      <c r="A181" s="7">
        <f>DATE(YEAR(m1_crossvalid[[#This Row],[cutoff]]),MONTH(m1_crossvalid[[#This Row],[cutoff]]),DAY(m1_crossvalid[[#This Row],[cutoff]]))</f>
        <v>45808</v>
      </c>
      <c r="B181" s="7">
        <f>DATE(YEAR(m1_crossvalid[[#This Row],[ds]]),MONTH(m1_crossvalid[[#This Row],[ds]]),DAY(m1_crossvalid[[#This Row],[ds]]))</f>
        <v>45833</v>
      </c>
      <c r="C181">
        <v>4576</v>
      </c>
      <c r="D181" s="1">
        <v>45833.333333333336</v>
      </c>
      <c r="E181">
        <v>3076.445696448091</v>
      </c>
      <c r="F181">
        <v>312.51467257657407</v>
      </c>
      <c r="G181">
        <v>5752.3198498955053</v>
      </c>
      <c r="H181" s="1">
        <v>45808.333333333336</v>
      </c>
    </row>
    <row r="182" spans="1:8" x14ac:dyDescent="0.25">
      <c r="A182" s="7">
        <f>DATE(YEAR(m1_crossvalid[[#This Row],[cutoff]]),MONTH(m1_crossvalid[[#This Row],[cutoff]]),DAY(m1_crossvalid[[#This Row],[cutoff]]))</f>
        <v>45808</v>
      </c>
      <c r="B182" s="7">
        <f>DATE(YEAR(m1_crossvalid[[#This Row],[ds]]),MONTH(m1_crossvalid[[#This Row],[ds]]),DAY(m1_crossvalid[[#This Row],[ds]]))</f>
        <v>45834</v>
      </c>
      <c r="C182">
        <v>6205</v>
      </c>
      <c r="D182" s="1">
        <v>45834.333333333336</v>
      </c>
      <c r="E182">
        <v>3037.6420295239122</v>
      </c>
      <c r="F182">
        <v>353.99781898630982</v>
      </c>
      <c r="G182">
        <v>5810.7575946239849</v>
      </c>
      <c r="H182" s="1">
        <v>45808.333333333336</v>
      </c>
    </row>
    <row r="183" spans="1:8" x14ac:dyDescent="0.25">
      <c r="A183" s="7">
        <f>DATE(YEAR(m1_crossvalid[[#This Row],[cutoff]]),MONTH(m1_crossvalid[[#This Row],[cutoff]]),DAY(m1_crossvalid[[#This Row],[cutoff]]))</f>
        <v>45808</v>
      </c>
      <c r="B183" s="7">
        <f>DATE(YEAR(m1_crossvalid[[#This Row],[ds]]),MONTH(m1_crossvalid[[#This Row],[ds]]),DAY(m1_crossvalid[[#This Row],[ds]]))</f>
        <v>45835</v>
      </c>
      <c r="C183">
        <v>814</v>
      </c>
      <c r="D183" s="1">
        <v>45835.333333333336</v>
      </c>
      <c r="E183">
        <v>3028.6094992571266</v>
      </c>
      <c r="F183">
        <v>365.60894841914154</v>
      </c>
      <c r="G183">
        <v>5654.6389674677239</v>
      </c>
      <c r="H183" s="1">
        <v>45808.333333333336</v>
      </c>
    </row>
    <row r="184" spans="1:8" x14ac:dyDescent="0.25">
      <c r="A184" s="7">
        <f>DATE(YEAR(m1_crossvalid[[#This Row],[cutoff]]),MONTH(m1_crossvalid[[#This Row],[cutoff]]),DAY(m1_crossvalid[[#This Row],[cutoff]]))</f>
        <v>45808</v>
      </c>
      <c r="B184" s="7">
        <f>DATE(YEAR(m1_crossvalid[[#This Row],[ds]]),MONTH(m1_crossvalid[[#This Row],[ds]]),DAY(m1_crossvalid[[#This Row],[ds]]))</f>
        <v>45836</v>
      </c>
      <c r="C184">
        <v>2326</v>
      </c>
      <c r="D184" s="1">
        <v>45836.333333333336</v>
      </c>
      <c r="E184">
        <v>742.35765636939504</v>
      </c>
      <c r="F184">
        <v>-1859.0745189922209</v>
      </c>
      <c r="G184">
        <v>3407.7620374269782</v>
      </c>
      <c r="H184" s="1">
        <v>45808.333333333336</v>
      </c>
    </row>
    <row r="185" spans="1:8" x14ac:dyDescent="0.25">
      <c r="A185" s="7">
        <f>DATE(YEAR(m1_crossvalid[[#This Row],[cutoff]]),MONTH(m1_crossvalid[[#This Row],[cutoff]]),DAY(m1_crossvalid[[#This Row],[cutoff]]))</f>
        <v>45808</v>
      </c>
      <c r="B185" s="7">
        <f>DATE(YEAR(m1_crossvalid[[#This Row],[ds]]),MONTH(m1_crossvalid[[#This Row],[ds]]),DAY(m1_crossvalid[[#This Row],[ds]]))</f>
        <v>45837</v>
      </c>
      <c r="C185">
        <v>427</v>
      </c>
      <c r="D185" s="1">
        <v>45837.333333333336</v>
      </c>
      <c r="E185">
        <v>177.54483321964108</v>
      </c>
      <c r="F185">
        <v>-2248.3336250872817</v>
      </c>
      <c r="G185">
        <v>2846.4026912264044</v>
      </c>
      <c r="H185" s="1">
        <v>45808.333333333336</v>
      </c>
    </row>
    <row r="186" spans="1:8" x14ac:dyDescent="0.25">
      <c r="A186" s="7">
        <f>DATE(YEAR(m1_crossvalid[[#This Row],[cutoff]]),MONTH(m1_crossvalid[[#This Row],[cutoff]]),DAY(m1_crossvalid[[#This Row],[cutoff]]))</f>
        <v>45808</v>
      </c>
      <c r="B186" s="7">
        <f>DATE(YEAR(m1_crossvalid[[#This Row],[ds]]),MONTH(m1_crossvalid[[#This Row],[ds]]),DAY(m1_crossvalid[[#This Row],[ds]]))</f>
        <v>45838</v>
      </c>
      <c r="C186">
        <v>13624</v>
      </c>
      <c r="D186" s="1">
        <v>45838.333333333336</v>
      </c>
      <c r="E186">
        <v>2436.7331717755924</v>
      </c>
      <c r="F186">
        <v>-140.67075797970591</v>
      </c>
      <c r="G186">
        <v>5065.5325175849266</v>
      </c>
      <c r="H186" s="1">
        <v>45808.333333333336</v>
      </c>
    </row>
    <row r="187" spans="1:8" x14ac:dyDescent="0.25">
      <c r="A187" s="7">
        <f>DATE(YEAR(m1_crossvalid[[#This Row],[cutoff]]),MONTH(m1_crossvalid[[#This Row],[cutoff]]),DAY(m1_crossvalid[[#This Row],[cutoff]]))</f>
        <v>45808</v>
      </c>
      <c r="B187" s="7">
        <f>DATE(YEAR(m1_crossvalid[[#This Row],[ds]]),MONTH(m1_crossvalid[[#This Row],[ds]]),DAY(m1_crossvalid[[#This Row],[ds]]))</f>
        <v>45839</v>
      </c>
      <c r="C187">
        <v>624</v>
      </c>
      <c r="D187" s="1">
        <v>45839.333333333336</v>
      </c>
      <c r="E187">
        <v>2986.4333330676213</v>
      </c>
      <c r="F187">
        <v>309.29735141499896</v>
      </c>
      <c r="G187">
        <v>5653.5811757921483</v>
      </c>
      <c r="H187" s="1">
        <v>45808.333333333336</v>
      </c>
    </row>
    <row r="188" spans="1:8" x14ac:dyDescent="0.25">
      <c r="A188" s="7">
        <f>DATE(YEAR(m1_crossvalid[[#This Row],[cutoff]]),MONTH(m1_crossvalid[[#This Row],[cutoff]]),DAY(m1_crossvalid[[#This Row],[cutoff]]))</f>
        <v>45838</v>
      </c>
      <c r="B188" s="7">
        <f>DATE(YEAR(m1_crossvalid[[#This Row],[ds]]),MONTH(m1_crossvalid[[#This Row],[ds]]),DAY(m1_crossvalid[[#This Row],[ds]]))</f>
        <v>45839</v>
      </c>
      <c r="C188">
        <v>624</v>
      </c>
      <c r="D188" s="1">
        <v>45839.333333333336</v>
      </c>
      <c r="E188">
        <v>3245.4082418571984</v>
      </c>
      <c r="F188">
        <v>658.81680359448501</v>
      </c>
      <c r="G188">
        <v>5812.9420160914106</v>
      </c>
      <c r="H188" s="1">
        <v>45838.333333333336</v>
      </c>
    </row>
    <row r="189" spans="1:8" x14ac:dyDescent="0.25">
      <c r="A189" s="7">
        <f>DATE(YEAR(m1_crossvalid[[#This Row],[cutoff]]),MONTH(m1_crossvalid[[#This Row],[cutoff]]),DAY(m1_crossvalid[[#This Row],[cutoff]]))</f>
        <v>45838</v>
      </c>
      <c r="B189" s="7">
        <f>DATE(YEAR(m1_crossvalid[[#This Row],[ds]]),MONTH(m1_crossvalid[[#This Row],[ds]]),DAY(m1_crossvalid[[#This Row],[ds]]))</f>
        <v>45840</v>
      </c>
      <c r="C189">
        <v>733</v>
      </c>
      <c r="D189" s="1">
        <v>45840.333333333336</v>
      </c>
      <c r="E189">
        <v>3286.5776834074113</v>
      </c>
      <c r="F189">
        <v>572.36923045306514</v>
      </c>
      <c r="G189">
        <v>5996.677469454401</v>
      </c>
      <c r="H189" s="1">
        <v>45838.333333333336</v>
      </c>
    </row>
    <row r="190" spans="1:8" x14ac:dyDescent="0.25">
      <c r="A190" s="7">
        <f>DATE(YEAR(m1_crossvalid[[#This Row],[cutoff]]),MONTH(m1_crossvalid[[#This Row],[cutoff]]),DAY(m1_crossvalid[[#This Row],[cutoff]]))</f>
        <v>45838</v>
      </c>
      <c r="B190" s="7">
        <f>DATE(YEAR(m1_crossvalid[[#This Row],[ds]]),MONTH(m1_crossvalid[[#This Row],[ds]]),DAY(m1_crossvalid[[#This Row],[ds]]))</f>
        <v>45841</v>
      </c>
      <c r="C190">
        <v>1036</v>
      </c>
      <c r="D190" s="1">
        <v>45841.333333333336</v>
      </c>
      <c r="E190">
        <v>3284.9555023915086</v>
      </c>
      <c r="F190">
        <v>394.80863620118384</v>
      </c>
      <c r="G190">
        <v>5710.4106101657471</v>
      </c>
      <c r="H190" s="1">
        <v>45838.333333333336</v>
      </c>
    </row>
    <row r="191" spans="1:8" x14ac:dyDescent="0.25">
      <c r="A191" s="7">
        <f>DATE(YEAR(m1_crossvalid[[#This Row],[cutoff]]),MONTH(m1_crossvalid[[#This Row],[cutoff]]),DAY(m1_crossvalid[[#This Row],[cutoff]]))</f>
        <v>45838</v>
      </c>
      <c r="B191" s="7">
        <f>DATE(YEAR(m1_crossvalid[[#This Row],[ds]]),MONTH(m1_crossvalid[[#This Row],[ds]]),DAY(m1_crossvalid[[#This Row],[ds]]))</f>
        <v>45842</v>
      </c>
      <c r="C191">
        <v>1189</v>
      </c>
      <c r="D191" s="1">
        <v>45842.333333333336</v>
      </c>
      <c r="E191">
        <v>3265.6603950520894</v>
      </c>
      <c r="F191">
        <v>481.6587540355265</v>
      </c>
      <c r="G191">
        <v>5939.2418138034236</v>
      </c>
      <c r="H191" s="1">
        <v>45838.333333333336</v>
      </c>
    </row>
    <row r="192" spans="1:8" x14ac:dyDescent="0.25">
      <c r="A192" s="7">
        <f>DATE(YEAR(m1_crossvalid[[#This Row],[cutoff]]),MONTH(m1_crossvalid[[#This Row],[cutoff]]),DAY(m1_crossvalid[[#This Row],[cutoff]]))</f>
        <v>45838</v>
      </c>
      <c r="B192" s="7">
        <f>DATE(YEAR(m1_crossvalid[[#This Row],[ds]]),MONTH(m1_crossvalid[[#This Row],[ds]]),DAY(m1_crossvalid[[#This Row],[ds]]))</f>
        <v>45843</v>
      </c>
      <c r="C192">
        <v>170</v>
      </c>
      <c r="D192" s="1">
        <v>45843.333333333336</v>
      </c>
      <c r="E192">
        <v>1019.1847917599362</v>
      </c>
      <c r="F192">
        <v>-1462.1615136977732</v>
      </c>
      <c r="G192">
        <v>3791.8635843136963</v>
      </c>
      <c r="H192" s="1">
        <v>45838.333333333336</v>
      </c>
    </row>
    <row r="193" spans="1:8" x14ac:dyDescent="0.25">
      <c r="A193" s="7">
        <f>DATE(YEAR(m1_crossvalid[[#This Row],[cutoff]]),MONTH(m1_crossvalid[[#This Row],[cutoff]]),DAY(m1_crossvalid[[#This Row],[cutoff]]))</f>
        <v>45838</v>
      </c>
      <c r="B193" s="7">
        <f>DATE(YEAR(m1_crossvalid[[#This Row],[ds]]),MONTH(m1_crossvalid[[#This Row],[ds]]),DAY(m1_crossvalid[[#This Row],[ds]]))</f>
        <v>45844</v>
      </c>
      <c r="C193">
        <v>30</v>
      </c>
      <c r="D193" s="1">
        <v>45844.333333333336</v>
      </c>
      <c r="E193">
        <v>455.13640341495079</v>
      </c>
      <c r="F193">
        <v>-2245.978354906812</v>
      </c>
      <c r="G193">
        <v>2969.847607426424</v>
      </c>
      <c r="H193" s="1">
        <v>45838.333333333336</v>
      </c>
    </row>
    <row r="194" spans="1:8" x14ac:dyDescent="0.25">
      <c r="A194" s="7">
        <f>DATE(YEAR(m1_crossvalid[[#This Row],[cutoff]]),MONTH(m1_crossvalid[[#This Row],[cutoff]]),DAY(m1_crossvalid[[#This Row],[cutoff]]))</f>
        <v>45838</v>
      </c>
      <c r="B194" s="7">
        <f>DATE(YEAR(m1_crossvalid[[#This Row],[ds]]),MONTH(m1_crossvalid[[#This Row],[ds]]),DAY(m1_crossvalid[[#This Row],[ds]]))</f>
        <v>45845</v>
      </c>
      <c r="C194">
        <v>1218</v>
      </c>
      <c r="D194" s="1">
        <v>45845.333333333336</v>
      </c>
      <c r="E194">
        <v>2753.7463123996658</v>
      </c>
      <c r="F194">
        <v>145.46770045978167</v>
      </c>
      <c r="G194">
        <v>5361.2901274834203</v>
      </c>
      <c r="H194" s="1">
        <v>45838.333333333336</v>
      </c>
    </row>
    <row r="195" spans="1:8" x14ac:dyDescent="0.25">
      <c r="A195" s="7">
        <f>DATE(YEAR(m1_crossvalid[[#This Row],[cutoff]]),MONTH(m1_crossvalid[[#This Row],[cutoff]]),DAY(m1_crossvalid[[#This Row],[cutoff]]))</f>
        <v>45838</v>
      </c>
      <c r="B195" s="7">
        <f>DATE(YEAR(m1_crossvalid[[#This Row],[ds]]),MONTH(m1_crossvalid[[#This Row],[ds]]),DAY(m1_crossvalid[[#This Row],[ds]]))</f>
        <v>45846</v>
      </c>
      <c r="C195">
        <v>1543</v>
      </c>
      <c r="D195" s="1">
        <v>45846.333333333336</v>
      </c>
      <c r="E195">
        <v>3235.4233755421865</v>
      </c>
      <c r="F195">
        <v>535.13854747179846</v>
      </c>
      <c r="G195">
        <v>5927.2434215500889</v>
      </c>
      <c r="H195" s="1">
        <v>45838.333333333336</v>
      </c>
    </row>
    <row r="196" spans="1:8" x14ac:dyDescent="0.25">
      <c r="A196" s="7">
        <f>DATE(YEAR(m1_crossvalid[[#This Row],[cutoff]]),MONTH(m1_crossvalid[[#This Row],[cutoff]]),DAY(m1_crossvalid[[#This Row],[cutoff]]))</f>
        <v>45838</v>
      </c>
      <c r="B196" s="7">
        <f>DATE(YEAR(m1_crossvalid[[#This Row],[ds]]),MONTH(m1_crossvalid[[#This Row],[ds]]),DAY(m1_crossvalid[[#This Row],[ds]]))</f>
        <v>45847</v>
      </c>
      <c r="C196">
        <v>2120</v>
      </c>
      <c r="D196" s="1">
        <v>45847.333333333336</v>
      </c>
      <c r="E196">
        <v>3264.6335826449649</v>
      </c>
      <c r="F196">
        <v>642.79936403663828</v>
      </c>
      <c r="G196">
        <v>5872.9521802444651</v>
      </c>
      <c r="H196" s="1">
        <v>45838.333333333336</v>
      </c>
    </row>
    <row r="197" spans="1:8" x14ac:dyDescent="0.25">
      <c r="A197" s="7">
        <f>DATE(YEAR(m1_crossvalid[[#This Row],[cutoff]]),MONTH(m1_crossvalid[[#This Row],[cutoff]]),DAY(m1_crossvalid[[#This Row],[cutoff]]))</f>
        <v>45838</v>
      </c>
      <c r="B197" s="7">
        <f>DATE(YEAR(m1_crossvalid[[#This Row],[ds]]),MONTH(m1_crossvalid[[#This Row],[ds]]),DAY(m1_crossvalid[[#This Row],[ds]]))</f>
        <v>45848</v>
      </c>
      <c r="C197">
        <v>2298</v>
      </c>
      <c r="D197" s="1">
        <v>45848.333333333336</v>
      </c>
      <c r="E197">
        <v>3252.0596513867927</v>
      </c>
      <c r="F197">
        <v>426.35660699254163</v>
      </c>
      <c r="G197">
        <v>5970.4982211777779</v>
      </c>
      <c r="H197" s="1">
        <v>45838.333333333336</v>
      </c>
    </row>
    <row r="198" spans="1:8" x14ac:dyDescent="0.25">
      <c r="A198" s="7">
        <f>DATE(YEAR(m1_crossvalid[[#This Row],[cutoff]]),MONTH(m1_crossvalid[[#This Row],[cutoff]]),DAY(m1_crossvalid[[#This Row],[cutoff]]))</f>
        <v>45838</v>
      </c>
      <c r="B198" s="7">
        <f>DATE(YEAR(m1_crossvalid[[#This Row],[ds]]),MONTH(m1_crossvalid[[#This Row],[ds]]),DAY(m1_crossvalid[[#This Row],[ds]]))</f>
        <v>45849</v>
      </c>
      <c r="C198">
        <v>2183</v>
      </c>
      <c r="D198" s="1">
        <v>45849.333333333336</v>
      </c>
      <c r="E198">
        <v>3223.1279786388932</v>
      </c>
      <c r="F198">
        <v>599.69552281657798</v>
      </c>
      <c r="G198">
        <v>5986.6853007591608</v>
      </c>
      <c r="H198" s="1">
        <v>45838.333333333336</v>
      </c>
    </row>
    <row r="199" spans="1:8" x14ac:dyDescent="0.25">
      <c r="A199" s="7">
        <f>DATE(YEAR(m1_crossvalid[[#This Row],[cutoff]]),MONTH(m1_crossvalid[[#This Row],[cutoff]]),DAY(m1_crossvalid[[#This Row],[cutoff]]))</f>
        <v>45838</v>
      </c>
      <c r="B199" s="7">
        <f>DATE(YEAR(m1_crossvalid[[#This Row],[ds]]),MONTH(m1_crossvalid[[#This Row],[ds]]),DAY(m1_crossvalid[[#This Row],[ds]]))</f>
        <v>45850</v>
      </c>
      <c r="C199">
        <v>462</v>
      </c>
      <c r="D199" s="1">
        <v>45850.333333333336</v>
      </c>
      <c r="E199">
        <v>968.60311591546633</v>
      </c>
      <c r="F199">
        <v>-1446.3067854369681</v>
      </c>
      <c r="G199">
        <v>3628.7028916814793</v>
      </c>
      <c r="H199" s="1">
        <v>45838.333333333336</v>
      </c>
    </row>
    <row r="200" spans="1:8" x14ac:dyDescent="0.25">
      <c r="A200" s="7">
        <f>DATE(YEAR(m1_crossvalid[[#This Row],[cutoff]]),MONTH(m1_crossvalid[[#This Row],[cutoff]]),DAY(m1_crossvalid[[#This Row],[cutoff]]))</f>
        <v>45838</v>
      </c>
      <c r="B200" s="7">
        <f>DATE(YEAR(m1_crossvalid[[#This Row],[ds]]),MONTH(m1_crossvalid[[#This Row],[ds]]),DAY(m1_crossvalid[[#This Row],[ds]]))</f>
        <v>45851</v>
      </c>
      <c r="C200">
        <v>114</v>
      </c>
      <c r="D200" s="1">
        <v>45851.333333333336</v>
      </c>
      <c r="E200">
        <v>398.32298005375469</v>
      </c>
      <c r="F200">
        <v>-2252.1672021858867</v>
      </c>
      <c r="G200">
        <v>2995.496708502164</v>
      </c>
      <c r="H200" s="1">
        <v>45838.333333333336</v>
      </c>
    </row>
    <row r="201" spans="1:8" x14ac:dyDescent="0.25">
      <c r="A201" s="7">
        <f>DATE(YEAR(m1_crossvalid[[#This Row],[cutoff]]),MONTH(m1_crossvalid[[#This Row],[cutoff]]),DAY(m1_crossvalid[[#This Row],[cutoff]]))</f>
        <v>45838</v>
      </c>
      <c r="B201" s="7">
        <f>DATE(YEAR(m1_crossvalid[[#This Row],[ds]]),MONTH(m1_crossvalid[[#This Row],[ds]]),DAY(m1_crossvalid[[#This Row],[ds]]))</f>
        <v>45852</v>
      </c>
      <c r="C201">
        <v>2356</v>
      </c>
      <c r="D201" s="1">
        <v>45852.333333333336</v>
      </c>
      <c r="E201">
        <v>2692.7017460024308</v>
      </c>
      <c r="F201">
        <v>-11.028834043370201</v>
      </c>
      <c r="G201">
        <v>5574.7355823486359</v>
      </c>
      <c r="H201" s="1">
        <v>45838.333333333336</v>
      </c>
    </row>
    <row r="202" spans="1:8" x14ac:dyDescent="0.25">
      <c r="A202" s="7">
        <f>DATE(YEAR(m1_crossvalid[[#This Row],[cutoff]]),MONTH(m1_crossvalid[[#This Row],[cutoff]]),DAY(m1_crossvalid[[#This Row],[cutoff]]))</f>
        <v>45838</v>
      </c>
      <c r="B202" s="7">
        <f>DATE(YEAR(m1_crossvalid[[#This Row],[ds]]),MONTH(m1_crossvalid[[#This Row],[ds]]),DAY(m1_crossvalid[[#This Row],[ds]]))</f>
        <v>45853</v>
      </c>
      <c r="C202">
        <v>2694</v>
      </c>
      <c r="D202" s="1">
        <v>45853.333333333336</v>
      </c>
      <c r="E202">
        <v>3172.280298210314</v>
      </c>
      <c r="F202">
        <v>270.58657819293785</v>
      </c>
      <c r="G202">
        <v>5706.9511004841852</v>
      </c>
      <c r="H202" s="1">
        <v>45838.333333333336</v>
      </c>
    </row>
    <row r="203" spans="1:8" x14ac:dyDescent="0.25">
      <c r="A203" s="7">
        <f>DATE(YEAR(m1_crossvalid[[#This Row],[cutoff]]),MONTH(m1_crossvalid[[#This Row],[cutoff]]),DAY(m1_crossvalid[[#This Row],[cutoff]]))</f>
        <v>45838</v>
      </c>
      <c r="B203" s="7">
        <f>DATE(YEAR(m1_crossvalid[[#This Row],[ds]]),MONTH(m1_crossvalid[[#This Row],[ds]]),DAY(m1_crossvalid[[#This Row],[ds]]))</f>
        <v>45854</v>
      </c>
      <c r="C203">
        <v>2796</v>
      </c>
      <c r="D203" s="1">
        <v>45854.333333333336</v>
      </c>
      <c r="E203">
        <v>3201.6029603446705</v>
      </c>
      <c r="F203">
        <v>617.90416679442762</v>
      </c>
      <c r="G203">
        <v>6113.9200627980672</v>
      </c>
      <c r="H203" s="1">
        <v>45838.333333333336</v>
      </c>
    </row>
    <row r="204" spans="1:8" x14ac:dyDescent="0.25">
      <c r="A204" s="7">
        <f>DATE(YEAR(m1_crossvalid[[#This Row],[cutoff]]),MONTH(m1_crossvalid[[#This Row],[cutoff]]),DAY(m1_crossvalid[[#This Row],[cutoff]]))</f>
        <v>45838</v>
      </c>
      <c r="B204" s="7">
        <f>DATE(YEAR(m1_crossvalid[[#This Row],[ds]]),MONTH(m1_crossvalid[[#This Row],[ds]]),DAY(m1_crossvalid[[#This Row],[ds]]))</f>
        <v>45855</v>
      </c>
      <c r="C204">
        <v>2972</v>
      </c>
      <c r="D204" s="1">
        <v>45855.333333333336</v>
      </c>
      <c r="E204">
        <v>3191.3758245634672</v>
      </c>
      <c r="F204">
        <v>369.75768532773543</v>
      </c>
      <c r="G204">
        <v>5856.9814732819186</v>
      </c>
      <c r="H204" s="1">
        <v>45838.333333333336</v>
      </c>
    </row>
    <row r="205" spans="1:8" x14ac:dyDescent="0.25">
      <c r="A205" s="7">
        <f>DATE(YEAR(m1_crossvalid[[#This Row],[cutoff]]),MONTH(m1_crossvalid[[#This Row],[cutoff]]),DAY(m1_crossvalid[[#This Row],[cutoff]]))</f>
        <v>45838</v>
      </c>
      <c r="B205" s="7">
        <f>DATE(YEAR(m1_crossvalid[[#This Row],[ds]]),MONTH(m1_crossvalid[[#This Row],[ds]]),DAY(m1_crossvalid[[#This Row],[ds]]))</f>
        <v>45856</v>
      </c>
      <c r="C205">
        <v>2891</v>
      </c>
      <c r="D205" s="1">
        <v>45856.333333333336</v>
      </c>
      <c r="E205">
        <v>3166.9938060210661</v>
      </c>
      <c r="F205">
        <v>467.33951634880714</v>
      </c>
      <c r="G205">
        <v>5844.1147472780749</v>
      </c>
      <c r="H205" s="1">
        <v>45838.333333333336</v>
      </c>
    </row>
    <row r="206" spans="1:8" x14ac:dyDescent="0.25">
      <c r="A206" s="7">
        <f>DATE(YEAR(m1_crossvalid[[#This Row],[cutoff]]),MONTH(m1_crossvalid[[#This Row],[cutoff]]),DAY(m1_crossvalid[[#This Row],[cutoff]]))</f>
        <v>45838</v>
      </c>
      <c r="B206" s="7">
        <f>DATE(YEAR(m1_crossvalid[[#This Row],[ds]]),MONTH(m1_crossvalid[[#This Row],[ds]]),DAY(m1_crossvalid[[#This Row],[ds]]))</f>
        <v>45857</v>
      </c>
      <c r="C206">
        <v>521</v>
      </c>
      <c r="D206" s="1">
        <v>45857.333333333336</v>
      </c>
      <c r="E206">
        <v>919.1365609180325</v>
      </c>
      <c r="F206">
        <v>-1564.0088111564771</v>
      </c>
      <c r="G206">
        <v>3690.3640393168466</v>
      </c>
      <c r="H206" s="1">
        <v>45838.333333333336</v>
      </c>
    </row>
    <row r="207" spans="1:8" x14ac:dyDescent="0.25">
      <c r="A207" s="7">
        <f>DATE(YEAR(m1_crossvalid[[#This Row],[cutoff]]),MONTH(m1_crossvalid[[#This Row],[cutoff]]),DAY(m1_crossvalid[[#This Row],[cutoff]]))</f>
        <v>45838</v>
      </c>
      <c r="B207" s="7">
        <f>DATE(YEAR(m1_crossvalid[[#This Row],[ds]]),MONTH(m1_crossvalid[[#This Row],[ds]]),DAY(m1_crossvalid[[#This Row],[ds]]))</f>
        <v>45858</v>
      </c>
      <c r="C207">
        <v>189</v>
      </c>
      <c r="D207" s="1">
        <v>45858.333333333336</v>
      </c>
      <c r="E207">
        <v>357.5064166868674</v>
      </c>
      <c r="F207">
        <v>-2204.1338981445097</v>
      </c>
      <c r="G207">
        <v>3315.5020326667241</v>
      </c>
      <c r="H207" s="1">
        <v>45838.333333333336</v>
      </c>
    </row>
    <row r="208" spans="1:8" x14ac:dyDescent="0.25">
      <c r="A208" s="7">
        <f>DATE(YEAR(m1_crossvalid[[#This Row],[cutoff]]),MONTH(m1_crossvalid[[#This Row],[cutoff]]),DAY(m1_crossvalid[[#This Row],[cutoff]]))</f>
        <v>45838</v>
      </c>
      <c r="B208" s="7">
        <f>DATE(YEAR(m1_crossvalid[[#This Row],[ds]]),MONTH(m1_crossvalid[[#This Row],[ds]]),DAY(m1_crossvalid[[#This Row],[ds]]))</f>
        <v>45859</v>
      </c>
      <c r="C208">
        <v>2798</v>
      </c>
      <c r="D208" s="1">
        <v>45859.333333333336</v>
      </c>
      <c r="E208">
        <v>2662.3351675823005</v>
      </c>
      <c r="F208">
        <v>-5.4940284960160692</v>
      </c>
      <c r="G208">
        <v>5308.2958904263642</v>
      </c>
      <c r="H208" s="1">
        <v>45838.333333333336</v>
      </c>
    </row>
    <row r="209" spans="1:8" x14ac:dyDescent="0.25">
      <c r="A209" s="7">
        <f>DATE(YEAR(m1_crossvalid[[#This Row],[cutoff]]),MONTH(m1_crossvalid[[#This Row],[cutoff]]),DAY(m1_crossvalid[[#This Row],[cutoff]]))</f>
        <v>45838</v>
      </c>
      <c r="B209" s="7">
        <f>DATE(YEAR(m1_crossvalid[[#This Row],[ds]]),MONTH(m1_crossvalid[[#This Row],[ds]]),DAY(m1_crossvalid[[#This Row],[ds]]))</f>
        <v>45860</v>
      </c>
      <c r="C209">
        <v>2894</v>
      </c>
      <c r="D209" s="1">
        <v>45860.333333333336</v>
      </c>
      <c r="E209">
        <v>3153.9394909097718</v>
      </c>
      <c r="F209">
        <v>390.61910513622098</v>
      </c>
      <c r="G209">
        <v>6062.6569480989156</v>
      </c>
      <c r="H209" s="1">
        <v>45838.333333333336</v>
      </c>
    </row>
    <row r="210" spans="1:8" x14ac:dyDescent="0.25">
      <c r="A210" s="7">
        <f>DATE(YEAR(m1_crossvalid[[#This Row],[cutoff]]),MONTH(m1_crossvalid[[#This Row],[cutoff]]),DAY(m1_crossvalid[[#This Row],[cutoff]]))</f>
        <v>45838</v>
      </c>
      <c r="B210" s="7">
        <f>DATE(YEAR(m1_crossvalid[[#This Row],[ds]]),MONTH(m1_crossvalid[[#This Row],[ds]]),DAY(m1_crossvalid[[#This Row],[ds]]))</f>
        <v>45861</v>
      </c>
      <c r="C210">
        <v>3299</v>
      </c>
      <c r="D210" s="1">
        <v>45861.333333333336</v>
      </c>
      <c r="E210">
        <v>3196.6035580367061</v>
      </c>
      <c r="F210">
        <v>696.00783795554594</v>
      </c>
      <c r="G210">
        <v>5966.9328627267751</v>
      </c>
      <c r="H210" s="1">
        <v>45838.333333333336</v>
      </c>
    </row>
    <row r="211" spans="1:8" x14ac:dyDescent="0.25">
      <c r="A211" s="7">
        <f>DATE(YEAR(m1_crossvalid[[#This Row],[cutoff]]),MONTH(m1_crossvalid[[#This Row],[cutoff]]),DAY(m1_crossvalid[[#This Row],[cutoff]]))</f>
        <v>45838</v>
      </c>
      <c r="B211" s="7">
        <f>DATE(YEAR(m1_crossvalid[[#This Row],[ds]]),MONTH(m1_crossvalid[[#This Row],[ds]]),DAY(m1_crossvalid[[#This Row],[ds]]))</f>
        <v>45862</v>
      </c>
      <c r="C211">
        <v>3785</v>
      </c>
      <c r="D211" s="1">
        <v>45862.333333333336</v>
      </c>
      <c r="E211">
        <v>3200.7439962039457</v>
      </c>
      <c r="F211">
        <v>570.05413733749288</v>
      </c>
      <c r="G211">
        <v>5881.3658793097775</v>
      </c>
      <c r="H211" s="1">
        <v>45838.333333333336</v>
      </c>
    </row>
    <row r="212" spans="1:8" x14ac:dyDescent="0.25">
      <c r="A212" s="7">
        <f>DATE(YEAR(m1_crossvalid[[#This Row],[cutoff]]),MONTH(m1_crossvalid[[#This Row],[cutoff]]),DAY(m1_crossvalid[[#This Row],[cutoff]]))</f>
        <v>45838</v>
      </c>
      <c r="B212" s="7">
        <f>DATE(YEAR(m1_crossvalid[[#This Row],[ds]]),MONTH(m1_crossvalid[[#This Row],[ds]]),DAY(m1_crossvalid[[#This Row],[ds]]))</f>
        <v>45863</v>
      </c>
      <c r="C212">
        <v>3663</v>
      </c>
      <c r="D212" s="1">
        <v>45863.333333333336</v>
      </c>
      <c r="E212">
        <v>3191.4441464663214</v>
      </c>
      <c r="F212">
        <v>456.50279674142052</v>
      </c>
      <c r="G212">
        <v>5890.1600258868766</v>
      </c>
      <c r="H212" s="1">
        <v>45838.333333333336</v>
      </c>
    </row>
    <row r="213" spans="1:8" x14ac:dyDescent="0.25">
      <c r="A213" s="7">
        <f>DATE(YEAR(m1_crossvalid[[#This Row],[cutoff]]),MONTH(m1_crossvalid[[#This Row],[cutoff]]),DAY(m1_crossvalid[[#This Row],[cutoff]]))</f>
        <v>45838</v>
      </c>
      <c r="B213" s="7">
        <f>DATE(YEAR(m1_crossvalid[[#This Row],[ds]]),MONTH(m1_crossvalid[[#This Row],[ds]]),DAY(m1_crossvalid[[#This Row],[ds]]))</f>
        <v>45864</v>
      </c>
      <c r="C213">
        <v>901</v>
      </c>
      <c r="D213" s="1">
        <v>45864.333333333336</v>
      </c>
      <c r="E213">
        <v>959.05756564832814</v>
      </c>
      <c r="F213">
        <v>-1689.7415874919377</v>
      </c>
      <c r="G213">
        <v>3526.7498965412997</v>
      </c>
      <c r="H213" s="1">
        <v>45838.333333333336</v>
      </c>
    </row>
    <row r="214" spans="1:8" x14ac:dyDescent="0.25">
      <c r="A214" s="7">
        <f>DATE(YEAR(m1_crossvalid[[#This Row],[cutoff]]),MONTH(m1_crossvalid[[#This Row],[cutoff]]),DAY(m1_crossvalid[[#This Row],[cutoff]]))</f>
        <v>45838</v>
      </c>
      <c r="B214" s="7">
        <f>DATE(YEAR(m1_crossvalid[[#This Row],[ds]]),MONTH(m1_crossvalid[[#This Row],[ds]]),DAY(m1_crossvalid[[#This Row],[ds]]))</f>
        <v>45865</v>
      </c>
      <c r="C214">
        <v>262</v>
      </c>
      <c r="D214" s="1">
        <v>45865.333333333336</v>
      </c>
      <c r="E214">
        <v>412.95372561142267</v>
      </c>
      <c r="F214">
        <v>-2253.5504166672094</v>
      </c>
      <c r="G214">
        <v>3027.4616826950132</v>
      </c>
      <c r="H214" s="1">
        <v>45838.333333333336</v>
      </c>
    </row>
    <row r="215" spans="1:8" x14ac:dyDescent="0.25">
      <c r="A215" s="7">
        <f>DATE(YEAR(m1_crossvalid[[#This Row],[cutoff]]),MONTH(m1_crossvalid[[#This Row],[cutoff]]),DAY(m1_crossvalid[[#This Row],[cutoff]]))</f>
        <v>45838</v>
      </c>
      <c r="B215" s="7">
        <f>DATE(YEAR(m1_crossvalid[[#This Row],[ds]]),MONTH(m1_crossvalid[[#This Row],[ds]]),DAY(m1_crossvalid[[#This Row],[ds]]))</f>
        <v>45866</v>
      </c>
      <c r="C215">
        <v>4324</v>
      </c>
      <c r="D215" s="1">
        <v>45866.333333333336</v>
      </c>
      <c r="E215">
        <v>2733.0325680900833</v>
      </c>
      <c r="F215">
        <v>469.12022103134109</v>
      </c>
      <c r="G215">
        <v>5208.9236188380683</v>
      </c>
      <c r="H215" s="1">
        <v>45838.333333333336</v>
      </c>
    </row>
    <row r="216" spans="1:8" x14ac:dyDescent="0.25">
      <c r="A216" s="7">
        <f>DATE(YEAR(m1_crossvalid[[#This Row],[cutoff]]),MONTH(m1_crossvalid[[#This Row],[cutoff]]),DAY(m1_crossvalid[[#This Row],[cutoff]]))</f>
        <v>45838</v>
      </c>
      <c r="B216" s="7">
        <f>DATE(YEAR(m1_crossvalid[[#This Row],[ds]]),MONTH(m1_crossvalid[[#This Row],[ds]]),DAY(m1_crossvalid[[#This Row],[ds]]))</f>
        <v>45867</v>
      </c>
      <c r="C216">
        <v>5336</v>
      </c>
      <c r="D216" s="1">
        <v>45867.333333333336</v>
      </c>
      <c r="E216">
        <v>3239.2874806307123</v>
      </c>
      <c r="F216">
        <v>525.76401031556543</v>
      </c>
      <c r="G216">
        <v>5946.4364796260879</v>
      </c>
      <c r="H216" s="1">
        <v>45838.333333333336</v>
      </c>
    </row>
    <row r="217" spans="1:8" x14ac:dyDescent="0.25">
      <c r="A217" s="7">
        <f>DATE(YEAR(m1_crossvalid[[#This Row],[cutoff]]),MONTH(m1_crossvalid[[#This Row],[cutoff]]),DAY(m1_crossvalid[[#This Row],[cutoff]]))</f>
        <v>45838</v>
      </c>
      <c r="B217" s="7">
        <f>DATE(YEAR(m1_crossvalid[[#This Row],[ds]]),MONTH(m1_crossvalid[[#This Row],[ds]]),DAY(m1_crossvalid[[#This Row],[ds]]))</f>
        <v>45868</v>
      </c>
      <c r="C217">
        <v>8373</v>
      </c>
      <c r="D217" s="1">
        <v>45868.333333333336</v>
      </c>
      <c r="E217">
        <v>3295.6950879854521</v>
      </c>
      <c r="F217">
        <v>823.04272219841596</v>
      </c>
      <c r="G217">
        <v>5831.3028083753179</v>
      </c>
      <c r="H217" s="1">
        <v>45838.333333333336</v>
      </c>
    </row>
    <row r="218" spans="1:8" x14ac:dyDescent="0.25">
      <c r="A218" s="7">
        <f>DATE(YEAR(m1_crossvalid[[#This Row],[cutoff]]),MONTH(m1_crossvalid[[#This Row],[cutoff]]),DAY(m1_crossvalid[[#This Row],[cutoff]]))</f>
        <v>45838</v>
      </c>
      <c r="B218" s="7">
        <f>DATE(YEAR(m1_crossvalid[[#This Row],[ds]]),MONTH(m1_crossvalid[[#This Row],[ds]]),DAY(m1_crossvalid[[#This Row],[ds]]))</f>
        <v>45869</v>
      </c>
      <c r="C218">
        <v>11889</v>
      </c>
      <c r="D218" s="1">
        <v>45869.333333333336</v>
      </c>
      <c r="E218">
        <v>3312.3868499849318</v>
      </c>
      <c r="F218">
        <v>565.94399897342294</v>
      </c>
      <c r="G218">
        <v>6107.8039464128997</v>
      </c>
      <c r="H218" s="1">
        <v>45838.333333333336</v>
      </c>
    </row>
    <row r="219" spans="1:8" x14ac:dyDescent="0.25">
      <c r="A219" s="7">
        <f>DATE(YEAR(m1_crossvalid[[#This Row],[cutoff]]),MONTH(m1_crossvalid[[#This Row],[cutoff]]),DAY(m1_crossvalid[[#This Row],[cutoff]]))</f>
        <v>45869</v>
      </c>
      <c r="B219" s="7">
        <f>DATE(YEAR(m1_crossvalid[[#This Row],[ds]]),MONTH(m1_crossvalid[[#This Row],[ds]]),DAY(m1_crossvalid[[#This Row],[ds]]))</f>
        <v>45870</v>
      </c>
      <c r="C219">
        <v>761</v>
      </c>
      <c r="D219" s="1">
        <v>45870.333333333336</v>
      </c>
      <c r="E219">
        <v>3635.4984822020147</v>
      </c>
      <c r="F219">
        <v>956.39987582788433</v>
      </c>
      <c r="G219">
        <v>6304.4177592473534</v>
      </c>
      <c r="H219" s="1">
        <v>45869.333333333336</v>
      </c>
    </row>
    <row r="220" spans="1:8" x14ac:dyDescent="0.25">
      <c r="A220" s="7">
        <f>DATE(YEAR(m1_crossvalid[[#This Row],[cutoff]]),MONTH(m1_crossvalid[[#This Row],[cutoff]]),DAY(m1_crossvalid[[#This Row],[cutoff]]))</f>
        <v>45869</v>
      </c>
      <c r="B220" s="7">
        <f>DATE(YEAR(m1_crossvalid[[#This Row],[ds]]),MONTH(m1_crossvalid[[#This Row],[ds]]),DAY(m1_crossvalid[[#This Row],[ds]]))</f>
        <v>45871</v>
      </c>
      <c r="C220">
        <v>74</v>
      </c>
      <c r="D220" s="1">
        <v>45871.333333333336</v>
      </c>
      <c r="E220">
        <v>1412.2078059990358</v>
      </c>
      <c r="F220">
        <v>-1199.6832337401888</v>
      </c>
      <c r="G220">
        <v>4071.9979382984566</v>
      </c>
      <c r="H220" s="1">
        <v>45869.333333333336</v>
      </c>
    </row>
    <row r="221" spans="1:8" x14ac:dyDescent="0.25">
      <c r="A221" s="7">
        <f>DATE(YEAR(m1_crossvalid[[#This Row],[cutoff]]),MONTH(m1_crossvalid[[#This Row],[cutoff]]),DAY(m1_crossvalid[[#This Row],[cutoff]]))</f>
        <v>45869</v>
      </c>
      <c r="B221" s="7">
        <f>DATE(YEAR(m1_crossvalid[[#This Row],[ds]]),MONTH(m1_crossvalid[[#This Row],[ds]]),DAY(m1_crossvalid[[#This Row],[ds]]))</f>
        <v>45872</v>
      </c>
      <c r="C221">
        <v>28</v>
      </c>
      <c r="D221" s="1">
        <v>45872.333333333336</v>
      </c>
      <c r="E221">
        <v>865.80942297598153</v>
      </c>
      <c r="F221">
        <v>-1725.5361866082576</v>
      </c>
      <c r="G221">
        <v>3643.4082686335282</v>
      </c>
      <c r="H221" s="1">
        <v>45869.333333333336</v>
      </c>
    </row>
    <row r="222" spans="1:8" x14ac:dyDescent="0.25">
      <c r="A222" s="7">
        <f>DATE(YEAR(m1_crossvalid[[#This Row],[cutoff]]),MONTH(m1_crossvalid[[#This Row],[cutoff]]),DAY(m1_crossvalid[[#This Row],[cutoff]]))</f>
        <v>45869</v>
      </c>
      <c r="B222" s="7">
        <f>DATE(YEAR(m1_crossvalid[[#This Row],[ds]]),MONTH(m1_crossvalid[[#This Row],[ds]]),DAY(m1_crossvalid[[#This Row],[ds]]))</f>
        <v>45873</v>
      </c>
      <c r="C222">
        <v>912</v>
      </c>
      <c r="D222" s="1">
        <v>45873.333333333336</v>
      </c>
      <c r="E222">
        <v>3182.4854990732588</v>
      </c>
      <c r="F222">
        <v>531.83779920998745</v>
      </c>
      <c r="G222">
        <v>5794.3573610706499</v>
      </c>
      <c r="H222" s="1">
        <v>45869.333333333336</v>
      </c>
    </row>
    <row r="223" spans="1:8" x14ac:dyDescent="0.25">
      <c r="A223" s="7">
        <f>DATE(YEAR(m1_crossvalid[[#This Row],[cutoff]]),MONTH(m1_crossvalid[[#This Row],[cutoff]]),DAY(m1_crossvalid[[#This Row],[cutoff]]))</f>
        <v>45869</v>
      </c>
      <c r="B223" s="7">
        <f>DATE(YEAR(m1_crossvalid[[#This Row],[ds]]),MONTH(m1_crossvalid[[#This Row],[ds]]),DAY(m1_crossvalid[[#This Row],[ds]]))</f>
        <v>45874</v>
      </c>
      <c r="C223">
        <v>2022</v>
      </c>
      <c r="D223" s="1">
        <v>45874.333333333336</v>
      </c>
      <c r="E223">
        <v>3658.7051667609157</v>
      </c>
      <c r="F223">
        <v>1066.3779222553501</v>
      </c>
      <c r="G223">
        <v>6292.5326985626734</v>
      </c>
      <c r="H223" s="1">
        <v>45869.333333333336</v>
      </c>
    </row>
    <row r="224" spans="1:8" x14ac:dyDescent="0.25">
      <c r="A224" s="7">
        <f>DATE(YEAR(m1_crossvalid[[#This Row],[cutoff]]),MONTH(m1_crossvalid[[#This Row],[cutoff]]),DAY(m1_crossvalid[[#This Row],[cutoff]]))</f>
        <v>45869</v>
      </c>
      <c r="B224" s="7">
        <f>DATE(YEAR(m1_crossvalid[[#This Row],[ds]]),MONTH(m1_crossvalid[[#This Row],[ds]]),DAY(m1_crossvalid[[#This Row],[ds]]))</f>
        <v>45875</v>
      </c>
      <c r="C224">
        <v>1344</v>
      </c>
      <c r="D224" s="1">
        <v>45875.333333333336</v>
      </c>
      <c r="E224">
        <v>3716.4166739449465</v>
      </c>
      <c r="F224">
        <v>1070.3405531912763</v>
      </c>
      <c r="G224">
        <v>6222.5894608764866</v>
      </c>
      <c r="H224" s="1">
        <v>45869.333333333336</v>
      </c>
    </row>
    <row r="225" spans="1:8" x14ac:dyDescent="0.25">
      <c r="A225" s="7">
        <f>DATE(YEAR(m1_crossvalid[[#This Row],[cutoff]]),MONTH(m1_crossvalid[[#This Row],[cutoff]]),DAY(m1_crossvalid[[#This Row],[cutoff]]))</f>
        <v>45869</v>
      </c>
      <c r="B225" s="7">
        <f>DATE(YEAR(m1_crossvalid[[#This Row],[ds]]),MONTH(m1_crossvalid[[#This Row],[ds]]),DAY(m1_crossvalid[[#This Row],[ds]]))</f>
        <v>45876</v>
      </c>
      <c r="C225">
        <v>1585</v>
      </c>
      <c r="D225" s="1">
        <v>45876.333333333336</v>
      </c>
      <c r="E225">
        <v>3732.8600110949301</v>
      </c>
      <c r="F225">
        <v>1097.7756417560838</v>
      </c>
      <c r="G225">
        <v>6456.489631686768</v>
      </c>
      <c r="H225" s="1">
        <v>45869.333333333336</v>
      </c>
    </row>
    <row r="226" spans="1:8" x14ac:dyDescent="0.25">
      <c r="A226" s="7">
        <f>DATE(YEAR(m1_crossvalid[[#This Row],[cutoff]]),MONTH(m1_crossvalid[[#This Row],[cutoff]]),DAY(m1_crossvalid[[#This Row],[cutoff]]))</f>
        <v>45869</v>
      </c>
      <c r="B226" s="7">
        <f>DATE(YEAR(m1_crossvalid[[#This Row],[ds]]),MONTH(m1_crossvalid[[#This Row],[ds]]),DAY(m1_crossvalid[[#This Row],[ds]]))</f>
        <v>45877</v>
      </c>
      <c r="C226">
        <v>2032</v>
      </c>
      <c r="D226" s="1">
        <v>45877.333333333336</v>
      </c>
      <c r="E226">
        <v>3660.7311156049618</v>
      </c>
      <c r="F226">
        <v>971.84671629866352</v>
      </c>
      <c r="G226">
        <v>6473.1522521645647</v>
      </c>
      <c r="H226" s="1">
        <v>45869.333333333336</v>
      </c>
    </row>
    <row r="227" spans="1:8" x14ac:dyDescent="0.25">
      <c r="A227" s="7">
        <f>DATE(YEAR(m1_crossvalid[[#This Row],[cutoff]]),MONTH(m1_crossvalid[[#This Row],[cutoff]]),DAY(m1_crossvalid[[#This Row],[cutoff]]))</f>
        <v>45869</v>
      </c>
      <c r="B227" s="7">
        <f>DATE(YEAR(m1_crossvalid[[#This Row],[ds]]),MONTH(m1_crossvalid[[#This Row],[ds]]),DAY(m1_crossvalid[[#This Row],[ds]]))</f>
        <v>45878</v>
      </c>
      <c r="C227">
        <v>327</v>
      </c>
      <c r="D227" s="1">
        <v>45878.333333333336</v>
      </c>
      <c r="E227">
        <v>1410.9232232708996</v>
      </c>
      <c r="F227">
        <v>-1213.642838275535</v>
      </c>
      <c r="G227">
        <v>4270.6772890007651</v>
      </c>
      <c r="H227" s="1">
        <v>45869.333333333336</v>
      </c>
    </row>
    <row r="228" spans="1:8" x14ac:dyDescent="0.25">
      <c r="A228" s="7">
        <f>DATE(YEAR(m1_crossvalid[[#This Row],[cutoff]]),MONTH(m1_crossvalid[[#This Row],[cutoff]]),DAY(m1_crossvalid[[#This Row],[cutoff]]))</f>
        <v>45869</v>
      </c>
      <c r="B228" s="7">
        <f>DATE(YEAR(m1_crossvalid[[#This Row],[ds]]),MONTH(m1_crossvalid[[#This Row],[ds]]),DAY(m1_crossvalid[[#This Row],[ds]]))</f>
        <v>45879</v>
      </c>
      <c r="C228">
        <v>78</v>
      </c>
      <c r="D228" s="1">
        <v>45879.333333333336</v>
      </c>
      <c r="E228">
        <v>839.54908449618301</v>
      </c>
      <c r="F228">
        <v>-1661.9830882756162</v>
      </c>
      <c r="G228">
        <v>3522.4127742365567</v>
      </c>
      <c r="H228" s="1">
        <v>45869.333333333336</v>
      </c>
    </row>
    <row r="229" spans="1:8" x14ac:dyDescent="0.25">
      <c r="A229" s="7">
        <f>DATE(YEAR(m1_crossvalid[[#This Row],[cutoff]]),MONTH(m1_crossvalid[[#This Row],[cutoff]]),DAY(m1_crossvalid[[#This Row],[cutoff]]))</f>
        <v>45869</v>
      </c>
      <c r="B229" s="7">
        <f>DATE(YEAR(m1_crossvalid[[#This Row],[ds]]),MONTH(m1_crossvalid[[#This Row],[ds]]),DAY(m1_crossvalid[[#This Row],[ds]]))</f>
        <v>45880</v>
      </c>
      <c r="C229">
        <v>2043</v>
      </c>
      <c r="D229" s="1">
        <v>45880.333333333336</v>
      </c>
      <c r="E229">
        <v>3133.1923121759874</v>
      </c>
      <c r="F229">
        <v>535.10213670146277</v>
      </c>
      <c r="G229">
        <v>5830.5152445605199</v>
      </c>
      <c r="H229" s="1">
        <v>45869.333333333336</v>
      </c>
    </row>
    <row r="230" spans="1:8" x14ac:dyDescent="0.25">
      <c r="A230" s="7">
        <f>DATE(YEAR(m1_crossvalid[[#This Row],[cutoff]]),MONTH(m1_crossvalid[[#This Row],[cutoff]]),DAY(m1_crossvalid[[#This Row],[cutoff]]))</f>
        <v>45869</v>
      </c>
      <c r="B230" s="7">
        <f>DATE(YEAR(m1_crossvalid[[#This Row],[ds]]),MONTH(m1_crossvalid[[#This Row],[ds]]),DAY(m1_crossvalid[[#This Row],[ds]]))</f>
        <v>45881</v>
      </c>
      <c r="C230">
        <v>2431</v>
      </c>
      <c r="D230" s="1">
        <v>45881.333333333336</v>
      </c>
      <c r="E230">
        <v>3588.6655736099692</v>
      </c>
      <c r="F230">
        <v>939.45047663845867</v>
      </c>
      <c r="G230">
        <v>6017.9588862793653</v>
      </c>
      <c r="H230" s="1">
        <v>45869.333333333336</v>
      </c>
    </row>
    <row r="231" spans="1:8" x14ac:dyDescent="0.25">
      <c r="A231" s="7">
        <f>DATE(YEAR(m1_crossvalid[[#This Row],[cutoff]]),MONTH(m1_crossvalid[[#This Row],[cutoff]]),DAY(m1_crossvalid[[#This Row],[cutoff]]))</f>
        <v>45869</v>
      </c>
      <c r="B231" s="7">
        <f>DATE(YEAR(m1_crossvalid[[#This Row],[ds]]),MONTH(m1_crossvalid[[#This Row],[ds]]),DAY(m1_crossvalid[[#This Row],[ds]]))</f>
        <v>45882</v>
      </c>
      <c r="C231">
        <v>2484</v>
      </c>
      <c r="D231" s="1">
        <v>45882.333333333336</v>
      </c>
      <c r="E231">
        <v>3628.1957055750058</v>
      </c>
      <c r="F231">
        <v>987.04729419956891</v>
      </c>
      <c r="G231">
        <v>6200.1453716596197</v>
      </c>
      <c r="H231" s="1">
        <v>45869.333333333336</v>
      </c>
    </row>
    <row r="232" spans="1:8" x14ac:dyDescent="0.25">
      <c r="A232" s="7">
        <f>DATE(YEAR(m1_crossvalid[[#This Row],[cutoff]]),MONTH(m1_crossvalid[[#This Row],[cutoff]]),DAY(m1_crossvalid[[#This Row],[cutoff]]))</f>
        <v>45869</v>
      </c>
      <c r="B232" s="7">
        <f>DATE(YEAR(m1_crossvalid[[#This Row],[ds]]),MONTH(m1_crossvalid[[#This Row],[ds]]),DAY(m1_crossvalid[[#This Row],[ds]]))</f>
        <v>45883</v>
      </c>
      <c r="C232">
        <v>2669</v>
      </c>
      <c r="D232" s="1">
        <v>45883.333333333336</v>
      </c>
      <c r="E232">
        <v>3629.2311397794861</v>
      </c>
      <c r="F232">
        <v>1084.7976543425002</v>
      </c>
      <c r="G232">
        <v>6244.1161896445965</v>
      </c>
      <c r="H232" s="1">
        <v>45869.333333333336</v>
      </c>
    </row>
    <row r="233" spans="1:8" x14ac:dyDescent="0.25">
      <c r="A233" s="7">
        <f>DATE(YEAR(m1_crossvalid[[#This Row],[cutoff]]),MONTH(m1_crossvalid[[#This Row],[cutoff]]),DAY(m1_crossvalid[[#This Row],[cutoff]]))</f>
        <v>45869</v>
      </c>
      <c r="B233" s="7">
        <f>DATE(YEAR(m1_crossvalid[[#This Row],[ds]]),MONTH(m1_crossvalid[[#This Row],[ds]]),DAY(m1_crossvalid[[#This Row],[ds]]))</f>
        <v>45884</v>
      </c>
      <c r="C233">
        <v>3160</v>
      </c>
      <c r="D233" s="1">
        <v>45884.333333333336</v>
      </c>
      <c r="E233">
        <v>3544.6028530132239</v>
      </c>
      <c r="F233">
        <v>1021.0453229627901</v>
      </c>
      <c r="G233">
        <v>6348.9780444855987</v>
      </c>
      <c r="H233" s="1">
        <v>45869.333333333336</v>
      </c>
    </row>
    <row r="234" spans="1:8" x14ac:dyDescent="0.25">
      <c r="A234" s="7">
        <f>DATE(YEAR(m1_crossvalid[[#This Row],[cutoff]]),MONTH(m1_crossvalid[[#This Row],[cutoff]]),DAY(m1_crossvalid[[#This Row],[cutoff]]))</f>
        <v>45869</v>
      </c>
      <c r="B234" s="7">
        <f>DATE(YEAR(m1_crossvalid[[#This Row],[ds]]),MONTH(m1_crossvalid[[#This Row],[ds]]),DAY(m1_crossvalid[[#This Row],[ds]]))</f>
        <v>45885</v>
      </c>
      <c r="C234">
        <v>560</v>
      </c>
      <c r="D234" s="1">
        <v>45885.333333333336</v>
      </c>
      <c r="E234">
        <v>1285.264471783576</v>
      </c>
      <c r="F234">
        <v>-1394.97755935896</v>
      </c>
      <c r="G234">
        <v>3900.4682308087513</v>
      </c>
      <c r="H234" s="1">
        <v>45869.333333333336</v>
      </c>
    </row>
    <row r="235" spans="1:8" x14ac:dyDescent="0.25">
      <c r="A235" s="7">
        <f>DATE(YEAR(m1_crossvalid[[#This Row],[cutoff]]),MONTH(m1_crossvalid[[#This Row],[cutoff]]),DAY(m1_crossvalid[[#This Row],[cutoff]]))</f>
        <v>45869</v>
      </c>
      <c r="B235" s="7">
        <f>DATE(YEAR(m1_crossvalid[[#This Row],[ds]]),MONTH(m1_crossvalid[[#This Row],[ds]]),DAY(m1_crossvalid[[#This Row],[ds]]))</f>
        <v>45886</v>
      </c>
      <c r="C235">
        <v>166</v>
      </c>
      <c r="D235" s="1">
        <v>45886.333333333336</v>
      </c>
      <c r="E235">
        <v>707.31525238172048</v>
      </c>
      <c r="F235">
        <v>-2179.6975247460637</v>
      </c>
      <c r="G235">
        <v>3294.4223245386843</v>
      </c>
      <c r="H235" s="1">
        <v>45869.333333333336</v>
      </c>
    </row>
    <row r="236" spans="1:8" x14ac:dyDescent="0.25">
      <c r="A236" s="7">
        <f>DATE(YEAR(m1_crossvalid[[#This Row],[cutoff]]),MONTH(m1_crossvalid[[#This Row],[cutoff]]),DAY(m1_crossvalid[[#This Row],[cutoff]]))</f>
        <v>45869</v>
      </c>
      <c r="B236" s="7">
        <f>DATE(YEAR(m1_crossvalid[[#This Row],[ds]]),MONTH(m1_crossvalid[[#This Row],[ds]]),DAY(m1_crossvalid[[#This Row],[ds]]))</f>
        <v>45887</v>
      </c>
      <c r="C236">
        <v>3003</v>
      </c>
      <c r="D236" s="1">
        <v>45887.333333333336</v>
      </c>
      <c r="E236">
        <v>2997.2541508290483</v>
      </c>
      <c r="F236">
        <v>211.19628703238948</v>
      </c>
      <c r="G236">
        <v>5662.4266368816998</v>
      </c>
      <c r="H236" s="1">
        <v>45869.333333333336</v>
      </c>
    </row>
    <row r="237" spans="1:8" x14ac:dyDescent="0.25">
      <c r="A237" s="7">
        <f>DATE(YEAR(m1_crossvalid[[#This Row],[cutoff]]),MONTH(m1_crossvalid[[#This Row],[cutoff]]),DAY(m1_crossvalid[[#This Row],[cutoff]]))</f>
        <v>45869</v>
      </c>
      <c r="B237" s="7">
        <f>DATE(YEAR(m1_crossvalid[[#This Row],[ds]]),MONTH(m1_crossvalid[[#This Row],[ds]]),DAY(m1_crossvalid[[#This Row],[ds]]))</f>
        <v>45888</v>
      </c>
      <c r="C237">
        <v>3182</v>
      </c>
      <c r="D237" s="1">
        <v>45888.333333333336</v>
      </c>
      <c r="E237">
        <v>3451.7425880919641</v>
      </c>
      <c r="F237">
        <v>532.39729072683451</v>
      </c>
      <c r="G237">
        <v>6150.1227143389042</v>
      </c>
      <c r="H237" s="1">
        <v>45869.333333333336</v>
      </c>
    </row>
    <row r="238" spans="1:8" x14ac:dyDescent="0.25">
      <c r="A238" s="7">
        <f>DATE(YEAR(m1_crossvalid[[#This Row],[cutoff]]),MONTH(m1_crossvalid[[#This Row],[cutoff]]),DAY(m1_crossvalid[[#This Row],[cutoff]]))</f>
        <v>45869</v>
      </c>
      <c r="B238" s="7">
        <f>DATE(YEAR(m1_crossvalid[[#This Row],[ds]]),MONTH(m1_crossvalid[[#This Row],[ds]]),DAY(m1_crossvalid[[#This Row],[ds]]))</f>
        <v>45889</v>
      </c>
      <c r="C238">
        <v>3745</v>
      </c>
      <c r="D238" s="1">
        <v>45889.333333333336</v>
      </c>
      <c r="E238">
        <v>3492.7958328351096</v>
      </c>
      <c r="F238">
        <v>706.04241370989109</v>
      </c>
      <c r="G238">
        <v>6050.2764990472815</v>
      </c>
      <c r="H238" s="1">
        <v>45869.333333333336</v>
      </c>
    </row>
    <row r="239" spans="1:8" x14ac:dyDescent="0.25">
      <c r="A239" s="7">
        <f>DATE(YEAR(m1_crossvalid[[#This Row],[cutoff]]),MONTH(m1_crossvalid[[#This Row],[cutoff]]),DAY(m1_crossvalid[[#This Row],[cutoff]]))</f>
        <v>45869</v>
      </c>
      <c r="B239" s="7">
        <f>DATE(YEAR(m1_crossvalid[[#This Row],[ds]]),MONTH(m1_crossvalid[[#This Row],[ds]]),DAY(m1_crossvalid[[#This Row],[ds]]))</f>
        <v>45890</v>
      </c>
      <c r="C239">
        <v>3754</v>
      </c>
      <c r="D239" s="1">
        <v>45890.333333333336</v>
      </c>
      <c r="E239">
        <v>3497.5981862364874</v>
      </c>
      <c r="F239">
        <v>751.69196558267311</v>
      </c>
      <c r="G239">
        <v>6059.1362755127129</v>
      </c>
      <c r="H239" s="1">
        <v>45869.333333333336</v>
      </c>
    </row>
    <row r="240" spans="1:8" x14ac:dyDescent="0.25">
      <c r="A240" s="7">
        <f>DATE(YEAR(m1_crossvalid[[#This Row],[cutoff]]),MONTH(m1_crossvalid[[#This Row],[cutoff]]),DAY(m1_crossvalid[[#This Row],[cutoff]]))</f>
        <v>45869</v>
      </c>
      <c r="B240" s="7">
        <f>DATE(YEAR(m1_crossvalid[[#This Row],[ds]]),MONTH(m1_crossvalid[[#This Row],[ds]]),DAY(m1_crossvalid[[#This Row],[ds]]))</f>
        <v>45891</v>
      </c>
      <c r="C240">
        <v>3741</v>
      </c>
      <c r="D240" s="1">
        <v>45891.333333333336</v>
      </c>
      <c r="E240">
        <v>3418.6729414913452</v>
      </c>
      <c r="F240">
        <v>699.75439416198503</v>
      </c>
      <c r="G240">
        <v>6285.3686650271848</v>
      </c>
      <c r="H240" s="1">
        <v>45869.333333333336</v>
      </c>
    </row>
    <row r="241" spans="1:8" x14ac:dyDescent="0.25">
      <c r="A241" s="7">
        <f>DATE(YEAR(m1_crossvalid[[#This Row],[cutoff]]),MONTH(m1_crossvalid[[#This Row],[cutoff]]),DAY(m1_crossvalid[[#This Row],[cutoff]]))</f>
        <v>45869</v>
      </c>
      <c r="B241" s="7">
        <f>DATE(YEAR(m1_crossvalid[[#This Row],[ds]]),MONTH(m1_crossvalid[[#This Row],[ds]]),DAY(m1_crossvalid[[#This Row],[ds]]))</f>
        <v>45892</v>
      </c>
      <c r="C241">
        <v>761</v>
      </c>
      <c r="D241" s="1">
        <v>45892.333333333336</v>
      </c>
      <c r="E241">
        <v>1166.6324742336089</v>
      </c>
      <c r="F241">
        <v>-1434.8966525427179</v>
      </c>
      <c r="G241">
        <v>3831.814977922455</v>
      </c>
      <c r="H241" s="1">
        <v>45869.333333333336</v>
      </c>
    </row>
    <row r="242" spans="1:8" x14ac:dyDescent="0.25">
      <c r="A242" s="7">
        <f>DATE(YEAR(m1_crossvalid[[#This Row],[cutoff]]),MONTH(m1_crossvalid[[#This Row],[cutoff]]),DAY(m1_crossvalid[[#This Row],[cutoff]]))</f>
        <v>45869</v>
      </c>
      <c r="B242" s="7">
        <f>DATE(YEAR(m1_crossvalid[[#This Row],[ds]]),MONTH(m1_crossvalid[[#This Row],[ds]]),DAY(m1_crossvalid[[#This Row],[ds]]))</f>
        <v>45893</v>
      </c>
      <c r="C242">
        <v>239</v>
      </c>
      <c r="D242" s="1">
        <v>45893.333333333336</v>
      </c>
      <c r="E242">
        <v>597.21188745873246</v>
      </c>
      <c r="F242">
        <v>-1971.8060566089534</v>
      </c>
      <c r="G242">
        <v>3410.8127371815804</v>
      </c>
      <c r="H242" s="1">
        <v>45869.333333333336</v>
      </c>
    </row>
    <row r="243" spans="1:8" x14ac:dyDescent="0.25">
      <c r="A243" s="7">
        <f>DATE(YEAR(m1_crossvalid[[#This Row],[cutoff]]),MONTH(m1_crossvalid[[#This Row],[cutoff]]),DAY(m1_crossvalid[[#This Row],[cutoff]]))</f>
        <v>45869</v>
      </c>
      <c r="B243" s="7">
        <f>DATE(YEAR(m1_crossvalid[[#This Row],[ds]]),MONTH(m1_crossvalid[[#This Row],[ds]]),DAY(m1_crossvalid[[#This Row],[ds]]))</f>
        <v>45894</v>
      </c>
      <c r="C243">
        <v>3838</v>
      </c>
      <c r="D243" s="1">
        <v>45894.333333333336</v>
      </c>
      <c r="E243">
        <v>2896.5341132658705</v>
      </c>
      <c r="F243">
        <v>122.37527425961535</v>
      </c>
      <c r="G243">
        <v>5534.7147739960647</v>
      </c>
      <c r="H243" s="1">
        <v>45869.333333333336</v>
      </c>
    </row>
    <row r="244" spans="1:8" x14ac:dyDescent="0.25">
      <c r="A244" s="7">
        <f>DATE(YEAR(m1_crossvalid[[#This Row],[cutoff]]),MONTH(m1_crossvalid[[#This Row],[cutoff]]),DAY(m1_crossvalid[[#This Row],[cutoff]]))</f>
        <v>45869</v>
      </c>
      <c r="B244" s="7">
        <f>DATE(YEAR(m1_crossvalid[[#This Row],[ds]]),MONTH(m1_crossvalid[[#This Row],[ds]]),DAY(m1_crossvalid[[#This Row],[ds]]))</f>
        <v>45895</v>
      </c>
      <c r="C244">
        <v>5214</v>
      </c>
      <c r="D244" s="1">
        <v>45895.333333333336</v>
      </c>
      <c r="E244">
        <v>3360.8837586770928</v>
      </c>
      <c r="F244">
        <v>887.78729729210283</v>
      </c>
      <c r="G244">
        <v>6266.8969775249989</v>
      </c>
      <c r="H244" s="1">
        <v>45869.333333333336</v>
      </c>
    </row>
    <row r="245" spans="1:8" x14ac:dyDescent="0.25">
      <c r="A245" s="7">
        <f>DATE(YEAR(m1_crossvalid[[#This Row],[cutoff]]),MONTH(m1_crossvalid[[#This Row],[cutoff]]),DAY(m1_crossvalid[[#This Row],[cutoff]]))</f>
        <v>45869</v>
      </c>
      <c r="B245" s="7">
        <f>DATE(YEAR(m1_crossvalid[[#This Row],[ds]]),MONTH(m1_crossvalid[[#This Row],[ds]]),DAY(m1_crossvalid[[#This Row],[ds]]))</f>
        <v>45896</v>
      </c>
      <c r="C245">
        <v>5989</v>
      </c>
      <c r="D245" s="1">
        <v>45896.333333333336</v>
      </c>
      <c r="E245">
        <v>3411.909303242981</v>
      </c>
      <c r="F245">
        <v>773.98924767325855</v>
      </c>
      <c r="G245">
        <v>6134.1847148463858</v>
      </c>
      <c r="H245" s="1">
        <v>45869.333333333336</v>
      </c>
    </row>
    <row r="246" spans="1:8" x14ac:dyDescent="0.25">
      <c r="A246" s="7">
        <f>DATE(YEAR(m1_crossvalid[[#This Row],[cutoff]]),MONTH(m1_crossvalid[[#This Row],[cutoff]]),DAY(m1_crossvalid[[#This Row],[cutoff]]))</f>
        <v>45869</v>
      </c>
      <c r="B246" s="7">
        <f>DATE(YEAR(m1_crossvalid[[#This Row],[ds]]),MONTH(m1_crossvalid[[#This Row],[ds]]),DAY(m1_crossvalid[[#This Row],[ds]]))</f>
        <v>45897</v>
      </c>
      <c r="C246">
        <v>7115</v>
      </c>
      <c r="D246" s="1">
        <v>45897.333333333336</v>
      </c>
      <c r="E246">
        <v>3426.4485305096091</v>
      </c>
      <c r="F246">
        <v>650.04662390444366</v>
      </c>
      <c r="G246">
        <v>6158.0334596883358</v>
      </c>
      <c r="H246" s="1">
        <v>45869.333333333336</v>
      </c>
    </row>
    <row r="247" spans="1:8" x14ac:dyDescent="0.25">
      <c r="A247" s="7">
        <f>DATE(YEAR(m1_crossvalid[[#This Row],[cutoff]]),MONTH(m1_crossvalid[[#This Row],[cutoff]]),DAY(m1_crossvalid[[#This Row],[cutoff]]))</f>
        <v>45869</v>
      </c>
      <c r="B247" s="7">
        <f>DATE(YEAR(m1_crossvalid[[#This Row],[ds]]),MONTH(m1_crossvalid[[#This Row],[ds]]),DAY(m1_crossvalid[[#This Row],[ds]]))</f>
        <v>45898</v>
      </c>
      <c r="C247">
        <v>9571</v>
      </c>
      <c r="D247" s="1">
        <v>45898.333333333336</v>
      </c>
      <c r="E247">
        <v>3356.7078846470158</v>
      </c>
      <c r="F247">
        <v>656.07111887586859</v>
      </c>
      <c r="G247">
        <v>5939.8457913685452</v>
      </c>
      <c r="H247" s="1">
        <v>45869.333333333336</v>
      </c>
    </row>
    <row r="248" spans="1:8" x14ac:dyDescent="0.25">
      <c r="A248" s="7">
        <f>DATE(YEAR(m1_crossvalid[[#This Row],[cutoff]]),MONTH(m1_crossvalid[[#This Row],[cutoff]]),DAY(m1_crossvalid[[#This Row],[cutoff]]))</f>
        <v>45869</v>
      </c>
      <c r="B248" s="7">
        <f>DATE(YEAR(m1_crossvalid[[#This Row],[ds]]),MONTH(m1_crossvalid[[#This Row],[ds]]),DAY(m1_crossvalid[[#This Row],[ds]]))</f>
        <v>45899</v>
      </c>
      <c r="C248">
        <v>5764</v>
      </c>
      <c r="D248" s="1">
        <v>45899.333333333336</v>
      </c>
      <c r="E248">
        <v>1113.0208557510921</v>
      </c>
      <c r="F248">
        <v>-1535.5181868169198</v>
      </c>
      <c r="G248">
        <v>3704.8884139310894</v>
      </c>
      <c r="H248" s="1">
        <v>45869.333333333336</v>
      </c>
    </row>
    <row r="249" spans="1:8" x14ac:dyDescent="0.25">
      <c r="A249" s="7">
        <f>DATE(YEAR(m1_crossvalid[[#This Row],[cutoff]]),MONTH(m1_crossvalid[[#This Row],[cutoff]]),DAY(m1_crossvalid[[#This Row],[cutoff]]))</f>
        <v>45869</v>
      </c>
      <c r="B249" s="7">
        <f>DATE(YEAR(m1_crossvalid[[#This Row],[ds]]),MONTH(m1_crossvalid[[#This Row],[ds]]),DAY(m1_crossvalid[[#This Row],[ds]]))</f>
        <v>45900</v>
      </c>
      <c r="C249">
        <v>386</v>
      </c>
      <c r="D249" s="1">
        <v>45900.333333333336</v>
      </c>
      <c r="E249">
        <v>550.88860041102294</v>
      </c>
      <c r="F249">
        <v>-2225.6983336973349</v>
      </c>
      <c r="G249">
        <v>3386.0828284053355</v>
      </c>
      <c r="H249" s="1">
        <v>45869.333333333336</v>
      </c>
    </row>
    <row r="250" spans="1:8" x14ac:dyDescent="0.25">
      <c r="A250" s="7">
        <f>DATE(YEAR(m1_crossvalid[[#This Row],[cutoff]]),MONTH(m1_crossvalid[[#This Row],[cutoff]]),DAY(m1_crossvalid[[#This Row],[cutoff]]))</f>
        <v>45900</v>
      </c>
      <c r="B250" s="7">
        <f>DATE(YEAR(m1_crossvalid[[#This Row],[ds]]),MONTH(m1_crossvalid[[#This Row],[ds]]),DAY(m1_crossvalid[[#This Row],[ds]]))</f>
        <v>45901</v>
      </c>
      <c r="C250">
        <v>34</v>
      </c>
      <c r="D250" s="1">
        <v>45901.333333333336</v>
      </c>
      <c r="E250">
        <v>3186.5016735612026</v>
      </c>
      <c r="F250">
        <v>570.05889531327637</v>
      </c>
      <c r="G250">
        <v>5898.2190015330316</v>
      </c>
      <c r="H250" s="1">
        <v>45900.333333333336</v>
      </c>
    </row>
    <row r="251" spans="1:8" x14ac:dyDescent="0.25">
      <c r="A251" s="7">
        <f>DATE(YEAR(m1_crossvalid[[#This Row],[cutoff]]),MONTH(m1_crossvalid[[#This Row],[cutoff]]),DAY(m1_crossvalid[[#This Row],[cutoff]]))</f>
        <v>45900</v>
      </c>
      <c r="B251" s="7">
        <f>DATE(YEAR(m1_crossvalid[[#This Row],[ds]]),MONTH(m1_crossvalid[[#This Row],[ds]]),DAY(m1_crossvalid[[#This Row],[ds]]))</f>
        <v>45902</v>
      </c>
      <c r="C251">
        <v>463</v>
      </c>
      <c r="D251" s="1">
        <v>45902.333333333336</v>
      </c>
      <c r="E251">
        <v>3651.6646383222296</v>
      </c>
      <c r="F251">
        <v>811.23022265979523</v>
      </c>
      <c r="G251">
        <v>6340.6766441974514</v>
      </c>
      <c r="H251" s="1">
        <v>45900.333333333336</v>
      </c>
    </row>
    <row r="252" spans="1:8" x14ac:dyDescent="0.25">
      <c r="A252" s="7">
        <f>DATE(YEAR(m1_crossvalid[[#This Row],[cutoff]]),MONTH(m1_crossvalid[[#This Row],[cutoff]]),DAY(m1_crossvalid[[#This Row],[cutoff]]))</f>
        <v>45900</v>
      </c>
      <c r="B252" s="7">
        <f>DATE(YEAR(m1_crossvalid[[#This Row],[ds]]),MONTH(m1_crossvalid[[#This Row],[ds]]),DAY(m1_crossvalid[[#This Row],[ds]]))</f>
        <v>45903</v>
      </c>
      <c r="C252">
        <v>734</v>
      </c>
      <c r="D252" s="1">
        <v>45903.333333333336</v>
      </c>
      <c r="E252">
        <v>3693.0799430569346</v>
      </c>
      <c r="F252">
        <v>913.42049467836353</v>
      </c>
      <c r="G252">
        <v>6315.7338512477545</v>
      </c>
      <c r="H252" s="1">
        <v>45900.333333333336</v>
      </c>
    </row>
    <row r="253" spans="1:8" x14ac:dyDescent="0.25">
      <c r="A253" s="7">
        <f>DATE(YEAR(m1_crossvalid[[#This Row],[cutoff]]),MONTH(m1_crossvalid[[#This Row],[cutoff]]),DAY(m1_crossvalid[[#This Row],[cutoff]]))</f>
        <v>45900</v>
      </c>
      <c r="B253" s="7">
        <f>DATE(YEAR(m1_crossvalid[[#This Row],[ds]]),MONTH(m1_crossvalid[[#This Row],[ds]]),DAY(m1_crossvalid[[#This Row],[ds]]))</f>
        <v>45904</v>
      </c>
      <c r="C253">
        <v>973</v>
      </c>
      <c r="D253" s="1">
        <v>45904.333333333336</v>
      </c>
      <c r="E253">
        <v>3697.5151297888169</v>
      </c>
      <c r="F253">
        <v>1228.3884917102366</v>
      </c>
      <c r="G253">
        <v>6192.5344668527159</v>
      </c>
      <c r="H253" s="1">
        <v>45900.333333333336</v>
      </c>
    </row>
    <row r="254" spans="1:8" x14ac:dyDescent="0.25">
      <c r="A254" s="7">
        <f>DATE(YEAR(m1_crossvalid[[#This Row],[cutoff]]),MONTH(m1_crossvalid[[#This Row],[cutoff]]),DAY(m1_crossvalid[[#This Row],[cutoff]]))</f>
        <v>45900</v>
      </c>
      <c r="B254" s="7">
        <f>DATE(YEAR(m1_crossvalid[[#This Row],[ds]]),MONTH(m1_crossvalid[[#This Row],[ds]]),DAY(m1_crossvalid[[#This Row],[ds]]))</f>
        <v>45905</v>
      </c>
      <c r="C254">
        <v>61</v>
      </c>
      <c r="D254" s="1">
        <v>45905.333333333336</v>
      </c>
      <c r="E254">
        <v>3608.7168000425477</v>
      </c>
      <c r="F254">
        <v>841.44019970854447</v>
      </c>
      <c r="G254">
        <v>6313.7333935526203</v>
      </c>
      <c r="H254" s="1">
        <v>45900.333333333336</v>
      </c>
    </row>
    <row r="255" spans="1:8" x14ac:dyDescent="0.25">
      <c r="A255" s="7">
        <f>DATE(YEAR(m1_crossvalid[[#This Row],[cutoff]]),MONTH(m1_crossvalid[[#This Row],[cutoff]]),DAY(m1_crossvalid[[#This Row],[cutoff]]))</f>
        <v>45900</v>
      </c>
      <c r="B255" s="7">
        <f>DATE(YEAR(m1_crossvalid[[#This Row],[ds]]),MONTH(m1_crossvalid[[#This Row],[ds]]),DAY(m1_crossvalid[[#This Row],[ds]]))</f>
        <v>45906</v>
      </c>
      <c r="C255">
        <v>107</v>
      </c>
      <c r="D255" s="1">
        <v>45906.333333333336</v>
      </c>
      <c r="E255">
        <v>1330.286609136333</v>
      </c>
      <c r="F255">
        <v>-1340.3766580661077</v>
      </c>
      <c r="G255">
        <v>3970.9053817923118</v>
      </c>
      <c r="H255" s="1">
        <v>45900.333333333336</v>
      </c>
    </row>
    <row r="256" spans="1:8" x14ac:dyDescent="0.25">
      <c r="A256" s="7">
        <f>DATE(YEAR(m1_crossvalid[[#This Row],[cutoff]]),MONTH(m1_crossvalid[[#This Row],[cutoff]]),DAY(m1_crossvalid[[#This Row],[cutoff]]))</f>
        <v>45900</v>
      </c>
      <c r="B256" s="7">
        <f>DATE(YEAR(m1_crossvalid[[#This Row],[ds]]),MONTH(m1_crossvalid[[#This Row],[ds]]),DAY(m1_crossvalid[[#This Row],[ds]]))</f>
        <v>45907</v>
      </c>
      <c r="C256">
        <v>30</v>
      </c>
      <c r="D256" s="1">
        <v>45907.333333333336</v>
      </c>
      <c r="E256">
        <v>716.60579110907793</v>
      </c>
      <c r="F256">
        <v>-1847.791475610602</v>
      </c>
      <c r="G256">
        <v>3574.1971377201489</v>
      </c>
      <c r="H256" s="1">
        <v>45900.333333333336</v>
      </c>
    </row>
    <row r="257" spans="1:8" x14ac:dyDescent="0.25">
      <c r="A257" s="7">
        <f>DATE(YEAR(m1_crossvalid[[#This Row],[cutoff]]),MONTH(m1_crossvalid[[#This Row],[cutoff]]),DAY(m1_crossvalid[[#This Row],[cutoff]]))</f>
        <v>45900</v>
      </c>
      <c r="B257" s="7">
        <f>DATE(YEAR(m1_crossvalid[[#This Row],[ds]]),MONTH(m1_crossvalid[[#This Row],[ds]]),DAY(m1_crossvalid[[#This Row],[ds]]))</f>
        <v>45908</v>
      </c>
      <c r="C257">
        <v>1382</v>
      </c>
      <c r="D257" s="1">
        <v>45908.333333333336</v>
      </c>
      <c r="E257">
        <v>2995.1663596334961</v>
      </c>
      <c r="F257">
        <v>315.57233011094155</v>
      </c>
      <c r="G257">
        <v>5628.7800262974624</v>
      </c>
      <c r="H257" s="1">
        <v>45900.333333333336</v>
      </c>
    </row>
    <row r="258" spans="1:8" x14ac:dyDescent="0.25">
      <c r="A258" s="7">
        <f>DATE(YEAR(m1_crossvalid[[#This Row],[cutoff]]),MONTH(m1_crossvalid[[#This Row],[cutoff]]),DAY(m1_crossvalid[[#This Row],[cutoff]]))</f>
        <v>45900</v>
      </c>
      <c r="B258" s="7">
        <f>DATE(YEAR(m1_crossvalid[[#This Row],[ds]]),MONTH(m1_crossvalid[[#This Row],[ds]]),DAY(m1_crossvalid[[#This Row],[ds]]))</f>
        <v>45909</v>
      </c>
      <c r="C258">
        <v>1925</v>
      </c>
      <c r="D258" s="1">
        <v>45909.333333333336</v>
      </c>
      <c r="E258">
        <v>3435.4179101244895</v>
      </c>
      <c r="F258">
        <v>790.19903343607814</v>
      </c>
      <c r="G258">
        <v>5997.2358420624278</v>
      </c>
      <c r="H258" s="1">
        <v>45900.333333333336</v>
      </c>
    </row>
    <row r="259" spans="1:8" x14ac:dyDescent="0.25">
      <c r="A259" s="7">
        <f>DATE(YEAR(m1_crossvalid[[#This Row],[cutoff]]),MONTH(m1_crossvalid[[#This Row],[cutoff]]),DAY(m1_crossvalid[[#This Row],[cutoff]]))</f>
        <v>45900</v>
      </c>
      <c r="B259" s="7">
        <f>DATE(YEAR(m1_crossvalid[[#This Row],[ds]]),MONTH(m1_crossvalid[[#This Row],[ds]]),DAY(m1_crossvalid[[#This Row],[ds]]))</f>
        <v>45910</v>
      </c>
      <c r="C259">
        <v>1988</v>
      </c>
      <c r="D259" s="1">
        <v>45910.333333333336</v>
      </c>
      <c r="E259">
        <v>3455.6008228366982</v>
      </c>
      <c r="F259">
        <v>888.82888678107713</v>
      </c>
      <c r="G259">
        <v>6051.4988684463415</v>
      </c>
      <c r="H259" s="1">
        <v>45900.333333333336</v>
      </c>
    </row>
    <row r="260" spans="1:8" x14ac:dyDescent="0.25">
      <c r="A260" s="7">
        <f>DATE(YEAR(m1_crossvalid[[#This Row],[cutoff]]),MONTH(m1_crossvalid[[#This Row],[cutoff]]),DAY(m1_crossvalid[[#This Row],[cutoff]]))</f>
        <v>45900</v>
      </c>
      <c r="B260" s="7">
        <f>DATE(YEAR(m1_crossvalid[[#This Row],[ds]]),MONTH(m1_crossvalid[[#This Row],[ds]]),DAY(m1_crossvalid[[#This Row],[ds]]))</f>
        <v>45911</v>
      </c>
      <c r="C260">
        <v>2414</v>
      </c>
      <c r="D260" s="1">
        <v>45911.333333333336</v>
      </c>
      <c r="E260">
        <v>3442.9667715130636</v>
      </c>
      <c r="F260">
        <v>719.08549166876765</v>
      </c>
      <c r="G260">
        <v>5990.2402671652517</v>
      </c>
      <c r="H260" s="1">
        <v>45900.333333333336</v>
      </c>
    </row>
    <row r="261" spans="1:8" x14ac:dyDescent="0.25">
      <c r="A261" s="7">
        <f>DATE(YEAR(m1_crossvalid[[#This Row],[cutoff]]),MONTH(m1_crossvalid[[#This Row],[cutoff]]),DAY(m1_crossvalid[[#This Row],[cutoff]]))</f>
        <v>45900</v>
      </c>
      <c r="B261" s="7">
        <f>DATE(YEAR(m1_crossvalid[[#This Row],[ds]]),MONTH(m1_crossvalid[[#This Row],[ds]]),DAY(m1_crossvalid[[#This Row],[ds]]))</f>
        <v>45912</v>
      </c>
      <c r="C261">
        <v>2644</v>
      </c>
      <c r="D261" s="1">
        <v>45912.333333333336</v>
      </c>
      <c r="E261">
        <v>3341.6512811310899</v>
      </c>
      <c r="F261">
        <v>684.06329628747153</v>
      </c>
      <c r="G261">
        <v>6082.9116749593531</v>
      </c>
      <c r="H261" s="1">
        <v>45900.333333333336</v>
      </c>
    </row>
    <row r="262" spans="1:8" x14ac:dyDescent="0.25">
      <c r="A262" s="7">
        <f>DATE(YEAR(m1_crossvalid[[#This Row],[cutoff]]),MONTH(m1_crossvalid[[#This Row],[cutoff]]),DAY(m1_crossvalid[[#This Row],[cutoff]]))</f>
        <v>45900</v>
      </c>
      <c r="B262" s="7">
        <f>DATE(YEAR(m1_crossvalid[[#This Row],[ds]]),MONTH(m1_crossvalid[[#This Row],[ds]]),DAY(m1_crossvalid[[#This Row],[ds]]))</f>
        <v>45913</v>
      </c>
      <c r="C262">
        <v>439</v>
      </c>
      <c r="D262" s="1">
        <v>45913.333333333336</v>
      </c>
      <c r="E262">
        <v>1055.5397871458815</v>
      </c>
      <c r="F262">
        <v>-1673.0292365900386</v>
      </c>
      <c r="G262">
        <v>3844.2937130413743</v>
      </c>
      <c r="H262" s="1">
        <v>45900.333333333336</v>
      </c>
    </row>
    <row r="263" spans="1:8" x14ac:dyDescent="0.25">
      <c r="A263" s="7">
        <f>DATE(YEAR(m1_crossvalid[[#This Row],[cutoff]]),MONTH(m1_crossvalid[[#This Row],[cutoff]]),DAY(m1_crossvalid[[#This Row],[cutoff]]))</f>
        <v>45900</v>
      </c>
      <c r="B263" s="7">
        <f>DATE(YEAR(m1_crossvalid[[#This Row],[ds]]),MONTH(m1_crossvalid[[#This Row],[ds]]),DAY(m1_crossvalid[[#This Row],[ds]]))</f>
        <v>45914</v>
      </c>
      <c r="C263">
        <v>108</v>
      </c>
      <c r="D263" s="1">
        <v>45914.333333333336</v>
      </c>
      <c r="E263">
        <v>439.18497231931951</v>
      </c>
      <c r="F263">
        <v>-2151.0482231728997</v>
      </c>
      <c r="G263">
        <v>2992.4827646166036</v>
      </c>
      <c r="H263" s="1">
        <v>45900.333333333336</v>
      </c>
    </row>
    <row r="264" spans="1:8" x14ac:dyDescent="0.25">
      <c r="A264" s="7">
        <f>DATE(YEAR(m1_crossvalid[[#This Row],[cutoff]]),MONTH(m1_crossvalid[[#This Row],[cutoff]]),DAY(m1_crossvalid[[#This Row],[cutoff]]))</f>
        <v>45900</v>
      </c>
      <c r="B264" s="7">
        <f>DATE(YEAR(m1_crossvalid[[#This Row],[ds]]),MONTH(m1_crossvalid[[#This Row],[ds]]),DAY(m1_crossvalid[[#This Row],[ds]]))</f>
        <v>45915</v>
      </c>
      <c r="C264">
        <v>19</v>
      </c>
      <c r="D264" s="1">
        <v>45915.333333333336</v>
      </c>
      <c r="E264">
        <v>2720.1337175449553</v>
      </c>
      <c r="F264">
        <v>-63.266388045533191</v>
      </c>
      <c r="G264">
        <v>5369.3457629183185</v>
      </c>
      <c r="H264" s="1">
        <v>45900.333333333336</v>
      </c>
    </row>
    <row r="265" spans="1:8" x14ac:dyDescent="0.25">
      <c r="A265" s="7">
        <f>DATE(YEAR(m1_crossvalid[[#This Row],[cutoff]]),MONTH(m1_crossvalid[[#This Row],[cutoff]]),DAY(m1_crossvalid[[#This Row],[cutoff]]))</f>
        <v>45900</v>
      </c>
      <c r="B265" s="7">
        <f>DATE(YEAR(m1_crossvalid[[#This Row],[ds]]),MONTH(m1_crossvalid[[#This Row],[ds]]),DAY(m1_crossvalid[[#This Row],[ds]]))</f>
        <v>45916</v>
      </c>
      <c r="C265">
        <v>5</v>
      </c>
      <c r="D265" s="1">
        <v>45916.333333333336</v>
      </c>
      <c r="E265">
        <v>3167.7727025594772</v>
      </c>
      <c r="F265">
        <v>329.80326752694657</v>
      </c>
      <c r="G265">
        <v>5802.5204749482609</v>
      </c>
      <c r="H265" s="1">
        <v>45900.333333333336</v>
      </c>
    </row>
    <row r="266" spans="1:8" x14ac:dyDescent="0.25">
      <c r="A266" s="7">
        <f>DATE(YEAR(m1_crossvalid[[#This Row],[cutoff]]),MONTH(m1_crossvalid[[#This Row],[cutoff]]),DAY(m1_crossvalid[[#This Row],[cutoff]]))</f>
        <v>45900</v>
      </c>
      <c r="B266" s="7">
        <f>DATE(YEAR(m1_crossvalid[[#This Row],[ds]]),MONTH(m1_crossvalid[[#This Row],[ds]]),DAY(m1_crossvalid[[#This Row],[ds]]))</f>
        <v>45917</v>
      </c>
      <c r="C266">
        <v>2108</v>
      </c>
      <c r="D266" s="1">
        <v>45917.333333333336</v>
      </c>
      <c r="E266">
        <v>3200.1634822586852</v>
      </c>
      <c r="F266">
        <v>504.70742679837781</v>
      </c>
      <c r="G266">
        <v>5822.3029275111121</v>
      </c>
      <c r="H266" s="1">
        <v>45900.333333333336</v>
      </c>
    </row>
    <row r="267" spans="1:8" x14ac:dyDescent="0.25">
      <c r="A267" s="7">
        <f>DATE(YEAR(m1_crossvalid[[#This Row],[cutoff]]),MONTH(m1_crossvalid[[#This Row],[cutoff]]),DAY(m1_crossvalid[[#This Row],[cutoff]]))</f>
        <v>45900</v>
      </c>
      <c r="B267" s="7">
        <f>DATE(YEAR(m1_crossvalid[[#This Row],[ds]]),MONTH(m1_crossvalid[[#This Row],[ds]]),DAY(m1_crossvalid[[#This Row],[ds]]))</f>
        <v>45918</v>
      </c>
      <c r="C267">
        <v>3129</v>
      </c>
      <c r="D267" s="1">
        <v>45918.333333333336</v>
      </c>
      <c r="E267">
        <v>3204.2678851677483</v>
      </c>
      <c r="F267">
        <v>569.00029280320791</v>
      </c>
      <c r="G267">
        <v>5880.8893322198355</v>
      </c>
      <c r="H267" s="1">
        <v>45900.333333333336</v>
      </c>
    </row>
    <row r="268" spans="1:8" x14ac:dyDescent="0.25">
      <c r="A268" s="7">
        <f>DATE(YEAR(m1_crossvalid[[#This Row],[cutoff]]),MONTH(m1_crossvalid[[#This Row],[cutoff]]),DAY(m1_crossvalid[[#This Row],[cutoff]]))</f>
        <v>45900</v>
      </c>
      <c r="B268" s="7">
        <f>DATE(YEAR(m1_crossvalid[[#This Row],[ds]]),MONTH(m1_crossvalid[[#This Row],[ds]]),DAY(m1_crossvalid[[#This Row],[ds]]))</f>
        <v>45919</v>
      </c>
      <c r="C268">
        <v>3027</v>
      </c>
      <c r="D268" s="1">
        <v>45919.333333333336</v>
      </c>
      <c r="E268">
        <v>3123.828336066973</v>
      </c>
      <c r="F268">
        <v>442.72176337664172</v>
      </c>
      <c r="G268">
        <v>5909.7531925047606</v>
      </c>
      <c r="H268" s="1">
        <v>45900.333333333336</v>
      </c>
    </row>
    <row r="269" spans="1:8" x14ac:dyDescent="0.25">
      <c r="A269" s="7">
        <f>DATE(YEAR(m1_crossvalid[[#This Row],[cutoff]]),MONTH(m1_crossvalid[[#This Row],[cutoff]]),DAY(m1_crossvalid[[#This Row],[cutoff]]))</f>
        <v>45900</v>
      </c>
      <c r="B269" s="7">
        <f>DATE(YEAR(m1_crossvalid[[#This Row],[ds]]),MONTH(m1_crossvalid[[#This Row],[ds]]),DAY(m1_crossvalid[[#This Row],[ds]]))</f>
        <v>45920</v>
      </c>
      <c r="C269">
        <v>525</v>
      </c>
      <c r="D269" s="1">
        <v>45920.333333333336</v>
      </c>
      <c r="E269">
        <v>862.24433524938649</v>
      </c>
      <c r="F269">
        <v>-1761.8320906332092</v>
      </c>
      <c r="G269">
        <v>3630.5415751672044</v>
      </c>
      <c r="H269" s="1">
        <v>45900.333333333336</v>
      </c>
    </row>
    <row r="270" spans="1:8" x14ac:dyDescent="0.25">
      <c r="A270" s="7">
        <f>DATE(YEAR(m1_crossvalid[[#This Row],[cutoff]]),MONTH(m1_crossvalid[[#This Row],[cutoff]]),DAY(m1_crossvalid[[#This Row],[cutoff]]))</f>
        <v>45900</v>
      </c>
      <c r="B270" s="7">
        <f>DATE(YEAR(m1_crossvalid[[#This Row],[ds]]),MONTH(m1_crossvalid[[#This Row],[ds]]),DAY(m1_crossvalid[[#This Row],[ds]]))</f>
        <v>45921</v>
      </c>
      <c r="C270">
        <v>107</v>
      </c>
      <c r="D270" s="1">
        <v>45921.333333333336</v>
      </c>
      <c r="E270">
        <v>273.50257779466165</v>
      </c>
      <c r="F270">
        <v>-2424.9228758014806</v>
      </c>
      <c r="G270">
        <v>2776.4317639753999</v>
      </c>
      <c r="H270" s="1">
        <v>45900.333333333336</v>
      </c>
    </row>
    <row r="271" spans="1:8" x14ac:dyDescent="0.25">
      <c r="A271" s="7">
        <f>DATE(YEAR(m1_crossvalid[[#This Row],[cutoff]]),MONTH(m1_crossvalid[[#This Row],[cutoff]]),DAY(m1_crossvalid[[#This Row],[cutoff]]))</f>
        <v>45900</v>
      </c>
      <c r="B271" s="7">
        <f>DATE(YEAR(m1_crossvalid[[#This Row],[ds]]),MONTH(m1_crossvalid[[#This Row],[ds]]),DAY(m1_crossvalid[[#This Row],[ds]]))</f>
        <v>45922</v>
      </c>
      <c r="C271">
        <v>2480</v>
      </c>
      <c r="D271" s="1">
        <v>45922.333333333336</v>
      </c>
      <c r="E271">
        <v>2584.5186927958216</v>
      </c>
      <c r="F271">
        <v>-2.3945117503788915</v>
      </c>
      <c r="G271">
        <v>5130.3215253995022</v>
      </c>
      <c r="H271" s="1">
        <v>45900.333333333336</v>
      </c>
    </row>
    <row r="272" spans="1:8" x14ac:dyDescent="0.25">
      <c r="A272" s="7">
        <f>DATE(YEAR(m1_crossvalid[[#This Row],[cutoff]]),MONTH(m1_crossvalid[[#This Row],[cutoff]]),DAY(m1_crossvalid[[#This Row],[cutoff]]))</f>
        <v>45900</v>
      </c>
      <c r="B272" s="7">
        <f>DATE(YEAR(m1_crossvalid[[#This Row],[ds]]),MONTH(m1_crossvalid[[#This Row],[ds]]),DAY(m1_crossvalid[[#This Row],[ds]]))</f>
        <v>45923</v>
      </c>
      <c r="C272">
        <v>2893</v>
      </c>
      <c r="D272" s="1">
        <v>45923.333333333336</v>
      </c>
      <c r="E272">
        <v>3063.9992275445879</v>
      </c>
      <c r="F272">
        <v>326.00098080413289</v>
      </c>
      <c r="G272">
        <v>5654.9625923077092</v>
      </c>
      <c r="H272" s="1">
        <v>45900.333333333336</v>
      </c>
    </row>
    <row r="273" spans="1:8" x14ac:dyDescent="0.25">
      <c r="A273" s="7">
        <f>DATE(YEAR(m1_crossvalid[[#This Row],[cutoff]]),MONTH(m1_crossvalid[[#This Row],[cutoff]]),DAY(m1_crossvalid[[#This Row],[cutoff]]))</f>
        <v>45900</v>
      </c>
      <c r="B273" s="7">
        <f>DATE(YEAR(m1_crossvalid[[#This Row],[ds]]),MONTH(m1_crossvalid[[#This Row],[ds]]),DAY(m1_crossvalid[[#This Row],[ds]]))</f>
        <v>45924</v>
      </c>
      <c r="C273">
        <v>3143</v>
      </c>
      <c r="D273" s="1">
        <v>45924.333333333336</v>
      </c>
      <c r="E273">
        <v>3129.2942498229713</v>
      </c>
      <c r="F273">
        <v>407.88304842702286</v>
      </c>
      <c r="G273">
        <v>5970.4529514580854</v>
      </c>
      <c r="H273" s="1">
        <v>45900.333333333336</v>
      </c>
    </row>
    <row r="274" spans="1:8" x14ac:dyDescent="0.25">
      <c r="A274" s="7">
        <f>DATE(YEAR(m1_crossvalid[[#This Row],[cutoff]]),MONTH(m1_crossvalid[[#This Row],[cutoff]]),DAY(m1_crossvalid[[#This Row],[cutoff]]))</f>
        <v>45900</v>
      </c>
      <c r="B274" s="7">
        <f>DATE(YEAR(m1_crossvalid[[#This Row],[ds]]),MONTH(m1_crossvalid[[#This Row],[ds]]),DAY(m1_crossvalid[[#This Row],[ds]]))</f>
        <v>45925</v>
      </c>
      <c r="C274">
        <v>3361</v>
      </c>
      <c r="D274" s="1">
        <v>45925.333333333336</v>
      </c>
      <c r="E274">
        <v>3166.6409324492679</v>
      </c>
      <c r="F274">
        <v>379.69380616909518</v>
      </c>
      <c r="G274">
        <v>5818.5742064157575</v>
      </c>
      <c r="H274" s="1">
        <v>45900.333333333336</v>
      </c>
    </row>
    <row r="275" spans="1:8" x14ac:dyDescent="0.25">
      <c r="A275" s="7">
        <f>DATE(YEAR(m1_crossvalid[[#This Row],[cutoff]]),MONTH(m1_crossvalid[[#This Row],[cutoff]]),DAY(m1_crossvalid[[#This Row],[cutoff]]))</f>
        <v>45900</v>
      </c>
      <c r="B275" s="7">
        <f>DATE(YEAR(m1_crossvalid[[#This Row],[ds]]),MONTH(m1_crossvalid[[#This Row],[ds]]),DAY(m1_crossvalid[[#This Row],[ds]]))</f>
        <v>45926</v>
      </c>
      <c r="C275">
        <v>3885</v>
      </c>
      <c r="D275" s="1">
        <v>45926.333333333336</v>
      </c>
      <c r="E275">
        <v>3119.062224242738</v>
      </c>
      <c r="F275">
        <v>563.74554981513995</v>
      </c>
      <c r="G275">
        <v>5911.8729072521264</v>
      </c>
      <c r="H275" s="1">
        <v>45900.333333333336</v>
      </c>
    </row>
    <row r="276" spans="1:8" x14ac:dyDescent="0.25">
      <c r="A276" s="7">
        <f>DATE(YEAR(m1_crossvalid[[#This Row],[cutoff]]),MONTH(m1_crossvalid[[#This Row],[cutoff]]),DAY(m1_crossvalid[[#This Row],[cutoff]]))</f>
        <v>45900</v>
      </c>
      <c r="B276" s="7">
        <f>DATE(YEAR(m1_crossvalid[[#This Row],[ds]]),MONTH(m1_crossvalid[[#This Row],[ds]]),DAY(m1_crossvalid[[#This Row],[ds]]))</f>
        <v>45927</v>
      </c>
      <c r="C276">
        <v>1024</v>
      </c>
      <c r="D276" s="1">
        <v>45927.333333333336</v>
      </c>
      <c r="E276">
        <v>889.26134032364848</v>
      </c>
      <c r="F276">
        <v>-1627.1589735231319</v>
      </c>
      <c r="G276">
        <v>3583.2781699719653</v>
      </c>
      <c r="H276" s="1">
        <v>45900.333333333336</v>
      </c>
    </row>
    <row r="277" spans="1:8" x14ac:dyDescent="0.25">
      <c r="A277" s="7">
        <f>DATE(YEAR(m1_crossvalid[[#This Row],[cutoff]]),MONTH(m1_crossvalid[[#This Row],[cutoff]]),DAY(m1_crossvalid[[#This Row],[cutoff]]))</f>
        <v>45900</v>
      </c>
      <c r="B277" s="7">
        <f>DATE(YEAR(m1_crossvalid[[#This Row],[ds]]),MONTH(m1_crossvalid[[#This Row],[ds]]),DAY(m1_crossvalid[[#This Row],[ds]]))</f>
        <v>45928</v>
      </c>
      <c r="C277">
        <v>280</v>
      </c>
      <c r="D277" s="1">
        <v>45928.333333333336</v>
      </c>
      <c r="E277">
        <v>330.56906803956053</v>
      </c>
      <c r="F277">
        <v>-2275.5866982042476</v>
      </c>
      <c r="G277">
        <v>2920.4165181502904</v>
      </c>
      <c r="H277" s="1">
        <v>45900.333333333336</v>
      </c>
    </row>
    <row r="278" spans="1:8" x14ac:dyDescent="0.25">
      <c r="A278" s="7">
        <f>DATE(YEAR(m1_crossvalid[[#This Row],[cutoff]]),MONTH(m1_crossvalid[[#This Row],[cutoff]]),DAY(m1_crossvalid[[#This Row],[cutoff]]))</f>
        <v>45900</v>
      </c>
      <c r="B278" s="7">
        <f>DATE(YEAR(m1_crossvalid[[#This Row],[ds]]),MONTH(m1_crossvalid[[#This Row],[ds]]),DAY(m1_crossvalid[[#This Row],[ds]]))</f>
        <v>45929</v>
      </c>
      <c r="C278">
        <v>8852</v>
      </c>
      <c r="D278" s="1">
        <v>45929.333333333336</v>
      </c>
      <c r="E278">
        <v>2669.3014075432984</v>
      </c>
      <c r="F278">
        <v>123.02299736204023</v>
      </c>
      <c r="G278">
        <v>5349.117248786325</v>
      </c>
      <c r="H278" s="1">
        <v>45900.333333333336</v>
      </c>
    </row>
    <row r="279" spans="1:8" x14ac:dyDescent="0.25">
      <c r="A279" s="7">
        <f>DATE(YEAR(m1_crossvalid[[#This Row],[cutoff]]),MONTH(m1_crossvalid[[#This Row],[cutoff]]),DAY(m1_crossvalid[[#This Row],[cutoff]]))</f>
        <v>45900</v>
      </c>
      <c r="B279" s="7">
        <f>DATE(YEAR(m1_crossvalid[[#This Row],[ds]]),MONTH(m1_crossvalid[[#This Row],[ds]]),DAY(m1_crossvalid[[#This Row],[ds]]))</f>
        <v>45930</v>
      </c>
      <c r="C279">
        <v>14458</v>
      </c>
      <c r="D279" s="1">
        <v>45930.333333333336</v>
      </c>
      <c r="E279">
        <v>3173.6357501884904</v>
      </c>
      <c r="F279">
        <v>433.44626032179201</v>
      </c>
      <c r="G279">
        <v>5860.7303958211187</v>
      </c>
      <c r="H279" s="1">
        <v>45900.333333333336</v>
      </c>
    </row>
    <row r="280" spans="1:8" x14ac:dyDescent="0.25">
      <c r="A280" s="7">
        <f>DATE(YEAR(m1_crossvalid[[#This Row],[cutoff]]),MONTH(m1_crossvalid[[#This Row],[cutoff]]),DAY(m1_crossvalid[[#This Row],[cutoff]]))</f>
        <v>45900</v>
      </c>
      <c r="B280" s="7">
        <f>DATE(YEAR(m1_crossvalid[[#This Row],[ds]]),MONTH(m1_crossvalid[[#This Row],[ds]]),DAY(m1_crossvalid[[#This Row],[ds]]))</f>
        <v>45931</v>
      </c>
      <c r="C280">
        <v>639</v>
      </c>
      <c r="D280" s="1">
        <v>45931.333333333336</v>
      </c>
      <c r="E280">
        <v>3260.4755967816118</v>
      </c>
      <c r="F280">
        <v>520.46505661081039</v>
      </c>
      <c r="G280">
        <v>5908.3203862023902</v>
      </c>
      <c r="H280" s="1">
        <v>45900.333333333336</v>
      </c>
    </row>
    <row r="281" spans="1:8" x14ac:dyDescent="0.25">
      <c r="A281" s="7">
        <f>DATE(YEAR(m1_crossvalid[[#This Row],[cutoff]]),MONTH(m1_crossvalid[[#This Row],[cutoff]]),DAY(m1_crossvalid[[#This Row],[cutoff]]))</f>
        <v>45930</v>
      </c>
      <c r="B281" s="7">
        <f>DATE(YEAR(m1_crossvalid[[#This Row],[ds]]),MONTH(m1_crossvalid[[#This Row],[ds]]),DAY(m1_crossvalid[[#This Row],[ds]]))</f>
        <v>45931</v>
      </c>
      <c r="C281">
        <v>639</v>
      </c>
      <c r="D281" s="1">
        <v>45931.333333333336</v>
      </c>
      <c r="E281">
        <v>3563.6651633219712</v>
      </c>
      <c r="F281">
        <v>837.7608951709567</v>
      </c>
      <c r="G281">
        <v>6201.8695496554828</v>
      </c>
      <c r="H281" s="1">
        <v>45930.333333333336</v>
      </c>
    </row>
    <row r="282" spans="1:8" x14ac:dyDescent="0.25">
      <c r="A282" s="7">
        <f>DATE(YEAR(m1_crossvalid[[#This Row],[cutoff]]),MONTH(m1_crossvalid[[#This Row],[cutoff]]),DAY(m1_crossvalid[[#This Row],[cutoff]]))</f>
        <v>45930</v>
      </c>
      <c r="B282" s="7">
        <f>DATE(YEAR(m1_crossvalid[[#This Row],[ds]]),MONTH(m1_crossvalid[[#This Row],[ds]]),DAY(m1_crossvalid[[#This Row],[ds]]))</f>
        <v>45932</v>
      </c>
      <c r="C282">
        <v>823</v>
      </c>
      <c r="D282" s="1">
        <v>45932.333333333336</v>
      </c>
      <c r="E282">
        <v>3630.4197875844843</v>
      </c>
      <c r="F282">
        <v>935.46364579578631</v>
      </c>
      <c r="G282">
        <v>6362.1223487825355</v>
      </c>
      <c r="H282" s="1">
        <v>45930.333333333336</v>
      </c>
    </row>
    <row r="283" spans="1:8" x14ac:dyDescent="0.25">
      <c r="A283" s="7">
        <f>DATE(YEAR(m1_crossvalid[[#This Row],[cutoff]]),MONTH(m1_crossvalid[[#This Row],[cutoff]]),DAY(m1_crossvalid[[#This Row],[cutoff]]))</f>
        <v>45930</v>
      </c>
      <c r="B283" s="7">
        <f>DATE(YEAR(m1_crossvalid[[#This Row],[ds]]),MONTH(m1_crossvalid[[#This Row],[ds]]),DAY(m1_crossvalid[[#This Row],[ds]]))</f>
        <v>45933</v>
      </c>
      <c r="C283">
        <v>996</v>
      </c>
      <c r="D283" s="1">
        <v>45933.333333333336</v>
      </c>
      <c r="E283">
        <v>3593.2575986780375</v>
      </c>
      <c r="F283">
        <v>908.23716845452373</v>
      </c>
      <c r="G283">
        <v>6197.8709298063322</v>
      </c>
      <c r="H283" s="1">
        <v>45930.333333333336</v>
      </c>
    </row>
    <row r="284" spans="1:8" x14ac:dyDescent="0.25">
      <c r="A284" s="7">
        <f>DATE(YEAR(m1_crossvalid[[#This Row],[cutoff]]),MONTH(m1_crossvalid[[#This Row],[cutoff]]),DAY(m1_crossvalid[[#This Row],[cutoff]]))</f>
        <v>45930</v>
      </c>
      <c r="B284" s="7">
        <f>DATE(YEAR(m1_crossvalid[[#This Row],[ds]]),MONTH(m1_crossvalid[[#This Row],[ds]]),DAY(m1_crossvalid[[#This Row],[ds]]))</f>
        <v>45934</v>
      </c>
      <c r="C284">
        <v>141</v>
      </c>
      <c r="D284" s="1">
        <v>45934.333333333336</v>
      </c>
      <c r="E284">
        <v>1373.560676749584</v>
      </c>
      <c r="F284">
        <v>-1257.69949798374</v>
      </c>
      <c r="G284">
        <v>3901.0058489432649</v>
      </c>
      <c r="H284" s="1">
        <v>45930.333333333336</v>
      </c>
    </row>
    <row r="285" spans="1:8" x14ac:dyDescent="0.25">
      <c r="A285" s="7">
        <f>DATE(YEAR(m1_crossvalid[[#This Row],[cutoff]]),MONTH(m1_crossvalid[[#This Row],[cutoff]]),DAY(m1_crossvalid[[#This Row],[cutoff]]))</f>
        <v>45930</v>
      </c>
      <c r="B285" s="7">
        <f>DATE(YEAR(m1_crossvalid[[#This Row],[ds]]),MONTH(m1_crossvalid[[#This Row],[ds]]),DAY(m1_crossvalid[[#This Row],[ds]]))</f>
        <v>45935</v>
      </c>
      <c r="C285">
        <v>38</v>
      </c>
      <c r="D285" s="1">
        <v>45935.333333333336</v>
      </c>
      <c r="E285">
        <v>814.50596908963621</v>
      </c>
      <c r="F285">
        <v>-1725.305063384629</v>
      </c>
      <c r="G285">
        <v>3706.3858428423227</v>
      </c>
      <c r="H285" s="1">
        <v>45930.333333333336</v>
      </c>
    </row>
    <row r="286" spans="1:8" x14ac:dyDescent="0.25">
      <c r="A286" s="7">
        <f>DATE(YEAR(m1_crossvalid[[#This Row],[cutoff]]),MONTH(m1_crossvalid[[#This Row],[cutoff]]),DAY(m1_crossvalid[[#This Row],[cutoff]]))</f>
        <v>45930</v>
      </c>
      <c r="B286" s="7">
        <f>DATE(YEAR(m1_crossvalid[[#This Row],[ds]]),MONTH(m1_crossvalid[[#This Row],[ds]]),DAY(m1_crossvalid[[#This Row],[ds]]))</f>
        <v>45936</v>
      </c>
      <c r="C286">
        <v>1044</v>
      </c>
      <c r="D286" s="1">
        <v>45936.333333333336</v>
      </c>
      <c r="E286">
        <v>3130.2560230727058</v>
      </c>
      <c r="F286">
        <v>288.24270749035492</v>
      </c>
      <c r="G286">
        <v>5784.4746235307157</v>
      </c>
      <c r="H286" s="1">
        <v>45930.333333333336</v>
      </c>
    </row>
    <row r="287" spans="1:8" x14ac:dyDescent="0.25">
      <c r="A287" s="7">
        <f>DATE(YEAR(m1_crossvalid[[#This Row],[cutoff]]),MONTH(m1_crossvalid[[#This Row],[cutoff]]),DAY(m1_crossvalid[[#This Row],[cutoff]]))</f>
        <v>45930</v>
      </c>
      <c r="B287" s="7">
        <f>DATE(YEAR(m1_crossvalid[[#This Row],[ds]]),MONTH(m1_crossvalid[[#This Row],[ds]]),DAY(m1_crossvalid[[#This Row],[ds]]))</f>
        <v>45937</v>
      </c>
      <c r="C287">
        <v>1351</v>
      </c>
      <c r="D287" s="1">
        <v>45937.333333333336</v>
      </c>
      <c r="E287">
        <v>3632.6887865416679</v>
      </c>
      <c r="F287">
        <v>840.89976487505794</v>
      </c>
      <c r="G287">
        <v>6260.8400652027212</v>
      </c>
      <c r="H287" s="1">
        <v>45930.333333333336</v>
      </c>
    </row>
    <row r="288" spans="1:8" x14ac:dyDescent="0.25">
      <c r="A288" s="7">
        <f>DATE(YEAR(m1_crossvalid[[#This Row],[cutoff]]),MONTH(m1_crossvalid[[#This Row],[cutoff]]),DAY(m1_crossvalid[[#This Row],[cutoff]]))</f>
        <v>45930</v>
      </c>
      <c r="B288" s="7">
        <f>DATE(YEAR(m1_crossvalid[[#This Row],[ds]]),MONTH(m1_crossvalid[[#This Row],[ds]]),DAY(m1_crossvalid[[#This Row],[ds]]))</f>
        <v>45938</v>
      </c>
      <c r="C288">
        <v>1654</v>
      </c>
      <c r="D288" s="1">
        <v>45938.333333333336</v>
      </c>
      <c r="E288">
        <v>3643.5608076965309</v>
      </c>
      <c r="F288">
        <v>1052.6236363371347</v>
      </c>
      <c r="G288">
        <v>6230.849819698984</v>
      </c>
      <c r="H288" s="1">
        <v>45930.333333333336</v>
      </c>
    </row>
    <row r="289" spans="1:8" x14ac:dyDescent="0.25">
      <c r="A289" s="7">
        <f>DATE(YEAR(m1_crossvalid[[#This Row],[cutoff]]),MONTH(m1_crossvalid[[#This Row],[cutoff]]),DAY(m1_crossvalid[[#This Row],[cutoff]]))</f>
        <v>45930</v>
      </c>
      <c r="B289" s="7">
        <f>DATE(YEAR(m1_crossvalid[[#This Row],[ds]]),MONTH(m1_crossvalid[[#This Row],[ds]]),DAY(m1_crossvalid[[#This Row],[ds]]))</f>
        <v>45939</v>
      </c>
      <c r="C289">
        <v>2108</v>
      </c>
      <c r="D289" s="1">
        <v>45939.333333333336</v>
      </c>
      <c r="E289">
        <v>3670.3303816404923</v>
      </c>
      <c r="F289">
        <v>886.31806495508181</v>
      </c>
      <c r="G289">
        <v>6303.4913356633278</v>
      </c>
      <c r="H289" s="1">
        <v>45930.333333333336</v>
      </c>
    </row>
    <row r="290" spans="1:8" x14ac:dyDescent="0.25">
      <c r="A290" s="7">
        <f>DATE(YEAR(m1_crossvalid[[#This Row],[cutoff]]),MONTH(m1_crossvalid[[#This Row],[cutoff]]),DAY(m1_crossvalid[[#This Row],[cutoff]]))</f>
        <v>45930</v>
      </c>
      <c r="B290" s="7">
        <f>DATE(YEAR(m1_crossvalid[[#This Row],[ds]]),MONTH(m1_crossvalid[[#This Row],[ds]]),DAY(m1_crossvalid[[#This Row],[ds]]))</f>
        <v>45940</v>
      </c>
      <c r="C290">
        <v>2215</v>
      </c>
      <c r="D290" s="1">
        <v>45940.333333333336</v>
      </c>
      <c r="E290">
        <v>3593.9532129010595</v>
      </c>
      <c r="F290">
        <v>984.68021986232725</v>
      </c>
      <c r="G290">
        <v>6226.7919228134115</v>
      </c>
      <c r="H290" s="1">
        <v>45930.333333333336</v>
      </c>
    </row>
    <row r="291" spans="1:8" x14ac:dyDescent="0.25">
      <c r="A291" s="7">
        <f>DATE(YEAR(m1_crossvalid[[#This Row],[cutoff]]),MONTH(m1_crossvalid[[#This Row],[cutoff]]),DAY(m1_crossvalid[[#This Row],[cutoff]]))</f>
        <v>45930</v>
      </c>
      <c r="B291" s="7">
        <f>DATE(YEAR(m1_crossvalid[[#This Row],[ds]]),MONTH(m1_crossvalid[[#This Row],[ds]]),DAY(m1_crossvalid[[#This Row],[ds]]))</f>
        <v>45941</v>
      </c>
      <c r="C291">
        <v>380</v>
      </c>
      <c r="D291" s="1">
        <v>45941.333333333336</v>
      </c>
      <c r="E291">
        <v>1336.717976563983</v>
      </c>
      <c r="F291">
        <v>-1193.6367626436179</v>
      </c>
      <c r="G291">
        <v>4161.9788157749072</v>
      </c>
      <c r="H291" s="1">
        <v>45930.333333333336</v>
      </c>
    </row>
    <row r="292" spans="1:8" x14ac:dyDescent="0.25">
      <c r="A292" s="7">
        <f>DATE(YEAR(m1_crossvalid[[#This Row],[cutoff]]),MONTH(m1_crossvalid[[#This Row],[cutoff]]),DAY(m1_crossvalid[[#This Row],[cutoff]]))</f>
        <v>45930</v>
      </c>
      <c r="B292" s="7">
        <f>DATE(YEAR(m1_crossvalid[[#This Row],[ds]]),MONTH(m1_crossvalid[[#This Row],[ds]]),DAY(m1_crossvalid[[#This Row],[ds]]))</f>
        <v>45942</v>
      </c>
      <c r="C292">
        <v>120</v>
      </c>
      <c r="D292" s="1">
        <v>45942.333333333336</v>
      </c>
      <c r="E292">
        <v>742.65036949322189</v>
      </c>
      <c r="F292">
        <v>-1732.4471252692067</v>
      </c>
      <c r="G292">
        <v>3613.7989484613008</v>
      </c>
      <c r="H292" s="1">
        <v>45930.333333333336</v>
      </c>
    </row>
    <row r="293" spans="1:8" x14ac:dyDescent="0.25">
      <c r="A293" s="7">
        <f>DATE(YEAR(m1_crossvalid[[#This Row],[cutoff]]),MONTH(m1_crossvalid[[#This Row],[cutoff]]),DAY(m1_crossvalid[[#This Row],[cutoff]]))</f>
        <v>45930</v>
      </c>
      <c r="B293" s="7">
        <f>DATE(YEAR(m1_crossvalid[[#This Row],[ds]]),MONTH(m1_crossvalid[[#This Row],[ds]]),DAY(m1_crossvalid[[#This Row],[ds]]))</f>
        <v>45943</v>
      </c>
      <c r="C293">
        <v>2406</v>
      </c>
      <c r="D293" s="1">
        <v>45943.333333333336</v>
      </c>
      <c r="E293">
        <v>3026.6823772305465</v>
      </c>
      <c r="F293">
        <v>383.24881455230366</v>
      </c>
      <c r="G293">
        <v>5600.7909677186708</v>
      </c>
      <c r="H293" s="1">
        <v>45930.333333333336</v>
      </c>
    </row>
    <row r="294" spans="1:8" x14ac:dyDescent="0.25">
      <c r="A294" s="7">
        <f>DATE(YEAR(m1_crossvalid[[#This Row],[cutoff]]),MONTH(m1_crossvalid[[#This Row],[cutoff]]),DAY(m1_crossvalid[[#This Row],[cutoff]]))</f>
        <v>45930</v>
      </c>
      <c r="B294" s="7">
        <f>DATE(YEAR(m1_crossvalid[[#This Row],[ds]]),MONTH(m1_crossvalid[[#This Row],[ds]]),DAY(m1_crossvalid[[#This Row],[ds]]))</f>
        <v>45944</v>
      </c>
      <c r="C294">
        <v>2958</v>
      </c>
      <c r="D294" s="1">
        <v>45944.333333333336</v>
      </c>
      <c r="E294">
        <v>3501.3628575907364</v>
      </c>
      <c r="F294">
        <v>849.55515392333734</v>
      </c>
      <c r="G294">
        <v>6107.1873817692403</v>
      </c>
      <c r="H294" s="1">
        <v>45930.333333333336</v>
      </c>
    </row>
    <row r="295" spans="1:8" x14ac:dyDescent="0.25">
      <c r="A295" s="7">
        <f>DATE(YEAR(m1_crossvalid[[#This Row],[cutoff]]),MONTH(m1_crossvalid[[#This Row],[cutoff]]),DAY(m1_crossvalid[[#This Row],[cutoff]]))</f>
        <v>45930</v>
      </c>
      <c r="B295" s="7">
        <f>DATE(YEAR(m1_crossvalid[[#This Row],[ds]]),MONTH(m1_crossvalid[[#This Row],[ds]]),DAY(m1_crossvalid[[#This Row],[ds]]))</f>
        <v>45945</v>
      </c>
      <c r="C295">
        <v>3074</v>
      </c>
      <c r="D295" s="1">
        <v>45945.333333333336</v>
      </c>
      <c r="E295">
        <v>3489.0042897644448</v>
      </c>
      <c r="F295">
        <v>785.62549485599641</v>
      </c>
      <c r="G295">
        <v>6179.826588491911</v>
      </c>
      <c r="H295" s="1">
        <v>45930.333333333336</v>
      </c>
    </row>
    <row r="296" spans="1:8" x14ac:dyDescent="0.25">
      <c r="A296" s="7">
        <f>DATE(YEAR(m1_crossvalid[[#This Row],[cutoff]]),MONTH(m1_crossvalid[[#This Row],[cutoff]]),DAY(m1_crossvalid[[#This Row],[cutoff]]))</f>
        <v>45930</v>
      </c>
      <c r="B296" s="7">
        <f>DATE(YEAR(m1_crossvalid[[#This Row],[ds]]),MONTH(m1_crossvalid[[#This Row],[ds]]),DAY(m1_crossvalid[[#This Row],[ds]]))</f>
        <v>45946</v>
      </c>
      <c r="C296">
        <v>3505</v>
      </c>
      <c r="D296" s="1">
        <v>45946.333333333336</v>
      </c>
      <c r="E296">
        <v>3497.4926759584305</v>
      </c>
      <c r="F296">
        <v>1015.0221354213886</v>
      </c>
      <c r="G296">
        <v>6118.6052630978465</v>
      </c>
      <c r="H296" s="1">
        <v>45930.333333333336</v>
      </c>
    </row>
    <row r="297" spans="1:8" x14ac:dyDescent="0.25">
      <c r="A297" s="7">
        <f>DATE(YEAR(m1_crossvalid[[#This Row],[cutoff]]),MONTH(m1_crossvalid[[#This Row],[cutoff]]),DAY(m1_crossvalid[[#This Row],[cutoff]]))</f>
        <v>45930</v>
      </c>
      <c r="B297" s="7">
        <f>DATE(YEAR(m1_crossvalid[[#This Row],[ds]]),MONTH(m1_crossvalid[[#This Row],[ds]]),DAY(m1_crossvalid[[#This Row],[ds]]))</f>
        <v>45947</v>
      </c>
      <c r="C297">
        <v>3630</v>
      </c>
      <c r="D297" s="1">
        <v>45947.333333333336</v>
      </c>
      <c r="E297">
        <v>3408.0735164050629</v>
      </c>
      <c r="F297">
        <v>549.71197397716242</v>
      </c>
      <c r="G297">
        <v>5938.456335213994</v>
      </c>
      <c r="H297" s="1">
        <v>45930.333333333336</v>
      </c>
    </row>
    <row r="298" spans="1:8" x14ac:dyDescent="0.25">
      <c r="A298" s="7">
        <f>DATE(YEAR(m1_crossvalid[[#This Row],[cutoff]]),MONTH(m1_crossvalid[[#This Row],[cutoff]]),DAY(m1_crossvalid[[#This Row],[cutoff]]))</f>
        <v>45930</v>
      </c>
      <c r="B298" s="7">
        <f>DATE(YEAR(m1_crossvalid[[#This Row],[ds]]),MONTH(m1_crossvalid[[#This Row],[ds]]),DAY(m1_crossvalid[[#This Row],[ds]]))</f>
        <v>45948</v>
      </c>
      <c r="C298">
        <v>653</v>
      </c>
      <c r="D298" s="1">
        <v>45948.333333333336</v>
      </c>
      <c r="E298">
        <v>1143.1814930522301</v>
      </c>
      <c r="F298">
        <v>-1523.1998398536798</v>
      </c>
      <c r="G298">
        <v>3814.342830103592</v>
      </c>
      <c r="H298" s="1">
        <v>45930.333333333336</v>
      </c>
    </row>
    <row r="299" spans="1:8" x14ac:dyDescent="0.25">
      <c r="A299" s="7">
        <f>DATE(YEAR(m1_crossvalid[[#This Row],[cutoff]]),MONTH(m1_crossvalid[[#This Row],[cutoff]]),DAY(m1_crossvalid[[#This Row],[cutoff]]))</f>
        <v>45930</v>
      </c>
      <c r="B299" s="7">
        <f>DATE(YEAR(m1_crossvalid[[#This Row],[ds]]),MONTH(m1_crossvalid[[#This Row],[ds]]),DAY(m1_crossvalid[[#This Row],[ds]]))</f>
        <v>45949</v>
      </c>
      <c r="C299">
        <v>180</v>
      </c>
      <c r="D299" s="1">
        <v>45949.333333333336</v>
      </c>
      <c r="E299">
        <v>546.84260071273411</v>
      </c>
      <c r="F299">
        <v>-2148.6644366975415</v>
      </c>
      <c r="G299">
        <v>3014.2755486055939</v>
      </c>
      <c r="H299" s="1">
        <v>45930.333333333336</v>
      </c>
    </row>
    <row r="300" spans="1:8" x14ac:dyDescent="0.25">
      <c r="A300" s="7">
        <f>DATE(YEAR(m1_crossvalid[[#This Row],[cutoff]]),MONTH(m1_crossvalid[[#This Row],[cutoff]]),DAY(m1_crossvalid[[#This Row],[cutoff]]))</f>
        <v>45930</v>
      </c>
      <c r="B300" s="7">
        <f>DATE(YEAR(m1_crossvalid[[#This Row],[ds]]),MONTH(m1_crossvalid[[#This Row],[ds]]),DAY(m1_crossvalid[[#This Row],[ds]]))</f>
        <v>45950</v>
      </c>
      <c r="C300">
        <v>250</v>
      </c>
      <c r="D300" s="1">
        <v>45950.333333333336</v>
      </c>
      <c r="E300">
        <v>2833.8454883875884</v>
      </c>
      <c r="F300">
        <v>166.47034085646987</v>
      </c>
      <c r="G300">
        <v>5580.8392790941625</v>
      </c>
      <c r="H300" s="1">
        <v>45930.333333333336</v>
      </c>
    </row>
    <row r="301" spans="1:8" x14ac:dyDescent="0.25">
      <c r="A301" s="7">
        <f>DATE(YEAR(m1_crossvalid[[#This Row],[cutoff]]),MONTH(m1_crossvalid[[#This Row],[cutoff]]),DAY(m1_crossvalid[[#This Row],[cutoff]]))</f>
        <v>45930</v>
      </c>
      <c r="B301" s="7">
        <f>DATE(YEAR(m1_crossvalid[[#This Row],[ds]]),MONTH(m1_crossvalid[[#This Row],[ds]]),DAY(m1_crossvalid[[#This Row],[ds]]))</f>
        <v>45951</v>
      </c>
      <c r="C301">
        <v>2797</v>
      </c>
      <c r="D301" s="1">
        <v>45951.333333333336</v>
      </c>
      <c r="E301">
        <v>3316.4580386538328</v>
      </c>
      <c r="F301">
        <v>567.28811576538772</v>
      </c>
      <c r="G301">
        <v>5955.9045316389565</v>
      </c>
      <c r="H301" s="1">
        <v>45930.333333333336</v>
      </c>
    </row>
    <row r="302" spans="1:8" x14ac:dyDescent="0.25">
      <c r="A302" s="7">
        <f>DATE(YEAR(m1_crossvalid[[#This Row],[cutoff]]),MONTH(m1_crossvalid[[#This Row],[cutoff]]),DAY(m1_crossvalid[[#This Row],[cutoff]]))</f>
        <v>45930</v>
      </c>
      <c r="B302" s="7">
        <f>DATE(YEAR(m1_crossvalid[[#This Row],[ds]]),MONTH(m1_crossvalid[[#This Row],[ds]]),DAY(m1_crossvalid[[#This Row],[ds]]))</f>
        <v>45952</v>
      </c>
      <c r="C302">
        <v>3644</v>
      </c>
      <c r="D302" s="1">
        <v>45952.333333333336</v>
      </c>
      <c r="E302">
        <v>3316.5838514925977</v>
      </c>
      <c r="F302">
        <v>633.09687294773289</v>
      </c>
      <c r="G302">
        <v>5895.4969158835966</v>
      </c>
      <c r="H302" s="1">
        <v>45930.333333333336</v>
      </c>
    </row>
    <row r="303" spans="1:8" x14ac:dyDescent="0.25">
      <c r="A303" s="7">
        <f>DATE(YEAR(m1_crossvalid[[#This Row],[cutoff]]),MONTH(m1_crossvalid[[#This Row],[cutoff]]),DAY(m1_crossvalid[[#This Row],[cutoff]]))</f>
        <v>45930</v>
      </c>
      <c r="B303" s="7">
        <f>DATE(YEAR(m1_crossvalid[[#This Row],[ds]]),MONTH(m1_crossvalid[[#This Row],[ds]]),DAY(m1_crossvalid[[#This Row],[ds]]))</f>
        <v>45953</v>
      </c>
      <c r="C303">
        <v>4009</v>
      </c>
      <c r="D303" s="1">
        <v>45953.333333333336</v>
      </c>
      <c r="E303">
        <v>3341.5853337972549</v>
      </c>
      <c r="F303">
        <v>703.82516598887094</v>
      </c>
      <c r="G303">
        <v>6047.7981450829921</v>
      </c>
      <c r="H303" s="1">
        <v>45930.333333333336</v>
      </c>
    </row>
    <row r="304" spans="1:8" x14ac:dyDescent="0.25">
      <c r="A304" s="7">
        <f>DATE(YEAR(m1_crossvalid[[#This Row],[cutoff]]),MONTH(m1_crossvalid[[#This Row],[cutoff]]),DAY(m1_crossvalid[[#This Row],[cutoff]]))</f>
        <v>45930</v>
      </c>
      <c r="B304" s="7">
        <f>DATE(YEAR(m1_crossvalid[[#This Row],[ds]]),MONTH(m1_crossvalid[[#This Row],[ds]]),DAY(m1_crossvalid[[#This Row],[ds]]))</f>
        <v>45954</v>
      </c>
      <c r="C304">
        <v>4008</v>
      </c>
      <c r="D304" s="1">
        <v>45954.333333333336</v>
      </c>
      <c r="E304">
        <v>3272.0859338310156</v>
      </c>
      <c r="F304">
        <v>533.76852343195787</v>
      </c>
      <c r="G304">
        <v>5793.143307391385</v>
      </c>
      <c r="H304" s="1">
        <v>45930.333333333336</v>
      </c>
    </row>
    <row r="305" spans="1:8" x14ac:dyDescent="0.25">
      <c r="A305" s="7">
        <f>DATE(YEAR(m1_crossvalid[[#This Row],[cutoff]]),MONTH(m1_crossvalid[[#This Row],[cutoff]]),DAY(m1_crossvalid[[#This Row],[cutoff]]))</f>
        <v>45930</v>
      </c>
      <c r="B305" s="7">
        <f>DATE(YEAR(m1_crossvalid[[#This Row],[ds]]),MONTH(m1_crossvalid[[#This Row],[ds]]),DAY(m1_crossvalid[[#This Row],[ds]]))</f>
        <v>45955</v>
      </c>
      <c r="C305">
        <v>971</v>
      </c>
      <c r="D305" s="1">
        <v>45955.333333333336</v>
      </c>
      <c r="E305">
        <v>1029.8186894483886</v>
      </c>
      <c r="F305">
        <v>-1585.9853854506698</v>
      </c>
      <c r="G305">
        <v>3869.9583961347362</v>
      </c>
      <c r="H305" s="1">
        <v>45930.333333333336</v>
      </c>
    </row>
    <row r="306" spans="1:8" x14ac:dyDescent="0.25">
      <c r="A306" s="7">
        <f>DATE(YEAR(m1_crossvalid[[#This Row],[cutoff]]),MONTH(m1_crossvalid[[#This Row],[cutoff]]),DAY(m1_crossvalid[[#This Row],[cutoff]]))</f>
        <v>45930</v>
      </c>
      <c r="B306" s="7">
        <f>DATE(YEAR(m1_crossvalid[[#This Row],[ds]]),MONTH(m1_crossvalid[[#This Row],[ds]]),DAY(m1_crossvalid[[#This Row],[ds]]))</f>
        <v>45956</v>
      </c>
      <c r="C306">
        <v>238</v>
      </c>
      <c r="D306" s="1">
        <v>45956.333333333336</v>
      </c>
      <c r="E306">
        <v>458.04929043929428</v>
      </c>
      <c r="F306">
        <v>-2391.7790668998573</v>
      </c>
      <c r="G306">
        <v>3147.2938071813282</v>
      </c>
      <c r="H306" s="1">
        <v>45930.333333333336</v>
      </c>
    </row>
    <row r="307" spans="1:8" x14ac:dyDescent="0.25">
      <c r="A307" s="7">
        <f>DATE(YEAR(m1_crossvalid[[#This Row],[cutoff]]),MONTH(m1_crossvalid[[#This Row],[cutoff]]),DAY(m1_crossvalid[[#This Row],[cutoff]]))</f>
        <v>45930</v>
      </c>
      <c r="B307" s="7">
        <f>DATE(YEAR(m1_crossvalid[[#This Row],[ds]]),MONTH(m1_crossvalid[[#This Row],[ds]]),DAY(m1_crossvalid[[#This Row],[ds]]))</f>
        <v>45957</v>
      </c>
      <c r="C307">
        <v>4219</v>
      </c>
      <c r="D307" s="1">
        <v>45957.333333333336</v>
      </c>
      <c r="E307">
        <v>2770.7698226177122</v>
      </c>
      <c r="F307">
        <v>-46.665480620126033</v>
      </c>
      <c r="G307">
        <v>5564.1302177456346</v>
      </c>
      <c r="H307" s="1">
        <v>45930.333333333336</v>
      </c>
    </row>
    <row r="308" spans="1:8" x14ac:dyDescent="0.25">
      <c r="A308" s="7">
        <f>DATE(YEAR(m1_crossvalid[[#This Row],[cutoff]]),MONTH(m1_crossvalid[[#This Row],[cutoff]]),DAY(m1_crossvalid[[#This Row],[cutoff]]))</f>
        <v>45930</v>
      </c>
      <c r="B308" s="7">
        <f>DATE(YEAR(m1_crossvalid[[#This Row],[ds]]),MONTH(m1_crossvalid[[#This Row],[ds]]),DAY(m1_crossvalid[[#This Row],[ds]]))</f>
        <v>45958</v>
      </c>
      <c r="C308">
        <v>5659</v>
      </c>
      <c r="D308" s="1">
        <v>45958.333333333336</v>
      </c>
      <c r="E308">
        <v>3279.4385863717794</v>
      </c>
      <c r="F308">
        <v>621.9336522575461</v>
      </c>
      <c r="G308">
        <v>5897.437421746411</v>
      </c>
      <c r="H308" s="1">
        <v>45930.333333333336</v>
      </c>
    </row>
    <row r="309" spans="1:8" x14ac:dyDescent="0.25">
      <c r="A309" s="7">
        <f>DATE(YEAR(m1_crossvalid[[#This Row],[cutoff]]),MONTH(m1_crossvalid[[#This Row],[cutoff]]),DAY(m1_crossvalid[[#This Row],[cutoff]]))</f>
        <v>45930</v>
      </c>
      <c r="B309" s="7">
        <f>DATE(YEAR(m1_crossvalid[[#This Row],[ds]]),MONTH(m1_crossvalid[[#This Row],[ds]]),DAY(m1_crossvalid[[#This Row],[ds]]))</f>
        <v>45959</v>
      </c>
      <c r="C309">
        <v>6381</v>
      </c>
      <c r="D309" s="1">
        <v>45959.333333333336</v>
      </c>
      <c r="E309">
        <v>3305.1599986701572</v>
      </c>
      <c r="F309">
        <v>628.63412570811192</v>
      </c>
      <c r="G309">
        <v>5905.1545914953331</v>
      </c>
      <c r="H309" s="1">
        <v>45930.333333333336</v>
      </c>
    </row>
    <row r="310" spans="1:8" x14ac:dyDescent="0.25">
      <c r="A310" s="7">
        <f>DATE(YEAR(m1_crossvalid[[#This Row],[cutoff]]),MONTH(m1_crossvalid[[#This Row],[cutoff]]),DAY(m1_crossvalid[[#This Row],[cutoff]]))</f>
        <v>45930</v>
      </c>
      <c r="B310" s="7">
        <f>DATE(YEAR(m1_crossvalid[[#This Row],[ds]]),MONTH(m1_crossvalid[[#This Row],[ds]]),DAY(m1_crossvalid[[#This Row],[ds]]))</f>
        <v>45960</v>
      </c>
      <c r="C310">
        <v>7936</v>
      </c>
      <c r="D310" s="1">
        <v>45960.333333333336</v>
      </c>
      <c r="E310">
        <v>3354.5306187104748</v>
      </c>
      <c r="F310">
        <v>671.71039180589378</v>
      </c>
      <c r="G310">
        <v>6102.8559048318721</v>
      </c>
      <c r="H310" s="1">
        <v>45930.333333333336</v>
      </c>
    </row>
    <row r="311" spans="1:8" x14ac:dyDescent="0.25">
      <c r="A311" s="7">
        <f>DATE(YEAR(m1_crossvalid[[#This Row],[cutoff]]),MONTH(m1_crossvalid[[#This Row],[cutoff]]),DAY(m1_crossvalid[[#This Row],[cutoff]]))</f>
        <v>45930</v>
      </c>
      <c r="B311" s="7">
        <f>DATE(YEAR(m1_crossvalid[[#This Row],[ds]]),MONTH(m1_crossvalid[[#This Row],[ds]]),DAY(m1_crossvalid[[#This Row],[ds]]))</f>
        <v>45961</v>
      </c>
      <c r="C311">
        <v>13386</v>
      </c>
      <c r="D311" s="1">
        <v>45961.333333333336</v>
      </c>
      <c r="E311">
        <v>3307.4631902858596</v>
      </c>
      <c r="F311">
        <v>426.97476723229158</v>
      </c>
      <c r="G311">
        <v>5738.5292450252373</v>
      </c>
      <c r="H311" s="1">
        <v>45930.333333333336</v>
      </c>
    </row>
    <row r="312" spans="1:8" x14ac:dyDescent="0.25">
      <c r="A312" s="7">
        <f>DATE(YEAR(m1_crossvalid[[#This Row],[cutoff]]),MONTH(m1_crossvalid[[#This Row],[cutoff]]),DAY(m1_crossvalid[[#This Row],[cutoff]]))</f>
        <v>45961</v>
      </c>
      <c r="B312" s="7">
        <f>DATE(YEAR(m1_crossvalid[[#This Row],[ds]]),MONTH(m1_crossvalid[[#This Row],[ds]]),DAY(m1_crossvalid[[#This Row],[ds]]))</f>
        <v>45962</v>
      </c>
      <c r="C312">
        <v>104</v>
      </c>
      <c r="D312" s="1">
        <v>45962.333333333336</v>
      </c>
      <c r="E312">
        <v>1465.9216443185142</v>
      </c>
      <c r="F312">
        <v>-1130.4502576590373</v>
      </c>
      <c r="G312">
        <v>4087.3830388630295</v>
      </c>
      <c r="H312" s="1">
        <v>45961.333333333336</v>
      </c>
    </row>
    <row r="313" spans="1:8" x14ac:dyDescent="0.25">
      <c r="A313" s="7">
        <f>DATE(YEAR(m1_crossvalid[[#This Row],[cutoff]]),MONTH(m1_crossvalid[[#This Row],[cutoff]]),DAY(m1_crossvalid[[#This Row],[cutoff]]))</f>
        <v>45961</v>
      </c>
      <c r="B313" s="7">
        <f>DATE(YEAR(m1_crossvalid[[#This Row],[ds]]),MONTH(m1_crossvalid[[#This Row],[ds]]),DAY(m1_crossvalid[[#This Row],[ds]]))</f>
        <v>45963</v>
      </c>
      <c r="C313">
        <v>32</v>
      </c>
      <c r="D313" s="1">
        <v>45963.333333333336</v>
      </c>
      <c r="E313">
        <v>905.78041277989632</v>
      </c>
      <c r="F313">
        <v>-1854.4055375318994</v>
      </c>
      <c r="G313">
        <v>3597.8637915855088</v>
      </c>
      <c r="H313" s="1">
        <v>45961.333333333336</v>
      </c>
    </row>
    <row r="314" spans="1:8" x14ac:dyDescent="0.25">
      <c r="A314" s="7">
        <f>DATE(YEAR(m1_crossvalid[[#This Row],[cutoff]]),MONTH(m1_crossvalid[[#This Row],[cutoff]]),DAY(m1_crossvalid[[#This Row],[cutoff]]))</f>
        <v>45961</v>
      </c>
      <c r="B314" s="7">
        <f>DATE(YEAR(m1_crossvalid[[#This Row],[ds]]),MONTH(m1_crossvalid[[#This Row],[ds]]),DAY(m1_crossvalid[[#This Row],[ds]]))</f>
        <v>45964</v>
      </c>
      <c r="C314">
        <v>607</v>
      </c>
      <c r="D314" s="1">
        <v>45964.333333333336</v>
      </c>
      <c r="E314">
        <v>3211.4136873449893</v>
      </c>
      <c r="F314">
        <v>359.64040022206484</v>
      </c>
      <c r="G314">
        <v>5922.6861627755534</v>
      </c>
      <c r="H314" s="1">
        <v>45961.333333333336</v>
      </c>
    </row>
    <row r="315" spans="1:8" x14ac:dyDescent="0.25">
      <c r="A315" s="7">
        <f>DATE(YEAR(m1_crossvalid[[#This Row],[cutoff]]),MONTH(m1_crossvalid[[#This Row],[cutoff]]),DAY(m1_crossvalid[[#This Row],[cutoff]]))</f>
        <v>45961</v>
      </c>
      <c r="B315" s="7">
        <f>DATE(YEAR(m1_crossvalid[[#This Row],[ds]]),MONTH(m1_crossvalid[[#This Row],[ds]]),DAY(m1_crossvalid[[#This Row],[ds]]))</f>
        <v>45965</v>
      </c>
      <c r="C315">
        <v>821</v>
      </c>
      <c r="D315" s="1">
        <v>45965.333333333336</v>
      </c>
      <c r="E315">
        <v>3726.4576469473895</v>
      </c>
      <c r="F315">
        <v>1087.4187364056979</v>
      </c>
      <c r="G315">
        <v>6449.4236118465933</v>
      </c>
      <c r="H315" s="1">
        <v>45961.333333333336</v>
      </c>
    </row>
    <row r="316" spans="1:8" x14ac:dyDescent="0.25">
      <c r="A316" s="7">
        <f>DATE(YEAR(m1_crossvalid[[#This Row],[cutoff]]),MONTH(m1_crossvalid[[#This Row],[cutoff]]),DAY(m1_crossvalid[[#This Row],[cutoff]]))</f>
        <v>45961</v>
      </c>
      <c r="B316" s="7">
        <f>DATE(YEAR(m1_crossvalid[[#This Row],[ds]]),MONTH(m1_crossvalid[[#This Row],[ds]]),DAY(m1_crossvalid[[#This Row],[ds]]))</f>
        <v>45966</v>
      </c>
      <c r="C316">
        <v>1032</v>
      </c>
      <c r="D316" s="1">
        <v>45966.333333333336</v>
      </c>
      <c r="E316">
        <v>3730.9126627524984</v>
      </c>
      <c r="F316">
        <v>1236.5689539710013</v>
      </c>
      <c r="G316">
        <v>6425.744897803751</v>
      </c>
      <c r="H316" s="1">
        <v>45961.333333333336</v>
      </c>
    </row>
    <row r="317" spans="1:8" x14ac:dyDescent="0.25">
      <c r="A317" s="7">
        <f>DATE(YEAR(m1_crossvalid[[#This Row],[cutoff]]),MONTH(m1_crossvalid[[#This Row],[cutoff]]),DAY(m1_crossvalid[[#This Row],[cutoff]]))</f>
        <v>45961</v>
      </c>
      <c r="B317" s="7">
        <f>DATE(YEAR(m1_crossvalid[[#This Row],[ds]]),MONTH(m1_crossvalid[[#This Row],[ds]]),DAY(m1_crossvalid[[#This Row],[ds]]))</f>
        <v>45967</v>
      </c>
      <c r="C317">
        <v>1396</v>
      </c>
      <c r="D317" s="1">
        <v>45967.333333333336</v>
      </c>
      <c r="E317">
        <v>3770.1213620578405</v>
      </c>
      <c r="F317">
        <v>1043.7181627068308</v>
      </c>
      <c r="G317">
        <v>6498.4227759838395</v>
      </c>
      <c r="H317" s="1">
        <v>45961.333333333336</v>
      </c>
    </row>
    <row r="318" spans="1:8" x14ac:dyDescent="0.25">
      <c r="A318" s="7">
        <f>DATE(YEAR(m1_crossvalid[[#This Row],[cutoff]]),MONTH(m1_crossvalid[[#This Row],[cutoff]]),DAY(m1_crossvalid[[#This Row],[cutoff]]))</f>
        <v>45961</v>
      </c>
      <c r="B318" s="7">
        <f>DATE(YEAR(m1_crossvalid[[#This Row],[ds]]),MONTH(m1_crossvalid[[#This Row],[ds]]),DAY(m1_crossvalid[[#This Row],[ds]]))</f>
        <v>45968</v>
      </c>
      <c r="C318">
        <v>1612</v>
      </c>
      <c r="D318" s="1">
        <v>45968.333333333336</v>
      </c>
      <c r="E318">
        <v>3722.2851400312752</v>
      </c>
      <c r="F318">
        <v>1083.2880068493353</v>
      </c>
      <c r="G318">
        <v>6360.2696804415964</v>
      </c>
      <c r="H318" s="1">
        <v>45961.333333333336</v>
      </c>
    </row>
    <row r="319" spans="1:8" x14ac:dyDescent="0.25">
      <c r="A319" s="7">
        <f>DATE(YEAR(m1_crossvalid[[#This Row],[cutoff]]),MONTH(m1_crossvalid[[#This Row],[cutoff]]),DAY(m1_crossvalid[[#This Row],[cutoff]]))</f>
        <v>45961</v>
      </c>
      <c r="B319" s="7">
        <f>DATE(YEAR(m1_crossvalid[[#This Row],[ds]]),MONTH(m1_crossvalid[[#This Row],[ds]]),DAY(m1_crossvalid[[#This Row],[ds]]))</f>
        <v>45969</v>
      </c>
      <c r="C319">
        <v>206</v>
      </c>
      <c r="D319" s="1">
        <v>45969.333333333336</v>
      </c>
      <c r="E319">
        <v>1416.5085685630213</v>
      </c>
      <c r="F319">
        <v>-1309.5353867750666</v>
      </c>
      <c r="G319">
        <v>4344.9333482179809</v>
      </c>
      <c r="H319" s="1">
        <v>45961.333333333336</v>
      </c>
    </row>
    <row r="320" spans="1:8" x14ac:dyDescent="0.25">
      <c r="A320" s="7">
        <f>DATE(YEAR(m1_crossvalid[[#This Row],[cutoff]]),MONTH(m1_crossvalid[[#This Row],[cutoff]]),DAY(m1_crossvalid[[#This Row],[cutoff]]))</f>
        <v>45961</v>
      </c>
      <c r="B320" s="7">
        <f>DATE(YEAR(m1_crossvalid[[#This Row],[ds]]),MONTH(m1_crossvalid[[#This Row],[ds]]),DAY(m1_crossvalid[[#This Row],[ds]]))</f>
        <v>45970</v>
      </c>
      <c r="C320">
        <v>95</v>
      </c>
      <c r="D320" s="1">
        <v>45970.333333333336</v>
      </c>
      <c r="E320">
        <v>819.47822274724081</v>
      </c>
      <c r="F320">
        <v>-1875.9014522713082</v>
      </c>
      <c r="G320">
        <v>3482.2225670016369</v>
      </c>
      <c r="H320" s="1">
        <v>45961.333333333336</v>
      </c>
    </row>
    <row r="321" spans="1:8" x14ac:dyDescent="0.25">
      <c r="A321" s="7">
        <f>DATE(YEAR(m1_crossvalid[[#This Row],[cutoff]]),MONTH(m1_crossvalid[[#This Row],[cutoff]]),DAY(m1_crossvalid[[#This Row],[cutoff]]))</f>
        <v>45961</v>
      </c>
      <c r="B321" s="7">
        <f>DATE(YEAR(m1_crossvalid[[#This Row],[ds]]),MONTH(m1_crossvalid[[#This Row],[ds]]),DAY(m1_crossvalid[[#This Row],[ds]]))</f>
        <v>45971</v>
      </c>
      <c r="C321">
        <v>1552</v>
      </c>
      <c r="D321" s="1">
        <v>45971.333333333336</v>
      </c>
      <c r="E321">
        <v>3089.3418788274016</v>
      </c>
      <c r="F321">
        <v>304.37980723876575</v>
      </c>
      <c r="G321">
        <v>5776.5289087970477</v>
      </c>
      <c r="H321" s="1">
        <v>45961.333333333336</v>
      </c>
    </row>
    <row r="322" spans="1:8" x14ac:dyDescent="0.25">
      <c r="A322" s="7">
        <f>DATE(YEAR(m1_crossvalid[[#This Row],[cutoff]]),MONTH(m1_crossvalid[[#This Row],[cutoff]]),DAY(m1_crossvalid[[#This Row],[cutoff]]))</f>
        <v>45961</v>
      </c>
      <c r="B322" s="7">
        <f>DATE(YEAR(m1_crossvalid[[#This Row],[ds]]),MONTH(m1_crossvalid[[#This Row],[ds]]),DAY(m1_crossvalid[[#This Row],[ds]]))</f>
        <v>45972</v>
      </c>
      <c r="C322">
        <v>1937</v>
      </c>
      <c r="D322" s="1">
        <v>45972.333333333336</v>
      </c>
      <c r="E322">
        <v>3570.6076759402199</v>
      </c>
      <c r="F322">
        <v>880.11202493485359</v>
      </c>
      <c r="G322">
        <v>6239.8125600529684</v>
      </c>
      <c r="H322" s="1">
        <v>45961.333333333336</v>
      </c>
    </row>
    <row r="323" spans="1:8" x14ac:dyDescent="0.25">
      <c r="A323" s="7">
        <f>DATE(YEAR(m1_crossvalid[[#This Row],[cutoff]]),MONTH(m1_crossvalid[[#This Row],[cutoff]]),DAY(m1_crossvalid[[#This Row],[cutoff]]))</f>
        <v>45961</v>
      </c>
      <c r="B323" s="7">
        <f>DATE(YEAR(m1_crossvalid[[#This Row],[ds]]),MONTH(m1_crossvalid[[#This Row],[ds]]),DAY(m1_crossvalid[[#This Row],[ds]]))</f>
        <v>45973</v>
      </c>
      <c r="C323">
        <v>2198</v>
      </c>
      <c r="D323" s="1">
        <v>45973.333333333336</v>
      </c>
      <c r="E323">
        <v>3544.1222896688323</v>
      </c>
      <c r="F323">
        <v>770.57646539652933</v>
      </c>
      <c r="G323">
        <v>6316.3633890483061</v>
      </c>
      <c r="H323" s="1">
        <v>45961.333333333336</v>
      </c>
    </row>
    <row r="324" spans="1:8" x14ac:dyDescent="0.25">
      <c r="A324" s="7">
        <f>DATE(YEAR(m1_crossvalid[[#This Row],[cutoff]]),MONTH(m1_crossvalid[[#This Row],[cutoff]]),DAY(m1_crossvalid[[#This Row],[cutoff]]))</f>
        <v>45961</v>
      </c>
      <c r="B324" s="7">
        <f>DATE(YEAR(m1_crossvalid[[#This Row],[ds]]),MONTH(m1_crossvalid[[#This Row],[ds]]),DAY(m1_crossvalid[[#This Row],[ds]]))</f>
        <v>45974</v>
      </c>
      <c r="C324">
        <v>2401</v>
      </c>
      <c r="D324" s="1">
        <v>45974.333333333336</v>
      </c>
      <c r="E324">
        <v>3556.0265331329574</v>
      </c>
      <c r="F324">
        <v>894.00993408501904</v>
      </c>
      <c r="G324">
        <v>6484.1801894279788</v>
      </c>
      <c r="H324" s="1">
        <v>45961.333333333336</v>
      </c>
    </row>
    <row r="325" spans="1:8" x14ac:dyDescent="0.25">
      <c r="A325" s="7">
        <f>DATE(YEAR(m1_crossvalid[[#This Row],[cutoff]]),MONTH(m1_crossvalid[[#This Row],[cutoff]]),DAY(m1_crossvalid[[#This Row],[cutoff]]))</f>
        <v>45961</v>
      </c>
      <c r="B325" s="7">
        <f>DATE(YEAR(m1_crossvalid[[#This Row],[ds]]),MONTH(m1_crossvalid[[#This Row],[ds]]),DAY(m1_crossvalid[[#This Row],[ds]]))</f>
        <v>45975</v>
      </c>
      <c r="C325">
        <v>2547</v>
      </c>
      <c r="D325" s="1">
        <v>45975.333333333336</v>
      </c>
      <c r="E325">
        <v>3485.2502894382906</v>
      </c>
      <c r="F325">
        <v>607.81413163344814</v>
      </c>
      <c r="G325">
        <v>6178.6101018693416</v>
      </c>
      <c r="H325" s="1">
        <v>45961.333333333336</v>
      </c>
    </row>
    <row r="326" spans="1:8" x14ac:dyDescent="0.25">
      <c r="A326" s="7">
        <f>DATE(YEAR(m1_crossvalid[[#This Row],[cutoff]]),MONTH(m1_crossvalid[[#This Row],[cutoff]]),DAY(m1_crossvalid[[#This Row],[cutoff]]))</f>
        <v>45961</v>
      </c>
      <c r="B326" s="7">
        <f>DATE(YEAR(m1_crossvalid[[#This Row],[ds]]),MONTH(m1_crossvalid[[#This Row],[ds]]),DAY(m1_crossvalid[[#This Row],[ds]]))</f>
        <v>45976</v>
      </c>
      <c r="C326">
        <v>773</v>
      </c>
      <c r="D326" s="1">
        <v>45976.333333333336</v>
      </c>
      <c r="E326">
        <v>1161.5368109542583</v>
      </c>
      <c r="F326">
        <v>-1587.4371558084517</v>
      </c>
      <c r="G326">
        <v>3969.5425979559673</v>
      </c>
      <c r="H326" s="1">
        <v>45961.333333333336</v>
      </c>
    </row>
    <row r="327" spans="1:8" x14ac:dyDescent="0.25">
      <c r="A327" s="7">
        <f>DATE(YEAR(m1_crossvalid[[#This Row],[cutoff]]),MONTH(m1_crossvalid[[#This Row],[cutoff]]),DAY(m1_crossvalid[[#This Row],[cutoff]]))</f>
        <v>45961</v>
      </c>
      <c r="B327" s="7">
        <f>DATE(YEAR(m1_crossvalid[[#This Row],[ds]]),MONTH(m1_crossvalid[[#This Row],[ds]]),DAY(m1_crossvalid[[#This Row],[ds]]))</f>
        <v>45977</v>
      </c>
      <c r="C327">
        <v>113</v>
      </c>
      <c r="D327" s="1">
        <v>45977.333333333336</v>
      </c>
      <c r="E327">
        <v>552.10345834535565</v>
      </c>
      <c r="F327">
        <v>-2113.5258409558319</v>
      </c>
      <c r="G327">
        <v>3165.1177734256407</v>
      </c>
      <c r="H327" s="1">
        <v>45961.333333333336</v>
      </c>
    </row>
    <row r="328" spans="1:8" x14ac:dyDescent="0.25">
      <c r="A328" s="7">
        <f>DATE(YEAR(m1_crossvalid[[#This Row],[cutoff]]),MONTH(m1_crossvalid[[#This Row],[cutoff]]),DAY(m1_crossvalid[[#This Row],[cutoff]]))</f>
        <v>45961</v>
      </c>
      <c r="B328" s="7">
        <f>DATE(YEAR(m1_crossvalid[[#This Row],[ds]]),MONTH(m1_crossvalid[[#This Row],[ds]]),DAY(m1_crossvalid[[#This Row],[ds]]))</f>
        <v>45978</v>
      </c>
      <c r="C328">
        <v>2849</v>
      </c>
      <c r="D328" s="1">
        <v>45978.333333333336</v>
      </c>
      <c r="E328">
        <v>2815.5053363805087</v>
      </c>
      <c r="F328">
        <v>133.32587761716297</v>
      </c>
      <c r="G328">
        <v>5473.87812663366</v>
      </c>
      <c r="H328" s="1">
        <v>45961.333333333336</v>
      </c>
    </row>
    <row r="329" spans="1:8" x14ac:dyDescent="0.25">
      <c r="A329" s="7">
        <f>DATE(YEAR(m1_crossvalid[[#This Row],[cutoff]]),MONTH(m1_crossvalid[[#This Row],[cutoff]]),DAY(m1_crossvalid[[#This Row],[cutoff]]))</f>
        <v>45961</v>
      </c>
      <c r="B329" s="7">
        <f>DATE(YEAR(m1_crossvalid[[#This Row],[ds]]),MONTH(m1_crossvalid[[#This Row],[ds]]),DAY(m1_crossvalid[[#This Row],[ds]]))</f>
        <v>45979</v>
      </c>
      <c r="C329">
        <v>3351</v>
      </c>
      <c r="D329" s="1">
        <v>45979.333333333336</v>
      </c>
      <c r="E329">
        <v>3296.5218589456508</v>
      </c>
      <c r="F329">
        <v>717.47877987441495</v>
      </c>
      <c r="G329">
        <v>6002.0160118230488</v>
      </c>
      <c r="H329" s="1">
        <v>45961.333333333336</v>
      </c>
    </row>
    <row r="330" spans="1:8" x14ac:dyDescent="0.25">
      <c r="A330" s="7">
        <f>DATE(YEAR(m1_crossvalid[[#This Row],[cutoff]]),MONTH(m1_crossvalid[[#This Row],[cutoff]]),DAY(m1_crossvalid[[#This Row],[cutoff]]))</f>
        <v>45961</v>
      </c>
      <c r="B330" s="7">
        <f>DATE(YEAR(m1_crossvalid[[#This Row],[ds]]),MONTH(m1_crossvalid[[#This Row],[ds]]),DAY(m1_crossvalid[[#This Row],[ds]]))</f>
        <v>45980</v>
      </c>
      <c r="C330">
        <v>3248</v>
      </c>
      <c r="D330" s="1">
        <v>45980.333333333336</v>
      </c>
      <c r="E330">
        <v>3276.1256559425524</v>
      </c>
      <c r="F330">
        <v>516.41313585016769</v>
      </c>
      <c r="G330">
        <v>5878.4406321690849</v>
      </c>
      <c r="H330" s="1">
        <v>45961.333333333336</v>
      </c>
    </row>
    <row r="331" spans="1:8" x14ac:dyDescent="0.25">
      <c r="A331" s="7">
        <f>DATE(YEAR(m1_crossvalid[[#This Row],[cutoff]]),MONTH(m1_crossvalid[[#This Row],[cutoff]]),DAY(m1_crossvalid[[#This Row],[cutoff]]))</f>
        <v>45961</v>
      </c>
      <c r="B331" s="7">
        <f>DATE(YEAR(m1_crossvalid[[#This Row],[ds]]),MONTH(m1_crossvalid[[#This Row],[ds]]),DAY(m1_crossvalid[[#This Row],[ds]]))</f>
        <v>45981</v>
      </c>
      <c r="C331">
        <v>3581</v>
      </c>
      <c r="D331" s="1">
        <v>45981.333333333336</v>
      </c>
      <c r="E331">
        <v>3300.4325166080225</v>
      </c>
      <c r="F331">
        <v>537.25267222637979</v>
      </c>
      <c r="G331">
        <v>5960.5116214388017</v>
      </c>
      <c r="H331" s="1">
        <v>45961.333333333336</v>
      </c>
    </row>
    <row r="332" spans="1:8" x14ac:dyDescent="0.25">
      <c r="A332" s="7">
        <f>DATE(YEAR(m1_crossvalid[[#This Row],[cutoff]]),MONTH(m1_crossvalid[[#This Row],[cutoff]]),DAY(m1_crossvalid[[#This Row],[cutoff]]))</f>
        <v>45961</v>
      </c>
      <c r="B332" s="7">
        <f>DATE(YEAR(m1_crossvalid[[#This Row],[ds]]),MONTH(m1_crossvalid[[#This Row],[ds]]),DAY(m1_crossvalid[[#This Row],[ds]]))</f>
        <v>45982</v>
      </c>
      <c r="C332">
        <v>3622</v>
      </c>
      <c r="D332" s="1">
        <v>45982.333333333336</v>
      </c>
      <c r="E332">
        <v>3248.1944581508924</v>
      </c>
      <c r="F332">
        <v>675.08991300379898</v>
      </c>
      <c r="G332">
        <v>6013.5491043737202</v>
      </c>
      <c r="H332" s="1">
        <v>45961.333333333336</v>
      </c>
    </row>
    <row r="333" spans="1:8" x14ac:dyDescent="0.25">
      <c r="A333" s="7">
        <f>DATE(YEAR(m1_crossvalid[[#This Row],[cutoff]]),MONTH(m1_crossvalid[[#This Row],[cutoff]]),DAY(m1_crossvalid[[#This Row],[cutoff]]))</f>
        <v>45961</v>
      </c>
      <c r="B333" s="7">
        <f>DATE(YEAR(m1_crossvalid[[#This Row],[ds]]),MONTH(m1_crossvalid[[#This Row],[ds]]),DAY(m1_crossvalid[[#This Row],[ds]]))</f>
        <v>45983</v>
      </c>
      <c r="C333">
        <v>783</v>
      </c>
      <c r="D333" s="1">
        <v>45983.333333333336</v>
      </c>
      <c r="E333">
        <v>948.82604080659689</v>
      </c>
      <c r="F333">
        <v>-1944.301087136231</v>
      </c>
      <c r="G333">
        <v>3673.2284735275421</v>
      </c>
      <c r="H333" s="1">
        <v>45961.333333333336</v>
      </c>
    </row>
    <row r="334" spans="1:8" x14ac:dyDescent="0.25">
      <c r="A334" s="7">
        <f>DATE(YEAR(m1_crossvalid[[#This Row],[cutoff]]),MONTH(m1_crossvalid[[#This Row],[cutoff]]),DAY(m1_crossvalid[[#This Row],[cutoff]]))</f>
        <v>45961</v>
      </c>
      <c r="B334" s="7">
        <f>DATE(YEAR(m1_crossvalid[[#This Row],[ds]]),MONTH(m1_crossvalid[[#This Row],[ds]]),DAY(m1_crossvalid[[#This Row],[ds]]))</f>
        <v>45984</v>
      </c>
      <c r="C334">
        <v>188</v>
      </c>
      <c r="D334" s="1">
        <v>45984.333333333336</v>
      </c>
      <c r="E334">
        <v>369.07098570586868</v>
      </c>
      <c r="F334">
        <v>-2237.610167620287</v>
      </c>
      <c r="G334">
        <v>2976.2686725575054</v>
      </c>
      <c r="H334" s="1">
        <v>45961.333333333336</v>
      </c>
    </row>
    <row r="335" spans="1:8" x14ac:dyDescent="0.25">
      <c r="A335" s="7">
        <f>DATE(YEAR(m1_crossvalid[[#This Row],[cutoff]]),MONTH(m1_crossvalid[[#This Row],[cutoff]]),DAY(m1_crossvalid[[#This Row],[cutoff]]))</f>
        <v>45961</v>
      </c>
      <c r="B335" s="7">
        <f>DATE(YEAR(m1_crossvalid[[#This Row],[ds]]),MONTH(m1_crossvalid[[#This Row],[ds]]),DAY(m1_crossvalid[[#This Row],[ds]]))</f>
        <v>45985</v>
      </c>
      <c r="C335">
        <v>3515</v>
      </c>
      <c r="D335" s="1">
        <v>45985.333333333336</v>
      </c>
      <c r="E335">
        <v>2666.8754336885236</v>
      </c>
      <c r="F335">
        <v>-167.07420787187209</v>
      </c>
      <c r="G335">
        <v>5361.218253983051</v>
      </c>
      <c r="H335" s="1">
        <v>45961.333333333336</v>
      </c>
    </row>
    <row r="336" spans="1:8" x14ac:dyDescent="0.25">
      <c r="A336" s="7">
        <f>DATE(YEAR(m1_crossvalid[[#This Row],[cutoff]]),MONTH(m1_crossvalid[[#This Row],[cutoff]]),DAY(m1_crossvalid[[#This Row],[cutoff]]))</f>
        <v>45961</v>
      </c>
      <c r="B336" s="7">
        <f>DATE(YEAR(m1_crossvalid[[#This Row],[ds]]),MONTH(m1_crossvalid[[#This Row],[ds]]),DAY(m1_crossvalid[[#This Row],[ds]]))</f>
        <v>45986</v>
      </c>
      <c r="C336">
        <v>4824</v>
      </c>
      <c r="D336" s="1">
        <v>45986.333333333336</v>
      </c>
      <c r="E336">
        <v>3186.2876591708837</v>
      </c>
      <c r="F336">
        <v>543.36128977177145</v>
      </c>
      <c r="G336">
        <v>5863.2800544949077</v>
      </c>
      <c r="H336" s="1">
        <v>45961.333333333336</v>
      </c>
    </row>
    <row r="337" spans="1:8" x14ac:dyDescent="0.25">
      <c r="A337" s="7">
        <f>DATE(YEAR(m1_crossvalid[[#This Row],[cutoff]]),MONTH(m1_crossvalid[[#This Row],[cutoff]]),DAY(m1_crossvalid[[#This Row],[cutoff]]))</f>
        <v>45961</v>
      </c>
      <c r="B337" s="7">
        <f>DATE(YEAR(m1_crossvalid[[#This Row],[ds]]),MONTH(m1_crossvalid[[#This Row],[ds]]),DAY(m1_crossvalid[[#This Row],[ds]]))</f>
        <v>45987</v>
      </c>
      <c r="C337">
        <v>5463</v>
      </c>
      <c r="D337" s="1">
        <v>45987.333333333336</v>
      </c>
      <c r="E337">
        <v>3207.4433387959139</v>
      </c>
      <c r="F337">
        <v>509.49662319973237</v>
      </c>
      <c r="G337">
        <v>6078.4296623413402</v>
      </c>
      <c r="H337" s="1">
        <v>45961.333333333336</v>
      </c>
    </row>
    <row r="338" spans="1:8" x14ac:dyDescent="0.25">
      <c r="A338" s="7">
        <f>DATE(YEAR(m1_crossvalid[[#This Row],[cutoff]]),MONTH(m1_crossvalid[[#This Row],[cutoff]]),DAY(m1_crossvalid[[#This Row],[cutoff]]))</f>
        <v>45961</v>
      </c>
      <c r="B338" s="7">
        <f>DATE(YEAR(m1_crossvalid[[#This Row],[ds]]),MONTH(m1_crossvalid[[#This Row],[ds]]),DAY(m1_crossvalid[[#This Row],[ds]]))</f>
        <v>45988</v>
      </c>
      <c r="C338">
        <v>7236</v>
      </c>
      <c r="D338" s="1">
        <v>45988.333333333336</v>
      </c>
      <c r="E338">
        <v>3275.5346708153934</v>
      </c>
      <c r="F338">
        <v>807.07833307062072</v>
      </c>
      <c r="G338">
        <v>6076.2261873124917</v>
      </c>
      <c r="H338" s="1">
        <v>45961.333333333336</v>
      </c>
    </row>
    <row r="339" spans="1:8" x14ac:dyDescent="0.25">
      <c r="A339" s="7">
        <f>DATE(YEAR(m1_crossvalid[[#This Row],[cutoff]]),MONTH(m1_crossvalid[[#This Row],[cutoff]]),DAY(m1_crossvalid[[#This Row],[cutoff]]))</f>
        <v>45961</v>
      </c>
      <c r="B339" s="7">
        <f>DATE(YEAR(m1_crossvalid[[#This Row],[ds]]),MONTH(m1_crossvalid[[#This Row],[ds]]),DAY(m1_crossvalid[[#This Row],[ds]]))</f>
        <v>45989</v>
      </c>
      <c r="C339">
        <v>10013</v>
      </c>
      <c r="D339" s="1">
        <v>45989.333333333336</v>
      </c>
      <c r="E339">
        <v>3268.324958941248</v>
      </c>
      <c r="F339">
        <v>483.98762704824281</v>
      </c>
      <c r="G339">
        <v>5870.1648339072435</v>
      </c>
      <c r="H339" s="1">
        <v>45961.333333333336</v>
      </c>
    </row>
    <row r="340" spans="1:8" x14ac:dyDescent="0.25">
      <c r="A340" s="7">
        <f>DATE(YEAR(m1_crossvalid[[#This Row],[cutoff]]),MONTH(m1_crossvalid[[#This Row],[cutoff]]),DAY(m1_crossvalid[[#This Row],[cutoff]]))</f>
        <v>45961</v>
      </c>
      <c r="B340" s="7">
        <f>DATE(YEAR(m1_crossvalid[[#This Row],[ds]]),MONTH(m1_crossvalid[[#This Row],[ds]]),DAY(m1_crossvalid[[#This Row],[ds]]))</f>
        <v>45990</v>
      </c>
      <c r="C340">
        <v>8210</v>
      </c>
      <c r="D340" s="1">
        <v>45990.333333333336</v>
      </c>
      <c r="E340">
        <v>1014.198243559146</v>
      </c>
      <c r="F340">
        <v>-1542.0085056598648</v>
      </c>
      <c r="G340">
        <v>3811.5524677448993</v>
      </c>
      <c r="H340" s="1">
        <v>45961.333333333336</v>
      </c>
    </row>
    <row r="341" spans="1:8" x14ac:dyDescent="0.25">
      <c r="A341" s="7">
        <f>DATE(YEAR(m1_crossvalid[[#This Row],[cutoff]]),MONTH(m1_crossvalid[[#This Row],[cutoff]]),DAY(m1_crossvalid[[#This Row],[cutoff]]))</f>
        <v>45961</v>
      </c>
      <c r="B341" s="7">
        <f>DATE(YEAR(m1_crossvalid[[#This Row],[ds]]),MONTH(m1_crossvalid[[#This Row],[ds]]),DAY(m1_crossvalid[[#This Row],[ds]]))</f>
        <v>45991</v>
      </c>
      <c r="C341">
        <v>3567</v>
      </c>
      <c r="D341" s="1">
        <v>45991.333333333336</v>
      </c>
      <c r="E341">
        <v>478.85044873943798</v>
      </c>
      <c r="F341">
        <v>-2232.4986117360086</v>
      </c>
      <c r="G341">
        <v>3078.5825419128228</v>
      </c>
      <c r="H341" s="1">
        <v>45961.333333333336</v>
      </c>
    </row>
    <row r="342" spans="1:8" x14ac:dyDescent="0.25">
      <c r="A342" s="7">
        <f>DATE(YEAR(m1_crossvalid[[#This Row],[cutoff]]),MONTH(m1_crossvalid[[#This Row],[cutoff]]),DAY(m1_crossvalid[[#This Row],[cutoff]]))</f>
        <v>45961</v>
      </c>
      <c r="B342" s="7">
        <f>DATE(YEAR(m1_crossvalid[[#This Row],[ds]]),MONTH(m1_crossvalid[[#This Row],[ds]]),DAY(m1_crossvalid[[#This Row],[ds]]))</f>
        <v>45992</v>
      </c>
      <c r="C342">
        <v>659</v>
      </c>
      <c r="D342" s="1">
        <v>45992.333333333336</v>
      </c>
      <c r="E342">
        <v>2819.1877617273544</v>
      </c>
      <c r="F342">
        <v>388.17573335928012</v>
      </c>
      <c r="G342">
        <v>5626.6684954799384</v>
      </c>
      <c r="H342" s="1">
        <v>45961.333333333336</v>
      </c>
    </row>
    <row r="343" spans="1:8" x14ac:dyDescent="0.25">
      <c r="A343" s="7">
        <f>DATE(YEAR(m1_crossvalid[[#This Row],[cutoff]]),MONTH(m1_crossvalid[[#This Row],[cutoff]]),DAY(m1_crossvalid[[#This Row],[cutoff]]))</f>
        <v>45991</v>
      </c>
      <c r="B343" s="7">
        <f>DATE(YEAR(m1_crossvalid[[#This Row],[ds]]),MONTH(m1_crossvalid[[#This Row],[ds]]),DAY(m1_crossvalid[[#This Row],[ds]]))</f>
        <v>45992</v>
      </c>
      <c r="C343">
        <v>659</v>
      </c>
      <c r="D343" s="1">
        <v>45992.333333333336</v>
      </c>
      <c r="E343">
        <v>3273.6111128375401</v>
      </c>
      <c r="F343">
        <v>383.75970817895666</v>
      </c>
      <c r="G343">
        <v>5974.8951867472688</v>
      </c>
      <c r="H343" s="1">
        <v>45991.333333333336</v>
      </c>
    </row>
    <row r="344" spans="1:8" x14ac:dyDescent="0.25">
      <c r="A344" s="7">
        <f>DATE(YEAR(m1_crossvalid[[#This Row],[cutoff]]),MONTH(m1_crossvalid[[#This Row],[cutoff]]),DAY(m1_crossvalid[[#This Row],[cutoff]]))</f>
        <v>45991</v>
      </c>
      <c r="B344" s="7">
        <f>DATE(YEAR(m1_crossvalid[[#This Row],[ds]]),MONTH(m1_crossvalid[[#This Row],[ds]]),DAY(m1_crossvalid[[#This Row],[ds]]))</f>
        <v>45993</v>
      </c>
      <c r="C344">
        <v>963</v>
      </c>
      <c r="D344" s="1">
        <v>45993.333333333336</v>
      </c>
      <c r="E344">
        <v>3824.6707823985898</v>
      </c>
      <c r="F344">
        <v>1228.4204970066548</v>
      </c>
      <c r="G344">
        <v>6477.9464626860026</v>
      </c>
      <c r="H344" s="1">
        <v>45991.333333333336</v>
      </c>
    </row>
    <row r="345" spans="1:8" x14ac:dyDescent="0.25">
      <c r="A345" s="7">
        <f>DATE(YEAR(m1_crossvalid[[#This Row],[cutoff]]),MONTH(m1_crossvalid[[#This Row],[cutoff]]),DAY(m1_crossvalid[[#This Row],[cutoff]]))</f>
        <v>45991</v>
      </c>
      <c r="B345" s="7">
        <f>DATE(YEAR(m1_crossvalid[[#This Row],[ds]]),MONTH(m1_crossvalid[[#This Row],[ds]]),DAY(m1_crossvalid[[#This Row],[ds]]))</f>
        <v>45994</v>
      </c>
      <c r="C345">
        <v>1248</v>
      </c>
      <c r="D345" s="1">
        <v>45994.333333333336</v>
      </c>
      <c r="E345">
        <v>3870.454436651065</v>
      </c>
      <c r="F345">
        <v>1211.4974649021538</v>
      </c>
      <c r="G345">
        <v>6502.6276497176423</v>
      </c>
      <c r="H345" s="1">
        <v>45991.333333333336</v>
      </c>
    </row>
    <row r="346" spans="1:8" x14ac:dyDescent="0.25">
      <c r="A346" s="7">
        <f>DATE(YEAR(m1_crossvalid[[#This Row],[cutoff]]),MONTH(m1_crossvalid[[#This Row],[cutoff]]),DAY(m1_crossvalid[[#This Row],[cutoff]]))</f>
        <v>45991</v>
      </c>
      <c r="B346" s="7">
        <f>DATE(YEAR(m1_crossvalid[[#This Row],[ds]]),MONTH(m1_crossvalid[[#This Row],[ds]]),DAY(m1_crossvalid[[#This Row],[ds]]))</f>
        <v>45995</v>
      </c>
      <c r="C346">
        <v>1462</v>
      </c>
      <c r="D346" s="1">
        <v>45995.333333333336</v>
      </c>
      <c r="E346">
        <v>3960.527195859424</v>
      </c>
      <c r="F346">
        <v>1135.4189846179811</v>
      </c>
      <c r="G346">
        <v>6592.722052018712</v>
      </c>
      <c r="H346" s="1">
        <v>45991.333333333336</v>
      </c>
    </row>
    <row r="347" spans="1:8" x14ac:dyDescent="0.25">
      <c r="A347" s="7">
        <f>DATE(YEAR(m1_crossvalid[[#This Row],[cutoff]]),MONTH(m1_crossvalid[[#This Row],[cutoff]]),DAY(m1_crossvalid[[#This Row],[cutoff]]))</f>
        <v>45991</v>
      </c>
      <c r="B347" s="7">
        <f>DATE(YEAR(m1_crossvalid[[#This Row],[ds]]),MONTH(m1_crossvalid[[#This Row],[ds]]),DAY(m1_crossvalid[[#This Row],[ds]]))</f>
        <v>45996</v>
      </c>
      <c r="C347">
        <v>1441</v>
      </c>
      <c r="D347" s="1">
        <v>45996.333333333336</v>
      </c>
      <c r="E347">
        <v>3968.7145677755593</v>
      </c>
      <c r="F347">
        <v>1174.5180824593542</v>
      </c>
      <c r="G347">
        <v>6724.9969565845004</v>
      </c>
      <c r="H347" s="1">
        <v>45991.333333333336</v>
      </c>
    </row>
    <row r="348" spans="1:8" x14ac:dyDescent="0.25">
      <c r="A348" s="7">
        <f>DATE(YEAR(m1_crossvalid[[#This Row],[cutoff]]),MONTH(m1_crossvalid[[#This Row],[cutoff]]),DAY(m1_crossvalid[[#This Row],[cutoff]]))</f>
        <v>45991</v>
      </c>
      <c r="B348" s="7">
        <f>DATE(YEAR(m1_crossvalid[[#This Row],[ds]]),MONTH(m1_crossvalid[[#This Row],[ds]]),DAY(m1_crossvalid[[#This Row],[ds]]))</f>
        <v>45997</v>
      </c>
      <c r="C348">
        <v>380</v>
      </c>
      <c r="D348" s="1">
        <v>45997.333333333336</v>
      </c>
      <c r="E348">
        <v>1704.0743326077124</v>
      </c>
      <c r="F348">
        <v>-857.40596125285379</v>
      </c>
      <c r="G348">
        <v>4344.9169919512433</v>
      </c>
      <c r="H348" s="1">
        <v>45991.333333333336</v>
      </c>
    </row>
    <row r="349" spans="1:8" x14ac:dyDescent="0.25">
      <c r="A349" s="7">
        <f>DATE(YEAR(m1_crossvalid[[#This Row],[cutoff]]),MONTH(m1_crossvalid[[#This Row],[cutoff]]),DAY(m1_crossvalid[[#This Row],[cutoff]]))</f>
        <v>45991</v>
      </c>
      <c r="B349" s="7">
        <f>DATE(YEAR(m1_crossvalid[[#This Row],[ds]]),MONTH(m1_crossvalid[[#This Row],[ds]]),DAY(m1_crossvalid[[#This Row],[ds]]))</f>
        <v>45998</v>
      </c>
      <c r="C349">
        <v>59</v>
      </c>
      <c r="D349" s="1">
        <v>45998.333333333336</v>
      </c>
      <c r="E349">
        <v>1129.354563504796</v>
      </c>
      <c r="F349">
        <v>-1780.7183226554289</v>
      </c>
      <c r="G349">
        <v>3861.7523471396216</v>
      </c>
      <c r="H349" s="1">
        <v>45991.333333333336</v>
      </c>
    </row>
    <row r="350" spans="1:8" x14ac:dyDescent="0.25">
      <c r="A350" s="7">
        <f>DATE(YEAR(m1_crossvalid[[#This Row],[cutoff]]),MONTH(m1_crossvalid[[#This Row],[cutoff]]),DAY(m1_crossvalid[[#This Row],[cutoff]]))</f>
        <v>45991</v>
      </c>
      <c r="B350" s="7">
        <f>DATE(YEAR(m1_crossvalid[[#This Row],[ds]]),MONTH(m1_crossvalid[[#This Row],[ds]]),DAY(m1_crossvalid[[#This Row],[ds]]))</f>
        <v>45999</v>
      </c>
      <c r="C350">
        <v>1698</v>
      </c>
      <c r="D350" s="1">
        <v>45999.333333333336</v>
      </c>
      <c r="E350">
        <v>3420.8312234728119</v>
      </c>
      <c r="F350">
        <v>672.13310442532065</v>
      </c>
      <c r="G350">
        <v>6077.1117068251369</v>
      </c>
      <c r="H350" s="1">
        <v>45991.333333333336</v>
      </c>
    </row>
    <row r="351" spans="1:8" x14ac:dyDescent="0.25">
      <c r="A351" s="7">
        <f>DATE(YEAR(m1_crossvalid[[#This Row],[cutoff]]),MONTH(m1_crossvalid[[#This Row],[cutoff]]),DAY(m1_crossvalid[[#This Row],[cutoff]]))</f>
        <v>45991</v>
      </c>
      <c r="B351" s="7">
        <f>DATE(YEAR(m1_crossvalid[[#This Row],[ds]]),MONTH(m1_crossvalid[[#This Row],[ds]]),DAY(m1_crossvalid[[#This Row],[ds]]))</f>
        <v>46000</v>
      </c>
      <c r="C351">
        <v>1924</v>
      </c>
      <c r="D351" s="1">
        <v>46000.333333333336</v>
      </c>
      <c r="E351">
        <v>3941.4714852585566</v>
      </c>
      <c r="F351">
        <v>1284.5836511883197</v>
      </c>
      <c r="G351">
        <v>6720.4913618661985</v>
      </c>
      <c r="H351" s="1">
        <v>45991.333333333336</v>
      </c>
    </row>
    <row r="352" spans="1:8" x14ac:dyDescent="0.25">
      <c r="A352" s="7">
        <f>DATE(YEAR(m1_crossvalid[[#This Row],[cutoff]]),MONTH(m1_crossvalid[[#This Row],[cutoff]]),DAY(m1_crossvalid[[#This Row],[cutoff]]))</f>
        <v>45991</v>
      </c>
      <c r="B352" s="7">
        <f>DATE(YEAR(m1_crossvalid[[#This Row],[ds]]),MONTH(m1_crossvalid[[#This Row],[ds]]),DAY(m1_crossvalid[[#This Row],[ds]]))</f>
        <v>46001</v>
      </c>
      <c r="C352">
        <v>2624</v>
      </c>
      <c r="D352" s="1">
        <v>46001.333333333336</v>
      </c>
      <c r="E352">
        <v>3954.4657740311213</v>
      </c>
      <c r="F352">
        <v>1083.8806730114179</v>
      </c>
      <c r="G352">
        <v>6425.6861699570845</v>
      </c>
      <c r="H352" s="1">
        <v>45991.333333333336</v>
      </c>
    </row>
    <row r="353" spans="1:8" x14ac:dyDescent="0.25">
      <c r="A353" s="7">
        <f>DATE(YEAR(m1_crossvalid[[#This Row],[cutoff]]),MONTH(m1_crossvalid[[#This Row],[cutoff]]),DAY(m1_crossvalid[[#This Row],[cutoff]]))</f>
        <v>45991</v>
      </c>
      <c r="B353" s="7">
        <f>DATE(YEAR(m1_crossvalid[[#This Row],[ds]]),MONTH(m1_crossvalid[[#This Row],[ds]]),DAY(m1_crossvalid[[#This Row],[ds]]))</f>
        <v>46002</v>
      </c>
      <c r="C353">
        <v>1853</v>
      </c>
      <c r="D353" s="1">
        <v>46002.333333333336</v>
      </c>
      <c r="E353">
        <v>4009.8553005572066</v>
      </c>
      <c r="F353">
        <v>1295.9934679177729</v>
      </c>
      <c r="G353">
        <v>6689.8714350871069</v>
      </c>
      <c r="H353" s="1">
        <v>45991.333333333336</v>
      </c>
    </row>
    <row r="354" spans="1:8" x14ac:dyDescent="0.25">
      <c r="A354" s="7">
        <f>DATE(YEAR(m1_crossvalid[[#This Row],[cutoff]]),MONTH(m1_crossvalid[[#This Row],[cutoff]]),DAY(m1_crossvalid[[#This Row],[cutoff]]))</f>
        <v>45991</v>
      </c>
      <c r="B354" s="7">
        <f>DATE(YEAR(m1_crossvalid[[#This Row],[ds]]),MONTH(m1_crossvalid[[#This Row],[ds]]),DAY(m1_crossvalid[[#This Row],[ds]]))</f>
        <v>46003</v>
      </c>
      <c r="C354">
        <v>3010</v>
      </c>
      <c r="D354" s="1">
        <v>46003.333333333336</v>
      </c>
      <c r="E354">
        <v>3981.9783664262727</v>
      </c>
      <c r="F354">
        <v>1088.0825316107921</v>
      </c>
      <c r="G354">
        <v>6474.1045408747805</v>
      </c>
      <c r="H354" s="1">
        <v>45991.333333333336</v>
      </c>
    </row>
    <row r="355" spans="1:8" x14ac:dyDescent="0.25">
      <c r="A355" s="7">
        <f>DATE(YEAR(m1_crossvalid[[#This Row],[cutoff]]),MONTH(m1_crossvalid[[#This Row],[cutoff]]),DAY(m1_crossvalid[[#This Row],[cutoff]]))</f>
        <v>45991</v>
      </c>
      <c r="B355" s="7">
        <f>DATE(YEAR(m1_crossvalid[[#This Row],[ds]]),MONTH(m1_crossvalid[[#This Row],[ds]]),DAY(m1_crossvalid[[#This Row],[ds]]))</f>
        <v>46004</v>
      </c>
      <c r="C355">
        <v>552</v>
      </c>
      <c r="D355" s="1">
        <v>46004.333333333336</v>
      </c>
      <c r="E355">
        <v>1680.4321352326203</v>
      </c>
      <c r="F355">
        <v>-1018.7200094038847</v>
      </c>
      <c r="G355">
        <v>4366.5107568347612</v>
      </c>
      <c r="H355" s="1">
        <v>45991.333333333336</v>
      </c>
    </row>
    <row r="356" spans="1:8" x14ac:dyDescent="0.25">
      <c r="A356" s="7">
        <f>DATE(YEAR(m1_crossvalid[[#This Row],[cutoff]]),MONTH(m1_crossvalid[[#This Row],[cutoff]]),DAY(m1_crossvalid[[#This Row],[cutoff]]))</f>
        <v>45991</v>
      </c>
      <c r="B356" s="7">
        <f>DATE(YEAR(m1_crossvalid[[#This Row],[ds]]),MONTH(m1_crossvalid[[#This Row],[ds]]),DAY(m1_crossvalid[[#This Row],[ds]]))</f>
        <v>46005</v>
      </c>
      <c r="C356">
        <v>162</v>
      </c>
      <c r="D356" s="1">
        <v>46005.333333333336</v>
      </c>
      <c r="E356">
        <v>1068.5199444522189</v>
      </c>
      <c r="F356">
        <v>-1740.8061624383358</v>
      </c>
      <c r="G356">
        <v>3818.5627095188111</v>
      </c>
      <c r="H356" s="1">
        <v>45991.333333333336</v>
      </c>
    </row>
    <row r="357" spans="1:8" x14ac:dyDescent="0.25">
      <c r="A357" s="7">
        <f>DATE(YEAR(m1_crossvalid[[#This Row],[cutoff]]),MONTH(m1_crossvalid[[#This Row],[cutoff]]),DAY(m1_crossvalid[[#This Row],[cutoff]]))</f>
        <v>45991</v>
      </c>
      <c r="B357" s="7">
        <f>DATE(YEAR(m1_crossvalid[[#This Row],[ds]]),MONTH(m1_crossvalid[[#This Row],[ds]]),DAY(m1_crossvalid[[#This Row],[ds]]))</f>
        <v>46006</v>
      </c>
      <c r="C357">
        <v>2685</v>
      </c>
      <c r="D357" s="1">
        <v>46006.333333333336</v>
      </c>
      <c r="E357">
        <v>3323.0778442757191</v>
      </c>
      <c r="F357">
        <v>741.3097692550889</v>
      </c>
      <c r="G357">
        <v>6123.9981763651776</v>
      </c>
      <c r="H357" s="1">
        <v>45991.333333333336</v>
      </c>
    </row>
    <row r="358" spans="1:8" x14ac:dyDescent="0.25">
      <c r="A358" s="7">
        <f>DATE(YEAR(m1_crossvalid[[#This Row],[cutoff]]),MONTH(m1_crossvalid[[#This Row],[cutoff]]),DAY(m1_crossvalid[[#This Row],[cutoff]]))</f>
        <v>45991</v>
      </c>
      <c r="B358" s="7">
        <f>DATE(YEAR(m1_crossvalid[[#This Row],[ds]]),MONTH(m1_crossvalid[[#This Row],[ds]]),DAY(m1_crossvalid[[#This Row],[ds]]))</f>
        <v>46007</v>
      </c>
      <c r="C358">
        <v>3397</v>
      </c>
      <c r="D358" s="1">
        <v>46007.333333333336</v>
      </c>
      <c r="E358">
        <v>3807.6267641123218</v>
      </c>
      <c r="F358">
        <v>1239.4726374401885</v>
      </c>
      <c r="G358">
        <v>6721.330242126186</v>
      </c>
      <c r="H358" s="1">
        <v>45991.333333333336</v>
      </c>
    </row>
    <row r="359" spans="1:8" x14ac:dyDescent="0.25">
      <c r="A359" s="7">
        <f>DATE(YEAR(m1_crossvalid[[#This Row],[cutoff]]),MONTH(m1_crossvalid[[#This Row],[cutoff]]),DAY(m1_crossvalid[[#This Row],[cutoff]]))</f>
        <v>45991</v>
      </c>
      <c r="B359" s="7">
        <f>DATE(YEAR(m1_crossvalid[[#This Row],[ds]]),MONTH(m1_crossvalid[[#This Row],[ds]]),DAY(m1_crossvalid[[#This Row],[ds]]))</f>
        <v>46008</v>
      </c>
      <c r="C359">
        <v>4029</v>
      </c>
      <c r="D359" s="1">
        <v>46008.333333333336</v>
      </c>
      <c r="E359">
        <v>3785.8935630708784</v>
      </c>
      <c r="F359">
        <v>1046.1203285262795</v>
      </c>
      <c r="G359">
        <v>6529.2979583632687</v>
      </c>
      <c r="H359" s="1">
        <v>45991.333333333336</v>
      </c>
    </row>
    <row r="360" spans="1:8" x14ac:dyDescent="0.25">
      <c r="A360" s="7">
        <f>DATE(YEAR(m1_crossvalid[[#This Row],[cutoff]]),MONTH(m1_crossvalid[[#This Row],[cutoff]]),DAY(m1_crossvalid[[#This Row],[cutoff]]))</f>
        <v>45991</v>
      </c>
      <c r="B360" s="7">
        <f>DATE(YEAR(m1_crossvalid[[#This Row],[ds]]),MONTH(m1_crossvalid[[#This Row],[ds]]),DAY(m1_crossvalid[[#This Row],[ds]]))</f>
        <v>46009</v>
      </c>
      <c r="C360">
        <v>3874</v>
      </c>
      <c r="D360" s="1">
        <v>46009.333333333336</v>
      </c>
      <c r="E360">
        <v>3808.4279846179143</v>
      </c>
      <c r="F360">
        <v>1145.6483270213155</v>
      </c>
      <c r="G360">
        <v>6588.6934399991551</v>
      </c>
      <c r="H360" s="1">
        <v>45991.333333333336</v>
      </c>
    </row>
    <row r="361" spans="1:8" x14ac:dyDescent="0.25">
      <c r="A361" s="7">
        <f>DATE(YEAR(m1_crossvalid[[#This Row],[cutoff]]),MONTH(m1_crossvalid[[#This Row],[cutoff]]),DAY(m1_crossvalid[[#This Row],[cutoff]]))</f>
        <v>45991</v>
      </c>
      <c r="B361" s="7">
        <f>DATE(YEAR(m1_crossvalid[[#This Row],[ds]]),MONTH(m1_crossvalid[[#This Row],[ds]]),DAY(m1_crossvalid[[#This Row],[ds]]))</f>
        <v>46010</v>
      </c>
      <c r="C361">
        <v>4261</v>
      </c>
      <c r="D361" s="1">
        <v>46010.333333333336</v>
      </c>
      <c r="E361">
        <v>3750.039039144749</v>
      </c>
      <c r="F361">
        <v>1108.6894300206409</v>
      </c>
      <c r="G361">
        <v>6634.0505170321285</v>
      </c>
      <c r="H361" s="1">
        <v>45991.333333333336</v>
      </c>
    </row>
    <row r="362" spans="1:8" x14ac:dyDescent="0.25">
      <c r="A362" s="7">
        <f>DATE(YEAR(m1_crossvalid[[#This Row],[cutoff]]),MONTH(m1_crossvalid[[#This Row],[cutoff]]),DAY(m1_crossvalid[[#This Row],[cutoff]]))</f>
        <v>45991</v>
      </c>
      <c r="B362" s="7">
        <f>DATE(YEAR(m1_crossvalid[[#This Row],[ds]]),MONTH(m1_crossvalid[[#This Row],[ds]]),DAY(m1_crossvalid[[#This Row],[ds]]))</f>
        <v>46011</v>
      </c>
      <c r="C362">
        <v>999</v>
      </c>
      <c r="D362" s="1">
        <v>46011.333333333336</v>
      </c>
      <c r="E362">
        <v>1420.7477341513704</v>
      </c>
      <c r="F362">
        <v>-1216.6962982746415</v>
      </c>
      <c r="G362">
        <v>3885.6379371128355</v>
      </c>
      <c r="H362" s="1">
        <v>45991.333333333336</v>
      </c>
    </row>
    <row r="363" spans="1:8" x14ac:dyDescent="0.25">
      <c r="A363" s="7">
        <f>DATE(YEAR(m1_crossvalid[[#This Row],[cutoff]]),MONTH(m1_crossvalid[[#This Row],[cutoff]]),DAY(m1_crossvalid[[#This Row],[cutoff]]))</f>
        <v>45991</v>
      </c>
      <c r="B363" s="7">
        <f>DATE(YEAR(m1_crossvalid[[#This Row],[ds]]),MONTH(m1_crossvalid[[#This Row],[ds]]),DAY(m1_crossvalid[[#This Row],[ds]]))</f>
        <v>46012</v>
      </c>
      <c r="C363">
        <v>251</v>
      </c>
      <c r="D363" s="1">
        <v>46012.333333333336</v>
      </c>
      <c r="E363">
        <v>784.22643052724857</v>
      </c>
      <c r="F363">
        <v>-1894.0407704997681</v>
      </c>
      <c r="G363">
        <v>3384.5727967463317</v>
      </c>
      <c r="H363" s="1">
        <v>45991.333333333336</v>
      </c>
    </row>
    <row r="364" spans="1:8" x14ac:dyDescent="0.25">
      <c r="A364" s="7">
        <f>DATE(YEAR(m1_crossvalid[[#This Row],[cutoff]]),MONTH(m1_crossvalid[[#This Row],[cutoff]]),DAY(m1_crossvalid[[#This Row],[cutoff]]))</f>
        <v>45991</v>
      </c>
      <c r="B364" s="7">
        <f>DATE(YEAR(m1_crossvalid[[#This Row],[ds]]),MONTH(m1_crossvalid[[#This Row],[ds]]),DAY(m1_crossvalid[[#This Row],[ds]]))</f>
        <v>46013</v>
      </c>
      <c r="C364">
        <v>4791</v>
      </c>
      <c r="D364" s="1">
        <v>46013.333333333336</v>
      </c>
      <c r="E364">
        <v>3017.6186881001663</v>
      </c>
      <c r="F364">
        <v>269.37006722068764</v>
      </c>
      <c r="G364">
        <v>5710.9801254956801</v>
      </c>
      <c r="H364" s="1">
        <v>45991.333333333336</v>
      </c>
    </row>
    <row r="365" spans="1:8" x14ac:dyDescent="0.25">
      <c r="A365" s="7">
        <f>DATE(YEAR(m1_crossvalid[[#This Row],[cutoff]]),MONTH(m1_crossvalid[[#This Row],[cutoff]]),DAY(m1_crossvalid[[#This Row],[cutoff]]))</f>
        <v>45991</v>
      </c>
      <c r="B365" s="7">
        <f>DATE(YEAR(m1_crossvalid[[#This Row],[ds]]),MONTH(m1_crossvalid[[#This Row],[ds]]),DAY(m1_crossvalid[[#This Row],[ds]]))</f>
        <v>46014</v>
      </c>
      <c r="C365">
        <v>5802</v>
      </c>
      <c r="D365" s="1">
        <v>46014.333333333336</v>
      </c>
      <c r="E365">
        <v>3484.6861464698259</v>
      </c>
      <c r="F365">
        <v>881.74427794075734</v>
      </c>
      <c r="G365">
        <v>6037.4587692928098</v>
      </c>
      <c r="H365" s="1">
        <v>45991.333333333336</v>
      </c>
    </row>
    <row r="366" spans="1:8" x14ac:dyDescent="0.25">
      <c r="A366" s="7">
        <f>DATE(YEAR(m1_crossvalid[[#This Row],[cutoff]]),MONTH(m1_crossvalid[[#This Row],[cutoff]]),DAY(m1_crossvalid[[#This Row],[cutoff]]))</f>
        <v>45991</v>
      </c>
      <c r="B366" s="7">
        <f>DATE(YEAR(m1_crossvalid[[#This Row],[ds]]),MONTH(m1_crossvalid[[#This Row],[ds]]),DAY(m1_crossvalid[[#This Row],[ds]]))</f>
        <v>46015</v>
      </c>
      <c r="C366">
        <v>6117</v>
      </c>
      <c r="D366" s="1">
        <v>46015.333333333336</v>
      </c>
      <c r="E366">
        <v>3449.3258082631419</v>
      </c>
      <c r="F366">
        <v>678.54572486204518</v>
      </c>
      <c r="G366">
        <v>6196.6801428229301</v>
      </c>
      <c r="H366" s="1">
        <v>45991.333333333336</v>
      </c>
    </row>
    <row r="367" spans="1:8" x14ac:dyDescent="0.25">
      <c r="A367" s="7">
        <f>DATE(YEAR(m1_crossvalid[[#This Row],[cutoff]]),MONTH(m1_crossvalid[[#This Row],[cutoff]]),DAY(m1_crossvalid[[#This Row],[cutoff]]))</f>
        <v>45991</v>
      </c>
      <c r="B367" s="7">
        <f>DATE(YEAR(m1_crossvalid[[#This Row],[ds]]),MONTH(m1_crossvalid[[#This Row],[ds]]),DAY(m1_crossvalid[[#This Row],[ds]]))</f>
        <v>46016</v>
      </c>
      <c r="C367">
        <v>400</v>
      </c>
      <c r="D367" s="1">
        <v>46016.333333333336</v>
      </c>
      <c r="E367">
        <v>3462.1848179618551</v>
      </c>
      <c r="F367">
        <v>788.50972324170914</v>
      </c>
      <c r="G367">
        <v>6115.9271056681555</v>
      </c>
      <c r="H367" s="1">
        <v>45991.333333333336</v>
      </c>
    </row>
    <row r="368" spans="1:8" x14ac:dyDescent="0.25">
      <c r="A368" s="7">
        <f>DATE(YEAR(m1_crossvalid[[#This Row],[cutoff]]),MONTH(m1_crossvalid[[#This Row],[cutoff]]),DAY(m1_crossvalid[[#This Row],[cutoff]]))</f>
        <v>45991</v>
      </c>
      <c r="B368" s="7">
        <f>DATE(YEAR(m1_crossvalid[[#This Row],[ds]]),MONTH(m1_crossvalid[[#This Row],[ds]]),DAY(m1_crossvalid[[#This Row],[ds]]))</f>
        <v>46017</v>
      </c>
      <c r="C368">
        <v>6559</v>
      </c>
      <c r="D368" s="1">
        <v>46017.333333333336</v>
      </c>
      <c r="E368">
        <v>3398.0962943463483</v>
      </c>
      <c r="F368">
        <v>832.46010846897809</v>
      </c>
      <c r="G368">
        <v>6079.0316766432607</v>
      </c>
      <c r="H368" s="1">
        <v>45991.333333333336</v>
      </c>
    </row>
    <row r="369" spans="1:8" x14ac:dyDescent="0.25">
      <c r="A369" s="7">
        <f>DATE(YEAR(m1_crossvalid[[#This Row],[cutoff]]),MONTH(m1_crossvalid[[#This Row],[cutoff]]),DAY(m1_crossvalid[[#This Row],[cutoff]]))</f>
        <v>45991</v>
      </c>
      <c r="B369" s="7">
        <f>DATE(YEAR(m1_crossvalid[[#This Row],[ds]]),MONTH(m1_crossvalid[[#This Row],[ds]]),DAY(m1_crossvalid[[#This Row],[ds]]))</f>
        <v>46018</v>
      </c>
      <c r="C369">
        <v>1928</v>
      </c>
      <c r="D369" s="1">
        <v>46018.333333333336</v>
      </c>
      <c r="E369">
        <v>1067.0331306026601</v>
      </c>
      <c r="F369">
        <v>-1762.2902625777751</v>
      </c>
      <c r="G369">
        <v>3858.7640213777854</v>
      </c>
      <c r="H369" s="1">
        <v>45991.333333333336</v>
      </c>
    </row>
    <row r="370" spans="1:8" x14ac:dyDescent="0.25">
      <c r="A370" s="7">
        <f>DATE(YEAR(m1_crossvalid[[#This Row],[cutoff]]),MONTH(m1_crossvalid[[#This Row],[cutoff]]),DAY(m1_crossvalid[[#This Row],[cutoff]]))</f>
        <v>45991</v>
      </c>
      <c r="B370" s="7">
        <f>DATE(YEAR(m1_crossvalid[[#This Row],[ds]]),MONTH(m1_crossvalid[[#This Row],[ds]]),DAY(m1_crossvalid[[#This Row],[ds]]))</f>
        <v>46019</v>
      </c>
      <c r="C370">
        <v>428</v>
      </c>
      <c r="D370" s="1">
        <v>46019.333333333336</v>
      </c>
      <c r="E370">
        <v>432.54999596607968</v>
      </c>
      <c r="F370">
        <v>-2297.3624042380884</v>
      </c>
      <c r="G370">
        <v>3083.2606874070993</v>
      </c>
      <c r="H370" s="1">
        <v>45991.333333333336</v>
      </c>
    </row>
    <row r="371" spans="1:8" x14ac:dyDescent="0.25">
      <c r="A371" s="7">
        <f>DATE(YEAR(m1_crossvalid[[#This Row],[cutoff]]),MONTH(m1_crossvalid[[#This Row],[cutoff]]),DAY(m1_crossvalid[[#This Row],[cutoff]]))</f>
        <v>45991</v>
      </c>
      <c r="B371" s="7">
        <f>DATE(YEAR(m1_crossvalid[[#This Row],[ds]]),MONTH(m1_crossvalid[[#This Row],[ds]]),DAY(m1_crossvalid[[#This Row],[ds]]))</f>
        <v>46020</v>
      </c>
      <c r="C371">
        <v>7441</v>
      </c>
      <c r="D371" s="1">
        <v>46020.333333333336</v>
      </c>
      <c r="E371">
        <v>2671.6073192175327</v>
      </c>
      <c r="F371">
        <v>-225.43267701258472</v>
      </c>
      <c r="G371">
        <v>5522.5977760568503</v>
      </c>
      <c r="H371" s="1">
        <v>45991.333333333336</v>
      </c>
    </row>
    <row r="372" spans="1:8" x14ac:dyDescent="0.25">
      <c r="A372" s="7">
        <f>DATE(YEAR(m1_crossvalid[[#This Row],[cutoff]]),MONTH(m1_crossvalid[[#This Row],[cutoff]]),DAY(m1_crossvalid[[#This Row],[cutoff]]))</f>
        <v>45991</v>
      </c>
      <c r="B372" s="7">
        <f>DATE(YEAR(m1_crossvalid[[#This Row],[ds]]),MONTH(m1_crossvalid[[#This Row],[ds]]),DAY(m1_crossvalid[[#This Row],[ds]]))</f>
        <v>46021</v>
      </c>
      <c r="C372">
        <v>10603</v>
      </c>
      <c r="D372" s="1">
        <v>46021.333333333336</v>
      </c>
      <c r="E372">
        <v>3147.7236823324733</v>
      </c>
      <c r="F372">
        <v>249.55333179480505</v>
      </c>
      <c r="G372">
        <v>5656.4907145661764</v>
      </c>
      <c r="H372" s="1">
        <v>45991.333333333336</v>
      </c>
    </row>
    <row r="373" spans="1:8" x14ac:dyDescent="0.25">
      <c r="A373" s="7">
        <f>DATE(YEAR(m1_crossvalid[[#This Row],[cutoff]]),MONTH(m1_crossvalid[[#This Row],[cutoff]]),DAY(m1_crossvalid[[#This Row],[cutoff]]))</f>
        <v>45991</v>
      </c>
      <c r="B373" s="7">
        <f>DATE(YEAR(m1_crossvalid[[#This Row],[ds]]),MONTH(m1_crossvalid[[#This Row],[ds]]),DAY(m1_crossvalid[[#This Row],[ds]]))</f>
        <v>46022</v>
      </c>
      <c r="C373">
        <v>15370</v>
      </c>
      <c r="D373" s="1">
        <v>46022.333333333336</v>
      </c>
      <c r="E373">
        <v>3124.499841040365</v>
      </c>
      <c r="F373">
        <v>327.75719260721843</v>
      </c>
      <c r="G373">
        <v>5739.7078451000552</v>
      </c>
      <c r="H373" s="1">
        <v>45991.333333333336</v>
      </c>
    </row>
    <row r="374" spans="1:8" x14ac:dyDescent="0.25">
      <c r="A374" s="7">
        <f>DATE(YEAR(m1_crossvalid[[#This Row],[cutoff]]),MONTH(m1_crossvalid[[#This Row],[cutoff]]),DAY(m1_crossvalid[[#This Row],[cutoff]]))</f>
        <v>46022</v>
      </c>
      <c r="B374" s="7">
        <f>DATE(YEAR(m1_crossvalid[[#This Row],[ds]]),MONTH(m1_crossvalid[[#This Row],[ds]]),DAY(m1_crossvalid[[#This Row],[ds]]))</f>
        <v>46023</v>
      </c>
      <c r="C374">
        <v>2584</v>
      </c>
      <c r="D374" s="1">
        <v>46023.333333333336</v>
      </c>
      <c r="E374">
        <v>3633.2621354243361</v>
      </c>
      <c r="F374">
        <v>1126.9564057104328</v>
      </c>
      <c r="G374">
        <v>6423.4082052960039</v>
      </c>
      <c r="H374" s="1">
        <v>46022.333333333336</v>
      </c>
    </row>
    <row r="375" spans="1:8" x14ac:dyDescent="0.25">
      <c r="A375" s="7">
        <f>DATE(YEAR(m1_crossvalid[[#This Row],[cutoff]]),MONTH(m1_crossvalid[[#This Row],[cutoff]]),DAY(m1_crossvalid[[#This Row],[cutoff]]))</f>
        <v>46022</v>
      </c>
      <c r="B375" s="7">
        <f>DATE(YEAR(m1_crossvalid[[#This Row],[ds]]),MONTH(m1_crossvalid[[#This Row],[ds]]),DAY(m1_crossvalid[[#This Row],[ds]]))</f>
        <v>46024</v>
      </c>
      <c r="C375">
        <v>1536</v>
      </c>
      <c r="D375" s="1">
        <v>46024.333333333336</v>
      </c>
      <c r="E375">
        <v>3609.006752963161</v>
      </c>
      <c r="F375">
        <v>891.08951111739123</v>
      </c>
      <c r="G375">
        <v>6473.9928949318764</v>
      </c>
      <c r="H375" s="1">
        <v>46022.333333333336</v>
      </c>
    </row>
    <row r="376" spans="1:8" x14ac:dyDescent="0.25">
      <c r="A376" s="7">
        <f>DATE(YEAR(m1_crossvalid[[#This Row],[cutoff]]),MONTH(m1_crossvalid[[#This Row],[cutoff]]),DAY(m1_crossvalid[[#This Row],[cutoff]]))</f>
        <v>46022</v>
      </c>
      <c r="B376" s="7">
        <f>DATE(YEAR(m1_crossvalid[[#This Row],[ds]]),MONTH(m1_crossvalid[[#This Row],[ds]]),DAY(m1_crossvalid[[#This Row],[ds]]))</f>
        <v>46025</v>
      </c>
      <c r="C376">
        <v>80</v>
      </c>
      <c r="D376" s="1">
        <v>46025.333333333336</v>
      </c>
      <c r="E376">
        <v>1261.7532471464824</v>
      </c>
      <c r="F376">
        <v>-1407.1733304294353</v>
      </c>
      <c r="G376">
        <v>4092.5228956848828</v>
      </c>
      <c r="H376" s="1">
        <v>46022.333333333336</v>
      </c>
    </row>
    <row r="377" spans="1:8" x14ac:dyDescent="0.25">
      <c r="A377" s="7">
        <f>DATE(YEAR(m1_crossvalid[[#This Row],[cutoff]]),MONTH(m1_crossvalid[[#This Row],[cutoff]]),DAY(m1_crossvalid[[#This Row],[cutoff]]))</f>
        <v>46022</v>
      </c>
      <c r="B377" s="7">
        <f>DATE(YEAR(m1_crossvalid[[#This Row],[ds]]),MONTH(m1_crossvalid[[#This Row],[ds]]),DAY(m1_crossvalid[[#This Row],[ds]]))</f>
        <v>46026</v>
      </c>
      <c r="C377">
        <v>17</v>
      </c>
      <c r="D377" s="1">
        <v>46026.333333333336</v>
      </c>
      <c r="E377">
        <v>621.38206663403662</v>
      </c>
      <c r="F377">
        <v>-2132.984756355148</v>
      </c>
      <c r="G377">
        <v>3180.4350210519183</v>
      </c>
      <c r="H377" s="1">
        <v>46022.333333333336</v>
      </c>
    </row>
    <row r="378" spans="1:8" x14ac:dyDescent="0.25">
      <c r="A378" s="7">
        <f>DATE(YEAR(m1_crossvalid[[#This Row],[cutoff]]),MONTH(m1_crossvalid[[#This Row],[cutoff]]),DAY(m1_crossvalid[[#This Row],[cutoff]]))</f>
        <v>46022</v>
      </c>
      <c r="B378" s="7">
        <f>DATE(YEAR(m1_crossvalid[[#This Row],[ds]]),MONTH(m1_crossvalid[[#This Row],[ds]]),DAY(m1_crossvalid[[#This Row],[ds]]))</f>
        <v>46027</v>
      </c>
      <c r="C378">
        <v>340</v>
      </c>
      <c r="D378" s="1">
        <v>46027.333333333336</v>
      </c>
      <c r="E378">
        <v>2871.0952150118856</v>
      </c>
      <c r="F378">
        <v>215.76570205736567</v>
      </c>
      <c r="G378">
        <v>5631.6523738846572</v>
      </c>
      <c r="H378" s="1">
        <v>46022.333333333336</v>
      </c>
    </row>
    <row r="379" spans="1:8" x14ac:dyDescent="0.25">
      <c r="A379" s="7">
        <f>DATE(YEAR(m1_crossvalid[[#This Row],[cutoff]]),MONTH(m1_crossvalid[[#This Row],[cutoff]]),DAY(m1_crossvalid[[#This Row],[cutoff]]))</f>
        <v>46022</v>
      </c>
      <c r="B379" s="7">
        <f>DATE(YEAR(m1_crossvalid[[#This Row],[ds]]),MONTH(m1_crossvalid[[#This Row],[ds]]),DAY(m1_crossvalid[[#This Row],[ds]]))</f>
        <v>46028</v>
      </c>
      <c r="C379">
        <v>485</v>
      </c>
      <c r="D379" s="1">
        <v>46028.333333333336</v>
      </c>
      <c r="E379">
        <v>3348.7094823713041</v>
      </c>
      <c r="F379">
        <v>636.29454189159105</v>
      </c>
      <c r="G379">
        <v>6009.1175703493145</v>
      </c>
      <c r="H379" s="1">
        <v>46022.333333333336</v>
      </c>
    </row>
    <row r="380" spans="1:8" x14ac:dyDescent="0.25">
      <c r="A380" s="7">
        <f>DATE(YEAR(m1_crossvalid[[#This Row],[cutoff]]),MONTH(m1_crossvalid[[#This Row],[cutoff]]),DAY(m1_crossvalid[[#This Row],[cutoff]]))</f>
        <v>46022</v>
      </c>
      <c r="B380" s="7">
        <f>DATE(YEAR(m1_crossvalid[[#This Row],[ds]]),MONTH(m1_crossvalid[[#This Row],[ds]]),DAY(m1_crossvalid[[#This Row],[ds]]))</f>
        <v>46029</v>
      </c>
      <c r="C380">
        <v>532</v>
      </c>
      <c r="D380" s="1">
        <v>46029.333333333336</v>
      </c>
      <c r="E380">
        <v>3342.960920416619</v>
      </c>
      <c r="F380">
        <v>669.39696395097724</v>
      </c>
      <c r="G380">
        <v>6023.4217627393664</v>
      </c>
      <c r="H380" s="1">
        <v>46022.333333333336</v>
      </c>
    </row>
    <row r="381" spans="1:8" x14ac:dyDescent="0.25">
      <c r="A381" s="7">
        <f>DATE(YEAR(m1_crossvalid[[#This Row],[cutoff]]),MONTH(m1_crossvalid[[#This Row],[cutoff]]),DAY(m1_crossvalid[[#This Row],[cutoff]]))</f>
        <v>46022</v>
      </c>
      <c r="B381" s="7">
        <f>DATE(YEAR(m1_crossvalid[[#This Row],[ds]]),MONTH(m1_crossvalid[[#This Row],[ds]]),DAY(m1_crossvalid[[#This Row],[ds]]))</f>
        <v>46030</v>
      </c>
      <c r="C381">
        <v>659</v>
      </c>
      <c r="D381" s="1">
        <v>46030.333333333336</v>
      </c>
      <c r="E381">
        <v>3265.1629101216954</v>
      </c>
      <c r="F381">
        <v>593.5753452613053</v>
      </c>
      <c r="G381">
        <v>5979.2717716936504</v>
      </c>
      <c r="H381" s="1">
        <v>46022.333333333336</v>
      </c>
    </row>
    <row r="382" spans="1:8" x14ac:dyDescent="0.25">
      <c r="A382" s="7">
        <f>DATE(YEAR(m1_crossvalid[[#This Row],[cutoff]]),MONTH(m1_crossvalid[[#This Row],[cutoff]]),DAY(m1_crossvalid[[#This Row],[cutoff]]))</f>
        <v>46022</v>
      </c>
      <c r="B382" s="7">
        <f>DATE(YEAR(m1_crossvalid[[#This Row],[ds]]),MONTH(m1_crossvalid[[#This Row],[ds]]),DAY(m1_crossvalid[[#This Row],[ds]]))</f>
        <v>46031</v>
      </c>
      <c r="C382">
        <v>787</v>
      </c>
      <c r="D382" s="1">
        <v>46031.333333333336</v>
      </c>
      <c r="E382">
        <v>3236.6763451026472</v>
      </c>
      <c r="F382">
        <v>600.29081927630364</v>
      </c>
      <c r="G382">
        <v>6104.4454931032787</v>
      </c>
      <c r="H382" s="1">
        <v>46022.333333333336</v>
      </c>
    </row>
    <row r="383" spans="1:8" x14ac:dyDescent="0.25">
      <c r="A383" s="7">
        <f>DATE(YEAR(m1_crossvalid[[#This Row],[cutoff]]),MONTH(m1_crossvalid[[#This Row],[cutoff]]),DAY(m1_crossvalid[[#This Row],[cutoff]]))</f>
        <v>46022</v>
      </c>
      <c r="B383" s="7">
        <f>DATE(YEAR(m1_crossvalid[[#This Row],[ds]]),MONTH(m1_crossvalid[[#This Row],[ds]]),DAY(m1_crossvalid[[#This Row],[ds]]))</f>
        <v>46032</v>
      </c>
      <c r="C383">
        <v>137</v>
      </c>
      <c r="D383" s="1">
        <v>46032.333333333336</v>
      </c>
      <c r="E383">
        <v>889.80184941628772</v>
      </c>
      <c r="F383">
        <v>-1712.8121462204042</v>
      </c>
      <c r="G383">
        <v>3662.4411989352711</v>
      </c>
      <c r="H383" s="1">
        <v>46022.333333333336</v>
      </c>
    </row>
    <row r="384" spans="1:8" x14ac:dyDescent="0.25">
      <c r="A384" s="7">
        <f>DATE(YEAR(m1_crossvalid[[#This Row],[cutoff]]),MONTH(m1_crossvalid[[#This Row],[cutoff]]),DAY(m1_crossvalid[[#This Row],[cutoff]]))</f>
        <v>46022</v>
      </c>
      <c r="B384" s="7">
        <f>DATE(YEAR(m1_crossvalid[[#This Row],[ds]]),MONTH(m1_crossvalid[[#This Row],[ds]]),DAY(m1_crossvalid[[#This Row],[ds]]))</f>
        <v>46033</v>
      </c>
      <c r="C384">
        <v>44</v>
      </c>
      <c r="D384" s="1">
        <v>46033.333333333336</v>
      </c>
      <c r="E384">
        <v>254.37924114147791</v>
      </c>
      <c r="F384">
        <v>-2446.226942114527</v>
      </c>
      <c r="G384">
        <v>2950.5791958423938</v>
      </c>
      <c r="H384" s="1">
        <v>46022.333333333336</v>
      </c>
    </row>
    <row r="385" spans="1:8" x14ac:dyDescent="0.25">
      <c r="A385" s="7">
        <f>DATE(YEAR(m1_crossvalid[[#This Row],[cutoff]]),MONTH(m1_crossvalid[[#This Row],[cutoff]]),DAY(m1_crossvalid[[#This Row],[cutoff]]))</f>
        <v>46022</v>
      </c>
      <c r="B385" s="7">
        <f>DATE(YEAR(m1_crossvalid[[#This Row],[ds]]),MONTH(m1_crossvalid[[#This Row],[ds]]),DAY(m1_crossvalid[[#This Row],[ds]]))</f>
        <v>46034</v>
      </c>
      <c r="C385">
        <v>779</v>
      </c>
      <c r="D385" s="1">
        <v>46034.333333333336</v>
      </c>
      <c r="E385">
        <v>2513.4830493841264</v>
      </c>
      <c r="F385">
        <v>-58.821048738736607</v>
      </c>
      <c r="G385">
        <v>5253.3694407771727</v>
      </c>
      <c r="H385" s="1">
        <v>46022.333333333336</v>
      </c>
    </row>
    <row r="386" spans="1:8" x14ac:dyDescent="0.25">
      <c r="A386" s="7">
        <f>DATE(YEAR(m1_crossvalid[[#This Row],[cutoff]]),MONTH(m1_crossvalid[[#This Row],[cutoff]]),DAY(m1_crossvalid[[#This Row],[cutoff]]))</f>
        <v>46022</v>
      </c>
      <c r="B386" s="7">
        <f>DATE(YEAR(m1_crossvalid[[#This Row],[ds]]),MONTH(m1_crossvalid[[#This Row],[ds]]),DAY(m1_crossvalid[[#This Row],[ds]]))</f>
        <v>46035</v>
      </c>
      <c r="C386">
        <v>1113</v>
      </c>
      <c r="D386" s="1">
        <v>46035.333333333336</v>
      </c>
      <c r="E386">
        <v>3004.7192059718673</v>
      </c>
      <c r="F386">
        <v>358.87609937319877</v>
      </c>
      <c r="G386">
        <v>5664.1349963142611</v>
      </c>
      <c r="H386" s="1">
        <v>46022.333333333336</v>
      </c>
    </row>
    <row r="387" spans="1:8" x14ac:dyDescent="0.25">
      <c r="A387" s="7">
        <f>DATE(YEAR(m1_crossvalid[[#This Row],[cutoff]]),MONTH(m1_crossvalid[[#This Row],[cutoff]]),DAY(m1_crossvalid[[#This Row],[cutoff]]))</f>
        <v>46022</v>
      </c>
      <c r="B387" s="7">
        <f>DATE(YEAR(m1_crossvalid[[#This Row],[ds]]),MONTH(m1_crossvalid[[#This Row],[ds]]),DAY(m1_crossvalid[[#This Row],[ds]]))</f>
        <v>46036</v>
      </c>
      <c r="C387">
        <v>1419</v>
      </c>
      <c r="D387" s="1">
        <v>46036.333333333336</v>
      </c>
      <c r="E387">
        <v>3016.5348945068913</v>
      </c>
      <c r="F387">
        <v>419.74382694812169</v>
      </c>
      <c r="G387">
        <v>5523.3944491216489</v>
      </c>
      <c r="H387" s="1">
        <v>46022.333333333336</v>
      </c>
    </row>
    <row r="388" spans="1:8" x14ac:dyDescent="0.25">
      <c r="A388" s="7">
        <f>DATE(YEAR(m1_crossvalid[[#This Row],[cutoff]]),MONTH(m1_crossvalid[[#This Row],[cutoff]]),DAY(m1_crossvalid[[#This Row],[cutoff]]))</f>
        <v>46022</v>
      </c>
      <c r="B388" s="7">
        <f>DATE(YEAR(m1_crossvalid[[#This Row],[ds]]),MONTH(m1_crossvalid[[#This Row],[ds]]),DAY(m1_crossvalid[[#This Row],[ds]]))</f>
        <v>46037</v>
      </c>
      <c r="C388">
        <v>1874</v>
      </c>
      <c r="D388" s="1">
        <v>46037.333333333336</v>
      </c>
      <c r="E388">
        <v>2959.8837650242349</v>
      </c>
      <c r="F388">
        <v>390.54480058078917</v>
      </c>
      <c r="G388">
        <v>5820.6233524530862</v>
      </c>
      <c r="H388" s="1">
        <v>46022.333333333336</v>
      </c>
    </row>
    <row r="389" spans="1:8" x14ac:dyDescent="0.25">
      <c r="A389" s="7">
        <f>DATE(YEAR(m1_crossvalid[[#This Row],[cutoff]]),MONTH(m1_crossvalid[[#This Row],[cutoff]]),DAY(m1_crossvalid[[#This Row],[cutoff]]))</f>
        <v>46022</v>
      </c>
      <c r="B389" s="7">
        <f>DATE(YEAR(m1_crossvalid[[#This Row],[ds]]),MONTH(m1_crossvalid[[#This Row],[ds]]),DAY(m1_crossvalid[[#This Row],[ds]]))</f>
        <v>46038</v>
      </c>
      <c r="C389">
        <v>2020</v>
      </c>
      <c r="D389" s="1">
        <v>46038.333333333336</v>
      </c>
      <c r="E389">
        <v>2955.7048523749731</v>
      </c>
      <c r="F389">
        <v>329.20306628627873</v>
      </c>
      <c r="G389">
        <v>5817.4449292052859</v>
      </c>
      <c r="H389" s="1">
        <v>46022.333333333336</v>
      </c>
    </row>
    <row r="390" spans="1:8" x14ac:dyDescent="0.25">
      <c r="A390" s="7">
        <f>DATE(YEAR(m1_crossvalid[[#This Row],[cutoff]]),MONTH(m1_crossvalid[[#This Row],[cutoff]]),DAY(m1_crossvalid[[#This Row],[cutoff]]))</f>
        <v>46022</v>
      </c>
      <c r="B390" s="7">
        <f>DATE(YEAR(m1_crossvalid[[#This Row],[ds]]),MONTH(m1_crossvalid[[#This Row],[ds]]),DAY(m1_crossvalid[[#This Row],[ds]]))</f>
        <v>46039</v>
      </c>
      <c r="C390">
        <v>451</v>
      </c>
      <c r="D390" s="1">
        <v>46039.333333333336</v>
      </c>
      <c r="E390">
        <v>635.82489265022787</v>
      </c>
      <c r="F390">
        <v>-1882.0387436987028</v>
      </c>
      <c r="G390">
        <v>3322.6518730971284</v>
      </c>
      <c r="H390" s="1">
        <v>46022.333333333336</v>
      </c>
    </row>
    <row r="391" spans="1:8" x14ac:dyDescent="0.25">
      <c r="A391" s="7">
        <f>DATE(YEAR(m1_crossvalid[[#This Row],[cutoff]]),MONTH(m1_crossvalid[[#This Row],[cutoff]]),DAY(m1_crossvalid[[#This Row],[cutoff]]))</f>
        <v>46022</v>
      </c>
      <c r="B391" s="7">
        <f>DATE(YEAR(m1_crossvalid[[#This Row],[ds]]),MONTH(m1_crossvalid[[#This Row],[ds]]),DAY(m1_crossvalid[[#This Row],[ds]]))</f>
        <v>46040</v>
      </c>
      <c r="C391">
        <v>76</v>
      </c>
      <c r="D391" s="1">
        <v>46040.333333333336</v>
      </c>
      <c r="E391">
        <v>29.568991213101071</v>
      </c>
      <c r="F391">
        <v>-2594.6765250833655</v>
      </c>
      <c r="G391">
        <v>2803.3292565069951</v>
      </c>
      <c r="H391" s="1">
        <v>46022.333333333336</v>
      </c>
    </row>
    <row r="392" spans="1:8" x14ac:dyDescent="0.25">
      <c r="A392" s="7">
        <f>DATE(YEAR(m1_crossvalid[[#This Row],[cutoff]]),MONTH(m1_crossvalid[[#This Row],[cutoff]]),DAY(m1_crossvalid[[#This Row],[cutoff]]))</f>
        <v>46022</v>
      </c>
      <c r="B392" s="7">
        <f>DATE(YEAR(m1_crossvalid[[#This Row],[ds]]),MONTH(m1_crossvalid[[#This Row],[ds]]),DAY(m1_crossvalid[[#This Row],[ds]]))</f>
        <v>46041</v>
      </c>
      <c r="C392">
        <v>1963</v>
      </c>
      <c r="D392" s="1">
        <v>46041.333333333336</v>
      </c>
      <c r="E392">
        <v>2319.4681658689192</v>
      </c>
      <c r="F392">
        <v>-495.23614509638207</v>
      </c>
      <c r="G392">
        <v>4952.9343912319009</v>
      </c>
      <c r="H392" s="1">
        <v>46022.333333333336</v>
      </c>
    </row>
    <row r="393" spans="1:8" x14ac:dyDescent="0.25">
      <c r="A393" s="7">
        <f>DATE(YEAR(m1_crossvalid[[#This Row],[cutoff]]),MONTH(m1_crossvalid[[#This Row],[cutoff]]),DAY(m1_crossvalid[[#This Row],[cutoff]]))</f>
        <v>46022</v>
      </c>
      <c r="B393" s="7">
        <f>DATE(YEAR(m1_crossvalid[[#This Row],[ds]]),MONTH(m1_crossvalid[[#This Row],[ds]]),DAY(m1_crossvalid[[#This Row],[ds]]))</f>
        <v>46042</v>
      </c>
      <c r="C393">
        <v>2481</v>
      </c>
      <c r="D393" s="1">
        <v>46042.333333333336</v>
      </c>
      <c r="E393">
        <v>2842.5685828712126</v>
      </c>
      <c r="F393">
        <v>72.154886843368416</v>
      </c>
      <c r="G393">
        <v>5759.7048874028987</v>
      </c>
      <c r="H393" s="1">
        <v>46022.333333333336</v>
      </c>
    </row>
    <row r="394" spans="1:8" x14ac:dyDescent="0.25">
      <c r="A394" s="7">
        <f>DATE(YEAR(m1_crossvalid[[#This Row],[cutoff]]),MONTH(m1_crossvalid[[#This Row],[cutoff]]),DAY(m1_crossvalid[[#This Row],[cutoff]]))</f>
        <v>46022</v>
      </c>
      <c r="B394" s="7">
        <f>DATE(YEAR(m1_crossvalid[[#This Row],[ds]]),MONTH(m1_crossvalid[[#This Row],[ds]]),DAY(m1_crossvalid[[#This Row],[ds]]))</f>
        <v>46043</v>
      </c>
      <c r="C394">
        <v>2679</v>
      </c>
      <c r="D394" s="1">
        <v>46043.333333333336</v>
      </c>
      <c r="E394">
        <v>2886.7541543324605</v>
      </c>
      <c r="F394">
        <v>364.13121732016606</v>
      </c>
      <c r="G394">
        <v>5693.4706353184984</v>
      </c>
      <c r="H394" s="1">
        <v>46022.333333333336</v>
      </c>
    </row>
    <row r="395" spans="1:8" x14ac:dyDescent="0.25">
      <c r="A395" s="7">
        <f>DATE(YEAR(m1_crossvalid[[#This Row],[cutoff]]),MONTH(m1_crossvalid[[#This Row],[cutoff]]),DAY(m1_crossvalid[[#This Row],[cutoff]]))</f>
        <v>46022</v>
      </c>
      <c r="B395" s="7">
        <f>DATE(YEAR(m1_crossvalid[[#This Row],[ds]]),MONTH(m1_crossvalid[[#This Row],[ds]]),DAY(m1_crossvalid[[#This Row],[ds]]))</f>
        <v>46044</v>
      </c>
      <c r="C395">
        <v>2830</v>
      </c>
      <c r="D395" s="1">
        <v>46044.333333333336</v>
      </c>
      <c r="E395">
        <v>2862.4243878980096</v>
      </c>
      <c r="F395">
        <v>149.28410648072952</v>
      </c>
      <c r="G395">
        <v>5689.7976798890068</v>
      </c>
      <c r="H395" s="1">
        <v>46022.333333333336</v>
      </c>
    </row>
    <row r="396" spans="1:8" x14ac:dyDescent="0.25">
      <c r="A396" s="7">
        <f>DATE(YEAR(m1_crossvalid[[#This Row],[cutoff]]),MONTH(m1_crossvalid[[#This Row],[cutoff]]),DAY(m1_crossvalid[[#This Row],[cutoff]]))</f>
        <v>46022</v>
      </c>
      <c r="B396" s="7">
        <f>DATE(YEAR(m1_crossvalid[[#This Row],[ds]]),MONTH(m1_crossvalid[[#This Row],[ds]]),DAY(m1_crossvalid[[#This Row],[ds]]))</f>
        <v>46045</v>
      </c>
      <c r="C396">
        <v>3000</v>
      </c>
      <c r="D396" s="1">
        <v>46045.333333333336</v>
      </c>
      <c r="E396">
        <v>2889.9855151386796</v>
      </c>
      <c r="F396">
        <v>163.62178071470495</v>
      </c>
      <c r="G396">
        <v>5697.5759121557976</v>
      </c>
      <c r="H396" s="1">
        <v>46022.333333333336</v>
      </c>
    </row>
    <row r="397" spans="1:8" x14ac:dyDescent="0.25">
      <c r="A397" s="7">
        <f>DATE(YEAR(m1_crossvalid[[#This Row],[cutoff]]),MONTH(m1_crossvalid[[#This Row],[cutoff]]),DAY(m1_crossvalid[[#This Row],[cutoff]]))</f>
        <v>46022</v>
      </c>
      <c r="B397" s="7">
        <f>DATE(YEAR(m1_crossvalid[[#This Row],[ds]]),MONTH(m1_crossvalid[[#This Row],[ds]]),DAY(m1_crossvalid[[#This Row],[ds]]))</f>
        <v>46046</v>
      </c>
      <c r="C397">
        <v>902</v>
      </c>
      <c r="D397" s="1">
        <v>46046.333333333336</v>
      </c>
      <c r="E397">
        <v>600.7642946767171</v>
      </c>
      <c r="F397">
        <v>-2185.8367772749593</v>
      </c>
      <c r="G397">
        <v>3412.6653071262594</v>
      </c>
      <c r="H397" s="1">
        <v>46022.333333333336</v>
      </c>
    </row>
    <row r="398" spans="1:8" x14ac:dyDescent="0.25">
      <c r="A398" s="7">
        <f>DATE(YEAR(m1_crossvalid[[#This Row],[cutoff]]),MONTH(m1_crossvalid[[#This Row],[cutoff]]),DAY(m1_crossvalid[[#This Row],[cutoff]]))</f>
        <v>46022</v>
      </c>
      <c r="B398" s="7">
        <f>DATE(YEAR(m1_crossvalid[[#This Row],[ds]]),MONTH(m1_crossvalid[[#This Row],[ds]]),DAY(m1_crossvalid[[#This Row],[ds]]))</f>
        <v>46047</v>
      </c>
      <c r="C398">
        <v>150</v>
      </c>
      <c r="D398" s="1">
        <v>46047.333333333336</v>
      </c>
      <c r="E398">
        <v>23.629166600915141</v>
      </c>
      <c r="F398">
        <v>-2615.6009551996535</v>
      </c>
      <c r="G398">
        <v>2752.5674576769466</v>
      </c>
      <c r="H398" s="1">
        <v>46022.333333333336</v>
      </c>
    </row>
    <row r="399" spans="1:8" x14ac:dyDescent="0.25">
      <c r="A399" s="7">
        <f>DATE(YEAR(m1_crossvalid[[#This Row],[cutoff]]),MONTH(m1_crossvalid[[#This Row],[cutoff]]),DAY(m1_crossvalid[[#This Row],[cutoff]]))</f>
        <v>46022</v>
      </c>
      <c r="B399" s="7">
        <f>DATE(YEAR(m1_crossvalid[[#This Row],[ds]]),MONTH(m1_crossvalid[[#This Row],[ds]]),DAY(m1_crossvalid[[#This Row],[ds]]))</f>
        <v>46048</v>
      </c>
      <c r="C399">
        <v>3603</v>
      </c>
      <c r="D399" s="1">
        <v>46048.333333333336</v>
      </c>
      <c r="E399">
        <v>2340.7070329201019</v>
      </c>
      <c r="F399">
        <v>-351.77783537167716</v>
      </c>
      <c r="G399">
        <v>4811.6357152683604</v>
      </c>
      <c r="H399" s="1">
        <v>46022.333333333336</v>
      </c>
    </row>
    <row r="400" spans="1:8" x14ac:dyDescent="0.25">
      <c r="A400" s="7">
        <f>DATE(YEAR(m1_crossvalid[[#This Row],[cutoff]]),MONTH(m1_crossvalid[[#This Row],[cutoff]]),DAY(m1_crossvalid[[#This Row],[cutoff]]))</f>
        <v>46022</v>
      </c>
      <c r="B400" s="7">
        <f>DATE(YEAR(m1_crossvalid[[#This Row],[ds]]),MONTH(m1_crossvalid[[#This Row],[ds]]),DAY(m1_crossvalid[[#This Row],[ds]]))</f>
        <v>46049</v>
      </c>
      <c r="C400">
        <v>4548</v>
      </c>
      <c r="D400" s="1">
        <v>46049.333333333336</v>
      </c>
      <c r="E400">
        <v>2888.700267519735</v>
      </c>
      <c r="F400">
        <v>258.72071369473849</v>
      </c>
      <c r="G400">
        <v>5523.4715968832043</v>
      </c>
      <c r="H400" s="1">
        <v>46022.333333333336</v>
      </c>
    </row>
    <row r="401" spans="1:8" x14ac:dyDescent="0.25">
      <c r="A401" s="7">
        <f>DATE(YEAR(m1_crossvalid[[#This Row],[cutoff]]),MONTH(m1_crossvalid[[#This Row],[cutoff]]),DAY(m1_crossvalid[[#This Row],[cutoff]]))</f>
        <v>46022</v>
      </c>
      <c r="B401" s="7">
        <f>DATE(YEAR(m1_crossvalid[[#This Row],[ds]]),MONTH(m1_crossvalid[[#This Row],[ds]]),DAY(m1_crossvalid[[#This Row],[ds]]))</f>
        <v>46050</v>
      </c>
      <c r="C401">
        <v>5313</v>
      </c>
      <c r="D401" s="1">
        <v>46050.333333333336</v>
      </c>
      <c r="E401">
        <v>2955.2154498852028</v>
      </c>
      <c r="F401">
        <v>197.28508896690025</v>
      </c>
      <c r="G401">
        <v>5643.5226598818526</v>
      </c>
      <c r="H401" s="1">
        <v>46022.333333333336</v>
      </c>
    </row>
    <row r="402" spans="1:8" x14ac:dyDescent="0.25">
      <c r="A402" s="7">
        <f>DATE(YEAR(m1_crossvalid[[#This Row],[cutoff]]),MONTH(m1_crossvalid[[#This Row],[cutoff]]),DAY(m1_crossvalid[[#This Row],[cutoff]]))</f>
        <v>46022</v>
      </c>
      <c r="B402" s="7">
        <f>DATE(YEAR(m1_crossvalid[[#This Row],[ds]]),MONTH(m1_crossvalid[[#This Row],[ds]]),DAY(m1_crossvalid[[#This Row],[ds]]))</f>
        <v>46051</v>
      </c>
      <c r="C402">
        <v>7326</v>
      </c>
      <c r="D402" s="1">
        <v>46051.333333333336</v>
      </c>
      <c r="E402">
        <v>2950.4455831582081</v>
      </c>
      <c r="F402">
        <v>207.88923595928995</v>
      </c>
      <c r="G402">
        <v>5703.690868225689</v>
      </c>
      <c r="H402" s="1">
        <v>46022.333333333336</v>
      </c>
    </row>
    <row r="403" spans="1:8" x14ac:dyDescent="0.25">
      <c r="A403" s="7">
        <f>DATE(YEAR(m1_crossvalid[[#This Row],[cutoff]]),MONTH(m1_crossvalid[[#This Row],[cutoff]]),DAY(m1_crossvalid[[#This Row],[cutoff]]))</f>
        <v>46022</v>
      </c>
      <c r="B403" s="7">
        <f>DATE(YEAR(m1_crossvalid[[#This Row],[ds]]),MONTH(m1_crossvalid[[#This Row],[ds]]),DAY(m1_crossvalid[[#This Row],[ds]]))</f>
        <v>46052</v>
      </c>
      <c r="C403">
        <v>10276</v>
      </c>
      <c r="D403" s="1">
        <v>46052.333333333336</v>
      </c>
      <c r="E403">
        <v>2994.6637399675546</v>
      </c>
      <c r="F403">
        <v>419.03894987957875</v>
      </c>
      <c r="G403">
        <v>5611.0912008771465</v>
      </c>
      <c r="H403" s="1">
        <v>46022.333333333336</v>
      </c>
    </row>
    <row r="404" spans="1:8" x14ac:dyDescent="0.25">
      <c r="A404" s="7">
        <f>DATE(YEAR(m1_crossvalid[[#This Row],[cutoff]]),MONTH(m1_crossvalid[[#This Row],[cutoff]]),DAY(m1_crossvalid[[#This Row],[cutoff]]))</f>
        <v>46022</v>
      </c>
      <c r="B404" s="7">
        <f>DATE(YEAR(m1_crossvalid[[#This Row],[ds]]),MONTH(m1_crossvalid[[#This Row],[ds]]),DAY(m1_crossvalid[[#This Row],[ds]]))</f>
        <v>46053</v>
      </c>
      <c r="C404">
        <v>7991</v>
      </c>
      <c r="D404" s="1">
        <v>46053.333333333336</v>
      </c>
      <c r="E404">
        <v>719.13749775947349</v>
      </c>
      <c r="F404">
        <v>-2063.460162292844</v>
      </c>
      <c r="G404">
        <v>3452.4851616159085</v>
      </c>
      <c r="H404" s="1">
        <v>46022.333333333336</v>
      </c>
    </row>
    <row r="405" spans="1:8" x14ac:dyDescent="0.25">
      <c r="A405" s="7">
        <f>DATE(YEAR(m1_crossvalid[[#This Row],[cutoff]]),MONTH(m1_crossvalid[[#This Row],[cutoff]]),DAY(m1_crossvalid[[#This Row],[cutoff]]))</f>
        <v>46053</v>
      </c>
      <c r="B405" s="7">
        <f>DATE(YEAR(m1_crossvalid[[#This Row],[ds]]),MONTH(m1_crossvalid[[#This Row],[ds]]),DAY(m1_crossvalid[[#This Row],[ds]]))</f>
        <v>46054</v>
      </c>
      <c r="C405">
        <v>26</v>
      </c>
      <c r="D405" s="1">
        <v>46054.333333333336</v>
      </c>
      <c r="E405">
        <v>485.58171658480342</v>
      </c>
      <c r="F405">
        <v>-2300.3662102214653</v>
      </c>
      <c r="G405">
        <v>3277.8530665707117</v>
      </c>
      <c r="H405" s="1">
        <v>46053.333333333336</v>
      </c>
    </row>
    <row r="406" spans="1:8" x14ac:dyDescent="0.25">
      <c r="A406" s="7">
        <f>DATE(YEAR(m1_crossvalid[[#This Row],[cutoff]]),MONTH(m1_crossvalid[[#This Row],[cutoff]]),DAY(m1_crossvalid[[#This Row],[cutoff]]))</f>
        <v>46053</v>
      </c>
      <c r="B406" s="7">
        <f>DATE(YEAR(m1_crossvalid[[#This Row],[ds]]),MONTH(m1_crossvalid[[#This Row],[ds]]),DAY(m1_crossvalid[[#This Row],[ds]]))</f>
        <v>46055</v>
      </c>
      <c r="C406">
        <v>134</v>
      </c>
      <c r="D406" s="1">
        <v>46055.333333333336</v>
      </c>
      <c r="E406">
        <v>2790.206426414441</v>
      </c>
      <c r="F406">
        <v>212.53435085674366</v>
      </c>
      <c r="G406">
        <v>5410.9133898592981</v>
      </c>
      <c r="H406" s="1">
        <v>46053.333333333336</v>
      </c>
    </row>
    <row r="407" spans="1:8" x14ac:dyDescent="0.25">
      <c r="A407" s="7">
        <f>DATE(YEAR(m1_crossvalid[[#This Row],[cutoff]]),MONTH(m1_crossvalid[[#This Row],[cutoff]]),DAY(m1_crossvalid[[#This Row],[cutoff]]))</f>
        <v>46053</v>
      </c>
      <c r="B407" s="7">
        <f>DATE(YEAR(m1_crossvalid[[#This Row],[ds]]),MONTH(m1_crossvalid[[#This Row],[ds]]),DAY(m1_crossvalid[[#This Row],[ds]]))</f>
        <v>46056</v>
      </c>
      <c r="C407">
        <v>521</v>
      </c>
      <c r="D407" s="1">
        <v>46056.333333333336</v>
      </c>
      <c r="E407">
        <v>3331.5449820210201</v>
      </c>
      <c r="F407">
        <v>853.58012682177082</v>
      </c>
      <c r="G407">
        <v>6221.4022301612958</v>
      </c>
      <c r="H407" s="1">
        <v>46053.333333333336</v>
      </c>
    </row>
    <row r="408" spans="1:8" x14ac:dyDescent="0.25">
      <c r="A408" s="7">
        <f>DATE(YEAR(m1_crossvalid[[#This Row],[cutoff]]),MONTH(m1_crossvalid[[#This Row],[cutoff]]),DAY(m1_crossvalid[[#This Row],[cutoff]]))</f>
        <v>46053</v>
      </c>
      <c r="B408" s="7">
        <f>DATE(YEAR(m1_crossvalid[[#This Row],[ds]]),MONTH(m1_crossvalid[[#This Row],[ds]]),DAY(m1_crossvalid[[#This Row],[ds]]))</f>
        <v>46057</v>
      </c>
      <c r="C408">
        <v>696</v>
      </c>
      <c r="D408" s="1">
        <v>46057.333333333336</v>
      </c>
      <c r="E408">
        <v>3390.4516807198142</v>
      </c>
      <c r="F408">
        <v>681.36747461721177</v>
      </c>
      <c r="G408">
        <v>6252.4412923626687</v>
      </c>
      <c r="H408" s="1">
        <v>46053.333333333336</v>
      </c>
    </row>
    <row r="409" spans="1:8" x14ac:dyDescent="0.25">
      <c r="A409" s="7">
        <f>DATE(YEAR(m1_crossvalid[[#This Row],[cutoff]]),MONTH(m1_crossvalid[[#This Row],[cutoff]]),DAY(m1_crossvalid[[#This Row],[cutoff]]))</f>
        <v>46053</v>
      </c>
      <c r="B409" s="7">
        <f>DATE(YEAR(m1_crossvalid[[#This Row],[ds]]),MONTH(m1_crossvalid[[#This Row],[ds]]),DAY(m1_crossvalid[[#This Row],[ds]]))</f>
        <v>46058</v>
      </c>
      <c r="C409">
        <v>1038</v>
      </c>
      <c r="D409" s="1">
        <v>46058.333333333336</v>
      </c>
      <c r="E409">
        <v>3374.5935804523469</v>
      </c>
      <c r="F409">
        <v>738.06443665540826</v>
      </c>
      <c r="G409">
        <v>6056.2715707627285</v>
      </c>
      <c r="H409" s="1">
        <v>46053.333333333336</v>
      </c>
    </row>
    <row r="410" spans="1:8" x14ac:dyDescent="0.25">
      <c r="A410" s="7">
        <f>DATE(YEAR(m1_crossvalid[[#This Row],[cutoff]]),MONTH(m1_crossvalid[[#This Row],[cutoff]]),DAY(m1_crossvalid[[#This Row],[cutoff]]))</f>
        <v>46053</v>
      </c>
      <c r="B410" s="7">
        <f>DATE(YEAR(m1_crossvalid[[#This Row],[ds]]),MONTH(m1_crossvalid[[#This Row],[ds]]),DAY(m1_crossvalid[[#This Row],[ds]]))</f>
        <v>46059</v>
      </c>
      <c r="C410">
        <v>1414</v>
      </c>
      <c r="D410" s="1">
        <v>46059.333333333336</v>
      </c>
      <c r="E410">
        <v>3404.4634073242305</v>
      </c>
      <c r="F410">
        <v>613.93461179029669</v>
      </c>
      <c r="G410">
        <v>6202.1815112752865</v>
      </c>
      <c r="H410" s="1">
        <v>46053.333333333336</v>
      </c>
    </row>
    <row r="411" spans="1:8" x14ac:dyDescent="0.25">
      <c r="A411" s="7">
        <f>DATE(YEAR(m1_crossvalid[[#This Row],[cutoff]]),MONTH(m1_crossvalid[[#This Row],[cutoff]]),DAY(m1_crossvalid[[#This Row],[cutoff]]))</f>
        <v>46053</v>
      </c>
      <c r="B411" s="7">
        <f>DATE(YEAR(m1_crossvalid[[#This Row],[ds]]),MONTH(m1_crossvalid[[#This Row],[ds]]),DAY(m1_crossvalid[[#This Row],[ds]]))</f>
        <v>46060</v>
      </c>
      <c r="C411">
        <v>286</v>
      </c>
      <c r="D411" s="1">
        <v>46060.333333333336</v>
      </c>
      <c r="E411">
        <v>1117.2637845495024</v>
      </c>
      <c r="F411">
        <v>-1730.9027519119775</v>
      </c>
      <c r="G411">
        <v>3778.1870765428662</v>
      </c>
      <c r="H411" s="1">
        <v>46053.333333333336</v>
      </c>
    </row>
    <row r="412" spans="1:8" x14ac:dyDescent="0.25">
      <c r="A412" s="7">
        <f>DATE(YEAR(m1_crossvalid[[#This Row],[cutoff]]),MONTH(m1_crossvalid[[#This Row],[cutoff]]),DAY(m1_crossvalid[[#This Row],[cutoff]]))</f>
        <v>46053</v>
      </c>
      <c r="B412" s="7">
        <f>DATE(YEAR(m1_crossvalid[[#This Row],[ds]]),MONTH(m1_crossvalid[[#This Row],[ds]]),DAY(m1_crossvalid[[#This Row],[ds]]))</f>
        <v>46061</v>
      </c>
      <c r="C412">
        <v>82</v>
      </c>
      <c r="D412" s="1">
        <v>46061.333333333336</v>
      </c>
      <c r="E412">
        <v>490.74906339147992</v>
      </c>
      <c r="F412">
        <v>-2273.1903410435548</v>
      </c>
      <c r="G412">
        <v>2983.1576904167023</v>
      </c>
      <c r="H412" s="1">
        <v>46053.333333333336</v>
      </c>
    </row>
    <row r="413" spans="1:8" x14ac:dyDescent="0.25">
      <c r="A413" s="7">
        <f>DATE(YEAR(m1_crossvalid[[#This Row],[cutoff]]),MONTH(m1_crossvalid[[#This Row],[cutoff]]),DAY(m1_crossvalid[[#This Row],[cutoff]]))</f>
        <v>46053</v>
      </c>
      <c r="B413" s="7">
        <f>DATE(YEAR(m1_crossvalid[[#This Row],[ds]]),MONTH(m1_crossvalid[[#This Row],[ds]]),DAY(m1_crossvalid[[#This Row],[ds]]))</f>
        <v>46062</v>
      </c>
      <c r="C413">
        <v>1902</v>
      </c>
      <c r="D413" s="1">
        <v>46062.333333333336</v>
      </c>
      <c r="E413">
        <v>2765.8134494817809</v>
      </c>
      <c r="F413">
        <v>188.16210779855624</v>
      </c>
      <c r="G413">
        <v>5441.2748262700879</v>
      </c>
      <c r="H413" s="1">
        <v>46053.333333333336</v>
      </c>
    </row>
    <row r="414" spans="1:8" x14ac:dyDescent="0.25">
      <c r="A414" s="7">
        <f>DATE(YEAR(m1_crossvalid[[#This Row],[cutoff]]),MONTH(m1_crossvalid[[#This Row],[cutoff]]),DAY(m1_crossvalid[[#This Row],[cutoff]]))</f>
        <v>46053</v>
      </c>
      <c r="B414" s="7">
        <f>DATE(YEAR(m1_crossvalid[[#This Row],[ds]]),MONTH(m1_crossvalid[[#This Row],[ds]]),DAY(m1_crossvalid[[#This Row],[ds]]))</f>
        <v>46063</v>
      </c>
      <c r="C414">
        <v>2288</v>
      </c>
      <c r="D414" s="1">
        <v>46063.333333333336</v>
      </c>
      <c r="E414">
        <v>3281.0074915390878</v>
      </c>
      <c r="F414">
        <v>812.15715094564985</v>
      </c>
      <c r="G414">
        <v>6015.8674734080159</v>
      </c>
      <c r="H414" s="1">
        <v>46053.333333333336</v>
      </c>
    </row>
    <row r="415" spans="1:8" x14ac:dyDescent="0.25">
      <c r="A415" s="7">
        <f>DATE(YEAR(m1_crossvalid[[#This Row],[cutoff]]),MONTH(m1_crossvalid[[#This Row],[cutoff]]),DAY(m1_crossvalid[[#This Row],[cutoff]]))</f>
        <v>46053</v>
      </c>
      <c r="B415" s="7">
        <f>DATE(YEAR(m1_crossvalid[[#This Row],[ds]]),MONTH(m1_crossvalid[[#This Row],[ds]]),DAY(m1_crossvalid[[#This Row],[ds]]))</f>
        <v>46064</v>
      </c>
      <c r="C415">
        <v>2663</v>
      </c>
      <c r="D415" s="1">
        <v>46064.333333333336</v>
      </c>
      <c r="E415">
        <v>3317.8491258904064</v>
      </c>
      <c r="F415">
        <v>507.53756620251397</v>
      </c>
      <c r="G415">
        <v>5872.4509356903091</v>
      </c>
      <c r="H415" s="1">
        <v>46053.333333333336</v>
      </c>
    </row>
    <row r="416" spans="1:8" x14ac:dyDescent="0.25">
      <c r="A416" s="7">
        <f>DATE(YEAR(m1_crossvalid[[#This Row],[cutoff]]),MONTH(m1_crossvalid[[#This Row],[cutoff]]),DAY(m1_crossvalid[[#This Row],[cutoff]]))</f>
        <v>46053</v>
      </c>
      <c r="B416" s="7">
        <f>DATE(YEAR(m1_crossvalid[[#This Row],[ds]]),MONTH(m1_crossvalid[[#This Row],[ds]]),DAY(m1_crossvalid[[#This Row],[ds]]))</f>
        <v>46065</v>
      </c>
      <c r="C416">
        <v>3108</v>
      </c>
      <c r="D416" s="1">
        <v>46065.333333333336</v>
      </c>
      <c r="E416">
        <v>3284.547255380714</v>
      </c>
      <c r="F416">
        <v>506.60361003718617</v>
      </c>
      <c r="G416">
        <v>6174.7914082064681</v>
      </c>
      <c r="H416" s="1">
        <v>46053.333333333336</v>
      </c>
    </row>
    <row r="417" spans="1:8" x14ac:dyDescent="0.25">
      <c r="A417" s="7">
        <f>DATE(YEAR(m1_crossvalid[[#This Row],[cutoff]]),MONTH(m1_crossvalid[[#This Row],[cutoff]]),DAY(m1_crossvalid[[#This Row],[cutoff]]))</f>
        <v>46053</v>
      </c>
      <c r="B417" s="7">
        <f>DATE(YEAR(m1_crossvalid[[#This Row],[ds]]),MONTH(m1_crossvalid[[#This Row],[ds]]),DAY(m1_crossvalid[[#This Row],[ds]]))</f>
        <v>46066</v>
      </c>
      <c r="C417">
        <v>3172</v>
      </c>
      <c r="D417" s="1">
        <v>46066.333333333336</v>
      </c>
      <c r="E417">
        <v>3302.0026800462556</v>
      </c>
      <c r="F417">
        <v>562.95355887167955</v>
      </c>
      <c r="G417">
        <v>6084.073262787052</v>
      </c>
      <c r="H417" s="1">
        <v>46053.333333333336</v>
      </c>
    </row>
    <row r="418" spans="1:8" x14ac:dyDescent="0.25">
      <c r="A418" s="7">
        <f>DATE(YEAR(m1_crossvalid[[#This Row],[cutoff]]),MONTH(m1_crossvalid[[#This Row],[cutoff]]),DAY(m1_crossvalid[[#This Row],[cutoff]]))</f>
        <v>46053</v>
      </c>
      <c r="B418" s="7">
        <f>DATE(YEAR(m1_crossvalid[[#This Row],[ds]]),MONTH(m1_crossvalid[[#This Row],[ds]]),DAY(m1_crossvalid[[#This Row],[ds]]))</f>
        <v>46067</v>
      </c>
      <c r="C418">
        <v>913</v>
      </c>
      <c r="D418" s="1">
        <v>46067.333333333336</v>
      </c>
      <c r="E418">
        <v>1007.6839816190998</v>
      </c>
      <c r="F418">
        <v>-1726.5721942600426</v>
      </c>
      <c r="G418">
        <v>3791.2617550111063</v>
      </c>
      <c r="H418" s="1">
        <v>46053.333333333336</v>
      </c>
    </row>
    <row r="419" spans="1:8" x14ac:dyDescent="0.25">
      <c r="A419" s="7">
        <f>DATE(YEAR(m1_crossvalid[[#This Row],[cutoff]]),MONTH(m1_crossvalid[[#This Row],[cutoff]]),DAY(m1_crossvalid[[#This Row],[cutoff]]))</f>
        <v>46053</v>
      </c>
      <c r="B419" s="7">
        <f>DATE(YEAR(m1_crossvalid[[#This Row],[ds]]),MONTH(m1_crossvalid[[#This Row],[ds]]),DAY(m1_crossvalid[[#This Row],[ds]]))</f>
        <v>46068</v>
      </c>
      <c r="C419">
        <v>208</v>
      </c>
      <c r="D419" s="1">
        <v>46068.333333333336</v>
      </c>
      <c r="E419">
        <v>379.46481520599809</v>
      </c>
      <c r="F419">
        <v>-2295.6428585154949</v>
      </c>
      <c r="G419">
        <v>3143.2130725369843</v>
      </c>
      <c r="H419" s="1">
        <v>46053.333333333336</v>
      </c>
    </row>
    <row r="420" spans="1:8" x14ac:dyDescent="0.25">
      <c r="A420" s="7">
        <f>DATE(YEAR(m1_crossvalid[[#This Row],[cutoff]]),MONTH(m1_crossvalid[[#This Row],[cutoff]]),DAY(m1_crossvalid[[#This Row],[cutoff]]))</f>
        <v>46053</v>
      </c>
      <c r="B420" s="7">
        <f>DATE(YEAR(m1_crossvalid[[#This Row],[ds]]),MONTH(m1_crossvalid[[#This Row],[ds]]),DAY(m1_crossvalid[[#This Row],[ds]]))</f>
        <v>46069</v>
      </c>
      <c r="C420">
        <v>1728</v>
      </c>
      <c r="D420" s="1">
        <v>46069.333333333336</v>
      </c>
      <c r="E420">
        <v>2658.2113713067142</v>
      </c>
      <c r="F420">
        <v>41.389307156283948</v>
      </c>
      <c r="G420">
        <v>5402.7119363893635</v>
      </c>
      <c r="H420" s="1">
        <v>46053.333333333336</v>
      </c>
    </row>
    <row r="421" spans="1:8" x14ac:dyDescent="0.25">
      <c r="A421" s="7">
        <f>DATE(YEAR(m1_crossvalid[[#This Row],[cutoff]]),MONTH(m1_crossvalid[[#This Row],[cutoff]]),DAY(m1_crossvalid[[#This Row],[cutoff]]))</f>
        <v>46053</v>
      </c>
      <c r="B421" s="7">
        <f>DATE(YEAR(m1_crossvalid[[#This Row],[ds]]),MONTH(m1_crossvalid[[#This Row],[ds]]),DAY(m1_crossvalid[[#This Row],[ds]]))</f>
        <v>46070</v>
      </c>
      <c r="C421">
        <v>27</v>
      </c>
      <c r="D421" s="1">
        <v>46070.333333333336</v>
      </c>
      <c r="E421">
        <v>3182.3020418547467</v>
      </c>
      <c r="F421">
        <v>406.66353703700094</v>
      </c>
      <c r="G421">
        <v>5883.7710043460092</v>
      </c>
      <c r="H421" s="1">
        <v>46053.333333333336</v>
      </c>
    </row>
    <row r="422" spans="1:8" x14ac:dyDescent="0.25">
      <c r="A422" s="7">
        <f>DATE(YEAR(m1_crossvalid[[#This Row],[cutoff]]),MONTH(m1_crossvalid[[#This Row],[cutoff]]),DAY(m1_crossvalid[[#This Row],[cutoff]]))</f>
        <v>46053</v>
      </c>
      <c r="B422" s="7">
        <f>DATE(YEAR(m1_crossvalid[[#This Row],[ds]]),MONTH(m1_crossvalid[[#This Row],[ds]]),DAY(m1_crossvalid[[#This Row],[ds]]))</f>
        <v>46071</v>
      </c>
      <c r="C422">
        <v>21</v>
      </c>
      <c r="D422" s="1">
        <v>46071.333333333336</v>
      </c>
      <c r="E422">
        <v>3232.9453482672302</v>
      </c>
      <c r="F422">
        <v>368.33934040248431</v>
      </c>
      <c r="G422">
        <v>5975.6504574637911</v>
      </c>
      <c r="H422" s="1">
        <v>46053.333333333336</v>
      </c>
    </row>
    <row r="423" spans="1:8" x14ac:dyDescent="0.25">
      <c r="A423" s="7">
        <f>DATE(YEAR(m1_crossvalid[[#This Row],[cutoff]]),MONTH(m1_crossvalid[[#This Row],[cutoff]]),DAY(m1_crossvalid[[#This Row],[cutoff]]))</f>
        <v>46053</v>
      </c>
      <c r="B423" s="7">
        <f>DATE(YEAR(m1_crossvalid[[#This Row],[ds]]),MONTH(m1_crossvalid[[#This Row],[ds]]),DAY(m1_crossvalid[[#This Row],[ds]]))</f>
        <v>46072</v>
      </c>
      <c r="C423">
        <v>1000</v>
      </c>
      <c r="D423" s="1">
        <v>46072.333333333336</v>
      </c>
      <c r="E423">
        <v>3217.9138779876903</v>
      </c>
      <c r="F423">
        <v>810.94367912406096</v>
      </c>
      <c r="G423">
        <v>5994.5332026843062</v>
      </c>
      <c r="H423" s="1">
        <v>46053.333333333336</v>
      </c>
    </row>
    <row r="424" spans="1:8" x14ac:dyDescent="0.25">
      <c r="A424" s="7">
        <f>DATE(YEAR(m1_crossvalid[[#This Row],[cutoff]]),MONTH(m1_crossvalid[[#This Row],[cutoff]]),DAY(m1_crossvalid[[#This Row],[cutoff]]))</f>
        <v>46053</v>
      </c>
      <c r="B424" s="7">
        <f>DATE(YEAR(m1_crossvalid[[#This Row],[ds]]),MONTH(m1_crossvalid[[#This Row],[ds]]),DAY(m1_crossvalid[[#This Row],[ds]]))</f>
        <v>46073</v>
      </c>
      <c r="C424">
        <v>1555</v>
      </c>
      <c r="D424" s="1">
        <v>46073.333333333336</v>
      </c>
      <c r="E424">
        <v>3257.5587250040212</v>
      </c>
      <c r="F424">
        <v>558.46096147105459</v>
      </c>
      <c r="G424">
        <v>5918.1797643607433</v>
      </c>
      <c r="H424" s="1">
        <v>46053.333333333336</v>
      </c>
    </row>
    <row r="425" spans="1:8" x14ac:dyDescent="0.25">
      <c r="A425" s="7">
        <f>DATE(YEAR(m1_crossvalid[[#This Row],[cutoff]]),MONTH(m1_crossvalid[[#This Row],[cutoff]]),DAY(m1_crossvalid[[#This Row],[cutoff]]))</f>
        <v>46053</v>
      </c>
      <c r="B425" s="7">
        <f>DATE(YEAR(m1_crossvalid[[#This Row],[ds]]),MONTH(m1_crossvalid[[#This Row],[ds]]),DAY(m1_crossvalid[[#This Row],[ds]]))</f>
        <v>46074</v>
      </c>
      <c r="C425">
        <v>492</v>
      </c>
      <c r="D425" s="1">
        <v>46074.333333333336</v>
      </c>
      <c r="E425">
        <v>988.70163445573348</v>
      </c>
      <c r="F425">
        <v>-1863.5463552417784</v>
      </c>
      <c r="G425">
        <v>3710.7413332548863</v>
      </c>
      <c r="H425" s="1">
        <v>46053.333333333336</v>
      </c>
    </row>
    <row r="426" spans="1:8" x14ac:dyDescent="0.25">
      <c r="A426" s="7">
        <f>DATE(YEAR(m1_crossvalid[[#This Row],[cutoff]]),MONTH(m1_crossvalid[[#This Row],[cutoff]]),DAY(m1_crossvalid[[#This Row],[cutoff]]))</f>
        <v>46053</v>
      </c>
      <c r="B426" s="7">
        <f>DATE(YEAR(m1_crossvalid[[#This Row],[ds]]),MONTH(m1_crossvalid[[#This Row],[ds]]),DAY(m1_crossvalid[[#This Row],[ds]]))</f>
        <v>46075</v>
      </c>
      <c r="C426">
        <v>159</v>
      </c>
      <c r="D426" s="1">
        <v>46075.333333333336</v>
      </c>
      <c r="E426">
        <v>388.49083440585127</v>
      </c>
      <c r="F426">
        <v>-2459.2614416481183</v>
      </c>
      <c r="G426">
        <v>3239.7978437645029</v>
      </c>
      <c r="H426" s="1">
        <v>46053.333333333336</v>
      </c>
    </row>
    <row r="427" spans="1:8" x14ac:dyDescent="0.25">
      <c r="A427" s="7">
        <f>DATE(YEAR(m1_crossvalid[[#This Row],[cutoff]]),MONTH(m1_crossvalid[[#This Row],[cutoff]]),DAY(m1_crossvalid[[#This Row],[cutoff]]))</f>
        <v>46053</v>
      </c>
      <c r="B427" s="7">
        <f>DATE(YEAR(m1_crossvalid[[#This Row],[ds]]),MONTH(m1_crossvalid[[#This Row],[ds]]),DAY(m1_crossvalid[[#This Row],[ds]]))</f>
        <v>46076</v>
      </c>
      <c r="C427">
        <v>2313</v>
      </c>
      <c r="D427" s="1">
        <v>46076.333333333336</v>
      </c>
      <c r="E427">
        <v>2697.0087927949116</v>
      </c>
      <c r="F427">
        <v>-70.37213762730785</v>
      </c>
      <c r="G427">
        <v>5279.7793398297426</v>
      </c>
      <c r="H427" s="1">
        <v>46053.333333333336</v>
      </c>
    </row>
    <row r="428" spans="1:8" x14ac:dyDescent="0.25">
      <c r="A428" s="7">
        <f>DATE(YEAR(m1_crossvalid[[#This Row],[cutoff]]),MONTH(m1_crossvalid[[#This Row],[cutoff]]),DAY(m1_crossvalid[[#This Row],[cutoff]]))</f>
        <v>46053</v>
      </c>
      <c r="B428" s="7">
        <f>DATE(YEAR(m1_crossvalid[[#This Row],[ds]]),MONTH(m1_crossvalid[[#This Row],[ds]]),DAY(m1_crossvalid[[#This Row],[ds]]))</f>
        <v>46077</v>
      </c>
      <c r="C428">
        <v>3081</v>
      </c>
      <c r="D428" s="1">
        <v>46077.333333333336</v>
      </c>
      <c r="E428">
        <v>3251.81336818411</v>
      </c>
      <c r="F428">
        <v>482.17391309617341</v>
      </c>
      <c r="G428">
        <v>6004.775714029789</v>
      </c>
      <c r="H428" s="1">
        <v>46053.333333333336</v>
      </c>
    </row>
    <row r="429" spans="1:8" x14ac:dyDescent="0.25">
      <c r="A429" s="7">
        <f>DATE(YEAR(m1_crossvalid[[#This Row],[cutoff]]),MONTH(m1_crossvalid[[#This Row],[cutoff]]),DAY(m1_crossvalid[[#This Row],[cutoff]]))</f>
        <v>46053</v>
      </c>
      <c r="B429" s="7">
        <f>DATE(YEAR(m1_crossvalid[[#This Row],[ds]]),MONTH(m1_crossvalid[[#This Row],[ds]]),DAY(m1_crossvalid[[#This Row],[ds]]))</f>
        <v>46078</v>
      </c>
      <c r="C429">
        <v>4066</v>
      </c>
      <c r="D429" s="1">
        <v>46078.333333333336</v>
      </c>
      <c r="E429">
        <v>3333.2778228719299</v>
      </c>
      <c r="F429">
        <v>519.61219051765238</v>
      </c>
      <c r="G429">
        <v>6042.0206478603232</v>
      </c>
      <c r="H429" s="1">
        <v>46053.333333333336</v>
      </c>
    </row>
    <row r="430" spans="1:8" x14ac:dyDescent="0.25">
      <c r="A430" s="7">
        <f>DATE(YEAR(m1_crossvalid[[#This Row],[cutoff]]),MONTH(m1_crossvalid[[#This Row],[cutoff]]),DAY(m1_crossvalid[[#This Row],[cutoff]]))</f>
        <v>46053</v>
      </c>
      <c r="B430" s="7">
        <f>DATE(YEAR(m1_crossvalid[[#This Row],[ds]]),MONTH(m1_crossvalid[[#This Row],[ds]]),DAY(m1_crossvalid[[#This Row],[ds]]))</f>
        <v>46079</v>
      </c>
      <c r="C430">
        <v>5569</v>
      </c>
      <c r="D430" s="1">
        <v>46079.333333333336</v>
      </c>
      <c r="E430">
        <v>3348.3468475955933</v>
      </c>
      <c r="F430">
        <v>798.69326027805789</v>
      </c>
      <c r="G430">
        <v>6152.6832099793592</v>
      </c>
      <c r="H430" s="1">
        <v>46053.333333333336</v>
      </c>
    </row>
    <row r="431" spans="1:8" x14ac:dyDescent="0.25">
      <c r="A431" s="7">
        <f>DATE(YEAR(m1_crossvalid[[#This Row],[cutoff]]),MONTH(m1_crossvalid[[#This Row],[cutoff]]),DAY(m1_crossvalid[[#This Row],[cutoff]]))</f>
        <v>46053</v>
      </c>
      <c r="B431" s="7">
        <f>DATE(YEAR(m1_crossvalid[[#This Row],[ds]]),MONTH(m1_crossvalid[[#This Row],[ds]]),DAY(m1_crossvalid[[#This Row],[ds]]))</f>
        <v>46080</v>
      </c>
      <c r="C431">
        <v>8803</v>
      </c>
      <c r="D431" s="1">
        <v>46080.333333333336</v>
      </c>
      <c r="E431">
        <v>3416.5725044436431</v>
      </c>
      <c r="F431">
        <v>583.14290313911397</v>
      </c>
      <c r="G431">
        <v>6014.0527534360317</v>
      </c>
      <c r="H431" s="1">
        <v>46053.333333333336</v>
      </c>
    </row>
    <row r="432" spans="1:8" x14ac:dyDescent="0.25">
      <c r="A432" s="7">
        <f>DATE(YEAR(m1_crossvalid[[#This Row],[cutoff]]),MONTH(m1_crossvalid[[#This Row],[cutoff]]),DAY(m1_crossvalid[[#This Row],[cutoff]]))</f>
        <v>46053</v>
      </c>
      <c r="B432" s="7">
        <f>DATE(YEAR(m1_crossvalid[[#This Row],[ds]]),MONTH(m1_crossvalid[[#This Row],[ds]]),DAY(m1_crossvalid[[#This Row],[ds]]))</f>
        <v>46081</v>
      </c>
      <c r="C432">
        <v>9425</v>
      </c>
      <c r="D432" s="1">
        <v>46081.333333333336</v>
      </c>
      <c r="E432">
        <v>1174.0267235361746</v>
      </c>
      <c r="F432">
        <v>-1573.3343440008773</v>
      </c>
      <c r="G432">
        <v>3842.133643206183</v>
      </c>
      <c r="H432" s="1">
        <v>46053.333333333336</v>
      </c>
    </row>
    <row r="433" spans="1:8" x14ac:dyDescent="0.25">
      <c r="A433" s="7">
        <f>DATE(YEAR(m1_crossvalid[[#This Row],[cutoff]]),MONTH(m1_crossvalid[[#This Row],[cutoff]]),DAY(m1_crossvalid[[#This Row],[cutoff]]))</f>
        <v>46053</v>
      </c>
      <c r="B433" s="7">
        <f>DATE(YEAR(m1_crossvalid[[#This Row],[ds]]),MONTH(m1_crossvalid[[#This Row],[ds]]),DAY(m1_crossvalid[[#This Row],[ds]]))</f>
        <v>46082</v>
      </c>
      <c r="C433">
        <v>40</v>
      </c>
      <c r="D433" s="1">
        <v>46082.333333333336</v>
      </c>
      <c r="E433">
        <v>597.17581136701551</v>
      </c>
      <c r="F433">
        <v>-2236.6843002516293</v>
      </c>
      <c r="G433">
        <v>3254.6313186009529</v>
      </c>
      <c r="H433" s="1">
        <v>46053.333333333336</v>
      </c>
    </row>
    <row r="434" spans="1:8" x14ac:dyDescent="0.25">
      <c r="A434" s="7">
        <f>DATE(YEAR(m1_crossvalid[[#This Row],[cutoff]]),MONTH(m1_crossvalid[[#This Row],[cutoff]]),DAY(m1_crossvalid[[#This Row],[cutoff]]))</f>
        <v>46053</v>
      </c>
      <c r="B434" s="7">
        <f>DATE(YEAR(m1_crossvalid[[#This Row],[ds]]),MONTH(m1_crossvalid[[#This Row],[ds]]),DAY(m1_crossvalid[[#This Row],[ds]]))</f>
        <v>46083</v>
      </c>
      <c r="C434">
        <v>617</v>
      </c>
      <c r="D434" s="1">
        <v>46083.333333333336</v>
      </c>
      <c r="E434">
        <v>2925.5047370166785</v>
      </c>
      <c r="F434">
        <v>262.49752854253188</v>
      </c>
      <c r="G434">
        <v>5650.9276977016107</v>
      </c>
      <c r="H434" s="1">
        <v>46053.333333333336</v>
      </c>
    </row>
    <row r="435" spans="1:8" x14ac:dyDescent="0.25">
      <c r="A435" s="7">
        <f>DATE(YEAR(m1_crossvalid[[#This Row],[cutoff]]),MONTH(m1_crossvalid[[#This Row],[cutoff]]),DAY(m1_crossvalid[[#This Row],[cutoff]]))</f>
        <v>46053</v>
      </c>
      <c r="B435" s="7">
        <f>DATE(YEAR(m1_crossvalid[[#This Row],[ds]]),MONTH(m1_crossvalid[[#This Row],[ds]]),DAY(m1_crossvalid[[#This Row],[ds]]))</f>
        <v>46084</v>
      </c>
      <c r="C435">
        <v>799</v>
      </c>
      <c r="D435" s="1">
        <v>46084.333333333336</v>
      </c>
      <c r="E435">
        <v>3496.0722582347316</v>
      </c>
      <c r="F435">
        <v>799.88814980495329</v>
      </c>
      <c r="G435">
        <v>6234.8486301610601</v>
      </c>
      <c r="H435" s="1">
        <v>46053.333333333336</v>
      </c>
    </row>
    <row r="436" spans="1:8" x14ac:dyDescent="0.25">
      <c r="A436" s="7">
        <f>DATE(YEAR(m1_crossvalid[[#This Row],[cutoff]]),MONTH(m1_crossvalid[[#This Row],[cutoff]]),DAY(m1_crossvalid[[#This Row],[cutoff]]))</f>
        <v>46081</v>
      </c>
      <c r="B436" s="7">
        <f>DATE(YEAR(m1_crossvalid[[#This Row],[ds]]),MONTH(m1_crossvalid[[#This Row],[ds]]),DAY(m1_crossvalid[[#This Row],[ds]]))</f>
        <v>46082</v>
      </c>
      <c r="C436">
        <v>40</v>
      </c>
      <c r="D436" s="1">
        <v>46082.333333333336</v>
      </c>
      <c r="E436">
        <v>759.03135531903126</v>
      </c>
      <c r="F436">
        <v>-2157.514799072902</v>
      </c>
      <c r="G436">
        <v>3479.8748519077244</v>
      </c>
      <c r="H436" s="1">
        <v>46081.333333333336</v>
      </c>
    </row>
    <row r="437" spans="1:8" x14ac:dyDescent="0.25">
      <c r="A437" s="7">
        <f>DATE(YEAR(m1_crossvalid[[#This Row],[cutoff]]),MONTH(m1_crossvalid[[#This Row],[cutoff]]),DAY(m1_crossvalid[[#This Row],[cutoff]]))</f>
        <v>46081</v>
      </c>
      <c r="B437" s="7">
        <f>DATE(YEAR(m1_crossvalid[[#This Row],[ds]]),MONTH(m1_crossvalid[[#This Row],[ds]]),DAY(m1_crossvalid[[#This Row],[ds]]))</f>
        <v>46083</v>
      </c>
      <c r="C437">
        <v>617</v>
      </c>
      <c r="D437" s="1">
        <v>46083.333333333336</v>
      </c>
      <c r="E437">
        <v>3079.0870842143581</v>
      </c>
      <c r="F437">
        <v>359.98171788756105</v>
      </c>
      <c r="G437">
        <v>5683.5933073465239</v>
      </c>
      <c r="H437" s="1">
        <v>46081.333333333336</v>
      </c>
    </row>
    <row r="438" spans="1:8" x14ac:dyDescent="0.25">
      <c r="A438" s="7">
        <f>DATE(YEAR(m1_crossvalid[[#This Row],[cutoff]]),MONTH(m1_crossvalid[[#This Row],[cutoff]]),DAY(m1_crossvalid[[#This Row],[cutoff]]))</f>
        <v>46081</v>
      </c>
      <c r="B438" s="7">
        <f>DATE(YEAR(m1_crossvalid[[#This Row],[ds]]),MONTH(m1_crossvalid[[#This Row],[ds]]),DAY(m1_crossvalid[[#This Row],[ds]]))</f>
        <v>46084</v>
      </c>
      <c r="C438">
        <v>799</v>
      </c>
      <c r="D438" s="1">
        <v>46084.333333333336</v>
      </c>
      <c r="E438">
        <v>3643.9015677592215</v>
      </c>
      <c r="F438">
        <v>931.81182149925507</v>
      </c>
      <c r="G438">
        <v>6351.9255174680202</v>
      </c>
      <c r="H438" s="1">
        <v>46081.333333333336</v>
      </c>
    </row>
    <row r="439" spans="1:8" x14ac:dyDescent="0.25">
      <c r="A439" s="7">
        <f>DATE(YEAR(m1_crossvalid[[#This Row],[cutoff]]),MONTH(m1_crossvalid[[#This Row],[cutoff]]),DAY(m1_crossvalid[[#This Row],[cutoff]]))</f>
        <v>46081</v>
      </c>
      <c r="B439" s="7">
        <f>DATE(YEAR(m1_crossvalid[[#This Row],[ds]]),MONTH(m1_crossvalid[[#This Row],[ds]]),DAY(m1_crossvalid[[#This Row],[ds]]))</f>
        <v>46085</v>
      </c>
      <c r="C439">
        <v>995</v>
      </c>
      <c r="D439" s="1">
        <v>46085.333333333336</v>
      </c>
      <c r="E439">
        <v>3744.3274384845981</v>
      </c>
      <c r="F439">
        <v>923.21070479959167</v>
      </c>
      <c r="G439">
        <v>6444.2033075059162</v>
      </c>
      <c r="H439" s="1">
        <v>46081.333333333336</v>
      </c>
    </row>
    <row r="440" spans="1:8" x14ac:dyDescent="0.25">
      <c r="A440" s="7">
        <f>DATE(YEAR(m1_crossvalid[[#This Row],[cutoff]]),MONTH(m1_crossvalid[[#This Row],[cutoff]]),DAY(m1_crossvalid[[#This Row],[cutoff]]))</f>
        <v>46081</v>
      </c>
      <c r="B440" s="7">
        <f>DATE(YEAR(m1_crossvalid[[#This Row],[ds]]),MONTH(m1_crossvalid[[#This Row],[ds]]),DAY(m1_crossvalid[[#This Row],[ds]]))</f>
        <v>46086</v>
      </c>
      <c r="C440">
        <v>1314</v>
      </c>
      <c r="D440" s="1">
        <v>46086.333333333336</v>
      </c>
      <c r="E440">
        <v>3779.1654321786368</v>
      </c>
      <c r="F440">
        <v>1076.7917781277631</v>
      </c>
      <c r="G440">
        <v>6542.3477518696454</v>
      </c>
      <c r="H440" s="1">
        <v>46081.333333333336</v>
      </c>
    </row>
    <row r="441" spans="1:8" x14ac:dyDescent="0.25">
      <c r="A441" s="7">
        <f>DATE(YEAR(m1_crossvalid[[#This Row],[cutoff]]),MONTH(m1_crossvalid[[#This Row],[cutoff]]),DAY(m1_crossvalid[[#This Row],[cutoff]]))</f>
        <v>46081</v>
      </c>
      <c r="B441" s="7">
        <f>DATE(YEAR(m1_crossvalid[[#This Row],[ds]]),MONTH(m1_crossvalid[[#This Row],[ds]]),DAY(m1_crossvalid[[#This Row],[ds]]))</f>
        <v>46087</v>
      </c>
      <c r="C441">
        <v>1617</v>
      </c>
      <c r="D441" s="1">
        <v>46087.333333333336</v>
      </c>
      <c r="E441">
        <v>3862.6031730662708</v>
      </c>
      <c r="F441">
        <v>1299.2956296002158</v>
      </c>
      <c r="G441">
        <v>6627.9017025451049</v>
      </c>
      <c r="H441" s="1">
        <v>46081.333333333336</v>
      </c>
    </row>
    <row r="442" spans="1:8" x14ac:dyDescent="0.25">
      <c r="A442" s="7">
        <f>DATE(YEAR(m1_crossvalid[[#This Row],[cutoff]]),MONTH(m1_crossvalid[[#This Row],[cutoff]]),DAY(m1_crossvalid[[#This Row],[cutoff]]))</f>
        <v>46081</v>
      </c>
      <c r="B442" s="7">
        <f>DATE(YEAR(m1_crossvalid[[#This Row],[ds]]),MONTH(m1_crossvalid[[#This Row],[ds]]),DAY(m1_crossvalid[[#This Row],[ds]]))</f>
        <v>46088</v>
      </c>
      <c r="C442">
        <v>220</v>
      </c>
      <c r="D442" s="1">
        <v>46088.333333333336</v>
      </c>
      <c r="E442">
        <v>1633.8431415348496</v>
      </c>
      <c r="F442">
        <v>-1020.8698265136383</v>
      </c>
      <c r="G442">
        <v>4263.9085313020787</v>
      </c>
      <c r="H442" s="1">
        <v>46081.333333333336</v>
      </c>
    </row>
    <row r="443" spans="1:8" x14ac:dyDescent="0.25">
      <c r="A443" s="7">
        <f>DATE(YEAR(m1_crossvalid[[#This Row],[cutoff]]),MONTH(m1_crossvalid[[#This Row],[cutoff]]),DAY(m1_crossvalid[[#This Row],[cutoff]]))</f>
        <v>46081</v>
      </c>
      <c r="B443" s="7">
        <f>DATE(YEAR(m1_crossvalid[[#This Row],[ds]]),MONTH(m1_crossvalid[[#This Row],[ds]]),DAY(m1_crossvalid[[#This Row],[ds]]))</f>
        <v>46089</v>
      </c>
      <c r="C443">
        <v>43</v>
      </c>
      <c r="D443" s="1">
        <v>46089.333333333336</v>
      </c>
      <c r="E443">
        <v>1000.7111890698991</v>
      </c>
      <c r="F443">
        <v>-1722.8533406485847</v>
      </c>
      <c r="G443">
        <v>3490.8081063375148</v>
      </c>
      <c r="H443" s="1">
        <v>46081.333333333336</v>
      </c>
    </row>
    <row r="444" spans="1:8" x14ac:dyDescent="0.25">
      <c r="A444" s="7">
        <f>DATE(YEAR(m1_crossvalid[[#This Row],[cutoff]]),MONTH(m1_crossvalid[[#This Row],[cutoff]]),DAY(m1_crossvalid[[#This Row],[cutoff]]))</f>
        <v>46081</v>
      </c>
      <c r="B444" s="7">
        <f>DATE(YEAR(m1_crossvalid[[#This Row],[ds]]),MONTH(m1_crossvalid[[#This Row],[ds]]),DAY(m1_crossvalid[[#This Row],[ds]]))</f>
        <v>46090</v>
      </c>
      <c r="C444">
        <v>1766</v>
      </c>
      <c r="D444" s="1">
        <v>46090.333333333336</v>
      </c>
      <c r="E444">
        <v>3286.501084178426</v>
      </c>
      <c r="F444">
        <v>541.69905681868727</v>
      </c>
      <c r="G444">
        <v>6276.9946952439523</v>
      </c>
      <c r="H444" s="1">
        <v>46081.333333333336</v>
      </c>
    </row>
    <row r="445" spans="1:8" x14ac:dyDescent="0.25">
      <c r="A445" s="7">
        <f>DATE(YEAR(m1_crossvalid[[#This Row],[cutoff]]),MONTH(m1_crossvalid[[#This Row],[cutoff]]),DAY(m1_crossvalid[[#This Row],[cutoff]]))</f>
        <v>46081</v>
      </c>
      <c r="B445" s="7">
        <f>DATE(YEAR(m1_crossvalid[[#This Row],[ds]]),MONTH(m1_crossvalid[[#This Row],[ds]]),DAY(m1_crossvalid[[#This Row],[ds]]))</f>
        <v>46091</v>
      </c>
      <c r="C445">
        <v>2170</v>
      </c>
      <c r="D445" s="1">
        <v>46091.333333333336</v>
      </c>
      <c r="E445">
        <v>3814.3592356211102</v>
      </c>
      <c r="F445">
        <v>1196.3188940943701</v>
      </c>
      <c r="G445">
        <v>6507.1130935079073</v>
      </c>
      <c r="H445" s="1">
        <v>46081.333333333336</v>
      </c>
    </row>
    <row r="446" spans="1:8" x14ac:dyDescent="0.25">
      <c r="A446" s="7">
        <f>DATE(YEAR(m1_crossvalid[[#This Row],[cutoff]]),MONTH(m1_crossvalid[[#This Row],[cutoff]]),DAY(m1_crossvalid[[#This Row],[cutoff]]))</f>
        <v>46081</v>
      </c>
      <c r="B446" s="7">
        <f>DATE(YEAR(m1_crossvalid[[#This Row],[ds]]),MONTH(m1_crossvalid[[#This Row],[ds]]),DAY(m1_crossvalid[[#This Row],[ds]]))</f>
        <v>46092</v>
      </c>
      <c r="C446">
        <v>2907</v>
      </c>
      <c r="D446" s="1">
        <v>46092.333333333336</v>
      </c>
      <c r="E446">
        <v>3875.9316676173657</v>
      </c>
      <c r="F446">
        <v>1261.6522887746939</v>
      </c>
      <c r="G446">
        <v>6693.4383113654767</v>
      </c>
      <c r="H446" s="1">
        <v>46081.333333333336</v>
      </c>
    </row>
    <row r="447" spans="1:8" x14ac:dyDescent="0.25">
      <c r="A447" s="7">
        <f>DATE(YEAR(m1_crossvalid[[#This Row],[cutoff]]),MONTH(m1_crossvalid[[#This Row],[cutoff]]),DAY(m1_crossvalid[[#This Row],[cutoff]]))</f>
        <v>46081</v>
      </c>
      <c r="B447" s="7">
        <f>DATE(YEAR(m1_crossvalid[[#This Row],[ds]]),MONTH(m1_crossvalid[[#This Row],[ds]]),DAY(m1_crossvalid[[#This Row],[ds]]))</f>
        <v>46093</v>
      </c>
      <c r="C447">
        <v>3020</v>
      </c>
      <c r="D447" s="1">
        <v>46093.333333333336</v>
      </c>
      <c r="E447">
        <v>3870.8439063083733</v>
      </c>
      <c r="F447">
        <v>1203.4065143898742</v>
      </c>
      <c r="G447">
        <v>6627.9066934017847</v>
      </c>
      <c r="H447" s="1">
        <v>46081.333333333336</v>
      </c>
    </row>
    <row r="448" spans="1:8" x14ac:dyDescent="0.25">
      <c r="A448" s="7">
        <f>DATE(YEAR(m1_crossvalid[[#This Row],[cutoff]]),MONTH(m1_crossvalid[[#This Row],[cutoff]]),DAY(m1_crossvalid[[#This Row],[cutoff]]))</f>
        <v>46081</v>
      </c>
      <c r="B448" s="7">
        <f>DATE(YEAR(m1_crossvalid[[#This Row],[ds]]),MONTH(m1_crossvalid[[#This Row],[ds]]),DAY(m1_crossvalid[[#This Row],[ds]]))</f>
        <v>46094</v>
      </c>
      <c r="C448">
        <v>3551</v>
      </c>
      <c r="D448" s="1">
        <v>46094.333333333336</v>
      </c>
      <c r="E448">
        <v>3914.1177636665498</v>
      </c>
      <c r="F448">
        <v>1124.5881357655899</v>
      </c>
      <c r="G448">
        <v>6872.8270388183937</v>
      </c>
      <c r="H448" s="1">
        <v>46081.333333333336</v>
      </c>
    </row>
    <row r="449" spans="1:8" x14ac:dyDescent="0.25">
      <c r="A449" s="7">
        <f>DATE(YEAR(m1_crossvalid[[#This Row],[cutoff]]),MONTH(m1_crossvalid[[#This Row],[cutoff]]),DAY(m1_crossvalid[[#This Row],[cutoff]]))</f>
        <v>46081</v>
      </c>
      <c r="B449" s="7">
        <f>DATE(YEAR(m1_crossvalid[[#This Row],[ds]]),MONTH(m1_crossvalid[[#This Row],[ds]]),DAY(m1_crossvalid[[#This Row],[ds]]))</f>
        <v>46095</v>
      </c>
      <c r="C449">
        <v>1088</v>
      </c>
      <c r="D449" s="1">
        <v>46095.333333333336</v>
      </c>
      <c r="E449">
        <v>1645.7773568403575</v>
      </c>
      <c r="F449">
        <v>-1164.0415088211257</v>
      </c>
      <c r="G449">
        <v>4206.0342062965001</v>
      </c>
      <c r="H449" s="1">
        <v>46081.333333333336</v>
      </c>
    </row>
    <row r="450" spans="1:8" x14ac:dyDescent="0.25">
      <c r="A450" s="7">
        <f>DATE(YEAR(m1_crossvalid[[#This Row],[cutoff]]),MONTH(m1_crossvalid[[#This Row],[cutoff]]),DAY(m1_crossvalid[[#This Row],[cutoff]]))</f>
        <v>46081</v>
      </c>
      <c r="B450" s="7">
        <f>DATE(YEAR(m1_crossvalid[[#This Row],[ds]]),MONTH(m1_crossvalid[[#This Row],[ds]]),DAY(m1_crossvalid[[#This Row],[ds]]))</f>
        <v>46096</v>
      </c>
      <c r="C450">
        <v>228</v>
      </c>
      <c r="D450" s="1">
        <v>46096.333333333336</v>
      </c>
      <c r="E450">
        <v>974.43633479121513</v>
      </c>
      <c r="F450">
        <v>-1653.995391773881</v>
      </c>
      <c r="G450">
        <v>3659.1662824026416</v>
      </c>
      <c r="H450" s="1">
        <v>46081.333333333336</v>
      </c>
    </row>
    <row r="451" spans="1:8" x14ac:dyDescent="0.25">
      <c r="A451" s="7">
        <f>DATE(YEAR(m1_crossvalid[[#This Row],[cutoff]]),MONTH(m1_crossvalid[[#This Row],[cutoff]]),DAY(m1_crossvalid[[#This Row],[cutoff]]))</f>
        <v>46081</v>
      </c>
      <c r="B451" s="7">
        <f>DATE(YEAR(m1_crossvalid[[#This Row],[ds]]),MONTH(m1_crossvalid[[#This Row],[ds]]),DAY(m1_crossvalid[[#This Row],[ds]]))</f>
        <v>46097</v>
      </c>
      <c r="C451">
        <v>3950</v>
      </c>
      <c r="D451" s="1">
        <v>46097.333333333336</v>
      </c>
      <c r="E451">
        <v>3224.1223781852414</v>
      </c>
      <c r="F451">
        <v>408.26214440319455</v>
      </c>
      <c r="G451">
        <v>5955.5282581515539</v>
      </c>
      <c r="H451" s="1">
        <v>46081.333333333336</v>
      </c>
    </row>
    <row r="452" spans="1:8" x14ac:dyDescent="0.25">
      <c r="A452" s="7">
        <f>DATE(YEAR(m1_crossvalid[[#This Row],[cutoff]]),MONTH(m1_crossvalid[[#This Row],[cutoff]]),DAY(m1_crossvalid[[#This Row],[cutoff]]))</f>
        <v>46081</v>
      </c>
      <c r="B452" s="7">
        <f>DATE(YEAR(m1_crossvalid[[#This Row],[ds]]),MONTH(m1_crossvalid[[#This Row],[ds]]),DAY(m1_crossvalid[[#This Row],[ds]]))</f>
        <v>46098</v>
      </c>
      <c r="C452">
        <v>5807</v>
      </c>
      <c r="D452" s="1">
        <v>46098.333333333336</v>
      </c>
      <c r="E452">
        <v>3718.6436599225322</v>
      </c>
      <c r="F452">
        <v>1011.0639439632369</v>
      </c>
      <c r="G452">
        <v>6323.575211009379</v>
      </c>
      <c r="H452" s="1">
        <v>46081.333333333336</v>
      </c>
    </row>
    <row r="453" spans="1:8" x14ac:dyDescent="0.25">
      <c r="A453" s="7">
        <f>DATE(YEAR(m1_crossvalid[[#This Row],[cutoff]]),MONTH(m1_crossvalid[[#This Row],[cutoff]]),DAY(m1_crossvalid[[#This Row],[cutoff]]))</f>
        <v>46081</v>
      </c>
      <c r="B453" s="7">
        <f>DATE(YEAR(m1_crossvalid[[#This Row],[ds]]),MONTH(m1_crossvalid[[#This Row],[ds]]),DAY(m1_crossvalid[[#This Row],[ds]]))</f>
        <v>46099</v>
      </c>
      <c r="C453">
        <v>5295</v>
      </c>
      <c r="D453" s="1">
        <v>46099.333333333336</v>
      </c>
      <c r="E453">
        <v>3750.219826095803</v>
      </c>
      <c r="F453">
        <v>1024.3967732335664</v>
      </c>
      <c r="G453">
        <v>6423.052256226626</v>
      </c>
      <c r="H453" s="1">
        <v>46081.333333333336</v>
      </c>
    </row>
    <row r="454" spans="1:8" x14ac:dyDescent="0.25">
      <c r="A454" s="7">
        <f>DATE(YEAR(m1_crossvalid[[#This Row],[cutoff]]),MONTH(m1_crossvalid[[#This Row],[cutoff]]),DAY(m1_crossvalid[[#This Row],[cutoff]]))</f>
        <v>46081</v>
      </c>
      <c r="B454" s="7">
        <f>DATE(YEAR(m1_crossvalid[[#This Row],[ds]]),MONTH(m1_crossvalid[[#This Row],[ds]]),DAY(m1_crossvalid[[#This Row],[ds]]))</f>
        <v>46100</v>
      </c>
      <c r="C454">
        <v>3557</v>
      </c>
      <c r="D454" s="1">
        <v>46100.333333333336</v>
      </c>
      <c r="E454">
        <v>3718.9485725550776</v>
      </c>
      <c r="F454">
        <v>833.18407013858268</v>
      </c>
      <c r="G454">
        <v>6581.6432532680792</v>
      </c>
      <c r="H454" s="1">
        <v>46081.333333333336</v>
      </c>
    </row>
    <row r="455" spans="1:8" x14ac:dyDescent="0.25">
      <c r="A455" s="7">
        <f>DATE(YEAR(m1_crossvalid[[#This Row],[cutoff]]),MONTH(m1_crossvalid[[#This Row],[cutoff]]),DAY(m1_crossvalid[[#This Row],[cutoff]]))</f>
        <v>46081</v>
      </c>
      <c r="B455" s="7">
        <f>DATE(YEAR(m1_crossvalid[[#This Row],[ds]]),MONTH(m1_crossvalid[[#This Row],[ds]]),DAY(m1_crossvalid[[#This Row],[ds]]))</f>
        <v>46101</v>
      </c>
      <c r="C455">
        <v>61</v>
      </c>
      <c r="D455" s="1">
        <v>46101.333333333336</v>
      </c>
      <c r="E455">
        <v>3740.212139084234</v>
      </c>
      <c r="F455">
        <v>992.26762476315662</v>
      </c>
      <c r="G455">
        <v>6474.9711988067183</v>
      </c>
      <c r="H455" s="1">
        <v>46081.333333333336</v>
      </c>
    </row>
    <row r="456" spans="1:8" x14ac:dyDescent="0.25">
      <c r="A456" s="7">
        <f>DATE(YEAR(m1_crossvalid[[#This Row],[cutoff]]),MONTH(m1_crossvalid[[#This Row],[cutoff]]),DAY(m1_crossvalid[[#This Row],[cutoff]]))</f>
        <v>46081</v>
      </c>
      <c r="B456" s="7">
        <f>DATE(YEAR(m1_crossvalid[[#This Row],[ds]]),MONTH(m1_crossvalid[[#This Row],[ds]]),DAY(m1_crossvalid[[#This Row],[ds]]))</f>
        <v>46102</v>
      </c>
      <c r="C456">
        <v>3</v>
      </c>
      <c r="D456" s="1">
        <v>46102.333333333336</v>
      </c>
      <c r="E456">
        <v>1454.2763060097047</v>
      </c>
      <c r="F456">
        <v>-1351.6156859523571</v>
      </c>
      <c r="G456">
        <v>4252.7440361872577</v>
      </c>
      <c r="H456" s="1">
        <v>46081.333333333336</v>
      </c>
    </row>
    <row r="457" spans="1:8" x14ac:dyDescent="0.25">
      <c r="A457" s="7">
        <f>DATE(YEAR(m1_crossvalid[[#This Row],[cutoff]]),MONTH(m1_crossvalid[[#This Row],[cutoff]]),DAY(m1_crossvalid[[#This Row],[cutoff]]))</f>
        <v>46081</v>
      </c>
      <c r="B457" s="7">
        <f>DATE(YEAR(m1_crossvalid[[#This Row],[ds]]),MONTH(m1_crossvalid[[#This Row],[ds]]),DAY(m1_crossvalid[[#This Row],[ds]]))</f>
        <v>46103</v>
      </c>
      <c r="C457">
        <v>6</v>
      </c>
      <c r="D457" s="1">
        <v>46103.333333333336</v>
      </c>
      <c r="E457">
        <v>769.87401695268954</v>
      </c>
      <c r="F457">
        <v>-1791.8937614197457</v>
      </c>
      <c r="G457">
        <v>3432.8863435570515</v>
      </c>
      <c r="H457" s="1">
        <v>46081.333333333336</v>
      </c>
    </row>
    <row r="458" spans="1:8" x14ac:dyDescent="0.25">
      <c r="A458" s="7">
        <f>DATE(YEAR(m1_crossvalid[[#This Row],[cutoff]]),MONTH(m1_crossvalid[[#This Row],[cutoff]]),DAY(m1_crossvalid[[#This Row],[cutoff]]))</f>
        <v>46081</v>
      </c>
      <c r="B458" s="7">
        <f>DATE(YEAR(m1_crossvalid[[#This Row],[ds]]),MONTH(m1_crossvalid[[#This Row],[ds]]),DAY(m1_crossvalid[[#This Row],[ds]]))</f>
        <v>46104</v>
      </c>
      <c r="C458">
        <v>23</v>
      </c>
      <c r="D458" s="1">
        <v>46104.333333333336</v>
      </c>
      <c r="E458">
        <v>3011.0297472012239</v>
      </c>
      <c r="F458">
        <v>256.01155435685877</v>
      </c>
      <c r="G458">
        <v>5792.6456667454322</v>
      </c>
      <c r="H458" s="1">
        <v>46081.333333333336</v>
      </c>
    </row>
    <row r="459" spans="1:8" x14ac:dyDescent="0.25">
      <c r="A459" s="7">
        <f>DATE(YEAR(m1_crossvalid[[#This Row],[cutoff]]),MONTH(m1_crossvalid[[#This Row],[cutoff]]),DAY(m1_crossvalid[[#This Row],[cutoff]]))</f>
        <v>46081</v>
      </c>
      <c r="B459" s="7">
        <f>DATE(YEAR(m1_crossvalid[[#This Row],[ds]]),MONTH(m1_crossvalid[[#This Row],[ds]]),DAY(m1_crossvalid[[#This Row],[ds]]))</f>
        <v>46105</v>
      </c>
      <c r="C459">
        <v>974</v>
      </c>
      <c r="D459" s="1">
        <v>46105.333333333336</v>
      </c>
      <c r="E459">
        <v>3501.4292598857628</v>
      </c>
      <c r="F459">
        <v>840.08695280000723</v>
      </c>
      <c r="G459">
        <v>6166.526297465567</v>
      </c>
      <c r="H459" s="1">
        <v>46081.333333333336</v>
      </c>
    </row>
    <row r="460" spans="1:8" x14ac:dyDescent="0.25">
      <c r="A460" s="7">
        <f>DATE(YEAR(m1_crossvalid[[#This Row],[cutoff]]),MONTH(m1_crossvalid[[#This Row],[cutoff]]),DAY(m1_crossvalid[[#This Row],[cutoff]]))</f>
        <v>46081</v>
      </c>
      <c r="B460" s="7">
        <f>DATE(YEAR(m1_crossvalid[[#This Row],[ds]]),MONTH(m1_crossvalid[[#This Row],[ds]]),DAY(m1_crossvalid[[#This Row],[ds]]))</f>
        <v>46106</v>
      </c>
      <c r="C460">
        <v>1752</v>
      </c>
      <c r="D460" s="1">
        <v>46106.333333333336</v>
      </c>
      <c r="E460">
        <v>3533.0571675937686</v>
      </c>
      <c r="F460">
        <v>820.85811881738903</v>
      </c>
      <c r="G460">
        <v>6348.3530246977862</v>
      </c>
      <c r="H460" s="1">
        <v>46081.333333333336</v>
      </c>
    </row>
    <row r="461" spans="1:8" x14ac:dyDescent="0.25">
      <c r="A461" s="7">
        <f>DATE(YEAR(m1_crossvalid[[#This Row],[cutoff]]),MONTH(m1_crossvalid[[#This Row],[cutoff]]),DAY(m1_crossvalid[[#This Row],[cutoff]]))</f>
        <v>46081</v>
      </c>
      <c r="B461" s="7">
        <f>DATE(YEAR(m1_crossvalid[[#This Row],[ds]]),MONTH(m1_crossvalid[[#This Row],[ds]]),DAY(m1_crossvalid[[#This Row],[ds]]))</f>
        <v>46107</v>
      </c>
      <c r="C461">
        <v>2884</v>
      </c>
      <c r="D461" s="1">
        <v>46107.333333333336</v>
      </c>
      <c r="E461">
        <v>3505.6731415817435</v>
      </c>
      <c r="F461">
        <v>873.72805830354537</v>
      </c>
      <c r="G461">
        <v>6057.8055084561583</v>
      </c>
      <c r="H461" s="1">
        <v>46081.333333333336</v>
      </c>
    </row>
    <row r="462" spans="1:8" x14ac:dyDescent="0.25">
      <c r="A462" s="7">
        <f>DATE(YEAR(m1_crossvalid[[#This Row],[cutoff]]),MONTH(m1_crossvalid[[#This Row],[cutoff]]),DAY(m1_crossvalid[[#This Row],[cutoff]]))</f>
        <v>46081</v>
      </c>
      <c r="B462" s="7">
        <f>DATE(YEAR(m1_crossvalid[[#This Row],[ds]]),MONTH(m1_crossvalid[[#This Row],[ds]]),DAY(m1_crossvalid[[#This Row],[ds]]))</f>
        <v>46108</v>
      </c>
      <c r="C462">
        <v>3597</v>
      </c>
      <c r="D462" s="1">
        <v>46108.333333333336</v>
      </c>
      <c r="E462">
        <v>3534.2307729495897</v>
      </c>
      <c r="F462">
        <v>934.32246844292217</v>
      </c>
      <c r="G462">
        <v>6237.2496629012148</v>
      </c>
      <c r="H462" s="1">
        <v>46081.333333333336</v>
      </c>
    </row>
    <row r="463" spans="1:8" x14ac:dyDescent="0.25">
      <c r="A463" s="7">
        <f>DATE(YEAR(m1_crossvalid[[#This Row],[cutoff]]),MONTH(m1_crossvalid[[#This Row],[cutoff]]),DAY(m1_crossvalid[[#This Row],[cutoff]]))</f>
        <v>46081</v>
      </c>
      <c r="B463" s="7">
        <f>DATE(YEAR(m1_crossvalid[[#This Row],[ds]]),MONTH(m1_crossvalid[[#This Row],[ds]]),DAY(m1_crossvalid[[#This Row],[ds]]))</f>
        <v>46109</v>
      </c>
      <c r="C463">
        <v>1207</v>
      </c>
      <c r="D463" s="1">
        <v>46109.333333333336</v>
      </c>
      <c r="E463">
        <v>1258.4912794997551</v>
      </c>
      <c r="F463">
        <v>-1697.9983365367216</v>
      </c>
      <c r="G463">
        <v>3960.4453183728101</v>
      </c>
      <c r="H463" s="1">
        <v>46081.333333333336</v>
      </c>
    </row>
    <row r="464" spans="1:8" x14ac:dyDescent="0.25">
      <c r="A464" s="7">
        <f>DATE(YEAR(m1_crossvalid[[#This Row],[cutoff]]),MONTH(m1_crossvalid[[#This Row],[cutoff]]),DAY(m1_crossvalid[[#This Row],[cutoff]]))</f>
        <v>46081</v>
      </c>
      <c r="B464" s="7">
        <f>DATE(YEAR(m1_crossvalid[[#This Row],[ds]]),MONTH(m1_crossvalid[[#This Row],[ds]]),DAY(m1_crossvalid[[#This Row],[ds]]))</f>
        <v>46110</v>
      </c>
      <c r="C464">
        <v>183</v>
      </c>
      <c r="D464" s="1">
        <v>46110.333333333336</v>
      </c>
      <c r="E464">
        <v>586.62372847186771</v>
      </c>
      <c r="F464">
        <v>-2095.3659708764762</v>
      </c>
      <c r="G464">
        <v>3200.9901704464801</v>
      </c>
      <c r="H464" s="1">
        <v>46081.333333333336</v>
      </c>
    </row>
    <row r="465" spans="1:8" x14ac:dyDescent="0.25">
      <c r="A465" s="7">
        <f>DATE(YEAR(m1_crossvalid[[#This Row],[cutoff]]),MONTH(m1_crossvalid[[#This Row],[cutoff]]),DAY(m1_crossvalid[[#This Row],[cutoff]]))</f>
        <v>46081</v>
      </c>
      <c r="B465" s="7">
        <f>DATE(YEAR(m1_crossvalid[[#This Row],[ds]]),MONTH(m1_crossvalid[[#This Row],[ds]]),DAY(m1_crossvalid[[#This Row],[ds]]))</f>
        <v>46111</v>
      </c>
      <c r="C465">
        <v>4959</v>
      </c>
      <c r="D465" s="1">
        <v>46111.333333333336</v>
      </c>
      <c r="E465">
        <v>2842.0473930102007</v>
      </c>
      <c r="F465">
        <v>-78.597762583579382</v>
      </c>
      <c r="G465">
        <v>5553.726481042374</v>
      </c>
      <c r="H465" s="1">
        <v>46081.333333333336</v>
      </c>
    </row>
    <row r="466" spans="1:8" x14ac:dyDescent="0.25">
      <c r="A466" s="7">
        <f>DATE(YEAR(m1_crossvalid[[#This Row],[cutoff]]),MONTH(m1_crossvalid[[#This Row],[cutoff]]),DAY(m1_crossvalid[[#This Row],[cutoff]]))</f>
        <v>46081</v>
      </c>
      <c r="B466" s="7">
        <f>DATE(YEAR(m1_crossvalid[[#This Row],[ds]]),MONTH(m1_crossvalid[[#This Row],[ds]]),DAY(m1_crossvalid[[#This Row],[ds]]))</f>
        <v>46112</v>
      </c>
      <c r="C466">
        <v>13213</v>
      </c>
      <c r="D466" s="1">
        <v>46112.333333333336</v>
      </c>
      <c r="E466">
        <v>3347.8203488354889</v>
      </c>
      <c r="F466">
        <v>522.33847898927854</v>
      </c>
      <c r="G466">
        <v>6137.5297836190348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E697-4367-444E-BF49-F14B6AD61B48}">
  <dimension ref="A1:H466"/>
  <sheetViews>
    <sheetView workbookViewId="0"/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DATE(YEAR(m2_crossvalid[[#This Row],[cutoff]]),MONTH(m2_crossvalid[[#This Row],[cutoff]]),DAY(m2_crossvalid[[#This Row],[cutoff]]))</f>
        <v>45657</v>
      </c>
      <c r="B2" s="7">
        <f>DATE(YEAR(m2_crossvalid[[#This Row],[ds]]),MONTH(m2_crossvalid[[#This Row],[ds]]),DAY(m2_crossvalid[[#This Row],[ds]]))</f>
        <v>45658</v>
      </c>
      <c r="C2">
        <v>90</v>
      </c>
      <c r="D2" s="1">
        <v>45658.333333333336</v>
      </c>
      <c r="E2">
        <v>4095.5033909017252</v>
      </c>
      <c r="F2">
        <v>2330.0182549051365</v>
      </c>
      <c r="G2">
        <v>5871.176264310634</v>
      </c>
      <c r="H2" s="1">
        <v>45657.333333333336</v>
      </c>
    </row>
    <row r="3" spans="1:8" x14ac:dyDescent="0.25">
      <c r="A3" s="7">
        <f>DATE(YEAR(m2_crossvalid[[#This Row],[cutoff]]),MONTH(m2_crossvalid[[#This Row],[cutoff]]),DAY(m2_crossvalid[[#This Row],[cutoff]]))</f>
        <v>45657</v>
      </c>
      <c r="B3" s="7">
        <f>DATE(YEAR(m2_crossvalid[[#This Row],[ds]]),MONTH(m2_crossvalid[[#This Row],[ds]]),DAY(m2_crossvalid[[#This Row],[ds]]))</f>
        <v>45659</v>
      </c>
      <c r="C3">
        <v>541</v>
      </c>
      <c r="D3" s="1">
        <v>45659.333333333336</v>
      </c>
      <c r="E3">
        <v>2253.1822027252265</v>
      </c>
      <c r="F3">
        <v>387.13500132968181</v>
      </c>
      <c r="G3">
        <v>4087.8674139466093</v>
      </c>
      <c r="H3" s="1">
        <v>45657.333333333336</v>
      </c>
    </row>
    <row r="4" spans="1:8" x14ac:dyDescent="0.25">
      <c r="A4" s="7">
        <f>DATE(YEAR(m2_crossvalid[[#This Row],[cutoff]]),MONTH(m2_crossvalid[[#This Row],[cutoff]]),DAY(m2_crossvalid[[#This Row],[cutoff]]))</f>
        <v>45657</v>
      </c>
      <c r="B4" s="7">
        <f>DATE(YEAR(m2_crossvalid[[#This Row],[ds]]),MONTH(m2_crossvalid[[#This Row],[ds]]),DAY(m2_crossvalid[[#This Row],[ds]]))</f>
        <v>45660</v>
      </c>
      <c r="C4">
        <v>563</v>
      </c>
      <c r="D4" s="1">
        <v>45660.333333333336</v>
      </c>
      <c r="E4">
        <v>1152.5289199198837</v>
      </c>
      <c r="F4">
        <v>-744.44697056659288</v>
      </c>
      <c r="G4">
        <v>2914.8819284352371</v>
      </c>
      <c r="H4" s="1">
        <v>45657.333333333336</v>
      </c>
    </row>
    <row r="5" spans="1:8" x14ac:dyDescent="0.25">
      <c r="A5" s="7">
        <f>DATE(YEAR(m2_crossvalid[[#This Row],[cutoff]]),MONTH(m2_crossvalid[[#This Row],[cutoff]]),DAY(m2_crossvalid[[#This Row],[cutoff]]))</f>
        <v>45657</v>
      </c>
      <c r="B5" s="7">
        <f>DATE(YEAR(m2_crossvalid[[#This Row],[ds]]),MONTH(m2_crossvalid[[#This Row],[ds]]),DAY(m2_crossvalid[[#This Row],[ds]]))</f>
        <v>45661</v>
      </c>
      <c r="C5">
        <v>42</v>
      </c>
      <c r="D5" s="1">
        <v>45661.333333333336</v>
      </c>
      <c r="E5">
        <v>-1043.5396808411192</v>
      </c>
      <c r="F5">
        <v>-2780.5169728097917</v>
      </c>
      <c r="G5">
        <v>721.07811566759312</v>
      </c>
      <c r="H5" s="1">
        <v>45657.333333333336</v>
      </c>
    </row>
    <row r="6" spans="1:8" x14ac:dyDescent="0.25">
      <c r="A6" s="7">
        <f>DATE(YEAR(m2_crossvalid[[#This Row],[cutoff]]),MONTH(m2_crossvalid[[#This Row],[cutoff]]),DAY(m2_crossvalid[[#This Row],[cutoff]]))</f>
        <v>45657</v>
      </c>
      <c r="B6" s="7">
        <f>DATE(YEAR(m2_crossvalid[[#This Row],[ds]]),MONTH(m2_crossvalid[[#This Row],[ds]]),DAY(m2_crossvalid[[#This Row],[ds]]))</f>
        <v>45662</v>
      </c>
      <c r="C6">
        <v>22</v>
      </c>
      <c r="D6" s="1">
        <v>45662.333333333336</v>
      </c>
      <c r="E6">
        <v>-1137.7022905128333</v>
      </c>
      <c r="F6">
        <v>-3044.9345955203376</v>
      </c>
      <c r="G6">
        <v>725.92607538024288</v>
      </c>
      <c r="H6" s="1">
        <v>45657.333333333336</v>
      </c>
    </row>
    <row r="7" spans="1:8" x14ac:dyDescent="0.25">
      <c r="A7" s="7">
        <f>DATE(YEAR(m2_crossvalid[[#This Row],[cutoff]]),MONTH(m2_crossvalid[[#This Row],[cutoff]]),DAY(m2_crossvalid[[#This Row],[cutoff]]))</f>
        <v>45657</v>
      </c>
      <c r="B7" s="7">
        <f>DATE(YEAR(m2_crossvalid[[#This Row],[ds]]),MONTH(m2_crossvalid[[#This Row],[ds]]),DAY(m2_crossvalid[[#This Row],[ds]]))</f>
        <v>45663</v>
      </c>
      <c r="C7">
        <v>533</v>
      </c>
      <c r="D7" s="1">
        <v>45663.333333333336</v>
      </c>
      <c r="E7">
        <v>1504.4046573050393</v>
      </c>
      <c r="F7">
        <v>-245.28388389210966</v>
      </c>
      <c r="G7">
        <v>3364.1581575251603</v>
      </c>
      <c r="H7" s="1">
        <v>45657.333333333336</v>
      </c>
    </row>
    <row r="8" spans="1:8" x14ac:dyDescent="0.25">
      <c r="A8" s="7">
        <f>DATE(YEAR(m2_crossvalid[[#This Row],[cutoff]]),MONTH(m2_crossvalid[[#This Row],[cutoff]]),DAY(m2_crossvalid[[#This Row],[cutoff]]))</f>
        <v>45657</v>
      </c>
      <c r="B8" s="7">
        <f>DATE(YEAR(m2_crossvalid[[#This Row],[ds]]),MONTH(m2_crossvalid[[#This Row],[ds]]),DAY(m2_crossvalid[[#This Row],[ds]]))</f>
        <v>45664</v>
      </c>
      <c r="C8">
        <v>712</v>
      </c>
      <c r="D8" s="1">
        <v>45664.333333333336</v>
      </c>
      <c r="E8">
        <v>2042.9504043321442</v>
      </c>
      <c r="F8">
        <v>210.48602040087351</v>
      </c>
      <c r="G8">
        <v>3807.3726249775127</v>
      </c>
      <c r="H8" s="1">
        <v>45657.333333333336</v>
      </c>
    </row>
    <row r="9" spans="1:8" x14ac:dyDescent="0.25">
      <c r="A9" s="7">
        <f>DATE(YEAR(m2_crossvalid[[#This Row],[cutoff]]),MONTH(m2_crossvalid[[#This Row],[cutoff]]),DAY(m2_crossvalid[[#This Row],[cutoff]]))</f>
        <v>45657</v>
      </c>
      <c r="B9" s="7">
        <f>DATE(YEAR(m2_crossvalid[[#This Row],[ds]]),MONTH(m2_crossvalid[[#This Row],[ds]]),DAY(m2_crossvalid[[#This Row],[ds]]))</f>
        <v>45665</v>
      </c>
      <c r="C9">
        <v>904</v>
      </c>
      <c r="D9" s="1">
        <v>45665.333333333336</v>
      </c>
      <c r="E9">
        <v>1850.130716913357</v>
      </c>
      <c r="F9">
        <v>31.221063114035097</v>
      </c>
      <c r="G9">
        <v>3631.1961842382293</v>
      </c>
      <c r="H9" s="1">
        <v>45657.333333333336</v>
      </c>
    </row>
    <row r="10" spans="1:8" x14ac:dyDescent="0.25">
      <c r="A10" s="7">
        <f>DATE(YEAR(m2_crossvalid[[#This Row],[cutoff]]),MONTH(m2_crossvalid[[#This Row],[cutoff]]),DAY(m2_crossvalid[[#This Row],[cutoff]]))</f>
        <v>45657</v>
      </c>
      <c r="B10" s="7">
        <f>DATE(YEAR(m2_crossvalid[[#This Row],[ds]]),MONTH(m2_crossvalid[[#This Row],[ds]]),DAY(m2_crossvalid[[#This Row],[ds]]))</f>
        <v>45666</v>
      </c>
      <c r="C10">
        <v>1135</v>
      </c>
      <c r="D10" s="1">
        <v>45666.333333333336</v>
      </c>
      <c r="E10">
        <v>1773.4087888378799</v>
      </c>
      <c r="F10">
        <v>-45.557152867026829</v>
      </c>
      <c r="G10">
        <v>3593.6833207970612</v>
      </c>
      <c r="H10" s="1">
        <v>45657.333333333336</v>
      </c>
    </row>
    <row r="11" spans="1:8" x14ac:dyDescent="0.25">
      <c r="A11" s="7">
        <f>DATE(YEAR(m2_crossvalid[[#This Row],[cutoff]]),MONTH(m2_crossvalid[[#This Row],[cutoff]]),DAY(m2_crossvalid[[#This Row],[cutoff]]))</f>
        <v>45657</v>
      </c>
      <c r="B11" s="7">
        <f>DATE(YEAR(m2_crossvalid[[#This Row],[ds]]),MONTH(m2_crossvalid[[#This Row],[ds]]),DAY(m2_crossvalid[[#This Row],[ds]]))</f>
        <v>45667</v>
      </c>
      <c r="C11">
        <v>1270</v>
      </c>
      <c r="D11" s="1">
        <v>45667.333333333336</v>
      </c>
      <c r="E11">
        <v>1814.021955223033</v>
      </c>
      <c r="F11">
        <v>-14.764779252737855</v>
      </c>
      <c r="G11">
        <v>3551.2881869659386</v>
      </c>
      <c r="H11" s="1">
        <v>45657.333333333336</v>
      </c>
    </row>
    <row r="12" spans="1:8" x14ac:dyDescent="0.25">
      <c r="A12" s="7">
        <f>DATE(YEAR(m2_crossvalid[[#This Row],[cutoff]]),MONTH(m2_crossvalid[[#This Row],[cutoff]]),DAY(m2_crossvalid[[#This Row],[cutoff]]))</f>
        <v>45657</v>
      </c>
      <c r="B12" s="7">
        <f>DATE(YEAR(m2_crossvalid[[#This Row],[ds]]),MONTH(m2_crossvalid[[#This Row],[ds]]),DAY(m2_crossvalid[[#This Row],[ds]]))</f>
        <v>45668</v>
      </c>
      <c r="C12">
        <v>203</v>
      </c>
      <c r="D12" s="1">
        <v>45668.333333333336</v>
      </c>
      <c r="E12">
        <v>-118.92957386588432</v>
      </c>
      <c r="F12">
        <v>-1953.0929834598796</v>
      </c>
      <c r="G12">
        <v>1761.0563889651644</v>
      </c>
      <c r="H12" s="1">
        <v>45657.333333333336</v>
      </c>
    </row>
    <row r="13" spans="1:8" x14ac:dyDescent="0.25">
      <c r="A13" s="7">
        <f>DATE(YEAR(m2_crossvalid[[#This Row],[cutoff]]),MONTH(m2_crossvalid[[#This Row],[cutoff]]),DAY(m2_crossvalid[[#This Row],[cutoff]]))</f>
        <v>45657</v>
      </c>
      <c r="B13" s="7">
        <f>DATE(YEAR(m2_crossvalid[[#This Row],[ds]]),MONTH(m2_crossvalid[[#This Row],[ds]]),DAY(m2_crossvalid[[#This Row],[ds]]))</f>
        <v>45669</v>
      </c>
      <c r="C13">
        <v>41</v>
      </c>
      <c r="D13" s="1">
        <v>45669.333333333336</v>
      </c>
      <c r="E13">
        <v>-554.21470405499986</v>
      </c>
      <c r="F13">
        <v>-2315.7924645788521</v>
      </c>
      <c r="G13">
        <v>1399.4780130252502</v>
      </c>
      <c r="H13" s="1">
        <v>45657.333333333336</v>
      </c>
    </row>
    <row r="14" spans="1:8" x14ac:dyDescent="0.25">
      <c r="A14" s="7">
        <f>DATE(YEAR(m2_crossvalid[[#This Row],[cutoff]]),MONTH(m2_crossvalid[[#This Row],[cutoff]]),DAY(m2_crossvalid[[#This Row],[cutoff]]))</f>
        <v>45657</v>
      </c>
      <c r="B14" s="7">
        <f>DATE(YEAR(m2_crossvalid[[#This Row],[ds]]),MONTH(m2_crossvalid[[#This Row],[ds]]),DAY(m2_crossvalid[[#This Row],[ds]]))</f>
        <v>45670</v>
      </c>
      <c r="C14">
        <v>1313</v>
      </c>
      <c r="D14" s="1">
        <v>45670.333333333336</v>
      </c>
      <c r="E14">
        <v>1704.7967551216489</v>
      </c>
      <c r="F14">
        <v>-284.43761152493147</v>
      </c>
      <c r="G14">
        <v>3506.8177562745309</v>
      </c>
      <c r="H14" s="1">
        <v>45657.333333333336</v>
      </c>
    </row>
    <row r="15" spans="1:8" x14ac:dyDescent="0.25">
      <c r="A15" s="7">
        <f>DATE(YEAR(m2_crossvalid[[#This Row],[cutoff]]),MONTH(m2_crossvalid[[#This Row],[cutoff]]),DAY(m2_crossvalid[[#This Row],[cutoff]]))</f>
        <v>45657</v>
      </c>
      <c r="B15" s="7">
        <f>DATE(YEAR(m2_crossvalid[[#This Row],[ds]]),MONTH(m2_crossvalid[[#This Row],[ds]]),DAY(m2_crossvalid[[#This Row],[ds]]))</f>
        <v>45671</v>
      </c>
      <c r="C15">
        <v>1609</v>
      </c>
      <c r="D15" s="1">
        <v>45671.333333333336</v>
      </c>
      <c r="E15">
        <v>2224.0888750835525</v>
      </c>
      <c r="F15">
        <v>386.59320891832004</v>
      </c>
      <c r="G15">
        <v>4145.5201961416597</v>
      </c>
      <c r="H15" s="1">
        <v>45657.333333333336</v>
      </c>
    </row>
    <row r="16" spans="1:8" x14ac:dyDescent="0.25">
      <c r="A16" s="7">
        <f>DATE(YEAR(m2_crossvalid[[#This Row],[cutoff]]),MONTH(m2_crossvalid[[#This Row],[cutoff]]),DAY(m2_crossvalid[[#This Row],[cutoff]]))</f>
        <v>45657</v>
      </c>
      <c r="B16" s="7">
        <f>DATE(YEAR(m2_crossvalid[[#This Row],[ds]]),MONTH(m2_crossvalid[[#This Row],[ds]]),DAY(m2_crossvalid[[#This Row],[ds]]))</f>
        <v>45672</v>
      </c>
      <c r="C16">
        <v>2010</v>
      </c>
      <c r="D16" s="1">
        <v>45672.333333333336</v>
      </c>
      <c r="E16">
        <v>2347.683265517971</v>
      </c>
      <c r="F16">
        <v>378.6009415039548</v>
      </c>
      <c r="G16">
        <v>4059.6653852277177</v>
      </c>
      <c r="H16" s="1">
        <v>45657.333333333336</v>
      </c>
    </row>
    <row r="17" spans="1:8" x14ac:dyDescent="0.25">
      <c r="A17" s="7">
        <f>DATE(YEAR(m2_crossvalid[[#This Row],[cutoff]]),MONTH(m2_crossvalid[[#This Row],[cutoff]]),DAY(m2_crossvalid[[#This Row],[cutoff]]))</f>
        <v>45657</v>
      </c>
      <c r="B17" s="7">
        <f>DATE(YEAR(m2_crossvalid[[#This Row],[ds]]),MONTH(m2_crossvalid[[#This Row],[ds]]),DAY(m2_crossvalid[[#This Row],[ds]]))</f>
        <v>45673</v>
      </c>
      <c r="C17">
        <v>2206</v>
      </c>
      <c r="D17" s="1">
        <v>45673.333333333336</v>
      </c>
      <c r="E17">
        <v>2574.6011894259459</v>
      </c>
      <c r="F17">
        <v>786.27168844105472</v>
      </c>
      <c r="G17">
        <v>4477.5291279684425</v>
      </c>
      <c r="H17" s="1">
        <v>45657.333333333336</v>
      </c>
    </row>
    <row r="18" spans="1:8" x14ac:dyDescent="0.25">
      <c r="A18" s="7">
        <f>DATE(YEAR(m2_crossvalid[[#This Row],[cutoff]]),MONTH(m2_crossvalid[[#This Row],[cutoff]]),DAY(m2_crossvalid[[#This Row],[cutoff]]))</f>
        <v>45657</v>
      </c>
      <c r="B18" s="7">
        <f>DATE(YEAR(m2_crossvalid[[#This Row],[ds]]),MONTH(m2_crossvalid[[#This Row],[ds]]),DAY(m2_crossvalid[[#This Row],[ds]]))</f>
        <v>45674</v>
      </c>
      <c r="C18">
        <v>2291</v>
      </c>
      <c r="D18" s="1">
        <v>45674.333333333336</v>
      </c>
      <c r="E18">
        <v>2613.9620730551978</v>
      </c>
      <c r="F18">
        <v>676.67961055777153</v>
      </c>
      <c r="G18">
        <v>4399.2117091508599</v>
      </c>
      <c r="H18" s="1">
        <v>45657.333333333336</v>
      </c>
    </row>
    <row r="19" spans="1:8" x14ac:dyDescent="0.25">
      <c r="A19" s="7">
        <f>DATE(YEAR(m2_crossvalid[[#This Row],[cutoff]]),MONTH(m2_crossvalid[[#This Row],[cutoff]]),DAY(m2_crossvalid[[#This Row],[cutoff]]))</f>
        <v>45657</v>
      </c>
      <c r="B19" s="7">
        <f>DATE(YEAR(m2_crossvalid[[#This Row],[ds]]),MONTH(m2_crossvalid[[#This Row],[ds]]),DAY(m2_crossvalid[[#This Row],[ds]]))</f>
        <v>45675</v>
      </c>
      <c r="C19">
        <v>401</v>
      </c>
      <c r="D19" s="1">
        <v>45675.333333333336</v>
      </c>
      <c r="E19">
        <v>419.73604180321718</v>
      </c>
      <c r="F19">
        <v>-1410.0992313512511</v>
      </c>
      <c r="G19">
        <v>2394.7319193985891</v>
      </c>
      <c r="H19" s="1">
        <v>45657.333333333336</v>
      </c>
    </row>
    <row r="20" spans="1:8" x14ac:dyDescent="0.25">
      <c r="A20" s="7">
        <f>DATE(YEAR(m2_crossvalid[[#This Row],[cutoff]]),MONTH(m2_crossvalid[[#This Row],[cutoff]]),DAY(m2_crossvalid[[#This Row],[cutoff]]))</f>
        <v>45657</v>
      </c>
      <c r="B20" s="7">
        <f>DATE(YEAR(m2_crossvalid[[#This Row],[ds]]),MONTH(m2_crossvalid[[#This Row],[ds]]),DAY(m2_crossvalid[[#This Row],[ds]]))</f>
        <v>45676</v>
      </c>
      <c r="C20">
        <v>129</v>
      </c>
      <c r="D20" s="1">
        <v>45676.333333333336</v>
      </c>
      <c r="E20">
        <v>-223.62091022500499</v>
      </c>
      <c r="F20">
        <v>-1977.700550363734</v>
      </c>
      <c r="G20">
        <v>1624.3991381222174</v>
      </c>
      <c r="H20" s="1">
        <v>45657.333333333336</v>
      </c>
    </row>
    <row r="21" spans="1:8" x14ac:dyDescent="0.25">
      <c r="A21" s="7">
        <f>DATE(YEAR(m2_crossvalid[[#This Row],[cutoff]]),MONTH(m2_crossvalid[[#This Row],[cutoff]]),DAY(m2_crossvalid[[#This Row],[cutoff]]))</f>
        <v>45657</v>
      </c>
      <c r="B21" s="7">
        <f>DATE(YEAR(m2_crossvalid[[#This Row],[ds]]),MONTH(m2_crossvalid[[#This Row],[ds]]),DAY(m2_crossvalid[[#This Row],[ds]]))</f>
        <v>45677</v>
      </c>
      <c r="C21">
        <v>2385</v>
      </c>
      <c r="D21" s="1">
        <v>45677.333333333336</v>
      </c>
      <c r="E21">
        <v>2129.9825421488476</v>
      </c>
      <c r="F21">
        <v>390.26582711555506</v>
      </c>
      <c r="G21">
        <v>4011.322598735173</v>
      </c>
      <c r="H21" s="1">
        <v>45657.333333333336</v>
      </c>
    </row>
    <row r="22" spans="1:8" x14ac:dyDescent="0.25">
      <c r="A22" s="7">
        <f>DATE(YEAR(m2_crossvalid[[#This Row],[cutoff]]),MONTH(m2_crossvalid[[#This Row],[cutoff]]),DAY(m2_crossvalid[[#This Row],[cutoff]]))</f>
        <v>45657</v>
      </c>
      <c r="B22" s="7">
        <f>DATE(YEAR(m2_crossvalid[[#This Row],[ds]]),MONTH(m2_crossvalid[[#This Row],[ds]]),DAY(m2_crossvalid[[#This Row],[ds]]))</f>
        <v>45678</v>
      </c>
      <c r="C22">
        <v>3051</v>
      </c>
      <c r="D22" s="1">
        <v>45678.333333333336</v>
      </c>
      <c r="E22">
        <v>2972.7507809461567</v>
      </c>
      <c r="F22">
        <v>1205.945966722755</v>
      </c>
      <c r="G22">
        <v>4864.9571641432485</v>
      </c>
      <c r="H22" s="1">
        <v>45657.333333333336</v>
      </c>
    </row>
    <row r="23" spans="1:8" x14ac:dyDescent="0.25">
      <c r="A23" s="7">
        <f>DATE(YEAR(m2_crossvalid[[#This Row],[cutoff]]),MONTH(m2_crossvalid[[#This Row],[cutoff]]),DAY(m2_crossvalid[[#This Row],[cutoff]]))</f>
        <v>45657</v>
      </c>
      <c r="B23" s="7">
        <f>DATE(YEAR(m2_crossvalid[[#This Row],[ds]]),MONTH(m2_crossvalid[[#This Row],[ds]]),DAY(m2_crossvalid[[#This Row],[ds]]))</f>
        <v>45679</v>
      </c>
      <c r="C23">
        <v>2878</v>
      </c>
      <c r="D23" s="1">
        <v>45679.333333333336</v>
      </c>
      <c r="E23">
        <v>3325.4906736273256</v>
      </c>
      <c r="F23">
        <v>1450.5570430259461</v>
      </c>
      <c r="G23">
        <v>5094.5778206178275</v>
      </c>
      <c r="H23" s="1">
        <v>45657.333333333336</v>
      </c>
    </row>
    <row r="24" spans="1:8" x14ac:dyDescent="0.25">
      <c r="A24" s="7">
        <f>DATE(YEAR(m2_crossvalid[[#This Row],[cutoff]]),MONTH(m2_crossvalid[[#This Row],[cutoff]]),DAY(m2_crossvalid[[#This Row],[cutoff]]))</f>
        <v>45657</v>
      </c>
      <c r="B24" s="7">
        <f>DATE(YEAR(m2_crossvalid[[#This Row],[ds]]),MONTH(m2_crossvalid[[#This Row],[ds]]),DAY(m2_crossvalid[[#This Row],[ds]]))</f>
        <v>45680</v>
      </c>
      <c r="C24">
        <v>4853</v>
      </c>
      <c r="D24" s="1">
        <v>45680.333333333336</v>
      </c>
      <c r="E24">
        <v>3454.9862376086962</v>
      </c>
      <c r="F24">
        <v>1469.7782856084966</v>
      </c>
      <c r="G24">
        <v>5192.4962914192802</v>
      </c>
      <c r="H24" s="1">
        <v>45657.333333333336</v>
      </c>
    </row>
    <row r="25" spans="1:8" x14ac:dyDescent="0.25">
      <c r="A25" s="7">
        <f>DATE(YEAR(m2_crossvalid[[#This Row],[cutoff]]),MONTH(m2_crossvalid[[#This Row],[cutoff]]),DAY(m2_crossvalid[[#This Row],[cutoff]]))</f>
        <v>45657</v>
      </c>
      <c r="B25" s="7">
        <f>DATE(YEAR(m2_crossvalid[[#This Row],[ds]]),MONTH(m2_crossvalid[[#This Row],[ds]]),DAY(m2_crossvalid[[#This Row],[ds]]))</f>
        <v>45681</v>
      </c>
      <c r="C25">
        <v>5202</v>
      </c>
      <c r="D25" s="1">
        <v>45681.333333333336</v>
      </c>
      <c r="E25">
        <v>3204.2037336469184</v>
      </c>
      <c r="F25">
        <v>1367.1797522894076</v>
      </c>
      <c r="G25">
        <v>4971.6809178360545</v>
      </c>
      <c r="H25" s="1">
        <v>45657.333333333336</v>
      </c>
    </row>
    <row r="26" spans="1:8" x14ac:dyDescent="0.25">
      <c r="A26" s="7">
        <f>DATE(YEAR(m2_crossvalid[[#This Row],[cutoff]]),MONTH(m2_crossvalid[[#This Row],[cutoff]]),DAY(m2_crossvalid[[#This Row],[cutoff]]))</f>
        <v>45657</v>
      </c>
      <c r="B26" s="7">
        <f>DATE(YEAR(m2_crossvalid[[#This Row],[ds]]),MONTH(m2_crossvalid[[#This Row],[ds]]),DAY(m2_crossvalid[[#This Row],[ds]]))</f>
        <v>45682</v>
      </c>
      <c r="C26">
        <v>1624</v>
      </c>
      <c r="D26" s="1">
        <v>45682.333333333336</v>
      </c>
      <c r="E26">
        <v>956.25845510894214</v>
      </c>
      <c r="F26">
        <v>-778.62283601386287</v>
      </c>
      <c r="G26">
        <v>2891.388000634824</v>
      </c>
      <c r="H26" s="1">
        <v>45657.333333333336</v>
      </c>
    </row>
    <row r="27" spans="1:8" x14ac:dyDescent="0.25">
      <c r="A27" s="7">
        <f>DATE(YEAR(m2_crossvalid[[#This Row],[cutoff]]),MONTH(m2_crossvalid[[#This Row],[cutoff]]),DAY(m2_crossvalid[[#This Row],[cutoff]]))</f>
        <v>45657</v>
      </c>
      <c r="B27" s="7">
        <f>DATE(YEAR(m2_crossvalid[[#This Row],[ds]]),MONTH(m2_crossvalid[[#This Row],[ds]]),DAY(m2_crossvalid[[#This Row],[ds]]))</f>
        <v>45683</v>
      </c>
      <c r="C27">
        <v>454</v>
      </c>
      <c r="D27" s="1">
        <v>45683.333333333336</v>
      </c>
      <c r="E27">
        <v>843.948224989457</v>
      </c>
      <c r="F27">
        <v>-970.49660749625423</v>
      </c>
      <c r="G27">
        <v>2714.7565643866242</v>
      </c>
      <c r="H27" s="1">
        <v>45657.333333333336</v>
      </c>
    </row>
    <row r="28" spans="1:8" x14ac:dyDescent="0.25">
      <c r="A28" s="7">
        <f>DATE(YEAR(m2_crossvalid[[#This Row],[cutoff]]),MONTH(m2_crossvalid[[#This Row],[cutoff]]),DAY(m2_crossvalid[[#This Row],[cutoff]]))</f>
        <v>45657</v>
      </c>
      <c r="B28" s="7">
        <f>DATE(YEAR(m2_crossvalid[[#This Row],[ds]]),MONTH(m2_crossvalid[[#This Row],[ds]]),DAY(m2_crossvalid[[#This Row],[ds]]))</f>
        <v>45684</v>
      </c>
      <c r="C28">
        <v>5598</v>
      </c>
      <c r="D28" s="1">
        <v>45684.333333333336</v>
      </c>
      <c r="E28">
        <v>4228.898416779225</v>
      </c>
      <c r="F28">
        <v>2444.0735050778803</v>
      </c>
      <c r="G28">
        <v>6225.5986886704632</v>
      </c>
      <c r="H28" s="1">
        <v>45657.333333333336</v>
      </c>
    </row>
    <row r="29" spans="1:8" x14ac:dyDescent="0.25">
      <c r="A29" s="7">
        <f>DATE(YEAR(m2_crossvalid[[#This Row],[cutoff]]),MONTH(m2_crossvalid[[#This Row],[cutoff]]),DAY(m2_crossvalid[[#This Row],[cutoff]]))</f>
        <v>45657</v>
      </c>
      <c r="B29" s="7">
        <f>DATE(YEAR(m2_crossvalid[[#This Row],[ds]]),MONTH(m2_crossvalid[[#This Row],[ds]]),DAY(m2_crossvalid[[#This Row],[ds]]))</f>
        <v>45685</v>
      </c>
      <c r="C29">
        <v>5264</v>
      </c>
      <c r="D29" s="1">
        <v>45685.333333333336</v>
      </c>
      <c r="E29">
        <v>6074.0831433470885</v>
      </c>
      <c r="F29">
        <v>4158.0212134504636</v>
      </c>
      <c r="G29">
        <v>7944.9060380863593</v>
      </c>
      <c r="H29" s="1">
        <v>45657.333333333336</v>
      </c>
    </row>
    <row r="30" spans="1:8" x14ac:dyDescent="0.25">
      <c r="A30" s="7">
        <f>DATE(YEAR(m2_crossvalid[[#This Row],[cutoff]]),MONTH(m2_crossvalid[[#This Row],[cutoff]]),DAY(m2_crossvalid[[#This Row],[cutoff]]))</f>
        <v>45657</v>
      </c>
      <c r="B30" s="7">
        <f>DATE(YEAR(m2_crossvalid[[#This Row],[ds]]),MONTH(m2_crossvalid[[#This Row],[ds]]),DAY(m2_crossvalid[[#This Row],[ds]]))</f>
        <v>45686</v>
      </c>
      <c r="C30">
        <v>310</v>
      </c>
      <c r="D30" s="1">
        <v>45686.333333333336</v>
      </c>
      <c r="E30">
        <v>6770.4810663001954</v>
      </c>
      <c r="F30">
        <v>4846.9749464442166</v>
      </c>
      <c r="G30">
        <v>8789.5310013022608</v>
      </c>
      <c r="H30" s="1">
        <v>45657.333333333336</v>
      </c>
    </row>
    <row r="31" spans="1:8" x14ac:dyDescent="0.25">
      <c r="A31" s="7">
        <f>DATE(YEAR(m2_crossvalid[[#This Row],[cutoff]]),MONTH(m2_crossvalid[[#This Row],[cutoff]]),DAY(m2_crossvalid[[#This Row],[cutoff]]))</f>
        <v>45657</v>
      </c>
      <c r="B31" s="7">
        <f>DATE(YEAR(m2_crossvalid[[#This Row],[ds]]),MONTH(m2_crossvalid[[#This Row],[ds]]),DAY(m2_crossvalid[[#This Row],[ds]]))</f>
        <v>45687</v>
      </c>
      <c r="C31">
        <v>255</v>
      </c>
      <c r="D31" s="1">
        <v>45687.333333333336</v>
      </c>
      <c r="E31">
        <v>6265.7209302079791</v>
      </c>
      <c r="F31">
        <v>4366.3571746602511</v>
      </c>
      <c r="G31">
        <v>7990.2298339985045</v>
      </c>
      <c r="H31" s="1">
        <v>45657.333333333336</v>
      </c>
    </row>
    <row r="32" spans="1:8" x14ac:dyDescent="0.25">
      <c r="A32" s="7">
        <f>DATE(YEAR(m2_crossvalid[[#This Row],[cutoff]]),MONTH(m2_crossvalid[[#This Row],[cutoff]]),DAY(m2_crossvalid[[#This Row],[cutoff]]))</f>
        <v>45657</v>
      </c>
      <c r="B32" s="7">
        <f>DATE(YEAR(m2_crossvalid[[#This Row],[ds]]),MONTH(m2_crossvalid[[#This Row],[ds]]),DAY(m2_crossvalid[[#This Row],[ds]]))</f>
        <v>45688</v>
      </c>
      <c r="C32">
        <v>6041</v>
      </c>
      <c r="D32" s="1">
        <v>45688.333333333336</v>
      </c>
      <c r="E32">
        <v>4549.5164627562353</v>
      </c>
      <c r="F32">
        <v>2702.63521352517</v>
      </c>
      <c r="G32">
        <v>6339.0398085750339</v>
      </c>
      <c r="H32" s="1">
        <v>45657.333333333336</v>
      </c>
    </row>
    <row r="33" spans="1:8" x14ac:dyDescent="0.25">
      <c r="A33" s="7">
        <f>DATE(YEAR(m2_crossvalid[[#This Row],[cutoff]]),MONTH(m2_crossvalid[[#This Row],[cutoff]]),DAY(m2_crossvalid[[#This Row],[cutoff]]))</f>
        <v>45688</v>
      </c>
      <c r="B33" s="7">
        <f>DATE(YEAR(m2_crossvalid[[#This Row],[ds]]),MONTH(m2_crossvalid[[#This Row],[ds]]),DAY(m2_crossvalid[[#This Row],[ds]]))</f>
        <v>45689</v>
      </c>
      <c r="C33">
        <v>47</v>
      </c>
      <c r="D33" s="1">
        <v>45689.333333333336</v>
      </c>
      <c r="E33">
        <v>215.37855731051604</v>
      </c>
      <c r="F33">
        <v>-1608.2799813817842</v>
      </c>
      <c r="G33">
        <v>2153.9921207380985</v>
      </c>
      <c r="H33" s="1">
        <v>45688.333333333336</v>
      </c>
    </row>
    <row r="34" spans="1:8" x14ac:dyDescent="0.25">
      <c r="A34" s="7">
        <f>DATE(YEAR(m2_crossvalid[[#This Row],[cutoff]]),MONTH(m2_crossvalid[[#This Row],[cutoff]]),DAY(m2_crossvalid[[#This Row],[cutoff]]))</f>
        <v>45688</v>
      </c>
      <c r="B34" s="7">
        <f>DATE(YEAR(m2_crossvalid[[#This Row],[ds]]),MONTH(m2_crossvalid[[#This Row],[ds]]),DAY(m2_crossvalid[[#This Row],[ds]]))</f>
        <v>45690</v>
      </c>
      <c r="C34">
        <v>14</v>
      </c>
      <c r="D34" s="1">
        <v>45690.333333333336</v>
      </c>
      <c r="E34">
        <v>-1666.2479859808827</v>
      </c>
      <c r="F34">
        <v>-3604.5775220535229</v>
      </c>
      <c r="G34">
        <v>193.94677781742087</v>
      </c>
      <c r="H34" s="1">
        <v>45688.333333333336</v>
      </c>
    </row>
    <row r="35" spans="1:8" x14ac:dyDescent="0.25">
      <c r="A35" s="7">
        <f>DATE(YEAR(m2_crossvalid[[#This Row],[cutoff]]),MONTH(m2_crossvalid[[#This Row],[cutoff]]),DAY(m2_crossvalid[[#This Row],[cutoff]]))</f>
        <v>45688</v>
      </c>
      <c r="B35" s="7">
        <f>DATE(YEAR(m2_crossvalid[[#This Row],[ds]]),MONTH(m2_crossvalid[[#This Row],[ds]]),DAY(m2_crossvalid[[#This Row],[ds]]))</f>
        <v>45691</v>
      </c>
      <c r="C35">
        <v>454</v>
      </c>
      <c r="D35" s="1">
        <v>45691.333333333336</v>
      </c>
      <c r="E35">
        <v>259.59027676724781</v>
      </c>
      <c r="F35">
        <v>-1676.1597972253164</v>
      </c>
      <c r="G35">
        <v>2047.1266192992862</v>
      </c>
      <c r="H35" s="1">
        <v>45688.333333333336</v>
      </c>
    </row>
    <row r="36" spans="1:8" x14ac:dyDescent="0.25">
      <c r="A36" s="7">
        <f>DATE(YEAR(m2_crossvalid[[#This Row],[cutoff]]),MONTH(m2_crossvalid[[#This Row],[cutoff]]),DAY(m2_crossvalid[[#This Row],[cutoff]]))</f>
        <v>45688</v>
      </c>
      <c r="B36" s="7">
        <f>DATE(YEAR(m2_crossvalid[[#This Row],[ds]]),MONTH(m2_crossvalid[[#This Row],[ds]]),DAY(m2_crossvalid[[#This Row],[ds]]))</f>
        <v>45692</v>
      </c>
      <c r="C36">
        <v>626</v>
      </c>
      <c r="D36" s="1">
        <v>45692.333333333336</v>
      </c>
      <c r="E36">
        <v>1149.8906693501954</v>
      </c>
      <c r="F36">
        <v>-604.26206919315928</v>
      </c>
      <c r="G36">
        <v>3162.2166950772548</v>
      </c>
      <c r="H36" s="1">
        <v>45688.333333333336</v>
      </c>
    </row>
    <row r="37" spans="1:8" x14ac:dyDescent="0.25">
      <c r="A37" s="7">
        <f>DATE(YEAR(m2_crossvalid[[#This Row],[cutoff]]),MONTH(m2_crossvalid[[#This Row],[cutoff]]),DAY(m2_crossvalid[[#This Row],[cutoff]]))</f>
        <v>45688</v>
      </c>
      <c r="B37" s="7">
        <f>DATE(YEAR(m2_crossvalid[[#This Row],[ds]]),MONTH(m2_crossvalid[[#This Row],[ds]]),DAY(m2_crossvalid[[#This Row],[ds]]))</f>
        <v>45693</v>
      </c>
      <c r="C37">
        <v>886</v>
      </c>
      <c r="D37" s="1">
        <v>45693.333333333336</v>
      </c>
      <c r="E37">
        <v>1575.0486238137992</v>
      </c>
      <c r="F37">
        <v>-65.597396098312458</v>
      </c>
      <c r="G37">
        <v>3484.0881487788442</v>
      </c>
      <c r="H37" s="1">
        <v>45688.333333333336</v>
      </c>
    </row>
    <row r="38" spans="1:8" x14ac:dyDescent="0.25">
      <c r="A38" s="7">
        <f>DATE(YEAR(m2_crossvalid[[#This Row],[cutoff]]),MONTH(m2_crossvalid[[#This Row],[cutoff]]),DAY(m2_crossvalid[[#This Row],[cutoff]]))</f>
        <v>45688</v>
      </c>
      <c r="B38" s="7">
        <f>DATE(YEAR(m2_crossvalid[[#This Row],[ds]]),MONTH(m2_crossvalid[[#This Row],[ds]]),DAY(m2_crossvalid[[#This Row],[ds]]))</f>
        <v>45694</v>
      </c>
      <c r="C38">
        <v>1159</v>
      </c>
      <c r="D38" s="1">
        <v>45694.333333333336</v>
      </c>
      <c r="E38">
        <v>1785.5263248192532</v>
      </c>
      <c r="F38">
        <v>-100.54119346614416</v>
      </c>
      <c r="G38">
        <v>3621.7140064868631</v>
      </c>
      <c r="H38" s="1">
        <v>45688.333333333336</v>
      </c>
    </row>
    <row r="39" spans="1:8" x14ac:dyDescent="0.25">
      <c r="A39" s="7">
        <f>DATE(YEAR(m2_crossvalid[[#This Row],[cutoff]]),MONTH(m2_crossvalid[[#This Row],[cutoff]]),DAY(m2_crossvalid[[#This Row],[cutoff]]))</f>
        <v>45688</v>
      </c>
      <c r="B39" s="7">
        <f>DATE(YEAR(m2_crossvalid[[#This Row],[ds]]),MONTH(m2_crossvalid[[#This Row],[ds]]),DAY(m2_crossvalid[[#This Row],[ds]]))</f>
        <v>45695</v>
      </c>
      <c r="C39">
        <v>1342</v>
      </c>
      <c r="D39" s="1">
        <v>45695.333333333336</v>
      </c>
      <c r="E39">
        <v>1623.5353227233907</v>
      </c>
      <c r="F39">
        <v>-293.09262768307605</v>
      </c>
      <c r="G39">
        <v>3528.5391669939318</v>
      </c>
      <c r="H39" s="1">
        <v>45688.333333333336</v>
      </c>
    </row>
    <row r="40" spans="1:8" x14ac:dyDescent="0.25">
      <c r="A40" s="7">
        <f>DATE(YEAR(m2_crossvalid[[#This Row],[cutoff]]),MONTH(m2_crossvalid[[#This Row],[cutoff]]),DAY(m2_crossvalid[[#This Row],[cutoff]]))</f>
        <v>45688</v>
      </c>
      <c r="B40" s="7">
        <f>DATE(YEAR(m2_crossvalid[[#This Row],[ds]]),MONTH(m2_crossvalid[[#This Row],[ds]]),DAY(m2_crossvalid[[#This Row],[ds]]))</f>
        <v>45696</v>
      </c>
      <c r="C40">
        <v>301</v>
      </c>
      <c r="D40" s="1">
        <v>45696.333333333336</v>
      </c>
      <c r="E40">
        <v>-638.24871820399949</v>
      </c>
      <c r="F40">
        <v>-2395.3170270027804</v>
      </c>
      <c r="G40">
        <v>1100.7495352684198</v>
      </c>
      <c r="H40" s="1">
        <v>45688.333333333336</v>
      </c>
    </row>
    <row r="41" spans="1:8" x14ac:dyDescent="0.25">
      <c r="A41" s="7">
        <f>DATE(YEAR(m2_crossvalid[[#This Row],[cutoff]]),MONTH(m2_crossvalid[[#This Row],[cutoff]]),DAY(m2_crossvalid[[#This Row],[cutoff]]))</f>
        <v>45688</v>
      </c>
      <c r="B41" s="7">
        <f>DATE(YEAR(m2_crossvalid[[#This Row],[ds]]),MONTH(m2_crossvalid[[#This Row],[ds]]),DAY(m2_crossvalid[[#This Row],[ds]]))</f>
        <v>45697</v>
      </c>
      <c r="C41">
        <v>54</v>
      </c>
      <c r="D41" s="1">
        <v>45697.333333333336</v>
      </c>
      <c r="E41">
        <v>-1047.8326441880458</v>
      </c>
      <c r="F41">
        <v>-2939.9128967567349</v>
      </c>
      <c r="G41">
        <v>800.07823765426383</v>
      </c>
      <c r="H41" s="1">
        <v>45688.333333333336</v>
      </c>
    </row>
    <row r="42" spans="1:8" x14ac:dyDescent="0.25">
      <c r="A42" s="7">
        <f>DATE(YEAR(m2_crossvalid[[#This Row],[cutoff]]),MONTH(m2_crossvalid[[#This Row],[cutoff]]),DAY(m2_crossvalid[[#This Row],[cutoff]]))</f>
        <v>45688</v>
      </c>
      <c r="B42" s="7">
        <f>DATE(YEAR(m2_crossvalid[[#This Row],[ds]]),MONTH(m2_crossvalid[[#This Row],[ds]]),DAY(m2_crossvalid[[#This Row],[ds]]))</f>
        <v>45698</v>
      </c>
      <c r="C42">
        <v>1577</v>
      </c>
      <c r="D42" s="1">
        <v>45698.333333333336</v>
      </c>
      <c r="E42">
        <v>1546.8465749857569</v>
      </c>
      <c r="F42">
        <v>-354.56205658861063</v>
      </c>
      <c r="G42">
        <v>3373.5892850075265</v>
      </c>
      <c r="H42" s="1">
        <v>45688.333333333336</v>
      </c>
    </row>
    <row r="43" spans="1:8" x14ac:dyDescent="0.25">
      <c r="A43" s="7">
        <f>DATE(YEAR(m2_crossvalid[[#This Row],[cutoff]]),MONTH(m2_crossvalid[[#This Row],[cutoff]]),DAY(m2_crossvalid[[#This Row],[cutoff]]))</f>
        <v>45688</v>
      </c>
      <c r="B43" s="7">
        <f>DATE(YEAR(m2_crossvalid[[#This Row],[ds]]),MONTH(m2_crossvalid[[#This Row],[ds]]),DAY(m2_crossvalid[[#This Row],[ds]]))</f>
        <v>45699</v>
      </c>
      <c r="C43">
        <v>555</v>
      </c>
      <c r="D43" s="1">
        <v>45699.333333333336</v>
      </c>
      <c r="E43">
        <v>2320.9549435950776</v>
      </c>
      <c r="F43">
        <v>515.41819916336067</v>
      </c>
      <c r="G43">
        <v>4221.7862061904279</v>
      </c>
      <c r="H43" s="1">
        <v>45688.333333333336</v>
      </c>
    </row>
    <row r="44" spans="1:8" x14ac:dyDescent="0.25">
      <c r="A44" s="7">
        <f>DATE(YEAR(m2_crossvalid[[#This Row],[cutoff]]),MONTH(m2_crossvalid[[#This Row],[cutoff]]),DAY(m2_crossvalid[[#This Row],[cutoff]]))</f>
        <v>45688</v>
      </c>
      <c r="B44" s="7">
        <f>DATE(YEAR(m2_crossvalid[[#This Row],[ds]]),MONTH(m2_crossvalid[[#This Row],[ds]]),DAY(m2_crossvalid[[#This Row],[ds]]))</f>
        <v>45700</v>
      </c>
      <c r="C44">
        <v>1823</v>
      </c>
      <c r="D44" s="1">
        <v>45700.333333333336</v>
      </c>
      <c r="E44">
        <v>2306.7079219744805</v>
      </c>
      <c r="F44">
        <v>562.74730336861785</v>
      </c>
      <c r="G44">
        <v>4167.8047582836325</v>
      </c>
      <c r="H44" s="1">
        <v>45688.333333333336</v>
      </c>
    </row>
    <row r="45" spans="1:8" x14ac:dyDescent="0.25">
      <c r="A45" s="7">
        <f>DATE(YEAR(m2_crossvalid[[#This Row],[cutoff]]),MONTH(m2_crossvalid[[#This Row],[cutoff]]),DAY(m2_crossvalid[[#This Row],[cutoff]]))</f>
        <v>45688</v>
      </c>
      <c r="B45" s="7">
        <f>DATE(YEAR(m2_crossvalid[[#This Row],[ds]]),MONTH(m2_crossvalid[[#This Row],[ds]]),DAY(m2_crossvalid[[#This Row],[ds]]))</f>
        <v>45701</v>
      </c>
      <c r="C45">
        <v>2210</v>
      </c>
      <c r="D45" s="1">
        <v>45701.333333333336</v>
      </c>
      <c r="E45">
        <v>2281.1435643399063</v>
      </c>
      <c r="F45">
        <v>407.89909791445416</v>
      </c>
      <c r="G45">
        <v>4158.0783286731175</v>
      </c>
      <c r="H45" s="1">
        <v>45688.333333333336</v>
      </c>
    </row>
    <row r="46" spans="1:8" x14ac:dyDescent="0.25">
      <c r="A46" s="7">
        <f>DATE(YEAR(m2_crossvalid[[#This Row],[cutoff]]),MONTH(m2_crossvalid[[#This Row],[cutoff]]),DAY(m2_crossvalid[[#This Row],[cutoff]]))</f>
        <v>45688</v>
      </c>
      <c r="B46" s="7">
        <f>DATE(YEAR(m2_crossvalid[[#This Row],[ds]]),MONTH(m2_crossvalid[[#This Row],[ds]]),DAY(m2_crossvalid[[#This Row],[ds]]))</f>
        <v>45702</v>
      </c>
      <c r="C46">
        <v>2308</v>
      </c>
      <c r="D46" s="1">
        <v>45702.333333333336</v>
      </c>
      <c r="E46">
        <v>2278.831676402734</v>
      </c>
      <c r="F46">
        <v>484.48529814364463</v>
      </c>
      <c r="G46">
        <v>4272.4460727052628</v>
      </c>
      <c r="H46" s="1">
        <v>45688.333333333336</v>
      </c>
    </row>
    <row r="47" spans="1:8" x14ac:dyDescent="0.25">
      <c r="A47" s="7">
        <f>DATE(YEAR(m2_crossvalid[[#This Row],[cutoff]]),MONTH(m2_crossvalid[[#This Row],[cutoff]]),DAY(m2_crossvalid[[#This Row],[cutoff]]))</f>
        <v>45688</v>
      </c>
      <c r="B47" s="7">
        <f>DATE(YEAR(m2_crossvalid[[#This Row],[ds]]),MONTH(m2_crossvalid[[#This Row],[ds]]),DAY(m2_crossvalid[[#This Row],[ds]]))</f>
        <v>45703</v>
      </c>
      <c r="C47">
        <v>485</v>
      </c>
      <c r="D47" s="1">
        <v>45703.333333333336</v>
      </c>
      <c r="E47">
        <v>346.10490770398064</v>
      </c>
      <c r="F47">
        <v>-1592.4881859019313</v>
      </c>
      <c r="G47">
        <v>2326.0589168270867</v>
      </c>
      <c r="H47" s="1">
        <v>45688.333333333336</v>
      </c>
    </row>
    <row r="48" spans="1:8" x14ac:dyDescent="0.25">
      <c r="A48" s="7">
        <f>DATE(YEAR(m2_crossvalid[[#This Row],[cutoff]]),MONTH(m2_crossvalid[[#This Row],[cutoff]]),DAY(m2_crossvalid[[#This Row],[cutoff]]))</f>
        <v>45688</v>
      </c>
      <c r="B48" s="7">
        <f>DATE(YEAR(m2_crossvalid[[#This Row],[ds]]),MONTH(m2_crossvalid[[#This Row],[ds]]),DAY(m2_crossvalid[[#This Row],[ds]]))</f>
        <v>45704</v>
      </c>
      <c r="C48">
        <v>118</v>
      </c>
      <c r="D48" s="1">
        <v>45704.333333333336</v>
      </c>
      <c r="E48">
        <v>71.144622660455298</v>
      </c>
      <c r="F48">
        <v>-1781.752709534479</v>
      </c>
      <c r="G48">
        <v>2052.3957324751846</v>
      </c>
      <c r="H48" s="1">
        <v>45688.333333333336</v>
      </c>
    </row>
    <row r="49" spans="1:8" x14ac:dyDescent="0.25">
      <c r="A49" s="7">
        <f>DATE(YEAR(m2_crossvalid[[#This Row],[cutoff]]),MONTH(m2_crossvalid[[#This Row],[cutoff]]),DAY(m2_crossvalid[[#This Row],[cutoff]]))</f>
        <v>45688</v>
      </c>
      <c r="B49" s="7">
        <f>DATE(YEAR(m2_crossvalid[[#This Row],[ds]]),MONTH(m2_crossvalid[[#This Row],[ds]]),DAY(m2_crossvalid[[#This Row],[ds]]))</f>
        <v>45705</v>
      </c>
      <c r="C49">
        <v>2482</v>
      </c>
      <c r="D49" s="1">
        <v>45705.333333333336</v>
      </c>
      <c r="E49">
        <v>2474.5511495594947</v>
      </c>
      <c r="F49">
        <v>697.28693385421082</v>
      </c>
      <c r="G49">
        <v>4291.2472694377466</v>
      </c>
      <c r="H49" s="1">
        <v>45688.333333333336</v>
      </c>
    </row>
    <row r="50" spans="1:8" x14ac:dyDescent="0.25">
      <c r="A50" s="7">
        <f>DATE(YEAR(m2_crossvalid[[#This Row],[cutoff]]),MONTH(m2_crossvalid[[#This Row],[cutoff]]),DAY(m2_crossvalid[[#This Row],[cutoff]]))</f>
        <v>45688</v>
      </c>
      <c r="B50" s="7">
        <f>DATE(YEAR(m2_crossvalid[[#This Row],[ds]]),MONTH(m2_crossvalid[[#This Row],[ds]]),DAY(m2_crossvalid[[#This Row],[ds]]))</f>
        <v>45706</v>
      </c>
      <c r="C50">
        <v>2913</v>
      </c>
      <c r="D50" s="1">
        <v>45706.333333333336</v>
      </c>
      <c r="E50">
        <v>2945.7286122455262</v>
      </c>
      <c r="F50">
        <v>1044.4415876569651</v>
      </c>
      <c r="G50">
        <v>4898.0816125012516</v>
      </c>
      <c r="H50" s="1">
        <v>45688.333333333336</v>
      </c>
    </row>
    <row r="51" spans="1:8" x14ac:dyDescent="0.25">
      <c r="A51" s="7">
        <f>DATE(YEAR(m2_crossvalid[[#This Row],[cutoff]]),MONTH(m2_crossvalid[[#This Row],[cutoff]]),DAY(m2_crossvalid[[#This Row],[cutoff]]))</f>
        <v>45688</v>
      </c>
      <c r="B51" s="7">
        <f>DATE(YEAR(m2_crossvalid[[#This Row],[ds]]),MONTH(m2_crossvalid[[#This Row],[ds]]),DAY(m2_crossvalid[[#This Row],[ds]]))</f>
        <v>45707</v>
      </c>
      <c r="C51">
        <v>3106</v>
      </c>
      <c r="D51" s="1">
        <v>45707.333333333336</v>
      </c>
      <c r="E51">
        <v>2842.8199618816916</v>
      </c>
      <c r="F51">
        <v>990.25111228998207</v>
      </c>
      <c r="G51">
        <v>4800.58533415902</v>
      </c>
      <c r="H51" s="1">
        <v>45688.333333333336</v>
      </c>
    </row>
    <row r="52" spans="1:8" x14ac:dyDescent="0.25">
      <c r="A52" s="7">
        <f>DATE(YEAR(m2_crossvalid[[#This Row],[cutoff]]),MONTH(m2_crossvalid[[#This Row],[cutoff]]),DAY(m2_crossvalid[[#This Row],[cutoff]]))</f>
        <v>45688</v>
      </c>
      <c r="B52" s="7">
        <f>DATE(YEAR(m2_crossvalid[[#This Row],[ds]]),MONTH(m2_crossvalid[[#This Row],[ds]]),DAY(m2_crossvalid[[#This Row],[ds]]))</f>
        <v>45708</v>
      </c>
      <c r="C52">
        <v>3104</v>
      </c>
      <c r="D52" s="1">
        <v>45708.333333333336</v>
      </c>
      <c r="E52">
        <v>3041.9344053674899</v>
      </c>
      <c r="F52">
        <v>1270.2994773394807</v>
      </c>
      <c r="G52">
        <v>5013.7916462073326</v>
      </c>
      <c r="H52" s="1">
        <v>45688.333333333336</v>
      </c>
    </row>
    <row r="53" spans="1:8" x14ac:dyDescent="0.25">
      <c r="A53" s="7">
        <f>DATE(YEAR(m2_crossvalid[[#This Row],[cutoff]]),MONTH(m2_crossvalid[[#This Row],[cutoff]]),DAY(m2_crossvalid[[#This Row],[cutoff]]))</f>
        <v>45688</v>
      </c>
      <c r="B53" s="7">
        <f>DATE(YEAR(m2_crossvalid[[#This Row],[ds]]),MONTH(m2_crossvalid[[#This Row],[ds]]),DAY(m2_crossvalid[[#This Row],[ds]]))</f>
        <v>45709</v>
      </c>
      <c r="C53">
        <v>3309</v>
      </c>
      <c r="D53" s="1">
        <v>45709.333333333336</v>
      </c>
      <c r="E53">
        <v>3345.8231260497873</v>
      </c>
      <c r="F53">
        <v>1454.004326616368</v>
      </c>
      <c r="G53">
        <v>5095.2899991441082</v>
      </c>
      <c r="H53" s="1">
        <v>45688.333333333336</v>
      </c>
    </row>
    <row r="54" spans="1:8" x14ac:dyDescent="0.25">
      <c r="A54" s="7">
        <f>DATE(YEAR(m2_crossvalid[[#This Row],[cutoff]]),MONTH(m2_crossvalid[[#This Row],[cutoff]]),DAY(m2_crossvalid[[#This Row],[cutoff]]))</f>
        <v>45688</v>
      </c>
      <c r="B54" s="7">
        <f>DATE(YEAR(m2_crossvalid[[#This Row],[ds]]),MONTH(m2_crossvalid[[#This Row],[ds]]),DAY(m2_crossvalid[[#This Row],[ds]]))</f>
        <v>45710</v>
      </c>
      <c r="C54">
        <v>732</v>
      </c>
      <c r="D54" s="1">
        <v>45710.333333333336</v>
      </c>
      <c r="E54">
        <v>1476.2784411217233</v>
      </c>
      <c r="F54">
        <v>-385.83871331909194</v>
      </c>
      <c r="G54">
        <v>3373.2458332121641</v>
      </c>
      <c r="H54" s="1">
        <v>45688.333333333336</v>
      </c>
    </row>
    <row r="55" spans="1:8" x14ac:dyDescent="0.25">
      <c r="A55" s="7">
        <f>DATE(YEAR(m2_crossvalid[[#This Row],[cutoff]]),MONTH(m2_crossvalid[[#This Row],[cutoff]]),DAY(m2_crossvalid[[#This Row],[cutoff]]))</f>
        <v>45688</v>
      </c>
      <c r="B55" s="7">
        <f>DATE(YEAR(m2_crossvalid[[#This Row],[ds]]),MONTH(m2_crossvalid[[#This Row],[ds]]),DAY(m2_crossvalid[[#This Row],[ds]]))</f>
        <v>45711</v>
      </c>
      <c r="C55">
        <v>202</v>
      </c>
      <c r="D55" s="1">
        <v>45711.333333333336</v>
      </c>
      <c r="E55">
        <v>955.81921402010494</v>
      </c>
      <c r="F55">
        <v>-884.6572572093603</v>
      </c>
      <c r="G55">
        <v>2739.143016950221</v>
      </c>
      <c r="H55" s="1">
        <v>45688.333333333336</v>
      </c>
    </row>
    <row r="56" spans="1:8" x14ac:dyDescent="0.25">
      <c r="A56" s="7">
        <f>DATE(YEAR(m2_crossvalid[[#This Row],[cutoff]]),MONTH(m2_crossvalid[[#This Row],[cutoff]]),DAY(m2_crossvalid[[#This Row],[cutoff]]))</f>
        <v>45688</v>
      </c>
      <c r="B56" s="7">
        <f>DATE(YEAR(m2_crossvalid[[#This Row],[ds]]),MONTH(m2_crossvalid[[#This Row],[ds]]),DAY(m2_crossvalid[[#This Row],[ds]]))</f>
        <v>45712</v>
      </c>
      <c r="C56">
        <v>3545</v>
      </c>
      <c r="D56" s="1">
        <v>45712.333333333336</v>
      </c>
      <c r="E56">
        <v>3115.5130788377592</v>
      </c>
      <c r="F56">
        <v>1175.0394565964721</v>
      </c>
      <c r="G56">
        <v>4802.8121567880744</v>
      </c>
      <c r="H56" s="1">
        <v>45688.333333333336</v>
      </c>
    </row>
    <row r="57" spans="1:8" x14ac:dyDescent="0.25">
      <c r="A57" s="7">
        <f>DATE(YEAR(m2_crossvalid[[#This Row],[cutoff]]),MONTH(m2_crossvalid[[#This Row],[cutoff]]),DAY(m2_crossvalid[[#This Row],[cutoff]]))</f>
        <v>45688</v>
      </c>
      <c r="B57" s="7">
        <f>DATE(YEAR(m2_crossvalid[[#This Row],[ds]]),MONTH(m2_crossvalid[[#This Row],[ds]]),DAY(m2_crossvalid[[#This Row],[ds]]))</f>
        <v>45713</v>
      </c>
      <c r="C57">
        <v>4868</v>
      </c>
      <c r="D57" s="1">
        <v>45713.333333333336</v>
      </c>
      <c r="E57">
        <v>3780.220144257024</v>
      </c>
      <c r="F57">
        <v>1854.7567775151733</v>
      </c>
      <c r="G57">
        <v>5671.9827674920853</v>
      </c>
      <c r="H57" s="1">
        <v>45688.333333333336</v>
      </c>
    </row>
    <row r="58" spans="1:8" x14ac:dyDescent="0.25">
      <c r="A58" s="7">
        <f>DATE(YEAR(m2_crossvalid[[#This Row],[cutoff]]),MONTH(m2_crossvalid[[#This Row],[cutoff]]),DAY(m2_crossvalid[[#This Row],[cutoff]]))</f>
        <v>45688</v>
      </c>
      <c r="B58" s="7">
        <f>DATE(YEAR(m2_crossvalid[[#This Row],[ds]]),MONTH(m2_crossvalid[[#This Row],[ds]]),DAY(m2_crossvalid[[#This Row],[ds]]))</f>
        <v>45714</v>
      </c>
      <c r="C58">
        <v>6187</v>
      </c>
      <c r="D58" s="1">
        <v>45714.333333333336</v>
      </c>
      <c r="E58">
        <v>4460.5794570639446</v>
      </c>
      <c r="F58">
        <v>2705.8602523876684</v>
      </c>
      <c r="G58">
        <v>6371.5186875701356</v>
      </c>
      <c r="H58" s="1">
        <v>45688.333333333336</v>
      </c>
    </row>
    <row r="59" spans="1:8" x14ac:dyDescent="0.25">
      <c r="A59" s="7">
        <f>DATE(YEAR(m2_crossvalid[[#This Row],[cutoff]]),MONTH(m2_crossvalid[[#This Row],[cutoff]]),DAY(m2_crossvalid[[#This Row],[cutoff]]))</f>
        <v>45688</v>
      </c>
      <c r="B59" s="7">
        <f>DATE(YEAR(m2_crossvalid[[#This Row],[ds]]),MONTH(m2_crossvalid[[#This Row],[ds]]),DAY(m2_crossvalid[[#This Row],[ds]]))</f>
        <v>45715</v>
      </c>
      <c r="C59">
        <v>8082</v>
      </c>
      <c r="D59" s="1">
        <v>45715.333333333336</v>
      </c>
      <c r="E59">
        <v>5701.7440153739335</v>
      </c>
      <c r="F59">
        <v>3880.3173785807967</v>
      </c>
      <c r="G59">
        <v>7543.0878824464489</v>
      </c>
      <c r="H59" s="1">
        <v>45688.333333333336</v>
      </c>
    </row>
    <row r="60" spans="1:8" x14ac:dyDescent="0.25">
      <c r="A60" s="7">
        <f>DATE(YEAR(m2_crossvalid[[#This Row],[cutoff]]),MONTH(m2_crossvalid[[#This Row],[cutoff]]),DAY(m2_crossvalid[[#This Row],[cutoff]]))</f>
        <v>45688</v>
      </c>
      <c r="B60" s="7">
        <f>DATE(YEAR(m2_crossvalid[[#This Row],[ds]]),MONTH(m2_crossvalid[[#This Row],[ds]]),DAY(m2_crossvalid[[#This Row],[ds]]))</f>
        <v>45716</v>
      </c>
      <c r="C60">
        <v>14838</v>
      </c>
      <c r="D60" s="1">
        <v>45716.333333333336</v>
      </c>
      <c r="E60">
        <v>6681.9820000950767</v>
      </c>
      <c r="F60">
        <v>4881.4637386647364</v>
      </c>
      <c r="G60">
        <v>8559.2793016865362</v>
      </c>
      <c r="H60" s="1">
        <v>45688.333333333336</v>
      </c>
    </row>
    <row r="61" spans="1:8" x14ac:dyDescent="0.25">
      <c r="A61" s="7">
        <f>DATE(YEAR(m2_crossvalid[[#This Row],[cutoff]]),MONTH(m2_crossvalid[[#This Row],[cutoff]]),DAY(m2_crossvalid[[#This Row],[cutoff]]))</f>
        <v>45688</v>
      </c>
      <c r="B61" s="7">
        <f>DATE(YEAR(m2_crossvalid[[#This Row],[ds]]),MONTH(m2_crossvalid[[#This Row],[ds]]),DAY(m2_crossvalid[[#This Row],[ds]]))</f>
        <v>45717</v>
      </c>
      <c r="C61">
        <v>74</v>
      </c>
      <c r="D61" s="1">
        <v>45717.333333333336</v>
      </c>
      <c r="E61">
        <v>4625.6153527297874</v>
      </c>
      <c r="F61">
        <v>2735.2876753461214</v>
      </c>
      <c r="G61">
        <v>6352.2820609089449</v>
      </c>
      <c r="H61" s="1">
        <v>45688.333333333336</v>
      </c>
    </row>
    <row r="62" spans="1:8" x14ac:dyDescent="0.25">
      <c r="A62" s="7">
        <f>DATE(YEAR(m2_crossvalid[[#This Row],[cutoff]]),MONTH(m2_crossvalid[[#This Row],[cutoff]]),DAY(m2_crossvalid[[#This Row],[cutoff]]))</f>
        <v>45688</v>
      </c>
      <c r="B62" s="7">
        <f>DATE(YEAR(m2_crossvalid[[#This Row],[ds]]),MONTH(m2_crossvalid[[#This Row],[ds]]),DAY(m2_crossvalid[[#This Row],[ds]]))</f>
        <v>45718</v>
      </c>
      <c r="C62">
        <v>27</v>
      </c>
      <c r="D62" s="1">
        <v>45718.333333333336</v>
      </c>
      <c r="E62">
        <v>2989.0959277397606</v>
      </c>
      <c r="F62">
        <v>1094.9523742776892</v>
      </c>
      <c r="G62">
        <v>4939.3552821409585</v>
      </c>
      <c r="H62" s="1">
        <v>45688.333333333336</v>
      </c>
    </row>
    <row r="63" spans="1:8" x14ac:dyDescent="0.25">
      <c r="A63" s="7">
        <f>DATE(YEAR(m2_crossvalid[[#This Row],[cutoff]]),MONTH(m2_crossvalid[[#This Row],[cutoff]]),DAY(m2_crossvalid[[#This Row],[cutoff]]))</f>
        <v>45688</v>
      </c>
      <c r="B63" s="7">
        <f>DATE(YEAR(m2_crossvalid[[#This Row],[ds]]),MONTH(m2_crossvalid[[#This Row],[ds]]),DAY(m2_crossvalid[[#This Row],[ds]]))</f>
        <v>45719</v>
      </c>
      <c r="C63">
        <v>378</v>
      </c>
      <c r="D63" s="1">
        <v>45719.333333333336</v>
      </c>
      <c r="E63">
        <v>3439.8986838559294</v>
      </c>
      <c r="F63">
        <v>1729.9103689150415</v>
      </c>
      <c r="G63">
        <v>5272.8003403330285</v>
      </c>
      <c r="H63" s="1">
        <v>45688.333333333336</v>
      </c>
    </row>
    <row r="64" spans="1:8" x14ac:dyDescent="0.25">
      <c r="A64" s="7">
        <f>DATE(YEAR(m2_crossvalid[[#This Row],[cutoff]]),MONTH(m2_crossvalid[[#This Row],[cutoff]]),DAY(m2_crossvalid[[#This Row],[cutoff]]))</f>
        <v>45716</v>
      </c>
      <c r="B64" s="7">
        <f>DATE(YEAR(m2_crossvalid[[#This Row],[ds]]),MONTH(m2_crossvalid[[#This Row],[ds]]),DAY(m2_crossvalid[[#This Row],[ds]]))</f>
        <v>45717</v>
      </c>
      <c r="C64">
        <v>74</v>
      </c>
      <c r="D64" s="1">
        <v>45717.333333333336</v>
      </c>
      <c r="E64">
        <v>4943.2217238482317</v>
      </c>
      <c r="F64">
        <v>3034.5999731858915</v>
      </c>
      <c r="G64">
        <v>6869.5845448796563</v>
      </c>
      <c r="H64" s="1">
        <v>45716.333333333336</v>
      </c>
    </row>
    <row r="65" spans="1:8" x14ac:dyDescent="0.25">
      <c r="A65" s="7">
        <f>DATE(YEAR(m2_crossvalid[[#This Row],[cutoff]]),MONTH(m2_crossvalid[[#This Row],[cutoff]]),DAY(m2_crossvalid[[#This Row],[cutoff]]))</f>
        <v>45716</v>
      </c>
      <c r="B65" s="7">
        <f>DATE(YEAR(m2_crossvalid[[#This Row],[ds]]),MONTH(m2_crossvalid[[#This Row],[ds]]),DAY(m2_crossvalid[[#This Row],[ds]]))</f>
        <v>45718</v>
      </c>
      <c r="C65">
        <v>27</v>
      </c>
      <c r="D65" s="1">
        <v>45718.333333333336</v>
      </c>
      <c r="E65">
        <v>3280.6084565478886</v>
      </c>
      <c r="F65">
        <v>1432.2212539889579</v>
      </c>
      <c r="G65">
        <v>4992.6360806802177</v>
      </c>
      <c r="H65" s="1">
        <v>45716.333333333336</v>
      </c>
    </row>
    <row r="66" spans="1:8" x14ac:dyDescent="0.25">
      <c r="A66" s="7">
        <f>DATE(YEAR(m2_crossvalid[[#This Row],[cutoff]]),MONTH(m2_crossvalid[[#This Row],[cutoff]]),DAY(m2_crossvalid[[#This Row],[cutoff]]))</f>
        <v>45716</v>
      </c>
      <c r="B66" s="7">
        <f>DATE(YEAR(m2_crossvalid[[#This Row],[ds]]),MONTH(m2_crossvalid[[#This Row],[ds]]),DAY(m2_crossvalid[[#This Row],[ds]]))</f>
        <v>45719</v>
      </c>
      <c r="C66">
        <v>378</v>
      </c>
      <c r="D66" s="1">
        <v>45719.333333333336</v>
      </c>
      <c r="E66">
        <v>3705.1259687588481</v>
      </c>
      <c r="F66">
        <v>1917.5666297372904</v>
      </c>
      <c r="G66">
        <v>5566.8940138940716</v>
      </c>
      <c r="H66" s="1">
        <v>45716.333333333336</v>
      </c>
    </row>
    <row r="67" spans="1:8" x14ac:dyDescent="0.25">
      <c r="A67" s="7">
        <f>DATE(YEAR(m2_crossvalid[[#This Row],[cutoff]]),MONTH(m2_crossvalid[[#This Row],[cutoff]]),DAY(m2_crossvalid[[#This Row],[cutoff]]))</f>
        <v>45716</v>
      </c>
      <c r="B67" s="7">
        <f>DATE(YEAR(m2_crossvalid[[#This Row],[ds]]),MONTH(m2_crossvalid[[#This Row],[ds]]),DAY(m2_crossvalid[[#This Row],[ds]]))</f>
        <v>45720</v>
      </c>
      <c r="C67">
        <v>666</v>
      </c>
      <c r="D67" s="1">
        <v>45720.333333333336</v>
      </c>
      <c r="E67">
        <v>2521.8871706016289</v>
      </c>
      <c r="F67">
        <v>527.93300424268932</v>
      </c>
      <c r="G67">
        <v>4494.8144588608875</v>
      </c>
      <c r="H67" s="1">
        <v>45716.333333333336</v>
      </c>
    </row>
    <row r="68" spans="1:8" x14ac:dyDescent="0.25">
      <c r="A68" s="7">
        <f>DATE(YEAR(m2_crossvalid[[#This Row],[cutoff]]),MONTH(m2_crossvalid[[#This Row],[cutoff]]),DAY(m2_crossvalid[[#This Row],[cutoff]]))</f>
        <v>45716</v>
      </c>
      <c r="B68" s="7">
        <f>DATE(YEAR(m2_crossvalid[[#This Row],[ds]]),MONTH(m2_crossvalid[[#This Row],[ds]]),DAY(m2_crossvalid[[#This Row],[ds]]))</f>
        <v>45721</v>
      </c>
      <c r="C68">
        <v>793</v>
      </c>
      <c r="D68" s="1">
        <v>45721.333333333336</v>
      </c>
      <c r="E68">
        <v>1603.8665380897764</v>
      </c>
      <c r="F68">
        <v>-195.09113574241189</v>
      </c>
      <c r="G68">
        <v>3696.4980014748426</v>
      </c>
      <c r="H68" s="1">
        <v>45716.333333333336</v>
      </c>
    </row>
    <row r="69" spans="1:8" x14ac:dyDescent="0.25">
      <c r="A69" s="7">
        <f>DATE(YEAR(m2_crossvalid[[#This Row],[cutoff]]),MONTH(m2_crossvalid[[#This Row],[cutoff]]),DAY(m2_crossvalid[[#This Row],[cutoff]]))</f>
        <v>45716</v>
      </c>
      <c r="B69" s="7">
        <f>DATE(YEAR(m2_crossvalid[[#This Row],[ds]]),MONTH(m2_crossvalid[[#This Row],[ds]]),DAY(m2_crossvalid[[#This Row],[ds]]))</f>
        <v>45722</v>
      </c>
      <c r="C69">
        <v>1426</v>
      </c>
      <c r="D69" s="1">
        <v>45722.333333333336</v>
      </c>
      <c r="E69">
        <v>1660.2340742392378</v>
      </c>
      <c r="F69">
        <v>-361.77323866293551</v>
      </c>
      <c r="G69">
        <v>3536.9346191992008</v>
      </c>
      <c r="H69" s="1">
        <v>45716.333333333336</v>
      </c>
    </row>
    <row r="70" spans="1:8" x14ac:dyDescent="0.25">
      <c r="A70" s="7">
        <f>DATE(YEAR(m2_crossvalid[[#This Row],[cutoff]]),MONTH(m2_crossvalid[[#This Row],[cutoff]]),DAY(m2_crossvalid[[#This Row],[cutoff]]))</f>
        <v>45716</v>
      </c>
      <c r="B70" s="7">
        <f>DATE(YEAR(m2_crossvalid[[#This Row],[ds]]),MONTH(m2_crossvalid[[#This Row],[ds]]),DAY(m2_crossvalid[[#This Row],[ds]]))</f>
        <v>45723</v>
      </c>
      <c r="C70">
        <v>1674</v>
      </c>
      <c r="D70" s="1">
        <v>45723.333333333336</v>
      </c>
      <c r="E70">
        <v>2094.5895174104885</v>
      </c>
      <c r="F70">
        <v>271.99453631303152</v>
      </c>
      <c r="G70">
        <v>3974.9474466555153</v>
      </c>
      <c r="H70" s="1">
        <v>45716.333333333336</v>
      </c>
    </row>
    <row r="71" spans="1:8" x14ac:dyDescent="0.25">
      <c r="A71" s="7">
        <f>DATE(YEAR(m2_crossvalid[[#This Row],[cutoff]]),MONTH(m2_crossvalid[[#This Row],[cutoff]]),DAY(m2_crossvalid[[#This Row],[cutoff]]))</f>
        <v>45716</v>
      </c>
      <c r="B71" s="7">
        <f>DATE(YEAR(m2_crossvalid[[#This Row],[ds]]),MONTH(m2_crossvalid[[#This Row],[ds]]),DAY(m2_crossvalid[[#This Row],[ds]]))</f>
        <v>45724</v>
      </c>
      <c r="C71">
        <v>310</v>
      </c>
      <c r="D71" s="1">
        <v>45724.333333333336</v>
      </c>
      <c r="E71">
        <v>225.40788113732651</v>
      </c>
      <c r="F71">
        <v>-1632.932829735186</v>
      </c>
      <c r="G71">
        <v>2070.6656022755715</v>
      </c>
      <c r="H71" s="1">
        <v>45716.333333333336</v>
      </c>
    </row>
    <row r="72" spans="1:8" x14ac:dyDescent="0.25">
      <c r="A72" s="7">
        <f>DATE(YEAR(m2_crossvalid[[#This Row],[cutoff]]),MONTH(m2_crossvalid[[#This Row],[cutoff]]),DAY(m2_crossvalid[[#This Row],[cutoff]]))</f>
        <v>45716</v>
      </c>
      <c r="B72" s="7">
        <f>DATE(YEAR(m2_crossvalid[[#This Row],[ds]]),MONTH(m2_crossvalid[[#This Row],[ds]]),DAY(m2_crossvalid[[#This Row],[ds]]))</f>
        <v>45725</v>
      </c>
      <c r="C72">
        <v>109</v>
      </c>
      <c r="D72" s="1">
        <v>45725.333333333336</v>
      </c>
      <c r="E72">
        <v>-286.88995386641363</v>
      </c>
      <c r="F72">
        <v>-2146.2631415585593</v>
      </c>
      <c r="G72">
        <v>1503.6079717855405</v>
      </c>
      <c r="H72" s="1">
        <v>45716.333333333336</v>
      </c>
    </row>
    <row r="73" spans="1:8" x14ac:dyDescent="0.25">
      <c r="A73" s="7">
        <f>DATE(YEAR(m2_crossvalid[[#This Row],[cutoff]]),MONTH(m2_crossvalid[[#This Row],[cutoff]]),DAY(m2_crossvalid[[#This Row],[cutoff]]))</f>
        <v>45716</v>
      </c>
      <c r="B73" s="7">
        <f>DATE(YEAR(m2_crossvalid[[#This Row],[ds]]),MONTH(m2_crossvalid[[#This Row],[ds]]),DAY(m2_crossvalid[[#This Row],[ds]]))</f>
        <v>45726</v>
      </c>
      <c r="C73">
        <v>1900</v>
      </c>
      <c r="D73" s="1">
        <v>45726.333333333336</v>
      </c>
      <c r="E73">
        <v>1869.9415135346057</v>
      </c>
      <c r="F73">
        <v>-85.442582406563758</v>
      </c>
      <c r="G73">
        <v>3717.5845231955755</v>
      </c>
      <c r="H73" s="1">
        <v>45716.333333333336</v>
      </c>
    </row>
    <row r="74" spans="1:8" x14ac:dyDescent="0.25">
      <c r="A74" s="7">
        <f>DATE(YEAR(m2_crossvalid[[#This Row],[cutoff]]),MONTH(m2_crossvalid[[#This Row],[cutoff]]),DAY(m2_crossvalid[[#This Row],[cutoff]]))</f>
        <v>45716</v>
      </c>
      <c r="B74" s="7">
        <f>DATE(YEAR(m2_crossvalid[[#This Row],[ds]]),MONTH(m2_crossvalid[[#This Row],[ds]]),DAY(m2_crossvalid[[#This Row],[ds]]))</f>
        <v>45727</v>
      </c>
      <c r="C74">
        <v>2294</v>
      </c>
      <c r="D74" s="1">
        <v>45727.333333333336</v>
      </c>
      <c r="E74">
        <v>2390.9686912749435</v>
      </c>
      <c r="F74">
        <v>593.63741077384213</v>
      </c>
      <c r="G74">
        <v>4333.3007372715829</v>
      </c>
      <c r="H74" s="1">
        <v>45716.333333333336</v>
      </c>
    </row>
    <row r="75" spans="1:8" x14ac:dyDescent="0.25">
      <c r="A75" s="7">
        <f>DATE(YEAR(m2_crossvalid[[#This Row],[cutoff]]),MONTH(m2_crossvalid[[#This Row],[cutoff]]),DAY(m2_crossvalid[[#This Row],[cutoff]]))</f>
        <v>45716</v>
      </c>
      <c r="B75" s="7">
        <f>DATE(YEAR(m2_crossvalid[[#This Row],[ds]]),MONTH(m2_crossvalid[[#This Row],[ds]]),DAY(m2_crossvalid[[#This Row],[ds]]))</f>
        <v>45728</v>
      </c>
      <c r="C75">
        <v>2576</v>
      </c>
      <c r="D75" s="1">
        <v>45728.333333333336</v>
      </c>
      <c r="E75">
        <v>2540.530483720589</v>
      </c>
      <c r="F75">
        <v>565.43577806833707</v>
      </c>
      <c r="G75">
        <v>4329.8656048772737</v>
      </c>
      <c r="H75" s="1">
        <v>45716.333333333336</v>
      </c>
    </row>
    <row r="76" spans="1:8" x14ac:dyDescent="0.25">
      <c r="A76" s="7">
        <f>DATE(YEAR(m2_crossvalid[[#This Row],[cutoff]]),MONTH(m2_crossvalid[[#This Row],[cutoff]]),DAY(m2_crossvalid[[#This Row],[cutoff]]))</f>
        <v>45716</v>
      </c>
      <c r="B76" s="7">
        <f>DATE(YEAR(m2_crossvalid[[#This Row],[ds]]),MONTH(m2_crossvalid[[#This Row],[ds]]),DAY(m2_crossvalid[[#This Row],[ds]]))</f>
        <v>45729</v>
      </c>
      <c r="C76">
        <v>2235</v>
      </c>
      <c r="D76" s="1">
        <v>45729.333333333336</v>
      </c>
      <c r="E76">
        <v>2801.6832044070816</v>
      </c>
      <c r="F76">
        <v>929.49099982695134</v>
      </c>
      <c r="G76">
        <v>4684.2013286054689</v>
      </c>
      <c r="H76" s="1">
        <v>45716.333333333336</v>
      </c>
    </row>
    <row r="77" spans="1:8" x14ac:dyDescent="0.25">
      <c r="A77" s="7">
        <f>DATE(YEAR(m2_crossvalid[[#This Row],[cutoff]]),MONTH(m2_crossvalid[[#This Row],[cutoff]]),DAY(m2_crossvalid[[#This Row],[cutoff]]))</f>
        <v>45716</v>
      </c>
      <c r="B77" s="7">
        <f>DATE(YEAR(m2_crossvalid[[#This Row],[ds]]),MONTH(m2_crossvalid[[#This Row],[ds]]),DAY(m2_crossvalid[[#This Row],[ds]]))</f>
        <v>45730</v>
      </c>
      <c r="C77">
        <v>3818</v>
      </c>
      <c r="D77" s="1">
        <v>45730.333333333336</v>
      </c>
      <c r="E77">
        <v>2865.848542648474</v>
      </c>
      <c r="F77">
        <v>956.77323333217907</v>
      </c>
      <c r="G77">
        <v>4704.2855033035466</v>
      </c>
      <c r="H77" s="1">
        <v>45716.333333333336</v>
      </c>
    </row>
    <row r="78" spans="1:8" x14ac:dyDescent="0.25">
      <c r="A78" s="7">
        <f>DATE(YEAR(m2_crossvalid[[#This Row],[cutoff]]),MONTH(m2_crossvalid[[#This Row],[cutoff]]),DAY(m2_crossvalid[[#This Row],[cutoff]]))</f>
        <v>45716</v>
      </c>
      <c r="B78" s="7">
        <f>DATE(YEAR(m2_crossvalid[[#This Row],[ds]]),MONTH(m2_crossvalid[[#This Row],[ds]]),DAY(m2_crossvalid[[#This Row],[ds]]))</f>
        <v>45731</v>
      </c>
      <c r="C78">
        <v>927</v>
      </c>
      <c r="D78" s="1">
        <v>45731.333333333336</v>
      </c>
      <c r="E78">
        <v>603.0426393927653</v>
      </c>
      <c r="F78">
        <v>-1302.1984382256719</v>
      </c>
      <c r="G78">
        <v>2636.3638925308414</v>
      </c>
      <c r="H78" s="1">
        <v>45716.333333333336</v>
      </c>
    </row>
    <row r="79" spans="1:8" x14ac:dyDescent="0.25">
      <c r="A79" s="7">
        <f>DATE(YEAR(m2_crossvalid[[#This Row],[cutoff]]),MONTH(m2_crossvalid[[#This Row],[cutoff]]),DAY(m2_crossvalid[[#This Row],[cutoff]]))</f>
        <v>45716</v>
      </c>
      <c r="B79" s="7">
        <f>DATE(YEAR(m2_crossvalid[[#This Row],[ds]]),MONTH(m2_crossvalid[[#This Row],[ds]]),DAY(m2_crossvalid[[#This Row],[ds]]))</f>
        <v>45732</v>
      </c>
      <c r="C79">
        <v>263</v>
      </c>
      <c r="D79" s="1">
        <v>45732.333333333336</v>
      </c>
      <c r="E79">
        <v>54.876166819948594</v>
      </c>
      <c r="F79">
        <v>-1903.0718146975637</v>
      </c>
      <c r="G79">
        <v>1879.3465242702562</v>
      </c>
      <c r="H79" s="1">
        <v>45716.333333333336</v>
      </c>
    </row>
    <row r="80" spans="1:8" x14ac:dyDescent="0.25">
      <c r="A80" s="7">
        <f>DATE(YEAR(m2_crossvalid[[#This Row],[cutoff]]),MONTH(m2_crossvalid[[#This Row],[cutoff]]),DAY(m2_crossvalid[[#This Row],[cutoff]]))</f>
        <v>45716</v>
      </c>
      <c r="B80" s="7">
        <f>DATE(YEAR(m2_crossvalid[[#This Row],[ds]]),MONTH(m2_crossvalid[[#This Row],[ds]]),DAY(m2_crossvalid[[#This Row],[ds]]))</f>
        <v>45733</v>
      </c>
      <c r="C80">
        <v>4812</v>
      </c>
      <c r="D80" s="1">
        <v>45733.333333333336</v>
      </c>
      <c r="E80">
        <v>2489.9010604722662</v>
      </c>
      <c r="F80">
        <v>572.03653385312703</v>
      </c>
      <c r="G80">
        <v>4453.156873546568</v>
      </c>
      <c r="H80" s="1">
        <v>45716.333333333336</v>
      </c>
    </row>
    <row r="81" spans="1:8" x14ac:dyDescent="0.25">
      <c r="A81" s="7">
        <f>DATE(YEAR(m2_crossvalid[[#This Row],[cutoff]]),MONTH(m2_crossvalid[[#This Row],[cutoff]]),DAY(m2_crossvalid[[#This Row],[cutoff]]))</f>
        <v>45716</v>
      </c>
      <c r="B81" s="7">
        <f>DATE(YEAR(m2_crossvalid[[#This Row],[ds]]),MONTH(m2_crossvalid[[#This Row],[ds]]),DAY(m2_crossvalid[[#This Row],[ds]]))</f>
        <v>45734</v>
      </c>
      <c r="C81">
        <v>1459</v>
      </c>
      <c r="D81" s="1">
        <v>45734.333333333336</v>
      </c>
      <c r="E81">
        <v>3262.4276565832879</v>
      </c>
      <c r="F81">
        <v>1382.6059051876935</v>
      </c>
      <c r="G81">
        <v>5147.5081572428608</v>
      </c>
      <c r="H81" s="1">
        <v>45716.333333333336</v>
      </c>
    </row>
    <row r="82" spans="1:8" x14ac:dyDescent="0.25">
      <c r="A82" s="7">
        <f>DATE(YEAR(m2_crossvalid[[#This Row],[cutoff]]),MONTH(m2_crossvalid[[#This Row],[cutoff]]),DAY(m2_crossvalid[[#This Row],[cutoff]]))</f>
        <v>45716</v>
      </c>
      <c r="B82" s="7">
        <f>DATE(YEAR(m2_crossvalid[[#This Row],[ds]]),MONTH(m2_crossvalid[[#This Row],[ds]]),DAY(m2_crossvalid[[#This Row],[ds]]))</f>
        <v>45735</v>
      </c>
      <c r="C82">
        <v>3508</v>
      </c>
      <c r="D82" s="1">
        <v>45735.333333333336</v>
      </c>
      <c r="E82">
        <v>3367.6454739244532</v>
      </c>
      <c r="F82">
        <v>1501.5196311720144</v>
      </c>
      <c r="G82">
        <v>5315.0630779511175</v>
      </c>
      <c r="H82" s="1">
        <v>45716.333333333336</v>
      </c>
    </row>
    <row r="83" spans="1:8" x14ac:dyDescent="0.25">
      <c r="A83" s="7">
        <f>DATE(YEAR(m2_crossvalid[[#This Row],[cutoff]]),MONTH(m2_crossvalid[[#This Row],[cutoff]]),DAY(m2_crossvalid[[#This Row],[cutoff]]))</f>
        <v>45716</v>
      </c>
      <c r="B83" s="7">
        <f>DATE(YEAR(m2_crossvalid[[#This Row],[ds]]),MONTH(m2_crossvalid[[#This Row],[ds]]),DAY(m2_crossvalid[[#This Row],[ds]]))</f>
        <v>45736</v>
      </c>
      <c r="C83">
        <v>3947</v>
      </c>
      <c r="D83" s="1">
        <v>45736.333333333336</v>
      </c>
      <c r="E83">
        <v>3349.4076426351294</v>
      </c>
      <c r="F83">
        <v>1376.9872260718669</v>
      </c>
      <c r="G83">
        <v>5197.2546776820018</v>
      </c>
      <c r="H83" s="1">
        <v>45716.333333333336</v>
      </c>
    </row>
    <row r="84" spans="1:8" x14ac:dyDescent="0.25">
      <c r="A84" s="7">
        <f>DATE(YEAR(m2_crossvalid[[#This Row],[cutoff]]),MONTH(m2_crossvalid[[#This Row],[cutoff]]),DAY(m2_crossvalid[[#This Row],[cutoff]]))</f>
        <v>45716</v>
      </c>
      <c r="B84" s="7">
        <f>DATE(YEAR(m2_crossvalid[[#This Row],[ds]]),MONTH(m2_crossvalid[[#This Row],[ds]]),DAY(m2_crossvalid[[#This Row],[ds]]))</f>
        <v>45737</v>
      </c>
      <c r="C84">
        <v>4280</v>
      </c>
      <c r="D84" s="1">
        <v>45737.333333333336</v>
      </c>
      <c r="E84">
        <v>3205.9014785752925</v>
      </c>
      <c r="F84">
        <v>1275.8925212197266</v>
      </c>
      <c r="G84">
        <v>5221.197833601871</v>
      </c>
      <c r="H84" s="1">
        <v>45716.333333333336</v>
      </c>
    </row>
    <row r="85" spans="1:8" x14ac:dyDescent="0.25">
      <c r="A85" s="7">
        <f>DATE(YEAR(m2_crossvalid[[#This Row],[cutoff]]),MONTH(m2_crossvalid[[#This Row],[cutoff]]),DAY(m2_crossvalid[[#This Row],[cutoff]]))</f>
        <v>45716</v>
      </c>
      <c r="B85" s="7">
        <f>DATE(YEAR(m2_crossvalid[[#This Row],[ds]]),MONTH(m2_crossvalid[[#This Row],[ds]]),DAY(m2_crossvalid[[#This Row],[ds]]))</f>
        <v>45738</v>
      </c>
      <c r="C85">
        <v>1076</v>
      </c>
      <c r="D85" s="1">
        <v>45738.333333333336</v>
      </c>
      <c r="E85">
        <v>1034.2367835280827</v>
      </c>
      <c r="F85">
        <v>-819.06306827813444</v>
      </c>
      <c r="G85">
        <v>2857.4684372111437</v>
      </c>
      <c r="H85" s="1">
        <v>45716.333333333336</v>
      </c>
    </row>
    <row r="86" spans="1:8" x14ac:dyDescent="0.25">
      <c r="A86" s="7">
        <f>DATE(YEAR(m2_crossvalid[[#This Row],[cutoff]]),MONTH(m2_crossvalid[[#This Row],[cutoff]]),DAY(m2_crossvalid[[#This Row],[cutoff]]))</f>
        <v>45716</v>
      </c>
      <c r="B86" s="7">
        <f>DATE(YEAR(m2_crossvalid[[#This Row],[ds]]),MONTH(m2_crossvalid[[#This Row],[ds]]),DAY(m2_crossvalid[[#This Row],[ds]]))</f>
        <v>45739</v>
      </c>
      <c r="C86">
        <v>301</v>
      </c>
      <c r="D86" s="1">
        <v>45739.333333333336</v>
      </c>
      <c r="E86">
        <v>786.24725154251973</v>
      </c>
      <c r="F86">
        <v>-1046.5427584259485</v>
      </c>
      <c r="G86">
        <v>2810.6696392539288</v>
      </c>
      <c r="H86" s="1">
        <v>45716.333333333336</v>
      </c>
    </row>
    <row r="87" spans="1:8" x14ac:dyDescent="0.25">
      <c r="A87" s="7">
        <f>DATE(YEAR(m2_crossvalid[[#This Row],[cutoff]]),MONTH(m2_crossvalid[[#This Row],[cutoff]]),DAY(m2_crossvalid[[#This Row],[cutoff]]))</f>
        <v>45716</v>
      </c>
      <c r="B87" s="7">
        <f>DATE(YEAR(m2_crossvalid[[#This Row],[ds]]),MONTH(m2_crossvalid[[#This Row],[ds]]),DAY(m2_crossvalid[[#This Row],[ds]]))</f>
        <v>45740</v>
      </c>
      <c r="C87">
        <v>4292</v>
      </c>
      <c r="D87" s="1">
        <v>45740.333333333336</v>
      </c>
      <c r="E87">
        <v>3414.3170208803567</v>
      </c>
      <c r="F87">
        <v>1544.6862927463847</v>
      </c>
      <c r="G87">
        <v>5384.0858239028812</v>
      </c>
      <c r="H87" s="1">
        <v>45716.333333333336</v>
      </c>
    </row>
    <row r="88" spans="1:8" x14ac:dyDescent="0.25">
      <c r="A88" s="7">
        <f>DATE(YEAR(m2_crossvalid[[#This Row],[cutoff]]),MONTH(m2_crossvalid[[#This Row],[cutoff]]),DAY(m2_crossvalid[[#This Row],[cutoff]]))</f>
        <v>45716</v>
      </c>
      <c r="B88" s="7">
        <f>DATE(YEAR(m2_crossvalid[[#This Row],[ds]]),MONTH(m2_crossvalid[[#This Row],[ds]]),DAY(m2_crossvalid[[#This Row],[ds]]))</f>
        <v>45741</v>
      </c>
      <c r="C88">
        <v>5571</v>
      </c>
      <c r="D88" s="1">
        <v>45741.333333333336</v>
      </c>
      <c r="E88">
        <v>4065.1813139106503</v>
      </c>
      <c r="F88">
        <v>2081.3790103843203</v>
      </c>
      <c r="G88">
        <v>5865.7096679529568</v>
      </c>
      <c r="H88" s="1">
        <v>45716.333333333336</v>
      </c>
    </row>
    <row r="89" spans="1:8" x14ac:dyDescent="0.25">
      <c r="A89" s="7">
        <f>DATE(YEAR(m2_crossvalid[[#This Row],[cutoff]]),MONTH(m2_crossvalid[[#This Row],[cutoff]]),DAY(m2_crossvalid[[#This Row],[cutoff]]))</f>
        <v>45716</v>
      </c>
      <c r="B89" s="7">
        <f>DATE(YEAR(m2_crossvalid[[#This Row],[ds]]),MONTH(m2_crossvalid[[#This Row],[ds]]),DAY(m2_crossvalid[[#This Row],[ds]]))</f>
        <v>45742</v>
      </c>
      <c r="C89">
        <v>6352</v>
      </c>
      <c r="D89" s="1">
        <v>45742.333333333336</v>
      </c>
      <c r="E89">
        <v>3886.9000887991269</v>
      </c>
      <c r="F89">
        <v>2033.3752363204587</v>
      </c>
      <c r="G89">
        <v>5778.3842847221149</v>
      </c>
      <c r="H89" s="1">
        <v>45716.333333333336</v>
      </c>
    </row>
    <row r="90" spans="1:8" x14ac:dyDescent="0.25">
      <c r="A90" s="7">
        <f>DATE(YEAR(m2_crossvalid[[#This Row],[cutoff]]),MONTH(m2_crossvalid[[#This Row],[cutoff]]),DAY(m2_crossvalid[[#This Row],[cutoff]]))</f>
        <v>45716</v>
      </c>
      <c r="B90" s="7">
        <f>DATE(YEAR(m2_crossvalid[[#This Row],[ds]]),MONTH(m2_crossvalid[[#This Row],[ds]]),DAY(m2_crossvalid[[#This Row],[ds]]))</f>
        <v>45743</v>
      </c>
      <c r="C90">
        <v>8836</v>
      </c>
      <c r="D90" s="1">
        <v>45743.333333333336</v>
      </c>
      <c r="E90">
        <v>3846.1375095676408</v>
      </c>
      <c r="F90">
        <v>1952.3231084997078</v>
      </c>
      <c r="G90">
        <v>5753.0441766992963</v>
      </c>
      <c r="H90" s="1">
        <v>45716.333333333336</v>
      </c>
    </row>
    <row r="91" spans="1:8" x14ac:dyDescent="0.25">
      <c r="A91" s="7">
        <f>DATE(YEAR(m2_crossvalid[[#This Row],[cutoff]]),MONTH(m2_crossvalid[[#This Row],[cutoff]]),DAY(m2_crossvalid[[#This Row],[cutoff]]))</f>
        <v>45716</v>
      </c>
      <c r="B91" s="7">
        <f>DATE(YEAR(m2_crossvalid[[#This Row],[ds]]),MONTH(m2_crossvalid[[#This Row],[ds]]),DAY(m2_crossvalid[[#This Row],[ds]]))</f>
        <v>45744</v>
      </c>
      <c r="C91">
        <v>9717</v>
      </c>
      <c r="D91" s="1">
        <v>45744.333333333336</v>
      </c>
      <c r="E91">
        <v>4260.1202700809799</v>
      </c>
      <c r="F91">
        <v>2403.4943348032602</v>
      </c>
      <c r="G91">
        <v>6145.1629880111741</v>
      </c>
      <c r="H91" s="1">
        <v>45716.333333333336</v>
      </c>
    </row>
    <row r="92" spans="1:8" x14ac:dyDescent="0.25">
      <c r="A92" s="7">
        <f>DATE(YEAR(m2_crossvalid[[#This Row],[cutoff]]),MONTH(m2_crossvalid[[#This Row],[cutoff]]),DAY(m2_crossvalid[[#This Row],[cutoff]]))</f>
        <v>45716</v>
      </c>
      <c r="B92" s="7">
        <f>DATE(YEAR(m2_crossvalid[[#This Row],[ds]]),MONTH(m2_crossvalid[[#This Row],[ds]]),DAY(m2_crossvalid[[#This Row],[ds]]))</f>
        <v>45745</v>
      </c>
      <c r="C92">
        <v>3249</v>
      </c>
      <c r="D92" s="1">
        <v>45745.333333333336</v>
      </c>
      <c r="E92">
        <v>3112.199312702915</v>
      </c>
      <c r="F92">
        <v>1278.2618521548291</v>
      </c>
      <c r="G92">
        <v>5126.4103914392481</v>
      </c>
      <c r="H92" s="1">
        <v>45716.333333333336</v>
      </c>
    </row>
    <row r="93" spans="1:8" x14ac:dyDescent="0.25">
      <c r="A93" s="7">
        <f>DATE(YEAR(m2_crossvalid[[#This Row],[cutoff]]),MONTH(m2_crossvalid[[#This Row],[cutoff]]),DAY(m2_crossvalid[[#This Row],[cutoff]]))</f>
        <v>45716</v>
      </c>
      <c r="B93" s="7">
        <f>DATE(YEAR(m2_crossvalid[[#This Row],[ds]]),MONTH(m2_crossvalid[[#This Row],[ds]]),DAY(m2_crossvalid[[#This Row],[ds]]))</f>
        <v>45746</v>
      </c>
      <c r="C93">
        <v>198</v>
      </c>
      <c r="D93" s="1">
        <v>45746.333333333336</v>
      </c>
      <c r="E93">
        <v>3819.1238897976182</v>
      </c>
      <c r="F93">
        <v>2034.4494332468423</v>
      </c>
      <c r="G93">
        <v>5660.063895925472</v>
      </c>
      <c r="H93" s="1">
        <v>45716.333333333336</v>
      </c>
    </row>
    <row r="94" spans="1:8" x14ac:dyDescent="0.25">
      <c r="A94" s="7">
        <f>DATE(YEAR(m2_crossvalid[[#This Row],[cutoff]]),MONTH(m2_crossvalid[[#This Row],[cutoff]]),DAY(m2_crossvalid[[#This Row],[cutoff]]))</f>
        <v>45716</v>
      </c>
      <c r="B94" s="7">
        <f>DATE(YEAR(m2_crossvalid[[#This Row],[ds]]),MONTH(m2_crossvalid[[#This Row],[ds]]),DAY(m2_crossvalid[[#This Row],[ds]]))</f>
        <v>45747</v>
      </c>
      <c r="C94">
        <v>53</v>
      </c>
      <c r="D94" s="1">
        <v>45747.333333333336</v>
      </c>
      <c r="E94">
        <v>6724.8096825353678</v>
      </c>
      <c r="F94">
        <v>4896.262104779752</v>
      </c>
      <c r="G94">
        <v>8529.95910078218</v>
      </c>
      <c r="H94" s="1">
        <v>45716.333333333336</v>
      </c>
    </row>
    <row r="95" spans="1:8" x14ac:dyDescent="0.25">
      <c r="A95" s="7">
        <f>DATE(YEAR(m2_crossvalid[[#This Row],[cutoff]]),MONTH(m2_crossvalid[[#This Row],[cutoff]]),DAY(m2_crossvalid[[#This Row],[cutoff]]))</f>
        <v>45747</v>
      </c>
      <c r="B95" s="7">
        <f>DATE(YEAR(m2_crossvalid[[#This Row],[ds]]),MONTH(m2_crossvalid[[#This Row],[ds]]),DAY(m2_crossvalid[[#This Row],[ds]]))</f>
        <v>45748</v>
      </c>
      <c r="C95">
        <v>2</v>
      </c>
      <c r="D95" s="1">
        <v>45748.333333333336</v>
      </c>
      <c r="E95">
        <v>6563.4704194132155</v>
      </c>
      <c r="F95">
        <v>4672.9682295479879</v>
      </c>
      <c r="G95">
        <v>8626.3992404894907</v>
      </c>
      <c r="H95" s="1">
        <v>45747.333333333336</v>
      </c>
    </row>
    <row r="96" spans="1:8" x14ac:dyDescent="0.25">
      <c r="A96" s="7">
        <f>DATE(YEAR(m2_crossvalid[[#This Row],[cutoff]]),MONTH(m2_crossvalid[[#This Row],[cutoff]]),DAY(m2_crossvalid[[#This Row],[cutoff]]))</f>
        <v>45747</v>
      </c>
      <c r="B96" s="7">
        <f>DATE(YEAR(m2_crossvalid[[#This Row],[ds]]),MONTH(m2_crossvalid[[#This Row],[ds]]),DAY(m2_crossvalid[[#This Row],[ds]]))</f>
        <v>45749</v>
      </c>
      <c r="C96">
        <v>105</v>
      </c>
      <c r="D96" s="1">
        <v>45749.333333333336</v>
      </c>
      <c r="E96">
        <v>4954.9066178696075</v>
      </c>
      <c r="F96">
        <v>2984.2459834670854</v>
      </c>
      <c r="G96">
        <v>6889.8534291208098</v>
      </c>
      <c r="H96" s="1">
        <v>45747.333333333336</v>
      </c>
    </row>
    <row r="97" spans="1:8" x14ac:dyDescent="0.25">
      <c r="A97" s="7">
        <f>DATE(YEAR(m2_crossvalid[[#This Row],[cutoff]]),MONTH(m2_crossvalid[[#This Row],[cutoff]]),DAY(m2_crossvalid[[#This Row],[cutoff]]))</f>
        <v>45747</v>
      </c>
      <c r="B97" s="7">
        <f>DATE(YEAR(m2_crossvalid[[#This Row],[ds]]),MONTH(m2_crossvalid[[#This Row],[ds]]),DAY(m2_crossvalid[[#This Row],[ds]]))</f>
        <v>45750</v>
      </c>
      <c r="C97">
        <v>284</v>
      </c>
      <c r="D97" s="1">
        <v>45750.333333333336</v>
      </c>
      <c r="E97">
        <v>3118.5353535837753</v>
      </c>
      <c r="F97">
        <v>1152.2249834878394</v>
      </c>
      <c r="G97">
        <v>5044.2239174132492</v>
      </c>
      <c r="H97" s="1">
        <v>45747.333333333336</v>
      </c>
    </row>
    <row r="98" spans="1:8" x14ac:dyDescent="0.25">
      <c r="A98" s="7">
        <f>DATE(YEAR(m2_crossvalid[[#This Row],[cutoff]]),MONTH(m2_crossvalid[[#This Row],[cutoff]]),DAY(m2_crossvalid[[#This Row],[cutoff]]))</f>
        <v>45747</v>
      </c>
      <c r="B98" s="7">
        <f>DATE(YEAR(m2_crossvalid[[#This Row],[ds]]),MONTH(m2_crossvalid[[#This Row],[ds]]),DAY(m2_crossvalid[[#This Row],[ds]]))</f>
        <v>45751</v>
      </c>
      <c r="C98">
        <v>403</v>
      </c>
      <c r="D98" s="1">
        <v>45751.333333333336</v>
      </c>
      <c r="E98">
        <v>1761.9157548650637</v>
      </c>
      <c r="F98">
        <v>-289.40935588625939</v>
      </c>
      <c r="G98">
        <v>3671.191592617763</v>
      </c>
      <c r="H98" s="1">
        <v>45747.333333333336</v>
      </c>
    </row>
    <row r="99" spans="1:8" x14ac:dyDescent="0.25">
      <c r="A99" s="7">
        <f>DATE(YEAR(m2_crossvalid[[#This Row],[cutoff]]),MONTH(m2_crossvalid[[#This Row],[cutoff]]),DAY(m2_crossvalid[[#This Row],[cutoff]]))</f>
        <v>45747</v>
      </c>
      <c r="B99" s="7">
        <f>DATE(YEAR(m2_crossvalid[[#This Row],[ds]]),MONTH(m2_crossvalid[[#This Row],[ds]]),DAY(m2_crossvalid[[#This Row],[ds]]))</f>
        <v>45752</v>
      </c>
      <c r="C99">
        <v>47</v>
      </c>
      <c r="D99" s="1">
        <v>45752.333333333336</v>
      </c>
      <c r="E99">
        <v>-929.11131772872113</v>
      </c>
      <c r="F99">
        <v>-2736.8722036939362</v>
      </c>
      <c r="G99">
        <v>1082.3862062821424</v>
      </c>
      <c r="H99" s="1">
        <v>45747.333333333336</v>
      </c>
    </row>
    <row r="100" spans="1:8" x14ac:dyDescent="0.25">
      <c r="A100" s="7">
        <f>DATE(YEAR(m2_crossvalid[[#This Row],[cutoff]]),MONTH(m2_crossvalid[[#This Row],[cutoff]]),DAY(m2_crossvalid[[#This Row],[cutoff]]))</f>
        <v>45747</v>
      </c>
      <c r="B100" s="7">
        <f>DATE(YEAR(m2_crossvalid[[#This Row],[ds]]),MONTH(m2_crossvalid[[#This Row],[ds]]),DAY(m2_crossvalid[[#This Row],[ds]]))</f>
        <v>45753</v>
      </c>
      <c r="C100">
        <v>11</v>
      </c>
      <c r="D100" s="1">
        <v>45753.333333333336</v>
      </c>
      <c r="E100">
        <v>-1176.7856265468945</v>
      </c>
      <c r="F100">
        <v>-2976.7703141031261</v>
      </c>
      <c r="G100">
        <v>735.56727992247477</v>
      </c>
      <c r="H100" s="1">
        <v>45747.333333333336</v>
      </c>
    </row>
    <row r="101" spans="1:8" x14ac:dyDescent="0.25">
      <c r="A101" s="7">
        <f>DATE(YEAR(m2_crossvalid[[#This Row],[cutoff]]),MONTH(m2_crossvalid[[#This Row],[cutoff]]),DAY(m2_crossvalid[[#This Row],[cutoff]]))</f>
        <v>45747</v>
      </c>
      <c r="B101" s="7">
        <f>DATE(YEAR(m2_crossvalid[[#This Row],[ds]]),MONTH(m2_crossvalid[[#This Row],[ds]]),DAY(m2_crossvalid[[#This Row],[ds]]))</f>
        <v>45754</v>
      </c>
      <c r="C101">
        <v>477</v>
      </c>
      <c r="D101" s="1">
        <v>45754.333333333336</v>
      </c>
      <c r="E101">
        <v>1551.1868597762523</v>
      </c>
      <c r="F101">
        <v>-351.93613343349824</v>
      </c>
      <c r="G101">
        <v>3424.2914316946799</v>
      </c>
      <c r="H101" s="1">
        <v>45747.333333333336</v>
      </c>
    </row>
    <row r="102" spans="1:8" x14ac:dyDescent="0.25">
      <c r="A102" s="7">
        <f>DATE(YEAR(m2_crossvalid[[#This Row],[cutoff]]),MONTH(m2_crossvalid[[#This Row],[cutoff]]),DAY(m2_crossvalid[[#This Row],[cutoff]]))</f>
        <v>45747</v>
      </c>
      <c r="B102" s="7">
        <f>DATE(YEAR(m2_crossvalid[[#This Row],[ds]]),MONTH(m2_crossvalid[[#This Row],[ds]]),DAY(m2_crossvalid[[#This Row],[ds]]))</f>
        <v>45755</v>
      </c>
      <c r="C102">
        <v>775</v>
      </c>
      <c r="D102" s="1">
        <v>45755.333333333336</v>
      </c>
      <c r="E102">
        <v>2268.6895565214691</v>
      </c>
      <c r="F102">
        <v>388.65809332802746</v>
      </c>
      <c r="G102">
        <v>4215.1209625772181</v>
      </c>
      <c r="H102" s="1">
        <v>45747.333333333336</v>
      </c>
    </row>
    <row r="103" spans="1:8" x14ac:dyDescent="0.25">
      <c r="A103" s="7">
        <f>DATE(YEAR(m2_crossvalid[[#This Row],[cutoff]]),MONTH(m2_crossvalid[[#This Row],[cutoff]]),DAY(m2_crossvalid[[#This Row],[cutoff]]))</f>
        <v>45747</v>
      </c>
      <c r="B103" s="7">
        <f>DATE(YEAR(m2_crossvalid[[#This Row],[ds]]),MONTH(m2_crossvalid[[#This Row],[ds]]),DAY(m2_crossvalid[[#This Row],[ds]]))</f>
        <v>45756</v>
      </c>
      <c r="C103">
        <v>1016</v>
      </c>
      <c r="D103" s="1">
        <v>45756.333333333336</v>
      </c>
      <c r="E103">
        <v>2124.4208996928701</v>
      </c>
      <c r="F103">
        <v>267.11625752124229</v>
      </c>
      <c r="G103">
        <v>3902.6664304233209</v>
      </c>
      <c r="H103" s="1">
        <v>45747.333333333336</v>
      </c>
    </row>
    <row r="104" spans="1:8" x14ac:dyDescent="0.25">
      <c r="A104" s="7">
        <f>DATE(YEAR(m2_crossvalid[[#This Row],[cutoff]]),MONTH(m2_crossvalid[[#This Row],[cutoff]]),DAY(m2_crossvalid[[#This Row],[cutoff]]))</f>
        <v>45747</v>
      </c>
      <c r="B104" s="7">
        <f>DATE(YEAR(m2_crossvalid[[#This Row],[ds]]),MONTH(m2_crossvalid[[#This Row],[ds]]),DAY(m2_crossvalid[[#This Row],[ds]]))</f>
        <v>45757</v>
      </c>
      <c r="C104">
        <v>1422</v>
      </c>
      <c r="D104" s="1">
        <v>45757.333333333336</v>
      </c>
      <c r="E104">
        <v>2030.0857687890132</v>
      </c>
      <c r="F104">
        <v>85.444223010780547</v>
      </c>
      <c r="G104">
        <v>3985.6996605450636</v>
      </c>
      <c r="H104" s="1">
        <v>45747.333333333336</v>
      </c>
    </row>
    <row r="105" spans="1:8" x14ac:dyDescent="0.25">
      <c r="A105" s="7">
        <f>DATE(YEAR(m2_crossvalid[[#This Row],[cutoff]]),MONTH(m2_crossvalid[[#This Row],[cutoff]]),DAY(m2_crossvalid[[#This Row],[cutoff]]))</f>
        <v>45747</v>
      </c>
      <c r="B105" s="7">
        <f>DATE(YEAR(m2_crossvalid[[#This Row],[ds]]),MONTH(m2_crossvalid[[#This Row],[ds]]),DAY(m2_crossvalid[[#This Row],[ds]]))</f>
        <v>45758</v>
      </c>
      <c r="C105">
        <v>1565</v>
      </c>
      <c r="D105" s="1">
        <v>45758.333333333336</v>
      </c>
      <c r="E105">
        <v>2076.6882039521397</v>
      </c>
      <c r="F105">
        <v>91.080129261210104</v>
      </c>
      <c r="G105">
        <v>4084.3531723731116</v>
      </c>
      <c r="H105" s="1">
        <v>45747.333333333336</v>
      </c>
    </row>
    <row r="106" spans="1:8" x14ac:dyDescent="0.25">
      <c r="A106" s="7">
        <f>DATE(YEAR(m2_crossvalid[[#This Row],[cutoff]]),MONTH(m2_crossvalid[[#This Row],[cutoff]]),DAY(m2_crossvalid[[#This Row],[cutoff]]))</f>
        <v>45747</v>
      </c>
      <c r="B106" s="7">
        <f>DATE(YEAR(m2_crossvalid[[#This Row],[ds]]),MONTH(m2_crossvalid[[#This Row],[ds]]),DAY(m2_crossvalid[[#This Row],[ds]]))</f>
        <v>45759</v>
      </c>
      <c r="C106">
        <v>276</v>
      </c>
      <c r="D106" s="1">
        <v>45759.333333333336</v>
      </c>
      <c r="E106">
        <v>14.079390078173219</v>
      </c>
      <c r="F106">
        <v>-1950.0170686970766</v>
      </c>
      <c r="G106">
        <v>1980.1047104610482</v>
      </c>
      <c r="H106" s="1">
        <v>45747.333333333336</v>
      </c>
    </row>
    <row r="107" spans="1:8" x14ac:dyDescent="0.25">
      <c r="A107" s="7">
        <f>DATE(YEAR(m2_crossvalid[[#This Row],[cutoff]]),MONTH(m2_crossvalid[[#This Row],[cutoff]]),DAY(m2_crossvalid[[#This Row],[cutoff]]))</f>
        <v>45747</v>
      </c>
      <c r="B107" s="7">
        <f>DATE(YEAR(m2_crossvalid[[#This Row],[ds]]),MONTH(m2_crossvalid[[#This Row],[ds]]),DAY(m2_crossvalid[[#This Row],[ds]]))</f>
        <v>45760</v>
      </c>
      <c r="C107">
        <v>55</v>
      </c>
      <c r="D107" s="1">
        <v>45760.333333333336</v>
      </c>
      <c r="E107">
        <v>-355.37119464776379</v>
      </c>
      <c r="F107">
        <v>-2243.3439143398255</v>
      </c>
      <c r="G107">
        <v>1442.0557025435096</v>
      </c>
      <c r="H107" s="1">
        <v>45747.333333333336</v>
      </c>
    </row>
    <row r="108" spans="1:8" x14ac:dyDescent="0.25">
      <c r="A108" s="7">
        <f>DATE(YEAR(m2_crossvalid[[#This Row],[cutoff]]),MONTH(m2_crossvalid[[#This Row],[cutoff]]),DAY(m2_crossvalid[[#This Row],[cutoff]]))</f>
        <v>45747</v>
      </c>
      <c r="B108" s="7">
        <f>DATE(YEAR(m2_crossvalid[[#This Row],[ds]]),MONTH(m2_crossvalid[[#This Row],[ds]]),DAY(m2_crossvalid[[#This Row],[ds]]))</f>
        <v>45761</v>
      </c>
      <c r="C108">
        <v>1634</v>
      </c>
      <c r="D108" s="1">
        <v>45761.333333333336</v>
      </c>
      <c r="E108">
        <v>1940.1485426537222</v>
      </c>
      <c r="F108">
        <v>22.493832656772739</v>
      </c>
      <c r="G108">
        <v>3864.0429033647483</v>
      </c>
      <c r="H108" s="1">
        <v>45747.333333333336</v>
      </c>
    </row>
    <row r="109" spans="1:8" x14ac:dyDescent="0.25">
      <c r="A109" s="7">
        <f>DATE(YEAR(m2_crossvalid[[#This Row],[cutoff]]),MONTH(m2_crossvalid[[#This Row],[cutoff]]),DAY(m2_crossvalid[[#This Row],[cutoff]]))</f>
        <v>45747</v>
      </c>
      <c r="B109" s="7">
        <f>DATE(YEAR(m2_crossvalid[[#This Row],[ds]]),MONTH(m2_crossvalid[[#This Row],[ds]]),DAY(m2_crossvalid[[#This Row],[ds]]))</f>
        <v>45762</v>
      </c>
      <c r="C109">
        <v>1965</v>
      </c>
      <c r="D109" s="1">
        <v>45762.333333333336</v>
      </c>
      <c r="E109">
        <v>2414.2233786597913</v>
      </c>
      <c r="F109">
        <v>436.73203598546939</v>
      </c>
      <c r="G109">
        <v>4243.6348434639804</v>
      </c>
      <c r="H109" s="1">
        <v>45747.333333333336</v>
      </c>
    </row>
    <row r="110" spans="1:8" x14ac:dyDescent="0.25">
      <c r="A110" s="7">
        <f>DATE(YEAR(m2_crossvalid[[#This Row],[cutoff]]),MONTH(m2_crossvalid[[#This Row],[cutoff]]),DAY(m2_crossvalid[[#This Row],[cutoff]]))</f>
        <v>45747</v>
      </c>
      <c r="B110" s="7">
        <f>DATE(YEAR(m2_crossvalid[[#This Row],[ds]]),MONTH(m2_crossvalid[[#This Row],[ds]]),DAY(m2_crossvalid[[#This Row],[ds]]))</f>
        <v>45763</v>
      </c>
      <c r="C110">
        <v>2361</v>
      </c>
      <c r="D110" s="1">
        <v>45763.333333333336</v>
      </c>
      <c r="E110">
        <v>2402.3091565406653</v>
      </c>
      <c r="F110">
        <v>421.224170562864</v>
      </c>
      <c r="G110">
        <v>4333.5095024539778</v>
      </c>
      <c r="H110" s="1">
        <v>45747.333333333336</v>
      </c>
    </row>
    <row r="111" spans="1:8" x14ac:dyDescent="0.25">
      <c r="A111" s="7">
        <f>DATE(YEAR(m2_crossvalid[[#This Row],[cutoff]]),MONTH(m2_crossvalid[[#This Row],[cutoff]]),DAY(m2_crossvalid[[#This Row],[cutoff]]))</f>
        <v>45747</v>
      </c>
      <c r="B111" s="7">
        <f>DATE(YEAR(m2_crossvalid[[#This Row],[ds]]),MONTH(m2_crossvalid[[#This Row],[ds]]),DAY(m2_crossvalid[[#This Row],[ds]]))</f>
        <v>45764</v>
      </c>
      <c r="C111">
        <v>2761</v>
      </c>
      <c r="D111" s="1">
        <v>45764.333333333336</v>
      </c>
      <c r="E111">
        <v>2608.9464576064911</v>
      </c>
      <c r="F111">
        <v>612.22758165748098</v>
      </c>
      <c r="G111">
        <v>4462.3859463785002</v>
      </c>
      <c r="H111" s="1">
        <v>45747.333333333336</v>
      </c>
    </row>
    <row r="112" spans="1:8" x14ac:dyDescent="0.25">
      <c r="A112" s="7">
        <f>DATE(YEAR(m2_crossvalid[[#This Row],[cutoff]]),MONTH(m2_crossvalid[[#This Row],[cutoff]]),DAY(m2_crossvalid[[#This Row],[cutoff]]))</f>
        <v>45747</v>
      </c>
      <c r="B112" s="7">
        <f>DATE(YEAR(m2_crossvalid[[#This Row],[ds]]),MONTH(m2_crossvalid[[#This Row],[ds]]),DAY(m2_crossvalid[[#This Row],[ds]]))</f>
        <v>45765</v>
      </c>
      <c r="C112">
        <v>2721</v>
      </c>
      <c r="D112" s="1">
        <v>45765.333333333336</v>
      </c>
      <c r="E112">
        <v>2784.1605796537688</v>
      </c>
      <c r="F112">
        <v>891.00497919876329</v>
      </c>
      <c r="G112">
        <v>4845.095818796276</v>
      </c>
      <c r="H112" s="1">
        <v>45747.333333333336</v>
      </c>
    </row>
    <row r="113" spans="1:8" x14ac:dyDescent="0.25">
      <c r="A113" s="7">
        <f>DATE(YEAR(m2_crossvalid[[#This Row],[cutoff]]),MONTH(m2_crossvalid[[#This Row],[cutoff]]),DAY(m2_crossvalid[[#This Row],[cutoff]]))</f>
        <v>45747</v>
      </c>
      <c r="B113" s="7">
        <f>DATE(YEAR(m2_crossvalid[[#This Row],[ds]]),MONTH(m2_crossvalid[[#This Row],[ds]]),DAY(m2_crossvalid[[#This Row],[ds]]))</f>
        <v>45766</v>
      </c>
      <c r="C113">
        <v>420</v>
      </c>
      <c r="D113" s="1">
        <v>45766.333333333336</v>
      </c>
      <c r="E113">
        <v>548.49533581612968</v>
      </c>
      <c r="F113">
        <v>-1496.4010982447605</v>
      </c>
      <c r="G113">
        <v>2447.7592151368667</v>
      </c>
      <c r="H113" s="1">
        <v>45747.333333333336</v>
      </c>
    </row>
    <row r="114" spans="1:8" x14ac:dyDescent="0.25">
      <c r="A114" s="7">
        <f>DATE(YEAR(m2_crossvalid[[#This Row],[cutoff]]),MONTH(m2_crossvalid[[#This Row],[cutoff]]),DAY(m2_crossvalid[[#This Row],[cutoff]]))</f>
        <v>45747</v>
      </c>
      <c r="B114" s="7">
        <f>DATE(YEAR(m2_crossvalid[[#This Row],[ds]]),MONTH(m2_crossvalid[[#This Row],[ds]]),DAY(m2_crossvalid[[#This Row],[ds]]))</f>
        <v>45767</v>
      </c>
      <c r="C114">
        <v>166</v>
      </c>
      <c r="D114" s="1">
        <v>45767.333333333336</v>
      </c>
      <c r="E114">
        <v>-103.10652322265742</v>
      </c>
      <c r="F114">
        <v>-1870.7561777566532</v>
      </c>
      <c r="G114">
        <v>1798.7848658837684</v>
      </c>
      <c r="H114" s="1">
        <v>45747.333333333336</v>
      </c>
    </row>
    <row r="115" spans="1:8" x14ac:dyDescent="0.25">
      <c r="A115" s="7">
        <f>DATE(YEAR(m2_crossvalid[[#This Row],[cutoff]]),MONTH(m2_crossvalid[[#This Row],[cutoff]]),DAY(m2_crossvalid[[#This Row],[cutoff]]))</f>
        <v>45747</v>
      </c>
      <c r="B115" s="7">
        <f>DATE(YEAR(m2_crossvalid[[#This Row],[ds]]),MONTH(m2_crossvalid[[#This Row],[ds]]),DAY(m2_crossvalid[[#This Row],[ds]]))</f>
        <v>45768</v>
      </c>
      <c r="C115">
        <v>2715</v>
      </c>
      <c r="D115" s="1">
        <v>45768.333333333336</v>
      </c>
      <c r="E115">
        <v>2103.3508532442293</v>
      </c>
      <c r="F115">
        <v>121.69547820541226</v>
      </c>
      <c r="G115">
        <v>3877.6895418371178</v>
      </c>
      <c r="H115" s="1">
        <v>45747.333333333336</v>
      </c>
    </row>
    <row r="116" spans="1:8" x14ac:dyDescent="0.25">
      <c r="A116" s="7">
        <f>DATE(YEAR(m2_crossvalid[[#This Row],[cutoff]]),MONTH(m2_crossvalid[[#This Row],[cutoff]]),DAY(m2_crossvalid[[#This Row],[cutoff]]))</f>
        <v>45747</v>
      </c>
      <c r="B116" s="7">
        <f>DATE(YEAR(m2_crossvalid[[#This Row],[ds]]),MONTH(m2_crossvalid[[#This Row],[ds]]),DAY(m2_crossvalid[[#This Row],[ds]]))</f>
        <v>45769</v>
      </c>
      <c r="C116">
        <v>3162</v>
      </c>
      <c r="D116" s="1">
        <v>45769.333333333336</v>
      </c>
      <c r="E116">
        <v>2780.4579733714295</v>
      </c>
      <c r="F116">
        <v>813.85850523148019</v>
      </c>
      <c r="G116">
        <v>4628.4435992336603</v>
      </c>
      <c r="H116" s="1">
        <v>45747.333333333336</v>
      </c>
    </row>
    <row r="117" spans="1:8" x14ac:dyDescent="0.25">
      <c r="A117" s="7">
        <f>DATE(YEAR(m2_crossvalid[[#This Row],[cutoff]]),MONTH(m2_crossvalid[[#This Row],[cutoff]]),DAY(m2_crossvalid[[#This Row],[cutoff]]))</f>
        <v>45747</v>
      </c>
      <c r="B117" s="7">
        <f>DATE(YEAR(m2_crossvalid[[#This Row],[ds]]),MONTH(m2_crossvalid[[#This Row],[ds]]),DAY(m2_crossvalid[[#This Row],[ds]]))</f>
        <v>45770</v>
      </c>
      <c r="C117">
        <v>3604</v>
      </c>
      <c r="D117" s="1">
        <v>45770.333333333336</v>
      </c>
      <c r="E117">
        <v>3059.6177558633217</v>
      </c>
      <c r="F117">
        <v>1095.4971795398935</v>
      </c>
      <c r="G117">
        <v>5154.3668103227137</v>
      </c>
      <c r="H117" s="1">
        <v>45747.333333333336</v>
      </c>
    </row>
    <row r="118" spans="1:8" x14ac:dyDescent="0.25">
      <c r="A118" s="7">
        <f>DATE(YEAR(m2_crossvalid[[#This Row],[cutoff]]),MONTH(m2_crossvalid[[#This Row],[cutoff]]),DAY(m2_crossvalid[[#This Row],[cutoff]]))</f>
        <v>45747</v>
      </c>
      <c r="B118" s="7">
        <f>DATE(YEAR(m2_crossvalid[[#This Row],[ds]]),MONTH(m2_crossvalid[[#This Row],[ds]]),DAY(m2_crossvalid[[#This Row],[ds]]))</f>
        <v>45771</v>
      </c>
      <c r="C118">
        <v>3831</v>
      </c>
      <c r="D118" s="1">
        <v>45771.333333333336</v>
      </c>
      <c r="E118">
        <v>3353.262123656129</v>
      </c>
      <c r="F118">
        <v>1434.9702772484547</v>
      </c>
      <c r="G118">
        <v>5431.2231383923026</v>
      </c>
      <c r="H118" s="1">
        <v>45747.333333333336</v>
      </c>
    </row>
    <row r="119" spans="1:8" x14ac:dyDescent="0.25">
      <c r="A119" s="7">
        <f>DATE(YEAR(m2_crossvalid[[#This Row],[cutoff]]),MONTH(m2_crossvalid[[#This Row],[cutoff]]),DAY(m2_crossvalid[[#This Row],[cutoff]]))</f>
        <v>45747</v>
      </c>
      <c r="B119" s="7">
        <f>DATE(YEAR(m2_crossvalid[[#This Row],[ds]]),MONTH(m2_crossvalid[[#This Row],[ds]]),DAY(m2_crossvalid[[#This Row],[ds]]))</f>
        <v>45772</v>
      </c>
      <c r="C119">
        <v>4600</v>
      </c>
      <c r="D119" s="1">
        <v>45772.333333333336</v>
      </c>
      <c r="E119">
        <v>3352.5330108881521</v>
      </c>
      <c r="F119">
        <v>1434.7859434726138</v>
      </c>
      <c r="G119">
        <v>5404.7314611411048</v>
      </c>
      <c r="H119" s="1">
        <v>45747.333333333336</v>
      </c>
    </row>
    <row r="120" spans="1:8" x14ac:dyDescent="0.25">
      <c r="A120" s="7">
        <f>DATE(YEAR(m2_crossvalid[[#This Row],[cutoff]]),MONTH(m2_crossvalid[[#This Row],[cutoff]]),DAY(m2_crossvalid[[#This Row],[cutoff]]))</f>
        <v>45747</v>
      </c>
      <c r="B120" s="7">
        <f>DATE(YEAR(m2_crossvalid[[#This Row],[ds]]),MONTH(m2_crossvalid[[#This Row],[ds]]),DAY(m2_crossvalid[[#This Row],[ds]]))</f>
        <v>45773</v>
      </c>
      <c r="C120">
        <v>1014</v>
      </c>
      <c r="D120" s="1">
        <v>45773.333333333336</v>
      </c>
      <c r="E120">
        <v>959.65328743101577</v>
      </c>
      <c r="F120">
        <v>-941.98606210573485</v>
      </c>
      <c r="G120">
        <v>2877.6077027465562</v>
      </c>
      <c r="H120" s="1">
        <v>45747.333333333336</v>
      </c>
    </row>
    <row r="121" spans="1:8" x14ac:dyDescent="0.25">
      <c r="A121" s="7">
        <f>DATE(YEAR(m2_crossvalid[[#This Row],[cutoff]]),MONTH(m2_crossvalid[[#This Row],[cutoff]]),DAY(m2_crossvalid[[#This Row],[cutoff]]))</f>
        <v>45747</v>
      </c>
      <c r="B121" s="7">
        <f>DATE(YEAR(m2_crossvalid[[#This Row],[ds]]),MONTH(m2_crossvalid[[#This Row],[ds]]),DAY(m2_crossvalid[[#This Row],[ds]]))</f>
        <v>45774</v>
      </c>
      <c r="C121">
        <v>198</v>
      </c>
      <c r="D121" s="1">
        <v>45774.333333333336</v>
      </c>
      <c r="E121">
        <v>560.62198184964109</v>
      </c>
      <c r="F121">
        <v>-1268.9801325822702</v>
      </c>
      <c r="G121">
        <v>2620.4626919066982</v>
      </c>
      <c r="H121" s="1">
        <v>45747.333333333336</v>
      </c>
    </row>
    <row r="122" spans="1:8" x14ac:dyDescent="0.25">
      <c r="A122" s="7">
        <f>DATE(YEAR(m2_crossvalid[[#This Row],[cutoff]]),MONTH(m2_crossvalid[[#This Row],[cutoff]]),DAY(m2_crossvalid[[#This Row],[cutoff]]))</f>
        <v>45747</v>
      </c>
      <c r="B122" s="7">
        <f>DATE(YEAR(m2_crossvalid[[#This Row],[ds]]),MONTH(m2_crossvalid[[#This Row],[ds]]),DAY(m2_crossvalid[[#This Row],[ds]]))</f>
        <v>45775</v>
      </c>
      <c r="C122">
        <v>5133</v>
      </c>
      <c r="D122" s="1">
        <v>45775.333333333336</v>
      </c>
      <c r="E122">
        <v>3554.606468168121</v>
      </c>
      <c r="F122">
        <v>1624.9099415654809</v>
      </c>
      <c r="G122">
        <v>5391.34161374211</v>
      </c>
      <c r="H122" s="1">
        <v>45747.333333333336</v>
      </c>
    </row>
    <row r="123" spans="1:8" x14ac:dyDescent="0.25">
      <c r="A123" s="7">
        <f>DATE(YEAR(m2_crossvalid[[#This Row],[cutoff]]),MONTH(m2_crossvalid[[#This Row],[cutoff]]),DAY(m2_crossvalid[[#This Row],[cutoff]]))</f>
        <v>45747</v>
      </c>
      <c r="B123" s="7">
        <f>DATE(YEAR(m2_crossvalid[[#This Row],[ds]]),MONTH(m2_crossvalid[[#This Row],[ds]]),DAY(m2_crossvalid[[#This Row],[ds]]))</f>
        <v>45776</v>
      </c>
      <c r="C123">
        <v>7913</v>
      </c>
      <c r="D123" s="1">
        <v>45776.333333333336</v>
      </c>
      <c r="E123">
        <v>5230.7849638867447</v>
      </c>
      <c r="F123">
        <v>3378.6249702444888</v>
      </c>
      <c r="G123">
        <v>7063.757299818114</v>
      </c>
      <c r="H123" s="1">
        <v>45747.333333333336</v>
      </c>
    </row>
    <row r="124" spans="1:8" x14ac:dyDescent="0.25">
      <c r="A124" s="7">
        <f>DATE(YEAR(m2_crossvalid[[#This Row],[cutoff]]),MONTH(m2_crossvalid[[#This Row],[cutoff]]),DAY(m2_crossvalid[[#This Row],[cutoff]]))</f>
        <v>45747</v>
      </c>
      <c r="B124" s="7">
        <f>DATE(YEAR(m2_crossvalid[[#This Row],[ds]]),MONTH(m2_crossvalid[[#This Row],[ds]]),DAY(m2_crossvalid[[#This Row],[ds]]))</f>
        <v>45777</v>
      </c>
      <c r="C124">
        <v>14564</v>
      </c>
      <c r="D124" s="1">
        <v>45777.333333333336</v>
      </c>
      <c r="E124">
        <v>6128.4160131076806</v>
      </c>
      <c r="F124">
        <v>4276.4099754217441</v>
      </c>
      <c r="G124">
        <v>7925.9118720355254</v>
      </c>
      <c r="H124" s="1">
        <v>45747.333333333336</v>
      </c>
    </row>
    <row r="125" spans="1:8" x14ac:dyDescent="0.25">
      <c r="A125" s="7">
        <f>DATE(YEAR(m2_crossvalid[[#This Row],[cutoff]]),MONTH(m2_crossvalid[[#This Row],[cutoff]]),DAY(m2_crossvalid[[#This Row],[cutoff]]))</f>
        <v>45747</v>
      </c>
      <c r="B125" s="7">
        <f>DATE(YEAR(m2_crossvalid[[#This Row],[ds]]),MONTH(m2_crossvalid[[#This Row],[ds]]),DAY(m2_crossvalid[[#This Row],[ds]]))</f>
        <v>45778</v>
      </c>
      <c r="C125">
        <v>24</v>
      </c>
      <c r="D125" s="1">
        <v>45778.333333333336</v>
      </c>
      <c r="E125">
        <v>6193.804882001371</v>
      </c>
      <c r="F125">
        <v>4227.7679008687692</v>
      </c>
      <c r="G125">
        <v>8063.2759696258208</v>
      </c>
      <c r="H125" s="1">
        <v>45747.333333333336</v>
      </c>
    </row>
    <row r="126" spans="1:8" x14ac:dyDescent="0.25">
      <c r="A126" s="7">
        <f>DATE(YEAR(m2_crossvalid[[#This Row],[cutoff]]),MONTH(m2_crossvalid[[#This Row],[cutoff]]),DAY(m2_crossvalid[[#This Row],[cutoff]]))</f>
        <v>45777</v>
      </c>
      <c r="B126" s="7">
        <f>DATE(YEAR(m2_crossvalid[[#This Row],[ds]]),MONTH(m2_crossvalid[[#This Row],[ds]]),DAY(m2_crossvalid[[#This Row],[ds]]))</f>
        <v>45778</v>
      </c>
      <c r="C126">
        <v>24</v>
      </c>
      <c r="D126" s="1">
        <v>45778.333333333336</v>
      </c>
      <c r="E126">
        <v>6461.1956110176152</v>
      </c>
      <c r="F126">
        <v>4430.0042815306479</v>
      </c>
      <c r="G126">
        <v>8371.8028032040947</v>
      </c>
      <c r="H126" s="1">
        <v>45777.333333333336</v>
      </c>
    </row>
    <row r="127" spans="1:8" x14ac:dyDescent="0.25">
      <c r="A127" s="7">
        <f>DATE(YEAR(m2_crossvalid[[#This Row],[cutoff]]),MONTH(m2_crossvalid[[#This Row],[cutoff]]),DAY(m2_crossvalid[[#This Row],[cutoff]]))</f>
        <v>45777</v>
      </c>
      <c r="B127" s="7">
        <f>DATE(YEAR(m2_crossvalid[[#This Row],[ds]]),MONTH(m2_crossvalid[[#This Row],[ds]]),DAY(m2_crossvalid[[#This Row],[ds]]))</f>
        <v>45779</v>
      </c>
      <c r="C127">
        <v>750</v>
      </c>
      <c r="D127" s="1">
        <v>45779.333333333336</v>
      </c>
      <c r="E127">
        <v>5251.8055744867252</v>
      </c>
      <c r="F127">
        <v>3361.2877302917118</v>
      </c>
      <c r="G127">
        <v>7222.2464948518618</v>
      </c>
      <c r="H127" s="1">
        <v>45777.333333333336</v>
      </c>
    </row>
    <row r="128" spans="1:8" x14ac:dyDescent="0.25">
      <c r="A128" s="7">
        <f>DATE(YEAR(m2_crossvalid[[#This Row],[cutoff]]),MONTH(m2_crossvalid[[#This Row],[cutoff]]),DAY(m2_crossvalid[[#This Row],[cutoff]]))</f>
        <v>45777</v>
      </c>
      <c r="B128" s="7">
        <f>DATE(YEAR(m2_crossvalid[[#This Row],[ds]]),MONTH(m2_crossvalid[[#This Row],[ds]]),DAY(m2_crossvalid[[#This Row],[ds]]))</f>
        <v>45780</v>
      </c>
      <c r="C128">
        <v>70</v>
      </c>
      <c r="D128" s="1">
        <v>45780.333333333336</v>
      </c>
      <c r="E128">
        <v>1136.780143714217</v>
      </c>
      <c r="F128">
        <v>-899.72574954366348</v>
      </c>
      <c r="G128">
        <v>3115.8488041917317</v>
      </c>
      <c r="H128" s="1">
        <v>45777.333333333336</v>
      </c>
    </row>
    <row r="129" spans="1:8" x14ac:dyDescent="0.25">
      <c r="A129" s="7">
        <f>DATE(YEAR(m2_crossvalid[[#This Row],[cutoff]]),MONTH(m2_crossvalid[[#This Row],[cutoff]]),DAY(m2_crossvalid[[#This Row],[cutoff]]))</f>
        <v>45777</v>
      </c>
      <c r="B129" s="7">
        <f>DATE(YEAR(m2_crossvalid[[#This Row],[ds]]),MONTH(m2_crossvalid[[#This Row],[ds]]),DAY(m2_crossvalid[[#This Row],[ds]]))</f>
        <v>45781</v>
      </c>
      <c r="C129">
        <v>31</v>
      </c>
      <c r="D129" s="1">
        <v>45781.333333333336</v>
      </c>
      <c r="E129">
        <v>-1028.3086027709833</v>
      </c>
      <c r="F129">
        <v>-2815.4876795007744</v>
      </c>
      <c r="G129">
        <v>775.39564539635217</v>
      </c>
      <c r="H129" s="1">
        <v>45777.333333333336</v>
      </c>
    </row>
    <row r="130" spans="1:8" x14ac:dyDescent="0.25">
      <c r="A130" s="7">
        <f>DATE(YEAR(m2_crossvalid[[#This Row],[cutoff]]),MONTH(m2_crossvalid[[#This Row],[cutoff]]),DAY(m2_crossvalid[[#This Row],[cutoff]]))</f>
        <v>45777</v>
      </c>
      <c r="B130" s="7">
        <f>DATE(YEAR(m2_crossvalid[[#This Row],[ds]]),MONTH(m2_crossvalid[[#This Row],[ds]]),DAY(m2_crossvalid[[#This Row],[ds]]))</f>
        <v>45782</v>
      </c>
      <c r="C130">
        <v>1026</v>
      </c>
      <c r="D130" s="1">
        <v>45782.333333333336</v>
      </c>
      <c r="E130">
        <v>470.76900277428535</v>
      </c>
      <c r="F130">
        <v>-1499.7903507745436</v>
      </c>
      <c r="G130">
        <v>2353.7282553823952</v>
      </c>
      <c r="H130" s="1">
        <v>45777.333333333336</v>
      </c>
    </row>
    <row r="131" spans="1:8" x14ac:dyDescent="0.25">
      <c r="A131" s="7">
        <f>DATE(YEAR(m2_crossvalid[[#This Row],[cutoff]]),MONTH(m2_crossvalid[[#This Row],[cutoff]]),DAY(m2_crossvalid[[#This Row],[cutoff]]))</f>
        <v>45777</v>
      </c>
      <c r="B131" s="7">
        <f>DATE(YEAR(m2_crossvalid[[#This Row],[ds]]),MONTH(m2_crossvalid[[#This Row],[ds]]),DAY(m2_crossvalid[[#This Row],[ds]]))</f>
        <v>45783</v>
      </c>
      <c r="C131">
        <v>940</v>
      </c>
      <c r="D131" s="1">
        <v>45783.333333333336</v>
      </c>
      <c r="E131">
        <v>1057.5519027015127</v>
      </c>
      <c r="F131">
        <v>-814.36235563686989</v>
      </c>
      <c r="G131">
        <v>3007.4938316059893</v>
      </c>
      <c r="H131" s="1">
        <v>45777.333333333336</v>
      </c>
    </row>
    <row r="132" spans="1:8" x14ac:dyDescent="0.25">
      <c r="A132" s="7">
        <f>DATE(YEAR(m2_crossvalid[[#This Row],[cutoff]]),MONTH(m2_crossvalid[[#This Row],[cutoff]]),DAY(m2_crossvalid[[#This Row],[cutoff]]))</f>
        <v>45777</v>
      </c>
      <c r="B132" s="7">
        <f>DATE(YEAR(m2_crossvalid[[#This Row],[ds]]),MONTH(m2_crossvalid[[#This Row],[ds]]),DAY(m2_crossvalid[[#This Row],[ds]]))</f>
        <v>45784</v>
      </c>
      <c r="C132">
        <v>1225</v>
      </c>
      <c r="D132" s="1">
        <v>45784.333333333336</v>
      </c>
      <c r="E132">
        <v>1526.7510447410982</v>
      </c>
      <c r="F132">
        <v>-393.51151664337601</v>
      </c>
      <c r="G132">
        <v>3509.3641842160359</v>
      </c>
      <c r="H132" s="1">
        <v>45777.333333333336</v>
      </c>
    </row>
    <row r="133" spans="1:8" x14ac:dyDescent="0.25">
      <c r="A133" s="7">
        <f>DATE(YEAR(m2_crossvalid[[#This Row],[cutoff]]),MONTH(m2_crossvalid[[#This Row],[cutoff]]),DAY(m2_crossvalid[[#This Row],[cutoff]]))</f>
        <v>45777</v>
      </c>
      <c r="B133" s="7">
        <f>DATE(YEAR(m2_crossvalid[[#This Row],[ds]]),MONTH(m2_crossvalid[[#This Row],[ds]]),DAY(m2_crossvalid[[#This Row],[ds]]))</f>
        <v>45785</v>
      </c>
      <c r="C133">
        <v>1538</v>
      </c>
      <c r="D133" s="1">
        <v>45785.333333333336</v>
      </c>
      <c r="E133">
        <v>1846.959406996343</v>
      </c>
      <c r="F133">
        <v>-218.7391318486857</v>
      </c>
      <c r="G133">
        <v>3881.6521232762011</v>
      </c>
      <c r="H133" s="1">
        <v>45777.333333333336</v>
      </c>
    </row>
    <row r="134" spans="1:8" x14ac:dyDescent="0.25">
      <c r="A134" s="7">
        <f>DATE(YEAR(m2_crossvalid[[#This Row],[cutoff]]),MONTH(m2_crossvalid[[#This Row],[cutoff]]),DAY(m2_crossvalid[[#This Row],[cutoff]]))</f>
        <v>45777</v>
      </c>
      <c r="B134" s="7">
        <f>DATE(YEAR(m2_crossvalid[[#This Row],[ds]]),MONTH(m2_crossvalid[[#This Row],[ds]]),DAY(m2_crossvalid[[#This Row],[ds]]))</f>
        <v>45786</v>
      </c>
      <c r="C134">
        <v>1799</v>
      </c>
      <c r="D134" s="1">
        <v>45786.333333333336</v>
      </c>
      <c r="E134">
        <v>1843.5240992119798</v>
      </c>
      <c r="F134">
        <v>-52.824085806072588</v>
      </c>
      <c r="G134">
        <v>3937.2705700767669</v>
      </c>
      <c r="H134" s="1">
        <v>45777.333333333336</v>
      </c>
    </row>
    <row r="135" spans="1:8" x14ac:dyDescent="0.25">
      <c r="A135" s="7">
        <f>DATE(YEAR(m2_crossvalid[[#This Row],[cutoff]]),MONTH(m2_crossvalid[[#This Row],[cutoff]]),DAY(m2_crossvalid[[#This Row],[cutoff]]))</f>
        <v>45777</v>
      </c>
      <c r="B135" s="7">
        <f>DATE(YEAR(m2_crossvalid[[#This Row],[ds]]),MONTH(m2_crossvalid[[#This Row],[ds]]),DAY(m2_crossvalid[[#This Row],[ds]]))</f>
        <v>45787</v>
      </c>
      <c r="C135">
        <v>415</v>
      </c>
      <c r="D135" s="1">
        <v>45787.333333333336</v>
      </c>
      <c r="E135">
        <v>-544.81311980103555</v>
      </c>
      <c r="F135">
        <v>-2483.62968632108</v>
      </c>
      <c r="G135">
        <v>1463.0917082536962</v>
      </c>
      <c r="H135" s="1">
        <v>45777.333333333336</v>
      </c>
    </row>
    <row r="136" spans="1:8" x14ac:dyDescent="0.25">
      <c r="A136" s="7">
        <f>DATE(YEAR(m2_crossvalid[[#This Row],[cutoff]]),MONTH(m2_crossvalid[[#This Row],[cutoff]]),DAY(m2_crossvalid[[#This Row],[cutoff]]))</f>
        <v>45777</v>
      </c>
      <c r="B136" s="7">
        <f>DATE(YEAR(m2_crossvalid[[#This Row],[ds]]),MONTH(m2_crossvalid[[#This Row],[ds]]),DAY(m2_crossvalid[[#This Row],[ds]]))</f>
        <v>45788</v>
      </c>
      <c r="C136">
        <v>169</v>
      </c>
      <c r="D136" s="1">
        <v>45788.333333333336</v>
      </c>
      <c r="E136">
        <v>-1052.602884098168</v>
      </c>
      <c r="F136">
        <v>-3017.516846098571</v>
      </c>
      <c r="G136">
        <v>953.07700160064155</v>
      </c>
      <c r="H136" s="1">
        <v>45777.333333333336</v>
      </c>
    </row>
    <row r="137" spans="1:8" x14ac:dyDescent="0.25">
      <c r="A137" s="7">
        <f>DATE(YEAR(m2_crossvalid[[#This Row],[cutoff]]),MONTH(m2_crossvalid[[#This Row],[cutoff]]),DAY(m2_crossvalid[[#This Row],[cutoff]]))</f>
        <v>45777</v>
      </c>
      <c r="B137" s="7">
        <f>DATE(YEAR(m2_crossvalid[[#This Row],[ds]]),MONTH(m2_crossvalid[[#This Row],[ds]]),DAY(m2_crossvalid[[#This Row],[ds]]))</f>
        <v>45789</v>
      </c>
      <c r="C137">
        <v>185</v>
      </c>
      <c r="D137" s="1">
        <v>45789.333333333336</v>
      </c>
      <c r="E137">
        <v>1466.424739242965</v>
      </c>
      <c r="F137">
        <v>-461.43551844137733</v>
      </c>
      <c r="G137">
        <v>3497.8997761364844</v>
      </c>
      <c r="H137" s="1">
        <v>45777.333333333336</v>
      </c>
    </row>
    <row r="138" spans="1:8" x14ac:dyDescent="0.25">
      <c r="A138" s="7">
        <f>DATE(YEAR(m2_crossvalid[[#This Row],[cutoff]]),MONTH(m2_crossvalid[[#This Row],[cutoff]]),DAY(m2_crossvalid[[#This Row],[cutoff]]))</f>
        <v>45777</v>
      </c>
      <c r="B138" s="7">
        <f>DATE(YEAR(m2_crossvalid[[#This Row],[ds]]),MONTH(m2_crossvalid[[#This Row],[ds]]),DAY(m2_crossvalid[[#This Row],[ds]]))</f>
        <v>45790</v>
      </c>
      <c r="C138">
        <v>2011</v>
      </c>
      <c r="D138" s="1">
        <v>45790.333333333336</v>
      </c>
      <c r="E138">
        <v>2246.4660432140731</v>
      </c>
      <c r="F138">
        <v>208.16831149522596</v>
      </c>
      <c r="G138">
        <v>4170.0137397015942</v>
      </c>
      <c r="H138" s="1">
        <v>45777.333333333336</v>
      </c>
    </row>
    <row r="139" spans="1:8" x14ac:dyDescent="0.25">
      <c r="A139" s="7">
        <f>DATE(YEAR(m2_crossvalid[[#This Row],[cutoff]]),MONTH(m2_crossvalid[[#This Row],[cutoff]]),DAY(m2_crossvalid[[#This Row],[cutoff]]))</f>
        <v>45777</v>
      </c>
      <c r="B139" s="7">
        <f>DATE(YEAR(m2_crossvalid[[#This Row],[ds]]),MONTH(m2_crossvalid[[#This Row],[ds]]),DAY(m2_crossvalid[[#This Row],[ds]]))</f>
        <v>45791</v>
      </c>
      <c r="C139">
        <v>2630</v>
      </c>
      <c r="D139" s="1">
        <v>45791.333333333336</v>
      </c>
      <c r="E139">
        <v>2378.4866805772517</v>
      </c>
      <c r="F139">
        <v>471.34761295515079</v>
      </c>
      <c r="G139">
        <v>4161.451910677838</v>
      </c>
      <c r="H139" s="1">
        <v>45777.333333333336</v>
      </c>
    </row>
    <row r="140" spans="1:8" x14ac:dyDescent="0.25">
      <c r="A140" s="7">
        <f>DATE(YEAR(m2_crossvalid[[#This Row],[cutoff]]),MONTH(m2_crossvalid[[#This Row],[cutoff]]),DAY(m2_crossvalid[[#This Row],[cutoff]]))</f>
        <v>45777</v>
      </c>
      <c r="B140" s="7">
        <f>DATE(YEAR(m2_crossvalid[[#This Row],[ds]]),MONTH(m2_crossvalid[[#This Row],[ds]]),DAY(m2_crossvalid[[#This Row],[ds]]))</f>
        <v>45792</v>
      </c>
      <c r="C140">
        <v>2985</v>
      </c>
      <c r="D140" s="1">
        <v>45792.333333333336</v>
      </c>
      <c r="E140">
        <v>2358.8124966058763</v>
      </c>
      <c r="F140">
        <v>512.60284947437583</v>
      </c>
      <c r="G140">
        <v>4247.3691768124245</v>
      </c>
      <c r="H140" s="1">
        <v>45777.333333333336</v>
      </c>
    </row>
    <row r="141" spans="1:8" x14ac:dyDescent="0.25">
      <c r="A141" s="7">
        <f>DATE(YEAR(m2_crossvalid[[#This Row],[cutoff]]),MONTH(m2_crossvalid[[#This Row],[cutoff]]),DAY(m2_crossvalid[[#This Row],[cutoff]]))</f>
        <v>45777</v>
      </c>
      <c r="B141" s="7">
        <f>DATE(YEAR(m2_crossvalid[[#This Row],[ds]]),MONTH(m2_crossvalid[[#This Row],[ds]]),DAY(m2_crossvalid[[#This Row],[ds]]))</f>
        <v>45793</v>
      </c>
      <c r="C141">
        <v>3081</v>
      </c>
      <c r="D141" s="1">
        <v>45793.333333333336</v>
      </c>
      <c r="E141">
        <v>2358.6137976980644</v>
      </c>
      <c r="F141">
        <v>488.61571354647918</v>
      </c>
      <c r="G141">
        <v>4235.2245321218961</v>
      </c>
      <c r="H141" s="1">
        <v>45777.333333333336</v>
      </c>
    </row>
    <row r="142" spans="1:8" x14ac:dyDescent="0.25">
      <c r="A142" s="7">
        <f>DATE(YEAR(m2_crossvalid[[#This Row],[cutoff]]),MONTH(m2_crossvalid[[#This Row],[cutoff]]),DAY(m2_crossvalid[[#This Row],[cutoff]]))</f>
        <v>45777</v>
      </c>
      <c r="B142" s="7">
        <f>DATE(YEAR(m2_crossvalid[[#This Row],[ds]]),MONTH(m2_crossvalid[[#This Row],[ds]]),DAY(m2_crossvalid[[#This Row],[ds]]))</f>
        <v>45794</v>
      </c>
      <c r="C142">
        <v>609</v>
      </c>
      <c r="D142" s="1">
        <v>45794.333333333336</v>
      </c>
      <c r="E142">
        <v>254.19640627704166</v>
      </c>
      <c r="F142">
        <v>-1744.6526894549741</v>
      </c>
      <c r="G142">
        <v>2221.2529246342983</v>
      </c>
      <c r="H142" s="1">
        <v>45777.333333333336</v>
      </c>
    </row>
    <row r="143" spans="1:8" x14ac:dyDescent="0.25">
      <c r="A143" s="7">
        <f>DATE(YEAR(m2_crossvalid[[#This Row],[cutoff]]),MONTH(m2_crossvalid[[#This Row],[cutoff]]),DAY(m2_crossvalid[[#This Row],[cutoff]]))</f>
        <v>45777</v>
      </c>
      <c r="B143" s="7">
        <f>DATE(YEAR(m2_crossvalid[[#This Row],[ds]]),MONTH(m2_crossvalid[[#This Row],[ds]]),DAY(m2_crossvalid[[#This Row],[ds]]))</f>
        <v>45795</v>
      </c>
      <c r="C143">
        <v>185</v>
      </c>
      <c r="D143" s="1">
        <v>45795.333333333336</v>
      </c>
      <c r="E143">
        <v>-19.79809049018786</v>
      </c>
      <c r="F143">
        <v>-1974.1218345298237</v>
      </c>
      <c r="G143">
        <v>2000.3800316195643</v>
      </c>
      <c r="H143" s="1">
        <v>45777.333333333336</v>
      </c>
    </row>
    <row r="144" spans="1:8" x14ac:dyDescent="0.25">
      <c r="A144" s="7">
        <f>DATE(YEAR(m2_crossvalid[[#This Row],[cutoff]]),MONTH(m2_crossvalid[[#This Row],[cutoff]]),DAY(m2_crossvalid[[#This Row],[cutoff]]))</f>
        <v>45777</v>
      </c>
      <c r="B144" s="7">
        <f>DATE(YEAR(m2_crossvalid[[#This Row],[ds]]),MONTH(m2_crossvalid[[#This Row],[ds]]),DAY(m2_crossvalid[[#This Row],[ds]]))</f>
        <v>45796</v>
      </c>
      <c r="C144">
        <v>2926</v>
      </c>
      <c r="D144" s="1">
        <v>45796.333333333336</v>
      </c>
      <c r="E144">
        <v>2439.3104695754078</v>
      </c>
      <c r="F144">
        <v>475.51232533457937</v>
      </c>
      <c r="G144">
        <v>4616.793139908732</v>
      </c>
      <c r="H144" s="1">
        <v>45777.333333333336</v>
      </c>
    </row>
    <row r="145" spans="1:8" x14ac:dyDescent="0.25">
      <c r="A145" s="7">
        <f>DATE(YEAR(m2_crossvalid[[#This Row],[cutoff]]),MONTH(m2_crossvalid[[#This Row],[cutoff]]),DAY(m2_crossvalid[[#This Row],[cutoff]]))</f>
        <v>45777</v>
      </c>
      <c r="B145" s="7">
        <f>DATE(YEAR(m2_crossvalid[[#This Row],[ds]]),MONTH(m2_crossvalid[[#This Row],[ds]]),DAY(m2_crossvalid[[#This Row],[ds]]))</f>
        <v>45797</v>
      </c>
      <c r="C145">
        <v>3213</v>
      </c>
      <c r="D145" s="1">
        <v>45797.333333333336</v>
      </c>
      <c r="E145">
        <v>2942.9845408808196</v>
      </c>
      <c r="F145">
        <v>910.90352422614194</v>
      </c>
      <c r="G145">
        <v>4855.2369581353369</v>
      </c>
      <c r="H145" s="1">
        <v>45777.333333333336</v>
      </c>
    </row>
    <row r="146" spans="1:8" x14ac:dyDescent="0.25">
      <c r="A146" s="7">
        <f>DATE(YEAR(m2_crossvalid[[#This Row],[cutoff]]),MONTH(m2_crossvalid[[#This Row],[cutoff]]),DAY(m2_crossvalid[[#This Row],[cutoff]]))</f>
        <v>45777</v>
      </c>
      <c r="B146" s="7">
        <f>DATE(YEAR(m2_crossvalid[[#This Row],[ds]]),MONTH(m2_crossvalid[[#This Row],[ds]]),DAY(m2_crossvalid[[#This Row],[ds]]))</f>
        <v>45798</v>
      </c>
      <c r="C146">
        <v>3566</v>
      </c>
      <c r="D146" s="1">
        <v>45798.333333333336</v>
      </c>
      <c r="E146">
        <v>2883.2556556192758</v>
      </c>
      <c r="F146">
        <v>872.60276325114683</v>
      </c>
      <c r="G146">
        <v>4713.9980102787631</v>
      </c>
      <c r="H146" s="1">
        <v>45777.333333333336</v>
      </c>
    </row>
    <row r="147" spans="1:8" x14ac:dyDescent="0.25">
      <c r="A147" s="7">
        <f>DATE(YEAR(m2_crossvalid[[#This Row],[cutoff]]),MONTH(m2_crossvalid[[#This Row],[cutoff]]),DAY(m2_crossvalid[[#This Row],[cutoff]]))</f>
        <v>45777</v>
      </c>
      <c r="B147" s="7">
        <f>DATE(YEAR(m2_crossvalid[[#This Row],[ds]]),MONTH(m2_crossvalid[[#This Row],[ds]]),DAY(m2_crossvalid[[#This Row],[ds]]))</f>
        <v>45799</v>
      </c>
      <c r="C147">
        <v>3706</v>
      </c>
      <c r="D147" s="1">
        <v>45799.333333333336</v>
      </c>
      <c r="E147">
        <v>2965.4568725038444</v>
      </c>
      <c r="F147">
        <v>1147.6171729404409</v>
      </c>
      <c r="G147">
        <v>5017.8791154785549</v>
      </c>
      <c r="H147" s="1">
        <v>45777.333333333336</v>
      </c>
    </row>
    <row r="148" spans="1:8" x14ac:dyDescent="0.25">
      <c r="A148" s="7">
        <f>DATE(YEAR(m2_crossvalid[[#This Row],[cutoff]]),MONTH(m2_crossvalid[[#This Row],[cutoff]]),DAY(m2_crossvalid[[#This Row],[cutoff]]))</f>
        <v>45777</v>
      </c>
      <c r="B148" s="7">
        <f>DATE(YEAR(m2_crossvalid[[#This Row],[ds]]),MONTH(m2_crossvalid[[#This Row],[ds]]),DAY(m2_crossvalid[[#This Row],[ds]]))</f>
        <v>45800</v>
      </c>
      <c r="C148">
        <v>3920</v>
      </c>
      <c r="D148" s="1">
        <v>45800.333333333336</v>
      </c>
      <c r="E148">
        <v>3262.159019565669</v>
      </c>
      <c r="F148">
        <v>1208.4007627733324</v>
      </c>
      <c r="G148">
        <v>5229.9181041872662</v>
      </c>
      <c r="H148" s="1">
        <v>45777.333333333336</v>
      </c>
    </row>
    <row r="149" spans="1:8" x14ac:dyDescent="0.25">
      <c r="A149" s="7">
        <f>DATE(YEAR(m2_crossvalid[[#This Row],[cutoff]]),MONTH(m2_crossvalid[[#This Row],[cutoff]]),DAY(m2_crossvalid[[#This Row],[cutoff]]))</f>
        <v>45777</v>
      </c>
      <c r="B149" s="7">
        <f>DATE(YEAR(m2_crossvalid[[#This Row],[ds]]),MONTH(m2_crossvalid[[#This Row],[ds]]),DAY(m2_crossvalid[[#This Row],[ds]]))</f>
        <v>45801</v>
      </c>
      <c r="C149">
        <v>857</v>
      </c>
      <c r="D149" s="1">
        <v>45801.333333333336</v>
      </c>
      <c r="E149">
        <v>1345.1152673043682</v>
      </c>
      <c r="F149">
        <v>-542.04228550706421</v>
      </c>
      <c r="G149">
        <v>3283.6504742353281</v>
      </c>
      <c r="H149" s="1">
        <v>45777.333333333336</v>
      </c>
    </row>
    <row r="150" spans="1:8" x14ac:dyDescent="0.25">
      <c r="A150" s="7">
        <f>DATE(YEAR(m2_crossvalid[[#This Row],[cutoff]]),MONTH(m2_crossvalid[[#This Row],[cutoff]]),DAY(m2_crossvalid[[#This Row],[cutoff]]))</f>
        <v>45777</v>
      </c>
      <c r="B150" s="7">
        <f>DATE(YEAR(m2_crossvalid[[#This Row],[ds]]),MONTH(m2_crossvalid[[#This Row],[ds]]),DAY(m2_crossvalid[[#This Row],[ds]]))</f>
        <v>45802</v>
      </c>
      <c r="C150">
        <v>215</v>
      </c>
      <c r="D150" s="1">
        <v>45802.333333333336</v>
      </c>
      <c r="E150">
        <v>962.07208404207427</v>
      </c>
      <c r="F150">
        <v>-960.66805515037788</v>
      </c>
      <c r="G150">
        <v>2966.4630217610575</v>
      </c>
      <c r="H150" s="1">
        <v>45777.333333333336</v>
      </c>
    </row>
    <row r="151" spans="1:8" x14ac:dyDescent="0.25">
      <c r="A151" s="7">
        <f>DATE(YEAR(m2_crossvalid[[#This Row],[cutoff]]),MONTH(m2_crossvalid[[#This Row],[cutoff]]),DAY(m2_crossvalid[[#This Row],[cutoff]]))</f>
        <v>45777</v>
      </c>
      <c r="B151" s="7">
        <f>DATE(YEAR(m2_crossvalid[[#This Row],[ds]]),MONTH(m2_crossvalid[[#This Row],[ds]]),DAY(m2_crossvalid[[#This Row],[ds]]))</f>
        <v>45803</v>
      </c>
      <c r="C151">
        <v>4297</v>
      </c>
      <c r="D151" s="1">
        <v>45803.333333333336</v>
      </c>
      <c r="E151">
        <v>3174.4610851102257</v>
      </c>
      <c r="F151">
        <v>1215.4366120970826</v>
      </c>
      <c r="G151">
        <v>5256.1677888250724</v>
      </c>
      <c r="H151" s="1">
        <v>45777.333333333336</v>
      </c>
    </row>
    <row r="152" spans="1:8" x14ac:dyDescent="0.25">
      <c r="A152" s="7">
        <f>DATE(YEAR(m2_crossvalid[[#This Row],[cutoff]]),MONTH(m2_crossvalid[[#This Row],[cutoff]]),DAY(m2_crossvalid[[#This Row],[cutoff]]))</f>
        <v>45777</v>
      </c>
      <c r="B152" s="7">
        <f>DATE(YEAR(m2_crossvalid[[#This Row],[ds]]),MONTH(m2_crossvalid[[#This Row],[ds]]),DAY(m2_crossvalid[[#This Row],[ds]]))</f>
        <v>45804</v>
      </c>
      <c r="C152">
        <v>5188</v>
      </c>
      <c r="D152" s="1">
        <v>45804.333333333336</v>
      </c>
      <c r="E152">
        <v>3694.2869783492224</v>
      </c>
      <c r="F152">
        <v>1617.8810149571782</v>
      </c>
      <c r="G152">
        <v>5691.167588291989</v>
      </c>
      <c r="H152" s="1">
        <v>45777.333333333336</v>
      </c>
    </row>
    <row r="153" spans="1:8" x14ac:dyDescent="0.25">
      <c r="A153" s="7">
        <f>DATE(YEAR(m2_crossvalid[[#This Row],[cutoff]]),MONTH(m2_crossvalid[[#This Row],[cutoff]]),DAY(m2_crossvalid[[#This Row],[cutoff]]))</f>
        <v>45777</v>
      </c>
      <c r="B153" s="7">
        <f>DATE(YEAR(m2_crossvalid[[#This Row],[ds]]),MONTH(m2_crossvalid[[#This Row],[ds]]),DAY(m2_crossvalid[[#This Row],[ds]]))</f>
        <v>45805</v>
      </c>
      <c r="C153">
        <v>5701</v>
      </c>
      <c r="D153" s="1">
        <v>45805.333333333336</v>
      </c>
      <c r="E153">
        <v>4193.7579469950224</v>
      </c>
      <c r="F153">
        <v>2306.4147390557673</v>
      </c>
      <c r="G153">
        <v>6149.7064975244075</v>
      </c>
      <c r="H153" s="1">
        <v>45777.333333333336</v>
      </c>
    </row>
    <row r="154" spans="1:8" x14ac:dyDescent="0.25">
      <c r="A154" s="7">
        <f>DATE(YEAR(m2_crossvalid[[#This Row],[cutoff]]),MONTH(m2_crossvalid[[#This Row],[cutoff]]),DAY(m2_crossvalid[[#This Row],[cutoff]]))</f>
        <v>45777</v>
      </c>
      <c r="B154" s="7">
        <f>DATE(YEAR(m2_crossvalid[[#This Row],[ds]]),MONTH(m2_crossvalid[[#This Row],[ds]]),DAY(m2_crossvalid[[#This Row],[ds]]))</f>
        <v>45806</v>
      </c>
      <c r="C154">
        <v>8103</v>
      </c>
      <c r="D154" s="1">
        <v>45806.333333333336</v>
      </c>
      <c r="E154">
        <v>5237.5519674322341</v>
      </c>
      <c r="F154">
        <v>3118.9977790648836</v>
      </c>
      <c r="G154">
        <v>7259.0837321197023</v>
      </c>
      <c r="H154" s="1">
        <v>45777.333333333336</v>
      </c>
    </row>
    <row r="155" spans="1:8" x14ac:dyDescent="0.25">
      <c r="A155" s="7">
        <f>DATE(YEAR(m2_crossvalid[[#This Row],[cutoff]]),MONTH(m2_crossvalid[[#This Row],[cutoff]]),DAY(m2_crossvalid[[#This Row],[cutoff]]))</f>
        <v>45777</v>
      </c>
      <c r="B155" s="7">
        <f>DATE(YEAR(m2_crossvalid[[#This Row],[ds]]),MONTH(m2_crossvalid[[#This Row],[ds]]),DAY(m2_crossvalid[[#This Row],[ds]]))</f>
        <v>45807</v>
      </c>
      <c r="C155">
        <v>8920</v>
      </c>
      <c r="D155" s="1">
        <v>45807.333333333336</v>
      </c>
      <c r="E155">
        <v>6370.4719946781925</v>
      </c>
      <c r="F155">
        <v>4426.9343726720736</v>
      </c>
      <c r="G155">
        <v>8371.1677537641481</v>
      </c>
      <c r="H155" s="1">
        <v>45777.333333333336</v>
      </c>
    </row>
    <row r="156" spans="1:8" x14ac:dyDescent="0.25">
      <c r="A156" s="7">
        <f>DATE(YEAR(m2_crossvalid[[#This Row],[cutoff]]),MONTH(m2_crossvalid[[#This Row],[cutoff]]),DAY(m2_crossvalid[[#This Row],[cutoff]]))</f>
        <v>45777</v>
      </c>
      <c r="B156" s="7">
        <f>DATE(YEAR(m2_crossvalid[[#This Row],[ds]]),MONTH(m2_crossvalid[[#This Row],[ds]]),DAY(m2_crossvalid[[#This Row],[ds]]))</f>
        <v>45808</v>
      </c>
      <c r="C156">
        <v>4108</v>
      </c>
      <c r="D156" s="1">
        <v>45808.333333333336</v>
      </c>
      <c r="E156">
        <v>4595.3041168964219</v>
      </c>
      <c r="F156">
        <v>2621.3239249633666</v>
      </c>
      <c r="G156">
        <v>6542.5372111118422</v>
      </c>
      <c r="H156" s="1">
        <v>45777.333333333336</v>
      </c>
    </row>
    <row r="157" spans="1:8" x14ac:dyDescent="0.25">
      <c r="A157" s="7">
        <f>DATE(YEAR(m2_crossvalid[[#This Row],[cutoff]]),MONTH(m2_crossvalid[[#This Row],[cutoff]]),DAY(m2_crossvalid[[#This Row],[cutoff]]))</f>
        <v>45808</v>
      </c>
      <c r="B157" s="7">
        <f>DATE(YEAR(m2_crossvalid[[#This Row],[ds]]),MONTH(m2_crossvalid[[#This Row],[ds]]),DAY(m2_crossvalid[[#This Row],[ds]]))</f>
        <v>45809</v>
      </c>
      <c r="C157">
        <v>75</v>
      </c>
      <c r="D157" s="1">
        <v>45809.333333333336</v>
      </c>
      <c r="E157">
        <v>3508.9199496364308</v>
      </c>
      <c r="F157">
        <v>1516.0106898158303</v>
      </c>
      <c r="G157">
        <v>5369.2883433726593</v>
      </c>
      <c r="H157" s="1">
        <v>45808.333333333336</v>
      </c>
    </row>
    <row r="158" spans="1:8" x14ac:dyDescent="0.25">
      <c r="A158" s="7">
        <f>DATE(YEAR(m2_crossvalid[[#This Row],[cutoff]]),MONTH(m2_crossvalid[[#This Row],[cutoff]]),DAY(m2_crossvalid[[#This Row],[cutoff]]))</f>
        <v>45808</v>
      </c>
      <c r="B158" s="7">
        <f>DATE(YEAR(m2_crossvalid[[#This Row],[ds]]),MONTH(m2_crossvalid[[#This Row],[ds]]),DAY(m2_crossvalid[[#This Row],[ds]]))</f>
        <v>45810</v>
      </c>
      <c r="C158">
        <v>3</v>
      </c>
      <c r="D158" s="1">
        <v>45810.333333333336</v>
      </c>
      <c r="E158">
        <v>4192.6477152926873</v>
      </c>
      <c r="F158">
        <v>2252.4454292495443</v>
      </c>
      <c r="G158">
        <v>6211.0562698901704</v>
      </c>
      <c r="H158" s="1">
        <v>45808.333333333336</v>
      </c>
    </row>
    <row r="159" spans="1:8" x14ac:dyDescent="0.25">
      <c r="A159" s="7">
        <f>DATE(YEAR(m2_crossvalid[[#This Row],[cutoff]]),MONTH(m2_crossvalid[[#This Row],[cutoff]]),DAY(m2_crossvalid[[#This Row],[cutoff]]))</f>
        <v>45808</v>
      </c>
      <c r="B159" s="7">
        <f>DATE(YEAR(m2_crossvalid[[#This Row],[ds]]),MONTH(m2_crossvalid[[#This Row],[ds]]),DAY(m2_crossvalid[[#This Row],[ds]]))</f>
        <v>45811</v>
      </c>
      <c r="C159">
        <v>578</v>
      </c>
      <c r="D159" s="1">
        <v>45811.333333333336</v>
      </c>
      <c r="E159">
        <v>2924.0294530383799</v>
      </c>
      <c r="F159">
        <v>995.78388359921109</v>
      </c>
      <c r="G159">
        <v>4966.6675119159536</v>
      </c>
      <c r="H159" s="1">
        <v>45808.333333333336</v>
      </c>
    </row>
    <row r="160" spans="1:8" x14ac:dyDescent="0.25">
      <c r="A160" s="7">
        <f>DATE(YEAR(m2_crossvalid[[#This Row],[cutoff]]),MONTH(m2_crossvalid[[#This Row],[cutoff]]),DAY(m2_crossvalid[[#This Row],[cutoff]]))</f>
        <v>45808</v>
      </c>
      <c r="B160" s="7">
        <f>DATE(YEAR(m2_crossvalid[[#This Row],[ds]]),MONTH(m2_crossvalid[[#This Row],[ds]]),DAY(m2_crossvalid[[#This Row],[ds]]))</f>
        <v>45812</v>
      </c>
      <c r="C160">
        <v>842</v>
      </c>
      <c r="D160" s="1">
        <v>45812.333333333336</v>
      </c>
      <c r="E160">
        <v>1734.4923829660047</v>
      </c>
      <c r="F160">
        <v>-203.5671238255714</v>
      </c>
      <c r="G160">
        <v>3806.2575287705945</v>
      </c>
      <c r="H160" s="1">
        <v>45808.333333333336</v>
      </c>
    </row>
    <row r="161" spans="1:8" x14ac:dyDescent="0.25">
      <c r="A161" s="7">
        <f>DATE(YEAR(m2_crossvalid[[#This Row],[cutoff]]),MONTH(m2_crossvalid[[#This Row],[cutoff]]),DAY(m2_crossvalid[[#This Row],[cutoff]]))</f>
        <v>45808</v>
      </c>
      <c r="B161" s="7">
        <f>DATE(YEAR(m2_crossvalid[[#This Row],[ds]]),MONTH(m2_crossvalid[[#This Row],[ds]]),DAY(m2_crossvalid[[#This Row],[ds]]))</f>
        <v>45813</v>
      </c>
      <c r="C161">
        <v>1102</v>
      </c>
      <c r="D161" s="1">
        <v>45813.333333333336</v>
      </c>
      <c r="E161">
        <v>1392.3469445169658</v>
      </c>
      <c r="F161">
        <v>-615.55790629811429</v>
      </c>
      <c r="G161">
        <v>3437.1553541653693</v>
      </c>
      <c r="H161" s="1">
        <v>45808.333333333336</v>
      </c>
    </row>
    <row r="162" spans="1:8" x14ac:dyDescent="0.25">
      <c r="A162" s="7">
        <f>DATE(YEAR(m2_crossvalid[[#This Row],[cutoff]]),MONTH(m2_crossvalid[[#This Row],[cutoff]]),DAY(m2_crossvalid[[#This Row],[cutoff]]))</f>
        <v>45808</v>
      </c>
      <c r="B162" s="7">
        <f>DATE(YEAR(m2_crossvalid[[#This Row],[ds]]),MONTH(m2_crossvalid[[#This Row],[ds]]),DAY(m2_crossvalid[[#This Row],[ds]]))</f>
        <v>45814</v>
      </c>
      <c r="C162">
        <v>1098</v>
      </c>
      <c r="D162" s="1">
        <v>45814.333333333336</v>
      </c>
      <c r="E162">
        <v>1701.6800217260347</v>
      </c>
      <c r="F162">
        <v>-100.42712332124373</v>
      </c>
      <c r="G162">
        <v>3768.2708464563857</v>
      </c>
      <c r="H162" s="1">
        <v>45808.333333333336</v>
      </c>
    </row>
    <row r="163" spans="1:8" x14ac:dyDescent="0.25">
      <c r="A163" s="7">
        <f>DATE(YEAR(m2_crossvalid[[#This Row],[cutoff]]),MONTH(m2_crossvalid[[#This Row],[cutoff]]),DAY(m2_crossvalid[[#This Row],[cutoff]]))</f>
        <v>45808</v>
      </c>
      <c r="B163" s="7">
        <f>DATE(YEAR(m2_crossvalid[[#This Row],[ds]]),MONTH(m2_crossvalid[[#This Row],[ds]]),DAY(m2_crossvalid[[#This Row],[ds]]))</f>
        <v>45815</v>
      </c>
      <c r="C163">
        <v>17</v>
      </c>
      <c r="D163" s="1">
        <v>45815.333333333336</v>
      </c>
      <c r="E163">
        <v>-170.67905104109923</v>
      </c>
      <c r="F163">
        <v>-2112.0681702038846</v>
      </c>
      <c r="G163">
        <v>1688.8750081439289</v>
      </c>
      <c r="H163" s="1">
        <v>45808.333333333336</v>
      </c>
    </row>
    <row r="164" spans="1:8" x14ac:dyDescent="0.25">
      <c r="A164" s="7">
        <f>DATE(YEAR(m2_crossvalid[[#This Row],[cutoff]]),MONTH(m2_crossvalid[[#This Row],[cutoff]]),DAY(m2_crossvalid[[#This Row],[cutoff]]))</f>
        <v>45808</v>
      </c>
      <c r="B164" s="7">
        <f>DATE(YEAR(m2_crossvalid[[#This Row],[ds]]),MONTH(m2_crossvalid[[#This Row],[ds]]),DAY(m2_crossvalid[[#This Row],[ds]]))</f>
        <v>45816</v>
      </c>
      <c r="C164">
        <v>2</v>
      </c>
      <c r="D164" s="1">
        <v>45816.333333333336</v>
      </c>
      <c r="E164">
        <v>-552.62787180550185</v>
      </c>
      <c r="F164">
        <v>-2443.2998443163633</v>
      </c>
      <c r="G164">
        <v>1473.6794472735671</v>
      </c>
      <c r="H164" s="1">
        <v>45808.333333333336</v>
      </c>
    </row>
    <row r="165" spans="1:8" x14ac:dyDescent="0.25">
      <c r="A165" s="7">
        <f>DATE(YEAR(m2_crossvalid[[#This Row],[cutoff]]),MONTH(m2_crossvalid[[#This Row],[cutoff]]),DAY(m2_crossvalid[[#This Row],[cutoff]]))</f>
        <v>45808</v>
      </c>
      <c r="B165" s="7">
        <f>DATE(YEAR(m2_crossvalid[[#This Row],[ds]]),MONTH(m2_crossvalid[[#This Row],[ds]]),DAY(m2_crossvalid[[#This Row],[ds]]))</f>
        <v>45817</v>
      </c>
      <c r="C165">
        <v>716</v>
      </c>
      <c r="D165" s="1">
        <v>45817.333333333336</v>
      </c>
      <c r="E165">
        <v>1635.0400611973341</v>
      </c>
      <c r="F165">
        <v>-301.48760978776949</v>
      </c>
      <c r="G165">
        <v>3523.1254000365575</v>
      </c>
      <c r="H165" s="1">
        <v>45808.333333333336</v>
      </c>
    </row>
    <row r="166" spans="1:8" x14ac:dyDescent="0.25">
      <c r="A166" s="7">
        <f>DATE(YEAR(m2_crossvalid[[#This Row],[cutoff]]),MONTH(m2_crossvalid[[#This Row],[cutoff]]),DAY(m2_crossvalid[[#This Row],[cutoff]]))</f>
        <v>45808</v>
      </c>
      <c r="B166" s="7">
        <f>DATE(YEAR(m2_crossvalid[[#This Row],[ds]]),MONTH(m2_crossvalid[[#This Row],[ds]]),DAY(m2_crossvalid[[#This Row],[ds]]))</f>
        <v>45818</v>
      </c>
      <c r="C166">
        <v>1129</v>
      </c>
      <c r="D166" s="1">
        <v>45818.333333333336</v>
      </c>
      <c r="E166">
        <v>2079.3624606273174</v>
      </c>
      <c r="F166">
        <v>203.75694030111339</v>
      </c>
      <c r="G166">
        <v>4145.4578432880771</v>
      </c>
      <c r="H166" s="1">
        <v>45808.333333333336</v>
      </c>
    </row>
    <row r="167" spans="1:8" x14ac:dyDescent="0.25">
      <c r="A167" s="7">
        <f>DATE(YEAR(m2_crossvalid[[#This Row],[cutoff]]),MONTH(m2_crossvalid[[#This Row],[cutoff]]),DAY(m2_crossvalid[[#This Row],[cutoff]]))</f>
        <v>45808</v>
      </c>
      <c r="B167" s="7">
        <f>DATE(YEAR(m2_crossvalid[[#This Row],[ds]]),MONTH(m2_crossvalid[[#This Row],[ds]]),DAY(m2_crossvalid[[#This Row],[ds]]))</f>
        <v>45819</v>
      </c>
      <c r="C167">
        <v>1387</v>
      </c>
      <c r="D167" s="1">
        <v>45819.333333333336</v>
      </c>
      <c r="E167">
        <v>2213.6172154364394</v>
      </c>
      <c r="F167">
        <v>336.44663383342083</v>
      </c>
      <c r="G167">
        <v>4149.8730377892298</v>
      </c>
      <c r="H167" s="1">
        <v>45808.333333333336</v>
      </c>
    </row>
    <row r="168" spans="1:8" x14ac:dyDescent="0.25">
      <c r="A168" s="7">
        <f>DATE(YEAR(m2_crossvalid[[#This Row],[cutoff]]),MONTH(m2_crossvalid[[#This Row],[cutoff]]),DAY(m2_crossvalid[[#This Row],[cutoff]]))</f>
        <v>45808</v>
      </c>
      <c r="B168" s="7">
        <f>DATE(YEAR(m2_crossvalid[[#This Row],[ds]]),MONTH(m2_crossvalid[[#This Row],[ds]]),DAY(m2_crossvalid[[#This Row],[ds]]))</f>
        <v>45820</v>
      </c>
      <c r="C168">
        <v>1689</v>
      </c>
      <c r="D168" s="1">
        <v>45820.333333333336</v>
      </c>
      <c r="E168">
        <v>2426.5506623652454</v>
      </c>
      <c r="F168">
        <v>473.77524610598192</v>
      </c>
      <c r="G168">
        <v>4366.3350802049608</v>
      </c>
      <c r="H168" s="1">
        <v>45808.333333333336</v>
      </c>
    </row>
    <row r="169" spans="1:8" x14ac:dyDescent="0.25">
      <c r="A169" s="7">
        <f>DATE(YEAR(m2_crossvalid[[#This Row],[cutoff]]),MONTH(m2_crossvalid[[#This Row],[cutoff]]),DAY(m2_crossvalid[[#This Row],[cutoff]]))</f>
        <v>45808</v>
      </c>
      <c r="B169" s="7">
        <f>DATE(YEAR(m2_crossvalid[[#This Row],[ds]]),MONTH(m2_crossvalid[[#This Row],[ds]]),DAY(m2_crossvalid[[#This Row],[ds]]))</f>
        <v>45821</v>
      </c>
      <c r="C169">
        <v>1883</v>
      </c>
      <c r="D169" s="1">
        <v>45821.333333333336</v>
      </c>
      <c r="E169">
        <v>2597.5330204414486</v>
      </c>
      <c r="F169">
        <v>690.62931594326824</v>
      </c>
      <c r="G169">
        <v>4647.2915784113502</v>
      </c>
      <c r="H169" s="1">
        <v>45808.333333333336</v>
      </c>
    </row>
    <row r="170" spans="1:8" x14ac:dyDescent="0.25">
      <c r="A170" s="7">
        <f>DATE(YEAR(m2_crossvalid[[#This Row],[cutoff]]),MONTH(m2_crossvalid[[#This Row],[cutoff]]),DAY(m2_crossvalid[[#This Row],[cutoff]]))</f>
        <v>45808</v>
      </c>
      <c r="B170" s="7">
        <f>DATE(YEAR(m2_crossvalid[[#This Row],[ds]]),MONTH(m2_crossvalid[[#This Row],[ds]]),DAY(m2_crossvalid[[#This Row],[ds]]))</f>
        <v>45822</v>
      </c>
      <c r="C170">
        <v>280</v>
      </c>
      <c r="D170" s="1">
        <v>45822.333333333336</v>
      </c>
      <c r="E170">
        <v>336.13591861625855</v>
      </c>
      <c r="F170">
        <v>-1581.7078844759467</v>
      </c>
      <c r="G170">
        <v>2363.0092532352123</v>
      </c>
      <c r="H170" s="1">
        <v>45808.333333333336</v>
      </c>
    </row>
    <row r="171" spans="1:8" x14ac:dyDescent="0.25">
      <c r="A171" s="7">
        <f>DATE(YEAR(m2_crossvalid[[#This Row],[cutoff]]),MONTH(m2_crossvalid[[#This Row],[cutoff]]),DAY(m2_crossvalid[[#This Row],[cutoff]]))</f>
        <v>45808</v>
      </c>
      <c r="B171" s="7">
        <f>DATE(YEAR(m2_crossvalid[[#This Row],[ds]]),MONTH(m2_crossvalid[[#This Row],[ds]]),DAY(m2_crossvalid[[#This Row],[ds]]))</f>
        <v>45823</v>
      </c>
      <c r="C171">
        <v>71</v>
      </c>
      <c r="D171" s="1">
        <v>45823.333333333336</v>
      </c>
      <c r="E171">
        <v>-231.31081722343242</v>
      </c>
      <c r="F171">
        <v>-2258.565856327345</v>
      </c>
      <c r="G171">
        <v>1673.6789123541726</v>
      </c>
      <c r="H171" s="1">
        <v>45808.333333333336</v>
      </c>
    </row>
    <row r="172" spans="1:8" x14ac:dyDescent="0.25">
      <c r="A172" s="7">
        <f>DATE(YEAR(m2_crossvalid[[#This Row],[cutoff]]),MONTH(m2_crossvalid[[#This Row],[cutoff]]),DAY(m2_crossvalid[[#This Row],[cutoff]]))</f>
        <v>45808</v>
      </c>
      <c r="B172" s="7">
        <f>DATE(YEAR(m2_crossvalid[[#This Row],[ds]]),MONTH(m2_crossvalid[[#This Row],[ds]]),DAY(m2_crossvalid[[#This Row],[ds]]))</f>
        <v>45824</v>
      </c>
      <c r="C172">
        <v>1852</v>
      </c>
      <c r="D172" s="1">
        <v>45824.333333333336</v>
      </c>
      <c r="E172">
        <v>2108.3070044887013</v>
      </c>
      <c r="F172">
        <v>114.19426111919594</v>
      </c>
      <c r="G172">
        <v>4064.7677139440816</v>
      </c>
      <c r="H172" s="1">
        <v>45808.333333333336</v>
      </c>
    </row>
    <row r="173" spans="1:8" x14ac:dyDescent="0.25">
      <c r="A173" s="7">
        <f>DATE(YEAR(m2_crossvalid[[#This Row],[cutoff]]),MONTH(m2_crossvalid[[#This Row],[cutoff]]),DAY(m2_crossvalid[[#This Row],[cutoff]]))</f>
        <v>45808</v>
      </c>
      <c r="B173" s="7">
        <f>DATE(YEAR(m2_crossvalid[[#This Row],[ds]]),MONTH(m2_crossvalid[[#This Row],[ds]]),DAY(m2_crossvalid[[#This Row],[ds]]))</f>
        <v>45825</v>
      </c>
      <c r="C173">
        <v>2251</v>
      </c>
      <c r="D173" s="1">
        <v>45825.333333333336</v>
      </c>
      <c r="E173">
        <v>2821.1289835279572</v>
      </c>
      <c r="F173">
        <v>838.31648206606155</v>
      </c>
      <c r="G173">
        <v>4769.8623823136995</v>
      </c>
      <c r="H173" s="1">
        <v>45808.333333333336</v>
      </c>
    </row>
    <row r="174" spans="1:8" x14ac:dyDescent="0.25">
      <c r="A174" s="7">
        <f>DATE(YEAR(m2_crossvalid[[#This Row],[cutoff]]),MONTH(m2_crossvalid[[#This Row],[cutoff]]),DAY(m2_crossvalid[[#This Row],[cutoff]]))</f>
        <v>45808</v>
      </c>
      <c r="B174" s="7">
        <f>DATE(YEAR(m2_crossvalid[[#This Row],[ds]]),MONTH(m2_crossvalid[[#This Row],[ds]]),DAY(m2_crossvalid[[#This Row],[ds]]))</f>
        <v>45826</v>
      </c>
      <c r="C174">
        <v>2552</v>
      </c>
      <c r="D174" s="1">
        <v>45826.333333333336</v>
      </c>
      <c r="E174">
        <v>3034.0412761834132</v>
      </c>
      <c r="F174">
        <v>1084.8534452212878</v>
      </c>
      <c r="G174">
        <v>4792.6650860186182</v>
      </c>
      <c r="H174" s="1">
        <v>45808.333333333336</v>
      </c>
    </row>
    <row r="175" spans="1:8" x14ac:dyDescent="0.25">
      <c r="A175" s="7">
        <f>DATE(YEAR(m2_crossvalid[[#This Row],[cutoff]]),MONTH(m2_crossvalid[[#This Row],[cutoff]]),DAY(m2_crossvalid[[#This Row],[cutoff]]))</f>
        <v>45808</v>
      </c>
      <c r="B175" s="7">
        <f>DATE(YEAR(m2_crossvalid[[#This Row],[ds]]),MONTH(m2_crossvalid[[#This Row],[ds]]),DAY(m2_crossvalid[[#This Row],[ds]]))</f>
        <v>45827</v>
      </c>
      <c r="C175">
        <v>2813</v>
      </c>
      <c r="D175" s="1">
        <v>45827.333333333336</v>
      </c>
      <c r="E175">
        <v>3053.7075297792194</v>
      </c>
      <c r="F175">
        <v>1033.2819716977822</v>
      </c>
      <c r="G175">
        <v>5041.0641965520463</v>
      </c>
      <c r="H175" s="1">
        <v>45808.333333333336</v>
      </c>
    </row>
    <row r="176" spans="1:8" x14ac:dyDescent="0.25">
      <c r="A176" s="7">
        <f>DATE(YEAR(m2_crossvalid[[#This Row],[cutoff]]),MONTH(m2_crossvalid[[#This Row],[cutoff]]),DAY(m2_crossvalid[[#This Row],[cutoff]]))</f>
        <v>45808</v>
      </c>
      <c r="B176" s="7">
        <f>DATE(YEAR(m2_crossvalid[[#This Row],[ds]]),MONTH(m2_crossvalid[[#This Row],[ds]]),DAY(m2_crossvalid[[#This Row],[ds]]))</f>
        <v>45828</v>
      </c>
      <c r="C176">
        <v>3023</v>
      </c>
      <c r="D176" s="1">
        <v>45828.333333333336</v>
      </c>
      <c r="E176">
        <v>2965.8584348778004</v>
      </c>
      <c r="F176">
        <v>991.38470938620549</v>
      </c>
      <c r="G176">
        <v>4913.917485809091</v>
      </c>
      <c r="H176" s="1">
        <v>45808.333333333336</v>
      </c>
    </row>
    <row r="177" spans="1:8" x14ac:dyDescent="0.25">
      <c r="A177" s="7">
        <f>DATE(YEAR(m2_crossvalid[[#This Row],[cutoff]]),MONTH(m2_crossvalid[[#This Row],[cutoff]]),DAY(m2_crossvalid[[#This Row],[cutoff]]))</f>
        <v>45808</v>
      </c>
      <c r="B177" s="7">
        <f>DATE(YEAR(m2_crossvalid[[#This Row],[ds]]),MONTH(m2_crossvalid[[#This Row],[ds]]),DAY(m2_crossvalid[[#This Row],[ds]]))</f>
        <v>45829</v>
      </c>
      <c r="C177">
        <v>360</v>
      </c>
      <c r="D177" s="1">
        <v>45829.333333333336</v>
      </c>
      <c r="E177">
        <v>650.04475000229559</v>
      </c>
      <c r="F177">
        <v>-1285.2906582972187</v>
      </c>
      <c r="G177">
        <v>2677.1462000432412</v>
      </c>
      <c r="H177" s="1">
        <v>45808.333333333336</v>
      </c>
    </row>
    <row r="178" spans="1:8" x14ac:dyDescent="0.25">
      <c r="A178" s="7">
        <f>DATE(YEAR(m2_crossvalid[[#This Row],[cutoff]]),MONTH(m2_crossvalid[[#This Row],[cutoff]]),DAY(m2_crossvalid[[#This Row],[cutoff]]))</f>
        <v>45808</v>
      </c>
      <c r="B178" s="7">
        <f>DATE(YEAR(m2_crossvalid[[#This Row],[ds]]),MONTH(m2_crossvalid[[#This Row],[ds]]),DAY(m2_crossvalid[[#This Row],[ds]]))</f>
        <v>45830</v>
      </c>
      <c r="C178">
        <v>129</v>
      </c>
      <c r="D178" s="1">
        <v>45830.333333333336</v>
      </c>
      <c r="E178">
        <v>286.00603997056896</v>
      </c>
      <c r="F178">
        <v>-1654.8444377400622</v>
      </c>
      <c r="G178">
        <v>2199.6384923179066</v>
      </c>
      <c r="H178" s="1">
        <v>45808.333333333336</v>
      </c>
    </row>
    <row r="179" spans="1:8" x14ac:dyDescent="0.25">
      <c r="A179" s="7">
        <f>DATE(YEAR(m2_crossvalid[[#This Row],[cutoff]]),MONTH(m2_crossvalid[[#This Row],[cutoff]]),DAY(m2_crossvalid[[#This Row],[cutoff]]))</f>
        <v>45808</v>
      </c>
      <c r="B179" s="7">
        <f>DATE(YEAR(m2_crossvalid[[#This Row],[ds]]),MONTH(m2_crossvalid[[#This Row],[ds]]),DAY(m2_crossvalid[[#This Row],[ds]]))</f>
        <v>45831</v>
      </c>
      <c r="C179">
        <v>3291</v>
      </c>
      <c r="D179" s="1">
        <v>45831.333333333336</v>
      </c>
      <c r="E179">
        <v>2869.9271930146219</v>
      </c>
      <c r="F179">
        <v>918.93350695727941</v>
      </c>
      <c r="G179">
        <v>4895.3770648623986</v>
      </c>
      <c r="H179" s="1">
        <v>45808.333333333336</v>
      </c>
    </row>
    <row r="180" spans="1:8" x14ac:dyDescent="0.25">
      <c r="A180" s="7">
        <f>DATE(YEAR(m2_crossvalid[[#This Row],[cutoff]]),MONTH(m2_crossvalid[[#This Row],[cutoff]]),DAY(m2_crossvalid[[#This Row],[cutoff]]))</f>
        <v>45808</v>
      </c>
      <c r="B180" s="7">
        <f>DATE(YEAR(m2_crossvalid[[#This Row],[ds]]),MONTH(m2_crossvalid[[#This Row],[ds]]),DAY(m2_crossvalid[[#This Row],[ds]]))</f>
        <v>45832</v>
      </c>
      <c r="C180">
        <v>3743</v>
      </c>
      <c r="D180" s="1">
        <v>45832.333333333336</v>
      </c>
      <c r="E180">
        <v>3610.5993360321013</v>
      </c>
      <c r="F180">
        <v>1665.630340021404</v>
      </c>
      <c r="G180">
        <v>5550.7390208692814</v>
      </c>
      <c r="H180" s="1">
        <v>45808.333333333336</v>
      </c>
    </row>
    <row r="181" spans="1:8" x14ac:dyDescent="0.25">
      <c r="A181" s="7">
        <f>DATE(YEAR(m2_crossvalid[[#This Row],[cutoff]]),MONTH(m2_crossvalid[[#This Row],[cutoff]]),DAY(m2_crossvalid[[#This Row],[cutoff]]))</f>
        <v>45808</v>
      </c>
      <c r="B181" s="7">
        <f>DATE(YEAR(m2_crossvalid[[#This Row],[ds]]),MONTH(m2_crossvalid[[#This Row],[ds]]),DAY(m2_crossvalid[[#This Row],[ds]]))</f>
        <v>45833</v>
      </c>
      <c r="C181">
        <v>4576</v>
      </c>
      <c r="D181" s="1">
        <v>45833.333333333336</v>
      </c>
      <c r="E181">
        <v>3627.0210774218099</v>
      </c>
      <c r="F181">
        <v>1595.3049011919863</v>
      </c>
      <c r="G181">
        <v>5593.7338026644629</v>
      </c>
      <c r="H181" s="1">
        <v>45808.333333333336</v>
      </c>
    </row>
    <row r="182" spans="1:8" x14ac:dyDescent="0.25">
      <c r="A182" s="7">
        <f>DATE(YEAR(m2_crossvalid[[#This Row],[cutoff]]),MONTH(m2_crossvalid[[#This Row],[cutoff]]),DAY(m2_crossvalid[[#This Row],[cutoff]]))</f>
        <v>45808</v>
      </c>
      <c r="B182" s="7">
        <f>DATE(YEAR(m2_crossvalid[[#This Row],[ds]]),MONTH(m2_crossvalid[[#This Row],[ds]]),DAY(m2_crossvalid[[#This Row],[ds]]))</f>
        <v>45834</v>
      </c>
      <c r="C182">
        <v>6205</v>
      </c>
      <c r="D182" s="1">
        <v>45834.333333333336</v>
      </c>
      <c r="E182">
        <v>3525.975979565922</v>
      </c>
      <c r="F182">
        <v>1582.5855589450691</v>
      </c>
      <c r="G182">
        <v>5267.8413711311114</v>
      </c>
      <c r="H182" s="1">
        <v>45808.333333333336</v>
      </c>
    </row>
    <row r="183" spans="1:8" x14ac:dyDescent="0.25">
      <c r="A183" s="7">
        <f>DATE(YEAR(m2_crossvalid[[#This Row],[cutoff]]),MONTH(m2_crossvalid[[#This Row],[cutoff]]),DAY(m2_crossvalid[[#This Row],[cutoff]]))</f>
        <v>45808</v>
      </c>
      <c r="B183" s="7">
        <f>DATE(YEAR(m2_crossvalid[[#This Row],[ds]]),MONTH(m2_crossvalid[[#This Row],[ds]]),DAY(m2_crossvalid[[#This Row],[ds]]))</f>
        <v>45835</v>
      </c>
      <c r="C183">
        <v>814</v>
      </c>
      <c r="D183" s="1">
        <v>45835.333333333336</v>
      </c>
      <c r="E183">
        <v>3749.6119091420828</v>
      </c>
      <c r="F183">
        <v>1727.5062394288877</v>
      </c>
      <c r="G183">
        <v>5656.7414640151201</v>
      </c>
      <c r="H183" s="1">
        <v>45808.333333333336</v>
      </c>
    </row>
    <row r="184" spans="1:8" x14ac:dyDescent="0.25">
      <c r="A184" s="7">
        <f>DATE(YEAR(m2_crossvalid[[#This Row],[cutoff]]),MONTH(m2_crossvalid[[#This Row],[cutoff]]),DAY(m2_crossvalid[[#This Row],[cutoff]]))</f>
        <v>45808</v>
      </c>
      <c r="B184" s="7">
        <f>DATE(YEAR(m2_crossvalid[[#This Row],[ds]]),MONTH(m2_crossvalid[[#This Row],[ds]]),DAY(m2_crossvalid[[#This Row],[ds]]))</f>
        <v>45836</v>
      </c>
      <c r="C184">
        <v>2326</v>
      </c>
      <c r="D184" s="1">
        <v>45836.333333333336</v>
      </c>
      <c r="E184">
        <v>2242.1137978971105</v>
      </c>
      <c r="F184">
        <v>320.78470492713626</v>
      </c>
      <c r="G184">
        <v>4212.1094641446898</v>
      </c>
      <c r="H184" s="1">
        <v>45808.333333333336</v>
      </c>
    </row>
    <row r="185" spans="1:8" x14ac:dyDescent="0.25">
      <c r="A185" s="7">
        <f>DATE(YEAR(m2_crossvalid[[#This Row],[cutoff]]),MONTH(m2_crossvalid[[#This Row],[cutoff]]),DAY(m2_crossvalid[[#This Row],[cutoff]]))</f>
        <v>45808</v>
      </c>
      <c r="B185" s="7">
        <f>DATE(YEAR(m2_crossvalid[[#This Row],[ds]]),MONTH(m2_crossvalid[[#This Row],[ds]]),DAY(m2_crossvalid[[#This Row],[ds]]))</f>
        <v>45837</v>
      </c>
      <c r="C185">
        <v>427</v>
      </c>
      <c r="D185" s="1">
        <v>45837.333333333336</v>
      </c>
      <c r="E185">
        <v>2823.6670420616647</v>
      </c>
      <c r="F185">
        <v>746.03703000482983</v>
      </c>
      <c r="G185">
        <v>4741.480915561654</v>
      </c>
      <c r="H185" s="1">
        <v>45808.333333333336</v>
      </c>
    </row>
    <row r="186" spans="1:8" x14ac:dyDescent="0.25">
      <c r="A186" s="7">
        <f>DATE(YEAR(m2_crossvalid[[#This Row],[cutoff]]),MONTH(m2_crossvalid[[#This Row],[cutoff]]),DAY(m2_crossvalid[[#This Row],[cutoff]]))</f>
        <v>45808</v>
      </c>
      <c r="B186" s="7">
        <f>DATE(YEAR(m2_crossvalid[[#This Row],[ds]]),MONTH(m2_crossvalid[[#This Row],[ds]]),DAY(m2_crossvalid[[#This Row],[ds]]))</f>
        <v>45838</v>
      </c>
      <c r="C186">
        <v>13624</v>
      </c>
      <c r="D186" s="1">
        <v>45838.333333333336</v>
      </c>
      <c r="E186">
        <v>5915.0136789320923</v>
      </c>
      <c r="F186">
        <v>3917.9859603092564</v>
      </c>
      <c r="G186">
        <v>7884.0983300920016</v>
      </c>
      <c r="H186" s="1">
        <v>45808.333333333336</v>
      </c>
    </row>
    <row r="187" spans="1:8" x14ac:dyDescent="0.25">
      <c r="A187" s="7">
        <f>DATE(YEAR(m2_crossvalid[[#This Row],[cutoff]]),MONTH(m2_crossvalid[[#This Row],[cutoff]]),DAY(m2_crossvalid[[#This Row],[cutoff]]))</f>
        <v>45808</v>
      </c>
      <c r="B187" s="7">
        <f>DATE(YEAR(m2_crossvalid[[#This Row],[ds]]),MONTH(m2_crossvalid[[#This Row],[ds]]),DAY(m2_crossvalid[[#This Row],[ds]]))</f>
        <v>45839</v>
      </c>
      <c r="C187">
        <v>624</v>
      </c>
      <c r="D187" s="1">
        <v>45839.333333333336</v>
      </c>
      <c r="E187">
        <v>6311.6133313938462</v>
      </c>
      <c r="F187">
        <v>4384.4212572092993</v>
      </c>
      <c r="G187">
        <v>8180.6027263738833</v>
      </c>
      <c r="H187" s="1">
        <v>45808.333333333336</v>
      </c>
    </row>
    <row r="188" spans="1:8" x14ac:dyDescent="0.25">
      <c r="A188" s="7">
        <f>DATE(YEAR(m2_crossvalid[[#This Row],[cutoff]]),MONTH(m2_crossvalid[[#This Row],[cutoff]]),DAY(m2_crossvalid[[#This Row],[cutoff]]))</f>
        <v>45838</v>
      </c>
      <c r="B188" s="7">
        <f>DATE(YEAR(m2_crossvalid[[#This Row],[ds]]),MONTH(m2_crossvalid[[#This Row],[ds]]),DAY(m2_crossvalid[[#This Row],[ds]]))</f>
        <v>45839</v>
      </c>
      <c r="C188">
        <v>624</v>
      </c>
      <c r="D188" s="1">
        <v>45839.333333333336</v>
      </c>
      <c r="E188">
        <v>6392.716979797844</v>
      </c>
      <c r="F188">
        <v>4512.8582215748793</v>
      </c>
      <c r="G188">
        <v>8365.4446178634207</v>
      </c>
      <c r="H188" s="1">
        <v>45838.333333333336</v>
      </c>
    </row>
    <row r="189" spans="1:8" x14ac:dyDescent="0.25">
      <c r="A189" s="7">
        <f>DATE(YEAR(m2_crossvalid[[#This Row],[cutoff]]),MONTH(m2_crossvalid[[#This Row],[cutoff]]),DAY(m2_crossvalid[[#This Row],[cutoff]]))</f>
        <v>45838</v>
      </c>
      <c r="B189" s="7">
        <f>DATE(YEAR(m2_crossvalid[[#This Row],[ds]]),MONTH(m2_crossvalid[[#This Row],[ds]]),DAY(m2_crossvalid[[#This Row],[ds]]))</f>
        <v>45840</v>
      </c>
      <c r="C189">
        <v>733</v>
      </c>
      <c r="D189" s="1">
        <v>45840.333333333336</v>
      </c>
      <c r="E189">
        <v>5171.9446281827186</v>
      </c>
      <c r="F189">
        <v>3141.6480873172923</v>
      </c>
      <c r="G189">
        <v>7278.0582073057431</v>
      </c>
      <c r="H189" s="1">
        <v>45838.333333333336</v>
      </c>
    </row>
    <row r="190" spans="1:8" x14ac:dyDescent="0.25">
      <c r="A190" s="7">
        <f>DATE(YEAR(m2_crossvalid[[#This Row],[cutoff]]),MONTH(m2_crossvalid[[#This Row],[cutoff]]),DAY(m2_crossvalid[[#This Row],[cutoff]]))</f>
        <v>45838</v>
      </c>
      <c r="B190" s="7">
        <f>DATE(YEAR(m2_crossvalid[[#This Row],[ds]]),MONTH(m2_crossvalid[[#This Row],[ds]]),DAY(m2_crossvalid[[#This Row],[ds]]))</f>
        <v>45841</v>
      </c>
      <c r="C190">
        <v>1036</v>
      </c>
      <c r="D190" s="1">
        <v>45841.333333333336</v>
      </c>
      <c r="E190">
        <v>3328.6634182387679</v>
      </c>
      <c r="F190">
        <v>1407.9050958011153</v>
      </c>
      <c r="G190">
        <v>5264.5842221885059</v>
      </c>
      <c r="H190" s="1">
        <v>45838.333333333336</v>
      </c>
    </row>
    <row r="191" spans="1:8" x14ac:dyDescent="0.25">
      <c r="A191" s="7">
        <f>DATE(YEAR(m2_crossvalid[[#This Row],[cutoff]]),MONTH(m2_crossvalid[[#This Row],[cutoff]]),DAY(m2_crossvalid[[#This Row],[cutoff]]))</f>
        <v>45838</v>
      </c>
      <c r="B191" s="7">
        <f>DATE(YEAR(m2_crossvalid[[#This Row],[ds]]),MONTH(m2_crossvalid[[#This Row],[ds]]),DAY(m2_crossvalid[[#This Row],[ds]]))</f>
        <v>45842</v>
      </c>
      <c r="C191">
        <v>1189</v>
      </c>
      <c r="D191" s="1">
        <v>45842.333333333336</v>
      </c>
      <c r="E191">
        <v>1725.3471168641695</v>
      </c>
      <c r="F191">
        <v>-138.4351423819956</v>
      </c>
      <c r="G191">
        <v>3601.535431775545</v>
      </c>
      <c r="H191" s="1">
        <v>45838.333333333336</v>
      </c>
    </row>
    <row r="192" spans="1:8" x14ac:dyDescent="0.25">
      <c r="A192" s="7">
        <f>DATE(YEAR(m2_crossvalid[[#This Row],[cutoff]]),MONTH(m2_crossvalid[[#This Row],[cutoff]]),DAY(m2_crossvalid[[#This Row],[cutoff]]))</f>
        <v>45838</v>
      </c>
      <c r="B192" s="7">
        <f>DATE(YEAR(m2_crossvalid[[#This Row],[ds]]),MONTH(m2_crossvalid[[#This Row],[ds]]),DAY(m2_crossvalid[[#This Row],[ds]]))</f>
        <v>45843</v>
      </c>
      <c r="C192">
        <v>170</v>
      </c>
      <c r="D192" s="1">
        <v>45843.333333333336</v>
      </c>
      <c r="E192">
        <v>-1257.8719626070438</v>
      </c>
      <c r="F192">
        <v>-3036.736793841088</v>
      </c>
      <c r="G192">
        <v>772.38454892134177</v>
      </c>
      <c r="H192" s="1">
        <v>45838.333333333336</v>
      </c>
    </row>
    <row r="193" spans="1:8" x14ac:dyDescent="0.25">
      <c r="A193" s="7">
        <f>DATE(YEAR(m2_crossvalid[[#This Row],[cutoff]]),MONTH(m2_crossvalid[[#This Row],[cutoff]]),DAY(m2_crossvalid[[#This Row],[cutoff]]))</f>
        <v>45838</v>
      </c>
      <c r="B193" s="7">
        <f>DATE(YEAR(m2_crossvalid[[#This Row],[ds]]),MONTH(m2_crossvalid[[#This Row],[ds]]),DAY(m2_crossvalid[[#This Row],[ds]]))</f>
        <v>45844</v>
      </c>
      <c r="C193">
        <v>30</v>
      </c>
      <c r="D193" s="1">
        <v>45844.333333333336</v>
      </c>
      <c r="E193">
        <v>-1715.7109237537402</v>
      </c>
      <c r="F193">
        <v>-3648.158329651299</v>
      </c>
      <c r="G193">
        <v>256.41751066031827</v>
      </c>
      <c r="H193" s="1">
        <v>45838.333333333336</v>
      </c>
    </row>
    <row r="194" spans="1:8" x14ac:dyDescent="0.25">
      <c r="A194" s="7">
        <f>DATE(YEAR(m2_crossvalid[[#This Row],[cutoff]]),MONTH(m2_crossvalid[[#This Row],[cutoff]]),DAY(m2_crossvalid[[#This Row],[cutoff]]))</f>
        <v>45838</v>
      </c>
      <c r="B194" s="7">
        <f>DATE(YEAR(m2_crossvalid[[#This Row],[ds]]),MONTH(m2_crossvalid[[#This Row],[ds]]),DAY(m2_crossvalid[[#This Row],[ds]]))</f>
        <v>45845</v>
      </c>
      <c r="C194">
        <v>1218</v>
      </c>
      <c r="D194" s="1">
        <v>45845.333333333336</v>
      </c>
      <c r="E194">
        <v>1047.6225828460804</v>
      </c>
      <c r="F194">
        <v>-911.40688500219596</v>
      </c>
      <c r="G194">
        <v>3053.9750484106885</v>
      </c>
      <c r="H194" s="1">
        <v>45838.333333333336</v>
      </c>
    </row>
    <row r="195" spans="1:8" x14ac:dyDescent="0.25">
      <c r="A195" s="7">
        <f>DATE(YEAR(m2_crossvalid[[#This Row],[cutoff]]),MONTH(m2_crossvalid[[#This Row],[cutoff]]),DAY(m2_crossvalid[[#This Row],[cutoff]]))</f>
        <v>45838</v>
      </c>
      <c r="B195" s="7">
        <f>DATE(YEAR(m2_crossvalid[[#This Row],[ds]]),MONTH(m2_crossvalid[[#This Row],[ds]]),DAY(m2_crossvalid[[#This Row],[ds]]))</f>
        <v>45846</v>
      </c>
      <c r="C195">
        <v>1543</v>
      </c>
      <c r="D195" s="1">
        <v>45846.333333333336</v>
      </c>
      <c r="E195">
        <v>1820.8433770510501</v>
      </c>
      <c r="F195">
        <v>-71.132098495266504</v>
      </c>
      <c r="G195">
        <v>3754.1078356551411</v>
      </c>
      <c r="H195" s="1">
        <v>45838.333333333336</v>
      </c>
    </row>
    <row r="196" spans="1:8" x14ac:dyDescent="0.25">
      <c r="A196" s="7">
        <f>DATE(YEAR(m2_crossvalid[[#This Row],[cutoff]]),MONTH(m2_crossvalid[[#This Row],[cutoff]]),DAY(m2_crossvalid[[#This Row],[cutoff]]))</f>
        <v>45838</v>
      </c>
      <c r="B196" s="7">
        <f>DATE(YEAR(m2_crossvalid[[#This Row],[ds]]),MONTH(m2_crossvalid[[#This Row],[ds]]),DAY(m2_crossvalid[[#This Row],[ds]]))</f>
        <v>45847</v>
      </c>
      <c r="C196">
        <v>2120</v>
      </c>
      <c r="D196" s="1">
        <v>45847.333333333336</v>
      </c>
      <c r="E196">
        <v>1843.7105838912291</v>
      </c>
      <c r="F196">
        <v>-257.56543244731671</v>
      </c>
      <c r="G196">
        <v>3624.9757617316563</v>
      </c>
      <c r="H196" s="1">
        <v>45838.333333333336</v>
      </c>
    </row>
    <row r="197" spans="1:8" x14ac:dyDescent="0.25">
      <c r="A197" s="7">
        <f>DATE(YEAR(m2_crossvalid[[#This Row],[cutoff]]),MONTH(m2_crossvalid[[#This Row],[cutoff]]),DAY(m2_crossvalid[[#This Row],[cutoff]]))</f>
        <v>45838</v>
      </c>
      <c r="B197" s="7">
        <f>DATE(YEAR(m2_crossvalid[[#This Row],[ds]]),MONTH(m2_crossvalid[[#This Row],[ds]]),DAY(m2_crossvalid[[#This Row],[ds]]))</f>
        <v>45848</v>
      </c>
      <c r="C197">
        <v>2298</v>
      </c>
      <c r="D197" s="1">
        <v>45848.333333333336</v>
      </c>
      <c r="E197">
        <v>1718.9109980306162</v>
      </c>
      <c r="F197">
        <v>-178.22266486238556</v>
      </c>
      <c r="G197">
        <v>3634.00962710159</v>
      </c>
      <c r="H197" s="1">
        <v>45838.333333333336</v>
      </c>
    </row>
    <row r="198" spans="1:8" x14ac:dyDescent="0.25">
      <c r="A198" s="7">
        <f>DATE(YEAR(m2_crossvalid[[#This Row],[cutoff]]),MONTH(m2_crossvalid[[#This Row],[cutoff]]),DAY(m2_crossvalid[[#This Row],[cutoff]]))</f>
        <v>45838</v>
      </c>
      <c r="B198" s="7">
        <f>DATE(YEAR(m2_crossvalid[[#This Row],[ds]]),MONTH(m2_crossvalid[[#This Row],[ds]]),DAY(m2_crossvalid[[#This Row],[ds]]))</f>
        <v>45849</v>
      </c>
      <c r="C198">
        <v>2183</v>
      </c>
      <c r="D198" s="1">
        <v>45849.333333333336</v>
      </c>
      <c r="E198">
        <v>1723.2234908242838</v>
      </c>
      <c r="F198">
        <v>-268.53930197784865</v>
      </c>
      <c r="G198">
        <v>3664.4589761042967</v>
      </c>
      <c r="H198" s="1">
        <v>45838.333333333336</v>
      </c>
    </row>
    <row r="199" spans="1:8" x14ac:dyDescent="0.25">
      <c r="A199" s="7">
        <f>DATE(YEAR(m2_crossvalid[[#This Row],[cutoff]]),MONTH(m2_crossvalid[[#This Row],[cutoff]]),DAY(m2_crossvalid[[#This Row],[cutoff]]))</f>
        <v>45838</v>
      </c>
      <c r="B199" s="7">
        <f>DATE(YEAR(m2_crossvalid[[#This Row],[ds]]),MONTH(m2_crossvalid[[#This Row],[ds]]),DAY(m2_crossvalid[[#This Row],[ds]]))</f>
        <v>45850</v>
      </c>
      <c r="C199">
        <v>462</v>
      </c>
      <c r="D199" s="1">
        <v>45850.333333333336</v>
      </c>
      <c r="E199">
        <v>-300.45515783218661</v>
      </c>
      <c r="F199">
        <v>-2178.4470982582616</v>
      </c>
      <c r="G199">
        <v>1591.478393099198</v>
      </c>
      <c r="H199" s="1">
        <v>45838.333333333336</v>
      </c>
    </row>
    <row r="200" spans="1:8" x14ac:dyDescent="0.25">
      <c r="A200" s="7">
        <f>DATE(YEAR(m2_crossvalid[[#This Row],[cutoff]]),MONTH(m2_crossvalid[[#This Row],[cutoff]]),DAY(m2_crossvalid[[#This Row],[cutoff]]))</f>
        <v>45838</v>
      </c>
      <c r="B200" s="7">
        <f>DATE(YEAR(m2_crossvalid[[#This Row],[ds]]),MONTH(m2_crossvalid[[#This Row],[ds]]),DAY(m2_crossvalid[[#This Row],[ds]]))</f>
        <v>45851</v>
      </c>
      <c r="C200">
        <v>114</v>
      </c>
      <c r="D200" s="1">
        <v>45851.333333333336</v>
      </c>
      <c r="E200">
        <v>-599.29037207144711</v>
      </c>
      <c r="F200">
        <v>-2648.4957494182008</v>
      </c>
      <c r="G200">
        <v>1324.4422345983958</v>
      </c>
      <c r="H200" s="1">
        <v>45838.333333333336</v>
      </c>
    </row>
    <row r="201" spans="1:8" x14ac:dyDescent="0.25">
      <c r="A201" s="7">
        <f>DATE(YEAR(m2_crossvalid[[#This Row],[cutoff]]),MONTH(m2_crossvalid[[#This Row],[cutoff]]),DAY(m2_crossvalid[[#This Row],[cutoff]]))</f>
        <v>45838</v>
      </c>
      <c r="B201" s="7">
        <f>DATE(YEAR(m2_crossvalid[[#This Row],[ds]]),MONTH(m2_crossvalid[[#This Row],[ds]]),DAY(m2_crossvalid[[#This Row],[ds]]))</f>
        <v>45852</v>
      </c>
      <c r="C201">
        <v>2356</v>
      </c>
      <c r="D201" s="1">
        <v>45852.333333333336</v>
      </c>
      <c r="E201">
        <v>1835.1561666260302</v>
      </c>
      <c r="F201">
        <v>-269.96190572282768</v>
      </c>
      <c r="G201">
        <v>3797.1953616243736</v>
      </c>
      <c r="H201" s="1">
        <v>45838.333333333336</v>
      </c>
    </row>
    <row r="202" spans="1:8" x14ac:dyDescent="0.25">
      <c r="A202" s="7">
        <f>DATE(YEAR(m2_crossvalid[[#This Row],[cutoff]]),MONTH(m2_crossvalid[[#This Row],[cutoff]]),DAY(m2_crossvalid[[#This Row],[cutoff]]))</f>
        <v>45838</v>
      </c>
      <c r="B202" s="7">
        <f>DATE(YEAR(m2_crossvalid[[#This Row],[ds]]),MONTH(m2_crossvalid[[#This Row],[ds]]),DAY(m2_crossvalid[[#This Row],[ds]]))</f>
        <v>45853</v>
      </c>
      <c r="C202">
        <v>2694</v>
      </c>
      <c r="D202" s="1">
        <v>45853.333333333336</v>
      </c>
      <c r="E202">
        <v>2304.6267675434333</v>
      </c>
      <c r="F202">
        <v>253.22257185012117</v>
      </c>
      <c r="G202">
        <v>4096.3973599142037</v>
      </c>
      <c r="H202" s="1">
        <v>45838.333333333336</v>
      </c>
    </row>
    <row r="203" spans="1:8" x14ac:dyDescent="0.25">
      <c r="A203" s="7">
        <f>DATE(YEAR(m2_crossvalid[[#This Row],[cutoff]]),MONTH(m2_crossvalid[[#This Row],[cutoff]]),DAY(m2_crossvalid[[#This Row],[cutoff]]))</f>
        <v>45838</v>
      </c>
      <c r="B203" s="7">
        <f>DATE(YEAR(m2_crossvalid[[#This Row],[ds]]),MONTH(m2_crossvalid[[#This Row],[ds]]),DAY(m2_crossvalid[[#This Row],[ds]]))</f>
        <v>45854</v>
      </c>
      <c r="C203">
        <v>2796</v>
      </c>
      <c r="D203" s="1">
        <v>45854.333333333336</v>
      </c>
      <c r="E203">
        <v>2363.5544091678416</v>
      </c>
      <c r="F203">
        <v>385.32976454277531</v>
      </c>
      <c r="G203">
        <v>4305.8539273138085</v>
      </c>
      <c r="H203" s="1">
        <v>45838.333333333336</v>
      </c>
    </row>
    <row r="204" spans="1:8" x14ac:dyDescent="0.25">
      <c r="A204" s="7">
        <f>DATE(YEAR(m2_crossvalid[[#This Row],[cutoff]]),MONTH(m2_crossvalid[[#This Row],[cutoff]]),DAY(m2_crossvalid[[#This Row],[cutoff]]))</f>
        <v>45838</v>
      </c>
      <c r="B204" s="7">
        <f>DATE(YEAR(m2_crossvalid[[#This Row],[ds]]),MONTH(m2_crossvalid[[#This Row],[ds]]),DAY(m2_crossvalid[[#This Row],[ds]]))</f>
        <v>45855</v>
      </c>
      <c r="C204">
        <v>2972</v>
      </c>
      <c r="D204" s="1">
        <v>45855.333333333336</v>
      </c>
      <c r="E204">
        <v>2531.351437687199</v>
      </c>
      <c r="F204">
        <v>536.99271597605252</v>
      </c>
      <c r="G204">
        <v>4491.5711016857676</v>
      </c>
      <c r="H204" s="1">
        <v>45838.333333333336</v>
      </c>
    </row>
    <row r="205" spans="1:8" x14ac:dyDescent="0.25">
      <c r="A205" s="7">
        <f>DATE(YEAR(m2_crossvalid[[#This Row],[cutoff]]),MONTH(m2_crossvalid[[#This Row],[cutoff]]),DAY(m2_crossvalid[[#This Row],[cutoff]]))</f>
        <v>45838</v>
      </c>
      <c r="B205" s="7">
        <f>DATE(YEAR(m2_crossvalid[[#This Row],[ds]]),MONTH(m2_crossvalid[[#This Row],[ds]]),DAY(m2_crossvalid[[#This Row],[ds]]))</f>
        <v>45856</v>
      </c>
      <c r="C205">
        <v>2891</v>
      </c>
      <c r="D205" s="1">
        <v>45856.333333333336</v>
      </c>
      <c r="E205">
        <v>2758.6773267998597</v>
      </c>
      <c r="F205">
        <v>905.65335311975582</v>
      </c>
      <c r="G205">
        <v>4657.7901761210951</v>
      </c>
      <c r="H205" s="1">
        <v>45838.333333333336</v>
      </c>
    </row>
    <row r="206" spans="1:8" x14ac:dyDescent="0.25">
      <c r="A206" s="7">
        <f>DATE(YEAR(m2_crossvalid[[#This Row],[cutoff]]),MONTH(m2_crossvalid[[#This Row],[cutoff]]),DAY(m2_crossvalid[[#This Row],[cutoff]]))</f>
        <v>45838</v>
      </c>
      <c r="B206" s="7">
        <f>DATE(YEAR(m2_crossvalid[[#This Row],[ds]]),MONTH(m2_crossvalid[[#This Row],[ds]]),DAY(m2_crossvalid[[#This Row],[ds]]))</f>
        <v>45857</v>
      </c>
      <c r="C206">
        <v>521</v>
      </c>
      <c r="D206" s="1">
        <v>45857.333333333336</v>
      </c>
      <c r="E206">
        <v>666.25965757466474</v>
      </c>
      <c r="F206">
        <v>-1236.7272723974315</v>
      </c>
      <c r="G206">
        <v>2764.2137487416235</v>
      </c>
      <c r="H206" s="1">
        <v>45838.333333333336</v>
      </c>
    </row>
    <row r="207" spans="1:8" x14ac:dyDescent="0.25">
      <c r="A207" s="7">
        <f>DATE(YEAR(m2_crossvalid[[#This Row],[cutoff]]),MONTH(m2_crossvalid[[#This Row],[cutoff]]),DAY(m2_crossvalid[[#This Row],[cutoff]]))</f>
        <v>45838</v>
      </c>
      <c r="B207" s="7">
        <f>DATE(YEAR(m2_crossvalid[[#This Row],[ds]]),MONTH(m2_crossvalid[[#This Row],[ds]]),DAY(m2_crossvalid[[#This Row],[ds]]))</f>
        <v>45858</v>
      </c>
      <c r="C207">
        <v>189</v>
      </c>
      <c r="D207" s="1">
        <v>45858.333333333336</v>
      </c>
      <c r="E207">
        <v>99.428100146229554</v>
      </c>
      <c r="F207">
        <v>-1842.9738602216264</v>
      </c>
      <c r="G207">
        <v>1999.4246988366267</v>
      </c>
      <c r="H207" s="1">
        <v>45838.333333333336</v>
      </c>
    </row>
    <row r="208" spans="1:8" x14ac:dyDescent="0.25">
      <c r="A208" s="7">
        <f>DATE(YEAR(m2_crossvalid[[#This Row],[cutoff]]),MONTH(m2_crossvalid[[#This Row],[cutoff]]),DAY(m2_crossvalid[[#This Row],[cutoff]]))</f>
        <v>45838</v>
      </c>
      <c r="B208" s="7">
        <f>DATE(YEAR(m2_crossvalid[[#This Row],[ds]]),MONTH(m2_crossvalid[[#This Row],[ds]]),DAY(m2_crossvalid[[#This Row],[ds]]))</f>
        <v>45859</v>
      </c>
      <c r="C208">
        <v>2798</v>
      </c>
      <c r="D208" s="1">
        <v>45859.333333333336</v>
      </c>
      <c r="E208">
        <v>2362.1008784693267</v>
      </c>
      <c r="F208">
        <v>509.85687269332709</v>
      </c>
      <c r="G208">
        <v>4414.6838275361315</v>
      </c>
      <c r="H208" s="1">
        <v>45838.333333333336</v>
      </c>
    </row>
    <row r="209" spans="1:8" x14ac:dyDescent="0.25">
      <c r="A209" s="7">
        <f>DATE(YEAR(m2_crossvalid[[#This Row],[cutoff]]),MONTH(m2_crossvalid[[#This Row],[cutoff]]),DAY(m2_crossvalid[[#This Row],[cutoff]]))</f>
        <v>45838</v>
      </c>
      <c r="B209" s="7">
        <f>DATE(YEAR(m2_crossvalid[[#This Row],[ds]]),MONTH(m2_crossvalid[[#This Row],[ds]]),DAY(m2_crossvalid[[#This Row],[ds]]))</f>
        <v>45860</v>
      </c>
      <c r="C209">
        <v>2894</v>
      </c>
      <c r="D209" s="1">
        <v>45860.333333333336</v>
      </c>
      <c r="E209">
        <v>2945.8737760858717</v>
      </c>
      <c r="F209">
        <v>993.90631220475791</v>
      </c>
      <c r="G209">
        <v>4773.7010234226491</v>
      </c>
      <c r="H209" s="1">
        <v>45838.333333333336</v>
      </c>
    </row>
    <row r="210" spans="1:8" x14ac:dyDescent="0.25">
      <c r="A210" s="7">
        <f>DATE(YEAR(m2_crossvalid[[#This Row],[cutoff]]),MONTH(m2_crossvalid[[#This Row],[cutoff]]),DAY(m2_crossvalid[[#This Row],[cutoff]]))</f>
        <v>45838</v>
      </c>
      <c r="B210" s="7">
        <f>DATE(YEAR(m2_crossvalid[[#This Row],[ds]]),MONTH(m2_crossvalid[[#This Row],[ds]]),DAY(m2_crossvalid[[#This Row],[ds]]))</f>
        <v>45861</v>
      </c>
      <c r="C210">
        <v>3299</v>
      </c>
      <c r="D210" s="1">
        <v>45861.333333333336</v>
      </c>
      <c r="E210">
        <v>3295.0365175378251</v>
      </c>
      <c r="F210">
        <v>1364.4404228307164</v>
      </c>
      <c r="G210">
        <v>5175.2387093325879</v>
      </c>
      <c r="H210" s="1">
        <v>45838.333333333336</v>
      </c>
    </row>
    <row r="211" spans="1:8" x14ac:dyDescent="0.25">
      <c r="A211" s="7">
        <f>DATE(YEAR(m2_crossvalid[[#This Row],[cutoff]]),MONTH(m2_crossvalid[[#This Row],[cutoff]]),DAY(m2_crossvalid[[#This Row],[cutoff]]))</f>
        <v>45838</v>
      </c>
      <c r="B211" s="7">
        <f>DATE(YEAR(m2_crossvalid[[#This Row],[ds]]),MONTH(m2_crossvalid[[#This Row],[ds]]),DAY(m2_crossvalid[[#This Row],[ds]]))</f>
        <v>45862</v>
      </c>
      <c r="C211">
        <v>3785</v>
      </c>
      <c r="D211" s="1">
        <v>45862.333333333336</v>
      </c>
      <c r="E211">
        <v>3634.1919285698887</v>
      </c>
      <c r="F211">
        <v>1523.494199541236</v>
      </c>
      <c r="G211">
        <v>5704.4735499274275</v>
      </c>
      <c r="H211" s="1">
        <v>45838.333333333336</v>
      </c>
    </row>
    <row r="212" spans="1:8" x14ac:dyDescent="0.25">
      <c r="A212" s="7">
        <f>DATE(YEAR(m2_crossvalid[[#This Row],[cutoff]]),MONTH(m2_crossvalid[[#This Row],[cutoff]]),DAY(m2_crossvalid[[#This Row],[cutoff]]))</f>
        <v>45838</v>
      </c>
      <c r="B212" s="7">
        <f>DATE(YEAR(m2_crossvalid[[#This Row],[ds]]),MONTH(m2_crossvalid[[#This Row],[ds]]),DAY(m2_crossvalid[[#This Row],[ds]]))</f>
        <v>45863</v>
      </c>
      <c r="C212">
        <v>3663</v>
      </c>
      <c r="D212" s="1">
        <v>45863.333333333336</v>
      </c>
      <c r="E212">
        <v>3750.2205059370258</v>
      </c>
      <c r="F212">
        <v>1797.879382054846</v>
      </c>
      <c r="G212">
        <v>5714.5316173181072</v>
      </c>
      <c r="H212" s="1">
        <v>45838.333333333336</v>
      </c>
    </row>
    <row r="213" spans="1:8" x14ac:dyDescent="0.25">
      <c r="A213" s="7">
        <f>DATE(YEAR(m2_crossvalid[[#This Row],[cutoff]]),MONTH(m2_crossvalid[[#This Row],[cutoff]]),DAY(m2_crossvalid[[#This Row],[cutoff]]))</f>
        <v>45838</v>
      </c>
      <c r="B213" s="7">
        <f>DATE(YEAR(m2_crossvalid[[#This Row],[ds]]),MONTH(m2_crossvalid[[#This Row],[ds]]),DAY(m2_crossvalid[[#This Row],[ds]]))</f>
        <v>45864</v>
      </c>
      <c r="C213">
        <v>901</v>
      </c>
      <c r="D213" s="1">
        <v>45864.333333333336</v>
      </c>
      <c r="E213">
        <v>1436.4830222265853</v>
      </c>
      <c r="F213">
        <v>-418.43172610240487</v>
      </c>
      <c r="G213">
        <v>3592.2420187731477</v>
      </c>
      <c r="H213" s="1">
        <v>45838.333333333336</v>
      </c>
    </row>
    <row r="214" spans="1:8" x14ac:dyDescent="0.25">
      <c r="A214" s="7">
        <f>DATE(YEAR(m2_crossvalid[[#This Row],[cutoff]]),MONTH(m2_crossvalid[[#This Row],[cutoff]]),DAY(m2_crossvalid[[#This Row],[cutoff]]))</f>
        <v>45838</v>
      </c>
      <c r="B214" s="7">
        <f>DATE(YEAR(m2_crossvalid[[#This Row],[ds]]),MONTH(m2_crossvalid[[#This Row],[ds]]),DAY(m2_crossvalid[[#This Row],[ds]]))</f>
        <v>45865</v>
      </c>
      <c r="C214">
        <v>262</v>
      </c>
      <c r="D214" s="1">
        <v>45865.333333333336</v>
      </c>
      <c r="E214">
        <v>927.56866883459156</v>
      </c>
      <c r="F214">
        <v>-1106.5333656517271</v>
      </c>
      <c r="G214">
        <v>2843.4211861479585</v>
      </c>
      <c r="H214" s="1">
        <v>45838.333333333336</v>
      </c>
    </row>
    <row r="215" spans="1:8" x14ac:dyDescent="0.25">
      <c r="A215" s="7">
        <f>DATE(YEAR(m2_crossvalid[[#This Row],[cutoff]]),MONTH(m2_crossvalid[[#This Row],[cutoff]]),DAY(m2_crossvalid[[#This Row],[cutoff]]))</f>
        <v>45838</v>
      </c>
      <c r="B215" s="7">
        <f>DATE(YEAR(m2_crossvalid[[#This Row],[ds]]),MONTH(m2_crossvalid[[#This Row],[ds]]),DAY(m2_crossvalid[[#This Row],[ds]]))</f>
        <v>45866</v>
      </c>
      <c r="C215">
        <v>4324</v>
      </c>
      <c r="D215" s="1">
        <v>45866.333333333336</v>
      </c>
      <c r="E215">
        <v>3777.4137089205979</v>
      </c>
      <c r="F215">
        <v>1706.3386721217094</v>
      </c>
      <c r="G215">
        <v>5718.1789979250416</v>
      </c>
      <c r="H215" s="1">
        <v>45838.333333333336</v>
      </c>
    </row>
    <row r="216" spans="1:8" x14ac:dyDescent="0.25">
      <c r="A216" s="7">
        <f>DATE(YEAR(m2_crossvalid[[#This Row],[cutoff]]),MONTH(m2_crossvalid[[#This Row],[cutoff]]),DAY(m2_crossvalid[[#This Row],[cutoff]]))</f>
        <v>45838</v>
      </c>
      <c r="B216" s="7">
        <f>DATE(YEAR(m2_crossvalid[[#This Row],[ds]]),MONTH(m2_crossvalid[[#This Row],[ds]]),DAY(m2_crossvalid[[#This Row],[ds]]))</f>
        <v>45867</v>
      </c>
      <c r="C216">
        <v>5336</v>
      </c>
      <c r="D216" s="1">
        <v>45867.333333333336</v>
      </c>
      <c r="E216">
        <v>5311.4827947286467</v>
      </c>
      <c r="F216">
        <v>3399.9315897707779</v>
      </c>
      <c r="G216">
        <v>7198.5850444772768</v>
      </c>
      <c r="H216" s="1">
        <v>45838.333333333336</v>
      </c>
    </row>
    <row r="217" spans="1:8" x14ac:dyDescent="0.25">
      <c r="A217" s="7">
        <f>DATE(YEAR(m2_crossvalid[[#This Row],[cutoff]]),MONTH(m2_crossvalid[[#This Row],[cutoff]]),DAY(m2_crossvalid[[#This Row],[cutoff]]))</f>
        <v>45838</v>
      </c>
      <c r="B217" s="7">
        <f>DATE(YEAR(m2_crossvalid[[#This Row],[ds]]),MONTH(m2_crossvalid[[#This Row],[ds]]),DAY(m2_crossvalid[[#This Row],[ds]]))</f>
        <v>45868</v>
      </c>
      <c r="C217">
        <v>8373</v>
      </c>
      <c r="D217" s="1">
        <v>45868.333333333336</v>
      </c>
      <c r="E217">
        <v>6445.6759439094385</v>
      </c>
      <c r="F217">
        <v>4350.8773018383126</v>
      </c>
      <c r="G217">
        <v>8425.0546361308352</v>
      </c>
      <c r="H217" s="1">
        <v>45838.333333333336</v>
      </c>
    </row>
    <row r="218" spans="1:8" x14ac:dyDescent="0.25">
      <c r="A218" s="7">
        <f>DATE(YEAR(m2_crossvalid[[#This Row],[cutoff]]),MONTH(m2_crossvalid[[#This Row],[cutoff]]),DAY(m2_crossvalid[[#This Row],[cutoff]]))</f>
        <v>45838</v>
      </c>
      <c r="B218" s="7">
        <f>DATE(YEAR(m2_crossvalid[[#This Row],[ds]]),MONTH(m2_crossvalid[[#This Row],[ds]]),DAY(m2_crossvalid[[#This Row],[ds]]))</f>
        <v>45869</v>
      </c>
      <c r="C218">
        <v>11889</v>
      </c>
      <c r="D218" s="1">
        <v>45869.333333333336</v>
      </c>
      <c r="E218">
        <v>6859.6117070319542</v>
      </c>
      <c r="F218">
        <v>4841.2427084640085</v>
      </c>
      <c r="G218">
        <v>8857.1975381710672</v>
      </c>
      <c r="H218" s="1">
        <v>45838.333333333336</v>
      </c>
    </row>
    <row r="219" spans="1:8" x14ac:dyDescent="0.25">
      <c r="A219" s="7">
        <f>DATE(YEAR(m2_crossvalid[[#This Row],[cutoff]]),MONTH(m2_crossvalid[[#This Row],[cutoff]]),DAY(m2_crossvalid[[#This Row],[cutoff]]))</f>
        <v>45869</v>
      </c>
      <c r="B219" s="7">
        <f>DATE(YEAR(m2_crossvalid[[#This Row],[ds]]),MONTH(m2_crossvalid[[#This Row],[ds]]),DAY(m2_crossvalid[[#This Row],[ds]]))</f>
        <v>45870</v>
      </c>
      <c r="C219">
        <v>761</v>
      </c>
      <c r="D219" s="1">
        <v>45870.333333333336</v>
      </c>
      <c r="E219">
        <v>6195.3470335379061</v>
      </c>
      <c r="F219">
        <v>4259.1003148070686</v>
      </c>
      <c r="G219">
        <v>8141.5042205926056</v>
      </c>
      <c r="H219" s="1">
        <v>45869.333333333336</v>
      </c>
    </row>
    <row r="220" spans="1:8" x14ac:dyDescent="0.25">
      <c r="A220" s="7">
        <f>DATE(YEAR(m2_crossvalid[[#This Row],[cutoff]]),MONTH(m2_crossvalid[[#This Row],[cutoff]]),DAY(m2_crossvalid[[#This Row],[cutoff]]))</f>
        <v>45869</v>
      </c>
      <c r="B220" s="7">
        <f>DATE(YEAR(m2_crossvalid[[#This Row],[ds]]),MONTH(m2_crossvalid[[#This Row],[ds]]),DAY(m2_crossvalid[[#This Row],[ds]]))</f>
        <v>45871</v>
      </c>
      <c r="C220">
        <v>74</v>
      </c>
      <c r="D220" s="1">
        <v>45871.333333333336</v>
      </c>
      <c r="E220">
        <v>2311.9534564839646</v>
      </c>
      <c r="F220">
        <v>329.04174080445074</v>
      </c>
      <c r="G220">
        <v>4327.1801164448734</v>
      </c>
      <c r="H220" s="1">
        <v>45869.333333333336</v>
      </c>
    </row>
    <row r="221" spans="1:8" x14ac:dyDescent="0.25">
      <c r="A221" s="7">
        <f>DATE(YEAR(m2_crossvalid[[#This Row],[cutoff]]),MONTH(m2_crossvalid[[#This Row],[cutoff]]),DAY(m2_crossvalid[[#This Row],[cutoff]]))</f>
        <v>45869</v>
      </c>
      <c r="B221" s="7">
        <f>DATE(YEAR(m2_crossvalid[[#This Row],[ds]]),MONTH(m2_crossvalid[[#This Row],[ds]]),DAY(m2_crossvalid[[#This Row],[ds]]))</f>
        <v>45872</v>
      </c>
      <c r="C221">
        <v>28</v>
      </c>
      <c r="D221" s="1">
        <v>45872.333333333336</v>
      </c>
      <c r="E221">
        <v>-3.6177648951720585</v>
      </c>
      <c r="F221">
        <v>-2041.1648404722989</v>
      </c>
      <c r="G221">
        <v>1888.5961772882172</v>
      </c>
      <c r="H221" s="1">
        <v>45869.333333333336</v>
      </c>
    </row>
    <row r="222" spans="1:8" x14ac:dyDescent="0.25">
      <c r="A222" s="7">
        <f>DATE(YEAR(m2_crossvalid[[#This Row],[cutoff]]),MONTH(m2_crossvalid[[#This Row],[cutoff]]),DAY(m2_crossvalid[[#This Row],[cutoff]]))</f>
        <v>45869</v>
      </c>
      <c r="B222" s="7">
        <f>DATE(YEAR(m2_crossvalid[[#This Row],[ds]]),MONTH(m2_crossvalid[[#This Row],[ds]]),DAY(m2_crossvalid[[#This Row],[ds]]))</f>
        <v>45873</v>
      </c>
      <c r="C222">
        <v>912</v>
      </c>
      <c r="D222" s="1">
        <v>45873.333333333336</v>
      </c>
      <c r="E222">
        <v>1186.6737435693933</v>
      </c>
      <c r="F222">
        <v>-722.10585525528768</v>
      </c>
      <c r="G222">
        <v>3033.1401836076557</v>
      </c>
      <c r="H222" s="1">
        <v>45869.333333333336</v>
      </c>
    </row>
    <row r="223" spans="1:8" x14ac:dyDescent="0.25">
      <c r="A223" s="7">
        <f>DATE(YEAR(m2_crossvalid[[#This Row],[cutoff]]),MONTH(m2_crossvalid[[#This Row],[cutoff]]),DAY(m2_crossvalid[[#This Row],[cutoff]]))</f>
        <v>45869</v>
      </c>
      <c r="B223" s="7">
        <f>DATE(YEAR(m2_crossvalid[[#This Row],[ds]]),MONTH(m2_crossvalid[[#This Row],[ds]]),DAY(m2_crossvalid[[#This Row],[ds]]))</f>
        <v>45874</v>
      </c>
      <c r="C223">
        <v>2022</v>
      </c>
      <c r="D223" s="1">
        <v>45874.333333333336</v>
      </c>
      <c r="E223">
        <v>1397.8946106514513</v>
      </c>
      <c r="F223">
        <v>-653.76878217029093</v>
      </c>
      <c r="G223">
        <v>3284.1529921975639</v>
      </c>
      <c r="H223" s="1">
        <v>45869.333333333336</v>
      </c>
    </row>
    <row r="224" spans="1:8" x14ac:dyDescent="0.25">
      <c r="A224" s="7">
        <f>DATE(YEAR(m2_crossvalid[[#This Row],[cutoff]]),MONTH(m2_crossvalid[[#This Row],[cutoff]]),DAY(m2_crossvalid[[#This Row],[cutoff]]))</f>
        <v>45869</v>
      </c>
      <c r="B224" s="7">
        <f>DATE(YEAR(m2_crossvalid[[#This Row],[ds]]),MONTH(m2_crossvalid[[#This Row],[ds]]),DAY(m2_crossvalid[[#This Row],[ds]]))</f>
        <v>45875</v>
      </c>
      <c r="C224">
        <v>1344</v>
      </c>
      <c r="D224" s="1">
        <v>45875.333333333336</v>
      </c>
      <c r="E224">
        <v>1805.2894229287053</v>
      </c>
      <c r="F224">
        <v>-133.80191532875111</v>
      </c>
      <c r="G224">
        <v>3734.0177759240792</v>
      </c>
      <c r="H224" s="1">
        <v>45869.333333333336</v>
      </c>
    </row>
    <row r="225" spans="1:8" x14ac:dyDescent="0.25">
      <c r="A225" s="7">
        <f>DATE(YEAR(m2_crossvalid[[#This Row],[cutoff]]),MONTH(m2_crossvalid[[#This Row],[cutoff]]),DAY(m2_crossvalid[[#This Row],[cutoff]]))</f>
        <v>45869</v>
      </c>
      <c r="B225" s="7">
        <f>DATE(YEAR(m2_crossvalid[[#This Row],[ds]]),MONTH(m2_crossvalid[[#This Row],[ds]]),DAY(m2_crossvalid[[#This Row],[ds]]))</f>
        <v>45876</v>
      </c>
      <c r="C225">
        <v>1585</v>
      </c>
      <c r="D225" s="1">
        <v>45876.333333333336</v>
      </c>
      <c r="E225">
        <v>2223.6150420459458</v>
      </c>
      <c r="F225">
        <v>125.88578876240773</v>
      </c>
      <c r="G225">
        <v>4162.2652154122134</v>
      </c>
      <c r="H225" s="1">
        <v>45869.333333333336</v>
      </c>
    </row>
    <row r="226" spans="1:8" x14ac:dyDescent="0.25">
      <c r="A226" s="7">
        <f>DATE(YEAR(m2_crossvalid[[#This Row],[cutoff]]),MONTH(m2_crossvalid[[#This Row],[cutoff]]),DAY(m2_crossvalid[[#This Row],[cutoff]]))</f>
        <v>45869</v>
      </c>
      <c r="B226" s="7">
        <f>DATE(YEAR(m2_crossvalid[[#This Row],[ds]]),MONTH(m2_crossvalid[[#This Row],[ds]]),DAY(m2_crossvalid[[#This Row],[ds]]))</f>
        <v>45877</v>
      </c>
      <c r="C226">
        <v>2032</v>
      </c>
      <c r="D226" s="1">
        <v>45877.333333333336</v>
      </c>
      <c r="E226">
        <v>2289.6233700694202</v>
      </c>
      <c r="F226">
        <v>317.84525088847306</v>
      </c>
      <c r="G226">
        <v>4359.5855754178028</v>
      </c>
      <c r="H226" s="1">
        <v>45869.333333333336</v>
      </c>
    </row>
    <row r="227" spans="1:8" x14ac:dyDescent="0.25">
      <c r="A227" s="7">
        <f>DATE(YEAR(m2_crossvalid[[#This Row],[cutoff]]),MONTH(m2_crossvalid[[#This Row],[cutoff]]),DAY(m2_crossvalid[[#This Row],[cutoff]]))</f>
        <v>45869</v>
      </c>
      <c r="B227" s="7">
        <f>DATE(YEAR(m2_crossvalid[[#This Row],[ds]]),MONTH(m2_crossvalid[[#This Row],[ds]]),DAY(m2_crossvalid[[#This Row],[ds]]))</f>
        <v>45878</v>
      </c>
      <c r="C227">
        <v>327</v>
      </c>
      <c r="D227" s="1">
        <v>45878.333333333336</v>
      </c>
      <c r="E227">
        <v>-54.108047593590982</v>
      </c>
      <c r="F227">
        <v>-1935.4635905804994</v>
      </c>
      <c r="G227">
        <v>1845.2301539268565</v>
      </c>
      <c r="H227" s="1">
        <v>45869.333333333336</v>
      </c>
    </row>
    <row r="228" spans="1:8" x14ac:dyDescent="0.25">
      <c r="A228" s="7">
        <f>DATE(YEAR(m2_crossvalid[[#This Row],[cutoff]]),MONTH(m2_crossvalid[[#This Row],[cutoff]]),DAY(m2_crossvalid[[#This Row],[cutoff]]))</f>
        <v>45869</v>
      </c>
      <c r="B228" s="7">
        <f>DATE(YEAR(m2_crossvalid[[#This Row],[ds]]),MONTH(m2_crossvalid[[#This Row],[ds]]),DAY(m2_crossvalid[[#This Row],[ds]]))</f>
        <v>45879</v>
      </c>
      <c r="C228">
        <v>78</v>
      </c>
      <c r="D228" s="1">
        <v>45879.333333333336</v>
      </c>
      <c r="E228">
        <v>-655.30575588264628</v>
      </c>
      <c r="F228">
        <v>-2685.2783247405337</v>
      </c>
      <c r="G228">
        <v>1231.9535577533302</v>
      </c>
      <c r="H228" s="1">
        <v>45869.333333333336</v>
      </c>
    </row>
    <row r="229" spans="1:8" x14ac:dyDescent="0.25">
      <c r="A229" s="7">
        <f>DATE(YEAR(m2_crossvalid[[#This Row],[cutoff]]),MONTH(m2_crossvalid[[#This Row],[cutoff]]),DAY(m2_crossvalid[[#This Row],[cutoff]]))</f>
        <v>45869</v>
      </c>
      <c r="B229" s="7">
        <f>DATE(YEAR(m2_crossvalid[[#This Row],[ds]]),MONTH(m2_crossvalid[[#This Row],[ds]]),DAY(m2_crossvalid[[#This Row],[ds]]))</f>
        <v>45880</v>
      </c>
      <c r="C229">
        <v>2043</v>
      </c>
      <c r="D229" s="1">
        <v>45880.333333333336</v>
      </c>
      <c r="E229">
        <v>1817.7529781263388</v>
      </c>
      <c r="F229">
        <v>-320.26993229097013</v>
      </c>
      <c r="G229">
        <v>3883.9922251818048</v>
      </c>
      <c r="H229" s="1">
        <v>45869.333333333336</v>
      </c>
    </row>
    <row r="230" spans="1:8" x14ac:dyDescent="0.25">
      <c r="A230" s="7">
        <f>DATE(YEAR(m2_crossvalid[[#This Row],[cutoff]]),MONTH(m2_crossvalid[[#This Row],[cutoff]]),DAY(m2_crossvalid[[#This Row],[cutoff]]))</f>
        <v>45869</v>
      </c>
      <c r="B230" s="7">
        <f>DATE(YEAR(m2_crossvalid[[#This Row],[ds]]),MONTH(m2_crossvalid[[#This Row],[ds]]),DAY(m2_crossvalid[[#This Row],[ds]]))</f>
        <v>45881</v>
      </c>
      <c r="C230">
        <v>2431</v>
      </c>
      <c r="D230" s="1">
        <v>45881.333333333336</v>
      </c>
      <c r="E230">
        <v>2523.5864969198883</v>
      </c>
      <c r="F230">
        <v>487.52791610239643</v>
      </c>
      <c r="G230">
        <v>4476.7763479887035</v>
      </c>
      <c r="H230" s="1">
        <v>45869.333333333336</v>
      </c>
    </row>
    <row r="231" spans="1:8" x14ac:dyDescent="0.25">
      <c r="A231" s="7">
        <f>DATE(YEAR(m2_crossvalid[[#This Row],[cutoff]]),MONTH(m2_crossvalid[[#This Row],[cutoff]]),DAY(m2_crossvalid[[#This Row],[cutoff]]))</f>
        <v>45869</v>
      </c>
      <c r="B231" s="7">
        <f>DATE(YEAR(m2_crossvalid[[#This Row],[ds]]),MONTH(m2_crossvalid[[#This Row],[ds]]),DAY(m2_crossvalid[[#This Row],[ds]]))</f>
        <v>45882</v>
      </c>
      <c r="C231">
        <v>2484</v>
      </c>
      <c r="D231" s="1">
        <v>45882.333333333336</v>
      </c>
      <c r="E231">
        <v>2753.027120531191</v>
      </c>
      <c r="F231">
        <v>676.65423901283089</v>
      </c>
      <c r="G231">
        <v>4755.6425320503331</v>
      </c>
      <c r="H231" s="1">
        <v>45869.333333333336</v>
      </c>
    </row>
    <row r="232" spans="1:8" x14ac:dyDescent="0.25">
      <c r="A232" s="7">
        <f>DATE(YEAR(m2_crossvalid[[#This Row],[cutoff]]),MONTH(m2_crossvalid[[#This Row],[cutoff]]),DAY(m2_crossvalid[[#This Row],[cutoff]]))</f>
        <v>45869</v>
      </c>
      <c r="B232" s="7">
        <f>DATE(YEAR(m2_crossvalid[[#This Row],[ds]]),MONTH(m2_crossvalid[[#This Row],[ds]]),DAY(m2_crossvalid[[#This Row],[ds]]))</f>
        <v>45883</v>
      </c>
      <c r="C232">
        <v>2669</v>
      </c>
      <c r="D232" s="1">
        <v>45883.333333333336</v>
      </c>
      <c r="E232">
        <v>2788.8834960445311</v>
      </c>
      <c r="F232">
        <v>930.91506277475673</v>
      </c>
      <c r="G232">
        <v>4784.2279313653535</v>
      </c>
      <c r="H232" s="1">
        <v>45869.333333333336</v>
      </c>
    </row>
    <row r="233" spans="1:8" x14ac:dyDescent="0.25">
      <c r="A233" s="7">
        <f>DATE(YEAR(m2_crossvalid[[#This Row],[cutoff]]),MONTH(m2_crossvalid[[#This Row],[cutoff]]),DAY(m2_crossvalid[[#This Row],[cutoff]]))</f>
        <v>45869</v>
      </c>
      <c r="B233" s="7">
        <f>DATE(YEAR(m2_crossvalid[[#This Row],[ds]]),MONTH(m2_crossvalid[[#This Row],[ds]]),DAY(m2_crossvalid[[#This Row],[ds]]))</f>
        <v>45884</v>
      </c>
      <c r="C233">
        <v>3160</v>
      </c>
      <c r="D233" s="1">
        <v>45884.333333333336</v>
      </c>
      <c r="E233">
        <v>2710.7188566114596</v>
      </c>
      <c r="F233">
        <v>510.37877656581435</v>
      </c>
      <c r="G233">
        <v>4602.6274077827375</v>
      </c>
      <c r="H233" s="1">
        <v>45869.333333333336</v>
      </c>
    </row>
    <row r="234" spans="1:8" x14ac:dyDescent="0.25">
      <c r="A234" s="7">
        <f>DATE(YEAR(m2_crossvalid[[#This Row],[cutoff]]),MONTH(m2_crossvalid[[#This Row],[cutoff]]),DAY(m2_crossvalid[[#This Row],[cutoff]]))</f>
        <v>45869</v>
      </c>
      <c r="B234" s="7">
        <f>DATE(YEAR(m2_crossvalid[[#This Row],[ds]]),MONTH(m2_crossvalid[[#This Row],[ds]]),DAY(m2_crossvalid[[#This Row],[ds]]))</f>
        <v>45885</v>
      </c>
      <c r="C234">
        <v>560</v>
      </c>
      <c r="D234" s="1">
        <v>45885.333333333336</v>
      </c>
      <c r="E234">
        <v>556.64872067171632</v>
      </c>
      <c r="F234">
        <v>-1341.3337263550804</v>
      </c>
      <c r="G234">
        <v>2614.9743711632859</v>
      </c>
      <c r="H234" s="1">
        <v>45869.333333333336</v>
      </c>
    </row>
    <row r="235" spans="1:8" x14ac:dyDescent="0.25">
      <c r="A235" s="7">
        <f>DATE(YEAR(m2_crossvalid[[#This Row],[cutoff]]),MONTH(m2_crossvalid[[#This Row],[cutoff]]),DAY(m2_crossvalid[[#This Row],[cutoff]]))</f>
        <v>45869</v>
      </c>
      <c r="B235" s="7">
        <f>DATE(YEAR(m2_crossvalid[[#This Row],[ds]]),MONTH(m2_crossvalid[[#This Row],[ds]]),DAY(m2_crossvalid[[#This Row],[ds]]))</f>
        <v>45886</v>
      </c>
      <c r="C235">
        <v>166</v>
      </c>
      <c r="D235" s="1">
        <v>45886.333333333336</v>
      </c>
      <c r="E235">
        <v>226.28927792950662</v>
      </c>
      <c r="F235">
        <v>-1773.8960693475474</v>
      </c>
      <c r="G235">
        <v>2252.2473639739378</v>
      </c>
      <c r="H235" s="1">
        <v>45869.333333333336</v>
      </c>
    </row>
    <row r="236" spans="1:8" x14ac:dyDescent="0.25">
      <c r="A236" s="7">
        <f>DATE(YEAR(m2_crossvalid[[#This Row],[cutoff]]),MONTH(m2_crossvalid[[#This Row],[cutoff]]),DAY(m2_crossvalid[[#This Row],[cutoff]]))</f>
        <v>45869</v>
      </c>
      <c r="B236" s="7">
        <f>DATE(YEAR(m2_crossvalid[[#This Row],[ds]]),MONTH(m2_crossvalid[[#This Row],[ds]]),DAY(m2_crossvalid[[#This Row],[ds]]))</f>
        <v>45887</v>
      </c>
      <c r="C236">
        <v>3003</v>
      </c>
      <c r="D236" s="1">
        <v>45887.333333333336</v>
      </c>
      <c r="E236">
        <v>2747.0307672394729</v>
      </c>
      <c r="F236">
        <v>880.09272837280309</v>
      </c>
      <c r="G236">
        <v>4640.1671306291119</v>
      </c>
      <c r="H236" s="1">
        <v>45869.333333333336</v>
      </c>
    </row>
    <row r="237" spans="1:8" x14ac:dyDescent="0.25">
      <c r="A237" s="7">
        <f>DATE(YEAR(m2_crossvalid[[#This Row],[cutoff]]),MONTH(m2_crossvalid[[#This Row],[cutoff]]),DAY(m2_crossvalid[[#This Row],[cutoff]]))</f>
        <v>45869</v>
      </c>
      <c r="B237" s="7">
        <f>DATE(YEAR(m2_crossvalid[[#This Row],[ds]]),MONTH(m2_crossvalid[[#This Row],[ds]]),DAY(m2_crossvalid[[#This Row],[ds]]))</f>
        <v>45888</v>
      </c>
      <c r="C237">
        <v>3182</v>
      </c>
      <c r="D237" s="1">
        <v>45888.333333333336</v>
      </c>
      <c r="E237">
        <v>3227.3419565704598</v>
      </c>
      <c r="F237">
        <v>1366.1478255941513</v>
      </c>
      <c r="G237">
        <v>5159.7296282935049</v>
      </c>
      <c r="H237" s="1">
        <v>45869.333333333336</v>
      </c>
    </row>
    <row r="238" spans="1:8" x14ac:dyDescent="0.25">
      <c r="A238" s="7">
        <f>DATE(YEAR(m2_crossvalid[[#This Row],[cutoff]]),MONTH(m2_crossvalid[[#This Row],[cutoff]]),DAY(m2_crossvalid[[#This Row],[cutoff]]))</f>
        <v>45869</v>
      </c>
      <c r="B238" s="7">
        <f>DATE(YEAR(m2_crossvalid[[#This Row],[ds]]),MONTH(m2_crossvalid[[#This Row],[ds]]),DAY(m2_crossvalid[[#This Row],[ds]]))</f>
        <v>45889</v>
      </c>
      <c r="C238">
        <v>3745</v>
      </c>
      <c r="D238" s="1">
        <v>45889.333333333336</v>
      </c>
      <c r="E238">
        <v>3195.5460548012943</v>
      </c>
      <c r="F238">
        <v>1452.9258227687449</v>
      </c>
      <c r="G238">
        <v>5242.2515574510735</v>
      </c>
      <c r="H238" s="1">
        <v>45869.333333333336</v>
      </c>
    </row>
    <row r="239" spans="1:8" x14ac:dyDescent="0.25">
      <c r="A239" s="7">
        <f>DATE(YEAR(m2_crossvalid[[#This Row],[cutoff]]),MONTH(m2_crossvalid[[#This Row],[cutoff]]),DAY(m2_crossvalid[[#This Row],[cutoff]]))</f>
        <v>45869</v>
      </c>
      <c r="B239" s="7">
        <f>DATE(YEAR(m2_crossvalid[[#This Row],[ds]]),MONTH(m2_crossvalid[[#This Row],[ds]]),DAY(m2_crossvalid[[#This Row],[ds]]))</f>
        <v>45890</v>
      </c>
      <c r="C239">
        <v>3754</v>
      </c>
      <c r="D239" s="1">
        <v>45890.333333333336</v>
      </c>
      <c r="E239">
        <v>3205.8234403706529</v>
      </c>
      <c r="F239">
        <v>1278.6978812515056</v>
      </c>
      <c r="G239">
        <v>5167.2870309894588</v>
      </c>
      <c r="H239" s="1">
        <v>45869.333333333336</v>
      </c>
    </row>
    <row r="240" spans="1:8" x14ac:dyDescent="0.25">
      <c r="A240" s="7">
        <f>DATE(YEAR(m2_crossvalid[[#This Row],[cutoff]]),MONTH(m2_crossvalid[[#This Row],[cutoff]]),DAY(m2_crossvalid[[#This Row],[cutoff]]))</f>
        <v>45869</v>
      </c>
      <c r="B240" s="7">
        <f>DATE(YEAR(m2_crossvalid[[#This Row],[ds]]),MONTH(m2_crossvalid[[#This Row],[ds]]),DAY(m2_crossvalid[[#This Row],[ds]]))</f>
        <v>45891</v>
      </c>
      <c r="C240">
        <v>3741</v>
      </c>
      <c r="D240" s="1">
        <v>45891.333333333336</v>
      </c>
      <c r="E240">
        <v>3362.7741798085326</v>
      </c>
      <c r="F240">
        <v>1378.1018423379262</v>
      </c>
      <c r="G240">
        <v>5344.2296333353324</v>
      </c>
      <c r="H240" s="1">
        <v>45869.333333333336</v>
      </c>
    </row>
    <row r="241" spans="1:8" x14ac:dyDescent="0.25">
      <c r="A241" s="7">
        <f>DATE(YEAR(m2_crossvalid[[#This Row],[cutoff]]),MONTH(m2_crossvalid[[#This Row],[cutoff]]),DAY(m2_crossvalid[[#This Row],[cutoff]]))</f>
        <v>45869</v>
      </c>
      <c r="B241" s="7">
        <f>DATE(YEAR(m2_crossvalid[[#This Row],[ds]]),MONTH(m2_crossvalid[[#This Row],[ds]]),DAY(m2_crossvalid[[#This Row],[ds]]))</f>
        <v>45892</v>
      </c>
      <c r="C241">
        <v>761</v>
      </c>
      <c r="D241" s="1">
        <v>45892.333333333336</v>
      </c>
      <c r="E241">
        <v>1457.5252300840561</v>
      </c>
      <c r="F241">
        <v>-640.28194218086753</v>
      </c>
      <c r="G241">
        <v>3346.3642367807711</v>
      </c>
      <c r="H241" s="1">
        <v>45869.333333333336</v>
      </c>
    </row>
    <row r="242" spans="1:8" x14ac:dyDescent="0.25">
      <c r="A242" s="7">
        <f>DATE(YEAR(m2_crossvalid[[#This Row],[cutoff]]),MONTH(m2_crossvalid[[#This Row],[cutoff]]),DAY(m2_crossvalid[[#This Row],[cutoff]]))</f>
        <v>45869</v>
      </c>
      <c r="B242" s="7">
        <f>DATE(YEAR(m2_crossvalid[[#This Row],[ds]]),MONTH(m2_crossvalid[[#This Row],[ds]]),DAY(m2_crossvalid[[#This Row],[ds]]))</f>
        <v>45893</v>
      </c>
      <c r="C242">
        <v>239</v>
      </c>
      <c r="D242" s="1">
        <v>45893.333333333336</v>
      </c>
      <c r="E242">
        <v>1129.5541249857658</v>
      </c>
      <c r="F242">
        <v>-804.69934679826201</v>
      </c>
      <c r="G242">
        <v>3095.2341871489398</v>
      </c>
      <c r="H242" s="1">
        <v>45869.333333333336</v>
      </c>
    </row>
    <row r="243" spans="1:8" x14ac:dyDescent="0.25">
      <c r="A243" s="7">
        <f>DATE(YEAR(m2_crossvalid[[#This Row],[cutoff]]),MONTH(m2_crossvalid[[#This Row],[cutoff]]),DAY(m2_crossvalid[[#This Row],[cutoff]]))</f>
        <v>45869</v>
      </c>
      <c r="B243" s="7">
        <f>DATE(YEAR(m2_crossvalid[[#This Row],[ds]]),MONTH(m2_crossvalid[[#This Row],[ds]]),DAY(m2_crossvalid[[#This Row],[ds]]))</f>
        <v>45894</v>
      </c>
      <c r="C243">
        <v>3838</v>
      </c>
      <c r="D243" s="1">
        <v>45894.333333333336</v>
      </c>
      <c r="E243">
        <v>3424.977725859053</v>
      </c>
      <c r="F243">
        <v>1304.3026345911044</v>
      </c>
      <c r="G243">
        <v>5542.5631834777805</v>
      </c>
      <c r="H243" s="1">
        <v>45869.333333333336</v>
      </c>
    </row>
    <row r="244" spans="1:8" x14ac:dyDescent="0.25">
      <c r="A244" s="7">
        <f>DATE(YEAR(m2_crossvalid[[#This Row],[cutoff]]),MONTH(m2_crossvalid[[#This Row],[cutoff]]),DAY(m2_crossvalid[[#This Row],[cutoff]]))</f>
        <v>45869</v>
      </c>
      <c r="B244" s="7">
        <f>DATE(YEAR(m2_crossvalid[[#This Row],[ds]]),MONTH(m2_crossvalid[[#This Row],[ds]]),DAY(m2_crossvalid[[#This Row],[ds]]))</f>
        <v>45895</v>
      </c>
      <c r="C244">
        <v>5214</v>
      </c>
      <c r="D244" s="1">
        <v>45895.333333333336</v>
      </c>
      <c r="E244">
        <v>3781.8516086152113</v>
      </c>
      <c r="F244">
        <v>2011.4024494568048</v>
      </c>
      <c r="G244">
        <v>5691.7943708164921</v>
      </c>
      <c r="H244" s="1">
        <v>45869.333333333336</v>
      </c>
    </row>
    <row r="245" spans="1:8" x14ac:dyDescent="0.25">
      <c r="A245" s="7">
        <f>DATE(YEAR(m2_crossvalid[[#This Row],[cutoff]]),MONTH(m2_crossvalid[[#This Row],[cutoff]]),DAY(m2_crossvalid[[#This Row],[cutoff]]))</f>
        <v>45869</v>
      </c>
      <c r="B245" s="7">
        <f>DATE(YEAR(m2_crossvalid[[#This Row],[ds]]),MONTH(m2_crossvalid[[#This Row],[ds]]),DAY(m2_crossvalid[[#This Row],[ds]]))</f>
        <v>45896</v>
      </c>
      <c r="C245">
        <v>5989</v>
      </c>
      <c r="D245" s="1">
        <v>45896.333333333336</v>
      </c>
      <c r="E245">
        <v>4087.500411062179</v>
      </c>
      <c r="F245">
        <v>2046.6634136912946</v>
      </c>
      <c r="G245">
        <v>6072.9843336296763</v>
      </c>
      <c r="H245" s="1">
        <v>45869.333333333336</v>
      </c>
    </row>
    <row r="246" spans="1:8" x14ac:dyDescent="0.25">
      <c r="A246" s="7">
        <f>DATE(YEAR(m2_crossvalid[[#This Row],[cutoff]]),MONTH(m2_crossvalid[[#This Row],[cutoff]]),DAY(m2_crossvalid[[#This Row],[cutoff]]))</f>
        <v>45869</v>
      </c>
      <c r="B246" s="7">
        <f>DATE(YEAR(m2_crossvalid[[#This Row],[ds]]),MONTH(m2_crossvalid[[#This Row],[ds]]),DAY(m2_crossvalid[[#This Row],[ds]]))</f>
        <v>45897</v>
      </c>
      <c r="C246">
        <v>7115</v>
      </c>
      <c r="D246" s="1">
        <v>45897.333333333336</v>
      </c>
      <c r="E246">
        <v>4931.9442916372391</v>
      </c>
      <c r="F246">
        <v>2973.029594259282</v>
      </c>
      <c r="G246">
        <v>6977.2470373159395</v>
      </c>
      <c r="H246" s="1">
        <v>45869.333333333336</v>
      </c>
    </row>
    <row r="247" spans="1:8" x14ac:dyDescent="0.25">
      <c r="A247" s="7">
        <f>DATE(YEAR(m2_crossvalid[[#This Row],[cutoff]]),MONTH(m2_crossvalid[[#This Row],[cutoff]]),DAY(m2_crossvalid[[#This Row],[cutoff]]))</f>
        <v>45869</v>
      </c>
      <c r="B247" s="7">
        <f>DATE(YEAR(m2_crossvalid[[#This Row],[ds]]),MONTH(m2_crossvalid[[#This Row],[ds]]),DAY(m2_crossvalid[[#This Row],[ds]]))</f>
        <v>45898</v>
      </c>
      <c r="C247">
        <v>9571</v>
      </c>
      <c r="D247" s="1">
        <v>45898.333333333336</v>
      </c>
      <c r="E247">
        <v>6025.2131846386683</v>
      </c>
      <c r="F247">
        <v>4101.8075111988119</v>
      </c>
      <c r="G247">
        <v>7860.2982425928694</v>
      </c>
      <c r="H247" s="1">
        <v>45869.333333333336</v>
      </c>
    </row>
    <row r="248" spans="1:8" x14ac:dyDescent="0.25">
      <c r="A248" s="7">
        <f>DATE(YEAR(m2_crossvalid[[#This Row],[cutoff]]),MONTH(m2_crossvalid[[#This Row],[cutoff]]),DAY(m2_crossvalid[[#This Row],[cutoff]]))</f>
        <v>45869</v>
      </c>
      <c r="B248" s="7">
        <f>DATE(YEAR(m2_crossvalid[[#This Row],[ds]]),MONTH(m2_crossvalid[[#This Row],[ds]]),DAY(m2_crossvalid[[#This Row],[ds]]))</f>
        <v>45899</v>
      </c>
      <c r="C248">
        <v>5764</v>
      </c>
      <c r="D248" s="1">
        <v>45899.333333333336</v>
      </c>
      <c r="E248">
        <v>4573.1445356757467</v>
      </c>
      <c r="F248">
        <v>2710.9083096756267</v>
      </c>
      <c r="G248">
        <v>6640.2153860101571</v>
      </c>
      <c r="H248" s="1">
        <v>45869.333333333336</v>
      </c>
    </row>
    <row r="249" spans="1:8" x14ac:dyDescent="0.25">
      <c r="A249" s="7">
        <f>DATE(YEAR(m2_crossvalid[[#This Row],[cutoff]]),MONTH(m2_crossvalid[[#This Row],[cutoff]]),DAY(m2_crossvalid[[#This Row],[cutoff]]))</f>
        <v>45869</v>
      </c>
      <c r="B249" s="7">
        <f>DATE(YEAR(m2_crossvalid[[#This Row],[ds]]),MONTH(m2_crossvalid[[#This Row],[ds]]),DAY(m2_crossvalid[[#This Row],[ds]]))</f>
        <v>45900</v>
      </c>
      <c r="C249">
        <v>386</v>
      </c>
      <c r="D249" s="1">
        <v>45900.333333333336</v>
      </c>
      <c r="E249">
        <v>3826.089457889907</v>
      </c>
      <c r="F249">
        <v>1742.3143227041642</v>
      </c>
      <c r="G249">
        <v>5870.5176623110156</v>
      </c>
      <c r="H249" s="1">
        <v>45869.333333333336</v>
      </c>
    </row>
    <row r="250" spans="1:8" x14ac:dyDescent="0.25">
      <c r="A250" s="7">
        <f>DATE(YEAR(m2_crossvalid[[#This Row],[cutoff]]),MONTH(m2_crossvalid[[#This Row],[cutoff]]),DAY(m2_crossvalid[[#This Row],[cutoff]]))</f>
        <v>45900</v>
      </c>
      <c r="B250" s="7">
        <f>DATE(YEAR(m2_crossvalid[[#This Row],[ds]]),MONTH(m2_crossvalid[[#This Row],[ds]]),DAY(m2_crossvalid[[#This Row],[ds]]))</f>
        <v>45901</v>
      </c>
      <c r="C250">
        <v>34</v>
      </c>
      <c r="D250" s="1">
        <v>45901.333333333336</v>
      </c>
      <c r="E250">
        <v>4895.3549551678279</v>
      </c>
      <c r="F250">
        <v>2949.5996516120258</v>
      </c>
      <c r="G250">
        <v>6824.0890784806761</v>
      </c>
      <c r="H250" s="1">
        <v>45900.333333333336</v>
      </c>
    </row>
    <row r="251" spans="1:8" x14ac:dyDescent="0.25">
      <c r="A251" s="7">
        <f>DATE(YEAR(m2_crossvalid[[#This Row],[cutoff]]),MONTH(m2_crossvalid[[#This Row],[cutoff]]),DAY(m2_crossvalid[[#This Row],[cutoff]]))</f>
        <v>45900</v>
      </c>
      <c r="B251" s="7">
        <f>DATE(YEAR(m2_crossvalid[[#This Row],[ds]]),MONTH(m2_crossvalid[[#This Row],[ds]]),DAY(m2_crossvalid[[#This Row],[ds]]))</f>
        <v>45902</v>
      </c>
      <c r="C251">
        <v>463</v>
      </c>
      <c r="D251" s="1">
        <v>45902.333333333336</v>
      </c>
      <c r="E251">
        <v>3541.8141165957541</v>
      </c>
      <c r="F251">
        <v>1604.1893514169651</v>
      </c>
      <c r="G251">
        <v>5478.1771482174972</v>
      </c>
      <c r="H251" s="1">
        <v>45900.333333333336</v>
      </c>
    </row>
    <row r="252" spans="1:8" x14ac:dyDescent="0.25">
      <c r="A252" s="7">
        <f>DATE(YEAR(m2_crossvalid[[#This Row],[cutoff]]),MONTH(m2_crossvalid[[#This Row],[cutoff]]),DAY(m2_crossvalid[[#This Row],[cutoff]]))</f>
        <v>45900</v>
      </c>
      <c r="B252" s="7">
        <f>DATE(YEAR(m2_crossvalid[[#This Row],[ds]]),MONTH(m2_crossvalid[[#This Row],[ds]]),DAY(m2_crossvalid[[#This Row],[ds]]))</f>
        <v>45903</v>
      </c>
      <c r="C252">
        <v>734</v>
      </c>
      <c r="D252" s="1">
        <v>45903.333333333336</v>
      </c>
      <c r="E252">
        <v>2097.8672680331265</v>
      </c>
      <c r="F252">
        <v>10.194124397242895</v>
      </c>
      <c r="G252">
        <v>4070.1995635367552</v>
      </c>
      <c r="H252" s="1">
        <v>45900.333333333336</v>
      </c>
    </row>
    <row r="253" spans="1:8" x14ac:dyDescent="0.25">
      <c r="A253" s="7">
        <f>DATE(YEAR(m2_crossvalid[[#This Row],[cutoff]]),MONTH(m2_crossvalid[[#This Row],[cutoff]]),DAY(m2_crossvalid[[#This Row],[cutoff]]))</f>
        <v>45900</v>
      </c>
      <c r="B253" s="7">
        <f>DATE(YEAR(m2_crossvalid[[#This Row],[ds]]),MONTH(m2_crossvalid[[#This Row],[ds]]),DAY(m2_crossvalid[[#This Row],[ds]]))</f>
        <v>45904</v>
      </c>
      <c r="C253">
        <v>973</v>
      </c>
      <c r="D253" s="1">
        <v>45904.333333333336</v>
      </c>
      <c r="E253">
        <v>1449.2935397047838</v>
      </c>
      <c r="F253">
        <v>-546.80557283462588</v>
      </c>
      <c r="G253">
        <v>3423.9230756605202</v>
      </c>
      <c r="H253" s="1">
        <v>45900.333333333336</v>
      </c>
    </row>
    <row r="254" spans="1:8" x14ac:dyDescent="0.25">
      <c r="A254" s="7">
        <f>DATE(YEAR(m2_crossvalid[[#This Row],[cutoff]]),MONTH(m2_crossvalid[[#This Row],[cutoff]]),DAY(m2_crossvalid[[#This Row],[cutoff]]))</f>
        <v>45900</v>
      </c>
      <c r="B254" s="7">
        <f>DATE(YEAR(m2_crossvalid[[#This Row],[ds]]),MONTH(m2_crossvalid[[#This Row],[ds]]),DAY(m2_crossvalid[[#This Row],[ds]]))</f>
        <v>45905</v>
      </c>
      <c r="C254">
        <v>61</v>
      </c>
      <c r="D254" s="1">
        <v>45905.333333333336</v>
      </c>
      <c r="E254">
        <v>1478.5851815746835</v>
      </c>
      <c r="F254">
        <v>-547.0767657625737</v>
      </c>
      <c r="G254">
        <v>3495.8690277905939</v>
      </c>
      <c r="H254" s="1">
        <v>45900.333333333336</v>
      </c>
    </row>
    <row r="255" spans="1:8" x14ac:dyDescent="0.25">
      <c r="A255" s="7">
        <f>DATE(YEAR(m2_crossvalid[[#This Row],[cutoff]]),MONTH(m2_crossvalid[[#This Row],[cutoff]]),DAY(m2_crossvalid[[#This Row],[cutoff]]))</f>
        <v>45900</v>
      </c>
      <c r="B255" s="7">
        <f>DATE(YEAR(m2_crossvalid[[#This Row],[ds]]),MONTH(m2_crossvalid[[#This Row],[ds]]),DAY(m2_crossvalid[[#This Row],[ds]]))</f>
        <v>45906</v>
      </c>
      <c r="C255">
        <v>107</v>
      </c>
      <c r="D255" s="1">
        <v>45906.333333333336</v>
      </c>
      <c r="E255">
        <v>-372.71332061564226</v>
      </c>
      <c r="F255">
        <v>-2384.3687592178994</v>
      </c>
      <c r="G255">
        <v>1598.4373013049842</v>
      </c>
      <c r="H255" s="1">
        <v>45900.333333333336</v>
      </c>
    </row>
    <row r="256" spans="1:8" x14ac:dyDescent="0.25">
      <c r="A256" s="7">
        <f>DATE(YEAR(m2_crossvalid[[#This Row],[cutoff]]),MONTH(m2_crossvalid[[#This Row],[cutoff]]),DAY(m2_crossvalid[[#This Row],[cutoff]]))</f>
        <v>45900</v>
      </c>
      <c r="B256" s="7">
        <f>DATE(YEAR(m2_crossvalid[[#This Row],[ds]]),MONTH(m2_crossvalid[[#This Row],[ds]]),DAY(m2_crossvalid[[#This Row],[ds]]))</f>
        <v>45907</v>
      </c>
      <c r="C256">
        <v>30</v>
      </c>
      <c r="D256" s="1">
        <v>45907.333333333336</v>
      </c>
      <c r="E256">
        <v>-698.13180554416658</v>
      </c>
      <c r="F256">
        <v>-2702.7139663979747</v>
      </c>
      <c r="G256">
        <v>1374.7529266349841</v>
      </c>
      <c r="H256" s="1">
        <v>45900.333333333336</v>
      </c>
    </row>
    <row r="257" spans="1:8" x14ac:dyDescent="0.25">
      <c r="A257" s="7">
        <f>DATE(YEAR(m2_crossvalid[[#This Row],[cutoff]]),MONTH(m2_crossvalid[[#This Row],[cutoff]]),DAY(m2_crossvalid[[#This Row],[cutoff]]))</f>
        <v>45900</v>
      </c>
      <c r="B257" s="7">
        <f>DATE(YEAR(m2_crossvalid[[#This Row],[ds]]),MONTH(m2_crossvalid[[#This Row],[ds]]),DAY(m2_crossvalid[[#This Row],[ds]]))</f>
        <v>45908</v>
      </c>
      <c r="C257">
        <v>1382</v>
      </c>
      <c r="D257" s="1">
        <v>45908.333333333336</v>
      </c>
      <c r="E257">
        <v>1609.918668146556</v>
      </c>
      <c r="F257">
        <v>-289.85465169295571</v>
      </c>
      <c r="G257">
        <v>3437.3549000866678</v>
      </c>
      <c r="H257" s="1">
        <v>45900.333333333336</v>
      </c>
    </row>
    <row r="258" spans="1:8" x14ac:dyDescent="0.25">
      <c r="A258" s="7">
        <f>DATE(YEAR(m2_crossvalid[[#This Row],[cutoff]]),MONTH(m2_crossvalid[[#This Row],[cutoff]]),DAY(m2_crossvalid[[#This Row],[cutoff]]))</f>
        <v>45900</v>
      </c>
      <c r="B258" s="7">
        <f>DATE(YEAR(m2_crossvalid[[#This Row],[ds]]),MONTH(m2_crossvalid[[#This Row],[ds]]),DAY(m2_crossvalid[[#This Row],[ds]]))</f>
        <v>45909</v>
      </c>
      <c r="C258">
        <v>1925</v>
      </c>
      <c r="D258" s="1">
        <v>45909.333333333336</v>
      </c>
      <c r="E258">
        <v>1950.1238966109436</v>
      </c>
      <c r="F258">
        <v>62.119263598621117</v>
      </c>
      <c r="G258">
        <v>4161.2931572827083</v>
      </c>
      <c r="H258" s="1">
        <v>45900.333333333336</v>
      </c>
    </row>
    <row r="259" spans="1:8" x14ac:dyDescent="0.25">
      <c r="A259" s="7">
        <f>DATE(YEAR(m2_crossvalid[[#This Row],[cutoff]]),MONTH(m2_crossvalid[[#This Row],[cutoff]]),DAY(m2_crossvalid[[#This Row],[cutoff]]))</f>
        <v>45900</v>
      </c>
      <c r="B259" s="7">
        <f>DATE(YEAR(m2_crossvalid[[#This Row],[ds]]),MONTH(m2_crossvalid[[#This Row],[ds]]),DAY(m2_crossvalid[[#This Row],[ds]]))</f>
        <v>45910</v>
      </c>
      <c r="C259">
        <v>1988</v>
      </c>
      <c r="D259" s="1">
        <v>45910.333333333336</v>
      </c>
      <c r="E259">
        <v>2040.18648010632</v>
      </c>
      <c r="F259">
        <v>276.65058654760037</v>
      </c>
      <c r="G259">
        <v>3919.8254840983986</v>
      </c>
      <c r="H259" s="1">
        <v>45900.333333333336</v>
      </c>
    </row>
    <row r="260" spans="1:8" x14ac:dyDescent="0.25">
      <c r="A260" s="7">
        <f>DATE(YEAR(m2_crossvalid[[#This Row],[cutoff]]),MONTH(m2_crossvalid[[#This Row],[cutoff]]),DAY(m2_crossvalid[[#This Row],[cutoff]]))</f>
        <v>45900</v>
      </c>
      <c r="B260" s="7">
        <f>DATE(YEAR(m2_crossvalid[[#This Row],[ds]]),MONTH(m2_crossvalid[[#This Row],[ds]]),DAY(m2_crossvalid[[#This Row],[ds]]))</f>
        <v>45911</v>
      </c>
      <c r="C260">
        <v>2414</v>
      </c>
      <c r="D260" s="1">
        <v>45911.333333333336</v>
      </c>
      <c r="E260">
        <v>2268.0382571388222</v>
      </c>
      <c r="F260">
        <v>385.60243062617366</v>
      </c>
      <c r="G260">
        <v>4407.0692969556658</v>
      </c>
      <c r="H260" s="1">
        <v>45900.333333333336</v>
      </c>
    </row>
    <row r="261" spans="1:8" x14ac:dyDescent="0.25">
      <c r="A261" s="7">
        <f>DATE(YEAR(m2_crossvalid[[#This Row],[cutoff]]),MONTH(m2_crossvalid[[#This Row],[cutoff]]),DAY(m2_crossvalid[[#This Row],[cutoff]]))</f>
        <v>45900</v>
      </c>
      <c r="B261" s="7">
        <f>DATE(YEAR(m2_crossvalid[[#This Row],[ds]]),MONTH(m2_crossvalid[[#This Row],[ds]]),DAY(m2_crossvalid[[#This Row],[ds]]))</f>
        <v>45912</v>
      </c>
      <c r="C261">
        <v>2644</v>
      </c>
      <c r="D261" s="1">
        <v>45912.333333333336</v>
      </c>
      <c r="E261">
        <v>2408.9030545352175</v>
      </c>
      <c r="F261">
        <v>445.70606493505863</v>
      </c>
      <c r="G261">
        <v>4281.6904020817001</v>
      </c>
      <c r="H261" s="1">
        <v>45900.333333333336</v>
      </c>
    </row>
    <row r="262" spans="1:8" x14ac:dyDescent="0.25">
      <c r="A262" s="7">
        <f>DATE(YEAR(m2_crossvalid[[#This Row],[cutoff]]),MONTH(m2_crossvalid[[#This Row],[cutoff]]),DAY(m2_crossvalid[[#This Row],[cutoff]]))</f>
        <v>45900</v>
      </c>
      <c r="B262" s="7">
        <f>DATE(YEAR(m2_crossvalid[[#This Row],[ds]]),MONTH(m2_crossvalid[[#This Row],[ds]]),DAY(m2_crossvalid[[#This Row],[ds]]))</f>
        <v>45913</v>
      </c>
      <c r="C262">
        <v>439</v>
      </c>
      <c r="D262" s="1">
        <v>45913.333333333336</v>
      </c>
      <c r="E262">
        <v>231.98863492604687</v>
      </c>
      <c r="F262">
        <v>-1640.8364838332543</v>
      </c>
      <c r="G262">
        <v>2376.4370245127266</v>
      </c>
      <c r="H262" s="1">
        <v>45900.333333333336</v>
      </c>
    </row>
    <row r="263" spans="1:8" x14ac:dyDescent="0.25">
      <c r="A263" s="7">
        <f>DATE(YEAR(m2_crossvalid[[#This Row],[cutoff]]),MONTH(m2_crossvalid[[#This Row],[cutoff]]),DAY(m2_crossvalid[[#This Row],[cutoff]]))</f>
        <v>45900</v>
      </c>
      <c r="B263" s="7">
        <f>DATE(YEAR(m2_crossvalid[[#This Row],[ds]]),MONTH(m2_crossvalid[[#This Row],[ds]]),DAY(m2_crossvalid[[#This Row],[ds]]))</f>
        <v>45914</v>
      </c>
      <c r="C263">
        <v>108</v>
      </c>
      <c r="D263" s="1">
        <v>45914.333333333336</v>
      </c>
      <c r="E263">
        <v>-368.88779876726585</v>
      </c>
      <c r="F263">
        <v>-2280.4617029527894</v>
      </c>
      <c r="G263">
        <v>1606.704302843249</v>
      </c>
      <c r="H263" s="1">
        <v>45900.333333333336</v>
      </c>
    </row>
    <row r="264" spans="1:8" x14ac:dyDescent="0.25">
      <c r="A264" s="7">
        <f>DATE(YEAR(m2_crossvalid[[#This Row],[cutoff]]),MONTH(m2_crossvalid[[#This Row],[cutoff]]),DAY(m2_crossvalid[[#This Row],[cutoff]]))</f>
        <v>45900</v>
      </c>
      <c r="B264" s="7">
        <f>DATE(YEAR(m2_crossvalid[[#This Row],[ds]]),MONTH(m2_crossvalid[[#This Row],[ds]]),DAY(m2_crossvalid[[#This Row],[ds]]))</f>
        <v>45915</v>
      </c>
      <c r="C264">
        <v>19</v>
      </c>
      <c r="D264" s="1">
        <v>45915.333333333336</v>
      </c>
      <c r="E264">
        <v>1987.2153720677138</v>
      </c>
      <c r="F264">
        <v>64.865090578081876</v>
      </c>
      <c r="G264">
        <v>3947.798447952418</v>
      </c>
      <c r="H264" s="1">
        <v>45900.333333333336</v>
      </c>
    </row>
    <row r="265" spans="1:8" x14ac:dyDescent="0.25">
      <c r="A265" s="7">
        <f>DATE(YEAR(m2_crossvalid[[#This Row],[cutoff]]),MONTH(m2_crossvalid[[#This Row],[cutoff]]),DAY(m2_crossvalid[[#This Row],[cutoff]]))</f>
        <v>45900</v>
      </c>
      <c r="B265" s="7">
        <f>DATE(YEAR(m2_crossvalid[[#This Row],[ds]]),MONTH(m2_crossvalid[[#This Row],[ds]]),DAY(m2_crossvalid[[#This Row],[ds]]))</f>
        <v>45916</v>
      </c>
      <c r="C265">
        <v>5</v>
      </c>
      <c r="D265" s="1">
        <v>45916.333333333336</v>
      </c>
      <c r="E265">
        <v>2596.6455700419574</v>
      </c>
      <c r="F265">
        <v>605.49572877073558</v>
      </c>
      <c r="G265">
        <v>4535.0373667350668</v>
      </c>
      <c r="H265" s="1">
        <v>45900.333333333336</v>
      </c>
    </row>
    <row r="266" spans="1:8" x14ac:dyDescent="0.25">
      <c r="A266" s="7">
        <f>DATE(YEAR(m2_crossvalid[[#This Row],[cutoff]]),MONTH(m2_crossvalid[[#This Row],[cutoff]]),DAY(m2_crossvalid[[#This Row],[cutoff]]))</f>
        <v>45900</v>
      </c>
      <c r="B266" s="7">
        <f>DATE(YEAR(m2_crossvalid[[#This Row],[ds]]),MONTH(m2_crossvalid[[#This Row],[ds]]),DAY(m2_crossvalid[[#This Row],[ds]]))</f>
        <v>45917</v>
      </c>
      <c r="C266">
        <v>2108</v>
      </c>
      <c r="D266" s="1">
        <v>45917.333333333336</v>
      </c>
      <c r="E266">
        <v>2870.0295450661042</v>
      </c>
      <c r="F266">
        <v>834.95858432352964</v>
      </c>
      <c r="G266">
        <v>4821.2630829246864</v>
      </c>
      <c r="H266" s="1">
        <v>45900.333333333336</v>
      </c>
    </row>
    <row r="267" spans="1:8" x14ac:dyDescent="0.25">
      <c r="A267" s="7">
        <f>DATE(YEAR(m2_crossvalid[[#This Row],[cutoff]]),MONTH(m2_crossvalid[[#This Row],[cutoff]]),DAY(m2_crossvalid[[#This Row],[cutoff]]))</f>
        <v>45900</v>
      </c>
      <c r="B267" s="7">
        <f>DATE(YEAR(m2_crossvalid[[#This Row],[ds]]),MONTH(m2_crossvalid[[#This Row],[ds]]),DAY(m2_crossvalid[[#This Row],[ds]]))</f>
        <v>45918</v>
      </c>
      <c r="C267">
        <v>3129</v>
      </c>
      <c r="D267" s="1">
        <v>45918.333333333336</v>
      </c>
      <c r="E267">
        <v>3009.8702273788249</v>
      </c>
      <c r="F267">
        <v>1103.0654561838219</v>
      </c>
      <c r="G267">
        <v>5126.5724252005621</v>
      </c>
      <c r="H267" s="1">
        <v>45900.333333333336</v>
      </c>
    </row>
    <row r="268" spans="1:8" x14ac:dyDescent="0.25">
      <c r="A268" s="7">
        <f>DATE(YEAR(m2_crossvalid[[#This Row],[cutoff]]),MONTH(m2_crossvalid[[#This Row],[cutoff]]),DAY(m2_crossvalid[[#This Row],[cutoff]]))</f>
        <v>45900</v>
      </c>
      <c r="B268" s="7">
        <f>DATE(YEAR(m2_crossvalid[[#This Row],[ds]]),MONTH(m2_crossvalid[[#This Row],[ds]]),DAY(m2_crossvalid[[#This Row],[ds]]))</f>
        <v>45919</v>
      </c>
      <c r="C268">
        <v>3027</v>
      </c>
      <c r="D268" s="1">
        <v>45919.333333333336</v>
      </c>
      <c r="E268">
        <v>2901.6673058585075</v>
      </c>
      <c r="F268">
        <v>759.3200731246792</v>
      </c>
      <c r="G268">
        <v>4917.8448086015715</v>
      </c>
      <c r="H268" s="1">
        <v>45900.333333333336</v>
      </c>
    </row>
    <row r="269" spans="1:8" x14ac:dyDescent="0.25">
      <c r="A269" s="7">
        <f>DATE(YEAR(m2_crossvalid[[#This Row],[cutoff]]),MONTH(m2_crossvalid[[#This Row],[cutoff]]),DAY(m2_crossvalid[[#This Row],[cutoff]]))</f>
        <v>45900</v>
      </c>
      <c r="B269" s="7">
        <f>DATE(YEAR(m2_crossvalid[[#This Row],[ds]]),MONTH(m2_crossvalid[[#This Row],[ds]]),DAY(m2_crossvalid[[#This Row],[ds]]))</f>
        <v>45920</v>
      </c>
      <c r="C269">
        <v>525</v>
      </c>
      <c r="D269" s="1">
        <v>45920.333333333336</v>
      </c>
      <c r="E269">
        <v>591.33228892528564</v>
      </c>
      <c r="F269">
        <v>-1432.996829741759</v>
      </c>
      <c r="G269">
        <v>2667.0037746016533</v>
      </c>
      <c r="H269" s="1">
        <v>45900.333333333336</v>
      </c>
    </row>
    <row r="270" spans="1:8" x14ac:dyDescent="0.25">
      <c r="A270" s="7">
        <f>DATE(YEAR(m2_crossvalid[[#This Row],[cutoff]]),MONTH(m2_crossvalid[[#This Row],[cutoff]]),DAY(m2_crossvalid[[#This Row],[cutoff]]))</f>
        <v>45900</v>
      </c>
      <c r="B270" s="7">
        <f>DATE(YEAR(m2_crossvalid[[#This Row],[ds]]),MONTH(m2_crossvalid[[#This Row],[ds]]),DAY(m2_crossvalid[[#This Row],[ds]]))</f>
        <v>45921</v>
      </c>
      <c r="C270">
        <v>107</v>
      </c>
      <c r="D270" s="1">
        <v>45921.333333333336</v>
      </c>
      <c r="E270">
        <v>125.63286260539689</v>
      </c>
      <c r="F270">
        <v>-1886.8031685267576</v>
      </c>
      <c r="G270">
        <v>2317.3117571776975</v>
      </c>
      <c r="H270" s="1">
        <v>45900.333333333336</v>
      </c>
    </row>
    <row r="271" spans="1:8" x14ac:dyDescent="0.25">
      <c r="A271" s="7">
        <f>DATE(YEAR(m2_crossvalid[[#This Row],[cutoff]]),MONTH(m2_crossvalid[[#This Row],[cutoff]]),DAY(m2_crossvalid[[#This Row],[cutoff]]))</f>
        <v>45900</v>
      </c>
      <c r="B271" s="7">
        <f>DATE(YEAR(m2_crossvalid[[#This Row],[ds]]),MONTH(m2_crossvalid[[#This Row],[ds]]),DAY(m2_crossvalid[[#This Row],[ds]]))</f>
        <v>45922</v>
      </c>
      <c r="C271">
        <v>2480</v>
      </c>
      <c r="D271" s="1">
        <v>45922.333333333336</v>
      </c>
      <c r="E271">
        <v>2757.1541509558156</v>
      </c>
      <c r="F271">
        <v>847.11453623077705</v>
      </c>
      <c r="G271">
        <v>4706.5862717300415</v>
      </c>
      <c r="H271" s="1">
        <v>45900.333333333336</v>
      </c>
    </row>
    <row r="272" spans="1:8" x14ac:dyDescent="0.25">
      <c r="A272" s="7">
        <f>DATE(YEAR(m2_crossvalid[[#This Row],[cutoff]]),MONTH(m2_crossvalid[[#This Row],[cutoff]]),DAY(m2_crossvalid[[#This Row],[cutoff]]))</f>
        <v>45900</v>
      </c>
      <c r="B272" s="7">
        <f>DATE(YEAR(m2_crossvalid[[#This Row],[ds]]),MONTH(m2_crossvalid[[#This Row],[ds]]),DAY(m2_crossvalid[[#This Row],[ds]]))</f>
        <v>45923</v>
      </c>
      <c r="C272">
        <v>2893</v>
      </c>
      <c r="D272" s="1">
        <v>45923.333333333336</v>
      </c>
      <c r="E272">
        <v>3507.5683648134518</v>
      </c>
      <c r="F272">
        <v>1396.2830926881259</v>
      </c>
      <c r="G272">
        <v>5335.7786180521607</v>
      </c>
      <c r="H272" s="1">
        <v>45900.333333333336</v>
      </c>
    </row>
    <row r="273" spans="1:8" x14ac:dyDescent="0.25">
      <c r="A273" s="7">
        <f>DATE(YEAR(m2_crossvalid[[#This Row],[cutoff]]),MONTH(m2_crossvalid[[#This Row],[cutoff]]),DAY(m2_crossvalid[[#This Row],[cutoff]]))</f>
        <v>45900</v>
      </c>
      <c r="B273" s="7">
        <f>DATE(YEAR(m2_crossvalid[[#This Row],[ds]]),MONTH(m2_crossvalid[[#This Row],[ds]]),DAY(m2_crossvalid[[#This Row],[ds]]))</f>
        <v>45924</v>
      </c>
      <c r="C273">
        <v>3143</v>
      </c>
      <c r="D273" s="1">
        <v>45924.333333333336</v>
      </c>
      <c r="E273">
        <v>3665.1131488763699</v>
      </c>
      <c r="F273">
        <v>1872.7320755223732</v>
      </c>
      <c r="G273">
        <v>5649.3005288949289</v>
      </c>
      <c r="H273" s="1">
        <v>45900.333333333336</v>
      </c>
    </row>
    <row r="274" spans="1:8" x14ac:dyDescent="0.25">
      <c r="A274" s="7">
        <f>DATE(YEAR(m2_crossvalid[[#This Row],[cutoff]]),MONTH(m2_crossvalid[[#This Row],[cutoff]]),DAY(m2_crossvalid[[#This Row],[cutoff]]))</f>
        <v>45900</v>
      </c>
      <c r="B274" s="7">
        <f>DATE(YEAR(m2_crossvalid[[#This Row],[ds]]),MONTH(m2_crossvalid[[#This Row],[ds]]),DAY(m2_crossvalid[[#This Row],[ds]]))</f>
        <v>45925</v>
      </c>
      <c r="C274">
        <v>3361</v>
      </c>
      <c r="D274" s="1">
        <v>45925.333333333336</v>
      </c>
      <c r="E274">
        <v>3628.8848130704091</v>
      </c>
      <c r="F274">
        <v>1676.8375078334229</v>
      </c>
      <c r="G274">
        <v>5636.1549524174688</v>
      </c>
      <c r="H274" s="1">
        <v>45900.333333333336</v>
      </c>
    </row>
    <row r="275" spans="1:8" x14ac:dyDescent="0.25">
      <c r="A275" s="7">
        <f>DATE(YEAR(m2_crossvalid[[#This Row],[cutoff]]),MONTH(m2_crossvalid[[#This Row],[cutoff]]),DAY(m2_crossvalid[[#This Row],[cutoff]]))</f>
        <v>45900</v>
      </c>
      <c r="B275" s="7">
        <f>DATE(YEAR(m2_crossvalid[[#This Row],[ds]]),MONTH(m2_crossvalid[[#This Row],[ds]]),DAY(m2_crossvalid[[#This Row],[ds]]))</f>
        <v>45926</v>
      </c>
      <c r="C275">
        <v>3885</v>
      </c>
      <c r="D275" s="1">
        <v>45926.333333333336</v>
      </c>
      <c r="E275">
        <v>3655.6794448892651</v>
      </c>
      <c r="F275">
        <v>1717.7225958964996</v>
      </c>
      <c r="G275">
        <v>5501.8670261808202</v>
      </c>
      <c r="H275" s="1">
        <v>45900.333333333336</v>
      </c>
    </row>
    <row r="276" spans="1:8" x14ac:dyDescent="0.25">
      <c r="A276" s="7">
        <f>DATE(YEAR(m2_crossvalid[[#This Row],[cutoff]]),MONTH(m2_crossvalid[[#This Row],[cutoff]]),DAY(m2_crossvalid[[#This Row],[cutoff]]))</f>
        <v>45900</v>
      </c>
      <c r="B276" s="7">
        <f>DATE(YEAR(m2_crossvalid[[#This Row],[ds]]),MONTH(m2_crossvalid[[#This Row],[ds]]),DAY(m2_crossvalid[[#This Row],[ds]]))</f>
        <v>45927</v>
      </c>
      <c r="C276">
        <v>1024</v>
      </c>
      <c r="D276" s="1">
        <v>45927.333333333336</v>
      </c>
      <c r="E276">
        <v>1994.1121190184133</v>
      </c>
      <c r="F276">
        <v>29.7684559968861</v>
      </c>
      <c r="G276">
        <v>3997.9661253304503</v>
      </c>
      <c r="H276" s="1">
        <v>45900.333333333336</v>
      </c>
    </row>
    <row r="277" spans="1:8" x14ac:dyDescent="0.25">
      <c r="A277" s="7">
        <f>DATE(YEAR(m2_crossvalid[[#This Row],[cutoff]]),MONTH(m2_crossvalid[[#This Row],[cutoff]]),DAY(m2_crossvalid[[#This Row],[cutoff]]))</f>
        <v>45900</v>
      </c>
      <c r="B277" s="7">
        <f>DATE(YEAR(m2_crossvalid[[#This Row],[ds]]),MONTH(m2_crossvalid[[#This Row],[ds]]),DAY(m2_crossvalid[[#This Row],[ds]]))</f>
        <v>45928</v>
      </c>
      <c r="C277">
        <v>280</v>
      </c>
      <c r="D277" s="1">
        <v>45928.333333333336</v>
      </c>
      <c r="E277">
        <v>2486.5971926278535</v>
      </c>
      <c r="F277">
        <v>505.06170230723012</v>
      </c>
      <c r="G277">
        <v>4489.0838282561126</v>
      </c>
      <c r="H277" s="1">
        <v>45900.333333333336</v>
      </c>
    </row>
    <row r="278" spans="1:8" x14ac:dyDescent="0.25">
      <c r="A278" s="7">
        <f>DATE(YEAR(m2_crossvalid[[#This Row],[cutoff]]),MONTH(m2_crossvalid[[#This Row],[cutoff]]),DAY(m2_crossvalid[[#This Row],[cutoff]]))</f>
        <v>45900</v>
      </c>
      <c r="B278" s="7">
        <f>DATE(YEAR(m2_crossvalid[[#This Row],[ds]]),MONTH(m2_crossvalid[[#This Row],[ds]]),DAY(m2_crossvalid[[#This Row],[ds]]))</f>
        <v>45929</v>
      </c>
      <c r="C278">
        <v>8852</v>
      </c>
      <c r="D278" s="1">
        <v>45929.333333333336</v>
      </c>
      <c r="E278">
        <v>5858.1946903133439</v>
      </c>
      <c r="F278">
        <v>3619.5354155718078</v>
      </c>
      <c r="G278">
        <v>7790.8783012116219</v>
      </c>
      <c r="H278" s="1">
        <v>45900.333333333336</v>
      </c>
    </row>
    <row r="279" spans="1:8" x14ac:dyDescent="0.25">
      <c r="A279" s="7">
        <f>DATE(YEAR(m2_crossvalid[[#This Row],[cutoff]]),MONTH(m2_crossvalid[[#This Row],[cutoff]]),DAY(m2_crossvalid[[#This Row],[cutoff]]))</f>
        <v>45900</v>
      </c>
      <c r="B279" s="7">
        <f>DATE(YEAR(m2_crossvalid[[#This Row],[ds]]),MONTH(m2_crossvalid[[#This Row],[ds]]),DAY(m2_crossvalid[[#This Row],[ds]]))</f>
        <v>45930</v>
      </c>
      <c r="C279">
        <v>14458</v>
      </c>
      <c r="D279" s="1">
        <v>45930.333333333336</v>
      </c>
      <c r="E279">
        <v>6621.7511604579449</v>
      </c>
      <c r="F279">
        <v>4601.5643708768748</v>
      </c>
      <c r="G279">
        <v>8696.4110584527989</v>
      </c>
      <c r="H279" s="1">
        <v>45900.333333333336</v>
      </c>
    </row>
    <row r="280" spans="1:8" x14ac:dyDescent="0.25">
      <c r="A280" s="7">
        <f>DATE(YEAR(m2_crossvalid[[#This Row],[cutoff]]),MONTH(m2_crossvalid[[#This Row],[cutoff]]),DAY(m2_crossvalid[[#This Row],[cutoff]]))</f>
        <v>45900</v>
      </c>
      <c r="B280" s="7">
        <f>DATE(YEAR(m2_crossvalid[[#This Row],[ds]]),MONTH(m2_crossvalid[[#This Row],[ds]]),DAY(m2_crossvalid[[#This Row],[ds]]))</f>
        <v>45931</v>
      </c>
      <c r="C280">
        <v>639</v>
      </c>
      <c r="D280" s="1">
        <v>45931.333333333336</v>
      </c>
      <c r="E280">
        <v>5895.0824282679887</v>
      </c>
      <c r="F280">
        <v>3860.8570604508923</v>
      </c>
      <c r="G280">
        <v>7837.1315443689828</v>
      </c>
      <c r="H280" s="1">
        <v>45900.333333333336</v>
      </c>
    </row>
    <row r="281" spans="1:8" x14ac:dyDescent="0.25">
      <c r="A281" s="7">
        <f>DATE(YEAR(m2_crossvalid[[#This Row],[cutoff]]),MONTH(m2_crossvalid[[#This Row],[cutoff]]),DAY(m2_crossvalid[[#This Row],[cutoff]]))</f>
        <v>45930</v>
      </c>
      <c r="B281" s="7">
        <f>DATE(YEAR(m2_crossvalid[[#This Row],[ds]]),MONTH(m2_crossvalid[[#This Row],[ds]]),DAY(m2_crossvalid[[#This Row],[ds]]))</f>
        <v>45931</v>
      </c>
      <c r="C281">
        <v>639</v>
      </c>
      <c r="D281" s="1">
        <v>45931.333333333336</v>
      </c>
      <c r="E281">
        <v>6004.91407546152</v>
      </c>
      <c r="F281">
        <v>3953.7681563561773</v>
      </c>
      <c r="G281">
        <v>8018.0041238653694</v>
      </c>
      <c r="H281" s="1">
        <v>45930.333333333336</v>
      </c>
    </row>
    <row r="282" spans="1:8" x14ac:dyDescent="0.25">
      <c r="A282" s="7">
        <f>DATE(YEAR(m2_crossvalid[[#This Row],[cutoff]]),MONTH(m2_crossvalid[[#This Row],[cutoff]]),DAY(m2_crossvalid[[#This Row],[cutoff]]))</f>
        <v>45930</v>
      </c>
      <c r="B282" s="7">
        <f>DATE(YEAR(m2_crossvalid[[#This Row],[ds]]),MONTH(m2_crossvalid[[#This Row],[ds]]),DAY(m2_crossvalid[[#This Row],[ds]]))</f>
        <v>45932</v>
      </c>
      <c r="C282">
        <v>823</v>
      </c>
      <c r="D282" s="1">
        <v>45932.333333333336</v>
      </c>
      <c r="E282">
        <v>4371.570785752906</v>
      </c>
      <c r="F282">
        <v>2418.3696699921634</v>
      </c>
      <c r="G282">
        <v>6382.1053149239433</v>
      </c>
      <c r="H282" s="1">
        <v>45930.333333333336</v>
      </c>
    </row>
    <row r="283" spans="1:8" x14ac:dyDescent="0.25">
      <c r="A283" s="7">
        <f>DATE(YEAR(m2_crossvalid[[#This Row],[cutoff]]),MONTH(m2_crossvalid[[#This Row],[cutoff]]),DAY(m2_crossvalid[[#This Row],[cutoff]]))</f>
        <v>45930</v>
      </c>
      <c r="B283" s="7">
        <f>DATE(YEAR(m2_crossvalid[[#This Row],[ds]]),MONTH(m2_crossvalid[[#This Row],[ds]]),DAY(m2_crossvalid[[#This Row],[ds]]))</f>
        <v>45933</v>
      </c>
      <c r="C283">
        <v>996</v>
      </c>
      <c r="D283" s="1">
        <v>45933.333333333336</v>
      </c>
      <c r="E283">
        <v>2564.9269810440028</v>
      </c>
      <c r="F283">
        <v>449.2324917890283</v>
      </c>
      <c r="G283">
        <v>4631.3005085650311</v>
      </c>
      <c r="H283" s="1">
        <v>45930.333333333336</v>
      </c>
    </row>
    <row r="284" spans="1:8" x14ac:dyDescent="0.25">
      <c r="A284" s="7">
        <f>DATE(YEAR(m2_crossvalid[[#This Row],[cutoff]]),MONTH(m2_crossvalid[[#This Row],[cutoff]]),DAY(m2_crossvalid[[#This Row],[cutoff]]))</f>
        <v>45930</v>
      </c>
      <c r="B284" s="7">
        <f>DATE(YEAR(m2_crossvalid[[#This Row],[ds]]),MONTH(m2_crossvalid[[#This Row],[ds]]),DAY(m2_crossvalid[[#This Row],[ds]]))</f>
        <v>45934</v>
      </c>
      <c r="C284">
        <v>141</v>
      </c>
      <c r="D284" s="1">
        <v>45934.333333333336</v>
      </c>
      <c r="E284">
        <v>-744.11792298696855</v>
      </c>
      <c r="F284">
        <v>-2719.5369454687661</v>
      </c>
      <c r="G284">
        <v>1205.5303667804023</v>
      </c>
      <c r="H284" s="1">
        <v>45930.333333333336</v>
      </c>
    </row>
    <row r="285" spans="1:8" x14ac:dyDescent="0.25">
      <c r="A285" s="7">
        <f>DATE(YEAR(m2_crossvalid[[#This Row],[cutoff]]),MONTH(m2_crossvalid[[#This Row],[cutoff]]),DAY(m2_crossvalid[[#This Row],[cutoff]]))</f>
        <v>45930</v>
      </c>
      <c r="B285" s="7">
        <f>DATE(YEAR(m2_crossvalid[[#This Row],[ds]]),MONTH(m2_crossvalid[[#This Row],[ds]]),DAY(m2_crossvalid[[#This Row],[ds]]))</f>
        <v>45935</v>
      </c>
      <c r="C285">
        <v>38</v>
      </c>
      <c r="D285" s="1">
        <v>45935.333333333336</v>
      </c>
      <c r="E285">
        <v>-1479.5666345023201</v>
      </c>
      <c r="F285">
        <v>-3448.3441158298551</v>
      </c>
      <c r="G285">
        <v>521.93323645506507</v>
      </c>
      <c r="H285" s="1">
        <v>45930.333333333336</v>
      </c>
    </row>
    <row r="286" spans="1:8" x14ac:dyDescent="0.25">
      <c r="A286" s="7">
        <f>DATE(YEAR(m2_crossvalid[[#This Row],[cutoff]]),MONTH(m2_crossvalid[[#This Row],[cutoff]]),DAY(m2_crossvalid[[#This Row],[cutoff]]))</f>
        <v>45930</v>
      </c>
      <c r="B286" s="7">
        <f>DATE(YEAR(m2_crossvalid[[#This Row],[ds]]),MONTH(m2_crossvalid[[#This Row],[ds]]),DAY(m2_crossvalid[[#This Row],[ds]]))</f>
        <v>45936</v>
      </c>
      <c r="C286">
        <v>1044</v>
      </c>
      <c r="D286" s="1">
        <v>45936.333333333336</v>
      </c>
      <c r="E286">
        <v>1229.1294520254185</v>
      </c>
      <c r="F286">
        <v>-782.65359071301418</v>
      </c>
      <c r="G286">
        <v>3186.036814884756</v>
      </c>
      <c r="H286" s="1">
        <v>45930.333333333336</v>
      </c>
    </row>
    <row r="287" spans="1:8" x14ac:dyDescent="0.25">
      <c r="A287" s="7">
        <f>DATE(YEAR(m2_crossvalid[[#This Row],[cutoff]]),MONTH(m2_crossvalid[[#This Row],[cutoff]]),DAY(m2_crossvalid[[#This Row],[cutoff]]))</f>
        <v>45930</v>
      </c>
      <c r="B287" s="7">
        <f>DATE(YEAR(m2_crossvalid[[#This Row],[ds]]),MONTH(m2_crossvalid[[#This Row],[ds]]),DAY(m2_crossvalid[[#This Row],[ds]]))</f>
        <v>45937</v>
      </c>
      <c r="C287">
        <v>1351</v>
      </c>
      <c r="D287" s="1">
        <v>45937.333333333336</v>
      </c>
      <c r="E287">
        <v>2106.8840463327474</v>
      </c>
      <c r="F287">
        <v>229.20846233580249</v>
      </c>
      <c r="G287">
        <v>4087.7278708626413</v>
      </c>
      <c r="H287" s="1">
        <v>45930.333333333336</v>
      </c>
    </row>
    <row r="288" spans="1:8" x14ac:dyDescent="0.25">
      <c r="A288" s="7">
        <f>DATE(YEAR(m2_crossvalid[[#This Row],[cutoff]]),MONTH(m2_crossvalid[[#This Row],[cutoff]]),DAY(m2_crossvalid[[#This Row],[cutoff]]))</f>
        <v>45930</v>
      </c>
      <c r="B288" s="7">
        <f>DATE(YEAR(m2_crossvalid[[#This Row],[ds]]),MONTH(m2_crossvalid[[#This Row],[ds]]),DAY(m2_crossvalid[[#This Row],[ds]]))</f>
        <v>45938</v>
      </c>
      <c r="C288">
        <v>1654</v>
      </c>
      <c r="D288" s="1">
        <v>45938.333333333336</v>
      </c>
      <c r="E288">
        <v>2246.8186656207481</v>
      </c>
      <c r="F288">
        <v>358.96210593667934</v>
      </c>
      <c r="G288">
        <v>4307.1258758618696</v>
      </c>
      <c r="H288" s="1">
        <v>45930.333333333336</v>
      </c>
    </row>
    <row r="289" spans="1:8" x14ac:dyDescent="0.25">
      <c r="A289" s="7">
        <f>DATE(YEAR(m2_crossvalid[[#This Row],[cutoff]]),MONTH(m2_crossvalid[[#This Row],[cutoff]]),DAY(m2_crossvalid[[#This Row],[cutoff]]))</f>
        <v>45930</v>
      </c>
      <c r="B289" s="7">
        <f>DATE(YEAR(m2_crossvalid[[#This Row],[ds]]),MONTH(m2_crossvalid[[#This Row],[ds]]),DAY(m2_crossvalid[[#This Row],[ds]]))</f>
        <v>45939</v>
      </c>
      <c r="C289">
        <v>2108</v>
      </c>
      <c r="D289" s="1">
        <v>45939.333333333336</v>
      </c>
      <c r="E289">
        <v>2186.6742273909535</v>
      </c>
      <c r="F289">
        <v>141.13591701840272</v>
      </c>
      <c r="G289">
        <v>4288.0647195182228</v>
      </c>
      <c r="H289" s="1">
        <v>45930.333333333336</v>
      </c>
    </row>
    <row r="290" spans="1:8" x14ac:dyDescent="0.25">
      <c r="A290" s="7">
        <f>DATE(YEAR(m2_crossvalid[[#This Row],[cutoff]]),MONTH(m2_crossvalid[[#This Row],[cutoff]]),DAY(m2_crossvalid[[#This Row],[cutoff]]))</f>
        <v>45930</v>
      </c>
      <c r="B290" s="7">
        <f>DATE(YEAR(m2_crossvalid[[#This Row],[ds]]),MONTH(m2_crossvalid[[#This Row],[ds]]),DAY(m2_crossvalid[[#This Row],[ds]]))</f>
        <v>45940</v>
      </c>
      <c r="C290">
        <v>2215</v>
      </c>
      <c r="D290" s="1">
        <v>45940.333333333336</v>
      </c>
      <c r="E290">
        <v>2090.5450645326373</v>
      </c>
      <c r="F290">
        <v>-156.86663200577814</v>
      </c>
      <c r="G290">
        <v>4021.1911029155676</v>
      </c>
      <c r="H290" s="1">
        <v>45930.333333333336</v>
      </c>
    </row>
    <row r="291" spans="1:8" x14ac:dyDescent="0.25">
      <c r="A291" s="7">
        <f>DATE(YEAR(m2_crossvalid[[#This Row],[cutoff]]),MONTH(m2_crossvalid[[#This Row],[cutoff]]),DAY(m2_crossvalid[[#This Row],[cutoff]]))</f>
        <v>45930</v>
      </c>
      <c r="B291" s="7">
        <f>DATE(YEAR(m2_crossvalid[[#This Row],[ds]]),MONTH(m2_crossvalid[[#This Row],[ds]]),DAY(m2_crossvalid[[#This Row],[ds]]))</f>
        <v>45941</v>
      </c>
      <c r="C291">
        <v>380</v>
      </c>
      <c r="D291" s="1">
        <v>45941.333333333336</v>
      </c>
      <c r="E291">
        <v>23.949962183141906</v>
      </c>
      <c r="F291">
        <v>-2060.888713158859</v>
      </c>
      <c r="G291">
        <v>1987.3781322641187</v>
      </c>
      <c r="H291" s="1">
        <v>45930.333333333336</v>
      </c>
    </row>
    <row r="292" spans="1:8" x14ac:dyDescent="0.25">
      <c r="A292" s="7">
        <f>DATE(YEAR(m2_crossvalid[[#This Row],[cutoff]]),MONTH(m2_crossvalid[[#This Row],[cutoff]]),DAY(m2_crossvalid[[#This Row],[cutoff]]))</f>
        <v>45930</v>
      </c>
      <c r="B292" s="7">
        <f>DATE(YEAR(m2_crossvalid[[#This Row],[ds]]),MONTH(m2_crossvalid[[#This Row],[ds]]),DAY(m2_crossvalid[[#This Row],[ds]]))</f>
        <v>45942</v>
      </c>
      <c r="C292">
        <v>120</v>
      </c>
      <c r="D292" s="1">
        <v>45942.333333333336</v>
      </c>
      <c r="E292">
        <v>-274.15206200135208</v>
      </c>
      <c r="F292">
        <v>-2289.4602425838339</v>
      </c>
      <c r="G292">
        <v>1684.9913991382168</v>
      </c>
      <c r="H292" s="1">
        <v>45930.333333333336</v>
      </c>
    </row>
    <row r="293" spans="1:8" x14ac:dyDescent="0.25">
      <c r="A293" s="7">
        <f>DATE(YEAR(m2_crossvalid[[#This Row],[cutoff]]),MONTH(m2_crossvalid[[#This Row],[cutoff]]),DAY(m2_crossvalid[[#This Row],[cutoff]]))</f>
        <v>45930</v>
      </c>
      <c r="B293" s="7">
        <f>DATE(YEAR(m2_crossvalid[[#This Row],[ds]]),MONTH(m2_crossvalid[[#This Row],[ds]]),DAY(m2_crossvalid[[#This Row],[ds]]))</f>
        <v>45943</v>
      </c>
      <c r="C293">
        <v>2406</v>
      </c>
      <c r="D293" s="1">
        <v>45943.333333333336</v>
      </c>
      <c r="E293">
        <v>2207.7560894394392</v>
      </c>
      <c r="F293">
        <v>9.2359356401531905</v>
      </c>
      <c r="G293">
        <v>4137.7803140621982</v>
      </c>
      <c r="H293" s="1">
        <v>45930.333333333336</v>
      </c>
    </row>
    <row r="294" spans="1:8" x14ac:dyDescent="0.25">
      <c r="A294" s="7">
        <f>DATE(YEAR(m2_crossvalid[[#This Row],[cutoff]]),MONTH(m2_crossvalid[[#This Row],[cutoff]]),DAY(m2_crossvalid[[#This Row],[cutoff]]))</f>
        <v>45930</v>
      </c>
      <c r="B294" s="7">
        <f>DATE(YEAR(m2_crossvalid[[#This Row],[ds]]),MONTH(m2_crossvalid[[#This Row],[ds]]),DAY(m2_crossvalid[[#This Row],[ds]]))</f>
        <v>45944</v>
      </c>
      <c r="C294">
        <v>2958</v>
      </c>
      <c r="D294" s="1">
        <v>45944.333333333336</v>
      </c>
      <c r="E294">
        <v>2676.315572387191</v>
      </c>
      <c r="F294">
        <v>581.07246210888195</v>
      </c>
      <c r="G294">
        <v>4765.7946970102748</v>
      </c>
      <c r="H294" s="1">
        <v>45930.333333333336</v>
      </c>
    </row>
    <row r="295" spans="1:8" x14ac:dyDescent="0.25">
      <c r="A295" s="7">
        <f>DATE(YEAR(m2_crossvalid[[#This Row],[cutoff]]),MONTH(m2_crossvalid[[#This Row],[cutoff]]),DAY(m2_crossvalid[[#This Row],[cutoff]]))</f>
        <v>45930</v>
      </c>
      <c r="B295" s="7">
        <f>DATE(YEAR(m2_crossvalid[[#This Row],[ds]]),MONTH(m2_crossvalid[[#This Row],[ds]]),DAY(m2_crossvalid[[#This Row],[ds]]))</f>
        <v>45945</v>
      </c>
      <c r="C295">
        <v>3074</v>
      </c>
      <c r="D295" s="1">
        <v>45945.333333333336</v>
      </c>
      <c r="E295">
        <v>2662.0534113927401</v>
      </c>
      <c r="F295">
        <v>631.66792771386042</v>
      </c>
      <c r="G295">
        <v>4609.0032017740832</v>
      </c>
      <c r="H295" s="1">
        <v>45930.333333333336</v>
      </c>
    </row>
    <row r="296" spans="1:8" x14ac:dyDescent="0.25">
      <c r="A296" s="7">
        <f>DATE(YEAR(m2_crossvalid[[#This Row],[cutoff]]),MONTH(m2_crossvalid[[#This Row],[cutoff]]),DAY(m2_crossvalid[[#This Row],[cutoff]]))</f>
        <v>45930</v>
      </c>
      <c r="B296" s="7">
        <f>DATE(YEAR(m2_crossvalid[[#This Row],[ds]]),MONTH(m2_crossvalid[[#This Row],[ds]]),DAY(m2_crossvalid[[#This Row],[ds]]))</f>
        <v>45946</v>
      </c>
      <c r="C296">
        <v>3505</v>
      </c>
      <c r="D296" s="1">
        <v>45946.333333333336</v>
      </c>
      <c r="E296">
        <v>2782.8870577847847</v>
      </c>
      <c r="F296">
        <v>822.73615837673094</v>
      </c>
      <c r="G296">
        <v>4800.6276677533342</v>
      </c>
      <c r="H296" s="1">
        <v>45930.333333333336</v>
      </c>
    </row>
    <row r="297" spans="1:8" x14ac:dyDescent="0.25">
      <c r="A297" s="7">
        <f>DATE(YEAR(m2_crossvalid[[#This Row],[cutoff]]),MONTH(m2_crossvalid[[#This Row],[cutoff]]),DAY(m2_crossvalid[[#This Row],[cutoff]]))</f>
        <v>45930</v>
      </c>
      <c r="B297" s="7">
        <f>DATE(YEAR(m2_crossvalid[[#This Row],[ds]]),MONTH(m2_crossvalid[[#This Row],[ds]]),DAY(m2_crossvalid[[#This Row],[ds]]))</f>
        <v>45947</v>
      </c>
      <c r="C297">
        <v>3630</v>
      </c>
      <c r="D297" s="1">
        <v>45947.333333333336</v>
      </c>
      <c r="E297">
        <v>2941.7210897920654</v>
      </c>
      <c r="F297">
        <v>840.50469623495508</v>
      </c>
      <c r="G297">
        <v>4869.3835179722237</v>
      </c>
      <c r="H297" s="1">
        <v>45930.333333333336</v>
      </c>
    </row>
    <row r="298" spans="1:8" x14ac:dyDescent="0.25">
      <c r="A298" s="7">
        <f>DATE(YEAR(m2_crossvalid[[#This Row],[cutoff]]),MONTH(m2_crossvalid[[#This Row],[cutoff]]),DAY(m2_crossvalid[[#This Row],[cutoff]]))</f>
        <v>45930</v>
      </c>
      <c r="B298" s="7">
        <f>DATE(YEAR(m2_crossvalid[[#This Row],[ds]]),MONTH(m2_crossvalid[[#This Row],[ds]]),DAY(m2_crossvalid[[#This Row],[ds]]))</f>
        <v>45948</v>
      </c>
      <c r="C298">
        <v>653</v>
      </c>
      <c r="D298" s="1">
        <v>45948.333333333336</v>
      </c>
      <c r="E298">
        <v>906.49267802657391</v>
      </c>
      <c r="F298">
        <v>-1114.3679656895179</v>
      </c>
      <c r="G298">
        <v>2948.8821036774048</v>
      </c>
      <c r="H298" s="1">
        <v>45930.333333333336</v>
      </c>
    </row>
    <row r="299" spans="1:8" x14ac:dyDescent="0.25">
      <c r="A299" s="7">
        <f>DATE(YEAR(m2_crossvalid[[#This Row],[cutoff]]),MONTH(m2_crossvalid[[#This Row],[cutoff]]),DAY(m2_crossvalid[[#This Row],[cutoff]]))</f>
        <v>45930</v>
      </c>
      <c r="B299" s="7">
        <f>DATE(YEAR(m2_crossvalid[[#This Row],[ds]]),MONTH(m2_crossvalid[[#This Row],[ds]]),DAY(m2_crossvalid[[#This Row],[ds]]))</f>
        <v>45949</v>
      </c>
      <c r="C299">
        <v>180</v>
      </c>
      <c r="D299" s="1">
        <v>45949.333333333336</v>
      </c>
      <c r="E299">
        <v>380.28390226436341</v>
      </c>
      <c r="F299">
        <v>-1630.0284293829843</v>
      </c>
      <c r="G299">
        <v>2354.8991376335289</v>
      </c>
      <c r="H299" s="1">
        <v>45930.333333333336</v>
      </c>
    </row>
    <row r="300" spans="1:8" x14ac:dyDescent="0.25">
      <c r="A300" s="7">
        <f>DATE(YEAR(m2_crossvalid[[#This Row],[cutoff]]),MONTH(m2_crossvalid[[#This Row],[cutoff]]),DAY(m2_crossvalid[[#This Row],[cutoff]]))</f>
        <v>45930</v>
      </c>
      <c r="B300" s="7">
        <f>DATE(YEAR(m2_crossvalid[[#This Row],[ds]]),MONTH(m2_crossvalid[[#This Row],[ds]]),DAY(m2_crossvalid[[#This Row],[ds]]))</f>
        <v>45950</v>
      </c>
      <c r="C300">
        <v>250</v>
      </c>
      <c r="D300" s="1">
        <v>45950.333333333336</v>
      </c>
      <c r="E300">
        <v>2617.3781191279559</v>
      </c>
      <c r="F300">
        <v>490.91538458336868</v>
      </c>
      <c r="G300">
        <v>4422.9588583641153</v>
      </c>
      <c r="H300" s="1">
        <v>45930.333333333336</v>
      </c>
    </row>
    <row r="301" spans="1:8" x14ac:dyDescent="0.25">
      <c r="A301" s="7">
        <f>DATE(YEAR(m2_crossvalid[[#This Row],[cutoff]]),MONTH(m2_crossvalid[[#This Row],[cutoff]]),DAY(m2_crossvalid[[#This Row],[cutoff]]))</f>
        <v>45930</v>
      </c>
      <c r="B301" s="7">
        <f>DATE(YEAR(m2_crossvalid[[#This Row],[ds]]),MONTH(m2_crossvalid[[#This Row],[ds]]),DAY(m2_crossvalid[[#This Row],[ds]]))</f>
        <v>45951</v>
      </c>
      <c r="C301">
        <v>2797</v>
      </c>
      <c r="D301" s="1">
        <v>45951.333333333336</v>
      </c>
      <c r="E301">
        <v>3083.8235097341858</v>
      </c>
      <c r="F301">
        <v>1223.8481126858962</v>
      </c>
      <c r="G301">
        <v>5016.2320654780469</v>
      </c>
      <c r="H301" s="1">
        <v>45930.333333333336</v>
      </c>
    </row>
    <row r="302" spans="1:8" x14ac:dyDescent="0.25">
      <c r="A302" s="7">
        <f>DATE(YEAR(m2_crossvalid[[#This Row],[cutoff]]),MONTH(m2_crossvalid[[#This Row],[cutoff]]),DAY(m2_crossvalid[[#This Row],[cutoff]]))</f>
        <v>45930</v>
      </c>
      <c r="B302" s="7">
        <f>DATE(YEAR(m2_crossvalid[[#This Row],[ds]]),MONTH(m2_crossvalid[[#This Row],[ds]]),DAY(m2_crossvalid[[#This Row],[ds]]))</f>
        <v>45952</v>
      </c>
      <c r="C302">
        <v>3644</v>
      </c>
      <c r="D302" s="1">
        <v>45952.333333333336</v>
      </c>
      <c r="E302">
        <v>3314.8425800101913</v>
      </c>
      <c r="F302">
        <v>1490.0897721941271</v>
      </c>
      <c r="G302">
        <v>5391.578344251584</v>
      </c>
      <c r="H302" s="1">
        <v>45930.333333333336</v>
      </c>
    </row>
    <row r="303" spans="1:8" x14ac:dyDescent="0.25">
      <c r="A303" s="7">
        <f>DATE(YEAR(m2_crossvalid[[#This Row],[cutoff]]),MONTH(m2_crossvalid[[#This Row],[cutoff]]),DAY(m2_crossvalid[[#This Row],[cutoff]]))</f>
        <v>45930</v>
      </c>
      <c r="B303" s="7">
        <f>DATE(YEAR(m2_crossvalid[[#This Row],[ds]]),MONTH(m2_crossvalid[[#This Row],[ds]]),DAY(m2_crossvalid[[#This Row],[ds]]))</f>
        <v>45953</v>
      </c>
      <c r="C303">
        <v>4009</v>
      </c>
      <c r="D303" s="1">
        <v>45953.333333333336</v>
      </c>
      <c r="E303">
        <v>3671.4352592765481</v>
      </c>
      <c r="F303">
        <v>1693.9884475207107</v>
      </c>
      <c r="G303">
        <v>5701.2261175155036</v>
      </c>
      <c r="H303" s="1">
        <v>45930.333333333336</v>
      </c>
    </row>
    <row r="304" spans="1:8" x14ac:dyDescent="0.25">
      <c r="A304" s="7">
        <f>DATE(YEAR(m2_crossvalid[[#This Row],[cutoff]]),MONTH(m2_crossvalid[[#This Row],[cutoff]]),DAY(m2_crossvalid[[#This Row],[cutoff]]))</f>
        <v>45930</v>
      </c>
      <c r="B304" s="7">
        <f>DATE(YEAR(m2_crossvalid[[#This Row],[ds]]),MONTH(m2_crossvalid[[#This Row],[ds]]),DAY(m2_crossvalid[[#This Row],[ds]]))</f>
        <v>45954</v>
      </c>
      <c r="C304">
        <v>4008</v>
      </c>
      <c r="D304" s="1">
        <v>45954.333333333336</v>
      </c>
      <c r="E304">
        <v>3808.0583513395659</v>
      </c>
      <c r="F304">
        <v>1755.2729693194724</v>
      </c>
      <c r="G304">
        <v>5731.859449042845</v>
      </c>
      <c r="H304" s="1">
        <v>45930.333333333336</v>
      </c>
    </row>
    <row r="305" spans="1:8" x14ac:dyDescent="0.25">
      <c r="A305" s="7">
        <f>DATE(YEAR(m2_crossvalid[[#This Row],[cutoff]]),MONTH(m2_crossvalid[[#This Row],[cutoff]]),DAY(m2_crossvalid[[#This Row],[cutoff]]))</f>
        <v>45930</v>
      </c>
      <c r="B305" s="7">
        <f>DATE(YEAR(m2_crossvalid[[#This Row],[ds]]),MONTH(m2_crossvalid[[#This Row],[ds]]),DAY(m2_crossvalid[[#This Row],[ds]]))</f>
        <v>45955</v>
      </c>
      <c r="C305">
        <v>971</v>
      </c>
      <c r="D305" s="1">
        <v>45955.333333333336</v>
      </c>
      <c r="E305">
        <v>1536.8559887048677</v>
      </c>
      <c r="F305">
        <v>-530.96809148593002</v>
      </c>
      <c r="G305">
        <v>3414.4485543172605</v>
      </c>
      <c r="H305" s="1">
        <v>45930.333333333336</v>
      </c>
    </row>
    <row r="306" spans="1:8" x14ac:dyDescent="0.25">
      <c r="A306" s="7">
        <f>DATE(YEAR(m2_crossvalid[[#This Row],[cutoff]]),MONTH(m2_crossvalid[[#This Row],[cutoff]]),DAY(m2_crossvalid[[#This Row],[cutoff]]))</f>
        <v>45930</v>
      </c>
      <c r="B306" s="7">
        <f>DATE(YEAR(m2_crossvalid[[#This Row],[ds]]),MONTH(m2_crossvalid[[#This Row],[ds]]),DAY(m2_crossvalid[[#This Row],[ds]]))</f>
        <v>45956</v>
      </c>
      <c r="C306">
        <v>238</v>
      </c>
      <c r="D306" s="1">
        <v>45956.333333333336</v>
      </c>
      <c r="E306">
        <v>908.5562774511377</v>
      </c>
      <c r="F306">
        <v>-1008.5532461639413</v>
      </c>
      <c r="G306">
        <v>2907.8979548195457</v>
      </c>
      <c r="H306" s="1">
        <v>45930.333333333336</v>
      </c>
    </row>
    <row r="307" spans="1:8" x14ac:dyDescent="0.25">
      <c r="A307" s="7">
        <f>DATE(YEAR(m2_crossvalid[[#This Row],[cutoff]]),MONTH(m2_crossvalid[[#This Row],[cutoff]]),DAY(m2_crossvalid[[#This Row],[cutoff]]))</f>
        <v>45930</v>
      </c>
      <c r="B307" s="7">
        <f>DATE(YEAR(m2_crossvalid[[#This Row],[ds]]),MONTH(m2_crossvalid[[#This Row],[ds]]),DAY(m2_crossvalid[[#This Row],[ds]]))</f>
        <v>45957</v>
      </c>
      <c r="C307">
        <v>4219</v>
      </c>
      <c r="D307" s="1">
        <v>45957.333333333336</v>
      </c>
      <c r="E307">
        <v>3530.6183642302121</v>
      </c>
      <c r="F307">
        <v>1496.4985307700599</v>
      </c>
      <c r="G307">
        <v>5478.6693102859872</v>
      </c>
      <c r="H307" s="1">
        <v>45930.333333333336</v>
      </c>
    </row>
    <row r="308" spans="1:8" x14ac:dyDescent="0.25">
      <c r="A308" s="7">
        <f>DATE(YEAR(m2_crossvalid[[#This Row],[cutoff]]),MONTH(m2_crossvalid[[#This Row],[cutoff]]),DAY(m2_crossvalid[[#This Row],[cutoff]]))</f>
        <v>45930</v>
      </c>
      <c r="B308" s="7">
        <f>DATE(YEAR(m2_crossvalid[[#This Row],[ds]]),MONTH(m2_crossvalid[[#This Row],[ds]]),DAY(m2_crossvalid[[#This Row],[ds]]))</f>
        <v>45958</v>
      </c>
      <c r="C308">
        <v>5659</v>
      </c>
      <c r="D308" s="1">
        <v>45958.333333333336</v>
      </c>
      <c r="E308">
        <v>4877.9108072046965</v>
      </c>
      <c r="F308">
        <v>3112.1357792020081</v>
      </c>
      <c r="G308">
        <v>6880.0823265038644</v>
      </c>
      <c r="H308" s="1">
        <v>45930.333333333336</v>
      </c>
    </row>
    <row r="309" spans="1:8" x14ac:dyDescent="0.25">
      <c r="A309" s="7">
        <f>DATE(YEAR(m2_crossvalid[[#This Row],[cutoff]]),MONTH(m2_crossvalid[[#This Row],[cutoff]]),DAY(m2_crossvalid[[#This Row],[cutoff]]))</f>
        <v>45930</v>
      </c>
      <c r="B309" s="7">
        <f>DATE(YEAR(m2_crossvalid[[#This Row],[ds]]),MONTH(m2_crossvalid[[#This Row],[ds]]),DAY(m2_crossvalid[[#This Row],[ds]]))</f>
        <v>45959</v>
      </c>
      <c r="C309">
        <v>6381</v>
      </c>
      <c r="D309" s="1">
        <v>45959.333333333336</v>
      </c>
      <c r="E309">
        <v>6062.592902195267</v>
      </c>
      <c r="F309">
        <v>4158.9824693588007</v>
      </c>
      <c r="G309">
        <v>7980.7539232141062</v>
      </c>
      <c r="H309" s="1">
        <v>45930.333333333336</v>
      </c>
    </row>
    <row r="310" spans="1:8" x14ac:dyDescent="0.25">
      <c r="A310" s="7">
        <f>DATE(YEAR(m2_crossvalid[[#This Row],[cutoff]]),MONTH(m2_crossvalid[[#This Row],[cutoff]]),DAY(m2_crossvalid[[#This Row],[cutoff]]))</f>
        <v>45930</v>
      </c>
      <c r="B310" s="7">
        <f>DATE(YEAR(m2_crossvalid[[#This Row],[ds]]),MONTH(m2_crossvalid[[#This Row],[ds]]),DAY(m2_crossvalid[[#This Row],[ds]]))</f>
        <v>45960</v>
      </c>
      <c r="C310">
        <v>7936</v>
      </c>
      <c r="D310" s="1">
        <v>45960.333333333336</v>
      </c>
      <c r="E310">
        <v>6850.7128958455041</v>
      </c>
      <c r="F310">
        <v>4970.6603086940413</v>
      </c>
      <c r="G310">
        <v>8941.6616239355808</v>
      </c>
      <c r="H310" s="1">
        <v>45930.333333333336</v>
      </c>
    </row>
    <row r="311" spans="1:8" x14ac:dyDescent="0.25">
      <c r="A311" s="7">
        <f>DATE(YEAR(m2_crossvalid[[#This Row],[cutoff]]),MONTH(m2_crossvalid[[#This Row],[cutoff]]),DAY(m2_crossvalid[[#This Row],[cutoff]]))</f>
        <v>45930</v>
      </c>
      <c r="B311" s="7">
        <f>DATE(YEAR(m2_crossvalid[[#This Row],[ds]]),MONTH(m2_crossvalid[[#This Row],[ds]]),DAY(m2_crossvalid[[#This Row],[ds]]))</f>
        <v>45961</v>
      </c>
      <c r="C311">
        <v>13386</v>
      </c>
      <c r="D311" s="1">
        <v>45961.333333333336</v>
      </c>
      <c r="E311">
        <v>6521.7308561098071</v>
      </c>
      <c r="F311">
        <v>4504.088477537568</v>
      </c>
      <c r="G311">
        <v>8460.0420609226858</v>
      </c>
      <c r="H311" s="1">
        <v>45930.333333333336</v>
      </c>
    </row>
    <row r="312" spans="1:8" x14ac:dyDescent="0.25">
      <c r="A312" s="7">
        <f>DATE(YEAR(m2_crossvalid[[#This Row],[cutoff]]),MONTH(m2_crossvalid[[#This Row],[cutoff]]),DAY(m2_crossvalid[[#This Row],[cutoff]]))</f>
        <v>45961</v>
      </c>
      <c r="B312" s="7">
        <f>DATE(YEAR(m2_crossvalid[[#This Row],[ds]]),MONTH(m2_crossvalid[[#This Row],[ds]]),DAY(m2_crossvalid[[#This Row],[ds]]))</f>
        <v>45962</v>
      </c>
      <c r="C312">
        <v>104</v>
      </c>
      <c r="D312" s="1">
        <v>45962.333333333336</v>
      </c>
      <c r="E312">
        <v>3069.1055131603248</v>
      </c>
      <c r="F312">
        <v>1120.6661824558269</v>
      </c>
      <c r="G312">
        <v>5010.4261790468126</v>
      </c>
      <c r="H312" s="1">
        <v>45961.333333333336</v>
      </c>
    </row>
    <row r="313" spans="1:8" x14ac:dyDescent="0.25">
      <c r="A313" s="7">
        <f>DATE(YEAR(m2_crossvalid[[#This Row],[cutoff]]),MONTH(m2_crossvalid[[#This Row],[cutoff]]),DAY(m2_crossvalid[[#This Row],[cutoff]]))</f>
        <v>45961</v>
      </c>
      <c r="B313" s="7">
        <f>DATE(YEAR(m2_crossvalid[[#This Row],[ds]]),MONTH(m2_crossvalid[[#This Row],[ds]]),DAY(m2_crossvalid[[#This Row],[ds]]))</f>
        <v>45963</v>
      </c>
      <c r="C313">
        <v>32</v>
      </c>
      <c r="D313" s="1">
        <v>45963.333333333336</v>
      </c>
      <c r="E313">
        <v>668.01064024290577</v>
      </c>
      <c r="F313">
        <v>-1379.0019599534082</v>
      </c>
      <c r="G313">
        <v>2611.9826481983705</v>
      </c>
      <c r="H313" s="1">
        <v>45961.333333333336</v>
      </c>
    </row>
    <row r="314" spans="1:8" x14ac:dyDescent="0.25">
      <c r="A314" s="7">
        <f>DATE(YEAR(m2_crossvalid[[#This Row],[cutoff]]),MONTH(m2_crossvalid[[#This Row],[cutoff]]),DAY(m2_crossvalid[[#This Row],[cutoff]]))</f>
        <v>45961</v>
      </c>
      <c r="B314" s="7">
        <f>DATE(YEAR(m2_crossvalid[[#This Row],[ds]]),MONTH(m2_crossvalid[[#This Row],[ds]]),DAY(m2_crossvalid[[#This Row],[ds]]))</f>
        <v>45964</v>
      </c>
      <c r="C314">
        <v>607</v>
      </c>
      <c r="D314" s="1">
        <v>45964.333333333336</v>
      </c>
      <c r="E314">
        <v>1510.8684523968088</v>
      </c>
      <c r="F314">
        <v>-584.42649605069221</v>
      </c>
      <c r="G314">
        <v>3466.3904787094511</v>
      </c>
      <c r="H314" s="1">
        <v>45961.333333333336</v>
      </c>
    </row>
    <row r="315" spans="1:8" x14ac:dyDescent="0.25">
      <c r="A315" s="7">
        <f>DATE(YEAR(m2_crossvalid[[#This Row],[cutoff]]),MONTH(m2_crossvalid[[#This Row],[cutoff]]),DAY(m2_crossvalid[[#This Row],[cutoff]]))</f>
        <v>45961</v>
      </c>
      <c r="B315" s="7">
        <f>DATE(YEAR(m2_crossvalid[[#This Row],[ds]]),MONTH(m2_crossvalid[[#This Row],[ds]]),DAY(m2_crossvalid[[#This Row],[ds]]))</f>
        <v>45965</v>
      </c>
      <c r="C315">
        <v>821</v>
      </c>
      <c r="D315" s="1">
        <v>45965.333333333336</v>
      </c>
      <c r="E315">
        <v>1405.2467550231422</v>
      </c>
      <c r="F315">
        <v>-692.79556059882543</v>
      </c>
      <c r="G315">
        <v>3320.6703114781158</v>
      </c>
      <c r="H315" s="1">
        <v>45961.333333333336</v>
      </c>
    </row>
    <row r="316" spans="1:8" x14ac:dyDescent="0.25">
      <c r="A316" s="7">
        <f>DATE(YEAR(m2_crossvalid[[#This Row],[cutoff]]),MONTH(m2_crossvalid[[#This Row],[cutoff]]),DAY(m2_crossvalid[[#This Row],[cutoff]]))</f>
        <v>45961</v>
      </c>
      <c r="B316" s="7">
        <f>DATE(YEAR(m2_crossvalid[[#This Row],[ds]]),MONTH(m2_crossvalid[[#This Row],[ds]]),DAY(m2_crossvalid[[#This Row],[ds]]))</f>
        <v>45966</v>
      </c>
      <c r="C316">
        <v>1032</v>
      </c>
      <c r="D316" s="1">
        <v>45966.333333333336</v>
      </c>
      <c r="E316">
        <v>1584.1612805872473</v>
      </c>
      <c r="F316">
        <v>-454.79656441837238</v>
      </c>
      <c r="G316">
        <v>3593.1216125554743</v>
      </c>
      <c r="H316" s="1">
        <v>45961.333333333336</v>
      </c>
    </row>
    <row r="317" spans="1:8" x14ac:dyDescent="0.25">
      <c r="A317" s="7">
        <f>DATE(YEAR(m2_crossvalid[[#This Row],[cutoff]]),MONTH(m2_crossvalid[[#This Row],[cutoff]]),DAY(m2_crossvalid[[#This Row],[cutoff]]))</f>
        <v>45961</v>
      </c>
      <c r="B317" s="7">
        <f>DATE(YEAR(m2_crossvalid[[#This Row],[ds]]),MONTH(m2_crossvalid[[#This Row],[ds]]),DAY(m2_crossvalid[[#This Row],[ds]]))</f>
        <v>45967</v>
      </c>
      <c r="C317">
        <v>1396</v>
      </c>
      <c r="D317" s="1">
        <v>45967.333333333336</v>
      </c>
      <c r="E317">
        <v>2063.6109629912839</v>
      </c>
      <c r="F317">
        <v>5.7918324378976473</v>
      </c>
      <c r="G317">
        <v>3959.0818802254735</v>
      </c>
      <c r="H317" s="1">
        <v>45961.333333333336</v>
      </c>
    </row>
    <row r="318" spans="1:8" x14ac:dyDescent="0.25">
      <c r="A318" s="7">
        <f>DATE(YEAR(m2_crossvalid[[#This Row],[cutoff]]),MONTH(m2_crossvalid[[#This Row],[cutoff]]),DAY(m2_crossvalid[[#This Row],[cutoff]]))</f>
        <v>45961</v>
      </c>
      <c r="B318" s="7">
        <f>DATE(YEAR(m2_crossvalid[[#This Row],[ds]]),MONTH(m2_crossvalid[[#This Row],[ds]]),DAY(m2_crossvalid[[#This Row],[ds]]))</f>
        <v>45968</v>
      </c>
      <c r="C318">
        <v>1612</v>
      </c>
      <c r="D318" s="1">
        <v>45968.333333333336</v>
      </c>
      <c r="E318">
        <v>2267.1409955512813</v>
      </c>
      <c r="F318">
        <v>329.97004220605919</v>
      </c>
      <c r="G318">
        <v>4251.3937734977499</v>
      </c>
      <c r="H318" s="1">
        <v>45961.333333333336</v>
      </c>
    </row>
    <row r="319" spans="1:8" x14ac:dyDescent="0.25">
      <c r="A319" s="7">
        <f>DATE(YEAR(m2_crossvalid[[#This Row],[cutoff]]),MONTH(m2_crossvalid[[#This Row],[cutoff]]),DAY(m2_crossvalid[[#This Row],[cutoff]]))</f>
        <v>45961</v>
      </c>
      <c r="B319" s="7">
        <f>DATE(YEAR(m2_crossvalid[[#This Row],[ds]]),MONTH(m2_crossvalid[[#This Row],[ds]]),DAY(m2_crossvalid[[#This Row],[ds]]))</f>
        <v>45969</v>
      </c>
      <c r="C319">
        <v>206</v>
      </c>
      <c r="D319" s="1">
        <v>45969.333333333336</v>
      </c>
      <c r="E319">
        <v>-46.829038242572096</v>
      </c>
      <c r="F319">
        <v>-2048.4753514433169</v>
      </c>
      <c r="G319">
        <v>1829.3092153232335</v>
      </c>
      <c r="H319" s="1">
        <v>45961.333333333336</v>
      </c>
    </row>
    <row r="320" spans="1:8" x14ac:dyDescent="0.25">
      <c r="A320" s="7">
        <f>DATE(YEAR(m2_crossvalid[[#This Row],[cutoff]]),MONTH(m2_crossvalid[[#This Row],[cutoff]]),DAY(m2_crossvalid[[#This Row],[cutoff]]))</f>
        <v>45961</v>
      </c>
      <c r="B320" s="7">
        <f>DATE(YEAR(m2_crossvalid[[#This Row],[ds]]),MONTH(m2_crossvalid[[#This Row],[ds]]),DAY(m2_crossvalid[[#This Row],[ds]]))</f>
        <v>45970</v>
      </c>
      <c r="C320">
        <v>95</v>
      </c>
      <c r="D320" s="1">
        <v>45970.333333333336</v>
      </c>
      <c r="E320">
        <v>-703.49836627465811</v>
      </c>
      <c r="F320">
        <v>-2554.6060839234892</v>
      </c>
      <c r="G320">
        <v>1352.9785902636415</v>
      </c>
      <c r="H320" s="1">
        <v>45961.333333333336</v>
      </c>
    </row>
    <row r="321" spans="1:8" x14ac:dyDescent="0.25">
      <c r="A321" s="7">
        <f>DATE(YEAR(m2_crossvalid[[#This Row],[cutoff]]),MONTH(m2_crossvalid[[#This Row],[cutoff]]),DAY(m2_crossvalid[[#This Row],[cutoff]]))</f>
        <v>45961</v>
      </c>
      <c r="B321" s="7">
        <f>DATE(YEAR(m2_crossvalid[[#This Row],[ds]]),MONTH(m2_crossvalid[[#This Row],[ds]]),DAY(m2_crossvalid[[#This Row],[ds]]))</f>
        <v>45971</v>
      </c>
      <c r="C321">
        <v>1552</v>
      </c>
      <c r="D321" s="1">
        <v>45971.333333333336</v>
      </c>
      <c r="E321">
        <v>1686.6084664804803</v>
      </c>
      <c r="F321">
        <v>-292.27396768635379</v>
      </c>
      <c r="G321">
        <v>3731.3962440322171</v>
      </c>
      <c r="H321" s="1">
        <v>45961.333333333336</v>
      </c>
    </row>
    <row r="322" spans="1:8" x14ac:dyDescent="0.25">
      <c r="A322" s="7">
        <f>DATE(YEAR(m2_crossvalid[[#This Row],[cutoff]]),MONTH(m2_crossvalid[[#This Row],[cutoff]]),DAY(m2_crossvalid[[#This Row],[cutoff]]))</f>
        <v>45961</v>
      </c>
      <c r="B322" s="7">
        <f>DATE(YEAR(m2_crossvalid[[#This Row],[ds]]),MONTH(m2_crossvalid[[#This Row],[ds]]),DAY(m2_crossvalid[[#This Row],[ds]]))</f>
        <v>45972</v>
      </c>
      <c r="C322">
        <v>1937</v>
      </c>
      <c r="D322" s="1">
        <v>45972.333333333336</v>
      </c>
      <c r="E322">
        <v>2422.1204134402988</v>
      </c>
      <c r="F322">
        <v>403.54430081590817</v>
      </c>
      <c r="G322">
        <v>4276.1594746896235</v>
      </c>
      <c r="H322" s="1">
        <v>45961.333333333336</v>
      </c>
    </row>
    <row r="323" spans="1:8" x14ac:dyDescent="0.25">
      <c r="A323" s="7">
        <f>DATE(YEAR(m2_crossvalid[[#This Row],[cutoff]]),MONTH(m2_crossvalid[[#This Row],[cutoff]]),DAY(m2_crossvalid[[#This Row],[cutoff]]))</f>
        <v>45961</v>
      </c>
      <c r="B323" s="7">
        <f>DATE(YEAR(m2_crossvalid[[#This Row],[ds]]),MONTH(m2_crossvalid[[#This Row],[ds]]),DAY(m2_crossvalid[[#This Row],[ds]]))</f>
        <v>45973</v>
      </c>
      <c r="C323">
        <v>2198</v>
      </c>
      <c r="D323" s="1">
        <v>45973.333333333336</v>
      </c>
      <c r="E323">
        <v>2651.3534358330617</v>
      </c>
      <c r="F323">
        <v>651.39550176670002</v>
      </c>
      <c r="G323">
        <v>4585.0846608072052</v>
      </c>
      <c r="H323" s="1">
        <v>45961.333333333336</v>
      </c>
    </row>
    <row r="324" spans="1:8" x14ac:dyDescent="0.25">
      <c r="A324" s="7">
        <f>DATE(YEAR(m2_crossvalid[[#This Row],[cutoff]]),MONTH(m2_crossvalid[[#This Row],[cutoff]]),DAY(m2_crossvalid[[#This Row],[cutoff]]))</f>
        <v>45961</v>
      </c>
      <c r="B324" s="7">
        <f>DATE(YEAR(m2_crossvalid[[#This Row],[ds]]),MONTH(m2_crossvalid[[#This Row],[ds]]),DAY(m2_crossvalid[[#This Row],[ds]]))</f>
        <v>45974</v>
      </c>
      <c r="C324">
        <v>2401</v>
      </c>
      <c r="D324" s="1">
        <v>45974.333333333336</v>
      </c>
      <c r="E324">
        <v>2756.3418980421911</v>
      </c>
      <c r="F324">
        <v>864.33779292314</v>
      </c>
      <c r="G324">
        <v>4705.0301380050732</v>
      </c>
      <c r="H324" s="1">
        <v>45961.333333333336</v>
      </c>
    </row>
    <row r="325" spans="1:8" x14ac:dyDescent="0.25">
      <c r="A325" s="7">
        <f>DATE(YEAR(m2_crossvalid[[#This Row],[cutoff]]),MONTH(m2_crossvalid[[#This Row],[cutoff]]),DAY(m2_crossvalid[[#This Row],[cutoff]]))</f>
        <v>45961</v>
      </c>
      <c r="B325" s="7">
        <f>DATE(YEAR(m2_crossvalid[[#This Row],[ds]]),MONTH(m2_crossvalid[[#This Row],[ds]]),DAY(m2_crossvalid[[#This Row],[ds]]))</f>
        <v>45975</v>
      </c>
      <c r="C325">
        <v>2547</v>
      </c>
      <c r="D325" s="1">
        <v>45975.333333333336</v>
      </c>
      <c r="E325">
        <v>2669.56024280769</v>
      </c>
      <c r="F325">
        <v>757.67375229194181</v>
      </c>
      <c r="G325">
        <v>4809.5503013885418</v>
      </c>
      <c r="H325" s="1">
        <v>45961.333333333336</v>
      </c>
    </row>
    <row r="326" spans="1:8" x14ac:dyDescent="0.25">
      <c r="A326" s="7">
        <f>DATE(YEAR(m2_crossvalid[[#This Row],[cutoff]]),MONTH(m2_crossvalid[[#This Row],[cutoff]]),DAY(m2_crossvalid[[#This Row],[cutoff]]))</f>
        <v>45961</v>
      </c>
      <c r="B326" s="7">
        <f>DATE(YEAR(m2_crossvalid[[#This Row],[ds]]),MONTH(m2_crossvalid[[#This Row],[ds]]),DAY(m2_crossvalid[[#This Row],[ds]]))</f>
        <v>45976</v>
      </c>
      <c r="C326">
        <v>773</v>
      </c>
      <c r="D326" s="1">
        <v>45976.333333333336</v>
      </c>
      <c r="E326">
        <v>410.29177409792078</v>
      </c>
      <c r="F326">
        <v>-1609.4252275153824</v>
      </c>
      <c r="G326">
        <v>2481.7554246570376</v>
      </c>
      <c r="H326" s="1">
        <v>45961.333333333336</v>
      </c>
    </row>
    <row r="327" spans="1:8" x14ac:dyDescent="0.25">
      <c r="A327" s="7">
        <f>DATE(YEAR(m2_crossvalid[[#This Row],[cutoff]]),MONTH(m2_crossvalid[[#This Row],[cutoff]]),DAY(m2_crossvalid[[#This Row],[cutoff]]))</f>
        <v>45961</v>
      </c>
      <c r="B327" s="7">
        <f>DATE(YEAR(m2_crossvalid[[#This Row],[ds]]),MONTH(m2_crossvalid[[#This Row],[ds]]),DAY(m2_crossvalid[[#This Row],[ds]]))</f>
        <v>45977</v>
      </c>
      <c r="C327">
        <v>113</v>
      </c>
      <c r="D327" s="1">
        <v>45977.333333333336</v>
      </c>
      <c r="E327">
        <v>18.802333304452077</v>
      </c>
      <c r="F327">
        <v>-1945.6182655686125</v>
      </c>
      <c r="G327">
        <v>2084.8554295010622</v>
      </c>
      <c r="H327" s="1">
        <v>45961.333333333336</v>
      </c>
    </row>
    <row r="328" spans="1:8" x14ac:dyDescent="0.25">
      <c r="A328" s="7">
        <f>DATE(YEAR(m2_crossvalid[[#This Row],[cutoff]]),MONTH(m2_crossvalid[[#This Row],[cutoff]]),DAY(m2_crossvalid[[#This Row],[cutoff]]))</f>
        <v>45961</v>
      </c>
      <c r="B328" s="7">
        <f>DATE(YEAR(m2_crossvalid[[#This Row],[ds]]),MONTH(m2_crossvalid[[#This Row],[ds]]),DAY(m2_crossvalid[[#This Row],[ds]]))</f>
        <v>45978</v>
      </c>
      <c r="C328">
        <v>2849</v>
      </c>
      <c r="D328" s="1">
        <v>45978.333333333336</v>
      </c>
      <c r="E328">
        <v>2558.099755718461</v>
      </c>
      <c r="F328">
        <v>676.70004189600741</v>
      </c>
      <c r="G328">
        <v>4574.6049251019358</v>
      </c>
      <c r="H328" s="1">
        <v>45961.333333333336</v>
      </c>
    </row>
    <row r="329" spans="1:8" x14ac:dyDescent="0.25">
      <c r="A329" s="7">
        <f>DATE(YEAR(m2_crossvalid[[#This Row],[cutoff]]),MONTH(m2_crossvalid[[#This Row],[cutoff]]),DAY(m2_crossvalid[[#This Row],[cutoff]]))</f>
        <v>45961</v>
      </c>
      <c r="B329" s="7">
        <f>DATE(YEAR(m2_crossvalid[[#This Row],[ds]]),MONTH(m2_crossvalid[[#This Row],[ds]]),DAY(m2_crossvalid[[#This Row],[ds]]))</f>
        <v>45979</v>
      </c>
      <c r="C329">
        <v>3351</v>
      </c>
      <c r="D329" s="1">
        <v>45979.333333333336</v>
      </c>
      <c r="E329">
        <v>3154.4994585751438</v>
      </c>
      <c r="F329">
        <v>1172.033050660697</v>
      </c>
      <c r="G329">
        <v>5292.9935307073001</v>
      </c>
      <c r="H329" s="1">
        <v>45961.333333333336</v>
      </c>
    </row>
    <row r="330" spans="1:8" x14ac:dyDescent="0.25">
      <c r="A330" s="7">
        <f>DATE(YEAR(m2_crossvalid[[#This Row],[cutoff]]),MONTH(m2_crossvalid[[#This Row],[cutoff]]),DAY(m2_crossvalid[[#This Row],[cutoff]]))</f>
        <v>45961</v>
      </c>
      <c r="B330" s="7">
        <f>DATE(YEAR(m2_crossvalid[[#This Row],[ds]]),MONTH(m2_crossvalid[[#This Row],[ds]]),DAY(m2_crossvalid[[#This Row],[ds]]))</f>
        <v>45980</v>
      </c>
      <c r="C330">
        <v>3248</v>
      </c>
      <c r="D330" s="1">
        <v>45980.333333333336</v>
      </c>
      <c r="E330">
        <v>3100.1310126208241</v>
      </c>
      <c r="F330">
        <v>1042.4472368451545</v>
      </c>
      <c r="G330">
        <v>5061.2385548227421</v>
      </c>
      <c r="H330" s="1">
        <v>45961.333333333336</v>
      </c>
    </row>
    <row r="331" spans="1:8" x14ac:dyDescent="0.25">
      <c r="A331" s="7">
        <f>DATE(YEAR(m2_crossvalid[[#This Row],[cutoff]]),MONTH(m2_crossvalid[[#This Row],[cutoff]]),DAY(m2_crossvalid[[#This Row],[cutoff]]))</f>
        <v>45961</v>
      </c>
      <c r="B331" s="7">
        <f>DATE(YEAR(m2_crossvalid[[#This Row],[ds]]),MONTH(m2_crossvalid[[#This Row],[ds]]),DAY(m2_crossvalid[[#This Row],[ds]]))</f>
        <v>45981</v>
      </c>
      <c r="C331">
        <v>3581</v>
      </c>
      <c r="D331" s="1">
        <v>45981.333333333336</v>
      </c>
      <c r="E331">
        <v>3075.1997015902866</v>
      </c>
      <c r="F331">
        <v>1186.7726378195518</v>
      </c>
      <c r="G331">
        <v>5047.900392469689</v>
      </c>
      <c r="H331" s="1">
        <v>45961.333333333336</v>
      </c>
    </row>
    <row r="332" spans="1:8" x14ac:dyDescent="0.25">
      <c r="A332" s="7">
        <f>DATE(YEAR(m2_crossvalid[[#This Row],[cutoff]]),MONTH(m2_crossvalid[[#This Row],[cutoff]]),DAY(m2_crossvalid[[#This Row],[cutoff]]))</f>
        <v>45961</v>
      </c>
      <c r="B332" s="7">
        <f>DATE(YEAR(m2_crossvalid[[#This Row],[ds]]),MONTH(m2_crossvalid[[#This Row],[ds]]),DAY(m2_crossvalid[[#This Row],[ds]]))</f>
        <v>45982</v>
      </c>
      <c r="C332">
        <v>3622</v>
      </c>
      <c r="D332" s="1">
        <v>45982.333333333336</v>
      </c>
      <c r="E332">
        <v>3152.8007021242252</v>
      </c>
      <c r="F332">
        <v>1162.6830006028449</v>
      </c>
      <c r="G332">
        <v>5159.5108443947656</v>
      </c>
      <c r="H332" s="1">
        <v>45961.333333333336</v>
      </c>
    </row>
    <row r="333" spans="1:8" x14ac:dyDescent="0.25">
      <c r="A333" s="7">
        <f>DATE(YEAR(m2_crossvalid[[#This Row],[cutoff]]),MONTH(m2_crossvalid[[#This Row],[cutoff]]),DAY(m2_crossvalid[[#This Row],[cutoff]]))</f>
        <v>45961</v>
      </c>
      <c r="B333" s="7">
        <f>DATE(YEAR(m2_crossvalid[[#This Row],[ds]]),MONTH(m2_crossvalid[[#This Row],[ds]]),DAY(m2_crossvalid[[#This Row],[ds]]))</f>
        <v>45983</v>
      </c>
      <c r="C333">
        <v>783</v>
      </c>
      <c r="D333" s="1">
        <v>45983.333333333336</v>
      </c>
      <c r="E333">
        <v>1188.0576162032523</v>
      </c>
      <c r="F333">
        <v>-853.02221752567959</v>
      </c>
      <c r="G333">
        <v>3226.0525140362179</v>
      </c>
      <c r="H333" s="1">
        <v>45961.333333333336</v>
      </c>
    </row>
    <row r="334" spans="1:8" x14ac:dyDescent="0.25">
      <c r="A334" s="7">
        <f>DATE(YEAR(m2_crossvalid[[#This Row],[cutoff]]),MONTH(m2_crossvalid[[#This Row],[cutoff]]),DAY(m2_crossvalid[[#This Row],[cutoff]]))</f>
        <v>45961</v>
      </c>
      <c r="B334" s="7">
        <f>DATE(YEAR(m2_crossvalid[[#This Row],[ds]]),MONTH(m2_crossvalid[[#This Row],[ds]]),DAY(m2_crossvalid[[#This Row],[ds]]))</f>
        <v>45984</v>
      </c>
      <c r="C334">
        <v>188</v>
      </c>
      <c r="D334" s="1">
        <v>45984.333333333336</v>
      </c>
      <c r="E334">
        <v>920.53283902159274</v>
      </c>
      <c r="F334">
        <v>-1172.7319762778766</v>
      </c>
      <c r="G334">
        <v>2834.5173618960853</v>
      </c>
      <c r="H334" s="1">
        <v>45961.333333333336</v>
      </c>
    </row>
    <row r="335" spans="1:8" x14ac:dyDescent="0.25">
      <c r="A335" s="7">
        <f>DATE(YEAR(m2_crossvalid[[#This Row],[cutoff]]),MONTH(m2_crossvalid[[#This Row],[cutoff]]),DAY(m2_crossvalid[[#This Row],[cutoff]]))</f>
        <v>45961</v>
      </c>
      <c r="B335" s="7">
        <f>DATE(YEAR(m2_crossvalid[[#This Row],[ds]]),MONTH(m2_crossvalid[[#This Row],[ds]]),DAY(m2_crossvalid[[#This Row],[ds]]))</f>
        <v>45985</v>
      </c>
      <c r="C335">
        <v>3515</v>
      </c>
      <c r="D335" s="1">
        <v>45985.333333333336</v>
      </c>
      <c r="E335">
        <v>3299.6013481044647</v>
      </c>
      <c r="F335">
        <v>1195.0942221775358</v>
      </c>
      <c r="G335">
        <v>5247.669473669599</v>
      </c>
      <c r="H335" s="1">
        <v>45961.333333333336</v>
      </c>
    </row>
    <row r="336" spans="1:8" x14ac:dyDescent="0.25">
      <c r="A336" s="7">
        <f>DATE(YEAR(m2_crossvalid[[#This Row],[cutoff]]),MONTH(m2_crossvalid[[#This Row],[cutoff]]),DAY(m2_crossvalid[[#This Row],[cutoff]]))</f>
        <v>45961</v>
      </c>
      <c r="B336" s="7">
        <f>DATE(YEAR(m2_crossvalid[[#This Row],[ds]]),MONTH(m2_crossvalid[[#This Row],[ds]]),DAY(m2_crossvalid[[#This Row],[ds]]))</f>
        <v>45986</v>
      </c>
      <c r="C336">
        <v>4824</v>
      </c>
      <c r="D336" s="1">
        <v>45986.333333333336</v>
      </c>
      <c r="E336">
        <v>3684.7003047284279</v>
      </c>
      <c r="F336">
        <v>1653.3306919037175</v>
      </c>
      <c r="G336">
        <v>5691.2858568472384</v>
      </c>
      <c r="H336" s="1">
        <v>45961.333333333336</v>
      </c>
    </row>
    <row r="337" spans="1:8" x14ac:dyDescent="0.25">
      <c r="A337" s="7">
        <f>DATE(YEAR(m2_crossvalid[[#This Row],[cutoff]]),MONTH(m2_crossvalid[[#This Row],[cutoff]]),DAY(m2_crossvalid[[#This Row],[cutoff]]))</f>
        <v>45961</v>
      </c>
      <c r="B337" s="7">
        <f>DATE(YEAR(m2_crossvalid[[#This Row],[ds]]),MONTH(m2_crossvalid[[#This Row],[ds]]),DAY(m2_crossvalid[[#This Row],[ds]]))</f>
        <v>45987</v>
      </c>
      <c r="C337">
        <v>5463</v>
      </c>
      <c r="D337" s="1">
        <v>45987.333333333336</v>
      </c>
      <c r="E337">
        <v>3770.6334998738985</v>
      </c>
      <c r="F337">
        <v>1688.5838784081066</v>
      </c>
      <c r="G337">
        <v>5860.0565981120581</v>
      </c>
      <c r="H337" s="1">
        <v>45961.333333333336</v>
      </c>
    </row>
    <row r="338" spans="1:8" x14ac:dyDescent="0.25">
      <c r="A338" s="7">
        <f>DATE(YEAR(m2_crossvalid[[#This Row],[cutoff]]),MONTH(m2_crossvalid[[#This Row],[cutoff]]),DAY(m2_crossvalid[[#This Row],[cutoff]]))</f>
        <v>45961</v>
      </c>
      <c r="B338" s="7">
        <f>DATE(YEAR(m2_crossvalid[[#This Row],[ds]]),MONTH(m2_crossvalid[[#This Row],[ds]]),DAY(m2_crossvalid[[#This Row],[ds]]))</f>
        <v>45988</v>
      </c>
      <c r="C338">
        <v>7236</v>
      </c>
      <c r="D338" s="1">
        <v>45988.333333333336</v>
      </c>
      <c r="E338">
        <v>4437.9595139576759</v>
      </c>
      <c r="F338">
        <v>2344.8224390394489</v>
      </c>
      <c r="G338">
        <v>6409.6928900511457</v>
      </c>
      <c r="H338" s="1">
        <v>45961.333333333336</v>
      </c>
    </row>
    <row r="339" spans="1:8" x14ac:dyDescent="0.25">
      <c r="A339" s="7">
        <f>DATE(YEAR(m2_crossvalid[[#This Row],[cutoff]]),MONTH(m2_crossvalid[[#This Row],[cutoff]]),DAY(m2_crossvalid[[#This Row],[cutoff]]))</f>
        <v>45961</v>
      </c>
      <c r="B339" s="7">
        <f>DATE(YEAR(m2_crossvalid[[#This Row],[ds]]),MONTH(m2_crossvalid[[#This Row],[ds]]),DAY(m2_crossvalid[[#This Row],[ds]]))</f>
        <v>45989</v>
      </c>
      <c r="C339">
        <v>10013</v>
      </c>
      <c r="D339" s="1">
        <v>45989.333333333336</v>
      </c>
      <c r="E339">
        <v>5521.0944049401915</v>
      </c>
      <c r="F339">
        <v>3624.7993530129402</v>
      </c>
      <c r="G339">
        <v>7537.6130714396659</v>
      </c>
      <c r="H339" s="1">
        <v>45961.333333333336</v>
      </c>
    </row>
    <row r="340" spans="1:8" x14ac:dyDescent="0.25">
      <c r="A340" s="7">
        <f>DATE(YEAR(m2_crossvalid[[#This Row],[cutoff]]),MONTH(m2_crossvalid[[#This Row],[cutoff]]),DAY(m2_crossvalid[[#This Row],[cutoff]]))</f>
        <v>45961</v>
      </c>
      <c r="B340" s="7">
        <f>DATE(YEAR(m2_crossvalid[[#This Row],[ds]]),MONTH(m2_crossvalid[[#This Row],[ds]]),DAY(m2_crossvalid[[#This Row],[ds]]))</f>
        <v>45990</v>
      </c>
      <c r="C340">
        <v>8210</v>
      </c>
      <c r="D340" s="1">
        <v>45990.333333333336</v>
      </c>
      <c r="E340">
        <v>4311.1095286510526</v>
      </c>
      <c r="F340">
        <v>2301.1307193990797</v>
      </c>
      <c r="G340">
        <v>6357.8569083170933</v>
      </c>
      <c r="H340" s="1">
        <v>45961.333333333336</v>
      </c>
    </row>
    <row r="341" spans="1:8" x14ac:dyDescent="0.25">
      <c r="A341" s="7">
        <f>DATE(YEAR(m2_crossvalid[[#This Row],[cutoff]]),MONTH(m2_crossvalid[[#This Row],[cutoff]]),DAY(m2_crossvalid[[#This Row],[cutoff]]))</f>
        <v>45961</v>
      </c>
      <c r="B341" s="7">
        <f>DATE(YEAR(m2_crossvalid[[#This Row],[ds]]),MONTH(m2_crossvalid[[#This Row],[ds]]),DAY(m2_crossvalid[[#This Row],[ds]]))</f>
        <v>45991</v>
      </c>
      <c r="C341">
        <v>3567</v>
      </c>
      <c r="D341" s="1">
        <v>45991.333333333336</v>
      </c>
      <c r="E341">
        <v>4030.1230878293673</v>
      </c>
      <c r="F341">
        <v>1905.1725164273191</v>
      </c>
      <c r="G341">
        <v>5947.2029851045645</v>
      </c>
      <c r="H341" s="1">
        <v>45961.333333333336</v>
      </c>
    </row>
    <row r="342" spans="1:8" x14ac:dyDescent="0.25">
      <c r="A342" s="7">
        <f>DATE(YEAR(m2_crossvalid[[#This Row],[cutoff]]),MONTH(m2_crossvalid[[#This Row],[cutoff]]),DAY(m2_crossvalid[[#This Row],[cutoff]]))</f>
        <v>45961</v>
      </c>
      <c r="B342" s="7">
        <f>DATE(YEAR(m2_crossvalid[[#This Row],[ds]]),MONTH(m2_crossvalid[[#This Row],[ds]]),DAY(m2_crossvalid[[#This Row],[ds]]))</f>
        <v>45992</v>
      </c>
      <c r="C342">
        <v>659</v>
      </c>
      <c r="D342" s="1">
        <v>45992.333333333336</v>
      </c>
      <c r="E342">
        <v>5480.262344097463</v>
      </c>
      <c r="F342">
        <v>3552.1240660621943</v>
      </c>
      <c r="G342">
        <v>7389.7264984770063</v>
      </c>
      <c r="H342" s="1">
        <v>45961.333333333336</v>
      </c>
    </row>
    <row r="343" spans="1:8" x14ac:dyDescent="0.25">
      <c r="A343" s="7">
        <f>DATE(YEAR(m2_crossvalid[[#This Row],[cutoff]]),MONTH(m2_crossvalid[[#This Row],[cutoff]]),DAY(m2_crossvalid[[#This Row],[cutoff]]))</f>
        <v>45991</v>
      </c>
      <c r="B343" s="7">
        <f>DATE(YEAR(m2_crossvalid[[#This Row],[ds]]),MONTH(m2_crossvalid[[#This Row],[ds]]),DAY(m2_crossvalid[[#This Row],[ds]]))</f>
        <v>45992</v>
      </c>
      <c r="C343">
        <v>659</v>
      </c>
      <c r="D343" s="1">
        <v>45992.333333333336</v>
      </c>
      <c r="E343">
        <v>5687.540379418474</v>
      </c>
      <c r="F343">
        <v>3731.3947369497196</v>
      </c>
      <c r="G343">
        <v>7685.9203222251417</v>
      </c>
      <c r="H343" s="1">
        <v>45991.333333333336</v>
      </c>
    </row>
    <row r="344" spans="1:8" x14ac:dyDescent="0.25">
      <c r="A344" s="7">
        <f>DATE(YEAR(m2_crossvalid[[#This Row],[cutoff]]),MONTH(m2_crossvalid[[#This Row],[cutoff]]),DAY(m2_crossvalid[[#This Row],[cutoff]]))</f>
        <v>45991</v>
      </c>
      <c r="B344" s="7">
        <f>DATE(YEAR(m2_crossvalid[[#This Row],[ds]]),MONTH(m2_crossvalid[[#This Row],[ds]]),DAY(m2_crossvalid[[#This Row],[ds]]))</f>
        <v>45993</v>
      </c>
      <c r="C344">
        <v>963</v>
      </c>
      <c r="D344" s="1">
        <v>45993.333333333336</v>
      </c>
      <c r="E344">
        <v>4469.6943549319685</v>
      </c>
      <c r="F344">
        <v>2599.0961949787043</v>
      </c>
      <c r="G344">
        <v>6510.3066959109447</v>
      </c>
      <c r="H344" s="1">
        <v>45991.333333333336</v>
      </c>
    </row>
    <row r="345" spans="1:8" x14ac:dyDescent="0.25">
      <c r="A345" s="7">
        <f>DATE(YEAR(m2_crossvalid[[#This Row],[cutoff]]),MONTH(m2_crossvalid[[#This Row],[cutoff]]),DAY(m2_crossvalid[[#This Row],[cutoff]]))</f>
        <v>45991</v>
      </c>
      <c r="B345" s="7">
        <f>DATE(YEAR(m2_crossvalid[[#This Row],[ds]]),MONTH(m2_crossvalid[[#This Row],[ds]]),DAY(m2_crossvalid[[#This Row],[ds]]))</f>
        <v>45994</v>
      </c>
      <c r="C345">
        <v>1248</v>
      </c>
      <c r="D345" s="1">
        <v>45994.333333333336</v>
      </c>
      <c r="E345">
        <v>2752.6496835947537</v>
      </c>
      <c r="F345">
        <v>932.92931317941122</v>
      </c>
      <c r="G345">
        <v>4831.3553930831931</v>
      </c>
      <c r="H345" s="1">
        <v>45991.333333333336</v>
      </c>
    </row>
    <row r="346" spans="1:8" x14ac:dyDescent="0.25">
      <c r="A346" s="7">
        <f>DATE(YEAR(m2_crossvalid[[#This Row],[cutoff]]),MONTH(m2_crossvalid[[#This Row],[cutoff]]),DAY(m2_crossvalid[[#This Row],[cutoff]]))</f>
        <v>45991</v>
      </c>
      <c r="B346" s="7">
        <f>DATE(YEAR(m2_crossvalid[[#This Row],[ds]]),MONTH(m2_crossvalid[[#This Row],[ds]]),DAY(m2_crossvalid[[#This Row],[ds]]))</f>
        <v>45995</v>
      </c>
      <c r="C346">
        <v>1462</v>
      </c>
      <c r="D346" s="1">
        <v>45995.333333333336</v>
      </c>
      <c r="E346">
        <v>1782.9147079774582</v>
      </c>
      <c r="F346">
        <v>-240.45859034003706</v>
      </c>
      <c r="G346">
        <v>3831.7748799603551</v>
      </c>
      <c r="H346" s="1">
        <v>45991.333333333336</v>
      </c>
    </row>
    <row r="347" spans="1:8" x14ac:dyDescent="0.25">
      <c r="A347" s="7">
        <f>DATE(YEAR(m2_crossvalid[[#This Row],[cutoff]]),MONTH(m2_crossvalid[[#This Row],[cutoff]]),DAY(m2_crossvalid[[#This Row],[cutoff]]))</f>
        <v>45991</v>
      </c>
      <c r="B347" s="7">
        <f>DATE(YEAR(m2_crossvalid[[#This Row],[ds]]),MONTH(m2_crossvalid[[#This Row],[ds]]),DAY(m2_crossvalid[[#This Row],[ds]]))</f>
        <v>45996</v>
      </c>
      <c r="C347">
        <v>1441</v>
      </c>
      <c r="D347" s="1">
        <v>45996.333333333336</v>
      </c>
      <c r="E347">
        <v>1620.9673375463403</v>
      </c>
      <c r="F347">
        <v>-269.54900281812667</v>
      </c>
      <c r="G347">
        <v>3621.7497440883612</v>
      </c>
      <c r="H347" s="1">
        <v>45991.333333333336</v>
      </c>
    </row>
    <row r="348" spans="1:8" x14ac:dyDescent="0.25">
      <c r="A348" s="7">
        <f>DATE(YEAR(m2_crossvalid[[#This Row],[cutoff]]),MONTH(m2_crossvalid[[#This Row],[cutoff]]),DAY(m2_crossvalid[[#This Row],[cutoff]]))</f>
        <v>45991</v>
      </c>
      <c r="B348" s="7">
        <f>DATE(YEAR(m2_crossvalid[[#This Row],[ds]]),MONTH(m2_crossvalid[[#This Row],[ds]]),DAY(m2_crossvalid[[#This Row],[ds]]))</f>
        <v>45997</v>
      </c>
      <c r="C348">
        <v>380</v>
      </c>
      <c r="D348" s="1">
        <v>45997.333333333336</v>
      </c>
      <c r="E348">
        <v>-278.83154422996313</v>
      </c>
      <c r="F348">
        <v>-2365.61125442292</v>
      </c>
      <c r="G348">
        <v>1776.96468364562</v>
      </c>
      <c r="H348" s="1">
        <v>45991.333333333336</v>
      </c>
    </row>
    <row r="349" spans="1:8" x14ac:dyDescent="0.25">
      <c r="A349" s="7">
        <f>DATE(YEAR(m2_crossvalid[[#This Row],[cutoff]]),MONTH(m2_crossvalid[[#This Row],[cutoff]]),DAY(m2_crossvalid[[#This Row],[cutoff]]))</f>
        <v>45991</v>
      </c>
      <c r="B349" s="7">
        <f>DATE(YEAR(m2_crossvalid[[#This Row],[ds]]),MONTH(m2_crossvalid[[#This Row],[ds]]),DAY(m2_crossvalid[[#This Row],[ds]]))</f>
        <v>45998</v>
      </c>
      <c r="C349">
        <v>59</v>
      </c>
      <c r="D349" s="1">
        <v>45998.333333333336</v>
      </c>
      <c r="E349">
        <v>-470.5963580027219</v>
      </c>
      <c r="F349">
        <v>-2522.4826639877888</v>
      </c>
      <c r="G349">
        <v>1500.1242192191223</v>
      </c>
      <c r="H349" s="1">
        <v>45991.333333333336</v>
      </c>
    </row>
    <row r="350" spans="1:8" x14ac:dyDescent="0.25">
      <c r="A350" s="7">
        <f>DATE(YEAR(m2_crossvalid[[#This Row],[cutoff]]),MONTH(m2_crossvalid[[#This Row],[cutoff]]),DAY(m2_crossvalid[[#This Row],[cutoff]]))</f>
        <v>45991</v>
      </c>
      <c r="B350" s="7">
        <f>DATE(YEAR(m2_crossvalid[[#This Row],[ds]]),MONTH(m2_crossvalid[[#This Row],[ds]]),DAY(m2_crossvalid[[#This Row],[ds]]))</f>
        <v>45999</v>
      </c>
      <c r="C350">
        <v>1698</v>
      </c>
      <c r="D350" s="1">
        <v>45999.333333333336</v>
      </c>
      <c r="E350">
        <v>1945.3725359655184</v>
      </c>
      <c r="F350">
        <v>-82.608701226690869</v>
      </c>
      <c r="G350">
        <v>3741.0620227417398</v>
      </c>
      <c r="H350" s="1">
        <v>45991.333333333336</v>
      </c>
    </row>
    <row r="351" spans="1:8" x14ac:dyDescent="0.25">
      <c r="A351" s="7">
        <f>DATE(YEAR(m2_crossvalid[[#This Row],[cutoff]]),MONTH(m2_crossvalid[[#This Row],[cutoff]]),DAY(m2_crossvalid[[#This Row],[cutoff]]))</f>
        <v>45991</v>
      </c>
      <c r="B351" s="7">
        <f>DATE(YEAR(m2_crossvalid[[#This Row],[ds]]),MONTH(m2_crossvalid[[#This Row],[ds]]),DAY(m2_crossvalid[[#This Row],[ds]]))</f>
        <v>46000</v>
      </c>
      <c r="C351">
        <v>1924</v>
      </c>
      <c r="D351" s="1">
        <v>46000.333333333336</v>
      </c>
      <c r="E351">
        <v>2361.3705196518085</v>
      </c>
      <c r="F351">
        <v>342.26000922073638</v>
      </c>
      <c r="G351">
        <v>4235.219067222115</v>
      </c>
      <c r="H351" s="1">
        <v>45991.333333333336</v>
      </c>
    </row>
    <row r="352" spans="1:8" x14ac:dyDescent="0.25">
      <c r="A352" s="7">
        <f>DATE(YEAR(m2_crossvalid[[#This Row],[cutoff]]),MONTH(m2_crossvalid[[#This Row],[cutoff]]),DAY(m2_crossvalid[[#This Row],[cutoff]]))</f>
        <v>45991</v>
      </c>
      <c r="B352" s="7">
        <f>DATE(YEAR(m2_crossvalid[[#This Row],[ds]]),MONTH(m2_crossvalid[[#This Row],[ds]]),DAY(m2_crossvalid[[#This Row],[ds]]))</f>
        <v>46001</v>
      </c>
      <c r="C352">
        <v>2624</v>
      </c>
      <c r="D352" s="1">
        <v>46001.333333333336</v>
      </c>
      <c r="E352">
        <v>2373.2343753435021</v>
      </c>
      <c r="F352">
        <v>427.47292206478619</v>
      </c>
      <c r="G352">
        <v>4471.1081340843812</v>
      </c>
      <c r="H352" s="1">
        <v>45991.333333333336</v>
      </c>
    </row>
    <row r="353" spans="1:8" x14ac:dyDescent="0.25">
      <c r="A353" s="7">
        <f>DATE(YEAR(m2_crossvalid[[#This Row],[cutoff]]),MONTH(m2_crossvalid[[#This Row],[cutoff]]),DAY(m2_crossvalid[[#This Row],[cutoff]]))</f>
        <v>45991</v>
      </c>
      <c r="B353" s="7">
        <f>DATE(YEAR(m2_crossvalid[[#This Row],[ds]]),MONTH(m2_crossvalid[[#This Row],[ds]]),DAY(m2_crossvalid[[#This Row],[ds]]))</f>
        <v>46002</v>
      </c>
      <c r="C353">
        <v>1853</v>
      </c>
      <c r="D353" s="1">
        <v>46002.333333333336</v>
      </c>
      <c r="E353">
        <v>2627.9882986163266</v>
      </c>
      <c r="F353">
        <v>726.01614013935443</v>
      </c>
      <c r="G353">
        <v>4658.5214847177322</v>
      </c>
      <c r="H353" s="1">
        <v>45991.333333333336</v>
      </c>
    </row>
    <row r="354" spans="1:8" x14ac:dyDescent="0.25">
      <c r="A354" s="7">
        <f>DATE(YEAR(m2_crossvalid[[#This Row],[cutoff]]),MONTH(m2_crossvalid[[#This Row],[cutoff]]),DAY(m2_crossvalid[[#This Row],[cutoff]]))</f>
        <v>45991</v>
      </c>
      <c r="B354" s="7">
        <f>DATE(YEAR(m2_crossvalid[[#This Row],[ds]]),MONTH(m2_crossvalid[[#This Row],[ds]]),DAY(m2_crossvalid[[#This Row],[ds]]))</f>
        <v>46003</v>
      </c>
      <c r="C354">
        <v>3010</v>
      </c>
      <c r="D354" s="1">
        <v>46003.333333333336</v>
      </c>
      <c r="E354">
        <v>2879.7795640388708</v>
      </c>
      <c r="F354">
        <v>851.27650837271301</v>
      </c>
      <c r="G354">
        <v>4769.1380146535148</v>
      </c>
      <c r="H354" s="1">
        <v>45991.333333333336</v>
      </c>
    </row>
    <row r="355" spans="1:8" x14ac:dyDescent="0.25">
      <c r="A355" s="7">
        <f>DATE(YEAR(m2_crossvalid[[#This Row],[cutoff]]),MONTH(m2_crossvalid[[#This Row],[cutoff]]),DAY(m2_crossvalid[[#This Row],[cutoff]]))</f>
        <v>45991</v>
      </c>
      <c r="B355" s="7">
        <f>DATE(YEAR(m2_crossvalid[[#This Row],[ds]]),MONTH(m2_crossvalid[[#This Row],[ds]]),DAY(m2_crossvalid[[#This Row],[ds]]))</f>
        <v>46004</v>
      </c>
      <c r="C355">
        <v>552</v>
      </c>
      <c r="D355" s="1">
        <v>46004.333333333336</v>
      </c>
      <c r="E355">
        <v>753.99076777846244</v>
      </c>
      <c r="F355">
        <v>-1172.0960312107709</v>
      </c>
      <c r="G355">
        <v>2677.424058916919</v>
      </c>
      <c r="H355" s="1">
        <v>45991.333333333336</v>
      </c>
    </row>
    <row r="356" spans="1:8" x14ac:dyDescent="0.25">
      <c r="A356" s="7">
        <f>DATE(YEAR(m2_crossvalid[[#This Row],[cutoff]]),MONTH(m2_crossvalid[[#This Row],[cutoff]]),DAY(m2_crossvalid[[#This Row],[cutoff]]))</f>
        <v>45991</v>
      </c>
      <c r="B356" s="7">
        <f>DATE(YEAR(m2_crossvalid[[#This Row],[ds]]),MONTH(m2_crossvalid[[#This Row],[ds]]),DAY(m2_crossvalid[[#This Row],[ds]]))</f>
        <v>46005</v>
      </c>
      <c r="C356">
        <v>162</v>
      </c>
      <c r="D356" s="1">
        <v>46005.333333333336</v>
      </c>
      <c r="E356">
        <v>182.66591525403874</v>
      </c>
      <c r="F356">
        <v>-1893.1755060039302</v>
      </c>
      <c r="G356">
        <v>2273.9567280520851</v>
      </c>
      <c r="H356" s="1">
        <v>45991.333333333336</v>
      </c>
    </row>
    <row r="357" spans="1:8" x14ac:dyDescent="0.25">
      <c r="A357" s="7">
        <f>DATE(YEAR(m2_crossvalid[[#This Row],[cutoff]]),MONTH(m2_crossvalid[[#This Row],[cutoff]]),DAY(m2_crossvalid[[#This Row],[cutoff]]))</f>
        <v>45991</v>
      </c>
      <c r="B357" s="7">
        <f>DATE(YEAR(m2_crossvalid[[#This Row],[ds]]),MONTH(m2_crossvalid[[#This Row],[ds]]),DAY(m2_crossvalid[[#This Row],[ds]]))</f>
        <v>46006</v>
      </c>
      <c r="C357">
        <v>2685</v>
      </c>
      <c r="D357" s="1">
        <v>46006.333333333336</v>
      </c>
      <c r="E357">
        <v>2479.6111107998154</v>
      </c>
      <c r="F357">
        <v>441.88565329077227</v>
      </c>
      <c r="G357">
        <v>4484.3501196465477</v>
      </c>
      <c r="H357" s="1">
        <v>45991.333333333336</v>
      </c>
    </row>
    <row r="358" spans="1:8" x14ac:dyDescent="0.25">
      <c r="A358" s="7">
        <f>DATE(YEAR(m2_crossvalid[[#This Row],[cutoff]]),MONTH(m2_crossvalid[[#This Row],[cutoff]]),DAY(m2_crossvalid[[#This Row],[cutoff]]))</f>
        <v>45991</v>
      </c>
      <c r="B358" s="7">
        <f>DATE(YEAR(m2_crossvalid[[#This Row],[ds]]),MONTH(m2_crossvalid[[#This Row],[ds]]),DAY(m2_crossvalid[[#This Row],[ds]]))</f>
        <v>46007</v>
      </c>
      <c r="C358">
        <v>3397</v>
      </c>
      <c r="D358" s="1">
        <v>46007.333333333336</v>
      </c>
      <c r="E358">
        <v>3088.5611355122642</v>
      </c>
      <c r="F358">
        <v>1046.4473289078267</v>
      </c>
      <c r="G358">
        <v>5058.857356984252</v>
      </c>
      <c r="H358" s="1">
        <v>45991.333333333336</v>
      </c>
    </row>
    <row r="359" spans="1:8" x14ac:dyDescent="0.25">
      <c r="A359" s="7">
        <f>DATE(YEAR(m2_crossvalid[[#This Row],[cutoff]]),MONTH(m2_crossvalid[[#This Row],[cutoff]]),DAY(m2_crossvalid[[#This Row],[cutoff]]))</f>
        <v>45991</v>
      </c>
      <c r="B359" s="7">
        <f>DATE(YEAR(m2_crossvalid[[#This Row],[ds]]),MONTH(m2_crossvalid[[#This Row],[ds]]),DAY(m2_crossvalid[[#This Row],[ds]]))</f>
        <v>46008</v>
      </c>
      <c r="C359">
        <v>4029</v>
      </c>
      <c r="D359" s="1">
        <v>46008.333333333336</v>
      </c>
      <c r="E359">
        <v>3335.7996750697403</v>
      </c>
      <c r="F359">
        <v>1516.9101124595591</v>
      </c>
      <c r="G359">
        <v>5358.760501021964</v>
      </c>
      <c r="H359" s="1">
        <v>45991.333333333336</v>
      </c>
    </row>
    <row r="360" spans="1:8" x14ac:dyDescent="0.25">
      <c r="A360" s="7">
        <f>DATE(YEAR(m2_crossvalid[[#This Row],[cutoff]]),MONTH(m2_crossvalid[[#This Row],[cutoff]]),DAY(m2_crossvalid[[#This Row],[cutoff]]))</f>
        <v>45991</v>
      </c>
      <c r="B360" s="7">
        <f>DATE(YEAR(m2_crossvalid[[#This Row],[ds]]),MONTH(m2_crossvalid[[#This Row],[ds]]),DAY(m2_crossvalid[[#This Row],[ds]]))</f>
        <v>46009</v>
      </c>
      <c r="C360">
        <v>3874</v>
      </c>
      <c r="D360" s="1">
        <v>46009.333333333336</v>
      </c>
      <c r="E360">
        <v>3588.4211635642423</v>
      </c>
      <c r="F360">
        <v>1612.7964407520669</v>
      </c>
      <c r="G360">
        <v>5644.4289165619848</v>
      </c>
      <c r="H360" s="1">
        <v>45991.333333333336</v>
      </c>
    </row>
    <row r="361" spans="1:8" x14ac:dyDescent="0.25">
      <c r="A361" s="7">
        <f>DATE(YEAR(m2_crossvalid[[#This Row],[cutoff]]),MONTH(m2_crossvalid[[#This Row],[cutoff]]),DAY(m2_crossvalid[[#This Row],[cutoff]]))</f>
        <v>45991</v>
      </c>
      <c r="B361" s="7">
        <f>DATE(YEAR(m2_crossvalid[[#This Row],[ds]]),MONTH(m2_crossvalid[[#This Row],[ds]]),DAY(m2_crossvalid[[#This Row],[ds]]))</f>
        <v>46010</v>
      </c>
      <c r="C361">
        <v>4261</v>
      </c>
      <c r="D361" s="1">
        <v>46010.333333333336</v>
      </c>
      <c r="E361">
        <v>3589.5783539309941</v>
      </c>
      <c r="F361">
        <v>1564.2608232287976</v>
      </c>
      <c r="G361">
        <v>5706.5055913526894</v>
      </c>
      <c r="H361" s="1">
        <v>45991.333333333336</v>
      </c>
    </row>
    <row r="362" spans="1:8" x14ac:dyDescent="0.25">
      <c r="A362" s="7">
        <f>DATE(YEAR(m2_crossvalid[[#This Row],[cutoff]]),MONTH(m2_crossvalid[[#This Row],[cutoff]]),DAY(m2_crossvalid[[#This Row],[cutoff]]))</f>
        <v>45991</v>
      </c>
      <c r="B362" s="7">
        <f>DATE(YEAR(m2_crossvalid[[#This Row],[ds]]),MONTH(m2_crossvalid[[#This Row],[ds]]),DAY(m2_crossvalid[[#This Row],[ds]]))</f>
        <v>46011</v>
      </c>
      <c r="C362">
        <v>999</v>
      </c>
      <c r="D362" s="1">
        <v>46011.333333333336</v>
      </c>
      <c r="E362">
        <v>1215.1895349312506</v>
      </c>
      <c r="F362">
        <v>-669.77929547336942</v>
      </c>
      <c r="G362">
        <v>3091.3538267706808</v>
      </c>
      <c r="H362" s="1">
        <v>45991.333333333336</v>
      </c>
    </row>
    <row r="363" spans="1:8" x14ac:dyDescent="0.25">
      <c r="A363" s="7">
        <f>DATE(YEAR(m2_crossvalid[[#This Row],[cutoff]]),MONTH(m2_crossvalid[[#This Row],[cutoff]]),DAY(m2_crossvalid[[#This Row],[cutoff]]))</f>
        <v>45991</v>
      </c>
      <c r="B363" s="7">
        <f>DATE(YEAR(m2_crossvalid[[#This Row],[ds]]),MONTH(m2_crossvalid[[#This Row],[ds]]),DAY(m2_crossvalid[[#This Row],[ds]]))</f>
        <v>46012</v>
      </c>
      <c r="C363">
        <v>251</v>
      </c>
      <c r="D363" s="1">
        <v>46012.333333333336</v>
      </c>
      <c r="E363">
        <v>641.11263241945767</v>
      </c>
      <c r="F363">
        <v>-1503.0637041724021</v>
      </c>
      <c r="G363">
        <v>2610.3755721516713</v>
      </c>
      <c r="H363" s="1">
        <v>45991.333333333336</v>
      </c>
    </row>
    <row r="364" spans="1:8" x14ac:dyDescent="0.25">
      <c r="A364" s="7">
        <f>DATE(YEAR(m2_crossvalid[[#This Row],[cutoff]]),MONTH(m2_crossvalid[[#This Row],[cutoff]]),DAY(m2_crossvalid[[#This Row],[cutoff]]))</f>
        <v>45991</v>
      </c>
      <c r="B364" s="7">
        <f>DATE(YEAR(m2_crossvalid[[#This Row],[ds]]),MONTH(m2_crossvalid[[#This Row],[ds]]),DAY(m2_crossvalid[[#This Row],[ds]]))</f>
        <v>46013</v>
      </c>
      <c r="C364">
        <v>4791</v>
      </c>
      <c r="D364" s="1">
        <v>46013.333333333336</v>
      </c>
      <c r="E364">
        <v>3164.4401759272978</v>
      </c>
      <c r="F364">
        <v>1058.2642105231409</v>
      </c>
      <c r="G364">
        <v>5035.1518483067784</v>
      </c>
      <c r="H364" s="1">
        <v>45991.333333333336</v>
      </c>
    </row>
    <row r="365" spans="1:8" x14ac:dyDescent="0.25">
      <c r="A365" s="7">
        <f>DATE(YEAR(m2_crossvalid[[#This Row],[cutoff]]),MONTH(m2_crossvalid[[#This Row],[cutoff]]),DAY(m2_crossvalid[[#This Row],[cutoff]]))</f>
        <v>45991</v>
      </c>
      <c r="B365" s="7">
        <f>DATE(YEAR(m2_crossvalid[[#This Row],[ds]]),MONTH(m2_crossvalid[[#This Row],[ds]]),DAY(m2_crossvalid[[#This Row],[ds]]))</f>
        <v>46014</v>
      </c>
      <c r="C365">
        <v>5802</v>
      </c>
      <c r="D365" s="1">
        <v>46014.333333333336</v>
      </c>
      <c r="E365">
        <v>3968.5216941917342</v>
      </c>
      <c r="F365">
        <v>1976.9837991884012</v>
      </c>
      <c r="G365">
        <v>5974.2987139090728</v>
      </c>
      <c r="H365" s="1">
        <v>45991.333333333336</v>
      </c>
    </row>
    <row r="366" spans="1:8" x14ac:dyDescent="0.25">
      <c r="A366" s="7">
        <f>DATE(YEAR(m2_crossvalid[[#This Row],[cutoff]]),MONTH(m2_crossvalid[[#This Row],[cutoff]]),DAY(m2_crossvalid[[#This Row],[cutoff]]))</f>
        <v>45991</v>
      </c>
      <c r="B366" s="7">
        <f>DATE(YEAR(m2_crossvalid[[#This Row],[ds]]),MONTH(m2_crossvalid[[#This Row],[ds]]),DAY(m2_crossvalid[[#This Row],[ds]]))</f>
        <v>46015</v>
      </c>
      <c r="C366">
        <v>6117</v>
      </c>
      <c r="D366" s="1">
        <v>46015.333333333336</v>
      </c>
      <c r="E366">
        <v>4151.8665394982554</v>
      </c>
      <c r="F366">
        <v>2215.9937276936275</v>
      </c>
      <c r="G366">
        <v>6118.9398866235579</v>
      </c>
      <c r="H366" s="1">
        <v>45991.333333333336</v>
      </c>
    </row>
    <row r="367" spans="1:8" x14ac:dyDescent="0.25">
      <c r="A367" s="7">
        <f>DATE(YEAR(m2_crossvalid[[#This Row],[cutoff]]),MONTH(m2_crossvalid[[#This Row],[cutoff]]),DAY(m2_crossvalid[[#This Row],[cutoff]]))</f>
        <v>45991</v>
      </c>
      <c r="B367" s="7">
        <f>DATE(YEAR(m2_crossvalid[[#This Row],[ds]]),MONTH(m2_crossvalid[[#This Row],[ds]]),DAY(m2_crossvalid[[#This Row],[ds]]))</f>
        <v>46016</v>
      </c>
      <c r="C367">
        <v>400</v>
      </c>
      <c r="D367" s="1">
        <v>46016.333333333336</v>
      </c>
      <c r="E367">
        <v>4152.3168967921956</v>
      </c>
      <c r="F367">
        <v>2109.507656526458</v>
      </c>
      <c r="G367">
        <v>6239.4928704370022</v>
      </c>
      <c r="H367" s="1">
        <v>45991.333333333336</v>
      </c>
    </row>
    <row r="368" spans="1:8" x14ac:dyDescent="0.25">
      <c r="A368" s="7">
        <f>DATE(YEAR(m2_crossvalid[[#This Row],[cutoff]]),MONTH(m2_crossvalid[[#This Row],[cutoff]]),DAY(m2_crossvalid[[#This Row],[cutoff]]))</f>
        <v>45991</v>
      </c>
      <c r="B368" s="7">
        <f>DATE(YEAR(m2_crossvalid[[#This Row],[ds]]),MONTH(m2_crossvalid[[#This Row],[ds]]),DAY(m2_crossvalid[[#This Row],[ds]]))</f>
        <v>46017</v>
      </c>
      <c r="C368">
        <v>6559</v>
      </c>
      <c r="D368" s="1">
        <v>46017.333333333336</v>
      </c>
      <c r="E368">
        <v>4067.0930460091413</v>
      </c>
      <c r="F368">
        <v>2079.116374127213</v>
      </c>
      <c r="G368">
        <v>6051.022890140227</v>
      </c>
      <c r="H368" s="1">
        <v>45991.333333333336</v>
      </c>
    </row>
    <row r="369" spans="1:8" x14ac:dyDescent="0.25">
      <c r="A369" s="7">
        <f>DATE(YEAR(m2_crossvalid[[#This Row],[cutoff]]),MONTH(m2_crossvalid[[#This Row],[cutoff]]),DAY(m2_crossvalid[[#This Row],[cutoff]]))</f>
        <v>45991</v>
      </c>
      <c r="B369" s="7">
        <f>DATE(YEAR(m2_crossvalid[[#This Row],[ds]]),MONTH(m2_crossvalid[[#This Row],[ds]]),DAY(m2_crossvalid[[#This Row],[ds]]))</f>
        <v>46018</v>
      </c>
      <c r="C369">
        <v>1928</v>
      </c>
      <c r="D369" s="1">
        <v>46018.333333333336</v>
      </c>
      <c r="E369">
        <v>2102.452060165027</v>
      </c>
      <c r="F369">
        <v>104.36638885391017</v>
      </c>
      <c r="G369">
        <v>4073.5807696514985</v>
      </c>
      <c r="H369" s="1">
        <v>45991.333333333336</v>
      </c>
    </row>
    <row r="370" spans="1:8" x14ac:dyDescent="0.25">
      <c r="A370" s="7">
        <f>DATE(YEAR(m2_crossvalid[[#This Row],[cutoff]]),MONTH(m2_crossvalid[[#This Row],[cutoff]]),DAY(m2_crossvalid[[#This Row],[cutoff]]))</f>
        <v>45991</v>
      </c>
      <c r="B370" s="7">
        <f>DATE(YEAR(m2_crossvalid[[#This Row],[ds]]),MONTH(m2_crossvalid[[#This Row],[ds]]),DAY(m2_crossvalid[[#This Row],[ds]]))</f>
        <v>46019</v>
      </c>
      <c r="C370">
        <v>428</v>
      </c>
      <c r="D370" s="1">
        <v>46019.333333333336</v>
      </c>
      <c r="E370">
        <v>2407.7536211088373</v>
      </c>
      <c r="F370">
        <v>333.96684856871383</v>
      </c>
      <c r="G370">
        <v>4334.6968172899678</v>
      </c>
      <c r="H370" s="1">
        <v>45991.333333333336</v>
      </c>
    </row>
    <row r="371" spans="1:8" x14ac:dyDescent="0.25">
      <c r="A371" s="7">
        <f>DATE(YEAR(m2_crossvalid[[#This Row],[cutoff]]),MONTH(m2_crossvalid[[#This Row],[cutoff]]),DAY(m2_crossvalid[[#This Row],[cutoff]]))</f>
        <v>45991</v>
      </c>
      <c r="B371" s="7">
        <f>DATE(YEAR(m2_crossvalid[[#This Row],[ds]]),MONTH(m2_crossvalid[[#This Row],[ds]]),DAY(m2_crossvalid[[#This Row],[ds]]))</f>
        <v>46020</v>
      </c>
      <c r="C371">
        <v>7441</v>
      </c>
      <c r="D371" s="1">
        <v>46020.333333333336</v>
      </c>
      <c r="E371">
        <v>5837.0487324829646</v>
      </c>
      <c r="F371">
        <v>3806.3595941829194</v>
      </c>
      <c r="G371">
        <v>7787.9643125294569</v>
      </c>
      <c r="H371" s="1">
        <v>45991.333333333336</v>
      </c>
    </row>
    <row r="372" spans="1:8" x14ac:dyDescent="0.25">
      <c r="A372" s="7">
        <f>DATE(YEAR(m2_crossvalid[[#This Row],[cutoff]]),MONTH(m2_crossvalid[[#This Row],[cutoff]]),DAY(m2_crossvalid[[#This Row],[cutoff]]))</f>
        <v>45991</v>
      </c>
      <c r="B372" s="7">
        <f>DATE(YEAR(m2_crossvalid[[#This Row],[ds]]),MONTH(m2_crossvalid[[#This Row],[ds]]),DAY(m2_crossvalid[[#This Row],[ds]]))</f>
        <v>46021</v>
      </c>
      <c r="C372">
        <v>10603</v>
      </c>
      <c r="D372" s="1">
        <v>46021.333333333336</v>
      </c>
      <c r="E372">
        <v>6988.3852376833383</v>
      </c>
      <c r="F372">
        <v>4954.3248542453121</v>
      </c>
      <c r="G372">
        <v>8996.2260476940683</v>
      </c>
      <c r="H372" s="1">
        <v>45991.333333333336</v>
      </c>
    </row>
    <row r="373" spans="1:8" x14ac:dyDescent="0.25">
      <c r="A373" s="7">
        <f>DATE(YEAR(m2_crossvalid[[#This Row],[cutoff]]),MONTH(m2_crossvalid[[#This Row],[cutoff]]),DAY(m2_crossvalid[[#This Row],[cutoff]]))</f>
        <v>45991</v>
      </c>
      <c r="B373" s="7">
        <f>DATE(YEAR(m2_crossvalid[[#This Row],[ds]]),MONTH(m2_crossvalid[[#This Row],[ds]]),DAY(m2_crossvalid[[#This Row],[ds]]))</f>
        <v>46022</v>
      </c>
      <c r="C373">
        <v>15370</v>
      </c>
      <c r="D373" s="1">
        <v>46022.333333333336</v>
      </c>
      <c r="E373">
        <v>6614.0205507265036</v>
      </c>
      <c r="F373">
        <v>4625.1011183526107</v>
      </c>
      <c r="G373">
        <v>8640.8093764538189</v>
      </c>
      <c r="H373" s="1">
        <v>45991.333333333336</v>
      </c>
    </row>
    <row r="374" spans="1:8" x14ac:dyDescent="0.25">
      <c r="A374" s="7">
        <f>DATE(YEAR(m2_crossvalid[[#This Row],[cutoff]]),MONTH(m2_crossvalid[[#This Row],[cutoff]]),DAY(m2_crossvalid[[#This Row],[cutoff]]))</f>
        <v>46022</v>
      </c>
      <c r="B374" s="7">
        <f>DATE(YEAR(m2_crossvalid[[#This Row],[ds]]),MONTH(m2_crossvalid[[#This Row],[ds]]),DAY(m2_crossvalid[[#This Row],[ds]]))</f>
        <v>46023</v>
      </c>
      <c r="C374">
        <v>2584</v>
      </c>
      <c r="D374" s="1">
        <v>46023.333333333336</v>
      </c>
      <c r="E374">
        <v>5449.0790754581958</v>
      </c>
      <c r="F374">
        <v>3377.3090663906924</v>
      </c>
      <c r="G374">
        <v>7564.3156787528633</v>
      </c>
      <c r="H374" s="1">
        <v>46022.333333333336</v>
      </c>
    </row>
    <row r="375" spans="1:8" x14ac:dyDescent="0.25">
      <c r="A375" s="7">
        <f>DATE(YEAR(m2_crossvalid[[#This Row],[cutoff]]),MONTH(m2_crossvalid[[#This Row],[cutoff]]),DAY(m2_crossvalid[[#This Row],[cutoff]]))</f>
        <v>46022</v>
      </c>
      <c r="B375" s="7">
        <f>DATE(YEAR(m2_crossvalid[[#This Row],[ds]]),MONTH(m2_crossvalid[[#This Row],[ds]]),DAY(m2_crossvalid[[#This Row],[ds]]))</f>
        <v>46024</v>
      </c>
      <c r="C375">
        <v>1536</v>
      </c>
      <c r="D375" s="1">
        <v>46024.333333333336</v>
      </c>
      <c r="E375">
        <v>3534.8028527138868</v>
      </c>
      <c r="F375">
        <v>1514.9860512554628</v>
      </c>
      <c r="G375">
        <v>5496.4762082480847</v>
      </c>
      <c r="H375" s="1">
        <v>46022.333333333336</v>
      </c>
    </row>
    <row r="376" spans="1:8" x14ac:dyDescent="0.25">
      <c r="A376" s="7">
        <f>DATE(YEAR(m2_crossvalid[[#This Row],[cutoff]]),MONTH(m2_crossvalid[[#This Row],[cutoff]]),DAY(m2_crossvalid[[#This Row],[cutoff]]))</f>
        <v>46022</v>
      </c>
      <c r="B376" s="7">
        <f>DATE(YEAR(m2_crossvalid[[#This Row],[ds]]),MONTH(m2_crossvalid[[#This Row],[ds]]),DAY(m2_crossvalid[[#This Row],[ds]]))</f>
        <v>46025</v>
      </c>
      <c r="C376">
        <v>80</v>
      </c>
      <c r="D376" s="1">
        <v>46025.333333333336</v>
      </c>
      <c r="E376">
        <v>-281.91090465374737</v>
      </c>
      <c r="F376">
        <v>-2174.0446423850349</v>
      </c>
      <c r="G376">
        <v>1739.6477615185124</v>
      </c>
      <c r="H376" s="1">
        <v>46022.333333333336</v>
      </c>
    </row>
    <row r="377" spans="1:8" x14ac:dyDescent="0.25">
      <c r="A377" s="7">
        <f>DATE(YEAR(m2_crossvalid[[#This Row],[cutoff]]),MONTH(m2_crossvalid[[#This Row],[cutoff]]),DAY(m2_crossvalid[[#This Row],[cutoff]]))</f>
        <v>46022</v>
      </c>
      <c r="B377" s="7">
        <f>DATE(YEAR(m2_crossvalid[[#This Row],[ds]]),MONTH(m2_crossvalid[[#This Row],[ds]]),DAY(m2_crossvalid[[#This Row],[ds]]))</f>
        <v>46026</v>
      </c>
      <c r="C377">
        <v>17</v>
      </c>
      <c r="D377" s="1">
        <v>46026.333333333336</v>
      </c>
      <c r="E377">
        <v>-1483.8048980866479</v>
      </c>
      <c r="F377">
        <v>-3385.610365880927</v>
      </c>
      <c r="G377">
        <v>496.84418480668086</v>
      </c>
      <c r="H377" s="1">
        <v>46022.333333333336</v>
      </c>
    </row>
    <row r="378" spans="1:8" x14ac:dyDescent="0.25">
      <c r="A378" s="7">
        <f>DATE(YEAR(m2_crossvalid[[#This Row],[cutoff]]),MONTH(m2_crossvalid[[#This Row],[cutoff]]),DAY(m2_crossvalid[[#This Row],[cutoff]]))</f>
        <v>46022</v>
      </c>
      <c r="B378" s="7">
        <f>DATE(YEAR(m2_crossvalid[[#This Row],[ds]]),MONTH(m2_crossvalid[[#This Row],[ds]]),DAY(m2_crossvalid[[#This Row],[ds]]))</f>
        <v>46027</v>
      </c>
      <c r="C378">
        <v>340</v>
      </c>
      <c r="D378" s="1">
        <v>46027.333333333336</v>
      </c>
      <c r="E378">
        <v>968.90699319210603</v>
      </c>
      <c r="F378">
        <v>-1153.5560472958348</v>
      </c>
      <c r="G378">
        <v>3045.195596376655</v>
      </c>
      <c r="H378" s="1">
        <v>46022.333333333336</v>
      </c>
    </row>
    <row r="379" spans="1:8" x14ac:dyDescent="0.25">
      <c r="A379" s="7">
        <f>DATE(YEAR(m2_crossvalid[[#This Row],[cutoff]]),MONTH(m2_crossvalid[[#This Row],[cutoff]]),DAY(m2_crossvalid[[#This Row],[cutoff]]))</f>
        <v>46022</v>
      </c>
      <c r="B379" s="7">
        <f>DATE(YEAR(m2_crossvalid[[#This Row],[ds]]),MONTH(m2_crossvalid[[#This Row],[ds]]),DAY(m2_crossvalid[[#This Row],[ds]]))</f>
        <v>46028</v>
      </c>
      <c r="C379">
        <v>485</v>
      </c>
      <c r="D379" s="1">
        <v>46028.333333333336</v>
      </c>
      <c r="E379">
        <v>1851.7144632405375</v>
      </c>
      <c r="F379">
        <v>-98.175833833359903</v>
      </c>
      <c r="G379">
        <v>3912.9891815005194</v>
      </c>
      <c r="H379" s="1">
        <v>46022.333333333336</v>
      </c>
    </row>
    <row r="380" spans="1:8" x14ac:dyDescent="0.25">
      <c r="A380" s="7">
        <f>DATE(YEAR(m2_crossvalid[[#This Row],[cutoff]]),MONTH(m2_crossvalid[[#This Row],[cutoff]]),DAY(m2_crossvalid[[#This Row],[cutoff]]))</f>
        <v>46022</v>
      </c>
      <c r="B380" s="7">
        <f>DATE(YEAR(m2_crossvalid[[#This Row],[ds]]),MONTH(m2_crossvalid[[#This Row],[ds]]),DAY(m2_crossvalid[[#This Row],[ds]]))</f>
        <v>46029</v>
      </c>
      <c r="C380">
        <v>532</v>
      </c>
      <c r="D380" s="1">
        <v>46029.333333333336</v>
      </c>
      <c r="E380">
        <v>2065.6256325747386</v>
      </c>
      <c r="F380">
        <v>82.208915087134287</v>
      </c>
      <c r="G380">
        <v>3974.2211877020886</v>
      </c>
      <c r="H380" s="1">
        <v>46022.333333333336</v>
      </c>
    </row>
    <row r="381" spans="1:8" x14ac:dyDescent="0.25">
      <c r="A381" s="7">
        <f>DATE(YEAR(m2_crossvalid[[#This Row],[cutoff]]),MONTH(m2_crossvalid[[#This Row],[cutoff]]),DAY(m2_crossvalid[[#This Row],[cutoff]]))</f>
        <v>46022</v>
      </c>
      <c r="B381" s="7">
        <f>DATE(YEAR(m2_crossvalid[[#This Row],[ds]]),MONTH(m2_crossvalid[[#This Row],[ds]]),DAY(m2_crossvalid[[#This Row],[ds]]))</f>
        <v>46030</v>
      </c>
      <c r="C381">
        <v>659</v>
      </c>
      <c r="D381" s="1">
        <v>46030.333333333336</v>
      </c>
      <c r="E381">
        <v>1946.9964591613116</v>
      </c>
      <c r="F381">
        <v>40.96080375483217</v>
      </c>
      <c r="G381">
        <v>4034.6363677669488</v>
      </c>
      <c r="H381" s="1">
        <v>46022.333333333336</v>
      </c>
    </row>
    <row r="382" spans="1:8" x14ac:dyDescent="0.25">
      <c r="A382" s="7">
        <f>DATE(YEAR(m2_crossvalid[[#This Row],[cutoff]]),MONTH(m2_crossvalid[[#This Row],[cutoff]]),DAY(m2_crossvalid[[#This Row],[cutoff]]))</f>
        <v>46022</v>
      </c>
      <c r="B382" s="7">
        <f>DATE(YEAR(m2_crossvalid[[#This Row],[ds]]),MONTH(m2_crossvalid[[#This Row],[ds]]),DAY(m2_crossvalid[[#This Row],[ds]]))</f>
        <v>46031</v>
      </c>
      <c r="C382">
        <v>787</v>
      </c>
      <c r="D382" s="1">
        <v>46031.333333333336</v>
      </c>
      <c r="E382">
        <v>1820.5697191971467</v>
      </c>
      <c r="F382">
        <v>-60.012625407148072</v>
      </c>
      <c r="G382">
        <v>3801.9863139163426</v>
      </c>
      <c r="H382" s="1">
        <v>46022.333333333336</v>
      </c>
    </row>
    <row r="383" spans="1:8" x14ac:dyDescent="0.25">
      <c r="A383" s="7">
        <f>DATE(YEAR(m2_crossvalid[[#This Row],[cutoff]]),MONTH(m2_crossvalid[[#This Row],[cutoff]]),DAY(m2_crossvalid[[#This Row],[cutoff]]))</f>
        <v>46022</v>
      </c>
      <c r="B383" s="7">
        <f>DATE(YEAR(m2_crossvalid[[#This Row],[ds]]),MONTH(m2_crossvalid[[#This Row],[ds]]),DAY(m2_crossvalid[[#This Row],[ds]]))</f>
        <v>46032</v>
      </c>
      <c r="C383">
        <v>137</v>
      </c>
      <c r="D383" s="1">
        <v>46032.333333333336</v>
      </c>
      <c r="E383">
        <v>-440.62021101368464</v>
      </c>
      <c r="F383">
        <v>-2558.6465973633676</v>
      </c>
      <c r="G383">
        <v>1535.561112475993</v>
      </c>
      <c r="H383" s="1">
        <v>46022.333333333336</v>
      </c>
    </row>
    <row r="384" spans="1:8" x14ac:dyDescent="0.25">
      <c r="A384" s="7">
        <f>DATE(YEAR(m2_crossvalid[[#This Row],[cutoff]]),MONTH(m2_crossvalid[[#This Row],[cutoff]]),DAY(m2_crossvalid[[#This Row],[cutoff]]))</f>
        <v>46022</v>
      </c>
      <c r="B384" s="7">
        <f>DATE(YEAR(m2_crossvalid[[#This Row],[ds]]),MONTH(m2_crossvalid[[#This Row],[ds]]),DAY(m2_crossvalid[[#This Row],[ds]]))</f>
        <v>46033</v>
      </c>
      <c r="C384">
        <v>44</v>
      </c>
      <c r="D384" s="1">
        <v>46033.333333333336</v>
      </c>
      <c r="E384">
        <v>-818.46055724040161</v>
      </c>
      <c r="F384">
        <v>-2991.9892201338766</v>
      </c>
      <c r="G384">
        <v>1183.460412429969</v>
      </c>
      <c r="H384" s="1">
        <v>46022.333333333336</v>
      </c>
    </row>
    <row r="385" spans="1:8" x14ac:dyDescent="0.25">
      <c r="A385" s="7">
        <f>DATE(YEAR(m2_crossvalid[[#This Row],[cutoff]]),MONTH(m2_crossvalid[[#This Row],[cutoff]]),DAY(m2_crossvalid[[#This Row],[cutoff]]))</f>
        <v>46022</v>
      </c>
      <c r="B385" s="7">
        <f>DATE(YEAR(m2_crossvalid[[#This Row],[ds]]),MONTH(m2_crossvalid[[#This Row],[ds]]),DAY(m2_crossvalid[[#This Row],[ds]]))</f>
        <v>46034</v>
      </c>
      <c r="C385">
        <v>779</v>
      </c>
      <c r="D385" s="1">
        <v>46034.333333333336</v>
      </c>
      <c r="E385">
        <v>1671.7376974462136</v>
      </c>
      <c r="F385">
        <v>-232.04996165938687</v>
      </c>
      <c r="G385">
        <v>3645.8645917523181</v>
      </c>
      <c r="H385" s="1">
        <v>46022.333333333336</v>
      </c>
    </row>
    <row r="386" spans="1:8" x14ac:dyDescent="0.25">
      <c r="A386" s="7">
        <f>DATE(YEAR(m2_crossvalid[[#This Row],[cutoff]]),MONTH(m2_crossvalid[[#This Row],[cutoff]]),DAY(m2_crossvalid[[#This Row],[cutoff]]))</f>
        <v>46022</v>
      </c>
      <c r="B386" s="7">
        <f>DATE(YEAR(m2_crossvalid[[#This Row],[ds]]),MONTH(m2_crossvalid[[#This Row],[ds]]),DAY(m2_crossvalid[[#This Row],[ds]]))</f>
        <v>46035</v>
      </c>
      <c r="C386">
        <v>1113</v>
      </c>
      <c r="D386" s="1">
        <v>46035.333333333336</v>
      </c>
      <c r="E386">
        <v>2197.7904093045818</v>
      </c>
      <c r="F386">
        <v>143.0065804303205</v>
      </c>
      <c r="G386">
        <v>4207.0798572458489</v>
      </c>
      <c r="H386" s="1">
        <v>46022.333333333336</v>
      </c>
    </row>
    <row r="387" spans="1:8" x14ac:dyDescent="0.25">
      <c r="A387" s="7">
        <f>DATE(YEAR(m2_crossvalid[[#This Row],[cutoff]]),MONTH(m2_crossvalid[[#This Row],[cutoff]]),DAY(m2_crossvalid[[#This Row],[cutoff]]))</f>
        <v>46022</v>
      </c>
      <c r="B387" s="7">
        <f>DATE(YEAR(m2_crossvalid[[#This Row],[ds]]),MONTH(m2_crossvalid[[#This Row],[ds]]),DAY(m2_crossvalid[[#This Row],[ds]]))</f>
        <v>46036</v>
      </c>
      <c r="C387">
        <v>1419</v>
      </c>
      <c r="D387" s="1">
        <v>46036.333333333336</v>
      </c>
      <c r="E387">
        <v>2172.5237071323309</v>
      </c>
      <c r="F387">
        <v>100.42313811971601</v>
      </c>
      <c r="G387">
        <v>4105.8672708878057</v>
      </c>
      <c r="H387" s="1">
        <v>46022.333333333336</v>
      </c>
    </row>
    <row r="388" spans="1:8" x14ac:dyDescent="0.25">
      <c r="A388" s="7">
        <f>DATE(YEAR(m2_crossvalid[[#This Row],[cutoff]]),MONTH(m2_crossvalid[[#This Row],[cutoff]]),DAY(m2_crossvalid[[#This Row],[cutoff]]))</f>
        <v>46022</v>
      </c>
      <c r="B388" s="7">
        <f>DATE(YEAR(m2_crossvalid[[#This Row],[ds]]),MONTH(m2_crossvalid[[#This Row],[ds]]),DAY(m2_crossvalid[[#This Row],[ds]]))</f>
        <v>46037</v>
      </c>
      <c r="C388">
        <v>1874</v>
      </c>
      <c r="D388" s="1">
        <v>46037.333333333336</v>
      </c>
      <c r="E388">
        <v>2172.7733998432059</v>
      </c>
      <c r="F388">
        <v>85.971557869613008</v>
      </c>
      <c r="G388">
        <v>4142.2285219922851</v>
      </c>
      <c r="H388" s="1">
        <v>46022.333333333336</v>
      </c>
    </row>
    <row r="389" spans="1:8" x14ac:dyDescent="0.25">
      <c r="A389" s="7">
        <f>DATE(YEAR(m2_crossvalid[[#This Row],[cutoff]]),MONTH(m2_crossvalid[[#This Row],[cutoff]]),DAY(m2_crossvalid[[#This Row],[cutoff]]))</f>
        <v>46022</v>
      </c>
      <c r="B389" s="7">
        <f>DATE(YEAR(m2_crossvalid[[#This Row],[ds]]),MONTH(m2_crossvalid[[#This Row],[ds]]),DAY(m2_crossvalid[[#This Row],[ds]]))</f>
        <v>46038</v>
      </c>
      <c r="C389">
        <v>2020</v>
      </c>
      <c r="D389" s="1">
        <v>46038.333333333336</v>
      </c>
      <c r="E389">
        <v>2364.5137066583038</v>
      </c>
      <c r="F389">
        <v>435.05691651834798</v>
      </c>
      <c r="G389">
        <v>4471.2316207118547</v>
      </c>
      <c r="H389" s="1">
        <v>46022.333333333336</v>
      </c>
    </row>
    <row r="390" spans="1:8" x14ac:dyDescent="0.25">
      <c r="A390" s="7">
        <f>DATE(YEAR(m2_crossvalid[[#This Row],[cutoff]]),MONTH(m2_crossvalid[[#This Row],[cutoff]]),DAY(m2_crossvalid[[#This Row],[cutoff]]))</f>
        <v>46022</v>
      </c>
      <c r="B390" s="7">
        <f>DATE(YEAR(m2_crossvalid[[#This Row],[ds]]),MONTH(m2_crossvalid[[#This Row],[ds]]),DAY(m2_crossvalid[[#This Row],[ds]]))</f>
        <v>46039</v>
      </c>
      <c r="C390">
        <v>451</v>
      </c>
      <c r="D390" s="1">
        <v>46039.333333333336</v>
      </c>
      <c r="E390">
        <v>286.77531758350233</v>
      </c>
      <c r="F390">
        <v>-1769.3445118673783</v>
      </c>
      <c r="G390">
        <v>2317.6861731510617</v>
      </c>
      <c r="H390" s="1">
        <v>46022.333333333336</v>
      </c>
    </row>
    <row r="391" spans="1:8" x14ac:dyDescent="0.25">
      <c r="A391" s="7">
        <f>DATE(YEAR(m2_crossvalid[[#This Row],[cutoff]]),MONTH(m2_crossvalid[[#This Row],[cutoff]]),DAY(m2_crossvalid[[#This Row],[cutoff]]))</f>
        <v>46022</v>
      </c>
      <c r="B391" s="7">
        <f>DATE(YEAR(m2_crossvalid[[#This Row],[ds]]),MONTH(m2_crossvalid[[#This Row],[ds]]),DAY(m2_crossvalid[[#This Row],[ds]]))</f>
        <v>46040</v>
      </c>
      <c r="C391">
        <v>76</v>
      </c>
      <c r="D391" s="1">
        <v>46040.333333333336</v>
      </c>
      <c r="E391">
        <v>-202.26848990450253</v>
      </c>
      <c r="F391">
        <v>-2363.7492068196107</v>
      </c>
      <c r="G391">
        <v>1800.7468160510493</v>
      </c>
      <c r="H391" s="1">
        <v>46022.333333333336</v>
      </c>
    </row>
    <row r="392" spans="1:8" x14ac:dyDescent="0.25">
      <c r="A392" s="7">
        <f>DATE(YEAR(m2_crossvalid[[#This Row],[cutoff]]),MONTH(m2_crossvalid[[#This Row],[cutoff]]),DAY(m2_crossvalid[[#This Row],[cutoff]]))</f>
        <v>46022</v>
      </c>
      <c r="B392" s="7">
        <f>DATE(YEAR(m2_crossvalid[[#This Row],[ds]]),MONTH(m2_crossvalid[[#This Row],[ds]]),DAY(m2_crossvalid[[#This Row],[ds]]))</f>
        <v>46041</v>
      </c>
      <c r="C392">
        <v>1963</v>
      </c>
      <c r="D392" s="1">
        <v>46041.333333333336</v>
      </c>
      <c r="E392">
        <v>2042.3882371214077</v>
      </c>
      <c r="F392">
        <v>96.461301531959421</v>
      </c>
      <c r="G392">
        <v>3967.6500308285072</v>
      </c>
      <c r="H392" s="1">
        <v>46022.333333333336</v>
      </c>
    </row>
    <row r="393" spans="1:8" x14ac:dyDescent="0.25">
      <c r="A393" s="7">
        <f>DATE(YEAR(m2_crossvalid[[#This Row],[cutoff]]),MONTH(m2_crossvalid[[#This Row],[cutoff]]),DAY(m2_crossvalid[[#This Row],[cutoff]]))</f>
        <v>46022</v>
      </c>
      <c r="B393" s="7">
        <f>DATE(YEAR(m2_crossvalid[[#This Row],[ds]]),MONTH(m2_crossvalid[[#This Row],[ds]]),DAY(m2_crossvalid[[#This Row],[ds]]))</f>
        <v>46042</v>
      </c>
      <c r="C393">
        <v>2481</v>
      </c>
      <c r="D393" s="1">
        <v>46042.333333333336</v>
      </c>
      <c r="E393">
        <v>2488.8297476348935</v>
      </c>
      <c r="F393">
        <v>429.60012899518279</v>
      </c>
      <c r="G393">
        <v>4520.4847261457408</v>
      </c>
      <c r="H393" s="1">
        <v>46022.333333333336</v>
      </c>
    </row>
    <row r="394" spans="1:8" x14ac:dyDescent="0.25">
      <c r="A394" s="7">
        <f>DATE(YEAR(m2_crossvalid[[#This Row],[cutoff]]),MONTH(m2_crossvalid[[#This Row],[cutoff]]),DAY(m2_crossvalid[[#This Row],[cutoff]]))</f>
        <v>46022</v>
      </c>
      <c r="B394" s="7">
        <f>DATE(YEAR(m2_crossvalid[[#This Row],[ds]]),MONTH(m2_crossvalid[[#This Row],[ds]]),DAY(m2_crossvalid[[#This Row],[ds]]))</f>
        <v>46043</v>
      </c>
      <c r="C394">
        <v>2679</v>
      </c>
      <c r="D394" s="1">
        <v>46043.333333333336</v>
      </c>
      <c r="E394">
        <v>2675.2217077718542</v>
      </c>
      <c r="F394">
        <v>578.30460897293619</v>
      </c>
      <c r="G394">
        <v>4601.1268497443525</v>
      </c>
      <c r="H394" s="1">
        <v>46022.333333333336</v>
      </c>
    </row>
    <row r="395" spans="1:8" x14ac:dyDescent="0.25">
      <c r="A395" s="7">
        <f>DATE(YEAR(m2_crossvalid[[#This Row],[cutoff]]),MONTH(m2_crossvalid[[#This Row],[cutoff]]),DAY(m2_crossvalid[[#This Row],[cutoff]]))</f>
        <v>46022</v>
      </c>
      <c r="B395" s="7">
        <f>DATE(YEAR(m2_crossvalid[[#This Row],[ds]]),MONTH(m2_crossvalid[[#This Row],[ds]]),DAY(m2_crossvalid[[#This Row],[ds]]))</f>
        <v>46044</v>
      </c>
      <c r="C395">
        <v>2830</v>
      </c>
      <c r="D395" s="1">
        <v>46044.333333333336</v>
      </c>
      <c r="E395">
        <v>2996.9926382925819</v>
      </c>
      <c r="F395">
        <v>961.6805473787756</v>
      </c>
      <c r="G395">
        <v>4983.1434598073847</v>
      </c>
      <c r="H395" s="1">
        <v>46022.333333333336</v>
      </c>
    </row>
    <row r="396" spans="1:8" x14ac:dyDescent="0.25">
      <c r="A396" s="7">
        <f>DATE(YEAR(m2_crossvalid[[#This Row],[cutoff]]),MONTH(m2_crossvalid[[#This Row],[cutoff]]),DAY(m2_crossvalid[[#This Row],[cutoff]]))</f>
        <v>46022</v>
      </c>
      <c r="B396" s="7">
        <f>DATE(YEAR(m2_crossvalid[[#This Row],[ds]]),MONTH(m2_crossvalid[[#This Row],[ds]]),DAY(m2_crossvalid[[#This Row],[ds]]))</f>
        <v>46045</v>
      </c>
      <c r="C396">
        <v>3000</v>
      </c>
      <c r="D396" s="1">
        <v>46045.333333333336</v>
      </c>
      <c r="E396">
        <v>3318.7492047815394</v>
      </c>
      <c r="F396">
        <v>1273.4971799284115</v>
      </c>
      <c r="G396">
        <v>5326.8864340436976</v>
      </c>
      <c r="H396" s="1">
        <v>46022.333333333336</v>
      </c>
    </row>
    <row r="397" spans="1:8" x14ac:dyDescent="0.25">
      <c r="A397" s="7">
        <f>DATE(YEAR(m2_crossvalid[[#This Row],[cutoff]]),MONTH(m2_crossvalid[[#This Row],[cutoff]]),DAY(m2_crossvalid[[#This Row],[cutoff]]))</f>
        <v>46022</v>
      </c>
      <c r="B397" s="7">
        <f>DATE(YEAR(m2_crossvalid[[#This Row],[ds]]),MONTH(m2_crossvalid[[#This Row],[ds]]),DAY(m2_crossvalid[[#This Row],[ds]]))</f>
        <v>46046</v>
      </c>
      <c r="C397">
        <v>902</v>
      </c>
      <c r="D397" s="1">
        <v>46046.333333333336</v>
      </c>
      <c r="E397">
        <v>1084.9380402562604</v>
      </c>
      <c r="F397">
        <v>-861.65331858689672</v>
      </c>
      <c r="G397">
        <v>3286.8027591586883</v>
      </c>
      <c r="H397" s="1">
        <v>46022.333333333336</v>
      </c>
    </row>
    <row r="398" spans="1:8" x14ac:dyDescent="0.25">
      <c r="A398" s="7">
        <f>DATE(YEAR(m2_crossvalid[[#This Row],[cutoff]]),MONTH(m2_crossvalid[[#This Row],[cutoff]]),DAY(m2_crossvalid[[#This Row],[cutoff]]))</f>
        <v>46022</v>
      </c>
      <c r="B398" s="7">
        <f>DATE(YEAR(m2_crossvalid[[#This Row],[ds]]),MONTH(m2_crossvalid[[#This Row],[ds]]),DAY(m2_crossvalid[[#This Row],[ds]]))</f>
        <v>46047</v>
      </c>
      <c r="C398">
        <v>150</v>
      </c>
      <c r="D398" s="1">
        <v>46047.333333333336</v>
      </c>
      <c r="E398">
        <v>409.34074355968551</v>
      </c>
      <c r="F398">
        <v>-1580.5846440259536</v>
      </c>
      <c r="G398">
        <v>2302.5535669543324</v>
      </c>
      <c r="H398" s="1">
        <v>46022.333333333336</v>
      </c>
    </row>
    <row r="399" spans="1:8" x14ac:dyDescent="0.25">
      <c r="A399" s="7">
        <f>DATE(YEAR(m2_crossvalid[[#This Row],[cutoff]]),MONTH(m2_crossvalid[[#This Row],[cutoff]]),DAY(m2_crossvalid[[#This Row],[cutoff]]))</f>
        <v>46022</v>
      </c>
      <c r="B399" s="7">
        <f>DATE(YEAR(m2_crossvalid[[#This Row],[ds]]),MONTH(m2_crossvalid[[#This Row],[ds]]),DAY(m2_crossvalid[[#This Row],[ds]]))</f>
        <v>46048</v>
      </c>
      <c r="C399">
        <v>3603</v>
      </c>
      <c r="D399" s="1">
        <v>46048.333333333336</v>
      </c>
      <c r="E399">
        <v>2844.4035904909406</v>
      </c>
      <c r="F399">
        <v>810.91207720680814</v>
      </c>
      <c r="G399">
        <v>4891.1326775256657</v>
      </c>
      <c r="H399" s="1">
        <v>46022.333333333336</v>
      </c>
    </row>
    <row r="400" spans="1:8" x14ac:dyDescent="0.25">
      <c r="A400" s="7">
        <f>DATE(YEAR(m2_crossvalid[[#This Row],[cutoff]]),MONTH(m2_crossvalid[[#This Row],[cutoff]]),DAY(m2_crossvalid[[#This Row],[cutoff]]))</f>
        <v>46022</v>
      </c>
      <c r="B400" s="7">
        <f>DATE(YEAR(m2_crossvalid[[#This Row],[ds]]),MONTH(m2_crossvalid[[#This Row],[ds]]),DAY(m2_crossvalid[[#This Row],[ds]]))</f>
        <v>46049</v>
      </c>
      <c r="C400">
        <v>4548</v>
      </c>
      <c r="D400" s="1">
        <v>46049.333333333336</v>
      </c>
      <c r="E400">
        <v>4038.9489674095958</v>
      </c>
      <c r="F400">
        <v>1974.6326251773733</v>
      </c>
      <c r="G400">
        <v>6088.0460511492147</v>
      </c>
      <c r="H400" s="1">
        <v>46022.333333333336</v>
      </c>
    </row>
    <row r="401" spans="1:8" x14ac:dyDescent="0.25">
      <c r="A401" s="7">
        <f>DATE(YEAR(m2_crossvalid[[#This Row],[cutoff]]),MONTH(m2_crossvalid[[#This Row],[cutoff]]),DAY(m2_crossvalid[[#This Row],[cutoff]]))</f>
        <v>46022</v>
      </c>
      <c r="B401" s="7">
        <f>DATE(YEAR(m2_crossvalid[[#This Row],[ds]]),MONTH(m2_crossvalid[[#This Row],[ds]]),DAY(m2_crossvalid[[#This Row],[ds]]))</f>
        <v>46050</v>
      </c>
      <c r="C401">
        <v>5313</v>
      </c>
      <c r="D401" s="1">
        <v>46050.333333333336</v>
      </c>
      <c r="E401">
        <v>5262.4512763748226</v>
      </c>
      <c r="F401">
        <v>3327.6003611536853</v>
      </c>
      <c r="G401">
        <v>7324.1892114885413</v>
      </c>
      <c r="H401" s="1">
        <v>46022.333333333336</v>
      </c>
    </row>
    <row r="402" spans="1:8" x14ac:dyDescent="0.25">
      <c r="A402" s="7">
        <f>DATE(YEAR(m2_crossvalid[[#This Row],[cutoff]]),MONTH(m2_crossvalid[[#This Row],[cutoff]]),DAY(m2_crossvalid[[#This Row],[cutoff]]))</f>
        <v>46022</v>
      </c>
      <c r="B402" s="7">
        <f>DATE(YEAR(m2_crossvalid[[#This Row],[ds]]),MONTH(m2_crossvalid[[#This Row],[ds]]),DAY(m2_crossvalid[[#This Row],[ds]]))</f>
        <v>46051</v>
      </c>
      <c r="C402">
        <v>7326</v>
      </c>
      <c r="D402" s="1">
        <v>46051.333333333336</v>
      </c>
      <c r="E402">
        <v>6328.0298200567813</v>
      </c>
      <c r="F402">
        <v>4339.5981997369163</v>
      </c>
      <c r="G402">
        <v>8403.674756230399</v>
      </c>
      <c r="H402" s="1">
        <v>46022.333333333336</v>
      </c>
    </row>
    <row r="403" spans="1:8" x14ac:dyDescent="0.25">
      <c r="A403" s="7">
        <f>DATE(YEAR(m2_crossvalid[[#This Row],[cutoff]]),MONTH(m2_crossvalid[[#This Row],[cutoff]]),DAY(m2_crossvalid[[#This Row],[cutoff]]))</f>
        <v>46022</v>
      </c>
      <c r="B403" s="7">
        <f>DATE(YEAR(m2_crossvalid[[#This Row],[ds]]),MONTH(m2_crossvalid[[#This Row],[ds]]),DAY(m2_crossvalid[[#This Row],[ds]]))</f>
        <v>46052</v>
      </c>
      <c r="C403">
        <v>10276</v>
      </c>
      <c r="D403" s="1">
        <v>46052.333333333336</v>
      </c>
      <c r="E403">
        <v>6587.632315054987</v>
      </c>
      <c r="F403">
        <v>4487.5279856169336</v>
      </c>
      <c r="G403">
        <v>8645.6753853406026</v>
      </c>
      <c r="H403" s="1">
        <v>46022.333333333336</v>
      </c>
    </row>
    <row r="404" spans="1:8" x14ac:dyDescent="0.25">
      <c r="A404" s="7">
        <f>DATE(YEAR(m2_crossvalid[[#This Row],[cutoff]]),MONTH(m2_crossvalid[[#This Row],[cutoff]]),DAY(m2_crossvalid[[#This Row],[cutoff]]))</f>
        <v>46022</v>
      </c>
      <c r="B404" s="7">
        <f>DATE(YEAR(m2_crossvalid[[#This Row],[ds]]),MONTH(m2_crossvalid[[#This Row],[ds]]),DAY(m2_crossvalid[[#This Row],[ds]]))</f>
        <v>46053</v>
      </c>
      <c r="C404">
        <v>7991</v>
      </c>
      <c r="D404" s="1">
        <v>46053.333333333336</v>
      </c>
      <c r="E404">
        <v>3358.7386269427684</v>
      </c>
      <c r="F404">
        <v>1378.1615400998705</v>
      </c>
      <c r="G404">
        <v>5492.0471803697783</v>
      </c>
      <c r="H404" s="1">
        <v>46022.333333333336</v>
      </c>
    </row>
    <row r="405" spans="1:8" x14ac:dyDescent="0.25">
      <c r="A405" s="7">
        <f>DATE(YEAR(m2_crossvalid[[#This Row],[cutoff]]),MONTH(m2_crossvalid[[#This Row],[cutoff]]),DAY(m2_crossvalid[[#This Row],[cutoff]]))</f>
        <v>46053</v>
      </c>
      <c r="B405" s="7">
        <f>DATE(YEAR(m2_crossvalid[[#This Row],[ds]]),MONTH(m2_crossvalid[[#This Row],[ds]]),DAY(m2_crossvalid[[#This Row],[ds]]))</f>
        <v>46054</v>
      </c>
      <c r="C405">
        <v>26</v>
      </c>
      <c r="D405" s="1">
        <v>46054.333333333336</v>
      </c>
      <c r="E405">
        <v>1194.4922296275913</v>
      </c>
      <c r="F405">
        <v>-747.82842510895614</v>
      </c>
      <c r="G405">
        <v>3280.9942042162425</v>
      </c>
      <c r="H405" s="1">
        <v>46053.333333333336</v>
      </c>
    </row>
    <row r="406" spans="1:8" x14ac:dyDescent="0.25">
      <c r="A406" s="7">
        <f>DATE(YEAR(m2_crossvalid[[#This Row],[cutoff]]),MONTH(m2_crossvalid[[#This Row],[cutoff]]),DAY(m2_crossvalid[[#This Row],[cutoff]]))</f>
        <v>46053</v>
      </c>
      <c r="B406" s="7">
        <f>DATE(YEAR(m2_crossvalid[[#This Row],[ds]]),MONTH(m2_crossvalid[[#This Row],[ds]]),DAY(m2_crossvalid[[#This Row],[ds]]))</f>
        <v>46055</v>
      </c>
      <c r="C406">
        <v>134</v>
      </c>
      <c r="D406" s="1">
        <v>46055.333333333336</v>
      </c>
      <c r="E406">
        <v>1744.4213140249717</v>
      </c>
      <c r="F406">
        <v>-320.27233831217643</v>
      </c>
      <c r="G406">
        <v>3689.0217789500516</v>
      </c>
      <c r="H406" s="1">
        <v>46053.333333333336</v>
      </c>
    </row>
    <row r="407" spans="1:8" x14ac:dyDescent="0.25">
      <c r="A407" s="7">
        <f>DATE(YEAR(m2_crossvalid[[#This Row],[cutoff]]),MONTH(m2_crossvalid[[#This Row],[cutoff]]),DAY(m2_crossvalid[[#This Row],[cutoff]]))</f>
        <v>46053</v>
      </c>
      <c r="B407" s="7">
        <f>DATE(YEAR(m2_crossvalid[[#This Row],[ds]]),MONTH(m2_crossvalid[[#This Row],[ds]]),DAY(m2_crossvalid[[#This Row],[ds]]))</f>
        <v>46056</v>
      </c>
      <c r="C407">
        <v>521</v>
      </c>
      <c r="D407" s="1">
        <v>46056.333333333336</v>
      </c>
      <c r="E407">
        <v>1240.1669147896648</v>
      </c>
      <c r="F407">
        <v>-803.49433200903877</v>
      </c>
      <c r="G407">
        <v>3174.5843580853734</v>
      </c>
      <c r="H407" s="1">
        <v>46053.333333333336</v>
      </c>
    </row>
    <row r="408" spans="1:8" x14ac:dyDescent="0.25">
      <c r="A408" s="7">
        <f>DATE(YEAR(m2_crossvalid[[#This Row],[cutoff]]),MONTH(m2_crossvalid[[#This Row],[cutoff]]),DAY(m2_crossvalid[[#This Row],[cutoff]]))</f>
        <v>46053</v>
      </c>
      <c r="B408" s="7">
        <f>DATE(YEAR(m2_crossvalid[[#This Row],[ds]]),MONTH(m2_crossvalid[[#This Row],[ds]]),DAY(m2_crossvalid[[#This Row],[ds]]))</f>
        <v>46057</v>
      </c>
      <c r="C408">
        <v>696</v>
      </c>
      <c r="D408" s="1">
        <v>46057.333333333336</v>
      </c>
      <c r="E408">
        <v>1179.3997329967842</v>
      </c>
      <c r="F408">
        <v>-956.50344402879045</v>
      </c>
      <c r="G408">
        <v>3074.1750465146306</v>
      </c>
      <c r="H408" s="1">
        <v>46053.333333333336</v>
      </c>
    </row>
    <row r="409" spans="1:8" x14ac:dyDescent="0.25">
      <c r="A409" s="7">
        <f>DATE(YEAR(m2_crossvalid[[#This Row],[cutoff]]),MONTH(m2_crossvalid[[#This Row],[cutoff]]),DAY(m2_crossvalid[[#This Row],[cutoff]]))</f>
        <v>46053</v>
      </c>
      <c r="B409" s="7">
        <f>DATE(YEAR(m2_crossvalid[[#This Row],[ds]]),MONTH(m2_crossvalid[[#This Row],[ds]]),DAY(m2_crossvalid[[#This Row],[ds]]))</f>
        <v>46058</v>
      </c>
      <c r="C409">
        <v>1038</v>
      </c>
      <c r="D409" s="1">
        <v>46058.333333333336</v>
      </c>
      <c r="E409">
        <v>1556.7708053188817</v>
      </c>
      <c r="F409">
        <v>-545.59862683306346</v>
      </c>
      <c r="G409">
        <v>3560.7271223507337</v>
      </c>
      <c r="H409" s="1">
        <v>46053.333333333336</v>
      </c>
    </row>
    <row r="410" spans="1:8" x14ac:dyDescent="0.25">
      <c r="A410" s="7">
        <f>DATE(YEAR(m2_crossvalid[[#This Row],[cutoff]]),MONTH(m2_crossvalid[[#This Row],[cutoff]]),DAY(m2_crossvalid[[#This Row],[cutoff]]))</f>
        <v>46053</v>
      </c>
      <c r="B410" s="7">
        <f>DATE(YEAR(m2_crossvalid[[#This Row],[ds]]),MONTH(m2_crossvalid[[#This Row],[ds]]),DAY(m2_crossvalid[[#This Row],[ds]]))</f>
        <v>46059</v>
      </c>
      <c r="C410">
        <v>1414</v>
      </c>
      <c r="D410" s="1">
        <v>46059.333333333336</v>
      </c>
      <c r="E410">
        <v>1950.2187159259836</v>
      </c>
      <c r="F410">
        <v>-127.18871648068261</v>
      </c>
      <c r="G410">
        <v>3908.0202229810338</v>
      </c>
      <c r="H410" s="1">
        <v>46053.333333333336</v>
      </c>
    </row>
    <row r="411" spans="1:8" x14ac:dyDescent="0.25">
      <c r="A411" s="7">
        <f>DATE(YEAR(m2_crossvalid[[#This Row],[cutoff]]),MONTH(m2_crossvalid[[#This Row],[cutoff]]),DAY(m2_crossvalid[[#This Row],[cutoff]]))</f>
        <v>46053</v>
      </c>
      <c r="B411" s="7">
        <f>DATE(YEAR(m2_crossvalid[[#This Row],[ds]]),MONTH(m2_crossvalid[[#This Row],[ds]]),DAY(m2_crossvalid[[#This Row],[ds]]))</f>
        <v>46060</v>
      </c>
      <c r="C411">
        <v>286</v>
      </c>
      <c r="D411" s="1">
        <v>46060.333333333336</v>
      </c>
      <c r="E411">
        <v>-255.93546788445019</v>
      </c>
      <c r="F411">
        <v>-2175.8638150460074</v>
      </c>
      <c r="G411">
        <v>1782.1613823529872</v>
      </c>
      <c r="H411" s="1">
        <v>46053.333333333336</v>
      </c>
    </row>
    <row r="412" spans="1:8" x14ac:dyDescent="0.25">
      <c r="A412" s="7">
        <f>DATE(YEAR(m2_crossvalid[[#This Row],[cutoff]]),MONTH(m2_crossvalid[[#This Row],[cutoff]]),DAY(m2_crossvalid[[#This Row],[cutoff]]))</f>
        <v>46053</v>
      </c>
      <c r="B412" s="7">
        <f>DATE(YEAR(m2_crossvalid[[#This Row],[ds]]),MONTH(m2_crossvalid[[#This Row],[ds]]),DAY(m2_crossvalid[[#This Row],[ds]]))</f>
        <v>46061</v>
      </c>
      <c r="C412">
        <v>82</v>
      </c>
      <c r="D412" s="1">
        <v>46061.333333333336</v>
      </c>
      <c r="E412">
        <v>-948.21980644939094</v>
      </c>
      <c r="F412">
        <v>-2857.3184079784078</v>
      </c>
      <c r="G412">
        <v>1149.4871072373082</v>
      </c>
      <c r="H412" s="1">
        <v>46053.333333333336</v>
      </c>
    </row>
    <row r="413" spans="1:8" x14ac:dyDescent="0.25">
      <c r="A413" s="7">
        <f>DATE(YEAR(m2_crossvalid[[#This Row],[cutoff]]),MONTH(m2_crossvalid[[#This Row],[cutoff]]),DAY(m2_crossvalid[[#This Row],[cutoff]]))</f>
        <v>46053</v>
      </c>
      <c r="B413" s="7">
        <f>DATE(YEAR(m2_crossvalid[[#This Row],[ds]]),MONTH(m2_crossvalid[[#This Row],[ds]]),DAY(m2_crossvalid[[#This Row],[ds]]))</f>
        <v>46062</v>
      </c>
      <c r="C413">
        <v>1902</v>
      </c>
      <c r="D413" s="1">
        <v>46062.333333333336</v>
      </c>
      <c r="E413">
        <v>1355.203027465961</v>
      </c>
      <c r="F413">
        <v>-516.76991219044487</v>
      </c>
      <c r="G413">
        <v>3496.114562458125</v>
      </c>
      <c r="H413" s="1">
        <v>46053.333333333336</v>
      </c>
    </row>
    <row r="414" spans="1:8" x14ac:dyDescent="0.25">
      <c r="A414" s="7">
        <f>DATE(YEAR(m2_crossvalid[[#This Row],[cutoff]]),MONTH(m2_crossvalid[[#This Row],[cutoff]]),DAY(m2_crossvalid[[#This Row],[cutoff]]))</f>
        <v>46053</v>
      </c>
      <c r="B414" s="7">
        <f>DATE(YEAR(m2_crossvalid[[#This Row],[ds]]),MONTH(m2_crossvalid[[#This Row],[ds]]),DAY(m2_crossvalid[[#This Row],[ds]]))</f>
        <v>46063</v>
      </c>
      <c r="C414">
        <v>2288</v>
      </c>
      <c r="D414" s="1">
        <v>46063.333333333336</v>
      </c>
      <c r="E414">
        <v>2065.1782466261093</v>
      </c>
      <c r="F414">
        <v>24.800946076038343</v>
      </c>
      <c r="G414">
        <v>4064.9430798447029</v>
      </c>
      <c r="H414" s="1">
        <v>46053.333333333336</v>
      </c>
    </row>
    <row r="415" spans="1:8" x14ac:dyDescent="0.25">
      <c r="A415" s="7">
        <f>DATE(YEAR(m2_crossvalid[[#This Row],[cutoff]]),MONTH(m2_crossvalid[[#This Row],[cutoff]]),DAY(m2_crossvalid[[#This Row],[cutoff]]))</f>
        <v>46053</v>
      </c>
      <c r="B415" s="7">
        <f>DATE(YEAR(m2_crossvalid[[#This Row],[ds]]),MONTH(m2_crossvalid[[#This Row],[ds]]),DAY(m2_crossvalid[[#This Row],[ds]]))</f>
        <v>46064</v>
      </c>
      <c r="C415">
        <v>2663</v>
      </c>
      <c r="D415" s="1">
        <v>46064.333333333336</v>
      </c>
      <c r="E415">
        <v>2377.3517347577585</v>
      </c>
      <c r="F415">
        <v>462.0055505439866</v>
      </c>
      <c r="G415">
        <v>4451.8661752733879</v>
      </c>
      <c r="H415" s="1">
        <v>46053.333333333336</v>
      </c>
    </row>
    <row r="416" spans="1:8" x14ac:dyDescent="0.25">
      <c r="A416" s="7">
        <f>DATE(YEAR(m2_crossvalid[[#This Row],[cutoff]]),MONTH(m2_crossvalid[[#This Row],[cutoff]]),DAY(m2_crossvalid[[#This Row],[cutoff]]))</f>
        <v>46053</v>
      </c>
      <c r="B416" s="7">
        <f>DATE(YEAR(m2_crossvalid[[#This Row],[ds]]),MONTH(m2_crossvalid[[#This Row],[ds]]),DAY(m2_crossvalid[[#This Row],[ds]]))</f>
        <v>46065</v>
      </c>
      <c r="C416">
        <v>3108</v>
      </c>
      <c r="D416" s="1">
        <v>46065.333333333336</v>
      </c>
      <c r="E416">
        <v>2488.7952802303239</v>
      </c>
      <c r="F416">
        <v>414.10100635599701</v>
      </c>
      <c r="G416">
        <v>4492.895678110488</v>
      </c>
      <c r="H416" s="1">
        <v>46053.333333333336</v>
      </c>
    </row>
    <row r="417" spans="1:8" x14ac:dyDescent="0.25">
      <c r="A417" s="7">
        <f>DATE(YEAR(m2_crossvalid[[#This Row],[cutoff]]),MONTH(m2_crossvalid[[#This Row],[cutoff]]),DAY(m2_crossvalid[[#This Row],[cutoff]]))</f>
        <v>46053</v>
      </c>
      <c r="B417" s="7">
        <f>DATE(YEAR(m2_crossvalid[[#This Row],[ds]]),MONTH(m2_crossvalid[[#This Row],[ds]]),DAY(m2_crossvalid[[#This Row],[ds]]))</f>
        <v>46066</v>
      </c>
      <c r="C417">
        <v>3172</v>
      </c>
      <c r="D417" s="1">
        <v>46066.333333333336</v>
      </c>
      <c r="E417">
        <v>2494.117961600195</v>
      </c>
      <c r="F417">
        <v>537.64549874372199</v>
      </c>
      <c r="G417">
        <v>4417.6913088139627</v>
      </c>
      <c r="H417" s="1">
        <v>46053.333333333336</v>
      </c>
    </row>
    <row r="418" spans="1:8" x14ac:dyDescent="0.25">
      <c r="A418" s="7">
        <f>DATE(YEAR(m2_crossvalid[[#This Row],[cutoff]]),MONTH(m2_crossvalid[[#This Row],[cutoff]]),DAY(m2_crossvalid[[#This Row],[cutoff]]))</f>
        <v>46053</v>
      </c>
      <c r="B418" s="7">
        <f>DATE(YEAR(m2_crossvalid[[#This Row],[ds]]),MONTH(m2_crossvalid[[#This Row],[ds]]),DAY(m2_crossvalid[[#This Row],[ds]]))</f>
        <v>46067</v>
      </c>
      <c r="C418">
        <v>913</v>
      </c>
      <c r="D418" s="1">
        <v>46067.333333333336</v>
      </c>
      <c r="E418">
        <v>194.87717644459599</v>
      </c>
      <c r="F418">
        <v>-1867.1008009487809</v>
      </c>
      <c r="G418">
        <v>2328.0944308236708</v>
      </c>
      <c r="H418" s="1">
        <v>46053.333333333336</v>
      </c>
    </row>
    <row r="419" spans="1:8" x14ac:dyDescent="0.25">
      <c r="A419" s="7">
        <f>DATE(YEAR(m2_crossvalid[[#This Row],[cutoff]]),MONTH(m2_crossvalid[[#This Row],[cutoff]]),DAY(m2_crossvalid[[#This Row],[cutoff]]))</f>
        <v>46053</v>
      </c>
      <c r="B419" s="7">
        <f>DATE(YEAR(m2_crossvalid[[#This Row],[ds]]),MONTH(m2_crossvalid[[#This Row],[ds]]),DAY(m2_crossvalid[[#This Row],[ds]]))</f>
        <v>46068</v>
      </c>
      <c r="C419">
        <v>208</v>
      </c>
      <c r="D419" s="1">
        <v>46068.333333333336</v>
      </c>
      <c r="E419">
        <v>-268.80734005364184</v>
      </c>
      <c r="F419">
        <v>-2260.3232353227713</v>
      </c>
      <c r="G419">
        <v>1829.0520959155631</v>
      </c>
      <c r="H419" s="1">
        <v>46053.333333333336</v>
      </c>
    </row>
    <row r="420" spans="1:8" x14ac:dyDescent="0.25">
      <c r="A420" s="7">
        <f>DATE(YEAR(m2_crossvalid[[#This Row],[cutoff]]),MONTH(m2_crossvalid[[#This Row],[cutoff]]),DAY(m2_crossvalid[[#This Row],[cutoff]]))</f>
        <v>46053</v>
      </c>
      <c r="B420" s="7">
        <f>DATE(YEAR(m2_crossvalid[[#This Row],[ds]]),MONTH(m2_crossvalid[[#This Row],[ds]]),DAY(m2_crossvalid[[#This Row],[ds]]))</f>
        <v>46069</v>
      </c>
      <c r="C420">
        <v>1728</v>
      </c>
      <c r="D420" s="1">
        <v>46069.333333333336</v>
      </c>
      <c r="E420">
        <v>2287.977038353546</v>
      </c>
      <c r="F420">
        <v>208.98874295231056</v>
      </c>
      <c r="G420">
        <v>4255.318609425738</v>
      </c>
      <c r="H420" s="1">
        <v>46053.333333333336</v>
      </c>
    </row>
    <row r="421" spans="1:8" x14ac:dyDescent="0.25">
      <c r="A421" s="7">
        <f>DATE(YEAR(m2_crossvalid[[#This Row],[cutoff]]),MONTH(m2_crossvalid[[#This Row],[cutoff]]),DAY(m2_crossvalid[[#This Row],[cutoff]]))</f>
        <v>46053</v>
      </c>
      <c r="B421" s="7">
        <f>DATE(YEAR(m2_crossvalid[[#This Row],[ds]]),MONTH(m2_crossvalid[[#This Row],[ds]]),DAY(m2_crossvalid[[#This Row],[ds]]))</f>
        <v>46070</v>
      </c>
      <c r="C421">
        <v>27</v>
      </c>
      <c r="D421" s="1">
        <v>46070.333333333336</v>
      </c>
      <c r="E421">
        <v>2992.8651978859102</v>
      </c>
      <c r="F421">
        <v>912.62789764019499</v>
      </c>
      <c r="G421">
        <v>4959.1831530820436</v>
      </c>
      <c r="H421" s="1">
        <v>46053.333333333336</v>
      </c>
    </row>
    <row r="422" spans="1:8" x14ac:dyDescent="0.25">
      <c r="A422" s="7">
        <f>DATE(YEAR(m2_crossvalid[[#This Row],[cutoff]]),MONTH(m2_crossvalid[[#This Row],[cutoff]]),DAY(m2_crossvalid[[#This Row],[cutoff]]))</f>
        <v>46053</v>
      </c>
      <c r="B422" s="7">
        <f>DATE(YEAR(m2_crossvalid[[#This Row],[ds]]),MONTH(m2_crossvalid[[#This Row],[ds]]),DAY(m2_crossvalid[[#This Row],[ds]]))</f>
        <v>46071</v>
      </c>
      <c r="C422">
        <v>21</v>
      </c>
      <c r="D422" s="1">
        <v>46071.333333333336</v>
      </c>
      <c r="E422">
        <v>3053.7892894428214</v>
      </c>
      <c r="F422">
        <v>1000.5883905011766</v>
      </c>
      <c r="G422">
        <v>4933.9758806224809</v>
      </c>
      <c r="H422" s="1">
        <v>46053.333333333336</v>
      </c>
    </row>
    <row r="423" spans="1:8" x14ac:dyDescent="0.25">
      <c r="A423" s="7">
        <f>DATE(YEAR(m2_crossvalid[[#This Row],[cutoff]]),MONTH(m2_crossvalid[[#This Row],[cutoff]]),DAY(m2_crossvalid[[#This Row],[cutoff]]))</f>
        <v>46053</v>
      </c>
      <c r="B423" s="7">
        <f>DATE(YEAR(m2_crossvalid[[#This Row],[ds]]),MONTH(m2_crossvalid[[#This Row],[ds]]),DAY(m2_crossvalid[[#This Row],[ds]]))</f>
        <v>46072</v>
      </c>
      <c r="C423">
        <v>1000</v>
      </c>
      <c r="D423" s="1">
        <v>46072.333333333336</v>
      </c>
      <c r="E423">
        <v>2944.4031380372708</v>
      </c>
      <c r="F423">
        <v>902.5545968439742</v>
      </c>
      <c r="G423">
        <v>5001.1373615887469</v>
      </c>
      <c r="H423" s="1">
        <v>46053.333333333336</v>
      </c>
    </row>
    <row r="424" spans="1:8" x14ac:dyDescent="0.25">
      <c r="A424" s="7">
        <f>DATE(YEAR(m2_crossvalid[[#This Row],[cutoff]]),MONTH(m2_crossvalid[[#This Row],[cutoff]]),DAY(m2_crossvalid[[#This Row],[cutoff]]))</f>
        <v>46053</v>
      </c>
      <c r="B424" s="7">
        <f>DATE(YEAR(m2_crossvalid[[#This Row],[ds]]),MONTH(m2_crossvalid[[#This Row],[ds]]),DAY(m2_crossvalid[[#This Row],[ds]]))</f>
        <v>46073</v>
      </c>
      <c r="C424">
        <v>1555</v>
      </c>
      <c r="D424" s="1">
        <v>46073.333333333336</v>
      </c>
      <c r="E424">
        <v>3005.1912814155112</v>
      </c>
      <c r="F424">
        <v>950.82674115974339</v>
      </c>
      <c r="G424">
        <v>4997.3979523481839</v>
      </c>
      <c r="H424" s="1">
        <v>46053.333333333336</v>
      </c>
    </row>
    <row r="425" spans="1:8" x14ac:dyDescent="0.25">
      <c r="A425" s="7">
        <f>DATE(YEAR(m2_crossvalid[[#This Row],[cutoff]]),MONTH(m2_crossvalid[[#This Row],[cutoff]]),DAY(m2_crossvalid[[#This Row],[cutoff]]))</f>
        <v>46053</v>
      </c>
      <c r="B425" s="7">
        <f>DATE(YEAR(m2_crossvalid[[#This Row],[ds]]),MONTH(m2_crossvalid[[#This Row],[ds]]),DAY(m2_crossvalid[[#This Row],[ds]]))</f>
        <v>46074</v>
      </c>
      <c r="C425">
        <v>492</v>
      </c>
      <c r="D425" s="1">
        <v>46074.333333333336</v>
      </c>
      <c r="E425">
        <v>995.57908656289374</v>
      </c>
      <c r="F425">
        <v>-1066.3074471431853</v>
      </c>
      <c r="G425">
        <v>2893.6798375634721</v>
      </c>
      <c r="H425" s="1">
        <v>46053.333333333336</v>
      </c>
    </row>
    <row r="426" spans="1:8" x14ac:dyDescent="0.25">
      <c r="A426" s="7">
        <f>DATE(YEAR(m2_crossvalid[[#This Row],[cutoff]]),MONTH(m2_crossvalid[[#This Row],[cutoff]]),DAY(m2_crossvalid[[#This Row],[cutoff]]))</f>
        <v>46053</v>
      </c>
      <c r="B426" s="7">
        <f>DATE(YEAR(m2_crossvalid[[#This Row],[ds]]),MONTH(m2_crossvalid[[#This Row],[ds]]),DAY(m2_crossvalid[[#This Row],[ds]]))</f>
        <v>46075</v>
      </c>
      <c r="C426">
        <v>159</v>
      </c>
      <c r="D426" s="1">
        <v>46075.333333333336</v>
      </c>
      <c r="E426">
        <v>765.9948480441883</v>
      </c>
      <c r="F426">
        <v>-1177.9402494413503</v>
      </c>
      <c r="G426">
        <v>2828.4498845814037</v>
      </c>
      <c r="H426" s="1">
        <v>46053.333333333336</v>
      </c>
    </row>
    <row r="427" spans="1:8" x14ac:dyDescent="0.25">
      <c r="A427" s="7">
        <f>DATE(YEAR(m2_crossvalid[[#This Row],[cutoff]]),MONTH(m2_crossvalid[[#This Row],[cutoff]]),DAY(m2_crossvalid[[#This Row],[cutoff]]))</f>
        <v>46053</v>
      </c>
      <c r="B427" s="7">
        <f>DATE(YEAR(m2_crossvalid[[#This Row],[ds]]),MONTH(m2_crossvalid[[#This Row],[ds]]),DAY(m2_crossvalid[[#This Row],[ds]]))</f>
        <v>46076</v>
      </c>
      <c r="C427">
        <v>2313</v>
      </c>
      <c r="D427" s="1">
        <v>46076.333333333336</v>
      </c>
      <c r="E427">
        <v>3268.7289776928801</v>
      </c>
      <c r="F427">
        <v>1227.1939599981629</v>
      </c>
      <c r="G427">
        <v>5160.7438847217873</v>
      </c>
      <c r="H427" s="1">
        <v>46053.333333333336</v>
      </c>
    </row>
    <row r="428" spans="1:8" x14ac:dyDescent="0.25">
      <c r="A428" s="7">
        <f>DATE(YEAR(m2_crossvalid[[#This Row],[cutoff]]),MONTH(m2_crossvalid[[#This Row],[cutoff]]),DAY(m2_crossvalid[[#This Row],[cutoff]]))</f>
        <v>46053</v>
      </c>
      <c r="B428" s="7">
        <f>DATE(YEAR(m2_crossvalid[[#This Row],[ds]]),MONTH(m2_crossvalid[[#This Row],[ds]]),DAY(m2_crossvalid[[#This Row],[ds]]))</f>
        <v>46077</v>
      </c>
      <c r="C428">
        <v>3081</v>
      </c>
      <c r="D428" s="1">
        <v>46077.333333333336</v>
      </c>
      <c r="E428">
        <v>3727.6952474080335</v>
      </c>
      <c r="F428">
        <v>1604.938823483983</v>
      </c>
      <c r="G428">
        <v>5757.9043015232037</v>
      </c>
      <c r="H428" s="1">
        <v>46053.333333333336</v>
      </c>
    </row>
    <row r="429" spans="1:8" x14ac:dyDescent="0.25">
      <c r="A429" s="7">
        <f>DATE(YEAR(m2_crossvalid[[#This Row],[cutoff]]),MONTH(m2_crossvalid[[#This Row],[cutoff]]),DAY(m2_crossvalid[[#This Row],[cutoff]]))</f>
        <v>46053</v>
      </c>
      <c r="B429" s="7">
        <f>DATE(YEAR(m2_crossvalid[[#This Row],[ds]]),MONTH(m2_crossvalid[[#This Row],[ds]]),DAY(m2_crossvalid[[#This Row],[ds]]))</f>
        <v>46078</v>
      </c>
      <c r="C429">
        <v>4066</v>
      </c>
      <c r="D429" s="1">
        <v>46078.333333333336</v>
      </c>
      <c r="E429">
        <v>3738.2244079925476</v>
      </c>
      <c r="F429">
        <v>1745.7758705706765</v>
      </c>
      <c r="G429">
        <v>5519.3990290924758</v>
      </c>
      <c r="H429" s="1">
        <v>46053.333333333336</v>
      </c>
    </row>
    <row r="430" spans="1:8" x14ac:dyDescent="0.25">
      <c r="A430" s="7">
        <f>DATE(YEAR(m2_crossvalid[[#This Row],[cutoff]]),MONTH(m2_crossvalid[[#This Row],[cutoff]]),DAY(m2_crossvalid[[#This Row],[cutoff]]))</f>
        <v>46053</v>
      </c>
      <c r="B430" s="7">
        <f>DATE(YEAR(m2_crossvalid[[#This Row],[ds]]),MONTH(m2_crossvalid[[#This Row],[ds]]),DAY(m2_crossvalid[[#This Row],[ds]]))</f>
        <v>46079</v>
      </c>
      <c r="C430">
        <v>5569</v>
      </c>
      <c r="D430" s="1">
        <v>46079.333333333336</v>
      </c>
      <c r="E430">
        <v>4115.1374928633631</v>
      </c>
      <c r="F430">
        <v>2123.5106915886095</v>
      </c>
      <c r="G430">
        <v>6007.5316812416522</v>
      </c>
      <c r="H430" s="1">
        <v>46053.333333333336</v>
      </c>
    </row>
    <row r="431" spans="1:8" x14ac:dyDescent="0.25">
      <c r="A431" s="7">
        <f>DATE(YEAR(m2_crossvalid[[#This Row],[cutoff]]),MONTH(m2_crossvalid[[#This Row],[cutoff]]),DAY(m2_crossvalid[[#This Row],[cutoff]]))</f>
        <v>46053</v>
      </c>
      <c r="B431" s="7">
        <f>DATE(YEAR(m2_crossvalid[[#This Row],[ds]]),MONTH(m2_crossvalid[[#This Row],[ds]]),DAY(m2_crossvalid[[#This Row],[ds]]))</f>
        <v>46080</v>
      </c>
      <c r="C431">
        <v>8803</v>
      </c>
      <c r="D431" s="1">
        <v>46080.333333333336</v>
      </c>
      <c r="E431">
        <v>5150.5498706965654</v>
      </c>
      <c r="F431">
        <v>3216.3483880113049</v>
      </c>
      <c r="G431">
        <v>7164.475002028782</v>
      </c>
      <c r="H431" s="1">
        <v>46053.333333333336</v>
      </c>
    </row>
    <row r="432" spans="1:8" x14ac:dyDescent="0.25">
      <c r="A432" s="7">
        <f>DATE(YEAR(m2_crossvalid[[#This Row],[cutoff]]),MONTH(m2_crossvalid[[#This Row],[cutoff]]),DAY(m2_crossvalid[[#This Row],[cutoff]]))</f>
        <v>46053</v>
      </c>
      <c r="B432" s="7">
        <f>DATE(YEAR(m2_crossvalid[[#This Row],[ds]]),MONTH(m2_crossvalid[[#This Row],[ds]]),DAY(m2_crossvalid[[#This Row],[ds]]))</f>
        <v>46081</v>
      </c>
      <c r="C432">
        <v>9425</v>
      </c>
      <c r="D432" s="1">
        <v>46081.333333333336</v>
      </c>
      <c r="E432">
        <v>4124.8568679168266</v>
      </c>
      <c r="F432">
        <v>2136.0214813437638</v>
      </c>
      <c r="G432">
        <v>6117.6747578611003</v>
      </c>
      <c r="H432" s="1">
        <v>46053.333333333336</v>
      </c>
    </row>
    <row r="433" spans="1:8" x14ac:dyDescent="0.25">
      <c r="A433" s="7">
        <f>DATE(YEAR(m2_crossvalid[[#This Row],[cutoff]]),MONTH(m2_crossvalid[[#This Row],[cutoff]]),DAY(m2_crossvalid[[#This Row],[cutoff]]))</f>
        <v>46053</v>
      </c>
      <c r="B433" s="7">
        <f>DATE(YEAR(m2_crossvalid[[#This Row],[ds]]),MONTH(m2_crossvalid[[#This Row],[ds]]),DAY(m2_crossvalid[[#This Row],[ds]]))</f>
        <v>46082</v>
      </c>
      <c r="C433">
        <v>40</v>
      </c>
      <c r="D433" s="1">
        <v>46082.333333333336</v>
      </c>
      <c r="E433">
        <v>4282.3623571632306</v>
      </c>
      <c r="F433">
        <v>2159.4087351829967</v>
      </c>
      <c r="G433">
        <v>6315.5331723196741</v>
      </c>
      <c r="H433" s="1">
        <v>46053.333333333336</v>
      </c>
    </row>
    <row r="434" spans="1:8" x14ac:dyDescent="0.25">
      <c r="A434" s="7">
        <f>DATE(YEAR(m2_crossvalid[[#This Row],[cutoff]]),MONTH(m2_crossvalid[[#This Row],[cutoff]]),DAY(m2_crossvalid[[#This Row],[cutoff]]))</f>
        <v>46053</v>
      </c>
      <c r="B434" s="7">
        <f>DATE(YEAR(m2_crossvalid[[#This Row],[ds]]),MONTH(m2_crossvalid[[#This Row],[ds]]),DAY(m2_crossvalid[[#This Row],[ds]]))</f>
        <v>46083</v>
      </c>
      <c r="C434">
        <v>617</v>
      </c>
      <c r="D434" s="1">
        <v>46083.333333333336</v>
      </c>
      <c r="E434">
        <v>6236.4868654169704</v>
      </c>
      <c r="F434">
        <v>4331.8175352919225</v>
      </c>
      <c r="G434">
        <v>8164.1410448411953</v>
      </c>
      <c r="H434" s="1">
        <v>46053.333333333336</v>
      </c>
    </row>
    <row r="435" spans="1:8" x14ac:dyDescent="0.25">
      <c r="A435" s="7">
        <f>DATE(YEAR(m2_crossvalid[[#This Row],[cutoff]]),MONTH(m2_crossvalid[[#This Row],[cutoff]]),DAY(m2_crossvalid[[#This Row],[cutoff]]))</f>
        <v>46053</v>
      </c>
      <c r="B435" s="7">
        <f>DATE(YEAR(m2_crossvalid[[#This Row],[ds]]),MONTH(m2_crossvalid[[#This Row],[ds]]),DAY(m2_crossvalid[[#This Row],[ds]]))</f>
        <v>46084</v>
      </c>
      <c r="C435">
        <v>799</v>
      </c>
      <c r="D435" s="1">
        <v>46084.333333333336</v>
      </c>
      <c r="E435">
        <v>5313.1192016135601</v>
      </c>
      <c r="F435">
        <v>3365.5092209906375</v>
      </c>
      <c r="G435">
        <v>7300.0127167010187</v>
      </c>
      <c r="H435" s="1">
        <v>46053.333333333336</v>
      </c>
    </row>
    <row r="436" spans="1:8" x14ac:dyDescent="0.25">
      <c r="A436" s="7">
        <f>DATE(YEAR(m2_crossvalid[[#This Row],[cutoff]]),MONTH(m2_crossvalid[[#This Row],[cutoff]]),DAY(m2_crossvalid[[#This Row],[cutoff]]))</f>
        <v>46081</v>
      </c>
      <c r="B436" s="7">
        <f>DATE(YEAR(m2_crossvalid[[#This Row],[ds]]),MONTH(m2_crossvalid[[#This Row],[ds]]),DAY(m2_crossvalid[[#This Row],[ds]]))</f>
        <v>46082</v>
      </c>
      <c r="C436">
        <v>40</v>
      </c>
      <c r="D436" s="1">
        <v>46082.333333333336</v>
      </c>
      <c r="E436">
        <v>4376.6629401500832</v>
      </c>
      <c r="F436">
        <v>2236.9814226014751</v>
      </c>
      <c r="G436">
        <v>6372.6991787275465</v>
      </c>
      <c r="H436" s="1">
        <v>46081.333333333336</v>
      </c>
    </row>
    <row r="437" spans="1:8" x14ac:dyDescent="0.25">
      <c r="A437" s="7">
        <f>DATE(YEAR(m2_crossvalid[[#This Row],[cutoff]]),MONTH(m2_crossvalid[[#This Row],[cutoff]]),DAY(m2_crossvalid[[#This Row],[cutoff]]))</f>
        <v>46081</v>
      </c>
      <c r="B437" s="7">
        <f>DATE(YEAR(m2_crossvalid[[#This Row],[ds]]),MONTH(m2_crossvalid[[#This Row],[ds]]),DAY(m2_crossvalid[[#This Row],[ds]]))</f>
        <v>46083</v>
      </c>
      <c r="C437">
        <v>617</v>
      </c>
      <c r="D437" s="1">
        <v>46083.333333333336</v>
      </c>
      <c r="E437">
        <v>6286.7441747291659</v>
      </c>
      <c r="F437">
        <v>4298.3161389698917</v>
      </c>
      <c r="G437">
        <v>8325.6408792984621</v>
      </c>
      <c r="H437" s="1">
        <v>46081.333333333336</v>
      </c>
    </row>
    <row r="438" spans="1:8" x14ac:dyDescent="0.25">
      <c r="A438" s="7">
        <f>DATE(YEAR(m2_crossvalid[[#This Row],[cutoff]]),MONTH(m2_crossvalid[[#This Row],[cutoff]]),DAY(m2_crossvalid[[#This Row],[cutoff]]))</f>
        <v>46081</v>
      </c>
      <c r="B438" s="7">
        <f>DATE(YEAR(m2_crossvalid[[#This Row],[ds]]),MONTH(m2_crossvalid[[#This Row],[ds]]),DAY(m2_crossvalid[[#This Row],[ds]]))</f>
        <v>46084</v>
      </c>
      <c r="C438">
        <v>799</v>
      </c>
      <c r="D438" s="1">
        <v>46084.333333333336</v>
      </c>
      <c r="E438">
        <v>5335.5961046463681</v>
      </c>
      <c r="F438">
        <v>3250.0092050978687</v>
      </c>
      <c r="G438">
        <v>7265.0788473367929</v>
      </c>
      <c r="H438" s="1">
        <v>46081.333333333336</v>
      </c>
    </row>
    <row r="439" spans="1:8" x14ac:dyDescent="0.25">
      <c r="A439" s="7">
        <f>DATE(YEAR(m2_crossvalid[[#This Row],[cutoff]]),MONTH(m2_crossvalid[[#This Row],[cutoff]]),DAY(m2_crossvalid[[#This Row],[cutoff]]))</f>
        <v>46081</v>
      </c>
      <c r="B439" s="7">
        <f>DATE(YEAR(m2_crossvalid[[#This Row],[ds]]),MONTH(m2_crossvalid[[#This Row],[ds]]),DAY(m2_crossvalid[[#This Row],[ds]]))</f>
        <v>46085</v>
      </c>
      <c r="C439">
        <v>995</v>
      </c>
      <c r="D439" s="1">
        <v>46085.333333333336</v>
      </c>
      <c r="E439">
        <v>3536.7972401414281</v>
      </c>
      <c r="F439">
        <v>1552.9412802315596</v>
      </c>
      <c r="G439">
        <v>5582.4331117683478</v>
      </c>
      <c r="H439" s="1">
        <v>46081.333333333336</v>
      </c>
    </row>
    <row r="440" spans="1:8" x14ac:dyDescent="0.25">
      <c r="A440" s="7">
        <f>DATE(YEAR(m2_crossvalid[[#This Row],[cutoff]]),MONTH(m2_crossvalid[[#This Row],[cutoff]]),DAY(m2_crossvalid[[#This Row],[cutoff]]))</f>
        <v>46081</v>
      </c>
      <c r="B440" s="7">
        <f>DATE(YEAR(m2_crossvalid[[#This Row],[ds]]),MONTH(m2_crossvalid[[#This Row],[ds]]),DAY(m2_crossvalid[[#This Row],[ds]]))</f>
        <v>46086</v>
      </c>
      <c r="C440">
        <v>1314</v>
      </c>
      <c r="D440" s="1">
        <v>46086.333333333336</v>
      </c>
      <c r="E440">
        <v>2117.7749601902256</v>
      </c>
      <c r="F440">
        <v>135.18794577047501</v>
      </c>
      <c r="G440">
        <v>4161.6081410594288</v>
      </c>
      <c r="H440" s="1">
        <v>46081.333333333336</v>
      </c>
    </row>
    <row r="441" spans="1:8" x14ac:dyDescent="0.25">
      <c r="A441" s="7">
        <f>DATE(YEAR(m2_crossvalid[[#This Row],[cutoff]]),MONTH(m2_crossvalid[[#This Row],[cutoff]]),DAY(m2_crossvalid[[#This Row],[cutoff]]))</f>
        <v>46081</v>
      </c>
      <c r="B441" s="7">
        <f>DATE(YEAR(m2_crossvalid[[#This Row],[ds]]),MONTH(m2_crossvalid[[#This Row],[ds]]),DAY(m2_crossvalid[[#This Row],[ds]]))</f>
        <v>46087</v>
      </c>
      <c r="C441">
        <v>1617</v>
      </c>
      <c r="D441" s="1">
        <v>46087.333333333336</v>
      </c>
      <c r="E441">
        <v>1651.8574329191092</v>
      </c>
      <c r="F441">
        <v>-344.09145767784617</v>
      </c>
      <c r="G441">
        <v>3657.3211199586544</v>
      </c>
      <c r="H441" s="1">
        <v>46081.333333333336</v>
      </c>
    </row>
    <row r="442" spans="1:8" x14ac:dyDescent="0.25">
      <c r="A442" s="7">
        <f>DATE(YEAR(m2_crossvalid[[#This Row],[cutoff]]),MONTH(m2_crossvalid[[#This Row],[cutoff]]),DAY(m2_crossvalid[[#This Row],[cutoff]]))</f>
        <v>46081</v>
      </c>
      <c r="B442" s="7">
        <f>DATE(YEAR(m2_crossvalid[[#This Row],[ds]]),MONTH(m2_crossvalid[[#This Row],[ds]]),DAY(m2_crossvalid[[#This Row],[ds]]))</f>
        <v>46088</v>
      </c>
      <c r="C442">
        <v>220</v>
      </c>
      <c r="D442" s="1">
        <v>46088.333333333336</v>
      </c>
      <c r="E442">
        <v>-371.52472350775997</v>
      </c>
      <c r="F442">
        <v>-2315.0570529110023</v>
      </c>
      <c r="G442">
        <v>1605.5437615245187</v>
      </c>
      <c r="H442" s="1">
        <v>46081.333333333336</v>
      </c>
    </row>
    <row r="443" spans="1:8" x14ac:dyDescent="0.25">
      <c r="A443" s="7">
        <f>DATE(YEAR(m2_crossvalid[[#This Row],[cutoff]]),MONTH(m2_crossvalid[[#This Row],[cutoff]]),DAY(m2_crossvalid[[#This Row],[cutoff]]))</f>
        <v>46081</v>
      </c>
      <c r="B443" s="7">
        <f>DATE(YEAR(m2_crossvalid[[#This Row],[ds]]),MONTH(m2_crossvalid[[#This Row],[ds]]),DAY(m2_crossvalid[[#This Row],[ds]]))</f>
        <v>46089</v>
      </c>
      <c r="C443">
        <v>43</v>
      </c>
      <c r="D443" s="1">
        <v>46089.333333333336</v>
      </c>
      <c r="E443">
        <v>-543.54442586636969</v>
      </c>
      <c r="F443">
        <v>-2508.8724127890123</v>
      </c>
      <c r="G443">
        <v>1517.0734744813826</v>
      </c>
      <c r="H443" s="1">
        <v>46081.333333333336</v>
      </c>
    </row>
    <row r="444" spans="1:8" x14ac:dyDescent="0.25">
      <c r="A444" s="7">
        <f>DATE(YEAR(m2_crossvalid[[#This Row],[cutoff]]),MONTH(m2_crossvalid[[#This Row],[cutoff]]),DAY(m2_crossvalid[[#This Row],[cutoff]]))</f>
        <v>46081</v>
      </c>
      <c r="B444" s="7">
        <f>DATE(YEAR(m2_crossvalid[[#This Row],[ds]]),MONTH(m2_crossvalid[[#This Row],[ds]]),DAY(m2_crossvalid[[#This Row],[ds]]))</f>
        <v>46090</v>
      </c>
      <c r="C444">
        <v>1766</v>
      </c>
      <c r="D444" s="1">
        <v>46090.333333333336</v>
      </c>
      <c r="E444">
        <v>1986.1139603451059</v>
      </c>
      <c r="F444">
        <v>-36.837756653481996</v>
      </c>
      <c r="G444">
        <v>3945.2358441913398</v>
      </c>
      <c r="H444" s="1">
        <v>46081.333333333336</v>
      </c>
    </row>
    <row r="445" spans="1:8" x14ac:dyDescent="0.25">
      <c r="A445" s="7">
        <f>DATE(YEAR(m2_crossvalid[[#This Row],[cutoff]]),MONTH(m2_crossvalid[[#This Row],[cutoff]]),DAY(m2_crossvalid[[#This Row],[cutoff]]))</f>
        <v>46081</v>
      </c>
      <c r="B445" s="7">
        <f>DATE(YEAR(m2_crossvalid[[#This Row],[ds]]),MONTH(m2_crossvalid[[#This Row],[ds]]),DAY(m2_crossvalid[[#This Row],[ds]]))</f>
        <v>46091</v>
      </c>
      <c r="C445">
        <v>2170</v>
      </c>
      <c r="D445" s="1">
        <v>46091.333333333336</v>
      </c>
      <c r="E445">
        <v>2462.569622392959</v>
      </c>
      <c r="F445">
        <v>459.05494085836858</v>
      </c>
      <c r="G445">
        <v>4332.8203092766853</v>
      </c>
      <c r="H445" s="1">
        <v>46081.333333333336</v>
      </c>
    </row>
    <row r="446" spans="1:8" x14ac:dyDescent="0.25">
      <c r="A446" s="7">
        <f>DATE(YEAR(m2_crossvalid[[#This Row],[cutoff]]),MONTH(m2_crossvalid[[#This Row],[cutoff]]),DAY(m2_crossvalid[[#This Row],[cutoff]]))</f>
        <v>46081</v>
      </c>
      <c r="B446" s="7">
        <f>DATE(YEAR(m2_crossvalid[[#This Row],[ds]]),MONTH(m2_crossvalid[[#This Row],[ds]]),DAY(m2_crossvalid[[#This Row],[ds]]))</f>
        <v>46092</v>
      </c>
      <c r="C446">
        <v>2907</v>
      </c>
      <c r="D446" s="1">
        <v>46092.333333333336</v>
      </c>
      <c r="E446">
        <v>2462.9461033114312</v>
      </c>
      <c r="F446">
        <v>350.47547977451399</v>
      </c>
      <c r="G446">
        <v>4350.3269568510223</v>
      </c>
      <c r="H446" s="1">
        <v>46081.333333333336</v>
      </c>
    </row>
    <row r="447" spans="1:8" x14ac:dyDescent="0.25">
      <c r="A447" s="7">
        <f>DATE(YEAR(m2_crossvalid[[#This Row],[cutoff]]),MONTH(m2_crossvalid[[#This Row],[cutoff]]),DAY(m2_crossvalid[[#This Row],[cutoff]]))</f>
        <v>46081</v>
      </c>
      <c r="B447" s="7">
        <f>DATE(YEAR(m2_crossvalid[[#This Row],[ds]]),MONTH(m2_crossvalid[[#This Row],[ds]]),DAY(m2_crossvalid[[#This Row],[ds]]))</f>
        <v>46093</v>
      </c>
      <c r="C447">
        <v>3020</v>
      </c>
      <c r="D447" s="1">
        <v>46093.333333333336</v>
      </c>
      <c r="E447">
        <v>2573.4464396625117</v>
      </c>
      <c r="F447">
        <v>553.18807212573313</v>
      </c>
      <c r="G447">
        <v>4571.2446218622617</v>
      </c>
      <c r="H447" s="1">
        <v>46081.333333333336</v>
      </c>
    </row>
    <row r="448" spans="1:8" x14ac:dyDescent="0.25">
      <c r="A448" s="7">
        <f>DATE(YEAR(m2_crossvalid[[#This Row],[cutoff]]),MONTH(m2_crossvalid[[#This Row],[cutoff]]),DAY(m2_crossvalid[[#This Row],[cutoff]]))</f>
        <v>46081</v>
      </c>
      <c r="B448" s="7">
        <f>DATE(YEAR(m2_crossvalid[[#This Row],[ds]]),MONTH(m2_crossvalid[[#This Row],[ds]]),DAY(m2_crossvalid[[#This Row],[ds]]))</f>
        <v>46094</v>
      </c>
      <c r="C448">
        <v>3551</v>
      </c>
      <c r="D448" s="1">
        <v>46094.333333333336</v>
      </c>
      <c r="E448">
        <v>2878.4349080037614</v>
      </c>
      <c r="F448">
        <v>930.36458620543681</v>
      </c>
      <c r="G448">
        <v>4725.9963816701111</v>
      </c>
      <c r="H448" s="1">
        <v>46081.333333333336</v>
      </c>
    </row>
    <row r="449" spans="1:8" x14ac:dyDescent="0.25">
      <c r="A449" s="7">
        <f>DATE(YEAR(m2_crossvalid[[#This Row],[cutoff]]),MONTH(m2_crossvalid[[#This Row],[cutoff]]),DAY(m2_crossvalid[[#This Row],[cutoff]]))</f>
        <v>46081</v>
      </c>
      <c r="B449" s="7">
        <f>DATE(YEAR(m2_crossvalid[[#This Row],[ds]]),MONTH(m2_crossvalid[[#This Row],[ds]]),DAY(m2_crossvalid[[#This Row],[ds]]))</f>
        <v>46095</v>
      </c>
      <c r="C449">
        <v>1088</v>
      </c>
      <c r="D449" s="1">
        <v>46095.333333333336</v>
      </c>
      <c r="E449">
        <v>832.66362857760191</v>
      </c>
      <c r="F449">
        <v>-1145.6464888947385</v>
      </c>
      <c r="G449">
        <v>2741.4518172899116</v>
      </c>
      <c r="H449" s="1">
        <v>46081.333333333336</v>
      </c>
    </row>
    <row r="450" spans="1:8" x14ac:dyDescent="0.25">
      <c r="A450" s="7">
        <f>DATE(YEAR(m2_crossvalid[[#This Row],[cutoff]]),MONTH(m2_crossvalid[[#This Row],[cutoff]]),DAY(m2_crossvalid[[#This Row],[cutoff]]))</f>
        <v>46081</v>
      </c>
      <c r="B450" s="7">
        <f>DATE(YEAR(m2_crossvalid[[#This Row],[ds]]),MONTH(m2_crossvalid[[#This Row],[ds]]),DAY(m2_crossvalid[[#This Row],[ds]]))</f>
        <v>46096</v>
      </c>
      <c r="C450">
        <v>228</v>
      </c>
      <c r="D450" s="1">
        <v>46096.333333333336</v>
      </c>
      <c r="E450">
        <v>249.38455843045267</v>
      </c>
      <c r="F450">
        <v>-1760.1627861720897</v>
      </c>
      <c r="G450">
        <v>2321.9517804655525</v>
      </c>
      <c r="H450" s="1">
        <v>46081.333333333336</v>
      </c>
    </row>
    <row r="451" spans="1:8" x14ac:dyDescent="0.25">
      <c r="A451" s="7">
        <f>DATE(YEAR(m2_crossvalid[[#This Row],[cutoff]]),MONTH(m2_crossvalid[[#This Row],[cutoff]]),DAY(m2_crossvalid[[#This Row],[cutoff]]))</f>
        <v>46081</v>
      </c>
      <c r="B451" s="7">
        <f>DATE(YEAR(m2_crossvalid[[#This Row],[ds]]),MONTH(m2_crossvalid[[#This Row],[ds]]),DAY(m2_crossvalid[[#This Row],[ds]]))</f>
        <v>46097</v>
      </c>
      <c r="C451">
        <v>3950</v>
      </c>
      <c r="D451" s="1">
        <v>46097.333333333336</v>
      </c>
      <c r="E451">
        <v>2485.3513017240321</v>
      </c>
      <c r="F451">
        <v>430.59327739374925</v>
      </c>
      <c r="G451">
        <v>4386.9026522335316</v>
      </c>
      <c r="H451" s="1">
        <v>46081.333333333336</v>
      </c>
    </row>
    <row r="452" spans="1:8" x14ac:dyDescent="0.25">
      <c r="A452" s="7">
        <f>DATE(YEAR(m2_crossvalid[[#This Row],[cutoff]]),MONTH(m2_crossvalid[[#This Row],[cutoff]]),DAY(m2_crossvalid[[#This Row],[cutoff]]))</f>
        <v>46081</v>
      </c>
      <c r="B452" s="7">
        <f>DATE(YEAR(m2_crossvalid[[#This Row],[ds]]),MONTH(m2_crossvalid[[#This Row],[ds]]),DAY(m2_crossvalid[[#This Row],[ds]]))</f>
        <v>46098</v>
      </c>
      <c r="C452">
        <v>5807</v>
      </c>
      <c r="D452" s="1">
        <v>46098.333333333336</v>
      </c>
      <c r="E452">
        <v>3011.6632636430036</v>
      </c>
      <c r="F452">
        <v>949.93385134517291</v>
      </c>
      <c r="G452">
        <v>4951.0985293143858</v>
      </c>
      <c r="H452" s="1">
        <v>46081.333333333336</v>
      </c>
    </row>
    <row r="453" spans="1:8" x14ac:dyDescent="0.25">
      <c r="A453" s="7">
        <f>DATE(YEAR(m2_crossvalid[[#This Row],[cutoff]]),MONTH(m2_crossvalid[[#This Row],[cutoff]]),DAY(m2_crossvalid[[#This Row],[cutoff]]))</f>
        <v>46081</v>
      </c>
      <c r="B453" s="7">
        <f>DATE(YEAR(m2_crossvalid[[#This Row],[ds]]),MONTH(m2_crossvalid[[#This Row],[ds]]),DAY(m2_crossvalid[[#This Row],[ds]]))</f>
        <v>46099</v>
      </c>
      <c r="C453">
        <v>5295</v>
      </c>
      <c r="D453" s="1">
        <v>46099.333333333336</v>
      </c>
      <c r="E453">
        <v>3240.4427433560322</v>
      </c>
      <c r="F453">
        <v>1131.8523258220455</v>
      </c>
      <c r="G453">
        <v>5229.1174507189098</v>
      </c>
      <c r="H453" s="1">
        <v>46081.333333333336</v>
      </c>
    </row>
    <row r="454" spans="1:8" x14ac:dyDescent="0.25">
      <c r="A454" s="7">
        <f>DATE(YEAR(m2_crossvalid[[#This Row],[cutoff]]),MONTH(m2_crossvalid[[#This Row],[cutoff]]),DAY(m2_crossvalid[[#This Row],[cutoff]]))</f>
        <v>46081</v>
      </c>
      <c r="B454" s="7">
        <f>DATE(YEAR(m2_crossvalid[[#This Row],[ds]]),MONTH(m2_crossvalid[[#This Row],[ds]]),DAY(m2_crossvalid[[#This Row],[ds]]))</f>
        <v>46100</v>
      </c>
      <c r="C454">
        <v>3557</v>
      </c>
      <c r="D454" s="1">
        <v>46100.333333333336</v>
      </c>
      <c r="E454">
        <v>3435.3752904925341</v>
      </c>
      <c r="F454">
        <v>1354.5229021574889</v>
      </c>
      <c r="G454">
        <v>5262.5263128354209</v>
      </c>
      <c r="H454" s="1">
        <v>46081.333333333336</v>
      </c>
    </row>
    <row r="455" spans="1:8" x14ac:dyDescent="0.25">
      <c r="A455" s="7">
        <f>DATE(YEAR(m2_crossvalid[[#This Row],[cutoff]]),MONTH(m2_crossvalid[[#This Row],[cutoff]]),DAY(m2_crossvalid[[#This Row],[cutoff]]))</f>
        <v>46081</v>
      </c>
      <c r="B455" s="7">
        <f>DATE(YEAR(m2_crossvalid[[#This Row],[ds]]),MONTH(m2_crossvalid[[#This Row],[ds]]),DAY(m2_crossvalid[[#This Row],[ds]]))</f>
        <v>46101</v>
      </c>
      <c r="C455">
        <v>61</v>
      </c>
      <c r="D455" s="1">
        <v>46101.333333333336</v>
      </c>
      <c r="E455">
        <v>3542.3577219149734</v>
      </c>
      <c r="F455">
        <v>1569.9097212484451</v>
      </c>
      <c r="G455">
        <v>5759.7755298542179</v>
      </c>
      <c r="H455" s="1">
        <v>46081.333333333336</v>
      </c>
    </row>
    <row r="456" spans="1:8" x14ac:dyDescent="0.25">
      <c r="A456" s="7">
        <f>DATE(YEAR(m2_crossvalid[[#This Row],[cutoff]]),MONTH(m2_crossvalid[[#This Row],[cutoff]]),DAY(m2_crossvalid[[#This Row],[cutoff]]))</f>
        <v>46081</v>
      </c>
      <c r="B456" s="7">
        <f>DATE(YEAR(m2_crossvalid[[#This Row],[ds]]),MONTH(m2_crossvalid[[#This Row],[ds]]),DAY(m2_crossvalid[[#This Row],[ds]]))</f>
        <v>46102</v>
      </c>
      <c r="C456">
        <v>3</v>
      </c>
      <c r="D456" s="1">
        <v>46102.333333333336</v>
      </c>
      <c r="E456">
        <v>1190.2463161218932</v>
      </c>
      <c r="F456">
        <v>-892.03961718452149</v>
      </c>
      <c r="G456">
        <v>3200.198176304858</v>
      </c>
      <c r="H456" s="1">
        <v>46081.333333333336</v>
      </c>
    </row>
    <row r="457" spans="1:8" x14ac:dyDescent="0.25">
      <c r="A457" s="7">
        <f>DATE(YEAR(m2_crossvalid[[#This Row],[cutoff]]),MONTH(m2_crossvalid[[#This Row],[cutoff]]),DAY(m2_crossvalid[[#This Row],[cutoff]]))</f>
        <v>46081</v>
      </c>
      <c r="B457" s="7">
        <f>DATE(YEAR(m2_crossvalid[[#This Row],[ds]]),MONTH(m2_crossvalid[[#This Row],[ds]]),DAY(m2_crossvalid[[#This Row],[ds]]))</f>
        <v>46103</v>
      </c>
      <c r="C457">
        <v>6</v>
      </c>
      <c r="D457" s="1">
        <v>46103.333333333336</v>
      </c>
      <c r="E457">
        <v>487.816749643305</v>
      </c>
      <c r="F457">
        <v>-1552.9503067681856</v>
      </c>
      <c r="G457">
        <v>2487.9667661743938</v>
      </c>
      <c r="H457" s="1">
        <v>46081.333333333336</v>
      </c>
    </row>
    <row r="458" spans="1:8" x14ac:dyDescent="0.25">
      <c r="A458" s="7">
        <f>DATE(YEAR(m2_crossvalid[[#This Row],[cutoff]]),MONTH(m2_crossvalid[[#This Row],[cutoff]]),DAY(m2_crossvalid[[#This Row],[cutoff]]))</f>
        <v>46081</v>
      </c>
      <c r="B458" s="7">
        <f>DATE(YEAR(m2_crossvalid[[#This Row],[ds]]),MONTH(m2_crossvalid[[#This Row],[ds]]),DAY(m2_crossvalid[[#This Row],[ds]]))</f>
        <v>46104</v>
      </c>
      <c r="C458">
        <v>23</v>
      </c>
      <c r="D458" s="1">
        <v>46104.333333333336</v>
      </c>
      <c r="E458">
        <v>2900.1029486391244</v>
      </c>
      <c r="F458">
        <v>923.84605556433871</v>
      </c>
      <c r="G458">
        <v>5024.5838976670229</v>
      </c>
      <c r="H458" s="1">
        <v>46081.333333333336</v>
      </c>
    </row>
    <row r="459" spans="1:8" x14ac:dyDescent="0.25">
      <c r="A459" s="7">
        <f>DATE(YEAR(m2_crossvalid[[#This Row],[cutoff]]),MONTH(m2_crossvalid[[#This Row],[cutoff]]),DAY(m2_crossvalid[[#This Row],[cutoff]]))</f>
        <v>46081</v>
      </c>
      <c r="B459" s="7">
        <f>DATE(YEAR(m2_crossvalid[[#This Row],[ds]]),MONTH(m2_crossvalid[[#This Row],[ds]]),DAY(m2_crossvalid[[#This Row],[ds]]))</f>
        <v>46105</v>
      </c>
      <c r="C459">
        <v>974</v>
      </c>
      <c r="D459" s="1">
        <v>46105.333333333336</v>
      </c>
      <c r="E459">
        <v>3704.6908101777231</v>
      </c>
      <c r="F459">
        <v>1563.6856013761533</v>
      </c>
      <c r="G459">
        <v>5758.0552889594455</v>
      </c>
      <c r="H459" s="1">
        <v>46081.333333333336</v>
      </c>
    </row>
    <row r="460" spans="1:8" x14ac:dyDescent="0.25">
      <c r="A460" s="7">
        <f>DATE(YEAR(m2_crossvalid[[#This Row],[cutoff]]),MONTH(m2_crossvalid[[#This Row],[cutoff]]),DAY(m2_crossvalid[[#This Row],[cutoff]]))</f>
        <v>46081</v>
      </c>
      <c r="B460" s="7">
        <f>DATE(YEAR(m2_crossvalid[[#This Row],[ds]]),MONTH(m2_crossvalid[[#This Row],[ds]]),DAY(m2_crossvalid[[#This Row],[ds]]))</f>
        <v>46106</v>
      </c>
      <c r="C460">
        <v>1752</v>
      </c>
      <c r="D460" s="1">
        <v>46106.333333333336</v>
      </c>
      <c r="E460">
        <v>4017.0468637255753</v>
      </c>
      <c r="F460">
        <v>2064.8416736486683</v>
      </c>
      <c r="G460">
        <v>6015.6710964321419</v>
      </c>
      <c r="H460" s="1">
        <v>46081.333333333336</v>
      </c>
    </row>
    <row r="461" spans="1:8" x14ac:dyDescent="0.25">
      <c r="A461" s="7">
        <f>DATE(YEAR(m2_crossvalid[[#This Row],[cutoff]]),MONTH(m2_crossvalid[[#This Row],[cutoff]]),DAY(m2_crossvalid[[#This Row],[cutoff]]))</f>
        <v>46081</v>
      </c>
      <c r="B461" s="7">
        <f>DATE(YEAR(m2_crossvalid[[#This Row],[ds]]),MONTH(m2_crossvalid[[#This Row],[ds]]),DAY(m2_crossvalid[[#This Row],[ds]]))</f>
        <v>46107</v>
      </c>
      <c r="C461">
        <v>2884</v>
      </c>
      <c r="D461" s="1">
        <v>46107.333333333336</v>
      </c>
      <c r="E461">
        <v>4023.0758937554306</v>
      </c>
      <c r="F461">
        <v>2037.8517935346247</v>
      </c>
      <c r="G461">
        <v>6075.2730952649981</v>
      </c>
      <c r="H461" s="1">
        <v>46081.333333333336</v>
      </c>
    </row>
    <row r="462" spans="1:8" x14ac:dyDescent="0.25">
      <c r="A462" s="7">
        <f>DATE(YEAR(m2_crossvalid[[#This Row],[cutoff]]),MONTH(m2_crossvalid[[#This Row],[cutoff]]),DAY(m2_crossvalid[[#This Row],[cutoff]]))</f>
        <v>46081</v>
      </c>
      <c r="B462" s="7">
        <f>DATE(YEAR(m2_crossvalid[[#This Row],[ds]]),MONTH(m2_crossvalid[[#This Row],[ds]]),DAY(m2_crossvalid[[#This Row],[ds]]))</f>
        <v>46108</v>
      </c>
      <c r="C462">
        <v>3597</v>
      </c>
      <c r="D462" s="1">
        <v>46108.333333333336</v>
      </c>
      <c r="E462">
        <v>3936.4685687911915</v>
      </c>
      <c r="F462">
        <v>1842.3073395127146</v>
      </c>
      <c r="G462">
        <v>5987.5589197011213</v>
      </c>
      <c r="H462" s="1">
        <v>46081.333333333336</v>
      </c>
    </row>
    <row r="463" spans="1:8" x14ac:dyDescent="0.25">
      <c r="A463" s="7">
        <f>DATE(YEAR(m2_crossvalid[[#This Row],[cutoff]]),MONTH(m2_crossvalid[[#This Row],[cutoff]]),DAY(m2_crossvalid[[#This Row],[cutoff]]))</f>
        <v>46081</v>
      </c>
      <c r="B463" s="7">
        <f>DATE(YEAR(m2_crossvalid[[#This Row],[ds]]),MONTH(m2_crossvalid[[#This Row],[ds]]),DAY(m2_crossvalid[[#This Row],[ds]]))</f>
        <v>46109</v>
      </c>
      <c r="C463">
        <v>1207</v>
      </c>
      <c r="D463" s="1">
        <v>46109.333333333336</v>
      </c>
      <c r="E463">
        <v>1788.2141706627094</v>
      </c>
      <c r="F463">
        <v>-287.55623118828305</v>
      </c>
      <c r="G463">
        <v>3748.2853694397963</v>
      </c>
      <c r="H463" s="1">
        <v>46081.333333333336</v>
      </c>
    </row>
    <row r="464" spans="1:8" x14ac:dyDescent="0.25">
      <c r="A464" s="7">
        <f>DATE(YEAR(m2_crossvalid[[#This Row],[cutoff]]),MONTH(m2_crossvalid[[#This Row],[cutoff]]),DAY(m2_crossvalid[[#This Row],[cutoff]]))</f>
        <v>46081</v>
      </c>
      <c r="B464" s="7">
        <f>DATE(YEAR(m2_crossvalid[[#This Row],[ds]]),MONTH(m2_crossvalid[[#This Row],[ds]]),DAY(m2_crossvalid[[#This Row],[ds]]))</f>
        <v>46110</v>
      </c>
      <c r="C464">
        <v>183</v>
      </c>
      <c r="D464" s="1">
        <v>46110.333333333336</v>
      </c>
      <c r="E464">
        <v>1847.905339915307</v>
      </c>
      <c r="F464">
        <v>-156.44492006104852</v>
      </c>
      <c r="G464">
        <v>3820.7195553008696</v>
      </c>
      <c r="H464" s="1">
        <v>46081.333333333336</v>
      </c>
    </row>
    <row r="465" spans="1:8" x14ac:dyDescent="0.25">
      <c r="A465" s="7">
        <f>DATE(YEAR(m2_crossvalid[[#This Row],[cutoff]]),MONTH(m2_crossvalid[[#This Row],[cutoff]]),DAY(m2_crossvalid[[#This Row],[cutoff]]))</f>
        <v>46081</v>
      </c>
      <c r="B465" s="7">
        <f>DATE(YEAR(m2_crossvalid[[#This Row],[ds]]),MONTH(m2_crossvalid[[#This Row],[ds]]),DAY(m2_crossvalid[[#This Row],[ds]]))</f>
        <v>46111</v>
      </c>
      <c r="C465">
        <v>4959</v>
      </c>
      <c r="D465" s="1">
        <v>46111.333333333336</v>
      </c>
      <c r="E465">
        <v>5292.9488041602453</v>
      </c>
      <c r="F465">
        <v>3260.511370859077</v>
      </c>
      <c r="G465">
        <v>7187.7714657384149</v>
      </c>
      <c r="H465" s="1">
        <v>46081.333333333336</v>
      </c>
    </row>
    <row r="466" spans="1:8" x14ac:dyDescent="0.25">
      <c r="A466" s="7">
        <f>DATE(YEAR(m2_crossvalid[[#This Row],[cutoff]]),MONTH(m2_crossvalid[[#This Row],[cutoff]]),DAY(m2_crossvalid[[#This Row],[cutoff]]))</f>
        <v>46081</v>
      </c>
      <c r="B466" s="7">
        <f>DATE(YEAR(m2_crossvalid[[#This Row],[ds]]),MONTH(m2_crossvalid[[#This Row],[ds]]),DAY(m2_crossvalid[[#This Row],[ds]]))</f>
        <v>46112</v>
      </c>
      <c r="C466">
        <v>13213</v>
      </c>
      <c r="D466" s="1">
        <v>46112.333333333336</v>
      </c>
      <c r="E466">
        <v>6814.4084408461094</v>
      </c>
      <c r="F466">
        <v>4944.7029078294199</v>
      </c>
      <c r="G466">
        <v>8931.9998421002419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3079-1222-4E8E-B14A-BA43F2D4B350}">
  <dimension ref="A1:H466"/>
  <sheetViews>
    <sheetView topLeftCell="A424" workbookViewId="0">
      <selection activeCell="A2" sqref="A2:B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DATE(YEAR(m3_crossvalid[[#This Row],[cutoff]]),MONTH(m3_crossvalid[[#This Row],[cutoff]]),DAY(m3_crossvalid[[#This Row],[cutoff]]))</f>
        <v>45657</v>
      </c>
      <c r="B2" s="7">
        <f>DATE(YEAR(m3_crossvalid[[#This Row],[ds]]),MONTH(m3_crossvalid[[#This Row],[ds]]),DAY(m3_crossvalid[[#This Row],[ds]]))</f>
        <v>45658</v>
      </c>
      <c r="C2">
        <v>90</v>
      </c>
      <c r="D2" s="1">
        <v>45658.333333333336</v>
      </c>
      <c r="E2">
        <v>2894.5043225563154</v>
      </c>
      <c r="F2">
        <v>1225.7102946883726</v>
      </c>
      <c r="G2">
        <v>4611.9405241033228</v>
      </c>
      <c r="H2" s="1">
        <v>45657.333333333336</v>
      </c>
    </row>
    <row r="3" spans="1:8" x14ac:dyDescent="0.25">
      <c r="A3" s="7">
        <f>DATE(YEAR(m3_crossvalid[[#This Row],[cutoff]]),MONTH(m3_crossvalid[[#This Row],[cutoff]]),DAY(m3_crossvalid[[#This Row],[cutoff]]))</f>
        <v>45657</v>
      </c>
      <c r="B3" s="7">
        <f>DATE(YEAR(m3_crossvalid[[#This Row],[ds]]),MONTH(m3_crossvalid[[#This Row],[ds]]),DAY(m3_crossvalid[[#This Row],[ds]]))</f>
        <v>45659</v>
      </c>
      <c r="C3">
        <v>541</v>
      </c>
      <c r="D3" s="1">
        <v>45659.333333333336</v>
      </c>
      <c r="E3">
        <v>2571.957016618499</v>
      </c>
      <c r="F3">
        <v>700.43258925999976</v>
      </c>
      <c r="G3">
        <v>4388.726801035089</v>
      </c>
      <c r="H3" s="1">
        <v>45657.333333333336</v>
      </c>
    </row>
    <row r="4" spans="1:8" x14ac:dyDescent="0.25">
      <c r="A4" s="7">
        <f>DATE(YEAR(m3_crossvalid[[#This Row],[cutoff]]),MONTH(m3_crossvalid[[#This Row],[cutoff]]),DAY(m3_crossvalid[[#This Row],[cutoff]]))</f>
        <v>45657</v>
      </c>
      <c r="B4" s="7">
        <f>DATE(YEAR(m3_crossvalid[[#This Row],[ds]]),MONTH(m3_crossvalid[[#This Row],[ds]]),DAY(m3_crossvalid[[#This Row],[ds]]))</f>
        <v>45660</v>
      </c>
      <c r="C4">
        <v>563</v>
      </c>
      <c r="D4" s="1">
        <v>45660.333333333336</v>
      </c>
      <c r="E4">
        <v>1356.2552911917885</v>
      </c>
      <c r="F4">
        <v>-385.01983521734275</v>
      </c>
      <c r="G4">
        <v>3104.3472369323395</v>
      </c>
      <c r="H4" s="1">
        <v>45657.333333333336</v>
      </c>
    </row>
    <row r="5" spans="1:8" x14ac:dyDescent="0.25">
      <c r="A5" s="7">
        <f>DATE(YEAR(m3_crossvalid[[#This Row],[cutoff]]),MONTH(m3_crossvalid[[#This Row],[cutoff]]),DAY(m3_crossvalid[[#This Row],[cutoff]]))</f>
        <v>45657</v>
      </c>
      <c r="B5" s="7">
        <f>DATE(YEAR(m3_crossvalid[[#This Row],[ds]]),MONTH(m3_crossvalid[[#This Row],[ds]]),DAY(m3_crossvalid[[#This Row],[ds]]))</f>
        <v>45661</v>
      </c>
      <c r="C5">
        <v>42</v>
      </c>
      <c r="D5" s="1">
        <v>45661.333333333336</v>
      </c>
      <c r="E5">
        <v>-873.893382354393</v>
      </c>
      <c r="F5">
        <v>-2737.6761451039993</v>
      </c>
      <c r="G5">
        <v>897.18087935625931</v>
      </c>
      <c r="H5" s="1">
        <v>45657.333333333336</v>
      </c>
    </row>
    <row r="6" spans="1:8" x14ac:dyDescent="0.25">
      <c r="A6" s="7">
        <f>DATE(YEAR(m3_crossvalid[[#This Row],[cutoff]]),MONTH(m3_crossvalid[[#This Row],[cutoff]]),DAY(m3_crossvalid[[#This Row],[cutoff]]))</f>
        <v>45657</v>
      </c>
      <c r="B6" s="7">
        <f>DATE(YEAR(m3_crossvalid[[#This Row],[ds]]),MONTH(m3_crossvalid[[#This Row],[ds]]),DAY(m3_crossvalid[[#This Row],[ds]]))</f>
        <v>45662</v>
      </c>
      <c r="C6">
        <v>22</v>
      </c>
      <c r="D6" s="1">
        <v>45662.333333333336</v>
      </c>
      <c r="E6">
        <v>-992.16942550648173</v>
      </c>
      <c r="F6">
        <v>-2752.8713548737769</v>
      </c>
      <c r="G6">
        <v>716.6350805093158</v>
      </c>
      <c r="H6" s="1">
        <v>45657.333333333336</v>
      </c>
    </row>
    <row r="7" spans="1:8" x14ac:dyDescent="0.25">
      <c r="A7" s="7">
        <f>DATE(YEAR(m3_crossvalid[[#This Row],[cutoff]]),MONTH(m3_crossvalid[[#This Row],[cutoff]]),DAY(m3_crossvalid[[#This Row],[cutoff]]))</f>
        <v>45657</v>
      </c>
      <c r="B7" s="7">
        <f>DATE(YEAR(m3_crossvalid[[#This Row],[ds]]),MONTH(m3_crossvalid[[#This Row],[ds]]),DAY(m3_crossvalid[[#This Row],[ds]]))</f>
        <v>45663</v>
      </c>
      <c r="C7">
        <v>533</v>
      </c>
      <c r="D7" s="1">
        <v>45663.333333333336</v>
      </c>
      <c r="E7">
        <v>1780.6497505697425</v>
      </c>
      <c r="F7">
        <v>241.16866389140154</v>
      </c>
      <c r="G7">
        <v>3461.6339143838059</v>
      </c>
      <c r="H7" s="1">
        <v>45657.333333333336</v>
      </c>
    </row>
    <row r="8" spans="1:8" x14ac:dyDescent="0.25">
      <c r="A8" s="7">
        <f>DATE(YEAR(m3_crossvalid[[#This Row],[cutoff]]),MONTH(m3_crossvalid[[#This Row],[cutoff]]),DAY(m3_crossvalid[[#This Row],[cutoff]]))</f>
        <v>45657</v>
      </c>
      <c r="B8" s="7">
        <f>DATE(YEAR(m3_crossvalid[[#This Row],[ds]]),MONTH(m3_crossvalid[[#This Row],[ds]]),DAY(m3_crossvalid[[#This Row],[ds]]))</f>
        <v>45664</v>
      </c>
      <c r="C8">
        <v>712</v>
      </c>
      <c r="D8" s="1">
        <v>45664.333333333336</v>
      </c>
      <c r="E8">
        <v>2023.9762421633209</v>
      </c>
      <c r="F8">
        <v>457.88448481482334</v>
      </c>
      <c r="G8">
        <v>3849.2223797299825</v>
      </c>
      <c r="H8" s="1">
        <v>45657.333333333336</v>
      </c>
    </row>
    <row r="9" spans="1:8" x14ac:dyDescent="0.25">
      <c r="A9" s="7">
        <f>DATE(YEAR(m3_crossvalid[[#This Row],[cutoff]]),MONTH(m3_crossvalid[[#This Row],[cutoff]]),DAY(m3_crossvalid[[#This Row],[cutoff]]))</f>
        <v>45657</v>
      </c>
      <c r="B9" s="7">
        <f>DATE(YEAR(m3_crossvalid[[#This Row],[ds]]),MONTH(m3_crossvalid[[#This Row],[ds]]),DAY(m3_crossvalid[[#This Row],[ds]]))</f>
        <v>45665</v>
      </c>
      <c r="C9">
        <v>904</v>
      </c>
      <c r="D9" s="1">
        <v>45665.333333333336</v>
      </c>
      <c r="E9">
        <v>1871.0182372726072</v>
      </c>
      <c r="F9">
        <v>195.48014955897918</v>
      </c>
      <c r="G9">
        <v>3632.7131123543918</v>
      </c>
      <c r="H9" s="1">
        <v>45657.333333333336</v>
      </c>
    </row>
    <row r="10" spans="1:8" x14ac:dyDescent="0.25">
      <c r="A10" s="7">
        <f>DATE(YEAR(m3_crossvalid[[#This Row],[cutoff]]),MONTH(m3_crossvalid[[#This Row],[cutoff]]),DAY(m3_crossvalid[[#This Row],[cutoff]]))</f>
        <v>45657</v>
      </c>
      <c r="B10" s="7">
        <f>DATE(YEAR(m3_crossvalid[[#This Row],[ds]]),MONTH(m3_crossvalid[[#This Row],[ds]]),DAY(m3_crossvalid[[#This Row],[ds]]))</f>
        <v>45666</v>
      </c>
      <c r="C10">
        <v>1135</v>
      </c>
      <c r="D10" s="1">
        <v>45666.333333333336</v>
      </c>
      <c r="E10">
        <v>1784.0149132551649</v>
      </c>
      <c r="F10">
        <v>116.45627477701402</v>
      </c>
      <c r="G10">
        <v>3518.4098838526602</v>
      </c>
      <c r="H10" s="1">
        <v>45657.333333333336</v>
      </c>
    </row>
    <row r="11" spans="1:8" x14ac:dyDescent="0.25">
      <c r="A11" s="7">
        <f>DATE(YEAR(m3_crossvalid[[#This Row],[cutoff]]),MONTH(m3_crossvalid[[#This Row],[cutoff]]),DAY(m3_crossvalid[[#This Row],[cutoff]]))</f>
        <v>45657</v>
      </c>
      <c r="B11" s="7">
        <f>DATE(YEAR(m3_crossvalid[[#This Row],[ds]]),MONTH(m3_crossvalid[[#This Row],[ds]]),DAY(m3_crossvalid[[#This Row],[ds]]))</f>
        <v>45667</v>
      </c>
      <c r="C11">
        <v>1270</v>
      </c>
      <c r="D11" s="1">
        <v>45667.333333333336</v>
      </c>
      <c r="E11">
        <v>1785.0764841511068</v>
      </c>
      <c r="F11">
        <v>18.807170368159813</v>
      </c>
      <c r="G11">
        <v>3570.197973642325</v>
      </c>
      <c r="H11" s="1">
        <v>45657.333333333336</v>
      </c>
    </row>
    <row r="12" spans="1:8" x14ac:dyDescent="0.25">
      <c r="A12" s="7">
        <f>DATE(YEAR(m3_crossvalid[[#This Row],[cutoff]]),MONTH(m3_crossvalid[[#This Row],[cutoff]]),DAY(m3_crossvalid[[#This Row],[cutoff]]))</f>
        <v>45657</v>
      </c>
      <c r="B12" s="7">
        <f>DATE(YEAR(m3_crossvalid[[#This Row],[ds]]),MONTH(m3_crossvalid[[#This Row],[ds]]),DAY(m3_crossvalid[[#This Row],[ds]]))</f>
        <v>45668</v>
      </c>
      <c r="C12">
        <v>203</v>
      </c>
      <c r="D12" s="1">
        <v>45668.333333333336</v>
      </c>
      <c r="E12">
        <v>-110.49283222192889</v>
      </c>
      <c r="F12">
        <v>-2014.6188712238047</v>
      </c>
      <c r="G12">
        <v>1610.0731176588283</v>
      </c>
      <c r="H12" s="1">
        <v>45657.333333333336</v>
      </c>
    </row>
    <row r="13" spans="1:8" x14ac:dyDescent="0.25">
      <c r="A13" s="7">
        <f>DATE(YEAR(m3_crossvalid[[#This Row],[cutoff]]),MONTH(m3_crossvalid[[#This Row],[cutoff]]),DAY(m3_crossvalid[[#This Row],[cutoff]]))</f>
        <v>45657</v>
      </c>
      <c r="B13" s="7">
        <f>DATE(YEAR(m3_crossvalid[[#This Row],[ds]]),MONTH(m3_crossvalid[[#This Row],[ds]]),DAY(m3_crossvalid[[#This Row],[ds]]))</f>
        <v>45669</v>
      </c>
      <c r="C13">
        <v>41</v>
      </c>
      <c r="D13" s="1">
        <v>45669.333333333336</v>
      </c>
      <c r="E13">
        <v>-534.26589852658799</v>
      </c>
      <c r="F13">
        <v>-2226.9178251008479</v>
      </c>
      <c r="G13">
        <v>1236.7636634115167</v>
      </c>
      <c r="H13" s="1">
        <v>45657.333333333336</v>
      </c>
    </row>
    <row r="14" spans="1:8" x14ac:dyDescent="0.25">
      <c r="A14" s="7">
        <f>DATE(YEAR(m3_crossvalid[[#This Row],[cutoff]]),MONTH(m3_crossvalid[[#This Row],[cutoff]]),DAY(m3_crossvalid[[#This Row],[cutoff]]))</f>
        <v>45657</v>
      </c>
      <c r="B14" s="7">
        <f>DATE(YEAR(m3_crossvalid[[#This Row],[ds]]),MONTH(m3_crossvalid[[#This Row],[ds]]),DAY(m3_crossvalid[[#This Row],[ds]]))</f>
        <v>45670</v>
      </c>
      <c r="C14">
        <v>1313</v>
      </c>
      <c r="D14" s="1">
        <v>45670.333333333336</v>
      </c>
      <c r="E14">
        <v>1859.9878193974209</v>
      </c>
      <c r="F14">
        <v>127.62768708243981</v>
      </c>
      <c r="G14">
        <v>3544.6840681260396</v>
      </c>
      <c r="H14" s="1">
        <v>45657.333333333336</v>
      </c>
    </row>
    <row r="15" spans="1:8" x14ac:dyDescent="0.25">
      <c r="A15" s="7">
        <f>DATE(YEAR(m3_crossvalid[[#This Row],[cutoff]]),MONTH(m3_crossvalid[[#This Row],[cutoff]]),DAY(m3_crossvalid[[#This Row],[cutoff]]))</f>
        <v>45657</v>
      </c>
      <c r="B15" s="7">
        <f>DATE(YEAR(m3_crossvalid[[#This Row],[ds]]),MONTH(m3_crossvalid[[#This Row],[ds]]),DAY(m3_crossvalid[[#This Row],[ds]]))</f>
        <v>45671</v>
      </c>
      <c r="C15">
        <v>1609</v>
      </c>
      <c r="D15" s="1">
        <v>45671.333333333336</v>
      </c>
      <c r="E15">
        <v>2086.2026614924521</v>
      </c>
      <c r="F15">
        <v>347.90875333779547</v>
      </c>
      <c r="G15">
        <v>3963.3930134420234</v>
      </c>
      <c r="H15" s="1">
        <v>45657.333333333336</v>
      </c>
    </row>
    <row r="16" spans="1:8" x14ac:dyDescent="0.25">
      <c r="A16" s="7">
        <f>DATE(YEAR(m3_crossvalid[[#This Row],[cutoff]]),MONTH(m3_crossvalid[[#This Row],[cutoff]]),DAY(m3_crossvalid[[#This Row],[cutoff]]))</f>
        <v>45657</v>
      </c>
      <c r="B16" s="7">
        <f>DATE(YEAR(m3_crossvalid[[#This Row],[ds]]),MONTH(m3_crossvalid[[#This Row],[ds]]),DAY(m3_crossvalid[[#This Row],[ds]]))</f>
        <v>45672</v>
      </c>
      <c r="C16">
        <v>2010</v>
      </c>
      <c r="D16" s="1">
        <v>45672.333333333336</v>
      </c>
      <c r="E16">
        <v>2270.8253559350364</v>
      </c>
      <c r="F16">
        <v>522.90139761111618</v>
      </c>
      <c r="G16">
        <v>4043.8181386505389</v>
      </c>
      <c r="H16" s="1">
        <v>45657.333333333336</v>
      </c>
    </row>
    <row r="17" spans="1:8" x14ac:dyDescent="0.25">
      <c r="A17" s="7">
        <f>DATE(YEAR(m3_crossvalid[[#This Row],[cutoff]]),MONTH(m3_crossvalid[[#This Row],[cutoff]]),DAY(m3_crossvalid[[#This Row],[cutoff]]))</f>
        <v>45657</v>
      </c>
      <c r="B17" s="7">
        <f>DATE(YEAR(m3_crossvalid[[#This Row],[ds]]),MONTH(m3_crossvalid[[#This Row],[ds]]),DAY(m3_crossvalid[[#This Row],[ds]]))</f>
        <v>45673</v>
      </c>
      <c r="C17">
        <v>2206</v>
      </c>
      <c r="D17" s="1">
        <v>45673.333333333336</v>
      </c>
      <c r="E17">
        <v>2522.2273063880953</v>
      </c>
      <c r="F17">
        <v>670.00524155856976</v>
      </c>
      <c r="G17">
        <v>4310.0965143932253</v>
      </c>
      <c r="H17" s="1">
        <v>45657.333333333336</v>
      </c>
    </row>
    <row r="18" spans="1:8" x14ac:dyDescent="0.25">
      <c r="A18" s="7">
        <f>DATE(YEAR(m3_crossvalid[[#This Row],[cutoff]]),MONTH(m3_crossvalid[[#This Row],[cutoff]]),DAY(m3_crossvalid[[#This Row],[cutoff]]))</f>
        <v>45657</v>
      </c>
      <c r="B18" s="7">
        <f>DATE(YEAR(m3_crossvalid[[#This Row],[ds]]),MONTH(m3_crossvalid[[#This Row],[ds]]),DAY(m3_crossvalid[[#This Row],[ds]]))</f>
        <v>45674</v>
      </c>
      <c r="C18">
        <v>2291</v>
      </c>
      <c r="D18" s="1">
        <v>45674.333333333336</v>
      </c>
      <c r="E18">
        <v>2547.3451118377111</v>
      </c>
      <c r="F18">
        <v>726.09365156097317</v>
      </c>
      <c r="G18">
        <v>4221.4936993459123</v>
      </c>
      <c r="H18" s="1">
        <v>45657.333333333336</v>
      </c>
    </row>
    <row r="19" spans="1:8" x14ac:dyDescent="0.25">
      <c r="A19" s="7">
        <f>DATE(YEAR(m3_crossvalid[[#This Row],[cutoff]]),MONTH(m3_crossvalid[[#This Row],[cutoff]]),DAY(m3_crossvalid[[#This Row],[cutoff]]))</f>
        <v>45657</v>
      </c>
      <c r="B19" s="7">
        <f>DATE(YEAR(m3_crossvalid[[#This Row],[ds]]),MONTH(m3_crossvalid[[#This Row],[ds]]),DAY(m3_crossvalid[[#This Row],[ds]]))</f>
        <v>45675</v>
      </c>
      <c r="C19">
        <v>401</v>
      </c>
      <c r="D19" s="1">
        <v>45675.333333333336</v>
      </c>
      <c r="E19">
        <v>392.23805627642105</v>
      </c>
      <c r="F19">
        <v>-1351.9394854562397</v>
      </c>
      <c r="G19">
        <v>2016.9936765612522</v>
      </c>
      <c r="H19" s="1">
        <v>45657.333333333336</v>
      </c>
    </row>
    <row r="20" spans="1:8" x14ac:dyDescent="0.25">
      <c r="A20" s="7">
        <f>DATE(YEAR(m3_crossvalid[[#This Row],[cutoff]]),MONTH(m3_crossvalid[[#This Row],[cutoff]]),DAY(m3_crossvalid[[#This Row],[cutoff]]))</f>
        <v>45657</v>
      </c>
      <c r="B20" s="7">
        <f>DATE(YEAR(m3_crossvalid[[#This Row],[ds]]),MONTH(m3_crossvalid[[#This Row],[ds]]),DAY(m3_crossvalid[[#This Row],[ds]]))</f>
        <v>45676</v>
      </c>
      <c r="C20">
        <v>129</v>
      </c>
      <c r="D20" s="1">
        <v>45676.333333333336</v>
      </c>
      <c r="E20">
        <v>-250.00952398402023</v>
      </c>
      <c r="F20">
        <v>-2048.7722725481071</v>
      </c>
      <c r="G20">
        <v>1399.7136042595066</v>
      </c>
      <c r="H20" s="1">
        <v>45657.333333333336</v>
      </c>
    </row>
    <row r="21" spans="1:8" x14ac:dyDescent="0.25">
      <c r="A21" s="7">
        <f>DATE(YEAR(m3_crossvalid[[#This Row],[cutoff]]),MONTH(m3_crossvalid[[#This Row],[cutoff]]),DAY(m3_crossvalid[[#This Row],[cutoff]]))</f>
        <v>45657</v>
      </c>
      <c r="B21" s="7">
        <f>DATE(YEAR(m3_crossvalid[[#This Row],[ds]]),MONTH(m3_crossvalid[[#This Row],[ds]]),DAY(m3_crossvalid[[#This Row],[ds]]))</f>
        <v>45677</v>
      </c>
      <c r="C21">
        <v>2385</v>
      </c>
      <c r="D21" s="1">
        <v>45677.333333333336</v>
      </c>
      <c r="E21">
        <v>2243.6994046514496</v>
      </c>
      <c r="F21">
        <v>473.26305835629438</v>
      </c>
      <c r="G21">
        <v>3963.6671887102343</v>
      </c>
      <c r="H21" s="1">
        <v>45657.333333333336</v>
      </c>
    </row>
    <row r="22" spans="1:8" x14ac:dyDescent="0.25">
      <c r="A22" s="7">
        <f>DATE(YEAR(m3_crossvalid[[#This Row],[cutoff]]),MONTH(m3_crossvalid[[#This Row],[cutoff]]),DAY(m3_crossvalid[[#This Row],[cutoff]]))</f>
        <v>45657</v>
      </c>
      <c r="B22" s="7">
        <f>DATE(YEAR(m3_crossvalid[[#This Row],[ds]]),MONTH(m3_crossvalid[[#This Row],[ds]]),DAY(m3_crossvalid[[#This Row],[ds]]))</f>
        <v>45678</v>
      </c>
      <c r="C22">
        <v>3051</v>
      </c>
      <c r="D22" s="1">
        <v>45678.333333333336</v>
      </c>
      <c r="E22">
        <v>2831.2073084986464</v>
      </c>
      <c r="F22">
        <v>1161.6777588793632</v>
      </c>
      <c r="G22">
        <v>4529.8142719803291</v>
      </c>
      <c r="H22" s="1">
        <v>45657.333333333336</v>
      </c>
    </row>
    <row r="23" spans="1:8" x14ac:dyDescent="0.25">
      <c r="A23" s="7">
        <f>DATE(YEAR(m3_crossvalid[[#This Row],[cutoff]]),MONTH(m3_crossvalid[[#This Row],[cutoff]]),DAY(m3_crossvalid[[#This Row],[cutoff]]))</f>
        <v>45657</v>
      </c>
      <c r="B23" s="7">
        <f>DATE(YEAR(m3_crossvalid[[#This Row],[ds]]),MONTH(m3_crossvalid[[#This Row],[ds]]),DAY(m3_crossvalid[[#This Row],[ds]]))</f>
        <v>45679</v>
      </c>
      <c r="C23">
        <v>2878</v>
      </c>
      <c r="D23" s="1">
        <v>45679.333333333336</v>
      </c>
      <c r="E23">
        <v>3307.391595277893</v>
      </c>
      <c r="F23">
        <v>1532.8207070007327</v>
      </c>
      <c r="G23">
        <v>4983.2194543702626</v>
      </c>
      <c r="H23" s="1">
        <v>45657.333333333336</v>
      </c>
    </row>
    <row r="24" spans="1:8" x14ac:dyDescent="0.25">
      <c r="A24" s="7">
        <f>DATE(YEAR(m3_crossvalid[[#This Row],[cutoff]]),MONTH(m3_crossvalid[[#This Row],[cutoff]]),DAY(m3_crossvalid[[#This Row],[cutoff]]))</f>
        <v>45657</v>
      </c>
      <c r="B24" s="7">
        <f>DATE(YEAR(m3_crossvalid[[#This Row],[ds]]),MONTH(m3_crossvalid[[#This Row],[ds]]),DAY(m3_crossvalid[[#This Row],[ds]]))</f>
        <v>45680</v>
      </c>
      <c r="C24">
        <v>4853</v>
      </c>
      <c r="D24" s="1">
        <v>45680.333333333336</v>
      </c>
      <c r="E24">
        <v>3522.4678219312768</v>
      </c>
      <c r="F24">
        <v>1727.1684639223731</v>
      </c>
      <c r="G24">
        <v>5240.8756933592758</v>
      </c>
      <c r="H24" s="1">
        <v>45657.333333333336</v>
      </c>
    </row>
    <row r="25" spans="1:8" x14ac:dyDescent="0.25">
      <c r="A25" s="7">
        <f>DATE(YEAR(m3_crossvalid[[#This Row],[cutoff]]),MONTH(m3_crossvalid[[#This Row],[cutoff]]),DAY(m3_crossvalid[[#This Row],[cutoff]]))</f>
        <v>45657</v>
      </c>
      <c r="B25" s="7">
        <f>DATE(YEAR(m3_crossvalid[[#This Row],[ds]]),MONTH(m3_crossvalid[[#This Row],[ds]]),DAY(m3_crossvalid[[#This Row],[ds]]))</f>
        <v>45681</v>
      </c>
      <c r="C25">
        <v>5202</v>
      </c>
      <c r="D25" s="1">
        <v>45681.333333333336</v>
      </c>
      <c r="E25">
        <v>3297.633689009097</v>
      </c>
      <c r="F25">
        <v>1598.3718466114906</v>
      </c>
      <c r="G25">
        <v>5059.6823158767493</v>
      </c>
      <c r="H25" s="1">
        <v>45657.333333333336</v>
      </c>
    </row>
    <row r="26" spans="1:8" x14ac:dyDescent="0.25">
      <c r="A26" s="7">
        <f>DATE(YEAR(m3_crossvalid[[#This Row],[cutoff]]),MONTH(m3_crossvalid[[#This Row],[cutoff]]),DAY(m3_crossvalid[[#This Row],[cutoff]]))</f>
        <v>45657</v>
      </c>
      <c r="B26" s="7">
        <f>DATE(YEAR(m3_crossvalid[[#This Row],[ds]]),MONTH(m3_crossvalid[[#This Row],[ds]]),DAY(m3_crossvalid[[#This Row],[ds]]))</f>
        <v>45682</v>
      </c>
      <c r="C26">
        <v>1624</v>
      </c>
      <c r="D26" s="1">
        <v>45682.333333333336</v>
      </c>
      <c r="E26">
        <v>1110.06200963175</v>
      </c>
      <c r="F26">
        <v>-722.39248840761059</v>
      </c>
      <c r="G26">
        <v>2926.580538865499</v>
      </c>
      <c r="H26" s="1">
        <v>45657.333333333336</v>
      </c>
    </row>
    <row r="27" spans="1:8" x14ac:dyDescent="0.25">
      <c r="A27" s="7">
        <f>DATE(YEAR(m3_crossvalid[[#This Row],[cutoff]]),MONTH(m3_crossvalid[[#This Row],[cutoff]]),DAY(m3_crossvalid[[#This Row],[cutoff]]))</f>
        <v>45657</v>
      </c>
      <c r="B27" s="7">
        <f>DATE(YEAR(m3_crossvalid[[#This Row],[ds]]),MONTH(m3_crossvalid[[#This Row],[ds]]),DAY(m3_crossvalid[[#This Row],[ds]]))</f>
        <v>45683</v>
      </c>
      <c r="C27">
        <v>454</v>
      </c>
      <c r="D27" s="1">
        <v>45683.333333333336</v>
      </c>
      <c r="E27">
        <v>1016.8767262557874</v>
      </c>
      <c r="F27">
        <v>-709.11301359022661</v>
      </c>
      <c r="G27">
        <v>2699.6118192431522</v>
      </c>
      <c r="H27" s="1">
        <v>45657.333333333336</v>
      </c>
    </row>
    <row r="28" spans="1:8" x14ac:dyDescent="0.25">
      <c r="A28" s="7">
        <f>DATE(YEAR(m3_crossvalid[[#This Row],[cutoff]]),MONTH(m3_crossvalid[[#This Row],[cutoff]]),DAY(m3_crossvalid[[#This Row],[cutoff]]))</f>
        <v>45657</v>
      </c>
      <c r="B28" s="7">
        <f>DATE(YEAR(m3_crossvalid[[#This Row],[ds]]),MONTH(m3_crossvalid[[#This Row],[ds]]),DAY(m3_crossvalid[[#This Row],[ds]]))</f>
        <v>45684</v>
      </c>
      <c r="C28">
        <v>5598</v>
      </c>
      <c r="D28" s="1">
        <v>45684.333333333336</v>
      </c>
      <c r="E28">
        <v>4564.8163440269473</v>
      </c>
      <c r="F28">
        <v>2813.7098702177409</v>
      </c>
      <c r="G28">
        <v>6320.4154597671877</v>
      </c>
      <c r="H28" s="1">
        <v>45657.333333333336</v>
      </c>
    </row>
    <row r="29" spans="1:8" x14ac:dyDescent="0.25">
      <c r="A29" s="7">
        <f>DATE(YEAR(m3_crossvalid[[#This Row],[cutoff]]),MONTH(m3_crossvalid[[#This Row],[cutoff]]),DAY(m3_crossvalid[[#This Row],[cutoff]]))</f>
        <v>45657</v>
      </c>
      <c r="B29" s="7">
        <f>DATE(YEAR(m3_crossvalid[[#This Row],[ds]]),MONTH(m3_crossvalid[[#This Row],[ds]]),DAY(m3_crossvalid[[#This Row],[ds]]))</f>
        <v>45685</v>
      </c>
      <c r="C29">
        <v>5264</v>
      </c>
      <c r="D29" s="1">
        <v>45685.333333333336</v>
      </c>
      <c r="E29">
        <v>6171.5201607261597</v>
      </c>
      <c r="F29">
        <v>4342.9780249503956</v>
      </c>
      <c r="G29">
        <v>7930.4668132972929</v>
      </c>
      <c r="H29" s="1">
        <v>45657.333333333336</v>
      </c>
    </row>
    <row r="30" spans="1:8" x14ac:dyDescent="0.25">
      <c r="A30" s="7">
        <f>DATE(YEAR(m3_crossvalid[[#This Row],[cutoff]]),MONTH(m3_crossvalid[[#This Row],[cutoff]]),DAY(m3_crossvalid[[#This Row],[cutoff]]))</f>
        <v>45657</v>
      </c>
      <c r="B30" s="7">
        <f>DATE(YEAR(m3_crossvalid[[#This Row],[ds]]),MONTH(m3_crossvalid[[#This Row],[ds]]),DAY(m3_crossvalid[[#This Row],[ds]]))</f>
        <v>45686</v>
      </c>
      <c r="C30">
        <v>310</v>
      </c>
      <c r="D30" s="1">
        <v>45686.333333333336</v>
      </c>
      <c r="E30">
        <v>5791.9934095266044</v>
      </c>
      <c r="F30">
        <v>4069.2347117224176</v>
      </c>
      <c r="G30">
        <v>7604.2554029299836</v>
      </c>
      <c r="H30" s="1">
        <v>45657.333333333336</v>
      </c>
    </row>
    <row r="31" spans="1:8" x14ac:dyDescent="0.25">
      <c r="A31" s="7">
        <f>DATE(YEAR(m3_crossvalid[[#This Row],[cutoff]]),MONTH(m3_crossvalid[[#This Row],[cutoff]]),DAY(m3_crossvalid[[#This Row],[cutoff]]))</f>
        <v>45657</v>
      </c>
      <c r="B31" s="7">
        <f>DATE(YEAR(m3_crossvalid[[#This Row],[ds]]),MONTH(m3_crossvalid[[#This Row],[ds]]),DAY(m3_crossvalid[[#This Row],[ds]]))</f>
        <v>45687</v>
      </c>
      <c r="C31">
        <v>255</v>
      </c>
      <c r="D31" s="1">
        <v>45687.333333333336</v>
      </c>
      <c r="E31">
        <v>5335.8742406642968</v>
      </c>
      <c r="F31">
        <v>3686.1699529454886</v>
      </c>
      <c r="G31">
        <v>7091.5614804611141</v>
      </c>
      <c r="H31" s="1">
        <v>45657.333333333336</v>
      </c>
    </row>
    <row r="32" spans="1:8" x14ac:dyDescent="0.25">
      <c r="A32" s="7">
        <f>DATE(YEAR(m3_crossvalid[[#This Row],[cutoff]]),MONTH(m3_crossvalid[[#This Row],[cutoff]]),DAY(m3_crossvalid[[#This Row],[cutoff]]))</f>
        <v>45657</v>
      </c>
      <c r="B32" s="7">
        <f>DATE(YEAR(m3_crossvalid[[#This Row],[ds]]),MONTH(m3_crossvalid[[#This Row],[ds]]),DAY(m3_crossvalid[[#This Row],[ds]]))</f>
        <v>45688</v>
      </c>
      <c r="C32">
        <v>6041</v>
      </c>
      <c r="D32" s="1">
        <v>45688.333333333336</v>
      </c>
      <c r="E32">
        <v>4791.7255853795659</v>
      </c>
      <c r="F32">
        <v>3115.7512473181637</v>
      </c>
      <c r="G32">
        <v>6517.9624661797752</v>
      </c>
      <c r="H32" s="1">
        <v>45657.333333333336</v>
      </c>
    </row>
    <row r="33" spans="1:8" x14ac:dyDescent="0.25">
      <c r="A33" s="7">
        <f>DATE(YEAR(m3_crossvalid[[#This Row],[cutoff]]),MONTH(m3_crossvalid[[#This Row],[cutoff]]),DAY(m3_crossvalid[[#This Row],[cutoff]]))</f>
        <v>45688</v>
      </c>
      <c r="B33" s="7">
        <f>DATE(YEAR(m3_crossvalid[[#This Row],[ds]]),MONTH(m3_crossvalid[[#This Row],[ds]]),DAY(m3_crossvalid[[#This Row],[ds]]))</f>
        <v>45689</v>
      </c>
      <c r="C33">
        <v>47</v>
      </c>
      <c r="D33" s="1">
        <v>45689.333333333336</v>
      </c>
      <c r="E33">
        <v>-927.34214643317182</v>
      </c>
      <c r="F33">
        <v>-2748.1683483049155</v>
      </c>
      <c r="G33">
        <v>752.71288299900891</v>
      </c>
      <c r="H33" s="1">
        <v>45688.333333333336</v>
      </c>
    </row>
    <row r="34" spans="1:8" x14ac:dyDescent="0.25">
      <c r="A34" s="7">
        <f>DATE(YEAR(m3_crossvalid[[#This Row],[cutoff]]),MONTH(m3_crossvalid[[#This Row],[cutoff]]),DAY(m3_crossvalid[[#This Row],[cutoff]]))</f>
        <v>45688</v>
      </c>
      <c r="B34" s="7">
        <f>DATE(YEAR(m3_crossvalid[[#This Row],[ds]]),MONTH(m3_crossvalid[[#This Row],[ds]]),DAY(m3_crossvalid[[#This Row],[ds]]))</f>
        <v>45690</v>
      </c>
      <c r="C34">
        <v>14</v>
      </c>
      <c r="D34" s="1">
        <v>45690.333333333336</v>
      </c>
      <c r="E34">
        <v>-1200.5031630800736</v>
      </c>
      <c r="F34">
        <v>-2991.9628271578899</v>
      </c>
      <c r="G34">
        <v>578.18435284380246</v>
      </c>
      <c r="H34" s="1">
        <v>45688.333333333336</v>
      </c>
    </row>
    <row r="35" spans="1:8" x14ac:dyDescent="0.25">
      <c r="A35" s="7">
        <f>DATE(YEAR(m3_crossvalid[[#This Row],[cutoff]]),MONTH(m3_crossvalid[[#This Row],[cutoff]]),DAY(m3_crossvalid[[#This Row],[cutoff]]))</f>
        <v>45688</v>
      </c>
      <c r="B35" s="7">
        <f>DATE(YEAR(m3_crossvalid[[#This Row],[ds]]),MONTH(m3_crossvalid[[#This Row],[ds]]),DAY(m3_crossvalid[[#This Row],[ds]]))</f>
        <v>45691</v>
      </c>
      <c r="C35">
        <v>454</v>
      </c>
      <c r="D35" s="1">
        <v>45691.333333333336</v>
      </c>
      <c r="E35">
        <v>905.0881901220323</v>
      </c>
      <c r="F35">
        <v>-810.643652186851</v>
      </c>
      <c r="G35">
        <v>2832.8625795966818</v>
      </c>
      <c r="H35" s="1">
        <v>45688.333333333336</v>
      </c>
    </row>
    <row r="36" spans="1:8" x14ac:dyDescent="0.25">
      <c r="A36" s="7">
        <f>DATE(YEAR(m3_crossvalid[[#This Row],[cutoff]]),MONTH(m3_crossvalid[[#This Row],[cutoff]]),DAY(m3_crossvalid[[#This Row],[cutoff]]))</f>
        <v>45688</v>
      </c>
      <c r="B36" s="7">
        <f>DATE(YEAR(m3_crossvalid[[#This Row],[ds]]),MONTH(m3_crossvalid[[#This Row],[ds]]),DAY(m3_crossvalid[[#This Row],[ds]]))</f>
        <v>45692</v>
      </c>
      <c r="C36">
        <v>626</v>
      </c>
      <c r="D36" s="1">
        <v>45692.333333333336</v>
      </c>
      <c r="E36">
        <v>1545.9341557800128</v>
      </c>
      <c r="F36">
        <v>-226.13550255760353</v>
      </c>
      <c r="G36">
        <v>3333.7646235334028</v>
      </c>
      <c r="H36" s="1">
        <v>45688.333333333336</v>
      </c>
    </row>
    <row r="37" spans="1:8" x14ac:dyDescent="0.25">
      <c r="A37" s="7">
        <f>DATE(YEAR(m3_crossvalid[[#This Row],[cutoff]]),MONTH(m3_crossvalid[[#This Row],[cutoff]]),DAY(m3_crossvalid[[#This Row],[cutoff]]))</f>
        <v>45688</v>
      </c>
      <c r="B37" s="7">
        <f>DATE(YEAR(m3_crossvalid[[#This Row],[ds]]),MONTH(m3_crossvalid[[#This Row],[ds]]),DAY(m3_crossvalid[[#This Row],[ds]]))</f>
        <v>45693</v>
      </c>
      <c r="C37">
        <v>886</v>
      </c>
      <c r="D37" s="1">
        <v>45693.333333333336</v>
      </c>
      <c r="E37">
        <v>2018.8059593117944</v>
      </c>
      <c r="F37">
        <v>156.54005079789835</v>
      </c>
      <c r="G37">
        <v>3686.9008488541581</v>
      </c>
      <c r="H37" s="1">
        <v>45688.333333333336</v>
      </c>
    </row>
    <row r="38" spans="1:8" x14ac:dyDescent="0.25">
      <c r="A38" s="7">
        <f>DATE(YEAR(m3_crossvalid[[#This Row],[cutoff]]),MONTH(m3_crossvalid[[#This Row],[cutoff]]),DAY(m3_crossvalid[[#This Row],[cutoff]]))</f>
        <v>45688</v>
      </c>
      <c r="B38" s="7">
        <f>DATE(YEAR(m3_crossvalid[[#This Row],[ds]]),MONTH(m3_crossvalid[[#This Row],[ds]]),DAY(m3_crossvalid[[#This Row],[ds]]))</f>
        <v>45694</v>
      </c>
      <c r="C38">
        <v>1159</v>
      </c>
      <c r="D38" s="1">
        <v>45694.333333333336</v>
      </c>
      <c r="E38">
        <v>2138.3224404278199</v>
      </c>
      <c r="F38">
        <v>477.08948365394377</v>
      </c>
      <c r="G38">
        <v>3999.8762939064713</v>
      </c>
      <c r="H38" s="1">
        <v>45688.333333333336</v>
      </c>
    </row>
    <row r="39" spans="1:8" x14ac:dyDescent="0.25">
      <c r="A39" s="7">
        <f>DATE(YEAR(m3_crossvalid[[#This Row],[cutoff]]),MONTH(m3_crossvalid[[#This Row],[cutoff]]),DAY(m3_crossvalid[[#This Row],[cutoff]]))</f>
        <v>45688</v>
      </c>
      <c r="B39" s="7">
        <f>DATE(YEAR(m3_crossvalid[[#This Row],[ds]]),MONTH(m3_crossvalid[[#This Row],[ds]]),DAY(m3_crossvalid[[#This Row],[ds]]))</f>
        <v>45695</v>
      </c>
      <c r="C39">
        <v>1342</v>
      </c>
      <c r="D39" s="1">
        <v>45695.333333333336</v>
      </c>
      <c r="E39">
        <v>1843.9086952935163</v>
      </c>
      <c r="F39">
        <v>-0.18345036750265975</v>
      </c>
      <c r="G39">
        <v>3624.8191847195167</v>
      </c>
      <c r="H39" s="1">
        <v>45688.333333333336</v>
      </c>
    </row>
    <row r="40" spans="1:8" x14ac:dyDescent="0.25">
      <c r="A40" s="7">
        <f>DATE(YEAR(m3_crossvalid[[#This Row],[cutoff]]),MONTH(m3_crossvalid[[#This Row],[cutoff]]),DAY(m3_crossvalid[[#This Row],[cutoff]]))</f>
        <v>45688</v>
      </c>
      <c r="B40" s="7">
        <f>DATE(YEAR(m3_crossvalid[[#This Row],[ds]]),MONTH(m3_crossvalid[[#This Row],[ds]]),DAY(m3_crossvalid[[#This Row],[ds]]))</f>
        <v>45696</v>
      </c>
      <c r="C40">
        <v>301</v>
      </c>
      <c r="D40" s="1">
        <v>45696.333333333336</v>
      </c>
      <c r="E40">
        <v>-403.96121068043476</v>
      </c>
      <c r="F40">
        <v>-2095.820085159959</v>
      </c>
      <c r="G40">
        <v>1524.3718871994361</v>
      </c>
      <c r="H40" s="1">
        <v>45688.333333333336</v>
      </c>
    </row>
    <row r="41" spans="1:8" x14ac:dyDescent="0.25">
      <c r="A41" s="7">
        <f>DATE(YEAR(m3_crossvalid[[#This Row],[cutoff]]),MONTH(m3_crossvalid[[#This Row],[cutoff]]),DAY(m3_crossvalid[[#This Row],[cutoff]]))</f>
        <v>45688</v>
      </c>
      <c r="B41" s="7">
        <f>DATE(YEAR(m3_crossvalid[[#This Row],[ds]]),MONTH(m3_crossvalid[[#This Row],[ds]]),DAY(m3_crossvalid[[#This Row],[ds]]))</f>
        <v>45697</v>
      </c>
      <c r="C41">
        <v>54</v>
      </c>
      <c r="D41" s="1">
        <v>45697.333333333336</v>
      </c>
      <c r="E41">
        <v>-745.90564823275463</v>
      </c>
      <c r="F41">
        <v>-2467.6701072668116</v>
      </c>
      <c r="G41">
        <v>1062.753464501402</v>
      </c>
      <c r="H41" s="1">
        <v>45688.333333333336</v>
      </c>
    </row>
    <row r="42" spans="1:8" x14ac:dyDescent="0.25">
      <c r="A42" s="7">
        <f>DATE(YEAR(m3_crossvalid[[#This Row],[cutoff]]),MONTH(m3_crossvalid[[#This Row],[cutoff]]),DAY(m3_crossvalid[[#This Row],[cutoff]]))</f>
        <v>45688</v>
      </c>
      <c r="B42" s="7">
        <f>DATE(YEAR(m3_crossvalid[[#This Row],[ds]]),MONTH(m3_crossvalid[[#This Row],[ds]]),DAY(m3_crossvalid[[#This Row],[ds]]))</f>
        <v>45698</v>
      </c>
      <c r="C42">
        <v>1577</v>
      </c>
      <c r="D42" s="1">
        <v>45698.333333333336</v>
      </c>
      <c r="E42">
        <v>2086.8248531993222</v>
      </c>
      <c r="F42">
        <v>371.97417129714756</v>
      </c>
      <c r="G42">
        <v>3805.1730770319255</v>
      </c>
      <c r="H42" s="1">
        <v>45688.333333333336</v>
      </c>
    </row>
    <row r="43" spans="1:8" x14ac:dyDescent="0.25">
      <c r="A43" s="7">
        <f>DATE(YEAR(m3_crossvalid[[#This Row],[cutoff]]),MONTH(m3_crossvalid[[#This Row],[cutoff]]),DAY(m3_crossvalid[[#This Row],[cutoff]]))</f>
        <v>45688</v>
      </c>
      <c r="B43" s="7">
        <f>DATE(YEAR(m3_crossvalid[[#This Row],[ds]]),MONTH(m3_crossvalid[[#This Row],[ds]]),DAY(m3_crossvalid[[#This Row],[ds]]))</f>
        <v>45699</v>
      </c>
      <c r="C43">
        <v>555</v>
      </c>
      <c r="D43" s="1">
        <v>45699.333333333336</v>
      </c>
      <c r="E43">
        <v>1040.1762722823128</v>
      </c>
      <c r="F43">
        <v>-882.73564021480047</v>
      </c>
      <c r="G43">
        <v>2723.3078368372862</v>
      </c>
      <c r="H43" s="1">
        <v>45688.333333333336</v>
      </c>
    </row>
    <row r="44" spans="1:8" x14ac:dyDescent="0.25">
      <c r="A44" s="7">
        <f>DATE(YEAR(m3_crossvalid[[#This Row],[cutoff]]),MONTH(m3_crossvalid[[#This Row],[cutoff]]),DAY(m3_crossvalid[[#This Row],[cutoff]]))</f>
        <v>45688</v>
      </c>
      <c r="B44" s="7">
        <f>DATE(YEAR(m3_crossvalid[[#This Row],[ds]]),MONTH(m3_crossvalid[[#This Row],[ds]]),DAY(m3_crossvalid[[#This Row],[ds]]))</f>
        <v>45700</v>
      </c>
      <c r="C44">
        <v>1823</v>
      </c>
      <c r="D44" s="1">
        <v>45700.333333333336</v>
      </c>
      <c r="E44">
        <v>2630.2618795864155</v>
      </c>
      <c r="F44">
        <v>684.70324494520787</v>
      </c>
      <c r="G44">
        <v>4437.3381173746975</v>
      </c>
      <c r="H44" s="1">
        <v>45688.333333333336</v>
      </c>
    </row>
    <row r="45" spans="1:8" x14ac:dyDescent="0.25">
      <c r="A45" s="7">
        <f>DATE(YEAR(m3_crossvalid[[#This Row],[cutoff]]),MONTH(m3_crossvalid[[#This Row],[cutoff]]),DAY(m3_crossvalid[[#This Row],[cutoff]]))</f>
        <v>45688</v>
      </c>
      <c r="B45" s="7">
        <f>DATE(YEAR(m3_crossvalid[[#This Row],[ds]]),MONTH(m3_crossvalid[[#This Row],[ds]]),DAY(m3_crossvalid[[#This Row],[ds]]))</f>
        <v>45701</v>
      </c>
      <c r="C45">
        <v>2210</v>
      </c>
      <c r="D45" s="1">
        <v>45701.333333333336</v>
      </c>
      <c r="E45">
        <v>2463.4526230364663</v>
      </c>
      <c r="F45">
        <v>676.85652941573517</v>
      </c>
      <c r="G45">
        <v>4316.9467140938514</v>
      </c>
      <c r="H45" s="1">
        <v>45688.333333333336</v>
      </c>
    </row>
    <row r="46" spans="1:8" x14ac:dyDescent="0.25">
      <c r="A46" s="7">
        <f>DATE(YEAR(m3_crossvalid[[#This Row],[cutoff]]),MONTH(m3_crossvalid[[#This Row],[cutoff]]),DAY(m3_crossvalid[[#This Row],[cutoff]]))</f>
        <v>45688</v>
      </c>
      <c r="B46" s="7">
        <f>DATE(YEAR(m3_crossvalid[[#This Row],[ds]]),MONTH(m3_crossvalid[[#This Row],[ds]]),DAY(m3_crossvalid[[#This Row],[ds]]))</f>
        <v>45702</v>
      </c>
      <c r="C46">
        <v>2308</v>
      </c>
      <c r="D46" s="1">
        <v>45702.333333333336</v>
      </c>
      <c r="E46">
        <v>2295.43430839444</v>
      </c>
      <c r="F46">
        <v>583.80263317589709</v>
      </c>
      <c r="G46">
        <v>4025.7714203043643</v>
      </c>
      <c r="H46" s="1">
        <v>45688.333333333336</v>
      </c>
    </row>
    <row r="47" spans="1:8" x14ac:dyDescent="0.25">
      <c r="A47" s="7">
        <f>DATE(YEAR(m3_crossvalid[[#This Row],[cutoff]]),MONTH(m3_crossvalid[[#This Row],[cutoff]]),DAY(m3_crossvalid[[#This Row],[cutoff]]))</f>
        <v>45688</v>
      </c>
      <c r="B47" s="7">
        <f>DATE(YEAR(m3_crossvalid[[#This Row],[ds]]),MONTH(m3_crossvalid[[#This Row],[ds]]),DAY(m3_crossvalid[[#This Row],[ds]]))</f>
        <v>45703</v>
      </c>
      <c r="C47">
        <v>485</v>
      </c>
      <c r="D47" s="1">
        <v>45703.333333333336</v>
      </c>
      <c r="E47">
        <v>365.65683734888125</v>
      </c>
      <c r="F47">
        <v>-1298.6762099732537</v>
      </c>
      <c r="G47">
        <v>2278.852932698594</v>
      </c>
      <c r="H47" s="1">
        <v>45688.333333333336</v>
      </c>
    </row>
    <row r="48" spans="1:8" x14ac:dyDescent="0.25">
      <c r="A48" s="7">
        <f>DATE(YEAR(m3_crossvalid[[#This Row],[cutoff]]),MONTH(m3_crossvalid[[#This Row],[cutoff]]),DAY(m3_crossvalid[[#This Row],[cutoff]]))</f>
        <v>45688</v>
      </c>
      <c r="B48" s="7">
        <f>DATE(YEAR(m3_crossvalid[[#This Row],[ds]]),MONTH(m3_crossvalid[[#This Row],[ds]]),DAY(m3_crossvalid[[#This Row],[ds]]))</f>
        <v>45704</v>
      </c>
      <c r="C48">
        <v>118</v>
      </c>
      <c r="D48" s="1">
        <v>45704.333333333336</v>
      </c>
      <c r="E48">
        <v>145.74887501512649</v>
      </c>
      <c r="F48">
        <v>-1713.0872225800708</v>
      </c>
      <c r="G48">
        <v>1938.8839147660656</v>
      </c>
      <c r="H48" s="1">
        <v>45688.333333333336</v>
      </c>
    </row>
    <row r="49" spans="1:8" x14ac:dyDescent="0.25">
      <c r="A49" s="7">
        <f>DATE(YEAR(m3_crossvalid[[#This Row],[cutoff]]),MONTH(m3_crossvalid[[#This Row],[cutoff]]),DAY(m3_crossvalid[[#This Row],[cutoff]]))</f>
        <v>45688</v>
      </c>
      <c r="B49" s="7">
        <f>DATE(YEAR(m3_crossvalid[[#This Row],[ds]]),MONTH(m3_crossvalid[[#This Row],[ds]]),DAY(m3_crossvalid[[#This Row],[ds]]))</f>
        <v>45705</v>
      </c>
      <c r="C49">
        <v>2482</v>
      </c>
      <c r="D49" s="1">
        <v>45705.333333333336</v>
      </c>
      <c r="E49">
        <v>2750.8548350259757</v>
      </c>
      <c r="F49">
        <v>1028.7928405066402</v>
      </c>
      <c r="G49">
        <v>4439.3699754411546</v>
      </c>
      <c r="H49" s="1">
        <v>45688.333333333336</v>
      </c>
    </row>
    <row r="50" spans="1:8" x14ac:dyDescent="0.25">
      <c r="A50" s="7">
        <f>DATE(YEAR(m3_crossvalid[[#This Row],[cutoff]]),MONTH(m3_crossvalid[[#This Row],[cutoff]]),DAY(m3_crossvalid[[#This Row],[cutoff]]))</f>
        <v>45688</v>
      </c>
      <c r="B50" s="7">
        <f>DATE(YEAR(m3_crossvalid[[#This Row],[ds]]),MONTH(m3_crossvalid[[#This Row],[ds]]),DAY(m3_crossvalid[[#This Row],[ds]]))</f>
        <v>45706</v>
      </c>
      <c r="C50">
        <v>2913</v>
      </c>
      <c r="D50" s="1">
        <v>45706.333333333336</v>
      </c>
      <c r="E50">
        <v>2937.9367180138247</v>
      </c>
      <c r="F50">
        <v>1038.5570423485856</v>
      </c>
      <c r="G50">
        <v>4871.5951488950104</v>
      </c>
      <c r="H50" s="1">
        <v>45688.333333333336</v>
      </c>
    </row>
    <row r="51" spans="1:8" x14ac:dyDescent="0.25">
      <c r="A51" s="7">
        <f>DATE(YEAR(m3_crossvalid[[#This Row],[cutoff]]),MONTH(m3_crossvalid[[#This Row],[cutoff]]),DAY(m3_crossvalid[[#This Row],[cutoff]]))</f>
        <v>45688</v>
      </c>
      <c r="B51" s="7">
        <f>DATE(YEAR(m3_crossvalid[[#This Row],[ds]]),MONTH(m3_crossvalid[[#This Row],[ds]]),DAY(m3_crossvalid[[#This Row],[ds]]))</f>
        <v>45707</v>
      </c>
      <c r="C51">
        <v>3106</v>
      </c>
      <c r="D51" s="1">
        <v>45707.333333333336</v>
      </c>
      <c r="E51">
        <v>2817.5240593595786</v>
      </c>
      <c r="F51">
        <v>1208.5167808980175</v>
      </c>
      <c r="G51">
        <v>4579.2928299135865</v>
      </c>
      <c r="H51" s="1">
        <v>45688.333333333336</v>
      </c>
    </row>
    <row r="52" spans="1:8" x14ac:dyDescent="0.25">
      <c r="A52" s="7">
        <f>DATE(YEAR(m3_crossvalid[[#This Row],[cutoff]]),MONTH(m3_crossvalid[[#This Row],[cutoff]]),DAY(m3_crossvalid[[#This Row],[cutoff]]))</f>
        <v>45688</v>
      </c>
      <c r="B52" s="7">
        <f>DATE(YEAR(m3_crossvalid[[#This Row],[ds]]),MONTH(m3_crossvalid[[#This Row],[ds]]),DAY(m3_crossvalid[[#This Row],[ds]]))</f>
        <v>45708</v>
      </c>
      <c r="C52">
        <v>3104</v>
      </c>
      <c r="D52" s="1">
        <v>45708.333333333336</v>
      </c>
      <c r="E52">
        <v>2890.8839104214462</v>
      </c>
      <c r="F52">
        <v>1178.9557331720148</v>
      </c>
      <c r="G52">
        <v>4701.6044061793991</v>
      </c>
      <c r="H52" s="1">
        <v>45688.333333333336</v>
      </c>
    </row>
    <row r="53" spans="1:8" x14ac:dyDescent="0.25">
      <c r="A53" s="7">
        <f>DATE(YEAR(m3_crossvalid[[#This Row],[cutoff]]),MONTH(m3_crossvalid[[#This Row],[cutoff]]),DAY(m3_crossvalid[[#This Row],[cutoff]]))</f>
        <v>45688</v>
      </c>
      <c r="B53" s="7">
        <f>DATE(YEAR(m3_crossvalid[[#This Row],[ds]]),MONTH(m3_crossvalid[[#This Row],[ds]]),DAY(m3_crossvalid[[#This Row],[ds]]))</f>
        <v>45709</v>
      </c>
      <c r="C53">
        <v>3309</v>
      </c>
      <c r="D53" s="1">
        <v>45709.333333333336</v>
      </c>
      <c r="E53">
        <v>3089.0600473513077</v>
      </c>
      <c r="F53">
        <v>1213.9072570038986</v>
      </c>
      <c r="G53">
        <v>4846.8536554484626</v>
      </c>
      <c r="H53" s="1">
        <v>45688.333333333336</v>
      </c>
    </row>
    <row r="54" spans="1:8" x14ac:dyDescent="0.25">
      <c r="A54" s="7">
        <f>DATE(YEAR(m3_crossvalid[[#This Row],[cutoff]]),MONTH(m3_crossvalid[[#This Row],[cutoff]]),DAY(m3_crossvalid[[#This Row],[cutoff]]))</f>
        <v>45688</v>
      </c>
      <c r="B54" s="7">
        <f>DATE(YEAR(m3_crossvalid[[#This Row],[ds]]),MONTH(m3_crossvalid[[#This Row],[ds]]),DAY(m3_crossvalid[[#This Row],[ds]]))</f>
        <v>45710</v>
      </c>
      <c r="C54">
        <v>732</v>
      </c>
      <c r="D54" s="1">
        <v>45710.333333333336</v>
      </c>
      <c r="E54">
        <v>1292.4540934609895</v>
      </c>
      <c r="F54">
        <v>-558.18594949737485</v>
      </c>
      <c r="G54">
        <v>3042.5737087969624</v>
      </c>
      <c r="H54" s="1">
        <v>45688.333333333336</v>
      </c>
    </row>
    <row r="55" spans="1:8" x14ac:dyDescent="0.25">
      <c r="A55" s="7">
        <f>DATE(YEAR(m3_crossvalid[[#This Row],[cutoff]]),MONTH(m3_crossvalid[[#This Row],[cutoff]]),DAY(m3_crossvalid[[#This Row],[cutoff]]))</f>
        <v>45688</v>
      </c>
      <c r="B55" s="7">
        <f>DATE(YEAR(m3_crossvalid[[#This Row],[ds]]),MONTH(m3_crossvalid[[#This Row],[ds]]),DAY(m3_crossvalid[[#This Row],[ds]]))</f>
        <v>45711</v>
      </c>
      <c r="C55">
        <v>202</v>
      </c>
      <c r="D55" s="1">
        <v>45711.333333333336</v>
      </c>
      <c r="E55">
        <v>873.7471469731438</v>
      </c>
      <c r="F55">
        <v>-803.05523001236577</v>
      </c>
      <c r="G55">
        <v>2574.6828102340037</v>
      </c>
      <c r="H55" s="1">
        <v>45688.333333333336</v>
      </c>
    </row>
    <row r="56" spans="1:8" x14ac:dyDescent="0.25">
      <c r="A56" s="7">
        <f>DATE(YEAR(m3_crossvalid[[#This Row],[cutoff]]),MONTH(m3_crossvalid[[#This Row],[cutoff]]),DAY(m3_crossvalid[[#This Row],[cutoff]]))</f>
        <v>45688</v>
      </c>
      <c r="B56" s="7">
        <f>DATE(YEAR(m3_crossvalid[[#This Row],[ds]]),MONTH(m3_crossvalid[[#This Row],[ds]]),DAY(m3_crossvalid[[#This Row],[ds]]))</f>
        <v>45712</v>
      </c>
      <c r="C56">
        <v>3545</v>
      </c>
      <c r="D56" s="1">
        <v>45712.333333333336</v>
      </c>
      <c r="E56">
        <v>3255.3443358583404</v>
      </c>
      <c r="F56">
        <v>1521.740475359536</v>
      </c>
      <c r="G56">
        <v>5017.8651081197713</v>
      </c>
      <c r="H56" s="1">
        <v>45688.333333333336</v>
      </c>
    </row>
    <row r="57" spans="1:8" x14ac:dyDescent="0.25">
      <c r="A57" s="7">
        <f>DATE(YEAR(m3_crossvalid[[#This Row],[cutoff]]),MONTH(m3_crossvalid[[#This Row],[cutoff]]),DAY(m3_crossvalid[[#This Row],[cutoff]]))</f>
        <v>45688</v>
      </c>
      <c r="B57" s="7">
        <f>DATE(YEAR(m3_crossvalid[[#This Row],[ds]]),MONTH(m3_crossvalid[[#This Row],[ds]]),DAY(m3_crossvalid[[#This Row],[ds]]))</f>
        <v>45713</v>
      </c>
      <c r="C57">
        <v>4868</v>
      </c>
      <c r="D57" s="1">
        <v>45713.333333333336</v>
      </c>
      <c r="E57">
        <v>3654.5499364888465</v>
      </c>
      <c r="F57">
        <v>1983.3774595883315</v>
      </c>
      <c r="G57">
        <v>5520.7293007902281</v>
      </c>
      <c r="H57" s="1">
        <v>45688.333333333336</v>
      </c>
    </row>
    <row r="58" spans="1:8" x14ac:dyDescent="0.25">
      <c r="A58" s="7">
        <f>DATE(YEAR(m3_crossvalid[[#This Row],[cutoff]]),MONTH(m3_crossvalid[[#This Row],[cutoff]]),DAY(m3_crossvalid[[#This Row],[cutoff]]))</f>
        <v>45688</v>
      </c>
      <c r="B58" s="7">
        <f>DATE(YEAR(m3_crossvalid[[#This Row],[ds]]),MONTH(m3_crossvalid[[#This Row],[ds]]),DAY(m3_crossvalid[[#This Row],[ds]]))</f>
        <v>45714</v>
      </c>
      <c r="C58">
        <v>6187</v>
      </c>
      <c r="D58" s="1">
        <v>45714.333333333336</v>
      </c>
      <c r="E58">
        <v>4357.5619442906991</v>
      </c>
      <c r="F58">
        <v>2730.2669368825441</v>
      </c>
      <c r="G58">
        <v>6251.4858798946589</v>
      </c>
      <c r="H58" s="1">
        <v>45688.333333333336</v>
      </c>
    </row>
    <row r="59" spans="1:8" x14ac:dyDescent="0.25">
      <c r="A59" s="7">
        <f>DATE(YEAR(m3_crossvalid[[#This Row],[cutoff]]),MONTH(m3_crossvalid[[#This Row],[cutoff]]),DAY(m3_crossvalid[[#This Row],[cutoff]]))</f>
        <v>45688</v>
      </c>
      <c r="B59" s="7">
        <f>DATE(YEAR(m3_crossvalid[[#This Row],[ds]]),MONTH(m3_crossvalid[[#This Row],[ds]]),DAY(m3_crossvalid[[#This Row],[ds]]))</f>
        <v>45715</v>
      </c>
      <c r="C59">
        <v>8082</v>
      </c>
      <c r="D59" s="1">
        <v>45715.333333333336</v>
      </c>
      <c r="E59">
        <v>5529.4292401040784</v>
      </c>
      <c r="F59">
        <v>3738.7065163314501</v>
      </c>
      <c r="G59">
        <v>7205.0183182696201</v>
      </c>
      <c r="H59" s="1">
        <v>45688.333333333336</v>
      </c>
    </row>
    <row r="60" spans="1:8" x14ac:dyDescent="0.25">
      <c r="A60" s="7">
        <f>DATE(YEAR(m3_crossvalid[[#This Row],[cutoff]]),MONTH(m3_crossvalid[[#This Row],[cutoff]]),DAY(m3_crossvalid[[#This Row],[cutoff]]))</f>
        <v>45688</v>
      </c>
      <c r="B60" s="7">
        <f>DATE(YEAR(m3_crossvalid[[#This Row],[ds]]),MONTH(m3_crossvalid[[#This Row],[ds]]),DAY(m3_crossvalid[[#This Row],[ds]]))</f>
        <v>45716</v>
      </c>
      <c r="C60">
        <v>14838</v>
      </c>
      <c r="D60" s="1">
        <v>45716.333333333336</v>
      </c>
      <c r="E60">
        <v>6447.0870661594463</v>
      </c>
      <c r="F60">
        <v>4805.6297881613673</v>
      </c>
      <c r="G60">
        <v>8093.1403920392477</v>
      </c>
      <c r="H60" s="1">
        <v>45688.333333333336</v>
      </c>
    </row>
    <row r="61" spans="1:8" x14ac:dyDescent="0.25">
      <c r="A61" s="7">
        <f>DATE(YEAR(m3_crossvalid[[#This Row],[cutoff]]),MONTH(m3_crossvalid[[#This Row],[cutoff]]),DAY(m3_crossvalid[[#This Row],[cutoff]]))</f>
        <v>45688</v>
      </c>
      <c r="B61" s="7">
        <f>DATE(YEAR(m3_crossvalid[[#This Row],[ds]]),MONTH(m3_crossvalid[[#This Row],[ds]]),DAY(m3_crossvalid[[#This Row],[ds]]))</f>
        <v>45717</v>
      </c>
      <c r="C61">
        <v>74</v>
      </c>
      <c r="D61" s="1">
        <v>45717.333333333336</v>
      </c>
      <c r="E61">
        <v>4470.6934949676006</v>
      </c>
      <c r="F61">
        <v>2693.2514026661688</v>
      </c>
      <c r="G61">
        <v>6309.4688579645026</v>
      </c>
      <c r="H61" s="1">
        <v>45688.333333333336</v>
      </c>
    </row>
    <row r="62" spans="1:8" x14ac:dyDescent="0.25">
      <c r="A62" s="7">
        <f>DATE(YEAR(m3_crossvalid[[#This Row],[cutoff]]),MONTH(m3_crossvalid[[#This Row],[cutoff]]),DAY(m3_crossvalid[[#This Row],[cutoff]]))</f>
        <v>45688</v>
      </c>
      <c r="B62" s="7">
        <f>DATE(YEAR(m3_crossvalid[[#This Row],[ds]]),MONTH(m3_crossvalid[[#This Row],[ds]]),DAY(m3_crossvalid[[#This Row],[ds]]))</f>
        <v>45718</v>
      </c>
      <c r="C62">
        <v>27</v>
      </c>
      <c r="D62" s="1">
        <v>45718.333333333336</v>
      </c>
      <c r="E62">
        <v>2917.3309233213431</v>
      </c>
      <c r="F62">
        <v>1043.4668934298397</v>
      </c>
      <c r="G62">
        <v>4667.3352565517389</v>
      </c>
      <c r="H62" s="1">
        <v>45688.333333333336</v>
      </c>
    </row>
    <row r="63" spans="1:8" x14ac:dyDescent="0.25">
      <c r="A63" s="7">
        <f>DATE(YEAR(m3_crossvalid[[#This Row],[cutoff]]),MONTH(m3_crossvalid[[#This Row],[cutoff]]),DAY(m3_crossvalid[[#This Row],[cutoff]]))</f>
        <v>45688</v>
      </c>
      <c r="B63" s="7">
        <f>DATE(YEAR(m3_crossvalid[[#This Row],[ds]]),MONTH(m3_crossvalid[[#This Row],[ds]]),DAY(m3_crossvalid[[#This Row],[ds]]))</f>
        <v>45719</v>
      </c>
      <c r="C63">
        <v>378</v>
      </c>
      <c r="D63" s="1">
        <v>45719.333333333336</v>
      </c>
      <c r="E63">
        <v>3582.5512882361645</v>
      </c>
      <c r="F63">
        <v>1967.5706747542199</v>
      </c>
      <c r="G63">
        <v>5293.5650666094443</v>
      </c>
      <c r="H63" s="1">
        <v>45688.333333333336</v>
      </c>
    </row>
    <row r="64" spans="1:8" x14ac:dyDescent="0.25">
      <c r="A64" s="7">
        <f>DATE(YEAR(m3_crossvalid[[#This Row],[cutoff]]),MONTH(m3_crossvalid[[#This Row],[cutoff]]),DAY(m3_crossvalid[[#This Row],[cutoff]]))</f>
        <v>45716</v>
      </c>
      <c r="B64" s="7">
        <f>DATE(YEAR(m3_crossvalid[[#This Row],[ds]]),MONTH(m3_crossvalid[[#This Row],[ds]]),DAY(m3_crossvalid[[#This Row],[ds]]))</f>
        <v>45717</v>
      </c>
      <c r="C64">
        <v>74</v>
      </c>
      <c r="D64" s="1">
        <v>45717.333333333336</v>
      </c>
      <c r="E64">
        <v>4823.2268025132817</v>
      </c>
      <c r="F64">
        <v>2996.1886223832835</v>
      </c>
      <c r="G64">
        <v>6601.5550612628549</v>
      </c>
      <c r="H64" s="1">
        <v>45716.333333333336</v>
      </c>
    </row>
    <row r="65" spans="1:8" x14ac:dyDescent="0.25">
      <c r="A65" s="7">
        <f>DATE(YEAR(m3_crossvalid[[#This Row],[cutoff]]),MONTH(m3_crossvalid[[#This Row],[cutoff]]),DAY(m3_crossvalid[[#This Row],[cutoff]]))</f>
        <v>45716</v>
      </c>
      <c r="B65" s="7">
        <f>DATE(YEAR(m3_crossvalid[[#This Row],[ds]]),MONTH(m3_crossvalid[[#This Row],[ds]]),DAY(m3_crossvalid[[#This Row],[ds]]))</f>
        <v>45718</v>
      </c>
      <c r="C65">
        <v>27</v>
      </c>
      <c r="D65" s="1">
        <v>45718.333333333336</v>
      </c>
      <c r="E65">
        <v>3231.0473324347745</v>
      </c>
      <c r="F65">
        <v>1431.4961880158462</v>
      </c>
      <c r="G65">
        <v>5007.6831575880642</v>
      </c>
      <c r="H65" s="1">
        <v>45716.333333333336</v>
      </c>
    </row>
    <row r="66" spans="1:8" x14ac:dyDescent="0.25">
      <c r="A66" s="7">
        <f>DATE(YEAR(m3_crossvalid[[#This Row],[cutoff]]),MONTH(m3_crossvalid[[#This Row],[cutoff]]),DAY(m3_crossvalid[[#This Row],[cutoff]]))</f>
        <v>45716</v>
      </c>
      <c r="B66" s="7">
        <f>DATE(YEAR(m3_crossvalid[[#This Row],[ds]]),MONTH(m3_crossvalid[[#This Row],[ds]]),DAY(m3_crossvalid[[#This Row],[ds]]))</f>
        <v>45719</v>
      </c>
      <c r="C66">
        <v>378</v>
      </c>
      <c r="D66" s="1">
        <v>45719.333333333336</v>
      </c>
      <c r="E66">
        <v>3861.1607542213178</v>
      </c>
      <c r="F66">
        <v>2305.2493727872488</v>
      </c>
      <c r="G66">
        <v>5603.065419114474</v>
      </c>
      <c r="H66" s="1">
        <v>45716.333333333336</v>
      </c>
    </row>
    <row r="67" spans="1:8" x14ac:dyDescent="0.25">
      <c r="A67" s="7">
        <f>DATE(YEAR(m3_crossvalid[[#This Row],[cutoff]]),MONTH(m3_crossvalid[[#This Row],[cutoff]]),DAY(m3_crossvalid[[#This Row],[cutoff]]))</f>
        <v>45716</v>
      </c>
      <c r="B67" s="7">
        <f>DATE(YEAR(m3_crossvalid[[#This Row],[ds]]),MONTH(m3_crossvalid[[#This Row],[ds]]),DAY(m3_crossvalid[[#This Row],[ds]]))</f>
        <v>45720</v>
      </c>
      <c r="C67">
        <v>666</v>
      </c>
      <c r="D67" s="1">
        <v>45720.333333333336</v>
      </c>
      <c r="E67">
        <v>2455.8280974927011</v>
      </c>
      <c r="F67">
        <v>734.18974899456794</v>
      </c>
      <c r="G67">
        <v>4061.5704894377773</v>
      </c>
      <c r="H67" s="1">
        <v>45716.333333333336</v>
      </c>
    </row>
    <row r="68" spans="1:8" x14ac:dyDescent="0.25">
      <c r="A68" s="7">
        <f>DATE(YEAR(m3_crossvalid[[#This Row],[cutoff]]),MONTH(m3_crossvalid[[#This Row],[cutoff]]),DAY(m3_crossvalid[[#This Row],[cutoff]]))</f>
        <v>45716</v>
      </c>
      <c r="B68" s="7">
        <f>DATE(YEAR(m3_crossvalid[[#This Row],[ds]]),MONTH(m3_crossvalid[[#This Row],[ds]]),DAY(m3_crossvalid[[#This Row],[ds]]))</f>
        <v>45721</v>
      </c>
      <c r="C68">
        <v>793</v>
      </c>
      <c r="D68" s="1">
        <v>45721.333333333336</v>
      </c>
      <c r="E68">
        <v>1597.3187704323541</v>
      </c>
      <c r="F68">
        <v>-213.88641833495697</v>
      </c>
      <c r="G68">
        <v>3349.3691930728301</v>
      </c>
      <c r="H68" s="1">
        <v>45716.333333333336</v>
      </c>
    </row>
    <row r="69" spans="1:8" x14ac:dyDescent="0.25">
      <c r="A69" s="7">
        <f>DATE(YEAR(m3_crossvalid[[#This Row],[cutoff]]),MONTH(m3_crossvalid[[#This Row],[cutoff]]),DAY(m3_crossvalid[[#This Row],[cutoff]]))</f>
        <v>45716</v>
      </c>
      <c r="B69" s="7">
        <f>DATE(YEAR(m3_crossvalid[[#This Row],[ds]]),MONTH(m3_crossvalid[[#This Row],[ds]]),DAY(m3_crossvalid[[#This Row],[ds]]))</f>
        <v>45722</v>
      </c>
      <c r="C69">
        <v>1426</v>
      </c>
      <c r="D69" s="1">
        <v>45722.333333333336</v>
      </c>
      <c r="E69">
        <v>1616.3623282468657</v>
      </c>
      <c r="F69">
        <v>-102.87784102071822</v>
      </c>
      <c r="G69">
        <v>3323.8122314471234</v>
      </c>
      <c r="H69" s="1">
        <v>45716.333333333336</v>
      </c>
    </row>
    <row r="70" spans="1:8" x14ac:dyDescent="0.25">
      <c r="A70" s="7">
        <f>DATE(YEAR(m3_crossvalid[[#This Row],[cutoff]]),MONTH(m3_crossvalid[[#This Row],[cutoff]]),DAY(m3_crossvalid[[#This Row],[cutoff]]))</f>
        <v>45716</v>
      </c>
      <c r="B70" s="7">
        <f>DATE(YEAR(m3_crossvalid[[#This Row],[ds]]),MONTH(m3_crossvalid[[#This Row],[ds]]),DAY(m3_crossvalid[[#This Row],[ds]]))</f>
        <v>45723</v>
      </c>
      <c r="C70">
        <v>1674</v>
      </c>
      <c r="D70" s="1">
        <v>45723.333333333336</v>
      </c>
      <c r="E70">
        <v>1960.0550895408142</v>
      </c>
      <c r="F70">
        <v>244.18611886003859</v>
      </c>
      <c r="G70">
        <v>3742.7326671196874</v>
      </c>
      <c r="H70" s="1">
        <v>45716.333333333336</v>
      </c>
    </row>
    <row r="71" spans="1:8" x14ac:dyDescent="0.25">
      <c r="A71" s="7">
        <f>DATE(YEAR(m3_crossvalid[[#This Row],[cutoff]]),MONTH(m3_crossvalid[[#This Row],[cutoff]]),DAY(m3_crossvalid[[#This Row],[cutoff]]))</f>
        <v>45716</v>
      </c>
      <c r="B71" s="7">
        <f>DATE(YEAR(m3_crossvalid[[#This Row],[ds]]),MONTH(m3_crossvalid[[#This Row],[ds]]),DAY(m3_crossvalid[[#This Row],[ds]]))</f>
        <v>45724</v>
      </c>
      <c r="C71">
        <v>310</v>
      </c>
      <c r="D71" s="1">
        <v>45724.333333333336</v>
      </c>
      <c r="E71">
        <v>94.600713985854327</v>
      </c>
      <c r="F71">
        <v>-1838.181207427315</v>
      </c>
      <c r="G71">
        <v>1868.8481018167201</v>
      </c>
      <c r="H71" s="1">
        <v>45716.333333333336</v>
      </c>
    </row>
    <row r="72" spans="1:8" x14ac:dyDescent="0.25">
      <c r="A72" s="7">
        <f>DATE(YEAR(m3_crossvalid[[#This Row],[cutoff]]),MONTH(m3_crossvalid[[#This Row],[cutoff]]),DAY(m3_crossvalid[[#This Row],[cutoff]]))</f>
        <v>45716</v>
      </c>
      <c r="B72" s="7">
        <f>DATE(YEAR(m3_crossvalid[[#This Row],[ds]]),MONTH(m3_crossvalid[[#This Row],[ds]]),DAY(m3_crossvalid[[#This Row],[ds]]))</f>
        <v>45725</v>
      </c>
      <c r="C72">
        <v>109</v>
      </c>
      <c r="D72" s="1">
        <v>45725.333333333336</v>
      </c>
      <c r="E72">
        <v>-423.62224184771912</v>
      </c>
      <c r="F72">
        <v>-2198.9876693258175</v>
      </c>
      <c r="G72">
        <v>1415.2253793877969</v>
      </c>
      <c r="H72" s="1">
        <v>45716.333333333336</v>
      </c>
    </row>
    <row r="73" spans="1:8" x14ac:dyDescent="0.25">
      <c r="A73" s="7">
        <f>DATE(YEAR(m3_crossvalid[[#This Row],[cutoff]]),MONTH(m3_crossvalid[[#This Row],[cutoff]]),DAY(m3_crossvalid[[#This Row],[cutoff]]))</f>
        <v>45716</v>
      </c>
      <c r="B73" s="7">
        <f>DATE(YEAR(m3_crossvalid[[#This Row],[ds]]),MONTH(m3_crossvalid[[#This Row],[ds]]),DAY(m3_crossvalid[[#This Row],[ds]]))</f>
        <v>45726</v>
      </c>
      <c r="C73">
        <v>1900</v>
      </c>
      <c r="D73" s="1">
        <v>45726.333333333336</v>
      </c>
      <c r="E73">
        <v>1924.6676507143418</v>
      </c>
      <c r="F73">
        <v>215.6598546008851</v>
      </c>
      <c r="G73">
        <v>3661.9117368418401</v>
      </c>
      <c r="H73" s="1">
        <v>45716.333333333336</v>
      </c>
    </row>
    <row r="74" spans="1:8" x14ac:dyDescent="0.25">
      <c r="A74" s="7">
        <f>DATE(YEAR(m3_crossvalid[[#This Row],[cutoff]]),MONTH(m3_crossvalid[[#This Row],[cutoff]]),DAY(m3_crossvalid[[#This Row],[cutoff]]))</f>
        <v>45716</v>
      </c>
      <c r="B74" s="7">
        <f>DATE(YEAR(m3_crossvalid[[#This Row],[ds]]),MONTH(m3_crossvalid[[#This Row],[ds]]),DAY(m3_crossvalid[[#This Row],[ds]]))</f>
        <v>45727</v>
      </c>
      <c r="C74">
        <v>2294</v>
      </c>
      <c r="D74" s="1">
        <v>45727.333333333336</v>
      </c>
      <c r="E74">
        <v>2286.1559099195151</v>
      </c>
      <c r="F74">
        <v>556.91023536333182</v>
      </c>
      <c r="G74">
        <v>4039.396940821106</v>
      </c>
      <c r="H74" s="1">
        <v>45716.333333333336</v>
      </c>
    </row>
    <row r="75" spans="1:8" x14ac:dyDescent="0.25">
      <c r="A75" s="7">
        <f>DATE(YEAR(m3_crossvalid[[#This Row],[cutoff]]),MONTH(m3_crossvalid[[#This Row],[cutoff]]),DAY(m3_crossvalid[[#This Row],[cutoff]]))</f>
        <v>45716</v>
      </c>
      <c r="B75" s="7">
        <f>DATE(YEAR(m3_crossvalid[[#This Row],[ds]]),MONTH(m3_crossvalid[[#This Row],[ds]]),DAY(m3_crossvalid[[#This Row],[ds]]))</f>
        <v>45728</v>
      </c>
      <c r="C75">
        <v>2576</v>
      </c>
      <c r="D75" s="1">
        <v>45728.333333333336</v>
      </c>
      <c r="E75">
        <v>2594.325961196841</v>
      </c>
      <c r="F75">
        <v>971.51742474694765</v>
      </c>
      <c r="G75">
        <v>4331.5772874171153</v>
      </c>
      <c r="H75" s="1">
        <v>45716.333333333336</v>
      </c>
    </row>
    <row r="76" spans="1:8" x14ac:dyDescent="0.25">
      <c r="A76" s="7">
        <f>DATE(YEAR(m3_crossvalid[[#This Row],[cutoff]]),MONTH(m3_crossvalid[[#This Row],[cutoff]]),DAY(m3_crossvalid[[#This Row],[cutoff]]))</f>
        <v>45716</v>
      </c>
      <c r="B76" s="7">
        <f>DATE(YEAR(m3_crossvalid[[#This Row],[ds]]),MONTH(m3_crossvalid[[#This Row],[ds]]),DAY(m3_crossvalid[[#This Row],[ds]]))</f>
        <v>45729</v>
      </c>
      <c r="C76">
        <v>2235</v>
      </c>
      <c r="D76" s="1">
        <v>45729.333333333336</v>
      </c>
      <c r="E76">
        <v>2892.4779227855424</v>
      </c>
      <c r="F76">
        <v>1234.4006722575111</v>
      </c>
      <c r="G76">
        <v>4784.0180547185719</v>
      </c>
      <c r="H76" s="1">
        <v>45716.333333333336</v>
      </c>
    </row>
    <row r="77" spans="1:8" x14ac:dyDescent="0.25">
      <c r="A77" s="7">
        <f>DATE(YEAR(m3_crossvalid[[#This Row],[cutoff]]),MONTH(m3_crossvalid[[#This Row],[cutoff]]),DAY(m3_crossvalid[[#This Row],[cutoff]]))</f>
        <v>45716</v>
      </c>
      <c r="B77" s="7">
        <f>DATE(YEAR(m3_crossvalid[[#This Row],[ds]]),MONTH(m3_crossvalid[[#This Row],[ds]]),DAY(m3_crossvalid[[#This Row],[ds]]))</f>
        <v>45730</v>
      </c>
      <c r="C77">
        <v>3818</v>
      </c>
      <c r="D77" s="1">
        <v>45730.333333333336</v>
      </c>
      <c r="E77">
        <v>2881.0198663841975</v>
      </c>
      <c r="F77">
        <v>1080.7918315028385</v>
      </c>
      <c r="G77">
        <v>4621.5350763645201</v>
      </c>
      <c r="H77" s="1">
        <v>45716.333333333336</v>
      </c>
    </row>
    <row r="78" spans="1:8" x14ac:dyDescent="0.25">
      <c r="A78" s="7">
        <f>DATE(YEAR(m3_crossvalid[[#This Row],[cutoff]]),MONTH(m3_crossvalid[[#This Row],[cutoff]]),DAY(m3_crossvalid[[#This Row],[cutoff]]))</f>
        <v>45716</v>
      </c>
      <c r="B78" s="7">
        <f>DATE(YEAR(m3_crossvalid[[#This Row],[ds]]),MONTH(m3_crossvalid[[#This Row],[ds]]),DAY(m3_crossvalid[[#This Row],[ds]]))</f>
        <v>45731</v>
      </c>
      <c r="C78">
        <v>927</v>
      </c>
      <c r="D78" s="1">
        <v>45731.333333333336</v>
      </c>
      <c r="E78">
        <v>590.62301025347006</v>
      </c>
      <c r="F78">
        <v>-1250.3379983810223</v>
      </c>
      <c r="G78">
        <v>2353.932593846594</v>
      </c>
      <c r="H78" s="1">
        <v>45716.333333333336</v>
      </c>
    </row>
    <row r="79" spans="1:8" x14ac:dyDescent="0.25">
      <c r="A79" s="7">
        <f>DATE(YEAR(m3_crossvalid[[#This Row],[cutoff]]),MONTH(m3_crossvalid[[#This Row],[cutoff]]),DAY(m3_crossvalid[[#This Row],[cutoff]]))</f>
        <v>45716</v>
      </c>
      <c r="B79" s="7">
        <f>DATE(YEAR(m3_crossvalid[[#This Row],[ds]]),MONTH(m3_crossvalid[[#This Row],[ds]]),DAY(m3_crossvalid[[#This Row],[ds]]))</f>
        <v>45732</v>
      </c>
      <c r="C79">
        <v>263</v>
      </c>
      <c r="D79" s="1">
        <v>45732.333333333336</v>
      </c>
      <c r="E79">
        <v>-2.4460293560446189</v>
      </c>
      <c r="F79">
        <v>-1827.9318303955381</v>
      </c>
      <c r="G79">
        <v>1672.9841169929964</v>
      </c>
      <c r="H79" s="1">
        <v>45716.333333333336</v>
      </c>
    </row>
    <row r="80" spans="1:8" x14ac:dyDescent="0.25">
      <c r="A80" s="7">
        <f>DATE(YEAR(m3_crossvalid[[#This Row],[cutoff]]),MONTH(m3_crossvalid[[#This Row],[cutoff]]),DAY(m3_crossvalid[[#This Row],[cutoff]]))</f>
        <v>45716</v>
      </c>
      <c r="B80" s="7">
        <f>DATE(YEAR(m3_crossvalid[[#This Row],[ds]]),MONTH(m3_crossvalid[[#This Row],[ds]]),DAY(m3_crossvalid[[#This Row],[ds]]))</f>
        <v>45733</v>
      </c>
      <c r="C80">
        <v>4812</v>
      </c>
      <c r="D80" s="1">
        <v>45733.333333333336</v>
      </c>
      <c r="E80">
        <v>2602.0085456671268</v>
      </c>
      <c r="F80">
        <v>768.48809625652461</v>
      </c>
      <c r="G80">
        <v>4385.415870163778</v>
      </c>
      <c r="H80" s="1">
        <v>45716.333333333336</v>
      </c>
    </row>
    <row r="81" spans="1:8" x14ac:dyDescent="0.25">
      <c r="A81" s="7">
        <f>DATE(YEAR(m3_crossvalid[[#This Row],[cutoff]]),MONTH(m3_crossvalid[[#This Row],[cutoff]]),DAY(m3_crossvalid[[#This Row],[cutoff]]))</f>
        <v>45716</v>
      </c>
      <c r="B81" s="7">
        <f>DATE(YEAR(m3_crossvalid[[#This Row],[ds]]),MONTH(m3_crossvalid[[#This Row],[ds]]),DAY(m3_crossvalid[[#This Row],[ds]]))</f>
        <v>45734</v>
      </c>
      <c r="C81">
        <v>1459</v>
      </c>
      <c r="D81" s="1">
        <v>45734.333333333336</v>
      </c>
      <c r="E81">
        <v>1656.9992313593496</v>
      </c>
      <c r="F81">
        <v>-67.833639433766237</v>
      </c>
      <c r="G81">
        <v>3437.165921856501</v>
      </c>
      <c r="H81" s="1">
        <v>45716.333333333336</v>
      </c>
    </row>
    <row r="82" spans="1:8" x14ac:dyDescent="0.25">
      <c r="A82" s="7">
        <f>DATE(YEAR(m3_crossvalid[[#This Row],[cutoff]]),MONTH(m3_crossvalid[[#This Row],[cutoff]]),DAY(m3_crossvalid[[#This Row],[cutoff]]))</f>
        <v>45716</v>
      </c>
      <c r="B82" s="7">
        <f>DATE(YEAR(m3_crossvalid[[#This Row],[ds]]),MONTH(m3_crossvalid[[#This Row],[ds]]),DAY(m3_crossvalid[[#This Row],[ds]]))</f>
        <v>45735</v>
      </c>
      <c r="C82">
        <v>3508</v>
      </c>
      <c r="D82" s="1">
        <v>45735.333333333336</v>
      </c>
      <c r="E82">
        <v>3433.4473338732146</v>
      </c>
      <c r="F82">
        <v>1589.4442139881928</v>
      </c>
      <c r="G82">
        <v>5099.4603611052116</v>
      </c>
      <c r="H82" s="1">
        <v>45716.333333333336</v>
      </c>
    </row>
    <row r="83" spans="1:8" x14ac:dyDescent="0.25">
      <c r="A83" s="7">
        <f>DATE(YEAR(m3_crossvalid[[#This Row],[cutoff]]),MONTH(m3_crossvalid[[#This Row],[cutoff]]),DAY(m3_crossvalid[[#This Row],[cutoff]]))</f>
        <v>45716</v>
      </c>
      <c r="B83" s="7">
        <f>DATE(YEAR(m3_crossvalid[[#This Row],[ds]]),MONTH(m3_crossvalid[[#This Row],[ds]]),DAY(m3_crossvalid[[#This Row],[ds]]))</f>
        <v>45736</v>
      </c>
      <c r="C83">
        <v>3947</v>
      </c>
      <c r="D83" s="1">
        <v>45736.333333333336</v>
      </c>
      <c r="E83">
        <v>3395.2126852639403</v>
      </c>
      <c r="F83">
        <v>1514.5439530344061</v>
      </c>
      <c r="G83">
        <v>5109.0627893204246</v>
      </c>
      <c r="H83" s="1">
        <v>45716.333333333336</v>
      </c>
    </row>
    <row r="84" spans="1:8" x14ac:dyDescent="0.25">
      <c r="A84" s="7">
        <f>DATE(YEAR(m3_crossvalid[[#This Row],[cutoff]]),MONTH(m3_crossvalid[[#This Row],[cutoff]]),DAY(m3_crossvalid[[#This Row],[cutoff]]))</f>
        <v>45716</v>
      </c>
      <c r="B84" s="7">
        <f>DATE(YEAR(m3_crossvalid[[#This Row],[ds]]),MONTH(m3_crossvalid[[#This Row],[ds]]),DAY(m3_crossvalid[[#This Row],[ds]]))</f>
        <v>45737</v>
      </c>
      <c r="C84">
        <v>4280</v>
      </c>
      <c r="D84" s="1">
        <v>45737.333333333336</v>
      </c>
      <c r="E84">
        <v>3116.8593665475341</v>
      </c>
      <c r="F84">
        <v>1421.3620106508047</v>
      </c>
      <c r="G84">
        <v>4885.8574686085221</v>
      </c>
      <c r="H84" s="1">
        <v>45716.333333333336</v>
      </c>
    </row>
    <row r="85" spans="1:8" x14ac:dyDescent="0.25">
      <c r="A85" s="7">
        <f>DATE(YEAR(m3_crossvalid[[#This Row],[cutoff]]),MONTH(m3_crossvalid[[#This Row],[cutoff]]),DAY(m3_crossvalid[[#This Row],[cutoff]]))</f>
        <v>45716</v>
      </c>
      <c r="B85" s="7">
        <f>DATE(YEAR(m3_crossvalid[[#This Row],[ds]]),MONTH(m3_crossvalid[[#This Row],[ds]]),DAY(m3_crossvalid[[#This Row],[ds]]))</f>
        <v>45738</v>
      </c>
      <c r="C85">
        <v>1076</v>
      </c>
      <c r="D85" s="1">
        <v>45738.333333333336</v>
      </c>
      <c r="E85">
        <v>892.01166362324579</v>
      </c>
      <c r="F85">
        <v>-906.6156140898363</v>
      </c>
      <c r="G85">
        <v>2776.4495695301457</v>
      </c>
      <c r="H85" s="1">
        <v>45716.333333333336</v>
      </c>
    </row>
    <row r="86" spans="1:8" x14ac:dyDescent="0.25">
      <c r="A86" s="7">
        <f>DATE(YEAR(m3_crossvalid[[#This Row],[cutoff]]),MONTH(m3_crossvalid[[#This Row],[cutoff]]),DAY(m3_crossvalid[[#This Row],[cutoff]]))</f>
        <v>45716</v>
      </c>
      <c r="B86" s="7">
        <f>DATE(YEAR(m3_crossvalid[[#This Row],[ds]]),MONTH(m3_crossvalid[[#This Row],[ds]]),DAY(m3_crossvalid[[#This Row],[ds]]))</f>
        <v>45739</v>
      </c>
      <c r="C86">
        <v>301</v>
      </c>
      <c r="D86" s="1">
        <v>45739.333333333336</v>
      </c>
      <c r="E86">
        <v>621.64462307297936</v>
      </c>
      <c r="F86">
        <v>-1246.1489942883604</v>
      </c>
      <c r="G86">
        <v>2311.4175377843867</v>
      </c>
      <c r="H86" s="1">
        <v>45716.333333333336</v>
      </c>
    </row>
    <row r="87" spans="1:8" x14ac:dyDescent="0.25">
      <c r="A87" s="7">
        <f>DATE(YEAR(m3_crossvalid[[#This Row],[cutoff]]),MONTH(m3_crossvalid[[#This Row],[cutoff]]),DAY(m3_crossvalid[[#This Row],[cutoff]]))</f>
        <v>45716</v>
      </c>
      <c r="B87" s="7">
        <f>DATE(YEAR(m3_crossvalid[[#This Row],[ds]]),MONTH(m3_crossvalid[[#This Row],[ds]]),DAY(m3_crossvalid[[#This Row],[ds]]))</f>
        <v>45740</v>
      </c>
      <c r="C87">
        <v>4292</v>
      </c>
      <c r="D87" s="1">
        <v>45740.333333333336</v>
      </c>
      <c r="E87">
        <v>3468.4025939936896</v>
      </c>
      <c r="F87">
        <v>1727.1101459774259</v>
      </c>
      <c r="G87">
        <v>5420.0039358768745</v>
      </c>
      <c r="H87" s="1">
        <v>45716.333333333336</v>
      </c>
    </row>
    <row r="88" spans="1:8" x14ac:dyDescent="0.25">
      <c r="A88" s="7">
        <f>DATE(YEAR(m3_crossvalid[[#This Row],[cutoff]]),MONTH(m3_crossvalid[[#This Row],[cutoff]]),DAY(m3_crossvalid[[#This Row],[cutoff]]))</f>
        <v>45716</v>
      </c>
      <c r="B88" s="7">
        <f>DATE(YEAR(m3_crossvalid[[#This Row],[ds]]),MONTH(m3_crossvalid[[#This Row],[ds]]),DAY(m3_crossvalid[[#This Row],[ds]]))</f>
        <v>45741</v>
      </c>
      <c r="C88">
        <v>5571</v>
      </c>
      <c r="D88" s="1">
        <v>45741.333333333336</v>
      </c>
      <c r="E88">
        <v>3983.883386149646</v>
      </c>
      <c r="F88">
        <v>2197.042834658334</v>
      </c>
      <c r="G88">
        <v>5711.9933913792929</v>
      </c>
      <c r="H88" s="1">
        <v>45716.333333333336</v>
      </c>
    </row>
    <row r="89" spans="1:8" x14ac:dyDescent="0.25">
      <c r="A89" s="7">
        <f>DATE(YEAR(m3_crossvalid[[#This Row],[cutoff]]),MONTH(m3_crossvalid[[#This Row],[cutoff]]),DAY(m3_crossvalid[[#This Row],[cutoff]]))</f>
        <v>45716</v>
      </c>
      <c r="B89" s="7">
        <f>DATE(YEAR(m3_crossvalid[[#This Row],[ds]]),MONTH(m3_crossvalid[[#This Row],[ds]]),DAY(m3_crossvalid[[#This Row],[ds]]))</f>
        <v>45742</v>
      </c>
      <c r="C89">
        <v>6352</v>
      </c>
      <c r="D89" s="1">
        <v>45742.333333333336</v>
      </c>
      <c r="E89">
        <v>3940.0011326681961</v>
      </c>
      <c r="F89">
        <v>2085.6069304484672</v>
      </c>
      <c r="G89">
        <v>5663.7014277454891</v>
      </c>
      <c r="H89" s="1">
        <v>45716.333333333336</v>
      </c>
    </row>
    <row r="90" spans="1:8" x14ac:dyDescent="0.25">
      <c r="A90" s="7">
        <f>DATE(YEAR(m3_crossvalid[[#This Row],[cutoff]]),MONTH(m3_crossvalid[[#This Row],[cutoff]]),DAY(m3_crossvalid[[#This Row],[cutoff]]))</f>
        <v>45716</v>
      </c>
      <c r="B90" s="7">
        <f>DATE(YEAR(m3_crossvalid[[#This Row],[ds]]),MONTH(m3_crossvalid[[#This Row],[ds]]),DAY(m3_crossvalid[[#This Row],[ds]]))</f>
        <v>45743</v>
      </c>
      <c r="C90">
        <v>8836</v>
      </c>
      <c r="D90" s="1">
        <v>45743.333333333336</v>
      </c>
      <c r="E90">
        <v>3868.9465253764993</v>
      </c>
      <c r="F90">
        <v>2218.4265545919957</v>
      </c>
      <c r="G90">
        <v>5690.4401993035326</v>
      </c>
      <c r="H90" s="1">
        <v>45716.333333333336</v>
      </c>
    </row>
    <row r="91" spans="1:8" x14ac:dyDescent="0.25">
      <c r="A91" s="7">
        <f>DATE(YEAR(m3_crossvalid[[#This Row],[cutoff]]),MONTH(m3_crossvalid[[#This Row],[cutoff]]),DAY(m3_crossvalid[[#This Row],[cutoff]]))</f>
        <v>45716</v>
      </c>
      <c r="B91" s="7">
        <f>DATE(YEAR(m3_crossvalid[[#This Row],[ds]]),MONTH(m3_crossvalid[[#This Row],[ds]]),DAY(m3_crossvalid[[#This Row],[ds]]))</f>
        <v>45744</v>
      </c>
      <c r="C91">
        <v>9717</v>
      </c>
      <c r="D91" s="1">
        <v>45744.333333333336</v>
      </c>
      <c r="E91">
        <v>4149.665877631458</v>
      </c>
      <c r="F91">
        <v>2403.2838392553731</v>
      </c>
      <c r="G91">
        <v>5810.0507850411041</v>
      </c>
      <c r="H91" s="1">
        <v>45716.333333333336</v>
      </c>
    </row>
    <row r="92" spans="1:8" x14ac:dyDescent="0.25">
      <c r="A92" s="7">
        <f>DATE(YEAR(m3_crossvalid[[#This Row],[cutoff]]),MONTH(m3_crossvalid[[#This Row],[cutoff]]),DAY(m3_crossvalid[[#This Row],[cutoff]]))</f>
        <v>45716</v>
      </c>
      <c r="B92" s="7">
        <f>DATE(YEAR(m3_crossvalid[[#This Row],[ds]]),MONTH(m3_crossvalid[[#This Row],[ds]]),DAY(m3_crossvalid[[#This Row],[ds]]))</f>
        <v>45745</v>
      </c>
      <c r="C92">
        <v>3249</v>
      </c>
      <c r="D92" s="1">
        <v>45745.333333333336</v>
      </c>
      <c r="E92">
        <v>2974.6117696721089</v>
      </c>
      <c r="F92">
        <v>1126.4242450647628</v>
      </c>
      <c r="G92">
        <v>4661.8787097813947</v>
      </c>
      <c r="H92" s="1">
        <v>45716.333333333336</v>
      </c>
    </row>
    <row r="93" spans="1:8" x14ac:dyDescent="0.25">
      <c r="A93" s="7">
        <f>DATE(YEAR(m3_crossvalid[[#This Row],[cutoff]]),MONTH(m3_crossvalid[[#This Row],[cutoff]]),DAY(m3_crossvalid[[#This Row],[cutoff]]))</f>
        <v>45716</v>
      </c>
      <c r="B93" s="7">
        <f>DATE(YEAR(m3_crossvalid[[#This Row],[ds]]),MONTH(m3_crossvalid[[#This Row],[ds]]),DAY(m3_crossvalid[[#This Row],[ds]]))</f>
        <v>45746</v>
      </c>
      <c r="C93">
        <v>198</v>
      </c>
      <c r="D93" s="1">
        <v>45746.333333333336</v>
      </c>
      <c r="E93">
        <v>3691.6416620884847</v>
      </c>
      <c r="F93">
        <v>1951.8435724101632</v>
      </c>
      <c r="G93">
        <v>5485.5184776312826</v>
      </c>
      <c r="H93" s="1">
        <v>45716.333333333336</v>
      </c>
    </row>
    <row r="94" spans="1:8" x14ac:dyDescent="0.25">
      <c r="A94" s="7">
        <f>DATE(YEAR(m3_crossvalid[[#This Row],[cutoff]]),MONTH(m3_crossvalid[[#This Row],[cutoff]]),DAY(m3_crossvalid[[#This Row],[cutoff]]))</f>
        <v>45716</v>
      </c>
      <c r="B94" s="7">
        <f>DATE(YEAR(m3_crossvalid[[#This Row],[ds]]),MONTH(m3_crossvalid[[#This Row],[ds]]),DAY(m3_crossvalid[[#This Row],[ds]]))</f>
        <v>45747</v>
      </c>
      <c r="C94">
        <v>53</v>
      </c>
      <c r="D94" s="1">
        <v>45747.333333333336</v>
      </c>
      <c r="E94">
        <v>4841.1258307004518</v>
      </c>
      <c r="F94">
        <v>3042.5708626405317</v>
      </c>
      <c r="G94">
        <v>6580.0533705562248</v>
      </c>
      <c r="H94" s="1">
        <v>45716.333333333336</v>
      </c>
    </row>
    <row r="95" spans="1:8" x14ac:dyDescent="0.25">
      <c r="A95" s="7">
        <f>DATE(YEAR(m3_crossvalid[[#This Row],[cutoff]]),MONTH(m3_crossvalid[[#This Row],[cutoff]]),DAY(m3_crossvalid[[#This Row],[cutoff]]))</f>
        <v>45747</v>
      </c>
      <c r="B95" s="7">
        <f>DATE(YEAR(m3_crossvalid[[#This Row],[ds]]),MONTH(m3_crossvalid[[#This Row],[ds]]),DAY(m3_crossvalid[[#This Row],[ds]]))</f>
        <v>45748</v>
      </c>
      <c r="C95">
        <v>2</v>
      </c>
      <c r="D95" s="1">
        <v>45748.333333333336</v>
      </c>
      <c r="E95">
        <v>3440.8690033819089</v>
      </c>
      <c r="F95">
        <v>1695.2213227064319</v>
      </c>
      <c r="G95">
        <v>5237.8610992492686</v>
      </c>
      <c r="H95" s="1">
        <v>45747.333333333336</v>
      </c>
    </row>
    <row r="96" spans="1:8" x14ac:dyDescent="0.25">
      <c r="A96" s="7">
        <f>DATE(YEAR(m3_crossvalid[[#This Row],[cutoff]]),MONTH(m3_crossvalid[[#This Row],[cutoff]]),DAY(m3_crossvalid[[#This Row],[cutoff]]))</f>
        <v>45747</v>
      </c>
      <c r="B96" s="7">
        <f>DATE(YEAR(m3_crossvalid[[#This Row],[ds]]),MONTH(m3_crossvalid[[#This Row],[ds]]),DAY(m3_crossvalid[[#This Row],[ds]]))</f>
        <v>45749</v>
      </c>
      <c r="C96">
        <v>105</v>
      </c>
      <c r="D96" s="1">
        <v>45749.333333333336</v>
      </c>
      <c r="E96">
        <v>4408.8377383100878</v>
      </c>
      <c r="F96">
        <v>2591.4922429491035</v>
      </c>
      <c r="G96">
        <v>6169.5647235379629</v>
      </c>
      <c r="H96" s="1">
        <v>45747.333333333336</v>
      </c>
    </row>
    <row r="97" spans="1:8" x14ac:dyDescent="0.25">
      <c r="A97" s="7">
        <f>DATE(YEAR(m3_crossvalid[[#This Row],[cutoff]]),MONTH(m3_crossvalid[[#This Row],[cutoff]]),DAY(m3_crossvalid[[#This Row],[cutoff]]))</f>
        <v>45747</v>
      </c>
      <c r="B97" s="7">
        <f>DATE(YEAR(m3_crossvalid[[#This Row],[ds]]),MONTH(m3_crossvalid[[#This Row],[ds]]),DAY(m3_crossvalid[[#This Row],[ds]]))</f>
        <v>45750</v>
      </c>
      <c r="C97">
        <v>284</v>
      </c>
      <c r="D97" s="1">
        <v>45750.333333333336</v>
      </c>
      <c r="E97">
        <v>2041.764055234775</v>
      </c>
      <c r="F97">
        <v>278.2805354861527</v>
      </c>
      <c r="G97">
        <v>3850.7857912495365</v>
      </c>
      <c r="H97" s="1">
        <v>45747.333333333336</v>
      </c>
    </row>
    <row r="98" spans="1:8" x14ac:dyDescent="0.25">
      <c r="A98" s="7">
        <f>DATE(YEAR(m3_crossvalid[[#This Row],[cutoff]]),MONTH(m3_crossvalid[[#This Row],[cutoff]]),DAY(m3_crossvalid[[#This Row],[cutoff]]))</f>
        <v>45747</v>
      </c>
      <c r="B98" s="7">
        <f>DATE(YEAR(m3_crossvalid[[#This Row],[ds]]),MONTH(m3_crossvalid[[#This Row],[ds]]),DAY(m3_crossvalid[[#This Row],[ds]]))</f>
        <v>45751</v>
      </c>
      <c r="C98">
        <v>403</v>
      </c>
      <c r="D98" s="1">
        <v>45751.333333333336</v>
      </c>
      <c r="E98">
        <v>1084.7975010515393</v>
      </c>
      <c r="F98">
        <v>-570.17291037061239</v>
      </c>
      <c r="G98">
        <v>2752.9950604038099</v>
      </c>
      <c r="H98" s="1">
        <v>45747.333333333336</v>
      </c>
    </row>
    <row r="99" spans="1:8" x14ac:dyDescent="0.25">
      <c r="A99" s="7">
        <f>DATE(YEAR(m3_crossvalid[[#This Row],[cutoff]]),MONTH(m3_crossvalid[[#This Row],[cutoff]]),DAY(m3_crossvalid[[#This Row],[cutoff]]))</f>
        <v>45747</v>
      </c>
      <c r="B99" s="7">
        <f>DATE(YEAR(m3_crossvalid[[#This Row],[ds]]),MONTH(m3_crossvalid[[#This Row],[ds]]),DAY(m3_crossvalid[[#This Row],[ds]]))</f>
        <v>45752</v>
      </c>
      <c r="C99">
        <v>47</v>
      </c>
      <c r="D99" s="1">
        <v>45752.333333333336</v>
      </c>
      <c r="E99">
        <v>-1157.8640702380812</v>
      </c>
      <c r="F99">
        <v>-2921.3039261520044</v>
      </c>
      <c r="G99">
        <v>671.37363771889727</v>
      </c>
      <c r="H99" s="1">
        <v>45747.333333333336</v>
      </c>
    </row>
    <row r="100" spans="1:8" x14ac:dyDescent="0.25">
      <c r="A100" s="7">
        <f>DATE(YEAR(m3_crossvalid[[#This Row],[cutoff]]),MONTH(m3_crossvalid[[#This Row],[cutoff]]),DAY(m3_crossvalid[[#This Row],[cutoff]]))</f>
        <v>45747</v>
      </c>
      <c r="B100" s="7">
        <f>DATE(YEAR(m3_crossvalid[[#This Row],[ds]]),MONTH(m3_crossvalid[[#This Row],[ds]]),DAY(m3_crossvalid[[#This Row],[ds]]))</f>
        <v>45753</v>
      </c>
      <c r="C100">
        <v>11</v>
      </c>
      <c r="D100" s="1">
        <v>45753.333333333336</v>
      </c>
      <c r="E100">
        <v>-1260.9515306370427</v>
      </c>
      <c r="F100">
        <v>-2982.7939135194042</v>
      </c>
      <c r="G100">
        <v>595.46064477249229</v>
      </c>
      <c r="H100" s="1">
        <v>45747.333333333336</v>
      </c>
    </row>
    <row r="101" spans="1:8" x14ac:dyDescent="0.25">
      <c r="A101" s="7">
        <f>DATE(YEAR(m3_crossvalid[[#This Row],[cutoff]]),MONTH(m3_crossvalid[[#This Row],[cutoff]]),DAY(m3_crossvalid[[#This Row],[cutoff]]))</f>
        <v>45747</v>
      </c>
      <c r="B101" s="7">
        <f>DATE(YEAR(m3_crossvalid[[#This Row],[ds]]),MONTH(m3_crossvalid[[#This Row],[ds]]),DAY(m3_crossvalid[[#This Row],[ds]]))</f>
        <v>45754</v>
      </c>
      <c r="C101">
        <v>477</v>
      </c>
      <c r="D101" s="1">
        <v>45754.333333333336</v>
      </c>
      <c r="E101">
        <v>304.57612538225567</v>
      </c>
      <c r="F101">
        <v>-1473.8870749048931</v>
      </c>
      <c r="G101">
        <v>2186.198872676714</v>
      </c>
      <c r="H101" s="1">
        <v>45747.333333333336</v>
      </c>
    </row>
    <row r="102" spans="1:8" x14ac:dyDescent="0.25">
      <c r="A102" s="7">
        <f>DATE(YEAR(m3_crossvalid[[#This Row],[cutoff]]),MONTH(m3_crossvalid[[#This Row],[cutoff]]),DAY(m3_crossvalid[[#This Row],[cutoff]]))</f>
        <v>45747</v>
      </c>
      <c r="B102" s="7">
        <f>DATE(YEAR(m3_crossvalid[[#This Row],[ds]]),MONTH(m3_crossvalid[[#This Row],[ds]]),DAY(m3_crossvalid[[#This Row],[ds]]))</f>
        <v>45755</v>
      </c>
      <c r="C102">
        <v>775</v>
      </c>
      <c r="D102" s="1">
        <v>45755.333333333336</v>
      </c>
      <c r="E102">
        <v>889.79819579009086</v>
      </c>
      <c r="F102">
        <v>-941.23348478926346</v>
      </c>
      <c r="G102">
        <v>2722.0975295659696</v>
      </c>
      <c r="H102" s="1">
        <v>45747.333333333336</v>
      </c>
    </row>
    <row r="103" spans="1:8" x14ac:dyDescent="0.25">
      <c r="A103" s="7">
        <f>DATE(YEAR(m3_crossvalid[[#This Row],[cutoff]]),MONTH(m3_crossvalid[[#This Row],[cutoff]]),DAY(m3_crossvalid[[#This Row],[cutoff]]))</f>
        <v>45747</v>
      </c>
      <c r="B103" s="7">
        <f>DATE(YEAR(m3_crossvalid[[#This Row],[ds]]),MONTH(m3_crossvalid[[#This Row],[ds]]),DAY(m3_crossvalid[[#This Row],[ds]]))</f>
        <v>45756</v>
      </c>
      <c r="C103">
        <v>1016</v>
      </c>
      <c r="D103" s="1">
        <v>45756.333333333336</v>
      </c>
      <c r="E103">
        <v>2185.0259087619456</v>
      </c>
      <c r="F103">
        <v>461.6723184091291</v>
      </c>
      <c r="G103">
        <v>3940.9844267235999</v>
      </c>
      <c r="H103" s="1">
        <v>45747.333333333336</v>
      </c>
    </row>
    <row r="104" spans="1:8" x14ac:dyDescent="0.25">
      <c r="A104" s="7">
        <f>DATE(YEAR(m3_crossvalid[[#This Row],[cutoff]]),MONTH(m3_crossvalid[[#This Row],[cutoff]]),DAY(m3_crossvalid[[#This Row],[cutoff]]))</f>
        <v>45747</v>
      </c>
      <c r="B104" s="7">
        <f>DATE(YEAR(m3_crossvalid[[#This Row],[ds]]),MONTH(m3_crossvalid[[#This Row],[ds]]),DAY(m3_crossvalid[[#This Row],[ds]]))</f>
        <v>45757</v>
      </c>
      <c r="C104">
        <v>1422</v>
      </c>
      <c r="D104" s="1">
        <v>45757.333333333336</v>
      </c>
      <c r="E104">
        <v>2112.2013848061656</v>
      </c>
      <c r="F104">
        <v>291.03537101552632</v>
      </c>
      <c r="G104">
        <v>3805.7887427042865</v>
      </c>
      <c r="H104" s="1">
        <v>45747.333333333336</v>
      </c>
    </row>
    <row r="105" spans="1:8" x14ac:dyDescent="0.25">
      <c r="A105" s="7">
        <f>DATE(YEAR(m3_crossvalid[[#This Row],[cutoff]]),MONTH(m3_crossvalid[[#This Row],[cutoff]]),DAY(m3_crossvalid[[#This Row],[cutoff]]))</f>
        <v>45747</v>
      </c>
      <c r="B105" s="7">
        <f>DATE(YEAR(m3_crossvalid[[#This Row],[ds]]),MONTH(m3_crossvalid[[#This Row],[ds]]),DAY(m3_crossvalid[[#This Row],[ds]]))</f>
        <v>45758</v>
      </c>
      <c r="C105">
        <v>1565</v>
      </c>
      <c r="D105" s="1">
        <v>45758.333333333336</v>
      </c>
      <c r="E105">
        <v>2179.8349666040617</v>
      </c>
      <c r="F105">
        <v>476.98265366827906</v>
      </c>
      <c r="G105">
        <v>4009.6750203742477</v>
      </c>
      <c r="H105" s="1">
        <v>45747.333333333336</v>
      </c>
    </row>
    <row r="106" spans="1:8" x14ac:dyDescent="0.25">
      <c r="A106" s="7">
        <f>DATE(YEAR(m3_crossvalid[[#This Row],[cutoff]]),MONTH(m3_crossvalid[[#This Row],[cutoff]]),DAY(m3_crossvalid[[#This Row],[cutoff]]))</f>
        <v>45747</v>
      </c>
      <c r="B106" s="7">
        <f>DATE(YEAR(m3_crossvalid[[#This Row],[ds]]),MONTH(m3_crossvalid[[#This Row],[ds]]),DAY(m3_crossvalid[[#This Row],[ds]]))</f>
        <v>45759</v>
      </c>
      <c r="C106">
        <v>276</v>
      </c>
      <c r="D106" s="1">
        <v>45759.333333333336</v>
      </c>
      <c r="E106">
        <v>244.23547553482194</v>
      </c>
      <c r="F106">
        <v>-1496.2135016400464</v>
      </c>
      <c r="G106">
        <v>2073.0903826334352</v>
      </c>
      <c r="H106" s="1">
        <v>45747.333333333336</v>
      </c>
    </row>
    <row r="107" spans="1:8" x14ac:dyDescent="0.25">
      <c r="A107" s="7">
        <f>DATE(YEAR(m3_crossvalid[[#This Row],[cutoff]]),MONTH(m3_crossvalid[[#This Row],[cutoff]]),DAY(m3_crossvalid[[#This Row],[cutoff]]))</f>
        <v>45747</v>
      </c>
      <c r="B107" s="7">
        <f>DATE(YEAR(m3_crossvalid[[#This Row],[ds]]),MONTH(m3_crossvalid[[#This Row],[ds]]),DAY(m3_crossvalid[[#This Row],[ds]]))</f>
        <v>45760</v>
      </c>
      <c r="C107">
        <v>55</v>
      </c>
      <c r="D107" s="1">
        <v>45760.333333333336</v>
      </c>
      <c r="E107">
        <v>-37.374690282192205</v>
      </c>
      <c r="F107">
        <v>-1935.9435501601492</v>
      </c>
      <c r="G107">
        <v>1772.8686261739708</v>
      </c>
      <c r="H107" s="1">
        <v>45747.333333333336</v>
      </c>
    </row>
    <row r="108" spans="1:8" x14ac:dyDescent="0.25">
      <c r="A108" s="7">
        <f>DATE(YEAR(m3_crossvalid[[#This Row],[cutoff]]),MONTH(m3_crossvalid[[#This Row],[cutoff]]),DAY(m3_crossvalid[[#This Row],[cutoff]]))</f>
        <v>45747</v>
      </c>
      <c r="B108" s="7">
        <f>DATE(YEAR(m3_crossvalid[[#This Row],[ds]]),MONTH(m3_crossvalid[[#This Row],[ds]]),DAY(m3_crossvalid[[#This Row],[ds]]))</f>
        <v>45761</v>
      </c>
      <c r="C108">
        <v>1634</v>
      </c>
      <c r="D108" s="1">
        <v>45761.333333333336</v>
      </c>
      <c r="E108">
        <v>2479.8549734202361</v>
      </c>
      <c r="F108">
        <v>774.78003519742856</v>
      </c>
      <c r="G108">
        <v>4204.9049130277581</v>
      </c>
      <c r="H108" s="1">
        <v>45747.333333333336</v>
      </c>
    </row>
    <row r="109" spans="1:8" x14ac:dyDescent="0.25">
      <c r="A109" s="7">
        <f>DATE(YEAR(m3_crossvalid[[#This Row],[cutoff]]),MONTH(m3_crossvalid[[#This Row],[cutoff]]),DAY(m3_crossvalid[[#This Row],[cutoff]]))</f>
        <v>45747</v>
      </c>
      <c r="B109" s="7">
        <f>DATE(YEAR(m3_crossvalid[[#This Row],[ds]]),MONTH(m3_crossvalid[[#This Row],[ds]]),DAY(m3_crossvalid[[#This Row],[ds]]))</f>
        <v>45762</v>
      </c>
      <c r="C109">
        <v>1965</v>
      </c>
      <c r="D109" s="1">
        <v>45762.333333333336</v>
      </c>
      <c r="E109">
        <v>2689.1598359441637</v>
      </c>
      <c r="F109">
        <v>888.30493692061532</v>
      </c>
      <c r="G109">
        <v>4581.1413130964411</v>
      </c>
      <c r="H109" s="1">
        <v>45747.333333333336</v>
      </c>
    </row>
    <row r="110" spans="1:8" x14ac:dyDescent="0.25">
      <c r="A110" s="7">
        <f>DATE(YEAR(m3_crossvalid[[#This Row],[cutoff]]),MONTH(m3_crossvalid[[#This Row],[cutoff]]),DAY(m3_crossvalid[[#This Row],[cutoff]]))</f>
        <v>45747</v>
      </c>
      <c r="B110" s="7">
        <f>DATE(YEAR(m3_crossvalid[[#This Row],[ds]]),MONTH(m3_crossvalid[[#This Row],[ds]]),DAY(m3_crossvalid[[#This Row],[ds]]))</f>
        <v>45763</v>
      </c>
      <c r="C110">
        <v>2361</v>
      </c>
      <c r="D110" s="1">
        <v>45763.333333333336</v>
      </c>
      <c r="E110">
        <v>2740.5117794639341</v>
      </c>
      <c r="F110">
        <v>973.50803509549576</v>
      </c>
      <c r="G110">
        <v>4463.0679192589596</v>
      </c>
      <c r="H110" s="1">
        <v>45747.333333333336</v>
      </c>
    </row>
    <row r="111" spans="1:8" x14ac:dyDescent="0.25">
      <c r="A111" s="7">
        <f>DATE(YEAR(m3_crossvalid[[#This Row],[cutoff]]),MONTH(m3_crossvalid[[#This Row],[cutoff]]),DAY(m3_crossvalid[[#This Row],[cutoff]]))</f>
        <v>45747</v>
      </c>
      <c r="B111" s="7">
        <f>DATE(YEAR(m3_crossvalid[[#This Row],[ds]]),MONTH(m3_crossvalid[[#This Row],[ds]]),DAY(m3_crossvalid[[#This Row],[ds]]))</f>
        <v>45764</v>
      </c>
      <c r="C111">
        <v>2761</v>
      </c>
      <c r="D111" s="1">
        <v>45764.333333333336</v>
      </c>
      <c r="E111">
        <v>2974.6263371404957</v>
      </c>
      <c r="F111">
        <v>1056.1210971476271</v>
      </c>
      <c r="G111">
        <v>4757.6183072388112</v>
      </c>
      <c r="H111" s="1">
        <v>45747.333333333336</v>
      </c>
    </row>
    <row r="112" spans="1:8" x14ac:dyDescent="0.25">
      <c r="A112" s="7">
        <f>DATE(YEAR(m3_crossvalid[[#This Row],[cutoff]]),MONTH(m3_crossvalid[[#This Row],[cutoff]]),DAY(m3_crossvalid[[#This Row],[cutoff]]))</f>
        <v>45747</v>
      </c>
      <c r="B112" s="7">
        <f>DATE(YEAR(m3_crossvalid[[#This Row],[ds]]),MONTH(m3_crossvalid[[#This Row],[ds]]),DAY(m3_crossvalid[[#This Row],[ds]]))</f>
        <v>45765</v>
      </c>
      <c r="C112">
        <v>2721</v>
      </c>
      <c r="D112" s="1">
        <v>45765.333333333336</v>
      </c>
      <c r="E112">
        <v>3165.5201371843164</v>
      </c>
      <c r="F112">
        <v>1392.2707687128918</v>
      </c>
      <c r="G112">
        <v>4934.0343316070621</v>
      </c>
      <c r="H112" s="1">
        <v>45747.333333333336</v>
      </c>
    </row>
    <row r="113" spans="1:8" x14ac:dyDescent="0.25">
      <c r="A113" s="7">
        <f>DATE(YEAR(m3_crossvalid[[#This Row],[cutoff]]),MONTH(m3_crossvalid[[#This Row],[cutoff]]),DAY(m3_crossvalid[[#This Row],[cutoff]]))</f>
        <v>45747</v>
      </c>
      <c r="B113" s="7">
        <f>DATE(YEAR(m3_crossvalid[[#This Row],[ds]]),MONTH(m3_crossvalid[[#This Row],[ds]]),DAY(m3_crossvalid[[#This Row],[ds]]))</f>
        <v>45766</v>
      </c>
      <c r="C113">
        <v>420</v>
      </c>
      <c r="D113" s="1">
        <v>45766.333333333336</v>
      </c>
      <c r="E113">
        <v>1021.1171020700451</v>
      </c>
      <c r="F113">
        <v>-693.88924837006925</v>
      </c>
      <c r="G113">
        <v>2887.6498701910027</v>
      </c>
      <c r="H113" s="1">
        <v>45747.333333333336</v>
      </c>
    </row>
    <row r="114" spans="1:8" x14ac:dyDescent="0.25">
      <c r="A114" s="7">
        <f>DATE(YEAR(m3_crossvalid[[#This Row],[cutoff]]),MONTH(m3_crossvalid[[#This Row],[cutoff]]),DAY(m3_crossvalid[[#This Row],[cutoff]]))</f>
        <v>45747</v>
      </c>
      <c r="B114" s="7">
        <f>DATE(YEAR(m3_crossvalid[[#This Row],[ds]]),MONTH(m3_crossvalid[[#This Row],[ds]]),DAY(m3_crossvalid[[#This Row],[ds]]))</f>
        <v>45767</v>
      </c>
      <c r="C114">
        <v>166</v>
      </c>
      <c r="D114" s="1">
        <v>45767.333333333336</v>
      </c>
      <c r="E114">
        <v>400.33178511824508</v>
      </c>
      <c r="F114">
        <v>-1433.2948679444073</v>
      </c>
      <c r="G114">
        <v>2190.7282219660729</v>
      </c>
      <c r="H114" s="1">
        <v>45747.333333333336</v>
      </c>
    </row>
    <row r="115" spans="1:8" x14ac:dyDescent="0.25">
      <c r="A115" s="7">
        <f>DATE(YEAR(m3_crossvalid[[#This Row],[cutoff]]),MONTH(m3_crossvalid[[#This Row],[cutoff]]),DAY(m3_crossvalid[[#This Row],[cutoff]]))</f>
        <v>45747</v>
      </c>
      <c r="B115" s="7">
        <f>DATE(YEAR(m3_crossvalid[[#This Row],[ds]]),MONTH(m3_crossvalid[[#This Row],[ds]]),DAY(m3_crossvalid[[#This Row],[ds]]))</f>
        <v>45768</v>
      </c>
      <c r="C115">
        <v>2715</v>
      </c>
      <c r="D115" s="1">
        <v>45768.333333333336</v>
      </c>
      <c r="E115">
        <v>2783.0038249530548</v>
      </c>
      <c r="F115">
        <v>886.30015856738316</v>
      </c>
      <c r="G115">
        <v>4607.3745511438528</v>
      </c>
      <c r="H115" s="1">
        <v>45747.333333333336</v>
      </c>
    </row>
    <row r="116" spans="1:8" x14ac:dyDescent="0.25">
      <c r="A116" s="7">
        <f>DATE(YEAR(m3_crossvalid[[#This Row],[cutoff]]),MONTH(m3_crossvalid[[#This Row],[cutoff]]),DAY(m3_crossvalid[[#This Row],[cutoff]]))</f>
        <v>45747</v>
      </c>
      <c r="B116" s="7">
        <f>DATE(YEAR(m3_crossvalid[[#This Row],[ds]]),MONTH(m3_crossvalid[[#This Row],[ds]]),DAY(m3_crossvalid[[#This Row],[ds]]))</f>
        <v>45769</v>
      </c>
      <c r="C116">
        <v>3162</v>
      </c>
      <c r="D116" s="1">
        <v>45769.333333333336</v>
      </c>
      <c r="E116">
        <v>3187.9344446697569</v>
      </c>
      <c r="F116">
        <v>1419.4159666752264</v>
      </c>
      <c r="G116">
        <v>5015.7469775210238</v>
      </c>
      <c r="H116" s="1">
        <v>45747.333333333336</v>
      </c>
    </row>
    <row r="117" spans="1:8" x14ac:dyDescent="0.25">
      <c r="A117" s="7">
        <f>DATE(YEAR(m3_crossvalid[[#This Row],[cutoff]]),MONTH(m3_crossvalid[[#This Row],[cutoff]]),DAY(m3_crossvalid[[#This Row],[cutoff]]))</f>
        <v>45747</v>
      </c>
      <c r="B117" s="7">
        <f>DATE(YEAR(m3_crossvalid[[#This Row],[ds]]),MONTH(m3_crossvalid[[#This Row],[ds]]),DAY(m3_crossvalid[[#This Row],[ds]]))</f>
        <v>45770</v>
      </c>
      <c r="C117">
        <v>3604</v>
      </c>
      <c r="D117" s="1">
        <v>45770.333333333336</v>
      </c>
      <c r="E117">
        <v>3555.9611643119833</v>
      </c>
      <c r="F117">
        <v>1693.9327423398574</v>
      </c>
      <c r="G117">
        <v>5266.0906415996378</v>
      </c>
      <c r="H117" s="1">
        <v>45747.333333333336</v>
      </c>
    </row>
    <row r="118" spans="1:8" x14ac:dyDescent="0.25">
      <c r="A118" s="7">
        <f>DATE(YEAR(m3_crossvalid[[#This Row],[cutoff]]),MONTH(m3_crossvalid[[#This Row],[cutoff]]),DAY(m3_crossvalid[[#This Row],[cutoff]]))</f>
        <v>45747</v>
      </c>
      <c r="B118" s="7">
        <f>DATE(YEAR(m3_crossvalid[[#This Row],[ds]]),MONTH(m3_crossvalid[[#This Row],[ds]]),DAY(m3_crossvalid[[#This Row],[ds]]))</f>
        <v>45771</v>
      </c>
      <c r="C118">
        <v>3831</v>
      </c>
      <c r="D118" s="1">
        <v>45771.333333333336</v>
      </c>
      <c r="E118">
        <v>3903.48369453334</v>
      </c>
      <c r="F118">
        <v>2139.0680800015598</v>
      </c>
      <c r="G118">
        <v>5662.1977767754397</v>
      </c>
      <c r="H118" s="1">
        <v>45747.333333333336</v>
      </c>
    </row>
    <row r="119" spans="1:8" x14ac:dyDescent="0.25">
      <c r="A119" s="7">
        <f>DATE(YEAR(m3_crossvalid[[#This Row],[cutoff]]),MONTH(m3_crossvalid[[#This Row],[cutoff]]),DAY(m3_crossvalid[[#This Row],[cutoff]]))</f>
        <v>45747</v>
      </c>
      <c r="B119" s="7">
        <f>DATE(YEAR(m3_crossvalid[[#This Row],[ds]]),MONTH(m3_crossvalid[[#This Row],[ds]]),DAY(m3_crossvalid[[#This Row],[ds]]))</f>
        <v>45772</v>
      </c>
      <c r="C119">
        <v>4600</v>
      </c>
      <c r="D119" s="1">
        <v>45772.333333333336</v>
      </c>
      <c r="E119">
        <v>3916.3721024204124</v>
      </c>
      <c r="F119">
        <v>2093.9890564376578</v>
      </c>
      <c r="G119">
        <v>5839.6773512485661</v>
      </c>
      <c r="H119" s="1">
        <v>45747.333333333336</v>
      </c>
    </row>
    <row r="120" spans="1:8" x14ac:dyDescent="0.25">
      <c r="A120" s="7">
        <f>DATE(YEAR(m3_crossvalid[[#This Row],[cutoff]]),MONTH(m3_crossvalid[[#This Row],[cutoff]]),DAY(m3_crossvalid[[#This Row],[cutoff]]))</f>
        <v>45747</v>
      </c>
      <c r="B120" s="7">
        <f>DATE(YEAR(m3_crossvalid[[#This Row],[ds]]),MONTH(m3_crossvalid[[#This Row],[ds]]),DAY(m3_crossvalid[[#This Row],[ds]]))</f>
        <v>45773</v>
      </c>
      <c r="C120">
        <v>1014</v>
      </c>
      <c r="D120" s="1">
        <v>45773.333333333336</v>
      </c>
      <c r="E120">
        <v>1583.9529872756818</v>
      </c>
      <c r="F120">
        <v>-347.90871021541295</v>
      </c>
      <c r="G120">
        <v>3291.9564024178358</v>
      </c>
      <c r="H120" s="1">
        <v>45747.333333333336</v>
      </c>
    </row>
    <row r="121" spans="1:8" x14ac:dyDescent="0.25">
      <c r="A121" s="7">
        <f>DATE(YEAR(m3_crossvalid[[#This Row],[cutoff]]),MONTH(m3_crossvalid[[#This Row],[cutoff]]),DAY(m3_crossvalid[[#This Row],[cutoff]]))</f>
        <v>45747</v>
      </c>
      <c r="B121" s="7">
        <f>DATE(YEAR(m3_crossvalid[[#This Row],[ds]]),MONTH(m3_crossvalid[[#This Row],[ds]]),DAY(m3_crossvalid[[#This Row],[ds]]))</f>
        <v>45774</v>
      </c>
      <c r="C121">
        <v>198</v>
      </c>
      <c r="D121" s="1">
        <v>45774.333333333336</v>
      </c>
      <c r="E121">
        <v>1181.5936832468042</v>
      </c>
      <c r="F121">
        <v>-639.59274077972907</v>
      </c>
      <c r="G121">
        <v>2997.1406113825378</v>
      </c>
      <c r="H121" s="1">
        <v>45747.333333333336</v>
      </c>
    </row>
    <row r="122" spans="1:8" x14ac:dyDescent="0.25">
      <c r="A122" s="7">
        <f>DATE(YEAR(m3_crossvalid[[#This Row],[cutoff]]),MONTH(m3_crossvalid[[#This Row],[cutoff]]),DAY(m3_crossvalid[[#This Row],[cutoff]]))</f>
        <v>45747</v>
      </c>
      <c r="B122" s="7">
        <f>DATE(YEAR(m3_crossvalid[[#This Row],[ds]]),MONTH(m3_crossvalid[[#This Row],[ds]]),DAY(m3_crossvalid[[#This Row],[ds]]))</f>
        <v>45775</v>
      </c>
      <c r="C122">
        <v>5133</v>
      </c>
      <c r="D122" s="1">
        <v>45775.333333333336</v>
      </c>
      <c r="E122">
        <v>4336.7658624707638</v>
      </c>
      <c r="F122">
        <v>2616.1734082955636</v>
      </c>
      <c r="G122">
        <v>6104.5486041013119</v>
      </c>
      <c r="H122" s="1">
        <v>45747.333333333336</v>
      </c>
    </row>
    <row r="123" spans="1:8" x14ac:dyDescent="0.25">
      <c r="A123" s="7">
        <f>DATE(YEAR(m3_crossvalid[[#This Row],[cutoff]]),MONTH(m3_crossvalid[[#This Row],[cutoff]]),DAY(m3_crossvalid[[#This Row],[cutoff]]))</f>
        <v>45747</v>
      </c>
      <c r="B123" s="7">
        <f>DATE(YEAR(m3_crossvalid[[#This Row],[ds]]),MONTH(m3_crossvalid[[#This Row],[ds]]),DAY(m3_crossvalid[[#This Row],[ds]]))</f>
        <v>45776</v>
      </c>
      <c r="C123">
        <v>7913</v>
      </c>
      <c r="D123" s="1">
        <v>45776.333333333336</v>
      </c>
      <c r="E123">
        <v>5739.8076596342762</v>
      </c>
      <c r="F123">
        <v>3942.1491409318846</v>
      </c>
      <c r="G123">
        <v>7585.1689983723181</v>
      </c>
      <c r="H123" s="1">
        <v>45747.333333333336</v>
      </c>
    </row>
    <row r="124" spans="1:8" x14ac:dyDescent="0.25">
      <c r="A124" s="7">
        <f>DATE(YEAR(m3_crossvalid[[#This Row],[cutoff]]),MONTH(m3_crossvalid[[#This Row],[cutoff]]),DAY(m3_crossvalid[[#This Row],[cutoff]]))</f>
        <v>45747</v>
      </c>
      <c r="B124" s="7">
        <f>DATE(YEAR(m3_crossvalid[[#This Row],[ds]]),MONTH(m3_crossvalid[[#This Row],[ds]]),DAY(m3_crossvalid[[#This Row],[ds]]))</f>
        <v>45777</v>
      </c>
      <c r="C124">
        <v>14564</v>
      </c>
      <c r="D124" s="1">
        <v>45777.333333333336</v>
      </c>
      <c r="E124">
        <v>6711.5404163830553</v>
      </c>
      <c r="F124">
        <v>4852.8126412727024</v>
      </c>
      <c r="G124">
        <v>8600.9256015072006</v>
      </c>
      <c r="H124" s="1">
        <v>45747.333333333336</v>
      </c>
    </row>
    <row r="125" spans="1:8" x14ac:dyDescent="0.25">
      <c r="A125" s="7">
        <f>DATE(YEAR(m3_crossvalid[[#This Row],[cutoff]]),MONTH(m3_crossvalid[[#This Row],[cutoff]]),DAY(m3_crossvalid[[#This Row],[cutoff]]))</f>
        <v>45747</v>
      </c>
      <c r="B125" s="7">
        <f>DATE(YEAR(m3_crossvalid[[#This Row],[ds]]),MONTH(m3_crossvalid[[#This Row],[ds]]),DAY(m3_crossvalid[[#This Row],[ds]]))</f>
        <v>45778</v>
      </c>
      <c r="C125">
        <v>24</v>
      </c>
      <c r="D125" s="1">
        <v>45778.333333333336</v>
      </c>
      <c r="E125">
        <v>5222.9083859284983</v>
      </c>
      <c r="F125">
        <v>3330.0085971982057</v>
      </c>
      <c r="G125">
        <v>6981.9322593437582</v>
      </c>
      <c r="H125" s="1">
        <v>45747.333333333336</v>
      </c>
    </row>
    <row r="126" spans="1:8" x14ac:dyDescent="0.25">
      <c r="A126" s="7">
        <f>DATE(YEAR(m3_crossvalid[[#This Row],[cutoff]]),MONTH(m3_crossvalid[[#This Row],[cutoff]]),DAY(m3_crossvalid[[#This Row],[cutoff]]))</f>
        <v>45777</v>
      </c>
      <c r="B126" s="7">
        <f>DATE(YEAR(m3_crossvalid[[#This Row],[ds]]),MONTH(m3_crossvalid[[#This Row],[ds]]),DAY(m3_crossvalid[[#This Row],[ds]]))</f>
        <v>45778</v>
      </c>
      <c r="C126">
        <v>24</v>
      </c>
      <c r="D126" s="1">
        <v>45778.333333333336</v>
      </c>
      <c r="E126">
        <v>5492.5670551786561</v>
      </c>
      <c r="F126">
        <v>3670.286923681695</v>
      </c>
      <c r="G126">
        <v>7337.4971598949005</v>
      </c>
      <c r="H126" s="1">
        <v>45777.333333333336</v>
      </c>
    </row>
    <row r="127" spans="1:8" x14ac:dyDescent="0.25">
      <c r="A127" s="7">
        <f>DATE(YEAR(m3_crossvalid[[#This Row],[cutoff]]),MONTH(m3_crossvalid[[#This Row],[cutoff]]),DAY(m3_crossvalid[[#This Row],[cutoff]]))</f>
        <v>45777</v>
      </c>
      <c r="B127" s="7">
        <f>DATE(YEAR(m3_crossvalid[[#This Row],[ds]]),MONTH(m3_crossvalid[[#This Row],[ds]]),DAY(m3_crossvalid[[#This Row],[ds]]))</f>
        <v>45779</v>
      </c>
      <c r="C127">
        <v>750</v>
      </c>
      <c r="D127" s="1">
        <v>45779.333333333336</v>
      </c>
      <c r="E127">
        <v>5775.3342332487391</v>
      </c>
      <c r="F127">
        <v>3917.3651577905416</v>
      </c>
      <c r="G127">
        <v>7654.5168662603073</v>
      </c>
      <c r="H127" s="1">
        <v>45777.333333333336</v>
      </c>
    </row>
    <row r="128" spans="1:8" x14ac:dyDescent="0.25">
      <c r="A128" s="7">
        <f>DATE(YEAR(m3_crossvalid[[#This Row],[cutoff]]),MONTH(m3_crossvalid[[#This Row],[cutoff]]),DAY(m3_crossvalid[[#This Row],[cutoff]]))</f>
        <v>45777</v>
      </c>
      <c r="B128" s="7">
        <f>DATE(YEAR(m3_crossvalid[[#This Row],[ds]]),MONTH(m3_crossvalid[[#This Row],[ds]]),DAY(m3_crossvalid[[#This Row],[ds]]))</f>
        <v>45780</v>
      </c>
      <c r="C128">
        <v>70</v>
      </c>
      <c r="D128" s="1">
        <v>45780.333333333336</v>
      </c>
      <c r="E128">
        <v>1641.2276048670019</v>
      </c>
      <c r="F128">
        <v>-161.36973492627243</v>
      </c>
      <c r="G128">
        <v>3554.0427889927932</v>
      </c>
      <c r="H128" s="1">
        <v>45777.333333333336</v>
      </c>
    </row>
    <row r="129" spans="1:8" x14ac:dyDescent="0.25">
      <c r="A129" s="7">
        <f>DATE(YEAR(m3_crossvalid[[#This Row],[cutoff]]),MONTH(m3_crossvalid[[#This Row],[cutoff]]),DAY(m3_crossvalid[[#This Row],[cutoff]]))</f>
        <v>45777</v>
      </c>
      <c r="B129" s="7">
        <f>DATE(YEAR(m3_crossvalid[[#This Row],[ds]]),MONTH(m3_crossvalid[[#This Row],[ds]]),DAY(m3_crossvalid[[#This Row],[ds]]))</f>
        <v>45781</v>
      </c>
      <c r="C129">
        <v>31</v>
      </c>
      <c r="D129" s="1">
        <v>45781.333333333336</v>
      </c>
      <c r="E129">
        <v>-571.15754288080507</v>
      </c>
      <c r="F129">
        <v>-2357.8200313892371</v>
      </c>
      <c r="G129">
        <v>1283.679803405425</v>
      </c>
      <c r="H129" s="1">
        <v>45777.333333333336</v>
      </c>
    </row>
    <row r="130" spans="1:8" x14ac:dyDescent="0.25">
      <c r="A130" s="7">
        <f>DATE(YEAR(m3_crossvalid[[#This Row],[cutoff]]),MONTH(m3_crossvalid[[#This Row],[cutoff]]),DAY(m3_crossvalid[[#This Row],[cutoff]]))</f>
        <v>45777</v>
      </c>
      <c r="B130" s="7">
        <f>DATE(YEAR(m3_crossvalid[[#This Row],[ds]]),MONTH(m3_crossvalid[[#This Row],[ds]]),DAY(m3_crossvalid[[#This Row],[ds]]))</f>
        <v>45782</v>
      </c>
      <c r="C130">
        <v>1026</v>
      </c>
      <c r="D130" s="1">
        <v>45782.333333333336</v>
      </c>
      <c r="E130">
        <v>1092.5737104845655</v>
      </c>
      <c r="F130">
        <v>-796.69472894983539</v>
      </c>
      <c r="G130">
        <v>2882.4940968510618</v>
      </c>
      <c r="H130" s="1">
        <v>45777.333333333336</v>
      </c>
    </row>
    <row r="131" spans="1:8" x14ac:dyDescent="0.25">
      <c r="A131" s="7">
        <f>DATE(YEAR(m3_crossvalid[[#This Row],[cutoff]]),MONTH(m3_crossvalid[[#This Row],[cutoff]]),DAY(m3_crossvalid[[#This Row],[cutoff]]))</f>
        <v>45777</v>
      </c>
      <c r="B131" s="7">
        <f>DATE(YEAR(m3_crossvalid[[#This Row],[ds]]),MONTH(m3_crossvalid[[#This Row],[ds]]),DAY(m3_crossvalid[[#This Row],[ds]]))</f>
        <v>45783</v>
      </c>
      <c r="C131">
        <v>940</v>
      </c>
      <c r="D131" s="1">
        <v>45783.333333333336</v>
      </c>
      <c r="E131">
        <v>1427.795431980878</v>
      </c>
      <c r="F131">
        <v>-421.03952675978576</v>
      </c>
      <c r="G131">
        <v>3289.8849137954667</v>
      </c>
      <c r="H131" s="1">
        <v>45777.333333333336</v>
      </c>
    </row>
    <row r="132" spans="1:8" x14ac:dyDescent="0.25">
      <c r="A132" s="7">
        <f>DATE(YEAR(m3_crossvalid[[#This Row],[cutoff]]),MONTH(m3_crossvalid[[#This Row],[cutoff]]),DAY(m3_crossvalid[[#This Row],[cutoff]]))</f>
        <v>45777</v>
      </c>
      <c r="B132" s="7">
        <f>DATE(YEAR(m3_crossvalid[[#This Row],[ds]]),MONTH(m3_crossvalid[[#This Row],[ds]]),DAY(m3_crossvalid[[#This Row],[ds]]))</f>
        <v>45784</v>
      </c>
      <c r="C132">
        <v>1225</v>
      </c>
      <c r="D132" s="1">
        <v>45784.333333333336</v>
      </c>
      <c r="E132">
        <v>1902.5061121566464</v>
      </c>
      <c r="F132">
        <v>122.38274496533069</v>
      </c>
      <c r="G132">
        <v>3737.5185057921371</v>
      </c>
      <c r="H132" s="1">
        <v>45777.333333333336</v>
      </c>
    </row>
    <row r="133" spans="1:8" x14ac:dyDescent="0.25">
      <c r="A133" s="7">
        <f>DATE(YEAR(m3_crossvalid[[#This Row],[cutoff]]),MONTH(m3_crossvalid[[#This Row],[cutoff]]),DAY(m3_crossvalid[[#This Row],[cutoff]]))</f>
        <v>45777</v>
      </c>
      <c r="B133" s="7">
        <f>DATE(YEAR(m3_crossvalid[[#This Row],[ds]]),MONTH(m3_crossvalid[[#This Row],[ds]]),DAY(m3_crossvalid[[#This Row],[ds]]))</f>
        <v>45785</v>
      </c>
      <c r="C133">
        <v>1538</v>
      </c>
      <c r="D133" s="1">
        <v>45785.333333333336</v>
      </c>
      <c r="E133">
        <v>2131.2014038163188</v>
      </c>
      <c r="F133">
        <v>262.58140431973737</v>
      </c>
      <c r="G133">
        <v>4029.3453946195532</v>
      </c>
      <c r="H133" s="1">
        <v>45777.333333333336</v>
      </c>
    </row>
    <row r="134" spans="1:8" x14ac:dyDescent="0.25">
      <c r="A134" s="7">
        <f>DATE(YEAR(m3_crossvalid[[#This Row],[cutoff]]),MONTH(m3_crossvalid[[#This Row],[cutoff]]),DAY(m3_crossvalid[[#This Row],[cutoff]]))</f>
        <v>45777</v>
      </c>
      <c r="B134" s="7">
        <f>DATE(YEAR(m3_crossvalid[[#This Row],[ds]]),MONTH(m3_crossvalid[[#This Row],[ds]]),DAY(m3_crossvalid[[#This Row],[ds]]))</f>
        <v>45786</v>
      </c>
      <c r="C134">
        <v>1799</v>
      </c>
      <c r="D134" s="1">
        <v>45786.333333333336</v>
      </c>
      <c r="E134">
        <v>1978.1000243604692</v>
      </c>
      <c r="F134">
        <v>109.86261184461722</v>
      </c>
      <c r="G134">
        <v>3784.9086108696665</v>
      </c>
      <c r="H134" s="1">
        <v>45777.333333333336</v>
      </c>
    </row>
    <row r="135" spans="1:8" x14ac:dyDescent="0.25">
      <c r="A135" s="7">
        <f>DATE(YEAR(m3_crossvalid[[#This Row],[cutoff]]),MONTH(m3_crossvalid[[#This Row],[cutoff]]),DAY(m3_crossvalid[[#This Row],[cutoff]]))</f>
        <v>45777</v>
      </c>
      <c r="B135" s="7">
        <f>DATE(YEAR(m3_crossvalid[[#This Row],[ds]]),MONTH(m3_crossvalid[[#This Row],[ds]]),DAY(m3_crossvalid[[#This Row],[ds]]))</f>
        <v>45787</v>
      </c>
      <c r="C135">
        <v>415</v>
      </c>
      <c r="D135" s="1">
        <v>45787.333333333336</v>
      </c>
      <c r="E135">
        <v>-448.78253894036834</v>
      </c>
      <c r="F135">
        <v>-2410.84752842335</v>
      </c>
      <c r="G135">
        <v>1450.5482433114819</v>
      </c>
      <c r="H135" s="1">
        <v>45777.333333333336</v>
      </c>
    </row>
    <row r="136" spans="1:8" x14ac:dyDescent="0.25">
      <c r="A136" s="7">
        <f>DATE(YEAR(m3_crossvalid[[#This Row],[cutoff]]),MONTH(m3_crossvalid[[#This Row],[cutoff]]),DAY(m3_crossvalid[[#This Row],[cutoff]]))</f>
        <v>45777</v>
      </c>
      <c r="B136" s="7">
        <f>DATE(YEAR(m3_crossvalid[[#This Row],[ds]]),MONTH(m3_crossvalid[[#This Row],[ds]]),DAY(m3_crossvalid[[#This Row],[ds]]))</f>
        <v>45788</v>
      </c>
      <c r="C136">
        <v>169</v>
      </c>
      <c r="D136" s="1">
        <v>45788.333333333336</v>
      </c>
      <c r="E136">
        <v>-924.82131316757568</v>
      </c>
      <c r="F136">
        <v>-2805.8057436659501</v>
      </c>
      <c r="G136">
        <v>868.42052272693786</v>
      </c>
      <c r="H136" s="1">
        <v>45777.333333333336</v>
      </c>
    </row>
    <row r="137" spans="1:8" x14ac:dyDescent="0.25">
      <c r="A137" s="7">
        <f>DATE(YEAR(m3_crossvalid[[#This Row],[cutoff]]),MONTH(m3_crossvalid[[#This Row],[cutoff]]),DAY(m3_crossvalid[[#This Row],[cutoff]]))</f>
        <v>45777</v>
      </c>
      <c r="B137" s="7">
        <f>DATE(YEAR(m3_crossvalid[[#This Row],[ds]]),MONTH(m3_crossvalid[[#This Row],[ds]]),DAY(m3_crossvalid[[#This Row],[ds]]))</f>
        <v>45789</v>
      </c>
      <c r="C137">
        <v>185</v>
      </c>
      <c r="D137" s="1">
        <v>45789.333333333336</v>
      </c>
      <c r="E137">
        <v>346.69982802568484</v>
      </c>
      <c r="F137">
        <v>-1465.7929919221885</v>
      </c>
      <c r="G137">
        <v>2190.9201208175277</v>
      </c>
      <c r="H137" s="1">
        <v>45777.333333333336</v>
      </c>
    </row>
    <row r="138" spans="1:8" x14ac:dyDescent="0.25">
      <c r="A138" s="7">
        <f>DATE(YEAR(m3_crossvalid[[#This Row],[cutoff]]),MONTH(m3_crossvalid[[#This Row],[cutoff]]),DAY(m3_crossvalid[[#This Row],[cutoff]]))</f>
        <v>45777</v>
      </c>
      <c r="B138" s="7">
        <f>DATE(YEAR(m3_crossvalid[[#This Row],[ds]]),MONTH(m3_crossvalid[[#This Row],[ds]]),DAY(m3_crossvalid[[#This Row],[ds]]))</f>
        <v>45790</v>
      </c>
      <c r="C138">
        <v>2011</v>
      </c>
      <c r="D138" s="1">
        <v>45790.333333333336</v>
      </c>
      <c r="E138">
        <v>2494.8934562842264</v>
      </c>
      <c r="F138">
        <v>709.34420466014842</v>
      </c>
      <c r="G138">
        <v>4348.3991099216173</v>
      </c>
      <c r="H138" s="1">
        <v>45777.333333333336</v>
      </c>
    </row>
    <row r="139" spans="1:8" x14ac:dyDescent="0.25">
      <c r="A139" s="7">
        <f>DATE(YEAR(m3_crossvalid[[#This Row],[cutoff]]),MONTH(m3_crossvalid[[#This Row],[cutoff]]),DAY(m3_crossvalid[[#This Row],[cutoff]]))</f>
        <v>45777</v>
      </c>
      <c r="B139" s="7">
        <f>DATE(YEAR(m3_crossvalid[[#This Row],[ds]]),MONTH(m3_crossvalid[[#This Row],[ds]]),DAY(m3_crossvalid[[#This Row],[ds]]))</f>
        <v>45791</v>
      </c>
      <c r="C139">
        <v>2630</v>
      </c>
      <c r="D139" s="1">
        <v>45791.333333333336</v>
      </c>
      <c r="E139">
        <v>2650.0204289467151</v>
      </c>
      <c r="F139">
        <v>856.36003024930051</v>
      </c>
      <c r="G139">
        <v>4521.5487408682657</v>
      </c>
      <c r="H139" s="1">
        <v>45777.333333333336</v>
      </c>
    </row>
    <row r="140" spans="1:8" x14ac:dyDescent="0.25">
      <c r="A140" s="7">
        <f>DATE(YEAR(m3_crossvalid[[#This Row],[cutoff]]),MONTH(m3_crossvalid[[#This Row],[cutoff]]),DAY(m3_crossvalid[[#This Row],[cutoff]]))</f>
        <v>45777</v>
      </c>
      <c r="B140" s="7">
        <f>DATE(YEAR(m3_crossvalid[[#This Row],[ds]]),MONTH(m3_crossvalid[[#This Row],[ds]]),DAY(m3_crossvalid[[#This Row],[ds]]))</f>
        <v>45792</v>
      </c>
      <c r="C140">
        <v>2985</v>
      </c>
      <c r="D140" s="1">
        <v>45792.333333333336</v>
      </c>
      <c r="E140">
        <v>2512.2448389607607</v>
      </c>
      <c r="F140">
        <v>748.07565969410507</v>
      </c>
      <c r="G140">
        <v>4447.6242518816516</v>
      </c>
      <c r="H140" s="1">
        <v>45777.333333333336</v>
      </c>
    </row>
    <row r="141" spans="1:8" x14ac:dyDescent="0.25">
      <c r="A141" s="7">
        <f>DATE(YEAR(m3_crossvalid[[#This Row],[cutoff]]),MONTH(m3_crossvalid[[#This Row],[cutoff]]),DAY(m3_crossvalid[[#This Row],[cutoff]]))</f>
        <v>45777</v>
      </c>
      <c r="B141" s="7">
        <f>DATE(YEAR(m3_crossvalid[[#This Row],[ds]]),MONTH(m3_crossvalid[[#This Row],[ds]]),DAY(m3_crossvalid[[#This Row],[ds]]))</f>
        <v>45793</v>
      </c>
      <c r="C141">
        <v>3081</v>
      </c>
      <c r="D141" s="1">
        <v>45793.333333333336</v>
      </c>
      <c r="E141">
        <v>2342.6781025074201</v>
      </c>
      <c r="F141">
        <v>414.51147673932536</v>
      </c>
      <c r="G141">
        <v>4170.0051039743294</v>
      </c>
      <c r="H141" s="1">
        <v>45777.333333333336</v>
      </c>
    </row>
    <row r="142" spans="1:8" x14ac:dyDescent="0.25">
      <c r="A142" s="7">
        <f>DATE(YEAR(m3_crossvalid[[#This Row],[cutoff]]),MONTH(m3_crossvalid[[#This Row],[cutoff]]),DAY(m3_crossvalid[[#This Row],[cutoff]]))</f>
        <v>45777</v>
      </c>
      <c r="B142" s="7">
        <f>DATE(YEAR(m3_crossvalid[[#This Row],[ds]]),MONTH(m3_crossvalid[[#This Row],[ds]]),DAY(m3_crossvalid[[#This Row],[ds]]))</f>
        <v>45794</v>
      </c>
      <c r="C142">
        <v>609</v>
      </c>
      <c r="D142" s="1">
        <v>45794.333333333336</v>
      </c>
      <c r="E142">
        <v>212.00221649405785</v>
      </c>
      <c r="F142">
        <v>-1514.4519194333177</v>
      </c>
      <c r="G142">
        <v>1961.6232734003117</v>
      </c>
      <c r="H142" s="1">
        <v>45777.333333333336</v>
      </c>
    </row>
    <row r="143" spans="1:8" x14ac:dyDescent="0.25">
      <c r="A143" s="7">
        <f>DATE(YEAR(m3_crossvalid[[#This Row],[cutoff]]),MONTH(m3_crossvalid[[#This Row],[cutoff]]),DAY(m3_crossvalid[[#This Row],[cutoff]]))</f>
        <v>45777</v>
      </c>
      <c r="B143" s="7">
        <f>DATE(YEAR(m3_crossvalid[[#This Row],[ds]]),MONTH(m3_crossvalid[[#This Row],[ds]]),DAY(m3_crossvalid[[#This Row],[ds]]))</f>
        <v>45795</v>
      </c>
      <c r="C143">
        <v>185</v>
      </c>
      <c r="D143" s="1">
        <v>45795.333333333336</v>
      </c>
      <c r="E143">
        <v>-6.7761854945460982</v>
      </c>
      <c r="F143">
        <v>-1740.7677690898356</v>
      </c>
      <c r="G143">
        <v>1789.2728897204991</v>
      </c>
      <c r="H143" s="1">
        <v>45777.333333333336</v>
      </c>
    </row>
    <row r="144" spans="1:8" x14ac:dyDescent="0.25">
      <c r="A144" s="7">
        <f>DATE(YEAR(m3_crossvalid[[#This Row],[cutoff]]),MONTH(m3_crossvalid[[#This Row],[cutoff]]),DAY(m3_crossvalid[[#This Row],[cutoff]]))</f>
        <v>45777</v>
      </c>
      <c r="B144" s="7">
        <f>DATE(YEAR(m3_crossvalid[[#This Row],[ds]]),MONTH(m3_crossvalid[[#This Row],[ds]]),DAY(m3_crossvalid[[#This Row],[ds]]))</f>
        <v>45796</v>
      </c>
      <c r="C144">
        <v>2926</v>
      </c>
      <c r="D144" s="1">
        <v>45796.333333333336</v>
      </c>
      <c r="E144">
        <v>2734.2239625449961</v>
      </c>
      <c r="F144">
        <v>848.44689245583686</v>
      </c>
      <c r="G144">
        <v>4560.3075682734043</v>
      </c>
      <c r="H144" s="1">
        <v>45777.333333333336</v>
      </c>
    </row>
    <row r="145" spans="1:8" x14ac:dyDescent="0.25">
      <c r="A145" s="7">
        <f>DATE(YEAR(m3_crossvalid[[#This Row],[cutoff]]),MONTH(m3_crossvalid[[#This Row],[cutoff]]),DAY(m3_crossvalid[[#This Row],[cutoff]]))</f>
        <v>45777</v>
      </c>
      <c r="B145" s="7">
        <f>DATE(YEAR(m3_crossvalid[[#This Row],[ds]]),MONTH(m3_crossvalid[[#This Row],[ds]]),DAY(m3_crossvalid[[#This Row],[ds]]))</f>
        <v>45797</v>
      </c>
      <c r="C145">
        <v>3213</v>
      </c>
      <c r="D145" s="1">
        <v>45797.333333333336</v>
      </c>
      <c r="E145">
        <v>3032.6854268269235</v>
      </c>
      <c r="F145">
        <v>1157.287146183507</v>
      </c>
      <c r="G145">
        <v>4810.0531556948081</v>
      </c>
      <c r="H145" s="1">
        <v>45777.333333333336</v>
      </c>
    </row>
    <row r="146" spans="1:8" x14ac:dyDescent="0.25">
      <c r="A146" s="7">
        <f>DATE(YEAR(m3_crossvalid[[#This Row],[cutoff]]),MONTH(m3_crossvalid[[#This Row],[cutoff]]),DAY(m3_crossvalid[[#This Row],[cutoff]]))</f>
        <v>45777</v>
      </c>
      <c r="B146" s="7">
        <f>DATE(YEAR(m3_crossvalid[[#This Row],[ds]]),MONTH(m3_crossvalid[[#This Row],[ds]]),DAY(m3_crossvalid[[#This Row],[ds]]))</f>
        <v>45798</v>
      </c>
      <c r="C146">
        <v>3566</v>
      </c>
      <c r="D146" s="1">
        <v>45798.333333333336</v>
      </c>
      <c r="E146">
        <v>2952.9129384823204</v>
      </c>
      <c r="F146">
        <v>1151.5291273945591</v>
      </c>
      <c r="G146">
        <v>4795.0831079481513</v>
      </c>
      <c r="H146" s="1">
        <v>45777.333333333336</v>
      </c>
    </row>
    <row r="147" spans="1:8" x14ac:dyDescent="0.25">
      <c r="A147" s="7">
        <f>DATE(YEAR(m3_crossvalid[[#This Row],[cutoff]]),MONTH(m3_crossvalid[[#This Row],[cutoff]]),DAY(m3_crossvalid[[#This Row],[cutoff]]))</f>
        <v>45777</v>
      </c>
      <c r="B147" s="7">
        <f>DATE(YEAR(m3_crossvalid[[#This Row],[ds]]),MONTH(m3_crossvalid[[#This Row],[ds]]),DAY(m3_crossvalid[[#This Row],[ds]]))</f>
        <v>45799</v>
      </c>
      <c r="C147">
        <v>3706</v>
      </c>
      <c r="D147" s="1">
        <v>45799.333333333336</v>
      </c>
      <c r="E147">
        <v>2919.0260856329683</v>
      </c>
      <c r="F147">
        <v>1071.0600759444494</v>
      </c>
      <c r="G147">
        <v>4662.0414666597744</v>
      </c>
      <c r="H147" s="1">
        <v>45777.333333333336</v>
      </c>
    </row>
    <row r="148" spans="1:8" x14ac:dyDescent="0.25">
      <c r="A148" s="7">
        <f>DATE(YEAR(m3_crossvalid[[#This Row],[cutoff]]),MONTH(m3_crossvalid[[#This Row],[cutoff]]),DAY(m3_crossvalid[[#This Row],[cutoff]]))</f>
        <v>45777</v>
      </c>
      <c r="B148" s="7">
        <f>DATE(YEAR(m3_crossvalid[[#This Row],[ds]]),MONTH(m3_crossvalid[[#This Row],[ds]]),DAY(m3_crossvalid[[#This Row],[ds]]))</f>
        <v>45800</v>
      </c>
      <c r="C148">
        <v>3920</v>
      </c>
      <c r="D148" s="1">
        <v>45800.333333333336</v>
      </c>
      <c r="E148">
        <v>3108.6304975855755</v>
      </c>
      <c r="F148">
        <v>1259.4781486975251</v>
      </c>
      <c r="G148">
        <v>4863.6720417984725</v>
      </c>
      <c r="H148" s="1">
        <v>45777.333333333336</v>
      </c>
    </row>
    <row r="149" spans="1:8" x14ac:dyDescent="0.25">
      <c r="A149" s="7">
        <f>DATE(YEAR(m3_crossvalid[[#This Row],[cutoff]]),MONTH(m3_crossvalid[[#This Row],[cutoff]]),DAY(m3_crossvalid[[#This Row],[cutoff]]))</f>
        <v>45777</v>
      </c>
      <c r="B149" s="7">
        <f>DATE(YEAR(m3_crossvalid[[#This Row],[ds]]),MONTH(m3_crossvalid[[#This Row],[ds]]),DAY(m3_crossvalid[[#This Row],[ds]]))</f>
        <v>45801</v>
      </c>
      <c r="C149">
        <v>857</v>
      </c>
      <c r="D149" s="1">
        <v>45801.333333333336</v>
      </c>
      <c r="E149">
        <v>1253.6790917448741</v>
      </c>
      <c r="F149">
        <v>-636.93858058023034</v>
      </c>
      <c r="G149">
        <v>3130.6346364885057</v>
      </c>
      <c r="H149" s="1">
        <v>45777.333333333336</v>
      </c>
    </row>
    <row r="150" spans="1:8" x14ac:dyDescent="0.25">
      <c r="A150" s="7">
        <f>DATE(YEAR(m3_crossvalid[[#This Row],[cutoff]]),MONTH(m3_crossvalid[[#This Row],[cutoff]]),DAY(m3_crossvalid[[#This Row],[cutoff]]))</f>
        <v>45777</v>
      </c>
      <c r="B150" s="7">
        <f>DATE(YEAR(m3_crossvalid[[#This Row],[ds]]),MONTH(m3_crossvalid[[#This Row],[ds]]),DAY(m3_crossvalid[[#This Row],[ds]]))</f>
        <v>45802</v>
      </c>
      <c r="C150">
        <v>215</v>
      </c>
      <c r="D150" s="1">
        <v>45802.333333333336</v>
      </c>
      <c r="E150">
        <v>987.14333880881827</v>
      </c>
      <c r="F150">
        <v>-810.37298261952662</v>
      </c>
      <c r="G150">
        <v>2787.8360148986926</v>
      </c>
      <c r="H150" s="1">
        <v>45777.333333333336</v>
      </c>
    </row>
    <row r="151" spans="1:8" x14ac:dyDescent="0.25">
      <c r="A151" s="7">
        <f>DATE(YEAR(m3_crossvalid[[#This Row],[cutoff]]),MONTH(m3_crossvalid[[#This Row],[cutoff]]),DAY(m3_crossvalid[[#This Row],[cutoff]]))</f>
        <v>45777</v>
      </c>
      <c r="B151" s="7">
        <f>DATE(YEAR(m3_crossvalid[[#This Row],[ds]]),MONTH(m3_crossvalid[[#This Row],[ds]]),DAY(m3_crossvalid[[#This Row],[ds]]))</f>
        <v>45803</v>
      </c>
      <c r="C151">
        <v>4297</v>
      </c>
      <c r="D151" s="1">
        <v>45803.333333333336</v>
      </c>
      <c r="E151">
        <v>3491.5699543321871</v>
      </c>
      <c r="F151">
        <v>1482.5702395711585</v>
      </c>
      <c r="G151">
        <v>5268.7542521297064</v>
      </c>
      <c r="H151" s="1">
        <v>45777.333333333336</v>
      </c>
    </row>
    <row r="152" spans="1:8" x14ac:dyDescent="0.25">
      <c r="A152" s="7">
        <f>DATE(YEAR(m3_crossvalid[[#This Row],[cutoff]]),MONTH(m3_crossvalid[[#This Row],[cutoff]]),DAY(m3_crossvalid[[#This Row],[cutoff]]))</f>
        <v>45777</v>
      </c>
      <c r="B152" s="7">
        <f>DATE(YEAR(m3_crossvalid[[#This Row],[ds]]),MONTH(m3_crossvalid[[#This Row],[ds]]),DAY(m3_crossvalid[[#This Row],[ds]]))</f>
        <v>45804</v>
      </c>
      <c r="C152">
        <v>5188</v>
      </c>
      <c r="D152" s="1">
        <v>45804.333333333336</v>
      </c>
      <c r="E152">
        <v>3789.5739934160883</v>
      </c>
      <c r="F152">
        <v>1909.6526471020718</v>
      </c>
      <c r="G152">
        <v>5532.5944294491155</v>
      </c>
      <c r="H152" s="1">
        <v>45777.333333333336</v>
      </c>
    </row>
    <row r="153" spans="1:8" x14ac:dyDescent="0.25">
      <c r="A153" s="7">
        <f>DATE(YEAR(m3_crossvalid[[#This Row],[cutoff]]),MONTH(m3_crossvalid[[#This Row],[cutoff]]),DAY(m3_crossvalid[[#This Row],[cutoff]]))</f>
        <v>45777</v>
      </c>
      <c r="B153" s="7">
        <f>DATE(YEAR(m3_crossvalid[[#This Row],[ds]]),MONTH(m3_crossvalid[[#This Row],[ds]]),DAY(m3_crossvalid[[#This Row],[ds]]))</f>
        <v>45805</v>
      </c>
      <c r="C153">
        <v>5701</v>
      </c>
      <c r="D153" s="1">
        <v>45805.333333333336</v>
      </c>
      <c r="E153">
        <v>4271.1758022583936</v>
      </c>
      <c r="F153">
        <v>2439.6232698099625</v>
      </c>
      <c r="G153">
        <v>6124.15675233001</v>
      </c>
      <c r="H153" s="1">
        <v>45777.333333333336</v>
      </c>
    </row>
    <row r="154" spans="1:8" x14ac:dyDescent="0.25">
      <c r="A154" s="7">
        <f>DATE(YEAR(m3_crossvalid[[#This Row],[cutoff]]),MONTH(m3_crossvalid[[#This Row],[cutoff]]),DAY(m3_crossvalid[[#This Row],[cutoff]]))</f>
        <v>45777</v>
      </c>
      <c r="B154" s="7">
        <f>DATE(YEAR(m3_crossvalid[[#This Row],[ds]]),MONTH(m3_crossvalid[[#This Row],[ds]]),DAY(m3_crossvalid[[#This Row],[ds]]))</f>
        <v>45806</v>
      </c>
      <c r="C154">
        <v>8103</v>
      </c>
      <c r="D154" s="1">
        <v>45806.333333333336</v>
      </c>
      <c r="E154">
        <v>5240.0514075247283</v>
      </c>
      <c r="F154">
        <v>3637.0048619122999</v>
      </c>
      <c r="G154">
        <v>7080.799804525368</v>
      </c>
      <c r="H154" s="1">
        <v>45777.333333333336</v>
      </c>
    </row>
    <row r="155" spans="1:8" x14ac:dyDescent="0.25">
      <c r="A155" s="7">
        <f>DATE(YEAR(m3_crossvalid[[#This Row],[cutoff]]),MONTH(m3_crossvalid[[#This Row],[cutoff]]),DAY(m3_crossvalid[[#This Row],[cutoff]]))</f>
        <v>45777</v>
      </c>
      <c r="B155" s="7">
        <f>DATE(YEAR(m3_crossvalid[[#This Row],[ds]]),MONTH(m3_crossvalid[[#This Row],[ds]]),DAY(m3_crossvalid[[#This Row],[ds]]))</f>
        <v>45807</v>
      </c>
      <c r="C155">
        <v>8920</v>
      </c>
      <c r="D155" s="1">
        <v>45807.333333333336</v>
      </c>
      <c r="E155">
        <v>6321.2581121936273</v>
      </c>
      <c r="F155">
        <v>4612.2224806800969</v>
      </c>
      <c r="G155">
        <v>8105.1737097058922</v>
      </c>
      <c r="H155" s="1">
        <v>45777.333333333336</v>
      </c>
    </row>
    <row r="156" spans="1:8" x14ac:dyDescent="0.25">
      <c r="A156" s="7">
        <f>DATE(YEAR(m3_crossvalid[[#This Row],[cutoff]]),MONTH(m3_crossvalid[[#This Row],[cutoff]]),DAY(m3_crossvalid[[#This Row],[cutoff]]))</f>
        <v>45777</v>
      </c>
      <c r="B156" s="7">
        <f>DATE(YEAR(m3_crossvalid[[#This Row],[ds]]),MONTH(m3_crossvalid[[#This Row],[ds]]),DAY(m3_crossvalid[[#This Row],[ds]]))</f>
        <v>45808</v>
      </c>
      <c r="C156">
        <v>4108</v>
      </c>
      <c r="D156" s="1">
        <v>45808.333333333336</v>
      </c>
      <c r="E156">
        <v>4634.0934709385001</v>
      </c>
      <c r="F156">
        <v>2761.2158668908733</v>
      </c>
      <c r="G156">
        <v>6447.5569372480304</v>
      </c>
      <c r="H156" s="1">
        <v>45777.333333333336</v>
      </c>
    </row>
    <row r="157" spans="1:8" x14ac:dyDescent="0.25">
      <c r="A157" s="7">
        <f>DATE(YEAR(m3_crossvalid[[#This Row],[cutoff]]),MONTH(m3_crossvalid[[#This Row],[cutoff]]),DAY(m3_crossvalid[[#This Row],[cutoff]]))</f>
        <v>45808</v>
      </c>
      <c r="B157" s="7">
        <f>DATE(YEAR(m3_crossvalid[[#This Row],[ds]]),MONTH(m3_crossvalid[[#This Row],[ds]]),DAY(m3_crossvalid[[#This Row],[ds]]))</f>
        <v>45809</v>
      </c>
      <c r="C157">
        <v>75</v>
      </c>
      <c r="D157" s="1">
        <v>45809.333333333336</v>
      </c>
      <c r="E157">
        <v>3640.047042564287</v>
      </c>
      <c r="F157">
        <v>1800.6071487204777</v>
      </c>
      <c r="G157">
        <v>5491.0033346423352</v>
      </c>
      <c r="H157" s="1">
        <v>45808.333333333336</v>
      </c>
    </row>
    <row r="158" spans="1:8" x14ac:dyDescent="0.25">
      <c r="A158" s="7">
        <f>DATE(YEAR(m3_crossvalid[[#This Row],[cutoff]]),MONTH(m3_crossvalid[[#This Row],[cutoff]]),DAY(m3_crossvalid[[#This Row],[cutoff]]))</f>
        <v>45808</v>
      </c>
      <c r="B158" s="7">
        <f>DATE(YEAR(m3_crossvalid[[#This Row],[ds]]),MONTH(m3_crossvalid[[#This Row],[ds]]),DAY(m3_crossvalid[[#This Row],[ds]]))</f>
        <v>45810</v>
      </c>
      <c r="C158">
        <v>3</v>
      </c>
      <c r="D158" s="1">
        <v>45810.333333333336</v>
      </c>
      <c r="E158">
        <v>2924.2398334444724</v>
      </c>
      <c r="F158">
        <v>1071.7119160543814</v>
      </c>
      <c r="G158">
        <v>4683.9486569132723</v>
      </c>
      <c r="H158" s="1">
        <v>45808.333333333336</v>
      </c>
    </row>
    <row r="159" spans="1:8" x14ac:dyDescent="0.25">
      <c r="A159" s="7">
        <f>DATE(YEAR(m3_crossvalid[[#This Row],[cutoff]]),MONTH(m3_crossvalid[[#This Row],[cutoff]]),DAY(m3_crossvalid[[#This Row],[cutoff]]))</f>
        <v>45808</v>
      </c>
      <c r="B159" s="7">
        <f>DATE(YEAR(m3_crossvalid[[#This Row],[ds]]),MONTH(m3_crossvalid[[#This Row],[ds]]),DAY(m3_crossvalid[[#This Row],[ds]]))</f>
        <v>45811</v>
      </c>
      <c r="C159">
        <v>578</v>
      </c>
      <c r="D159" s="1">
        <v>45811.333333333336</v>
      </c>
      <c r="E159">
        <v>3052.1929185829113</v>
      </c>
      <c r="F159">
        <v>1397.8687864281374</v>
      </c>
      <c r="G159">
        <v>4884.7170053752689</v>
      </c>
      <c r="H159" s="1">
        <v>45808.333333333336</v>
      </c>
    </row>
    <row r="160" spans="1:8" x14ac:dyDescent="0.25">
      <c r="A160" s="7">
        <f>DATE(YEAR(m3_crossvalid[[#This Row],[cutoff]]),MONTH(m3_crossvalid[[#This Row],[cutoff]]),DAY(m3_crossvalid[[#This Row],[cutoff]]))</f>
        <v>45808</v>
      </c>
      <c r="B160" s="7">
        <f>DATE(YEAR(m3_crossvalid[[#This Row],[ds]]),MONTH(m3_crossvalid[[#This Row],[ds]]),DAY(m3_crossvalid[[#This Row],[ds]]))</f>
        <v>45812</v>
      </c>
      <c r="C160">
        <v>842</v>
      </c>
      <c r="D160" s="1">
        <v>45812.333333333336</v>
      </c>
      <c r="E160">
        <v>1858.3687588686321</v>
      </c>
      <c r="F160">
        <v>-91.039662297526661</v>
      </c>
      <c r="G160">
        <v>3561.352804784417</v>
      </c>
      <c r="H160" s="1">
        <v>45808.333333333336</v>
      </c>
    </row>
    <row r="161" spans="1:8" x14ac:dyDescent="0.25">
      <c r="A161" s="7">
        <f>DATE(YEAR(m3_crossvalid[[#This Row],[cutoff]]),MONTH(m3_crossvalid[[#This Row],[cutoff]]),DAY(m3_crossvalid[[#This Row],[cutoff]]))</f>
        <v>45808</v>
      </c>
      <c r="B161" s="7">
        <f>DATE(YEAR(m3_crossvalid[[#This Row],[ds]]),MONTH(m3_crossvalid[[#This Row],[ds]]),DAY(m3_crossvalid[[#This Row],[ds]]))</f>
        <v>45813</v>
      </c>
      <c r="C161">
        <v>1102</v>
      </c>
      <c r="D161" s="1">
        <v>45813.333333333336</v>
      </c>
      <c r="E161">
        <v>1463.7893341673935</v>
      </c>
      <c r="F161">
        <v>-353.77174590387295</v>
      </c>
      <c r="G161">
        <v>3296.7406828291741</v>
      </c>
      <c r="H161" s="1">
        <v>45808.333333333336</v>
      </c>
    </row>
    <row r="162" spans="1:8" x14ac:dyDescent="0.25">
      <c r="A162" s="7">
        <f>DATE(YEAR(m3_crossvalid[[#This Row],[cutoff]]),MONTH(m3_crossvalid[[#This Row],[cutoff]]),DAY(m3_crossvalid[[#This Row],[cutoff]]))</f>
        <v>45808</v>
      </c>
      <c r="B162" s="7">
        <f>DATE(YEAR(m3_crossvalid[[#This Row],[ds]]),MONTH(m3_crossvalid[[#This Row],[ds]]),DAY(m3_crossvalid[[#This Row],[ds]]))</f>
        <v>45814</v>
      </c>
      <c r="C162">
        <v>1098</v>
      </c>
      <c r="D162" s="1">
        <v>45814.333333333336</v>
      </c>
      <c r="E162">
        <v>-2049.0029678005913</v>
      </c>
      <c r="F162">
        <v>-3868.8626090017801</v>
      </c>
      <c r="G162">
        <v>-93.398253218086381</v>
      </c>
      <c r="H162" s="1">
        <v>45808.333333333336</v>
      </c>
    </row>
    <row r="163" spans="1:8" x14ac:dyDescent="0.25">
      <c r="A163" s="7">
        <f>DATE(YEAR(m3_crossvalid[[#This Row],[cutoff]]),MONTH(m3_crossvalid[[#This Row],[cutoff]]),DAY(m3_crossvalid[[#This Row],[cutoff]]))</f>
        <v>45808</v>
      </c>
      <c r="B163" s="7">
        <f>DATE(YEAR(m3_crossvalid[[#This Row],[ds]]),MONTH(m3_crossvalid[[#This Row],[ds]]),DAY(m3_crossvalid[[#This Row],[ds]]))</f>
        <v>45815</v>
      </c>
      <c r="C163">
        <v>17</v>
      </c>
      <c r="D163" s="1">
        <v>45815.333333333336</v>
      </c>
      <c r="E163">
        <v>-216.14376397495244</v>
      </c>
      <c r="F163">
        <v>-1975.2049386205135</v>
      </c>
      <c r="G163">
        <v>1695.2060935838942</v>
      </c>
      <c r="H163" s="1">
        <v>45808.333333333336</v>
      </c>
    </row>
    <row r="164" spans="1:8" x14ac:dyDescent="0.25">
      <c r="A164" s="7">
        <f>DATE(YEAR(m3_crossvalid[[#This Row],[cutoff]]),MONTH(m3_crossvalid[[#This Row],[cutoff]]),DAY(m3_crossvalid[[#This Row],[cutoff]]))</f>
        <v>45808</v>
      </c>
      <c r="B164" s="7">
        <f>DATE(YEAR(m3_crossvalid[[#This Row],[ds]]),MONTH(m3_crossvalid[[#This Row],[ds]]),DAY(m3_crossvalid[[#This Row],[ds]]))</f>
        <v>45816</v>
      </c>
      <c r="C164">
        <v>2</v>
      </c>
      <c r="D164" s="1">
        <v>45816.333333333336</v>
      </c>
      <c r="E164">
        <v>-1882.1234426974861</v>
      </c>
      <c r="F164">
        <v>-3623.3349000916451</v>
      </c>
      <c r="G164">
        <v>-45.977777780597947</v>
      </c>
      <c r="H164" s="1">
        <v>45808.333333333336</v>
      </c>
    </row>
    <row r="165" spans="1:8" x14ac:dyDescent="0.25">
      <c r="A165" s="7">
        <f>DATE(YEAR(m3_crossvalid[[#This Row],[cutoff]]),MONTH(m3_crossvalid[[#This Row],[cutoff]]),DAY(m3_crossvalid[[#This Row],[cutoff]]))</f>
        <v>45808</v>
      </c>
      <c r="B165" s="7">
        <f>DATE(YEAR(m3_crossvalid[[#This Row],[ds]]),MONTH(m3_crossvalid[[#This Row],[ds]]),DAY(m3_crossvalid[[#This Row],[ds]]))</f>
        <v>45817</v>
      </c>
      <c r="C165">
        <v>716</v>
      </c>
      <c r="D165" s="1">
        <v>45817.333333333336</v>
      </c>
      <c r="E165">
        <v>1779.7729425240502</v>
      </c>
      <c r="F165">
        <v>-56.480390679007726</v>
      </c>
      <c r="G165">
        <v>3608.1474445640711</v>
      </c>
      <c r="H165" s="1">
        <v>45808.333333333336</v>
      </c>
    </row>
    <row r="166" spans="1:8" x14ac:dyDescent="0.25">
      <c r="A166" s="7">
        <f>DATE(YEAR(m3_crossvalid[[#This Row],[cutoff]]),MONTH(m3_crossvalid[[#This Row],[cutoff]]),DAY(m3_crossvalid[[#This Row],[cutoff]]))</f>
        <v>45808</v>
      </c>
      <c r="B166" s="7">
        <f>DATE(YEAR(m3_crossvalid[[#This Row],[ds]]),MONTH(m3_crossvalid[[#This Row],[ds]]),DAY(m3_crossvalid[[#This Row],[ds]]))</f>
        <v>45818</v>
      </c>
      <c r="C166">
        <v>1129</v>
      </c>
      <c r="D166" s="1">
        <v>45818.333333333336</v>
      </c>
      <c r="E166">
        <v>1485.2760997753151</v>
      </c>
      <c r="F166">
        <v>-205.14419891191852</v>
      </c>
      <c r="G166">
        <v>3309.1569329144677</v>
      </c>
      <c r="H166" s="1">
        <v>45808.333333333336</v>
      </c>
    </row>
    <row r="167" spans="1:8" x14ac:dyDescent="0.25">
      <c r="A167" s="7">
        <f>DATE(YEAR(m3_crossvalid[[#This Row],[cutoff]]),MONTH(m3_crossvalid[[#This Row],[cutoff]]),DAY(m3_crossvalid[[#This Row],[cutoff]]))</f>
        <v>45808</v>
      </c>
      <c r="B167" s="7">
        <f>DATE(YEAR(m3_crossvalid[[#This Row],[ds]]),MONTH(m3_crossvalid[[#This Row],[ds]]),DAY(m3_crossvalid[[#This Row],[ds]]))</f>
        <v>45819</v>
      </c>
      <c r="C167">
        <v>1387</v>
      </c>
      <c r="D167" s="1">
        <v>45819.333333333336</v>
      </c>
      <c r="E167">
        <v>2022.9594865410318</v>
      </c>
      <c r="F167">
        <v>202.10124027190884</v>
      </c>
      <c r="G167">
        <v>3901.1262229647587</v>
      </c>
      <c r="H167" s="1">
        <v>45808.333333333336</v>
      </c>
    </row>
    <row r="168" spans="1:8" x14ac:dyDescent="0.25">
      <c r="A168" s="7">
        <f>DATE(YEAR(m3_crossvalid[[#This Row],[cutoff]]),MONTH(m3_crossvalid[[#This Row],[cutoff]]),DAY(m3_crossvalid[[#This Row],[cutoff]]))</f>
        <v>45808</v>
      </c>
      <c r="B168" s="7">
        <f>DATE(YEAR(m3_crossvalid[[#This Row],[ds]]),MONTH(m3_crossvalid[[#This Row],[ds]]),DAY(m3_crossvalid[[#This Row],[ds]]))</f>
        <v>45820</v>
      </c>
      <c r="C168">
        <v>1689</v>
      </c>
      <c r="D168" s="1">
        <v>45820.333333333336</v>
      </c>
      <c r="E168">
        <v>2522.2335718726463</v>
      </c>
      <c r="F168">
        <v>705.25973502538432</v>
      </c>
      <c r="G168">
        <v>4339.0774034863744</v>
      </c>
      <c r="H168" s="1">
        <v>45808.333333333336</v>
      </c>
    </row>
    <row r="169" spans="1:8" x14ac:dyDescent="0.25">
      <c r="A169" s="7">
        <f>DATE(YEAR(m3_crossvalid[[#This Row],[cutoff]]),MONTH(m3_crossvalid[[#This Row],[cutoff]]),DAY(m3_crossvalid[[#This Row],[cutoff]]))</f>
        <v>45808</v>
      </c>
      <c r="B169" s="7">
        <f>DATE(YEAR(m3_crossvalid[[#This Row],[ds]]),MONTH(m3_crossvalid[[#This Row],[ds]]),DAY(m3_crossvalid[[#This Row],[ds]]))</f>
        <v>45821</v>
      </c>
      <c r="C169">
        <v>1883</v>
      </c>
      <c r="D169" s="1">
        <v>45821.333333333336</v>
      </c>
      <c r="E169">
        <v>2214.0866614425308</v>
      </c>
      <c r="F169">
        <v>295.5009491986761</v>
      </c>
      <c r="G169">
        <v>4131.6886913269745</v>
      </c>
      <c r="H169" s="1">
        <v>45808.333333333336</v>
      </c>
    </row>
    <row r="170" spans="1:8" x14ac:dyDescent="0.25">
      <c r="A170" s="7">
        <f>DATE(YEAR(m3_crossvalid[[#This Row],[cutoff]]),MONTH(m3_crossvalid[[#This Row],[cutoff]]),DAY(m3_crossvalid[[#This Row],[cutoff]]))</f>
        <v>45808</v>
      </c>
      <c r="B170" s="7">
        <f>DATE(YEAR(m3_crossvalid[[#This Row],[ds]]),MONTH(m3_crossvalid[[#This Row],[ds]]),DAY(m3_crossvalid[[#This Row],[ds]]))</f>
        <v>45822</v>
      </c>
      <c r="C170">
        <v>280</v>
      </c>
      <c r="D170" s="1">
        <v>45822.333333333336</v>
      </c>
      <c r="E170">
        <v>384.44250285810904</v>
      </c>
      <c r="F170">
        <v>-1478.0776565834635</v>
      </c>
      <c r="G170">
        <v>2155.4276765028771</v>
      </c>
      <c r="H170" s="1">
        <v>45808.333333333336</v>
      </c>
    </row>
    <row r="171" spans="1:8" x14ac:dyDescent="0.25">
      <c r="A171" s="7">
        <f>DATE(YEAR(m3_crossvalid[[#This Row],[cutoff]]),MONTH(m3_crossvalid[[#This Row],[cutoff]]),DAY(m3_crossvalid[[#This Row],[cutoff]]))</f>
        <v>45808</v>
      </c>
      <c r="B171" s="7">
        <f>DATE(YEAR(m3_crossvalid[[#This Row],[ds]]),MONTH(m3_crossvalid[[#This Row],[ds]]),DAY(m3_crossvalid[[#This Row],[ds]]))</f>
        <v>45823</v>
      </c>
      <c r="C171">
        <v>71</v>
      </c>
      <c r="D171" s="1">
        <v>45823.333333333336</v>
      </c>
      <c r="E171">
        <v>-235.55444969227574</v>
      </c>
      <c r="F171">
        <v>-2093.579505652202</v>
      </c>
      <c r="G171">
        <v>1632.0535589715155</v>
      </c>
      <c r="H171" s="1">
        <v>45808.333333333336</v>
      </c>
    </row>
    <row r="172" spans="1:8" x14ac:dyDescent="0.25">
      <c r="A172" s="7">
        <f>DATE(YEAR(m3_crossvalid[[#This Row],[cutoff]]),MONTH(m3_crossvalid[[#This Row],[cutoff]]),DAY(m3_crossvalid[[#This Row],[cutoff]]))</f>
        <v>45808</v>
      </c>
      <c r="B172" s="7">
        <f>DATE(YEAR(m3_crossvalid[[#This Row],[ds]]),MONTH(m3_crossvalid[[#This Row],[ds]]),DAY(m3_crossvalid[[#This Row],[ds]]))</f>
        <v>45824</v>
      </c>
      <c r="C172">
        <v>1852</v>
      </c>
      <c r="D172" s="1">
        <v>45824.333333333336</v>
      </c>
      <c r="E172">
        <v>2298.1239474650165</v>
      </c>
      <c r="F172">
        <v>417.20124617262996</v>
      </c>
      <c r="G172">
        <v>4065.9879646406339</v>
      </c>
      <c r="H172" s="1">
        <v>45808.333333333336</v>
      </c>
    </row>
    <row r="173" spans="1:8" x14ac:dyDescent="0.25">
      <c r="A173" s="7">
        <f>DATE(YEAR(m3_crossvalid[[#This Row],[cutoff]]),MONTH(m3_crossvalid[[#This Row],[cutoff]]),DAY(m3_crossvalid[[#This Row],[cutoff]]))</f>
        <v>45808</v>
      </c>
      <c r="B173" s="7">
        <f>DATE(YEAR(m3_crossvalid[[#This Row],[ds]]),MONTH(m3_crossvalid[[#This Row],[ds]]),DAY(m3_crossvalid[[#This Row],[ds]]))</f>
        <v>45825</v>
      </c>
      <c r="C173">
        <v>2251</v>
      </c>
      <c r="D173" s="1">
        <v>45825.333333333336</v>
      </c>
      <c r="E173">
        <v>2822.6270885792683</v>
      </c>
      <c r="F173">
        <v>854.31172626766784</v>
      </c>
      <c r="G173">
        <v>4447.4621445087068</v>
      </c>
      <c r="H173" s="1">
        <v>45808.333333333336</v>
      </c>
    </row>
    <row r="174" spans="1:8" x14ac:dyDescent="0.25">
      <c r="A174" s="7">
        <f>DATE(YEAR(m3_crossvalid[[#This Row],[cutoff]]),MONTH(m3_crossvalid[[#This Row],[cutoff]]),DAY(m3_crossvalid[[#This Row],[cutoff]]))</f>
        <v>45808</v>
      </c>
      <c r="B174" s="7">
        <f>DATE(YEAR(m3_crossvalid[[#This Row],[ds]]),MONTH(m3_crossvalid[[#This Row],[ds]]),DAY(m3_crossvalid[[#This Row],[ds]]))</f>
        <v>45826</v>
      </c>
      <c r="C174">
        <v>2552</v>
      </c>
      <c r="D174" s="1">
        <v>45826.333333333336</v>
      </c>
      <c r="E174">
        <v>3161.0289816199615</v>
      </c>
      <c r="F174">
        <v>1423.6233106580537</v>
      </c>
      <c r="G174">
        <v>4997.9494387340901</v>
      </c>
      <c r="H174" s="1">
        <v>45808.333333333336</v>
      </c>
    </row>
    <row r="175" spans="1:8" x14ac:dyDescent="0.25">
      <c r="A175" s="7">
        <f>DATE(YEAR(m3_crossvalid[[#This Row],[cutoff]]),MONTH(m3_crossvalid[[#This Row],[cutoff]]),DAY(m3_crossvalid[[#This Row],[cutoff]]))</f>
        <v>45808</v>
      </c>
      <c r="B175" s="7">
        <f>DATE(YEAR(m3_crossvalid[[#This Row],[ds]]),MONTH(m3_crossvalid[[#This Row],[ds]]),DAY(m3_crossvalid[[#This Row],[ds]]))</f>
        <v>45827</v>
      </c>
      <c r="C175">
        <v>2813</v>
      </c>
      <c r="D175" s="1">
        <v>45827.333333333336</v>
      </c>
      <c r="E175">
        <v>3216.3574580434133</v>
      </c>
      <c r="F175">
        <v>1452.1779602242616</v>
      </c>
      <c r="G175">
        <v>5083.7720994007695</v>
      </c>
      <c r="H175" s="1">
        <v>45808.333333333336</v>
      </c>
    </row>
    <row r="176" spans="1:8" x14ac:dyDescent="0.25">
      <c r="A176" s="7">
        <f>DATE(YEAR(m3_crossvalid[[#This Row],[cutoff]]),MONTH(m3_crossvalid[[#This Row],[cutoff]]),DAY(m3_crossvalid[[#This Row],[cutoff]]))</f>
        <v>45808</v>
      </c>
      <c r="B176" s="7">
        <f>DATE(YEAR(m3_crossvalid[[#This Row],[ds]]),MONTH(m3_crossvalid[[#This Row],[ds]]),DAY(m3_crossvalid[[#This Row],[ds]]))</f>
        <v>45828</v>
      </c>
      <c r="C176">
        <v>3023</v>
      </c>
      <c r="D176" s="1">
        <v>45828.333333333336</v>
      </c>
      <c r="E176">
        <v>3027.4995218170702</v>
      </c>
      <c r="F176">
        <v>1167.7952989860116</v>
      </c>
      <c r="G176">
        <v>4925.3501924433867</v>
      </c>
      <c r="H176" s="1">
        <v>45808.333333333336</v>
      </c>
    </row>
    <row r="177" spans="1:8" x14ac:dyDescent="0.25">
      <c r="A177" s="7">
        <f>DATE(YEAR(m3_crossvalid[[#This Row],[cutoff]]),MONTH(m3_crossvalid[[#This Row],[cutoff]]),DAY(m3_crossvalid[[#This Row],[cutoff]]))</f>
        <v>45808</v>
      </c>
      <c r="B177" s="7">
        <f>DATE(YEAR(m3_crossvalid[[#This Row],[ds]]),MONTH(m3_crossvalid[[#This Row],[ds]]),DAY(m3_crossvalid[[#This Row],[ds]]))</f>
        <v>45829</v>
      </c>
      <c r="C177">
        <v>360</v>
      </c>
      <c r="D177" s="1">
        <v>45829.333333333336</v>
      </c>
      <c r="E177">
        <v>658.36720732393746</v>
      </c>
      <c r="F177">
        <v>-1281.045932819758</v>
      </c>
      <c r="G177">
        <v>2354.0905385658552</v>
      </c>
      <c r="H177" s="1">
        <v>45808.333333333336</v>
      </c>
    </row>
    <row r="178" spans="1:8" x14ac:dyDescent="0.25">
      <c r="A178" s="7">
        <f>DATE(YEAR(m3_crossvalid[[#This Row],[cutoff]]),MONTH(m3_crossvalid[[#This Row],[cutoff]]),DAY(m3_crossvalid[[#This Row],[cutoff]]))</f>
        <v>45808</v>
      </c>
      <c r="B178" s="7">
        <f>DATE(YEAR(m3_crossvalid[[#This Row],[ds]]),MONTH(m3_crossvalid[[#This Row],[ds]]),DAY(m3_crossvalid[[#This Row],[ds]]))</f>
        <v>45830</v>
      </c>
      <c r="C178">
        <v>129</v>
      </c>
      <c r="D178" s="1">
        <v>45830.333333333336</v>
      </c>
      <c r="E178">
        <v>267.15769082160796</v>
      </c>
      <c r="F178">
        <v>-1507.9566458827585</v>
      </c>
      <c r="G178">
        <v>2086.1747932918806</v>
      </c>
      <c r="H178" s="1">
        <v>45808.333333333336</v>
      </c>
    </row>
    <row r="179" spans="1:8" x14ac:dyDescent="0.25">
      <c r="A179" s="7">
        <f>DATE(YEAR(m3_crossvalid[[#This Row],[cutoff]]),MONTH(m3_crossvalid[[#This Row],[cutoff]]),DAY(m3_crossvalid[[#This Row],[cutoff]]))</f>
        <v>45808</v>
      </c>
      <c r="B179" s="7">
        <f>DATE(YEAR(m3_crossvalid[[#This Row],[ds]]),MONTH(m3_crossvalid[[#This Row],[ds]]),DAY(m3_crossvalid[[#This Row],[ds]]))</f>
        <v>45831</v>
      </c>
      <c r="C179">
        <v>3291</v>
      </c>
      <c r="D179" s="1">
        <v>45831.333333333336</v>
      </c>
      <c r="E179">
        <v>3114.3934392629922</v>
      </c>
      <c r="F179">
        <v>1341.8479644086615</v>
      </c>
      <c r="G179">
        <v>4876.2516199994643</v>
      </c>
      <c r="H179" s="1">
        <v>45808.333333333336</v>
      </c>
    </row>
    <row r="180" spans="1:8" x14ac:dyDescent="0.25">
      <c r="A180" s="7">
        <f>DATE(YEAR(m3_crossvalid[[#This Row],[cutoff]]),MONTH(m3_crossvalid[[#This Row],[cutoff]]),DAY(m3_crossvalid[[#This Row],[cutoff]]))</f>
        <v>45808</v>
      </c>
      <c r="B180" s="7">
        <f>DATE(YEAR(m3_crossvalid[[#This Row],[ds]]),MONTH(m3_crossvalid[[#This Row],[ds]]),DAY(m3_crossvalid[[#This Row],[ds]]))</f>
        <v>45832</v>
      </c>
      <c r="C180">
        <v>3743</v>
      </c>
      <c r="D180" s="1">
        <v>45832.333333333336</v>
      </c>
      <c r="E180">
        <v>3731.7632223875257</v>
      </c>
      <c r="F180">
        <v>2007.9713481907756</v>
      </c>
      <c r="G180">
        <v>5638.4903577343921</v>
      </c>
      <c r="H180" s="1">
        <v>45808.333333333336</v>
      </c>
    </row>
    <row r="181" spans="1:8" x14ac:dyDescent="0.25">
      <c r="A181" s="7">
        <f>DATE(YEAR(m3_crossvalid[[#This Row],[cutoff]]),MONTH(m3_crossvalid[[#This Row],[cutoff]]),DAY(m3_crossvalid[[#This Row],[cutoff]]))</f>
        <v>45808</v>
      </c>
      <c r="B181" s="7">
        <f>DATE(YEAR(m3_crossvalid[[#This Row],[ds]]),MONTH(m3_crossvalid[[#This Row],[ds]]),DAY(m3_crossvalid[[#This Row],[ds]]))</f>
        <v>45833</v>
      </c>
      <c r="C181">
        <v>4576</v>
      </c>
      <c r="D181" s="1">
        <v>45833.333333333336</v>
      </c>
      <c r="E181">
        <v>3893.7889674163898</v>
      </c>
      <c r="F181">
        <v>2141.2896759413411</v>
      </c>
      <c r="G181">
        <v>5642.6603065775062</v>
      </c>
      <c r="H181" s="1">
        <v>45808.333333333336</v>
      </c>
    </row>
    <row r="182" spans="1:8" x14ac:dyDescent="0.25">
      <c r="A182" s="7">
        <f>DATE(YEAR(m3_crossvalid[[#This Row],[cutoff]]),MONTH(m3_crossvalid[[#This Row],[cutoff]]),DAY(m3_crossvalid[[#This Row],[cutoff]]))</f>
        <v>45808</v>
      </c>
      <c r="B182" s="7">
        <f>DATE(YEAR(m3_crossvalid[[#This Row],[ds]]),MONTH(m3_crossvalid[[#This Row],[ds]]),DAY(m3_crossvalid[[#This Row],[ds]]))</f>
        <v>45834</v>
      </c>
      <c r="C182">
        <v>6205</v>
      </c>
      <c r="D182" s="1">
        <v>45834.333333333336</v>
      </c>
      <c r="E182">
        <v>3807.0390265539295</v>
      </c>
      <c r="F182">
        <v>2038.1054361493041</v>
      </c>
      <c r="G182">
        <v>5593.2778053752972</v>
      </c>
      <c r="H182" s="1">
        <v>45808.333333333336</v>
      </c>
    </row>
    <row r="183" spans="1:8" x14ac:dyDescent="0.25">
      <c r="A183" s="7">
        <f>DATE(YEAR(m3_crossvalid[[#This Row],[cutoff]]),MONTH(m3_crossvalid[[#This Row],[cutoff]]),DAY(m3_crossvalid[[#This Row],[cutoff]]))</f>
        <v>45808</v>
      </c>
      <c r="B183" s="7">
        <f>DATE(YEAR(m3_crossvalid[[#This Row],[ds]]),MONTH(m3_crossvalid[[#This Row],[ds]]),DAY(m3_crossvalid[[#This Row],[ds]]))</f>
        <v>45835</v>
      </c>
      <c r="C183">
        <v>814</v>
      </c>
      <c r="D183" s="1">
        <v>45835.333333333336</v>
      </c>
      <c r="E183">
        <v>2255.230811279449</v>
      </c>
      <c r="F183">
        <v>372.81807441235406</v>
      </c>
      <c r="G183">
        <v>4130.3955094621306</v>
      </c>
      <c r="H183" s="1">
        <v>45808.333333333336</v>
      </c>
    </row>
    <row r="184" spans="1:8" x14ac:dyDescent="0.25">
      <c r="A184" s="7">
        <f>DATE(YEAR(m3_crossvalid[[#This Row],[cutoff]]),MONTH(m3_crossvalid[[#This Row],[cutoff]]),DAY(m3_crossvalid[[#This Row],[cutoff]]))</f>
        <v>45808</v>
      </c>
      <c r="B184" s="7">
        <f>DATE(YEAR(m3_crossvalid[[#This Row],[ds]]),MONTH(m3_crossvalid[[#This Row],[ds]]),DAY(m3_crossvalid[[#This Row],[ds]]))</f>
        <v>45836</v>
      </c>
      <c r="C184">
        <v>2326</v>
      </c>
      <c r="D184" s="1">
        <v>45836.333333333336</v>
      </c>
      <c r="E184">
        <v>2361.975951563104</v>
      </c>
      <c r="F184">
        <v>663.24525159520852</v>
      </c>
      <c r="G184">
        <v>4186.4033551910516</v>
      </c>
      <c r="H184" s="1">
        <v>45808.333333333336</v>
      </c>
    </row>
    <row r="185" spans="1:8" x14ac:dyDescent="0.25">
      <c r="A185" s="7">
        <f>DATE(YEAR(m3_crossvalid[[#This Row],[cutoff]]),MONTH(m3_crossvalid[[#This Row],[cutoff]]),DAY(m3_crossvalid[[#This Row],[cutoff]]))</f>
        <v>45808</v>
      </c>
      <c r="B185" s="7">
        <f>DATE(YEAR(m3_crossvalid[[#This Row],[ds]]),MONTH(m3_crossvalid[[#This Row],[ds]]),DAY(m3_crossvalid[[#This Row],[ds]]))</f>
        <v>45837</v>
      </c>
      <c r="C185">
        <v>427</v>
      </c>
      <c r="D185" s="1">
        <v>45837.333333333336</v>
      </c>
      <c r="E185">
        <v>2962.7687089405663</v>
      </c>
      <c r="F185">
        <v>1108.7228865999011</v>
      </c>
      <c r="G185">
        <v>4765.2344169736361</v>
      </c>
      <c r="H185" s="1">
        <v>45808.333333333336</v>
      </c>
    </row>
    <row r="186" spans="1:8" x14ac:dyDescent="0.25">
      <c r="A186" s="7">
        <f>DATE(YEAR(m3_crossvalid[[#This Row],[cutoff]]),MONTH(m3_crossvalid[[#This Row],[cutoff]]),DAY(m3_crossvalid[[#This Row],[cutoff]]))</f>
        <v>45808</v>
      </c>
      <c r="B186" s="7">
        <f>DATE(YEAR(m3_crossvalid[[#This Row],[ds]]),MONTH(m3_crossvalid[[#This Row],[ds]]),DAY(m3_crossvalid[[#This Row],[ds]]))</f>
        <v>45838</v>
      </c>
      <c r="C186">
        <v>13624</v>
      </c>
      <c r="D186" s="1">
        <v>45838.333333333336</v>
      </c>
      <c r="E186">
        <v>6354.7428802886916</v>
      </c>
      <c r="F186">
        <v>4468.9091418831576</v>
      </c>
      <c r="G186">
        <v>8204.5012840702984</v>
      </c>
      <c r="H186" s="1">
        <v>45808.333333333336</v>
      </c>
    </row>
    <row r="187" spans="1:8" x14ac:dyDescent="0.25">
      <c r="A187" s="7">
        <f>DATE(YEAR(m3_crossvalid[[#This Row],[cutoff]]),MONTH(m3_crossvalid[[#This Row],[cutoff]]),DAY(m3_crossvalid[[#This Row],[cutoff]]))</f>
        <v>45808</v>
      </c>
      <c r="B187" s="7">
        <f>DATE(YEAR(m3_crossvalid[[#This Row],[ds]]),MONTH(m3_crossvalid[[#This Row],[ds]]),DAY(m3_crossvalid[[#This Row],[ds]]))</f>
        <v>45839</v>
      </c>
      <c r="C187">
        <v>624</v>
      </c>
      <c r="D187" s="1">
        <v>45839.333333333336</v>
      </c>
      <c r="E187">
        <v>6620.6192278295393</v>
      </c>
      <c r="F187">
        <v>4840.6513530555521</v>
      </c>
      <c r="G187">
        <v>8410.3460178062305</v>
      </c>
      <c r="H187" s="1">
        <v>45808.333333333336</v>
      </c>
    </row>
    <row r="188" spans="1:8" x14ac:dyDescent="0.25">
      <c r="A188" s="7">
        <f>DATE(YEAR(m3_crossvalid[[#This Row],[cutoff]]),MONTH(m3_crossvalid[[#This Row],[cutoff]]),DAY(m3_crossvalid[[#This Row],[cutoff]]))</f>
        <v>45838</v>
      </c>
      <c r="B188" s="7">
        <f>DATE(YEAR(m3_crossvalid[[#This Row],[ds]]),MONTH(m3_crossvalid[[#This Row],[ds]]),DAY(m3_crossvalid[[#This Row],[ds]]))</f>
        <v>45839</v>
      </c>
      <c r="C188">
        <v>624</v>
      </c>
      <c r="D188" s="1">
        <v>45839.333333333336</v>
      </c>
      <c r="E188">
        <v>6697.7636362402227</v>
      </c>
      <c r="F188">
        <v>4811.926484855996</v>
      </c>
      <c r="G188">
        <v>8396.9246981597935</v>
      </c>
      <c r="H188" s="1">
        <v>45838.333333333336</v>
      </c>
    </row>
    <row r="189" spans="1:8" x14ac:dyDescent="0.25">
      <c r="A189" s="7">
        <f>DATE(YEAR(m3_crossvalid[[#This Row],[cutoff]]),MONTH(m3_crossvalid[[#This Row],[cutoff]]),DAY(m3_crossvalid[[#This Row],[cutoff]]))</f>
        <v>45838</v>
      </c>
      <c r="B189" s="7">
        <f>DATE(YEAR(m3_crossvalid[[#This Row],[ds]]),MONTH(m3_crossvalid[[#This Row],[ds]]),DAY(m3_crossvalid[[#This Row],[ds]]))</f>
        <v>45840</v>
      </c>
      <c r="C189">
        <v>733</v>
      </c>
      <c r="D189" s="1">
        <v>45840.333333333336</v>
      </c>
      <c r="E189">
        <v>5581.5622448346367</v>
      </c>
      <c r="F189">
        <v>3783.1613285195199</v>
      </c>
      <c r="G189">
        <v>7535.8598432558729</v>
      </c>
      <c r="H189" s="1">
        <v>45838.333333333336</v>
      </c>
    </row>
    <row r="190" spans="1:8" x14ac:dyDescent="0.25">
      <c r="A190" s="7">
        <f>DATE(YEAR(m3_crossvalid[[#This Row],[cutoff]]),MONTH(m3_crossvalid[[#This Row],[cutoff]]),DAY(m3_crossvalid[[#This Row],[cutoff]]))</f>
        <v>45838</v>
      </c>
      <c r="B190" s="7">
        <f>DATE(YEAR(m3_crossvalid[[#This Row],[ds]]),MONTH(m3_crossvalid[[#This Row],[ds]]),DAY(m3_crossvalid[[#This Row],[ds]]))</f>
        <v>45841</v>
      </c>
      <c r="C190">
        <v>1036</v>
      </c>
      <c r="D190" s="1">
        <v>45841.333333333336</v>
      </c>
      <c r="E190">
        <v>3717.6649196417684</v>
      </c>
      <c r="F190">
        <v>1964.4235831401309</v>
      </c>
      <c r="G190">
        <v>5622.4981142663373</v>
      </c>
      <c r="H190" s="1">
        <v>45838.333333333336</v>
      </c>
    </row>
    <row r="191" spans="1:8" x14ac:dyDescent="0.25">
      <c r="A191" s="7">
        <f>DATE(YEAR(m3_crossvalid[[#This Row],[cutoff]]),MONTH(m3_crossvalid[[#This Row],[cutoff]]),DAY(m3_crossvalid[[#This Row],[cutoff]]))</f>
        <v>45838</v>
      </c>
      <c r="B191" s="7">
        <f>DATE(YEAR(m3_crossvalid[[#This Row],[ds]]),MONTH(m3_crossvalid[[#This Row],[ds]]),DAY(m3_crossvalid[[#This Row],[ds]]))</f>
        <v>45842</v>
      </c>
      <c r="C191">
        <v>1189</v>
      </c>
      <c r="D191" s="1">
        <v>45842.333333333336</v>
      </c>
      <c r="E191">
        <v>2020.2529913116709</v>
      </c>
      <c r="F191">
        <v>185.11737092484458</v>
      </c>
      <c r="G191">
        <v>3946.4797778075044</v>
      </c>
      <c r="H191" s="1">
        <v>45838.333333333336</v>
      </c>
    </row>
    <row r="192" spans="1:8" x14ac:dyDescent="0.25">
      <c r="A192" s="7">
        <f>DATE(YEAR(m3_crossvalid[[#This Row],[cutoff]]),MONTH(m3_crossvalid[[#This Row],[cutoff]]),DAY(m3_crossvalid[[#This Row],[cutoff]]))</f>
        <v>45838</v>
      </c>
      <c r="B192" s="7">
        <f>DATE(YEAR(m3_crossvalid[[#This Row],[ds]]),MONTH(m3_crossvalid[[#This Row],[ds]]),DAY(m3_crossvalid[[#This Row],[ds]]))</f>
        <v>45843</v>
      </c>
      <c r="C192">
        <v>170</v>
      </c>
      <c r="D192" s="1">
        <v>45843.333333333336</v>
      </c>
      <c r="E192">
        <v>-1020.9408032048291</v>
      </c>
      <c r="F192">
        <v>-3001.2705540036441</v>
      </c>
      <c r="G192">
        <v>755.72029091622505</v>
      </c>
      <c r="H192" s="1">
        <v>45838.333333333336</v>
      </c>
    </row>
    <row r="193" spans="1:8" x14ac:dyDescent="0.25">
      <c r="A193" s="7">
        <f>DATE(YEAR(m3_crossvalid[[#This Row],[cutoff]]),MONTH(m3_crossvalid[[#This Row],[cutoff]]),DAY(m3_crossvalid[[#This Row],[cutoff]]))</f>
        <v>45838</v>
      </c>
      <c r="B193" s="7">
        <f>DATE(YEAR(m3_crossvalid[[#This Row],[ds]]),MONTH(m3_crossvalid[[#This Row],[ds]]),DAY(m3_crossvalid[[#This Row],[ds]]))</f>
        <v>45844</v>
      </c>
      <c r="C193">
        <v>30</v>
      </c>
      <c r="D193" s="1">
        <v>45844.333333333336</v>
      </c>
      <c r="E193">
        <v>-1467.4410691016415</v>
      </c>
      <c r="F193">
        <v>-3367.1194323880582</v>
      </c>
      <c r="G193">
        <v>236.48811124453414</v>
      </c>
      <c r="H193" s="1">
        <v>45838.333333333336</v>
      </c>
    </row>
    <row r="194" spans="1:8" x14ac:dyDescent="0.25">
      <c r="A194" s="7">
        <f>DATE(YEAR(m3_crossvalid[[#This Row],[cutoff]]),MONTH(m3_crossvalid[[#This Row],[cutoff]]),DAY(m3_crossvalid[[#This Row],[cutoff]]))</f>
        <v>45838</v>
      </c>
      <c r="B194" s="7">
        <f>DATE(YEAR(m3_crossvalid[[#This Row],[ds]]),MONTH(m3_crossvalid[[#This Row],[ds]]),DAY(m3_crossvalid[[#This Row],[ds]]))</f>
        <v>45845</v>
      </c>
      <c r="C194">
        <v>1218</v>
      </c>
      <c r="D194" s="1">
        <v>45845.333333333336</v>
      </c>
      <c r="E194">
        <v>1516.31082911301</v>
      </c>
      <c r="F194">
        <v>-436.32778141159054</v>
      </c>
      <c r="G194">
        <v>3421.9897234121604</v>
      </c>
      <c r="H194" s="1">
        <v>45838.333333333336</v>
      </c>
    </row>
    <row r="195" spans="1:8" x14ac:dyDescent="0.25">
      <c r="A195" s="7">
        <f>DATE(YEAR(m3_crossvalid[[#This Row],[cutoff]]),MONTH(m3_crossvalid[[#This Row],[cutoff]]),DAY(m3_crossvalid[[#This Row],[cutoff]]))</f>
        <v>45838</v>
      </c>
      <c r="B195" s="7">
        <f>DATE(YEAR(m3_crossvalid[[#This Row],[ds]]),MONTH(m3_crossvalid[[#This Row],[ds]]),DAY(m3_crossvalid[[#This Row],[ds]]))</f>
        <v>45846</v>
      </c>
      <c r="C195">
        <v>1543</v>
      </c>
      <c r="D195" s="1">
        <v>45846.333333333336</v>
      </c>
      <c r="E195">
        <v>2035.8529075543966</v>
      </c>
      <c r="F195">
        <v>175.32443744612954</v>
      </c>
      <c r="G195">
        <v>3832.6159538945108</v>
      </c>
      <c r="H195" s="1">
        <v>45838.333333333336</v>
      </c>
    </row>
    <row r="196" spans="1:8" x14ac:dyDescent="0.25">
      <c r="A196" s="7">
        <f>DATE(YEAR(m3_crossvalid[[#This Row],[cutoff]]),MONTH(m3_crossvalid[[#This Row],[cutoff]]),DAY(m3_crossvalid[[#This Row],[cutoff]]))</f>
        <v>45838</v>
      </c>
      <c r="B196" s="7">
        <f>DATE(YEAR(m3_crossvalid[[#This Row],[ds]]),MONTH(m3_crossvalid[[#This Row],[ds]]),DAY(m3_crossvalid[[#This Row],[ds]]))</f>
        <v>45847</v>
      </c>
      <c r="C196">
        <v>2120</v>
      </c>
      <c r="D196" s="1">
        <v>45847.333333333336</v>
      </c>
      <c r="E196">
        <v>2053.0767650596617</v>
      </c>
      <c r="F196">
        <v>184.91199985581923</v>
      </c>
      <c r="G196">
        <v>3892.6688502186203</v>
      </c>
      <c r="H196" s="1">
        <v>45838.333333333336</v>
      </c>
    </row>
    <row r="197" spans="1:8" x14ac:dyDescent="0.25">
      <c r="A197" s="7">
        <f>DATE(YEAR(m3_crossvalid[[#This Row],[cutoff]]),MONTH(m3_crossvalid[[#This Row],[cutoff]]),DAY(m3_crossvalid[[#This Row],[cutoff]]))</f>
        <v>45838</v>
      </c>
      <c r="B197" s="7">
        <f>DATE(YEAR(m3_crossvalid[[#This Row],[ds]]),MONTH(m3_crossvalid[[#This Row],[ds]]),DAY(m3_crossvalid[[#This Row],[ds]]))</f>
        <v>45848</v>
      </c>
      <c r="C197">
        <v>2298</v>
      </c>
      <c r="D197" s="1">
        <v>45848.333333333336</v>
      </c>
      <c r="E197">
        <v>1881.1209745413269</v>
      </c>
      <c r="F197">
        <v>66.754358081288245</v>
      </c>
      <c r="G197">
        <v>3787.1887876268011</v>
      </c>
      <c r="H197" s="1">
        <v>45838.333333333336</v>
      </c>
    </row>
    <row r="198" spans="1:8" x14ac:dyDescent="0.25">
      <c r="A198" s="7">
        <f>DATE(YEAR(m3_crossvalid[[#This Row],[cutoff]]),MONTH(m3_crossvalid[[#This Row],[cutoff]]),DAY(m3_crossvalid[[#This Row],[cutoff]]))</f>
        <v>45838</v>
      </c>
      <c r="B198" s="7">
        <f>DATE(YEAR(m3_crossvalid[[#This Row],[ds]]),MONTH(m3_crossvalid[[#This Row],[ds]]),DAY(m3_crossvalid[[#This Row],[ds]]))</f>
        <v>45849</v>
      </c>
      <c r="C198">
        <v>2183</v>
      </c>
      <c r="D198" s="1">
        <v>45849.333333333336</v>
      </c>
      <c r="E198">
        <v>1860.4965042285999</v>
      </c>
      <c r="F198">
        <v>15.590396906985502</v>
      </c>
      <c r="G198">
        <v>3544.0306385225226</v>
      </c>
      <c r="H198" s="1">
        <v>45838.333333333336</v>
      </c>
    </row>
    <row r="199" spans="1:8" x14ac:dyDescent="0.25">
      <c r="A199" s="7">
        <f>DATE(YEAR(m3_crossvalid[[#This Row],[cutoff]]),MONTH(m3_crossvalid[[#This Row],[cutoff]]),DAY(m3_crossvalid[[#This Row],[cutoff]]))</f>
        <v>45838</v>
      </c>
      <c r="B199" s="7">
        <f>DATE(YEAR(m3_crossvalid[[#This Row],[ds]]),MONTH(m3_crossvalid[[#This Row],[ds]]),DAY(m3_crossvalid[[#This Row],[ds]]))</f>
        <v>45850</v>
      </c>
      <c r="C199">
        <v>462</v>
      </c>
      <c r="D199" s="1">
        <v>45850.333333333336</v>
      </c>
      <c r="E199">
        <v>-110.72360549450923</v>
      </c>
      <c r="F199">
        <v>-2006.4615966913257</v>
      </c>
      <c r="G199">
        <v>1757.5010304058376</v>
      </c>
      <c r="H199" s="1">
        <v>45838.333333333336</v>
      </c>
    </row>
    <row r="200" spans="1:8" x14ac:dyDescent="0.25">
      <c r="A200" s="7">
        <f>DATE(YEAR(m3_crossvalid[[#This Row],[cutoff]]),MONTH(m3_crossvalid[[#This Row],[cutoff]]),DAY(m3_crossvalid[[#This Row],[cutoff]]))</f>
        <v>45838</v>
      </c>
      <c r="B200" s="7">
        <f>DATE(YEAR(m3_crossvalid[[#This Row],[ds]]),MONTH(m3_crossvalid[[#This Row],[ds]]),DAY(m3_crossvalid[[#This Row],[ds]]))</f>
        <v>45851</v>
      </c>
      <c r="C200">
        <v>114</v>
      </c>
      <c r="D200" s="1">
        <v>45851.333333333336</v>
      </c>
      <c r="E200">
        <v>-322.0449225432144</v>
      </c>
      <c r="F200">
        <v>-2275.3968947560938</v>
      </c>
      <c r="G200">
        <v>1487.3102100885212</v>
      </c>
      <c r="H200" s="1">
        <v>45838.333333333336</v>
      </c>
    </row>
    <row r="201" spans="1:8" x14ac:dyDescent="0.25">
      <c r="A201" s="7">
        <f>DATE(YEAR(m3_crossvalid[[#This Row],[cutoff]]),MONTH(m3_crossvalid[[#This Row],[cutoff]]),DAY(m3_crossvalid[[#This Row],[cutoff]]))</f>
        <v>45838</v>
      </c>
      <c r="B201" s="7">
        <f>DATE(YEAR(m3_crossvalid[[#This Row],[ds]]),MONTH(m3_crossvalid[[#This Row],[ds]]),DAY(m3_crossvalid[[#This Row],[ds]]))</f>
        <v>45852</v>
      </c>
      <c r="C201">
        <v>2356</v>
      </c>
      <c r="D201" s="1">
        <v>45852.333333333336</v>
      </c>
      <c r="E201">
        <v>2338.2752984362551</v>
      </c>
      <c r="F201">
        <v>396.81642678405785</v>
      </c>
      <c r="G201">
        <v>4080.0852697912619</v>
      </c>
      <c r="H201" s="1">
        <v>45838.333333333336</v>
      </c>
    </row>
    <row r="202" spans="1:8" x14ac:dyDescent="0.25">
      <c r="A202" s="7">
        <f>DATE(YEAR(m3_crossvalid[[#This Row],[cutoff]]),MONTH(m3_crossvalid[[#This Row],[cutoff]]),DAY(m3_crossvalid[[#This Row],[cutoff]]))</f>
        <v>45838</v>
      </c>
      <c r="B202" s="7">
        <f>DATE(YEAR(m3_crossvalid[[#This Row],[ds]]),MONTH(m3_crossvalid[[#This Row],[ds]]),DAY(m3_crossvalid[[#This Row],[ds]]))</f>
        <v>45853</v>
      </c>
      <c r="C202">
        <v>2694</v>
      </c>
      <c r="D202" s="1">
        <v>45853.333333333336</v>
      </c>
      <c r="E202">
        <v>2513.2375517214941</v>
      </c>
      <c r="F202">
        <v>629.68688440984761</v>
      </c>
      <c r="G202">
        <v>4322.9195885525178</v>
      </c>
      <c r="H202" s="1">
        <v>45838.333333333336</v>
      </c>
    </row>
    <row r="203" spans="1:8" x14ac:dyDescent="0.25">
      <c r="A203" s="7">
        <f>DATE(YEAR(m3_crossvalid[[#This Row],[cutoff]]),MONTH(m3_crossvalid[[#This Row],[cutoff]]),DAY(m3_crossvalid[[#This Row],[cutoff]]))</f>
        <v>45838</v>
      </c>
      <c r="B203" s="7">
        <f>DATE(YEAR(m3_crossvalid[[#This Row],[ds]]),MONTH(m3_crossvalid[[#This Row],[ds]]),DAY(m3_crossvalid[[#This Row],[ds]]))</f>
        <v>45854</v>
      </c>
      <c r="C203">
        <v>2796</v>
      </c>
      <c r="D203" s="1">
        <v>45854.333333333336</v>
      </c>
      <c r="E203">
        <v>2531.9682902428167</v>
      </c>
      <c r="F203">
        <v>678.33375494919369</v>
      </c>
      <c r="G203">
        <v>4373.6354193156585</v>
      </c>
      <c r="H203" s="1">
        <v>45838.333333333336</v>
      </c>
    </row>
    <row r="204" spans="1:8" x14ac:dyDescent="0.25">
      <c r="A204" s="7">
        <f>DATE(YEAR(m3_crossvalid[[#This Row],[cutoff]]),MONTH(m3_crossvalid[[#This Row],[cutoff]]),DAY(m3_crossvalid[[#This Row],[cutoff]]))</f>
        <v>45838</v>
      </c>
      <c r="B204" s="7">
        <f>DATE(YEAR(m3_crossvalid[[#This Row],[ds]]),MONTH(m3_crossvalid[[#This Row],[ds]]),DAY(m3_crossvalid[[#This Row],[ds]]))</f>
        <v>45855</v>
      </c>
      <c r="C204">
        <v>2972</v>
      </c>
      <c r="D204" s="1">
        <v>45855.333333333336</v>
      </c>
      <c r="E204">
        <v>2651.99638406145</v>
      </c>
      <c r="F204">
        <v>920.00248827714211</v>
      </c>
      <c r="G204">
        <v>4528.0613682519097</v>
      </c>
      <c r="H204" s="1">
        <v>45838.333333333336</v>
      </c>
    </row>
    <row r="205" spans="1:8" x14ac:dyDescent="0.25">
      <c r="A205" s="7">
        <f>DATE(YEAR(m3_crossvalid[[#This Row],[cutoff]]),MONTH(m3_crossvalid[[#This Row],[cutoff]]),DAY(m3_crossvalid[[#This Row],[cutoff]]))</f>
        <v>45838</v>
      </c>
      <c r="B205" s="7">
        <f>DATE(YEAR(m3_crossvalid[[#This Row],[ds]]),MONTH(m3_crossvalid[[#This Row],[ds]]),DAY(m3_crossvalid[[#This Row],[ds]]))</f>
        <v>45856</v>
      </c>
      <c r="C205">
        <v>2891</v>
      </c>
      <c r="D205" s="1">
        <v>45856.333333333336</v>
      </c>
      <c r="E205">
        <v>2868.0510862566825</v>
      </c>
      <c r="F205">
        <v>1047.9015251230508</v>
      </c>
      <c r="G205">
        <v>4611.4662419686119</v>
      </c>
      <c r="H205" s="1">
        <v>45838.333333333336</v>
      </c>
    </row>
    <row r="206" spans="1:8" x14ac:dyDescent="0.25">
      <c r="A206" s="7">
        <f>DATE(YEAR(m3_crossvalid[[#This Row],[cutoff]]),MONTH(m3_crossvalid[[#This Row],[cutoff]]),DAY(m3_crossvalid[[#This Row],[cutoff]]))</f>
        <v>45838</v>
      </c>
      <c r="B206" s="7">
        <f>DATE(YEAR(m3_crossvalid[[#This Row],[ds]]),MONTH(m3_crossvalid[[#This Row],[ds]]),DAY(m3_crossvalid[[#This Row],[ds]]))</f>
        <v>45857</v>
      </c>
      <c r="C206">
        <v>521</v>
      </c>
      <c r="D206" s="1">
        <v>45857.333333333336</v>
      </c>
      <c r="E206">
        <v>816.03399814757563</v>
      </c>
      <c r="F206">
        <v>-1168.5455994233707</v>
      </c>
      <c r="G206">
        <v>2562.6413129540401</v>
      </c>
      <c r="H206" s="1">
        <v>45838.333333333336</v>
      </c>
    </row>
    <row r="207" spans="1:8" x14ac:dyDescent="0.25">
      <c r="A207" s="7">
        <f>DATE(YEAR(m3_crossvalid[[#This Row],[cutoff]]),MONTH(m3_crossvalid[[#This Row],[cutoff]]),DAY(m3_crossvalid[[#This Row],[cutoff]]))</f>
        <v>45838</v>
      </c>
      <c r="B207" s="7">
        <f>DATE(YEAR(m3_crossvalid[[#This Row],[ds]]),MONTH(m3_crossvalid[[#This Row],[ds]]),DAY(m3_crossvalid[[#This Row],[ds]]))</f>
        <v>45858</v>
      </c>
      <c r="C207">
        <v>189</v>
      </c>
      <c r="D207" s="1">
        <v>45858.333333333336</v>
      </c>
      <c r="E207">
        <v>285.30642155475698</v>
      </c>
      <c r="F207">
        <v>-1432.1690337873667</v>
      </c>
      <c r="G207">
        <v>2205.2474578725983</v>
      </c>
      <c r="H207" s="1">
        <v>45838.333333333336</v>
      </c>
    </row>
    <row r="208" spans="1:8" x14ac:dyDescent="0.25">
      <c r="A208" s="7">
        <f>DATE(YEAR(m3_crossvalid[[#This Row],[cutoff]]),MONTH(m3_crossvalid[[#This Row],[cutoff]]),DAY(m3_crossvalid[[#This Row],[cutoff]]))</f>
        <v>45838</v>
      </c>
      <c r="B208" s="7">
        <f>DATE(YEAR(m3_crossvalid[[#This Row],[ds]]),MONTH(m3_crossvalid[[#This Row],[ds]]),DAY(m3_crossvalid[[#This Row],[ds]]))</f>
        <v>45859</v>
      </c>
      <c r="C208">
        <v>2798</v>
      </c>
      <c r="D208" s="1">
        <v>45859.333333333336</v>
      </c>
      <c r="E208">
        <v>2714.5261477914719</v>
      </c>
      <c r="F208">
        <v>858.13736921934742</v>
      </c>
      <c r="G208">
        <v>4605.2183068174963</v>
      </c>
      <c r="H208" s="1">
        <v>45838.333333333336</v>
      </c>
    </row>
    <row r="209" spans="1:8" x14ac:dyDescent="0.25">
      <c r="A209" s="7">
        <f>DATE(YEAR(m3_crossvalid[[#This Row],[cutoff]]),MONTH(m3_crossvalid[[#This Row],[cutoff]]),DAY(m3_crossvalid[[#This Row],[cutoff]]))</f>
        <v>45838</v>
      </c>
      <c r="B209" s="7">
        <f>DATE(YEAR(m3_crossvalid[[#This Row],[ds]]),MONTH(m3_crossvalid[[#This Row],[ds]]),DAY(m3_crossvalid[[#This Row],[ds]]))</f>
        <v>45860</v>
      </c>
      <c r="C209">
        <v>2894</v>
      </c>
      <c r="D209" s="1">
        <v>45860.333333333336</v>
      </c>
      <c r="E209">
        <v>2984.9242513666723</v>
      </c>
      <c r="F209">
        <v>1245.4257329638619</v>
      </c>
      <c r="G209">
        <v>4800.6457390554424</v>
      </c>
      <c r="H209" s="1">
        <v>45838.333333333336</v>
      </c>
    </row>
    <row r="210" spans="1:8" x14ac:dyDescent="0.25">
      <c r="A210" s="7">
        <f>DATE(YEAR(m3_crossvalid[[#This Row],[cutoff]]),MONTH(m3_crossvalid[[#This Row],[cutoff]]),DAY(m3_crossvalid[[#This Row],[cutoff]]))</f>
        <v>45838</v>
      </c>
      <c r="B210" s="7">
        <f>DATE(YEAR(m3_crossvalid[[#This Row],[ds]]),MONTH(m3_crossvalid[[#This Row],[ds]]),DAY(m3_crossvalid[[#This Row],[ds]]))</f>
        <v>45861</v>
      </c>
      <c r="C210">
        <v>3299</v>
      </c>
      <c r="D210" s="1">
        <v>45861.333333333336</v>
      </c>
      <c r="E210">
        <v>3333.8618637456029</v>
      </c>
      <c r="F210">
        <v>1459.4205338962238</v>
      </c>
      <c r="G210">
        <v>5192.5271611752296</v>
      </c>
      <c r="H210" s="1">
        <v>45838.333333333336</v>
      </c>
    </row>
    <row r="211" spans="1:8" x14ac:dyDescent="0.25">
      <c r="A211" s="7">
        <f>DATE(YEAR(m3_crossvalid[[#This Row],[cutoff]]),MONTH(m3_crossvalid[[#This Row],[cutoff]]),DAY(m3_crossvalid[[#This Row],[cutoff]]))</f>
        <v>45838</v>
      </c>
      <c r="B211" s="7">
        <f>DATE(YEAR(m3_crossvalid[[#This Row],[ds]]),MONTH(m3_crossvalid[[#This Row],[ds]]),DAY(m3_crossvalid[[#This Row],[ds]]))</f>
        <v>45862</v>
      </c>
      <c r="C211">
        <v>3785</v>
      </c>
      <c r="D211" s="1">
        <v>45862.333333333336</v>
      </c>
      <c r="E211">
        <v>3693.2883865652921</v>
      </c>
      <c r="F211">
        <v>1865.468200197733</v>
      </c>
      <c r="G211">
        <v>5314.6048643519489</v>
      </c>
      <c r="H211" s="1">
        <v>45838.333333333336</v>
      </c>
    </row>
    <row r="212" spans="1:8" x14ac:dyDescent="0.25">
      <c r="A212" s="7">
        <f>DATE(YEAR(m3_crossvalid[[#This Row],[cutoff]]),MONTH(m3_crossvalid[[#This Row],[cutoff]]),DAY(m3_crossvalid[[#This Row],[cutoff]]))</f>
        <v>45838</v>
      </c>
      <c r="B212" s="7">
        <f>DATE(YEAR(m3_crossvalid[[#This Row],[ds]]),MONTH(m3_crossvalid[[#This Row],[ds]]),DAY(m3_crossvalid[[#This Row],[ds]]))</f>
        <v>45863</v>
      </c>
      <c r="C212">
        <v>3663</v>
      </c>
      <c r="D212" s="1">
        <v>45863.333333333336</v>
      </c>
      <c r="E212">
        <v>3842.0919197069197</v>
      </c>
      <c r="F212">
        <v>2053.8189883026444</v>
      </c>
      <c r="G212">
        <v>5744.9273988536188</v>
      </c>
      <c r="H212" s="1">
        <v>45838.333333333336</v>
      </c>
    </row>
    <row r="213" spans="1:8" x14ac:dyDescent="0.25">
      <c r="A213" s="7">
        <f>DATE(YEAR(m3_crossvalid[[#This Row],[cutoff]]),MONTH(m3_crossvalid[[#This Row],[cutoff]]),DAY(m3_crossvalid[[#This Row],[cutoff]]))</f>
        <v>45838</v>
      </c>
      <c r="B213" s="7">
        <f>DATE(YEAR(m3_crossvalid[[#This Row],[ds]]),MONTH(m3_crossvalid[[#This Row],[ds]]),DAY(m3_crossvalid[[#This Row],[ds]]))</f>
        <v>45864</v>
      </c>
      <c r="C213">
        <v>901</v>
      </c>
      <c r="D213" s="1">
        <v>45864.333333333336</v>
      </c>
      <c r="E213">
        <v>1563.3837563893703</v>
      </c>
      <c r="F213">
        <v>-243.38258611624241</v>
      </c>
      <c r="G213">
        <v>3301.3986651134678</v>
      </c>
      <c r="H213" s="1">
        <v>45838.333333333336</v>
      </c>
    </row>
    <row r="214" spans="1:8" x14ac:dyDescent="0.25">
      <c r="A214" s="7">
        <f>DATE(YEAR(m3_crossvalid[[#This Row],[cutoff]]),MONTH(m3_crossvalid[[#This Row],[cutoff]]),DAY(m3_crossvalid[[#This Row],[cutoff]]))</f>
        <v>45838</v>
      </c>
      <c r="B214" s="7">
        <f>DATE(YEAR(m3_crossvalid[[#This Row],[ds]]),MONTH(m3_crossvalid[[#This Row],[ds]]),DAY(m3_crossvalid[[#This Row],[ds]]))</f>
        <v>45865</v>
      </c>
      <c r="C214">
        <v>262</v>
      </c>
      <c r="D214" s="1">
        <v>45865.333333333336</v>
      </c>
      <c r="E214">
        <v>1058.5608189311463</v>
      </c>
      <c r="F214">
        <v>-861.00812975281519</v>
      </c>
      <c r="G214">
        <v>2881.263896041889</v>
      </c>
      <c r="H214" s="1">
        <v>45838.333333333336</v>
      </c>
    </row>
    <row r="215" spans="1:8" x14ac:dyDescent="0.25">
      <c r="A215" s="7">
        <f>DATE(YEAR(m3_crossvalid[[#This Row],[cutoff]]),MONTH(m3_crossvalid[[#This Row],[cutoff]]),DAY(m3_crossvalid[[#This Row],[cutoff]]))</f>
        <v>45838</v>
      </c>
      <c r="B215" s="7">
        <f>DATE(YEAR(m3_crossvalid[[#This Row],[ds]]),MONTH(m3_crossvalid[[#This Row],[ds]]),DAY(m3_crossvalid[[#This Row],[ds]]))</f>
        <v>45866</v>
      </c>
      <c r="C215">
        <v>4324</v>
      </c>
      <c r="D215" s="1">
        <v>45866.333333333336</v>
      </c>
      <c r="E215">
        <v>4062.1034479467653</v>
      </c>
      <c r="F215">
        <v>2137.4555056214367</v>
      </c>
      <c r="G215">
        <v>5855.2677991224791</v>
      </c>
      <c r="H215" s="1">
        <v>45838.333333333336</v>
      </c>
    </row>
    <row r="216" spans="1:8" x14ac:dyDescent="0.25">
      <c r="A216" s="7">
        <f>DATE(YEAR(m3_crossvalid[[#This Row],[cutoff]]),MONTH(m3_crossvalid[[#This Row],[cutoff]]),DAY(m3_crossvalid[[#This Row],[cutoff]]))</f>
        <v>45838</v>
      </c>
      <c r="B216" s="7">
        <f>DATE(YEAR(m3_crossvalid[[#This Row],[ds]]),MONTH(m3_crossvalid[[#This Row],[ds]]),DAY(m3_crossvalid[[#This Row],[ds]]))</f>
        <v>45867</v>
      </c>
      <c r="C216">
        <v>5336</v>
      </c>
      <c r="D216" s="1">
        <v>45867.333333333336</v>
      </c>
      <c r="E216">
        <v>5311.528043270233</v>
      </c>
      <c r="F216">
        <v>3479.6504954657212</v>
      </c>
      <c r="G216">
        <v>7047.3676170002727</v>
      </c>
      <c r="H216" s="1">
        <v>45838.333333333336</v>
      </c>
    </row>
    <row r="217" spans="1:8" x14ac:dyDescent="0.25">
      <c r="A217" s="7">
        <f>DATE(YEAR(m3_crossvalid[[#This Row],[cutoff]]),MONTH(m3_crossvalid[[#This Row],[cutoff]]),DAY(m3_crossvalid[[#This Row],[cutoff]]))</f>
        <v>45838</v>
      </c>
      <c r="B217" s="7">
        <f>DATE(YEAR(m3_crossvalid[[#This Row],[ds]]),MONTH(m3_crossvalid[[#This Row],[ds]]),DAY(m3_crossvalid[[#This Row],[ds]]))</f>
        <v>45868</v>
      </c>
      <c r="C217">
        <v>8373</v>
      </c>
      <c r="D217" s="1">
        <v>45868.333333333336</v>
      </c>
      <c r="E217">
        <v>6493.1393156105933</v>
      </c>
      <c r="F217">
        <v>4755.556449504289</v>
      </c>
      <c r="G217">
        <v>8313.9209716546102</v>
      </c>
      <c r="H217" s="1">
        <v>45838.333333333336</v>
      </c>
    </row>
    <row r="218" spans="1:8" x14ac:dyDescent="0.25">
      <c r="A218" s="7">
        <f>DATE(YEAR(m3_crossvalid[[#This Row],[cutoff]]),MONTH(m3_crossvalid[[#This Row],[cutoff]]),DAY(m3_crossvalid[[#This Row],[cutoff]]))</f>
        <v>45838</v>
      </c>
      <c r="B218" s="7">
        <f>DATE(YEAR(m3_crossvalid[[#This Row],[ds]]),MONTH(m3_crossvalid[[#This Row],[ds]]),DAY(m3_crossvalid[[#This Row],[ds]]))</f>
        <v>45869</v>
      </c>
      <c r="C218">
        <v>11889</v>
      </c>
      <c r="D218" s="1">
        <v>45869.333333333336</v>
      </c>
      <c r="E218">
        <v>6950.1737922304274</v>
      </c>
      <c r="F218">
        <v>5148.8494578310301</v>
      </c>
      <c r="G218">
        <v>8746.1196978458884</v>
      </c>
      <c r="H218" s="1">
        <v>45838.333333333336</v>
      </c>
    </row>
    <row r="219" spans="1:8" x14ac:dyDescent="0.25">
      <c r="A219" s="7">
        <f>DATE(YEAR(m3_crossvalid[[#This Row],[cutoff]]),MONTH(m3_crossvalid[[#This Row],[cutoff]]),DAY(m3_crossvalid[[#This Row],[cutoff]]))</f>
        <v>45869</v>
      </c>
      <c r="B219" s="7">
        <f>DATE(YEAR(m3_crossvalid[[#This Row],[ds]]),MONTH(m3_crossvalid[[#This Row],[ds]]),DAY(m3_crossvalid[[#This Row],[ds]]))</f>
        <v>45870</v>
      </c>
      <c r="C219">
        <v>761</v>
      </c>
      <c r="D219" s="1">
        <v>45870.333333333336</v>
      </c>
      <c r="E219">
        <v>6255.4415035511065</v>
      </c>
      <c r="F219">
        <v>4456.57520266354</v>
      </c>
      <c r="G219">
        <v>7930.0022317722141</v>
      </c>
      <c r="H219" s="1">
        <v>45869.333333333336</v>
      </c>
    </row>
    <row r="220" spans="1:8" x14ac:dyDescent="0.25">
      <c r="A220" s="7">
        <f>DATE(YEAR(m3_crossvalid[[#This Row],[cutoff]]),MONTH(m3_crossvalid[[#This Row],[cutoff]]),DAY(m3_crossvalid[[#This Row],[cutoff]]))</f>
        <v>45869</v>
      </c>
      <c r="B220" s="7">
        <f>DATE(YEAR(m3_crossvalid[[#This Row],[ds]]),MONTH(m3_crossvalid[[#This Row],[ds]]),DAY(m3_crossvalid[[#This Row],[ds]]))</f>
        <v>45871</v>
      </c>
      <c r="C220">
        <v>74</v>
      </c>
      <c r="D220" s="1">
        <v>45871.333333333336</v>
      </c>
      <c r="E220">
        <v>2368.4718611172989</v>
      </c>
      <c r="F220">
        <v>428.72982861179651</v>
      </c>
      <c r="G220">
        <v>4278.2963084810553</v>
      </c>
      <c r="H220" s="1">
        <v>45869.333333333336</v>
      </c>
    </row>
    <row r="221" spans="1:8" x14ac:dyDescent="0.25">
      <c r="A221" s="7">
        <f>DATE(YEAR(m3_crossvalid[[#This Row],[cutoff]]),MONTH(m3_crossvalid[[#This Row],[cutoff]]),DAY(m3_crossvalid[[#This Row],[cutoff]]))</f>
        <v>45869</v>
      </c>
      <c r="B221" s="7">
        <f>DATE(YEAR(m3_crossvalid[[#This Row],[ds]]),MONTH(m3_crossvalid[[#This Row],[ds]]),DAY(m3_crossvalid[[#This Row],[ds]]))</f>
        <v>45872</v>
      </c>
      <c r="C221">
        <v>28</v>
      </c>
      <c r="D221" s="1">
        <v>45872.333333333336</v>
      </c>
      <c r="E221">
        <v>37.522398237364087</v>
      </c>
      <c r="F221">
        <v>-1860.4624748002554</v>
      </c>
      <c r="G221">
        <v>1883.1374073000147</v>
      </c>
      <c r="H221" s="1">
        <v>45869.333333333336</v>
      </c>
    </row>
    <row r="222" spans="1:8" x14ac:dyDescent="0.25">
      <c r="A222" s="7">
        <f>DATE(YEAR(m3_crossvalid[[#This Row],[cutoff]]),MONTH(m3_crossvalid[[#This Row],[cutoff]]),DAY(m3_crossvalid[[#This Row],[cutoff]]))</f>
        <v>45869</v>
      </c>
      <c r="B222" s="7">
        <f>DATE(YEAR(m3_crossvalid[[#This Row],[ds]]),MONTH(m3_crossvalid[[#This Row],[ds]]),DAY(m3_crossvalid[[#This Row],[ds]]))</f>
        <v>45873</v>
      </c>
      <c r="C222">
        <v>912</v>
      </c>
      <c r="D222" s="1">
        <v>45873.333333333336</v>
      </c>
      <c r="E222">
        <v>1395.702975409806</v>
      </c>
      <c r="F222">
        <v>-420.84269732822406</v>
      </c>
      <c r="G222">
        <v>3178.2372232516309</v>
      </c>
      <c r="H222" s="1">
        <v>45869.333333333336</v>
      </c>
    </row>
    <row r="223" spans="1:8" x14ac:dyDescent="0.25">
      <c r="A223" s="7">
        <f>DATE(YEAR(m3_crossvalid[[#This Row],[cutoff]]),MONTH(m3_crossvalid[[#This Row],[cutoff]]),DAY(m3_crossvalid[[#This Row],[cutoff]]))</f>
        <v>45869</v>
      </c>
      <c r="B223" s="7">
        <f>DATE(YEAR(m3_crossvalid[[#This Row],[ds]]),MONTH(m3_crossvalid[[#This Row],[ds]]),DAY(m3_crossvalid[[#This Row],[ds]]))</f>
        <v>45874</v>
      </c>
      <c r="C223">
        <v>2022</v>
      </c>
      <c r="D223" s="1">
        <v>45874.333333333336</v>
      </c>
      <c r="E223">
        <v>1353.8048902818525</v>
      </c>
      <c r="F223">
        <v>-384.67949993353943</v>
      </c>
      <c r="G223">
        <v>3311.7123606560608</v>
      </c>
      <c r="H223" s="1">
        <v>45869.333333333336</v>
      </c>
    </row>
    <row r="224" spans="1:8" x14ac:dyDescent="0.25">
      <c r="A224" s="7">
        <f>DATE(YEAR(m3_crossvalid[[#This Row],[cutoff]]),MONTH(m3_crossvalid[[#This Row],[cutoff]]),DAY(m3_crossvalid[[#This Row],[cutoff]]))</f>
        <v>45869</v>
      </c>
      <c r="B224" s="7">
        <f>DATE(YEAR(m3_crossvalid[[#This Row],[ds]]),MONTH(m3_crossvalid[[#This Row],[ds]]),DAY(m3_crossvalid[[#This Row],[ds]]))</f>
        <v>45875</v>
      </c>
      <c r="C224">
        <v>1344</v>
      </c>
      <c r="D224" s="1">
        <v>45875.333333333336</v>
      </c>
      <c r="E224">
        <v>1779.7559748833551</v>
      </c>
      <c r="F224">
        <v>-97.493088140429833</v>
      </c>
      <c r="G224">
        <v>3768.869411580642</v>
      </c>
      <c r="H224" s="1">
        <v>45869.333333333336</v>
      </c>
    </row>
    <row r="225" spans="1:8" x14ac:dyDescent="0.25">
      <c r="A225" s="7">
        <f>DATE(YEAR(m3_crossvalid[[#This Row],[cutoff]]),MONTH(m3_crossvalid[[#This Row],[cutoff]]),DAY(m3_crossvalid[[#This Row],[cutoff]]))</f>
        <v>45869</v>
      </c>
      <c r="B225" s="7">
        <f>DATE(YEAR(m3_crossvalid[[#This Row],[ds]]),MONTH(m3_crossvalid[[#This Row],[ds]]),DAY(m3_crossvalid[[#This Row],[ds]]))</f>
        <v>45876</v>
      </c>
      <c r="C225">
        <v>1585</v>
      </c>
      <c r="D225" s="1">
        <v>45876.333333333336</v>
      </c>
      <c r="E225">
        <v>2146.2234562649223</v>
      </c>
      <c r="F225">
        <v>443.85763343854114</v>
      </c>
      <c r="G225">
        <v>4059.5377233324484</v>
      </c>
      <c r="H225" s="1">
        <v>45869.333333333336</v>
      </c>
    </row>
    <row r="226" spans="1:8" x14ac:dyDescent="0.25">
      <c r="A226" s="7">
        <f>DATE(YEAR(m3_crossvalid[[#This Row],[cutoff]]),MONTH(m3_crossvalid[[#This Row],[cutoff]]),DAY(m3_crossvalid[[#This Row],[cutoff]]))</f>
        <v>45869</v>
      </c>
      <c r="B226" s="7">
        <f>DATE(YEAR(m3_crossvalid[[#This Row],[ds]]),MONTH(m3_crossvalid[[#This Row],[ds]]),DAY(m3_crossvalid[[#This Row],[ds]]))</f>
        <v>45877</v>
      </c>
      <c r="C226">
        <v>2032</v>
      </c>
      <c r="D226" s="1">
        <v>45877.333333333336</v>
      </c>
      <c r="E226">
        <v>2110.5869493056862</v>
      </c>
      <c r="F226">
        <v>336.74508735560914</v>
      </c>
      <c r="G226">
        <v>4072.2700063332013</v>
      </c>
      <c r="H226" s="1">
        <v>45869.333333333336</v>
      </c>
    </row>
    <row r="227" spans="1:8" x14ac:dyDescent="0.25">
      <c r="A227" s="7">
        <f>DATE(YEAR(m3_crossvalid[[#This Row],[cutoff]]),MONTH(m3_crossvalid[[#This Row],[cutoff]]),DAY(m3_crossvalid[[#This Row],[cutoff]]))</f>
        <v>45869</v>
      </c>
      <c r="B227" s="7">
        <f>DATE(YEAR(m3_crossvalid[[#This Row],[ds]]),MONTH(m3_crossvalid[[#This Row],[ds]]),DAY(m3_crossvalid[[#This Row],[ds]]))</f>
        <v>45878</v>
      </c>
      <c r="C227">
        <v>327</v>
      </c>
      <c r="D227" s="1">
        <v>45878.333333333336</v>
      </c>
      <c r="E227">
        <v>-292.87159439019888</v>
      </c>
      <c r="F227">
        <v>-2199.4367235330592</v>
      </c>
      <c r="G227">
        <v>1689.1189376108864</v>
      </c>
      <c r="H227" s="1">
        <v>45869.333333333336</v>
      </c>
    </row>
    <row r="228" spans="1:8" x14ac:dyDescent="0.25">
      <c r="A228" s="7">
        <f>DATE(YEAR(m3_crossvalid[[#This Row],[cutoff]]),MONTH(m3_crossvalid[[#This Row],[cutoff]]),DAY(m3_crossvalid[[#This Row],[cutoff]]))</f>
        <v>45869</v>
      </c>
      <c r="B228" s="7">
        <f>DATE(YEAR(m3_crossvalid[[#This Row],[ds]]),MONTH(m3_crossvalid[[#This Row],[ds]]),DAY(m3_crossvalid[[#This Row],[ds]]))</f>
        <v>45879</v>
      </c>
      <c r="C228">
        <v>78</v>
      </c>
      <c r="D228" s="1">
        <v>45879.333333333336</v>
      </c>
      <c r="E228">
        <v>-869.63611795346787</v>
      </c>
      <c r="F228">
        <v>-2717.0974776128451</v>
      </c>
      <c r="G228">
        <v>1135.174548001246</v>
      </c>
      <c r="H228" s="1">
        <v>45869.333333333336</v>
      </c>
    </row>
    <row r="229" spans="1:8" x14ac:dyDescent="0.25">
      <c r="A229" s="7">
        <f>DATE(YEAR(m3_crossvalid[[#This Row],[cutoff]]),MONTH(m3_crossvalid[[#This Row],[cutoff]]),DAY(m3_crossvalid[[#This Row],[cutoff]]))</f>
        <v>45869</v>
      </c>
      <c r="B229" s="7">
        <f>DATE(YEAR(m3_crossvalid[[#This Row],[ds]]),MONTH(m3_crossvalid[[#This Row],[ds]]),DAY(m3_crossvalid[[#This Row],[ds]]))</f>
        <v>45880</v>
      </c>
      <c r="C229">
        <v>2043</v>
      </c>
      <c r="D229" s="1">
        <v>45880.333333333336</v>
      </c>
      <c r="E229">
        <v>1883.0572585009238</v>
      </c>
      <c r="F229">
        <v>89.292289980598611</v>
      </c>
      <c r="G229">
        <v>3702.7592304126424</v>
      </c>
      <c r="H229" s="1">
        <v>45869.333333333336</v>
      </c>
    </row>
    <row r="230" spans="1:8" x14ac:dyDescent="0.25">
      <c r="A230" s="7">
        <f>DATE(YEAR(m3_crossvalid[[#This Row],[cutoff]]),MONTH(m3_crossvalid[[#This Row],[cutoff]]),DAY(m3_crossvalid[[#This Row],[cutoff]]))</f>
        <v>45869</v>
      </c>
      <c r="B230" s="7">
        <f>DATE(YEAR(m3_crossvalid[[#This Row],[ds]]),MONTH(m3_crossvalid[[#This Row],[ds]]),DAY(m3_crossvalid[[#This Row],[ds]]))</f>
        <v>45881</v>
      </c>
      <c r="C230">
        <v>2431</v>
      </c>
      <c r="D230" s="1">
        <v>45881.333333333336</v>
      </c>
      <c r="E230">
        <v>2449.6604529998308</v>
      </c>
      <c r="F230">
        <v>682.76786810702288</v>
      </c>
      <c r="G230">
        <v>4390.7776492782323</v>
      </c>
      <c r="H230" s="1">
        <v>45869.333333333336</v>
      </c>
    </row>
    <row r="231" spans="1:8" x14ac:dyDescent="0.25">
      <c r="A231" s="7">
        <f>DATE(YEAR(m3_crossvalid[[#This Row],[cutoff]]),MONTH(m3_crossvalid[[#This Row],[cutoff]]),DAY(m3_crossvalid[[#This Row],[cutoff]]))</f>
        <v>45869</v>
      </c>
      <c r="B231" s="7">
        <f>DATE(YEAR(m3_crossvalid[[#This Row],[ds]]),MONTH(m3_crossvalid[[#This Row],[ds]]),DAY(m3_crossvalid[[#This Row],[ds]]))</f>
        <v>45882</v>
      </c>
      <c r="C231">
        <v>2484</v>
      </c>
      <c r="D231" s="1">
        <v>45882.333333333336</v>
      </c>
      <c r="E231">
        <v>2755.1818226695304</v>
      </c>
      <c r="F231">
        <v>977.34427045192729</v>
      </c>
      <c r="G231">
        <v>4494.9378368533107</v>
      </c>
      <c r="H231" s="1">
        <v>45869.333333333336</v>
      </c>
    </row>
    <row r="232" spans="1:8" x14ac:dyDescent="0.25">
      <c r="A232" s="7">
        <f>DATE(YEAR(m3_crossvalid[[#This Row],[cutoff]]),MONTH(m3_crossvalid[[#This Row],[cutoff]]),DAY(m3_crossvalid[[#This Row],[cutoff]]))</f>
        <v>45869</v>
      </c>
      <c r="B232" s="7">
        <f>DATE(YEAR(m3_crossvalid[[#This Row],[ds]]),MONTH(m3_crossvalid[[#This Row],[ds]]),DAY(m3_crossvalid[[#This Row],[ds]]))</f>
        <v>45883</v>
      </c>
      <c r="C232">
        <v>2669</v>
      </c>
      <c r="D232" s="1">
        <v>45883.333333333336</v>
      </c>
      <c r="E232">
        <v>2736.1666396617979</v>
      </c>
      <c r="F232">
        <v>733.95803832863714</v>
      </c>
      <c r="G232">
        <v>4598.126137794321</v>
      </c>
      <c r="H232" s="1">
        <v>45869.333333333336</v>
      </c>
    </row>
    <row r="233" spans="1:8" x14ac:dyDescent="0.25">
      <c r="A233" s="7">
        <f>DATE(YEAR(m3_crossvalid[[#This Row],[cutoff]]),MONTH(m3_crossvalid[[#This Row],[cutoff]]),DAY(m3_crossvalid[[#This Row],[cutoff]]))</f>
        <v>45869</v>
      </c>
      <c r="B233" s="7">
        <f>DATE(YEAR(m3_crossvalid[[#This Row],[ds]]),MONTH(m3_crossvalid[[#This Row],[ds]]),DAY(m3_crossvalid[[#This Row],[ds]]))</f>
        <v>45884</v>
      </c>
      <c r="C233">
        <v>3160</v>
      </c>
      <c r="D233" s="1">
        <v>45884.333333333336</v>
      </c>
      <c r="E233">
        <v>2535.4251782087363</v>
      </c>
      <c r="F233">
        <v>703.58041122855252</v>
      </c>
      <c r="G233">
        <v>4289.9367779390213</v>
      </c>
      <c r="H233" s="1">
        <v>45869.333333333336</v>
      </c>
    </row>
    <row r="234" spans="1:8" x14ac:dyDescent="0.25">
      <c r="A234" s="7">
        <f>DATE(YEAR(m3_crossvalid[[#This Row],[cutoff]]),MONTH(m3_crossvalid[[#This Row],[cutoff]]),DAY(m3_crossvalid[[#This Row],[cutoff]]))</f>
        <v>45869</v>
      </c>
      <c r="B234" s="7">
        <f>DATE(YEAR(m3_crossvalid[[#This Row],[ds]]),MONTH(m3_crossvalid[[#This Row],[ds]]),DAY(m3_crossvalid[[#This Row],[ds]]))</f>
        <v>45885</v>
      </c>
      <c r="C234">
        <v>560</v>
      </c>
      <c r="D234" s="1">
        <v>45885.333333333336</v>
      </c>
      <c r="E234">
        <v>325.15415024432559</v>
      </c>
      <c r="F234">
        <v>-1533.8073853390883</v>
      </c>
      <c r="G234">
        <v>2117.3842590976628</v>
      </c>
      <c r="H234" s="1">
        <v>45869.333333333336</v>
      </c>
    </row>
    <row r="235" spans="1:8" x14ac:dyDescent="0.25">
      <c r="A235" s="7">
        <f>DATE(YEAR(m3_crossvalid[[#This Row],[cutoff]]),MONTH(m3_crossvalid[[#This Row],[cutoff]]),DAY(m3_crossvalid[[#This Row],[cutoff]]))</f>
        <v>45869</v>
      </c>
      <c r="B235" s="7">
        <f>DATE(YEAR(m3_crossvalid[[#This Row],[ds]]),MONTH(m3_crossvalid[[#This Row],[ds]]),DAY(m3_crossvalid[[#This Row],[ds]]))</f>
        <v>45886</v>
      </c>
      <c r="C235">
        <v>166</v>
      </c>
      <c r="D235" s="1">
        <v>45886.333333333336</v>
      </c>
      <c r="E235">
        <v>49.367470212364879</v>
      </c>
      <c r="F235">
        <v>-1721.9915425755069</v>
      </c>
      <c r="G235">
        <v>2016.4935808049418</v>
      </c>
      <c r="H235" s="1">
        <v>45869.333333333336</v>
      </c>
    </row>
    <row r="236" spans="1:8" x14ac:dyDescent="0.25">
      <c r="A236" s="7">
        <f>DATE(YEAR(m3_crossvalid[[#This Row],[cutoff]]),MONTH(m3_crossvalid[[#This Row],[cutoff]]),DAY(m3_crossvalid[[#This Row],[cutoff]]))</f>
        <v>45869</v>
      </c>
      <c r="B236" s="7">
        <f>DATE(YEAR(m3_crossvalid[[#This Row],[ds]]),MONTH(m3_crossvalid[[#This Row],[ds]]),DAY(m3_crossvalid[[#This Row],[ds]]))</f>
        <v>45887</v>
      </c>
      <c r="C236">
        <v>3003</v>
      </c>
      <c r="D236" s="1">
        <v>45887.333333333336</v>
      </c>
      <c r="E236">
        <v>2872.41236810497</v>
      </c>
      <c r="F236">
        <v>986.85697057496373</v>
      </c>
      <c r="G236">
        <v>4738.8971763900918</v>
      </c>
      <c r="H236" s="1">
        <v>45869.333333333336</v>
      </c>
    </row>
    <row r="237" spans="1:8" x14ac:dyDescent="0.25">
      <c r="A237" s="7">
        <f>DATE(YEAR(m3_crossvalid[[#This Row],[cutoff]]),MONTH(m3_crossvalid[[#This Row],[cutoff]]),DAY(m3_crossvalid[[#This Row],[cutoff]]))</f>
        <v>45869</v>
      </c>
      <c r="B237" s="7">
        <f>DATE(YEAR(m3_crossvalid[[#This Row],[ds]]),MONTH(m3_crossvalid[[#This Row],[ds]]),DAY(m3_crossvalid[[#This Row],[ds]]))</f>
        <v>45888</v>
      </c>
      <c r="C237">
        <v>3182</v>
      </c>
      <c r="D237" s="1">
        <v>45888.333333333336</v>
      </c>
      <c r="E237">
        <v>3199.1272088068226</v>
      </c>
      <c r="F237">
        <v>1365.6887738986036</v>
      </c>
      <c r="G237">
        <v>4969.8029307078014</v>
      </c>
      <c r="H237" s="1">
        <v>45869.333333333336</v>
      </c>
    </row>
    <row r="238" spans="1:8" x14ac:dyDescent="0.25">
      <c r="A238" s="7">
        <f>DATE(YEAR(m3_crossvalid[[#This Row],[cutoff]]),MONTH(m3_crossvalid[[#This Row],[cutoff]]),DAY(m3_crossvalid[[#This Row],[cutoff]]))</f>
        <v>45869</v>
      </c>
      <c r="B238" s="7">
        <f>DATE(YEAR(m3_crossvalid[[#This Row],[ds]]),MONTH(m3_crossvalid[[#This Row],[ds]]),DAY(m3_crossvalid[[#This Row],[ds]]))</f>
        <v>45889</v>
      </c>
      <c r="C238">
        <v>3745</v>
      </c>
      <c r="D238" s="1">
        <v>45889.333333333336</v>
      </c>
      <c r="E238">
        <v>3201.9681798823253</v>
      </c>
      <c r="F238">
        <v>1342.097946330558</v>
      </c>
      <c r="G238">
        <v>5165.8229368466846</v>
      </c>
      <c r="H238" s="1">
        <v>45869.333333333336</v>
      </c>
    </row>
    <row r="239" spans="1:8" x14ac:dyDescent="0.25">
      <c r="A239" s="7">
        <f>DATE(YEAR(m3_crossvalid[[#This Row],[cutoff]]),MONTH(m3_crossvalid[[#This Row],[cutoff]]),DAY(m3_crossvalid[[#This Row],[cutoff]]))</f>
        <v>45869</v>
      </c>
      <c r="B239" s="7">
        <f>DATE(YEAR(m3_crossvalid[[#This Row],[ds]]),MONTH(m3_crossvalid[[#This Row],[ds]]),DAY(m3_crossvalid[[#This Row],[ds]]))</f>
        <v>45890</v>
      </c>
      <c r="C239">
        <v>3754</v>
      </c>
      <c r="D239" s="1">
        <v>45890.333333333336</v>
      </c>
      <c r="E239">
        <v>3132.1362161206453</v>
      </c>
      <c r="F239">
        <v>1328.0230685024617</v>
      </c>
      <c r="G239">
        <v>5109.8623789493558</v>
      </c>
      <c r="H239" s="1">
        <v>45869.333333333336</v>
      </c>
    </row>
    <row r="240" spans="1:8" x14ac:dyDescent="0.25">
      <c r="A240" s="7">
        <f>DATE(YEAR(m3_crossvalid[[#This Row],[cutoff]]),MONTH(m3_crossvalid[[#This Row],[cutoff]]),DAY(m3_crossvalid[[#This Row],[cutoff]]))</f>
        <v>45869</v>
      </c>
      <c r="B240" s="7">
        <f>DATE(YEAR(m3_crossvalid[[#This Row],[ds]]),MONTH(m3_crossvalid[[#This Row],[ds]]),DAY(m3_crossvalid[[#This Row],[ds]]))</f>
        <v>45891</v>
      </c>
      <c r="C240">
        <v>3741</v>
      </c>
      <c r="D240" s="1">
        <v>45891.333333333336</v>
      </c>
      <c r="E240">
        <v>3192.8399376615321</v>
      </c>
      <c r="F240">
        <v>1326.0682885507642</v>
      </c>
      <c r="G240">
        <v>4979.7209057207292</v>
      </c>
      <c r="H240" s="1">
        <v>45869.333333333336</v>
      </c>
    </row>
    <row r="241" spans="1:8" x14ac:dyDescent="0.25">
      <c r="A241" s="7">
        <f>DATE(YEAR(m3_crossvalid[[#This Row],[cutoff]]),MONTH(m3_crossvalid[[#This Row],[cutoff]]),DAY(m3_crossvalid[[#This Row],[cutoff]]))</f>
        <v>45869</v>
      </c>
      <c r="B241" s="7">
        <f>DATE(YEAR(m3_crossvalid[[#This Row],[ds]]),MONTH(m3_crossvalid[[#This Row],[ds]]),DAY(m3_crossvalid[[#This Row],[ds]]))</f>
        <v>45892</v>
      </c>
      <c r="C241">
        <v>761</v>
      </c>
      <c r="D241" s="1">
        <v>45892.333333333336</v>
      </c>
      <c r="E241">
        <v>1301.4048565446567</v>
      </c>
      <c r="F241">
        <v>-660.20963590198176</v>
      </c>
      <c r="G241">
        <v>3092.0570335470434</v>
      </c>
      <c r="H241" s="1">
        <v>45869.333333333336</v>
      </c>
    </row>
    <row r="242" spans="1:8" x14ac:dyDescent="0.25">
      <c r="A242" s="7">
        <f>DATE(YEAR(m3_crossvalid[[#This Row],[cutoff]]),MONTH(m3_crossvalid[[#This Row],[cutoff]]),DAY(m3_crossvalid[[#This Row],[cutoff]]))</f>
        <v>45869</v>
      </c>
      <c r="B242" s="7">
        <f>DATE(YEAR(m3_crossvalid[[#This Row],[ds]]),MONTH(m3_crossvalid[[#This Row],[ds]]),DAY(m3_crossvalid[[#This Row],[ds]]))</f>
        <v>45893</v>
      </c>
      <c r="C242">
        <v>239</v>
      </c>
      <c r="D242" s="1">
        <v>45893.333333333336</v>
      </c>
      <c r="E242">
        <v>1096.3084207478687</v>
      </c>
      <c r="F242">
        <v>-713.1478938950396</v>
      </c>
      <c r="G242">
        <v>3124.3275638816408</v>
      </c>
      <c r="H242" s="1">
        <v>45869.333333333336</v>
      </c>
    </row>
    <row r="243" spans="1:8" x14ac:dyDescent="0.25">
      <c r="A243" s="7">
        <f>DATE(YEAR(m3_crossvalid[[#This Row],[cutoff]]),MONTH(m3_crossvalid[[#This Row],[cutoff]]),DAY(m3_crossvalid[[#This Row],[cutoff]]))</f>
        <v>45869</v>
      </c>
      <c r="B243" s="7">
        <f>DATE(YEAR(m3_crossvalid[[#This Row],[ds]]),MONTH(m3_crossvalid[[#This Row],[ds]]),DAY(m3_crossvalid[[#This Row],[ds]]))</f>
        <v>45894</v>
      </c>
      <c r="C243">
        <v>3838</v>
      </c>
      <c r="D243" s="1">
        <v>45894.333333333336</v>
      </c>
      <c r="E243">
        <v>3719.2386975137792</v>
      </c>
      <c r="F243">
        <v>1815.7852350255544</v>
      </c>
      <c r="G243">
        <v>5555.1344062612134</v>
      </c>
      <c r="H243" s="1">
        <v>45869.333333333336</v>
      </c>
    </row>
    <row r="244" spans="1:8" x14ac:dyDescent="0.25">
      <c r="A244" s="7">
        <f>DATE(YEAR(m3_crossvalid[[#This Row],[cutoff]]),MONTH(m3_crossvalid[[#This Row],[cutoff]]),DAY(m3_crossvalid[[#This Row],[cutoff]]))</f>
        <v>45869</v>
      </c>
      <c r="B244" s="7">
        <f>DATE(YEAR(m3_crossvalid[[#This Row],[ds]]),MONTH(m3_crossvalid[[#This Row],[ds]]),DAY(m3_crossvalid[[#This Row],[ds]]))</f>
        <v>45895</v>
      </c>
      <c r="C244">
        <v>5214</v>
      </c>
      <c r="D244" s="1">
        <v>45895.333333333336</v>
      </c>
      <c r="E244">
        <v>3904.2962612767842</v>
      </c>
      <c r="F244">
        <v>1992.5197618950338</v>
      </c>
      <c r="G244">
        <v>5682.8812727161221</v>
      </c>
      <c r="H244" s="1">
        <v>45869.333333333336</v>
      </c>
    </row>
    <row r="245" spans="1:8" x14ac:dyDescent="0.25">
      <c r="A245" s="7">
        <f>DATE(YEAR(m3_crossvalid[[#This Row],[cutoff]]),MONTH(m3_crossvalid[[#This Row],[cutoff]]),DAY(m3_crossvalid[[#This Row],[cutoff]]))</f>
        <v>45869</v>
      </c>
      <c r="B245" s="7">
        <f>DATE(YEAR(m3_crossvalid[[#This Row],[ds]]),MONTH(m3_crossvalid[[#This Row],[ds]]),DAY(m3_crossvalid[[#This Row],[ds]]))</f>
        <v>45896</v>
      </c>
      <c r="C245">
        <v>5989</v>
      </c>
      <c r="D245" s="1">
        <v>45896.333333333336</v>
      </c>
      <c r="E245">
        <v>4220.604154022054</v>
      </c>
      <c r="F245">
        <v>2395.5202508488433</v>
      </c>
      <c r="G245">
        <v>6121.1437133620248</v>
      </c>
      <c r="H245" s="1">
        <v>45869.333333333336</v>
      </c>
    </row>
    <row r="246" spans="1:8" x14ac:dyDescent="0.25">
      <c r="A246" s="7">
        <f>DATE(YEAR(m3_crossvalid[[#This Row],[cutoff]]),MONTH(m3_crossvalid[[#This Row],[cutoff]]),DAY(m3_crossvalid[[#This Row],[cutoff]]))</f>
        <v>45869</v>
      </c>
      <c r="B246" s="7">
        <f>DATE(YEAR(m3_crossvalid[[#This Row],[ds]]),MONTH(m3_crossvalid[[#This Row],[ds]]),DAY(m3_crossvalid[[#This Row],[ds]]))</f>
        <v>45897</v>
      </c>
      <c r="C246">
        <v>7115</v>
      </c>
      <c r="D246" s="1">
        <v>45897.333333333336</v>
      </c>
      <c r="E246">
        <v>4991.5367321163594</v>
      </c>
      <c r="F246">
        <v>3230.2092207525448</v>
      </c>
      <c r="G246">
        <v>6888.0678522946846</v>
      </c>
      <c r="H246" s="1">
        <v>45869.333333333336</v>
      </c>
    </row>
    <row r="247" spans="1:8" x14ac:dyDescent="0.25">
      <c r="A247" s="7">
        <f>DATE(YEAR(m3_crossvalid[[#This Row],[cutoff]]),MONTH(m3_crossvalid[[#This Row],[cutoff]]),DAY(m3_crossvalid[[#This Row],[cutoff]]))</f>
        <v>45869</v>
      </c>
      <c r="B247" s="7">
        <f>DATE(YEAR(m3_crossvalid[[#This Row],[ds]]),MONTH(m3_crossvalid[[#This Row],[ds]]),DAY(m3_crossvalid[[#This Row],[ds]]))</f>
        <v>45898</v>
      </c>
      <c r="C247">
        <v>9571</v>
      </c>
      <c r="D247" s="1">
        <v>45898.333333333336</v>
      </c>
      <c r="E247">
        <v>6024.4365197590987</v>
      </c>
      <c r="F247">
        <v>4183.2042911840263</v>
      </c>
      <c r="G247">
        <v>7774.1141089734629</v>
      </c>
      <c r="H247" s="1">
        <v>45869.333333333336</v>
      </c>
    </row>
    <row r="248" spans="1:8" x14ac:dyDescent="0.25">
      <c r="A248" s="7">
        <f>DATE(YEAR(m3_crossvalid[[#This Row],[cutoff]]),MONTH(m3_crossvalid[[#This Row],[cutoff]]),DAY(m3_crossvalid[[#This Row],[cutoff]]))</f>
        <v>45869</v>
      </c>
      <c r="B248" s="7">
        <f>DATE(YEAR(m3_crossvalid[[#This Row],[ds]]),MONTH(m3_crossvalid[[#This Row],[ds]]),DAY(m3_crossvalid[[#This Row],[ds]]))</f>
        <v>45899</v>
      </c>
      <c r="C248">
        <v>5764</v>
      </c>
      <c r="D248" s="1">
        <v>45899.333333333336</v>
      </c>
      <c r="E248">
        <v>4614.8897259756923</v>
      </c>
      <c r="F248">
        <v>2756.2556827149192</v>
      </c>
      <c r="G248">
        <v>6346.8427580848756</v>
      </c>
      <c r="H248" s="1">
        <v>45869.333333333336</v>
      </c>
    </row>
    <row r="249" spans="1:8" x14ac:dyDescent="0.25">
      <c r="A249" s="7">
        <f>DATE(YEAR(m3_crossvalid[[#This Row],[cutoff]]),MONTH(m3_crossvalid[[#This Row],[cutoff]]),DAY(m3_crossvalid[[#This Row],[cutoff]]))</f>
        <v>45869</v>
      </c>
      <c r="B249" s="7">
        <f>DATE(YEAR(m3_crossvalid[[#This Row],[ds]]),MONTH(m3_crossvalid[[#This Row],[ds]]),DAY(m3_crossvalid[[#This Row],[ds]]))</f>
        <v>45900</v>
      </c>
      <c r="C249">
        <v>386</v>
      </c>
      <c r="D249" s="1">
        <v>45900.333333333336</v>
      </c>
      <c r="E249">
        <v>2279.7309586928259</v>
      </c>
      <c r="F249">
        <v>457.56978003598852</v>
      </c>
      <c r="G249">
        <v>4107.068727878117</v>
      </c>
      <c r="H249" s="1">
        <v>45869.333333333336</v>
      </c>
    </row>
    <row r="250" spans="1:8" x14ac:dyDescent="0.25">
      <c r="A250" s="7">
        <f>DATE(YEAR(m3_crossvalid[[#This Row],[cutoff]]),MONTH(m3_crossvalid[[#This Row],[cutoff]]),DAY(m3_crossvalid[[#This Row],[cutoff]]))</f>
        <v>45900</v>
      </c>
      <c r="B250" s="7">
        <f>DATE(YEAR(m3_crossvalid[[#This Row],[ds]]),MONTH(m3_crossvalid[[#This Row],[ds]]),DAY(m3_crossvalid[[#This Row],[ds]]))</f>
        <v>45901</v>
      </c>
      <c r="C250">
        <v>34</v>
      </c>
      <c r="D250" s="1">
        <v>45901.333333333336</v>
      </c>
      <c r="E250">
        <v>3582.1075402145707</v>
      </c>
      <c r="F250">
        <v>1662.6920875579719</v>
      </c>
      <c r="G250">
        <v>5419.9530380002279</v>
      </c>
      <c r="H250" s="1">
        <v>45900.333333333336</v>
      </c>
    </row>
    <row r="251" spans="1:8" x14ac:dyDescent="0.25">
      <c r="A251" s="7">
        <f>DATE(YEAR(m3_crossvalid[[#This Row],[cutoff]]),MONTH(m3_crossvalid[[#This Row],[cutoff]]),DAY(m3_crossvalid[[#This Row],[cutoff]]))</f>
        <v>45900</v>
      </c>
      <c r="B251" s="7">
        <f>DATE(YEAR(m3_crossvalid[[#This Row],[ds]]),MONTH(m3_crossvalid[[#This Row],[ds]]),DAY(m3_crossvalid[[#This Row],[ds]]))</f>
        <v>45902</v>
      </c>
      <c r="C251">
        <v>463</v>
      </c>
      <c r="D251" s="1">
        <v>45902.333333333336</v>
      </c>
      <c r="E251">
        <v>3778.9738537676158</v>
      </c>
      <c r="F251">
        <v>1853.8196993653235</v>
      </c>
      <c r="G251">
        <v>5668.5356252920901</v>
      </c>
      <c r="H251" s="1">
        <v>45900.333333333336</v>
      </c>
    </row>
    <row r="252" spans="1:8" x14ac:dyDescent="0.25">
      <c r="A252" s="7">
        <f>DATE(YEAR(m3_crossvalid[[#This Row],[cutoff]]),MONTH(m3_crossvalid[[#This Row],[cutoff]]),DAY(m3_crossvalid[[#This Row],[cutoff]]))</f>
        <v>45900</v>
      </c>
      <c r="B252" s="7">
        <f>DATE(YEAR(m3_crossvalid[[#This Row],[ds]]),MONTH(m3_crossvalid[[#This Row],[ds]]),DAY(m3_crossvalid[[#This Row],[ds]]))</f>
        <v>45903</v>
      </c>
      <c r="C252">
        <v>734</v>
      </c>
      <c r="D252" s="1">
        <v>45903.333333333336</v>
      </c>
      <c r="E252">
        <v>2321.1182411396817</v>
      </c>
      <c r="F252">
        <v>457.14004786259011</v>
      </c>
      <c r="G252">
        <v>4234.8746992898232</v>
      </c>
      <c r="H252" s="1">
        <v>45900.333333333336</v>
      </c>
    </row>
    <row r="253" spans="1:8" x14ac:dyDescent="0.25">
      <c r="A253" s="7">
        <f>DATE(YEAR(m3_crossvalid[[#This Row],[cutoff]]),MONTH(m3_crossvalid[[#This Row],[cutoff]]),DAY(m3_crossvalid[[#This Row],[cutoff]]))</f>
        <v>45900</v>
      </c>
      <c r="B253" s="7">
        <f>DATE(YEAR(m3_crossvalid[[#This Row],[ds]]),MONTH(m3_crossvalid[[#This Row],[ds]]),DAY(m3_crossvalid[[#This Row],[ds]]))</f>
        <v>45904</v>
      </c>
      <c r="C253">
        <v>973</v>
      </c>
      <c r="D253" s="1">
        <v>45904.333333333336</v>
      </c>
      <c r="E253">
        <v>1605.5669956962511</v>
      </c>
      <c r="F253">
        <v>-283.36762708531205</v>
      </c>
      <c r="G253">
        <v>3453.9583095186626</v>
      </c>
      <c r="H253" s="1">
        <v>45900.333333333336</v>
      </c>
    </row>
    <row r="254" spans="1:8" x14ac:dyDescent="0.25">
      <c r="A254" s="7">
        <f>DATE(YEAR(m3_crossvalid[[#This Row],[cutoff]]),MONTH(m3_crossvalid[[#This Row],[cutoff]]),DAY(m3_crossvalid[[#This Row],[cutoff]]))</f>
        <v>45900</v>
      </c>
      <c r="B254" s="7">
        <f>DATE(YEAR(m3_crossvalid[[#This Row],[ds]]),MONTH(m3_crossvalid[[#This Row],[ds]]),DAY(m3_crossvalid[[#This Row],[ds]]))</f>
        <v>45905</v>
      </c>
      <c r="C254">
        <v>61</v>
      </c>
      <c r="D254" s="1">
        <v>45905.333333333336</v>
      </c>
      <c r="E254">
        <v>-217.33518135391068</v>
      </c>
      <c r="F254">
        <v>-2058.6637139874847</v>
      </c>
      <c r="G254">
        <v>1636.8382984216362</v>
      </c>
      <c r="H254" s="1">
        <v>45900.333333333336</v>
      </c>
    </row>
    <row r="255" spans="1:8" x14ac:dyDescent="0.25">
      <c r="A255" s="7">
        <f>DATE(YEAR(m3_crossvalid[[#This Row],[cutoff]]),MONTH(m3_crossvalid[[#This Row],[cutoff]]),DAY(m3_crossvalid[[#This Row],[cutoff]]))</f>
        <v>45900</v>
      </c>
      <c r="B255" s="7">
        <f>DATE(YEAR(m3_crossvalid[[#This Row],[ds]]),MONTH(m3_crossvalid[[#This Row],[ds]]),DAY(m3_crossvalid[[#This Row],[ds]]))</f>
        <v>45906</v>
      </c>
      <c r="C255">
        <v>107</v>
      </c>
      <c r="D255" s="1">
        <v>45906.333333333336</v>
      </c>
      <c r="E255">
        <v>-331.81665001214606</v>
      </c>
      <c r="F255">
        <v>-2180.0098119698273</v>
      </c>
      <c r="G255">
        <v>1646.7795382330148</v>
      </c>
      <c r="H255" s="1">
        <v>45900.333333333336</v>
      </c>
    </row>
    <row r="256" spans="1:8" x14ac:dyDescent="0.25">
      <c r="A256" s="7">
        <f>DATE(YEAR(m3_crossvalid[[#This Row],[cutoff]]),MONTH(m3_crossvalid[[#This Row],[cutoff]]),DAY(m3_crossvalid[[#This Row],[cutoff]]))</f>
        <v>45900</v>
      </c>
      <c r="B256" s="7">
        <f>DATE(YEAR(m3_crossvalid[[#This Row],[ds]]),MONTH(m3_crossvalid[[#This Row],[ds]]),DAY(m3_crossvalid[[#This Row],[ds]]))</f>
        <v>45907</v>
      </c>
      <c r="C256">
        <v>30</v>
      </c>
      <c r="D256" s="1">
        <v>45907.333333333336</v>
      </c>
      <c r="E256">
        <v>-660.40766486978828</v>
      </c>
      <c r="F256">
        <v>-2498.1766006468183</v>
      </c>
      <c r="G256">
        <v>1228.2198951559126</v>
      </c>
      <c r="H256" s="1">
        <v>45900.333333333336</v>
      </c>
    </row>
    <row r="257" spans="1:8" x14ac:dyDescent="0.25">
      <c r="A257" s="7">
        <f>DATE(YEAR(m3_crossvalid[[#This Row],[cutoff]]),MONTH(m3_crossvalid[[#This Row],[cutoff]]),DAY(m3_crossvalid[[#This Row],[cutoff]]))</f>
        <v>45900</v>
      </c>
      <c r="B257" s="7">
        <f>DATE(YEAR(m3_crossvalid[[#This Row],[ds]]),MONTH(m3_crossvalid[[#This Row],[ds]]),DAY(m3_crossvalid[[#This Row],[ds]]))</f>
        <v>45908</v>
      </c>
      <c r="C257">
        <v>1382</v>
      </c>
      <c r="D257" s="1">
        <v>45908.333333333336</v>
      </c>
      <c r="E257">
        <v>1803.8234119723359</v>
      </c>
      <c r="F257">
        <v>-9.2269501098666851</v>
      </c>
      <c r="G257">
        <v>3603.074889335338</v>
      </c>
      <c r="H257" s="1">
        <v>45900.333333333336</v>
      </c>
    </row>
    <row r="258" spans="1:8" x14ac:dyDescent="0.25">
      <c r="A258" s="7">
        <f>DATE(YEAR(m3_crossvalid[[#This Row],[cutoff]]),MONTH(m3_crossvalid[[#This Row],[cutoff]]),DAY(m3_crossvalid[[#This Row],[cutoff]]))</f>
        <v>45900</v>
      </c>
      <c r="B258" s="7">
        <f>DATE(YEAR(m3_crossvalid[[#This Row],[ds]]),MONTH(m3_crossvalid[[#This Row],[ds]]),DAY(m3_crossvalid[[#This Row],[ds]]))</f>
        <v>45909</v>
      </c>
      <c r="C258">
        <v>1925</v>
      </c>
      <c r="D258" s="1">
        <v>45909.333333333336</v>
      </c>
      <c r="E258">
        <v>1898.0024828487713</v>
      </c>
      <c r="F258">
        <v>-46.886773017210146</v>
      </c>
      <c r="G258">
        <v>3758.6158834179887</v>
      </c>
      <c r="H258" s="1">
        <v>45900.333333333336</v>
      </c>
    </row>
    <row r="259" spans="1:8" x14ac:dyDescent="0.25">
      <c r="A259" s="7">
        <f>DATE(YEAR(m3_crossvalid[[#This Row],[cutoff]]),MONTH(m3_crossvalid[[#This Row],[cutoff]]),DAY(m3_crossvalid[[#This Row],[cutoff]]))</f>
        <v>45900</v>
      </c>
      <c r="B259" s="7">
        <f>DATE(YEAR(m3_crossvalid[[#This Row],[ds]]),MONTH(m3_crossvalid[[#This Row],[ds]]),DAY(m3_crossvalid[[#This Row],[ds]]))</f>
        <v>45910</v>
      </c>
      <c r="C259">
        <v>1988</v>
      </c>
      <c r="D259" s="1">
        <v>45910.333333333336</v>
      </c>
      <c r="E259">
        <v>2042.5115458081484</v>
      </c>
      <c r="F259">
        <v>175.67756955853383</v>
      </c>
      <c r="G259">
        <v>3959.3188035680078</v>
      </c>
      <c r="H259" s="1">
        <v>45900.333333333336</v>
      </c>
    </row>
    <row r="260" spans="1:8" x14ac:dyDescent="0.25">
      <c r="A260" s="7">
        <f>DATE(YEAR(m3_crossvalid[[#This Row],[cutoff]]),MONTH(m3_crossvalid[[#This Row],[cutoff]]),DAY(m3_crossvalid[[#This Row],[cutoff]]))</f>
        <v>45900</v>
      </c>
      <c r="B260" s="7">
        <f>DATE(YEAR(m3_crossvalid[[#This Row],[ds]]),MONTH(m3_crossvalid[[#This Row],[ds]]),DAY(m3_crossvalid[[#This Row],[ds]]))</f>
        <v>45911</v>
      </c>
      <c r="C260">
        <v>2414</v>
      </c>
      <c r="D260" s="1">
        <v>45911.333333333336</v>
      </c>
      <c r="E260">
        <v>2310.729145141584</v>
      </c>
      <c r="F260">
        <v>451.77865715623966</v>
      </c>
      <c r="G260">
        <v>4164.5558853186758</v>
      </c>
      <c r="H260" s="1">
        <v>45900.333333333336</v>
      </c>
    </row>
    <row r="261" spans="1:8" x14ac:dyDescent="0.25">
      <c r="A261" s="7">
        <f>DATE(YEAR(m3_crossvalid[[#This Row],[cutoff]]),MONTH(m3_crossvalid[[#This Row],[cutoff]]),DAY(m3_crossvalid[[#This Row],[cutoff]]))</f>
        <v>45900</v>
      </c>
      <c r="B261" s="7">
        <f>DATE(YEAR(m3_crossvalid[[#This Row],[ds]]),MONTH(m3_crossvalid[[#This Row],[ds]]),DAY(m3_crossvalid[[#This Row],[ds]]))</f>
        <v>45912</v>
      </c>
      <c r="C261">
        <v>2644</v>
      </c>
      <c r="D261" s="1">
        <v>45912.333333333336</v>
      </c>
      <c r="E261">
        <v>2445.459605254171</v>
      </c>
      <c r="F261">
        <v>695.10913029162373</v>
      </c>
      <c r="G261">
        <v>4264.750349926021</v>
      </c>
      <c r="H261" s="1">
        <v>45900.333333333336</v>
      </c>
    </row>
    <row r="262" spans="1:8" x14ac:dyDescent="0.25">
      <c r="A262" s="7">
        <f>DATE(YEAR(m3_crossvalid[[#This Row],[cutoff]]),MONTH(m3_crossvalid[[#This Row],[cutoff]]),DAY(m3_crossvalid[[#This Row],[cutoff]]))</f>
        <v>45900</v>
      </c>
      <c r="B262" s="7">
        <f>DATE(YEAR(m3_crossvalid[[#This Row],[ds]]),MONTH(m3_crossvalid[[#This Row],[ds]]),DAY(m3_crossvalid[[#This Row],[ds]]))</f>
        <v>45913</v>
      </c>
      <c r="C262">
        <v>439</v>
      </c>
      <c r="D262" s="1">
        <v>45913.333333333336</v>
      </c>
      <c r="E262">
        <v>240.97512853808621</v>
      </c>
      <c r="F262">
        <v>-1589.1403808834655</v>
      </c>
      <c r="G262">
        <v>2084.8978927305657</v>
      </c>
      <c r="H262" s="1">
        <v>45900.333333333336</v>
      </c>
    </row>
    <row r="263" spans="1:8" x14ac:dyDescent="0.25">
      <c r="A263" s="7">
        <f>DATE(YEAR(m3_crossvalid[[#This Row],[cutoff]]),MONTH(m3_crossvalid[[#This Row],[cutoff]]),DAY(m3_crossvalid[[#This Row],[cutoff]]))</f>
        <v>45900</v>
      </c>
      <c r="B263" s="7">
        <f>DATE(YEAR(m3_crossvalid[[#This Row],[ds]]),MONTH(m3_crossvalid[[#This Row],[ds]]),DAY(m3_crossvalid[[#This Row],[ds]]))</f>
        <v>45914</v>
      </c>
      <c r="C263">
        <v>108</v>
      </c>
      <c r="D263" s="1">
        <v>45914.333333333336</v>
      </c>
      <c r="E263">
        <v>-396.61410083720011</v>
      </c>
      <c r="F263">
        <v>-2136.5403825524818</v>
      </c>
      <c r="G263">
        <v>1486.3852916482465</v>
      </c>
      <c r="H263" s="1">
        <v>45900.333333333336</v>
      </c>
    </row>
    <row r="264" spans="1:8" x14ac:dyDescent="0.25">
      <c r="A264" s="7">
        <f>DATE(YEAR(m3_crossvalid[[#This Row],[cutoff]]),MONTH(m3_crossvalid[[#This Row],[cutoff]]),DAY(m3_crossvalid[[#This Row],[cutoff]]))</f>
        <v>45900</v>
      </c>
      <c r="B264" s="7">
        <f>DATE(YEAR(m3_crossvalid[[#This Row],[ds]]),MONTH(m3_crossvalid[[#This Row],[ds]]),DAY(m3_crossvalid[[#This Row],[ds]]))</f>
        <v>45915</v>
      </c>
      <c r="C264">
        <v>19</v>
      </c>
      <c r="D264" s="1">
        <v>45915.333333333336</v>
      </c>
      <c r="E264">
        <v>320.07964818344999</v>
      </c>
      <c r="F264">
        <v>-1445.8524565455941</v>
      </c>
      <c r="G264">
        <v>2236.1762373163338</v>
      </c>
      <c r="H264" s="1">
        <v>45900.333333333336</v>
      </c>
    </row>
    <row r="265" spans="1:8" x14ac:dyDescent="0.25">
      <c r="A265" s="7">
        <f>DATE(YEAR(m3_crossvalid[[#This Row],[cutoff]]),MONTH(m3_crossvalid[[#This Row],[cutoff]]),DAY(m3_crossvalid[[#This Row],[cutoff]]))</f>
        <v>45900</v>
      </c>
      <c r="B265" s="7">
        <f>DATE(YEAR(m3_crossvalid[[#This Row],[ds]]),MONTH(m3_crossvalid[[#This Row],[ds]]),DAY(m3_crossvalid[[#This Row],[ds]]))</f>
        <v>45916</v>
      </c>
      <c r="C265">
        <v>5</v>
      </c>
      <c r="D265" s="1">
        <v>45916.333333333336</v>
      </c>
      <c r="E265">
        <v>695.36516308312389</v>
      </c>
      <c r="F265">
        <v>-1205.8519495092028</v>
      </c>
      <c r="G265">
        <v>2579.795377627263</v>
      </c>
      <c r="H265" s="1">
        <v>45900.333333333336</v>
      </c>
    </row>
    <row r="266" spans="1:8" x14ac:dyDescent="0.25">
      <c r="A266" s="7">
        <f>DATE(YEAR(m3_crossvalid[[#This Row],[cutoff]]),MONTH(m3_crossvalid[[#This Row],[cutoff]]),DAY(m3_crossvalid[[#This Row],[cutoff]]))</f>
        <v>45900</v>
      </c>
      <c r="B266" s="7">
        <f>DATE(YEAR(m3_crossvalid[[#This Row],[ds]]),MONTH(m3_crossvalid[[#This Row],[ds]]),DAY(m3_crossvalid[[#This Row],[ds]]))</f>
        <v>45917</v>
      </c>
      <c r="C266">
        <v>2108</v>
      </c>
      <c r="D266" s="1">
        <v>45917.333333333336</v>
      </c>
      <c r="E266">
        <v>2821.9941547067451</v>
      </c>
      <c r="F266">
        <v>956.53870177695546</v>
      </c>
      <c r="G266">
        <v>4756.1971728010558</v>
      </c>
      <c r="H266" s="1">
        <v>45900.333333333336</v>
      </c>
    </row>
    <row r="267" spans="1:8" x14ac:dyDescent="0.25">
      <c r="A267" s="7">
        <f>DATE(YEAR(m3_crossvalid[[#This Row],[cutoff]]),MONTH(m3_crossvalid[[#This Row],[cutoff]]),DAY(m3_crossvalid[[#This Row],[cutoff]]))</f>
        <v>45900</v>
      </c>
      <c r="B267" s="7">
        <f>DATE(YEAR(m3_crossvalid[[#This Row],[ds]]),MONTH(m3_crossvalid[[#This Row],[ds]]),DAY(m3_crossvalid[[#This Row],[ds]]))</f>
        <v>45918</v>
      </c>
      <c r="C267">
        <v>3129</v>
      </c>
      <c r="D267" s="1">
        <v>45918.333333333336</v>
      </c>
      <c r="E267">
        <v>3004.4831984782913</v>
      </c>
      <c r="F267">
        <v>1126.8738676659571</v>
      </c>
      <c r="G267">
        <v>4967.8736333864408</v>
      </c>
      <c r="H267" s="1">
        <v>45900.333333333336</v>
      </c>
    </row>
    <row r="268" spans="1:8" x14ac:dyDescent="0.25">
      <c r="A268" s="7">
        <f>DATE(YEAR(m3_crossvalid[[#This Row],[cutoff]]),MONTH(m3_crossvalid[[#This Row],[cutoff]]),DAY(m3_crossvalid[[#This Row],[cutoff]]))</f>
        <v>45900</v>
      </c>
      <c r="B268" s="7">
        <f>DATE(YEAR(m3_crossvalid[[#This Row],[ds]]),MONTH(m3_crossvalid[[#This Row],[ds]]),DAY(m3_crossvalid[[#This Row],[ds]]))</f>
        <v>45919</v>
      </c>
      <c r="C268">
        <v>3027</v>
      </c>
      <c r="D268" s="1">
        <v>45919.333333333336</v>
      </c>
      <c r="E268">
        <v>2854.9061289069309</v>
      </c>
      <c r="F268">
        <v>867.73702589624759</v>
      </c>
      <c r="G268">
        <v>4756.8247347795586</v>
      </c>
      <c r="H268" s="1">
        <v>45900.333333333336</v>
      </c>
    </row>
    <row r="269" spans="1:8" x14ac:dyDescent="0.25">
      <c r="A269" s="7">
        <f>DATE(YEAR(m3_crossvalid[[#This Row],[cutoff]]),MONTH(m3_crossvalid[[#This Row],[cutoff]]),DAY(m3_crossvalid[[#This Row],[cutoff]]))</f>
        <v>45900</v>
      </c>
      <c r="B269" s="7">
        <f>DATE(YEAR(m3_crossvalid[[#This Row],[ds]]),MONTH(m3_crossvalid[[#This Row],[ds]]),DAY(m3_crossvalid[[#This Row],[ds]]))</f>
        <v>45920</v>
      </c>
      <c r="C269">
        <v>525</v>
      </c>
      <c r="D269" s="1">
        <v>45920.333333333336</v>
      </c>
      <c r="E269">
        <v>475.13120826315139</v>
      </c>
      <c r="F269">
        <v>-1435.4949478855167</v>
      </c>
      <c r="G269">
        <v>2220.7021029004409</v>
      </c>
      <c r="H269" s="1">
        <v>45900.333333333336</v>
      </c>
    </row>
    <row r="270" spans="1:8" x14ac:dyDescent="0.25">
      <c r="A270" s="7">
        <f>DATE(YEAR(m3_crossvalid[[#This Row],[cutoff]]),MONTH(m3_crossvalid[[#This Row],[cutoff]]),DAY(m3_crossvalid[[#This Row],[cutoff]]))</f>
        <v>45900</v>
      </c>
      <c r="B270" s="7">
        <f>DATE(YEAR(m3_crossvalid[[#This Row],[ds]]),MONTH(m3_crossvalid[[#This Row],[ds]]),DAY(m3_crossvalid[[#This Row],[ds]]))</f>
        <v>45921</v>
      </c>
      <c r="C270">
        <v>107</v>
      </c>
      <c r="D270" s="1">
        <v>45921.333333333336</v>
      </c>
      <c r="E270">
        <v>-29.043295682376538</v>
      </c>
      <c r="F270">
        <v>-1869.3635980444799</v>
      </c>
      <c r="G270">
        <v>1675.7275225183625</v>
      </c>
      <c r="H270" s="1">
        <v>45900.333333333336</v>
      </c>
    </row>
    <row r="271" spans="1:8" x14ac:dyDescent="0.25">
      <c r="A271" s="7">
        <f>DATE(YEAR(m3_crossvalid[[#This Row],[cutoff]]),MONTH(m3_crossvalid[[#This Row],[cutoff]]),DAY(m3_crossvalid[[#This Row],[cutoff]]))</f>
        <v>45900</v>
      </c>
      <c r="B271" s="7">
        <f>DATE(YEAR(m3_crossvalid[[#This Row],[ds]]),MONTH(m3_crossvalid[[#This Row],[ds]]),DAY(m3_crossvalid[[#This Row],[ds]]))</f>
        <v>45922</v>
      </c>
      <c r="C271">
        <v>2480</v>
      </c>
      <c r="D271" s="1">
        <v>45922.333333333336</v>
      </c>
      <c r="E271">
        <v>2790.3758160479815</v>
      </c>
      <c r="F271">
        <v>835.64437843835708</v>
      </c>
      <c r="G271">
        <v>4680.9557044398734</v>
      </c>
      <c r="H271" s="1">
        <v>45900.333333333336</v>
      </c>
    </row>
    <row r="272" spans="1:8" x14ac:dyDescent="0.25">
      <c r="A272" s="7">
        <f>DATE(YEAR(m3_crossvalid[[#This Row],[cutoff]]),MONTH(m3_crossvalid[[#This Row],[cutoff]]),DAY(m3_crossvalid[[#This Row],[cutoff]]))</f>
        <v>45900</v>
      </c>
      <c r="B272" s="7">
        <f>DATE(YEAR(m3_crossvalid[[#This Row],[ds]]),MONTH(m3_crossvalid[[#This Row],[ds]]),DAY(m3_crossvalid[[#This Row],[ds]]))</f>
        <v>45923</v>
      </c>
      <c r="C272">
        <v>2893</v>
      </c>
      <c r="D272" s="1">
        <v>45923.333333333336</v>
      </c>
      <c r="E272">
        <v>3388.3172546869605</v>
      </c>
      <c r="F272">
        <v>1456.7660619182705</v>
      </c>
      <c r="G272">
        <v>5192.2822950608042</v>
      </c>
      <c r="H272" s="1">
        <v>45900.333333333336</v>
      </c>
    </row>
    <row r="273" spans="1:8" x14ac:dyDescent="0.25">
      <c r="A273" s="7">
        <f>DATE(YEAR(m3_crossvalid[[#This Row],[cutoff]]),MONTH(m3_crossvalid[[#This Row],[cutoff]]),DAY(m3_crossvalid[[#This Row],[cutoff]]))</f>
        <v>45900</v>
      </c>
      <c r="B273" s="7">
        <f>DATE(YEAR(m3_crossvalid[[#This Row],[ds]]),MONTH(m3_crossvalid[[#This Row],[ds]]),DAY(m3_crossvalid[[#This Row],[ds]]))</f>
        <v>45924</v>
      </c>
      <c r="C273">
        <v>3143</v>
      </c>
      <c r="D273" s="1">
        <v>45924.333333333336</v>
      </c>
      <c r="E273">
        <v>3684.3302814417584</v>
      </c>
      <c r="F273">
        <v>1822.8889169738586</v>
      </c>
      <c r="G273">
        <v>5486.372038772176</v>
      </c>
      <c r="H273" s="1">
        <v>45900.333333333336</v>
      </c>
    </row>
    <row r="274" spans="1:8" x14ac:dyDescent="0.25">
      <c r="A274" s="7">
        <f>DATE(YEAR(m3_crossvalid[[#This Row],[cutoff]]),MONTH(m3_crossvalid[[#This Row],[cutoff]]),DAY(m3_crossvalid[[#This Row],[cutoff]]))</f>
        <v>45900</v>
      </c>
      <c r="B274" s="7">
        <f>DATE(YEAR(m3_crossvalid[[#This Row],[ds]]),MONTH(m3_crossvalid[[#This Row],[ds]]),DAY(m3_crossvalid[[#This Row],[ds]]))</f>
        <v>45925</v>
      </c>
      <c r="C274">
        <v>3361</v>
      </c>
      <c r="D274" s="1">
        <v>45925.333333333336</v>
      </c>
      <c r="E274">
        <v>3699.156491366487</v>
      </c>
      <c r="F274">
        <v>1711.3911611130366</v>
      </c>
      <c r="G274">
        <v>5594.7675698662579</v>
      </c>
      <c r="H274" s="1">
        <v>45900.333333333336</v>
      </c>
    </row>
    <row r="275" spans="1:8" x14ac:dyDescent="0.25">
      <c r="A275" s="7">
        <f>DATE(YEAR(m3_crossvalid[[#This Row],[cutoff]]),MONTH(m3_crossvalid[[#This Row],[cutoff]]),DAY(m3_crossvalid[[#This Row],[cutoff]]))</f>
        <v>45900</v>
      </c>
      <c r="B275" s="7">
        <f>DATE(YEAR(m3_crossvalid[[#This Row],[ds]]),MONTH(m3_crossvalid[[#This Row],[ds]]),DAY(m3_crossvalid[[#This Row],[ds]]))</f>
        <v>45926</v>
      </c>
      <c r="C275">
        <v>3885</v>
      </c>
      <c r="D275" s="1">
        <v>45926.333333333336</v>
      </c>
      <c r="E275">
        <v>3666.7232332607778</v>
      </c>
      <c r="F275">
        <v>1816.8341076610609</v>
      </c>
      <c r="G275">
        <v>5477.890417310673</v>
      </c>
      <c r="H275" s="1">
        <v>45900.333333333336</v>
      </c>
    </row>
    <row r="276" spans="1:8" x14ac:dyDescent="0.25">
      <c r="A276" s="7">
        <f>DATE(YEAR(m3_crossvalid[[#This Row],[cutoff]]),MONTH(m3_crossvalid[[#This Row],[cutoff]]),DAY(m3_crossvalid[[#This Row],[cutoff]]))</f>
        <v>45900</v>
      </c>
      <c r="B276" s="7">
        <f>DATE(YEAR(m3_crossvalid[[#This Row],[ds]]),MONTH(m3_crossvalid[[#This Row],[ds]]),DAY(m3_crossvalid[[#This Row],[ds]]))</f>
        <v>45927</v>
      </c>
      <c r="C276">
        <v>1024</v>
      </c>
      <c r="D276" s="1">
        <v>45927.333333333336</v>
      </c>
      <c r="E276">
        <v>1935.9869085361697</v>
      </c>
      <c r="F276">
        <v>81.693368313779061</v>
      </c>
      <c r="G276">
        <v>3803.1343623352209</v>
      </c>
      <c r="H276" s="1">
        <v>45900.333333333336</v>
      </c>
    </row>
    <row r="277" spans="1:8" x14ac:dyDescent="0.25">
      <c r="A277" s="7">
        <f>DATE(YEAR(m3_crossvalid[[#This Row],[cutoff]]),MONTH(m3_crossvalid[[#This Row],[cutoff]]),DAY(m3_crossvalid[[#This Row],[cutoff]]))</f>
        <v>45900</v>
      </c>
      <c r="B277" s="7">
        <f>DATE(YEAR(m3_crossvalid[[#This Row],[ds]]),MONTH(m3_crossvalid[[#This Row],[ds]]),DAY(m3_crossvalid[[#This Row],[ds]]))</f>
        <v>45928</v>
      </c>
      <c r="C277">
        <v>280</v>
      </c>
      <c r="D277" s="1">
        <v>45928.333333333336</v>
      </c>
      <c r="E277">
        <v>2429.4309132448625</v>
      </c>
      <c r="F277">
        <v>511.19309043907344</v>
      </c>
      <c r="G277">
        <v>4344.626626692926</v>
      </c>
      <c r="H277" s="1">
        <v>45900.333333333336</v>
      </c>
    </row>
    <row r="278" spans="1:8" x14ac:dyDescent="0.25">
      <c r="A278" s="7">
        <f>DATE(YEAR(m3_crossvalid[[#This Row],[cutoff]]),MONTH(m3_crossvalid[[#This Row],[cutoff]]),DAY(m3_crossvalid[[#This Row],[cutoff]]))</f>
        <v>45900</v>
      </c>
      <c r="B278" s="7">
        <f>DATE(YEAR(m3_crossvalid[[#This Row],[ds]]),MONTH(m3_crossvalid[[#This Row],[ds]]),DAY(m3_crossvalid[[#This Row],[ds]]))</f>
        <v>45929</v>
      </c>
      <c r="C278">
        <v>8852</v>
      </c>
      <c r="D278" s="1">
        <v>45929.333333333336</v>
      </c>
      <c r="E278">
        <v>6044.4662532276525</v>
      </c>
      <c r="F278">
        <v>4341.2713390060489</v>
      </c>
      <c r="G278">
        <v>7927.1883518790646</v>
      </c>
      <c r="H278" s="1">
        <v>45900.333333333336</v>
      </c>
    </row>
    <row r="279" spans="1:8" x14ac:dyDescent="0.25">
      <c r="A279" s="7">
        <f>DATE(YEAR(m3_crossvalid[[#This Row],[cutoff]]),MONTH(m3_crossvalid[[#This Row],[cutoff]]),DAY(m3_crossvalid[[#This Row],[cutoff]]))</f>
        <v>45900</v>
      </c>
      <c r="B279" s="7">
        <f>DATE(YEAR(m3_crossvalid[[#This Row],[ds]]),MONTH(m3_crossvalid[[#This Row],[ds]]),DAY(m3_crossvalid[[#This Row],[ds]]))</f>
        <v>45930</v>
      </c>
      <c r="C279">
        <v>14458</v>
      </c>
      <c r="D279" s="1">
        <v>45930.333333333336</v>
      </c>
      <c r="E279">
        <v>6683.7248553364407</v>
      </c>
      <c r="F279">
        <v>4734.4601816380782</v>
      </c>
      <c r="G279">
        <v>8573.2154440967788</v>
      </c>
      <c r="H279" s="1">
        <v>45900.333333333336</v>
      </c>
    </row>
    <row r="280" spans="1:8" x14ac:dyDescent="0.25">
      <c r="A280" s="7">
        <f>DATE(YEAR(m3_crossvalid[[#This Row],[cutoff]]),MONTH(m3_crossvalid[[#This Row],[cutoff]]),DAY(m3_crossvalid[[#This Row],[cutoff]]))</f>
        <v>45900</v>
      </c>
      <c r="B280" s="7">
        <f>DATE(YEAR(m3_crossvalid[[#This Row],[ds]]),MONTH(m3_crossvalid[[#This Row],[ds]]),DAY(m3_crossvalid[[#This Row],[ds]]))</f>
        <v>45931</v>
      </c>
      <c r="C280">
        <v>639</v>
      </c>
      <c r="D280" s="1">
        <v>45931.333333333336</v>
      </c>
      <c r="E280">
        <v>6076.2798084893911</v>
      </c>
      <c r="F280">
        <v>4222.7237307909782</v>
      </c>
      <c r="G280">
        <v>7944.1776985685865</v>
      </c>
      <c r="H280" s="1">
        <v>45900.333333333336</v>
      </c>
    </row>
    <row r="281" spans="1:8" x14ac:dyDescent="0.25">
      <c r="A281" s="7">
        <f>DATE(YEAR(m3_crossvalid[[#This Row],[cutoff]]),MONTH(m3_crossvalid[[#This Row],[cutoff]]),DAY(m3_crossvalid[[#This Row],[cutoff]]))</f>
        <v>45930</v>
      </c>
      <c r="B281" s="7">
        <f>DATE(YEAR(m3_crossvalid[[#This Row],[ds]]),MONTH(m3_crossvalid[[#This Row],[ds]]),DAY(m3_crossvalid[[#This Row],[ds]]))</f>
        <v>45931</v>
      </c>
      <c r="C281">
        <v>639</v>
      </c>
      <c r="D281" s="1">
        <v>45931.333333333336</v>
      </c>
      <c r="E281">
        <v>6224.2436457377989</v>
      </c>
      <c r="F281">
        <v>4340.2795203449859</v>
      </c>
      <c r="G281">
        <v>8141.8041359867584</v>
      </c>
      <c r="H281" s="1">
        <v>45930.333333333336</v>
      </c>
    </row>
    <row r="282" spans="1:8" x14ac:dyDescent="0.25">
      <c r="A282" s="7">
        <f>DATE(YEAR(m3_crossvalid[[#This Row],[cutoff]]),MONTH(m3_crossvalid[[#This Row],[cutoff]]),DAY(m3_crossvalid[[#This Row],[cutoff]]))</f>
        <v>45930</v>
      </c>
      <c r="B282" s="7">
        <f>DATE(YEAR(m3_crossvalid[[#This Row],[ds]]),MONTH(m3_crossvalid[[#This Row],[ds]]),DAY(m3_crossvalid[[#This Row],[ds]]))</f>
        <v>45932</v>
      </c>
      <c r="C282">
        <v>823</v>
      </c>
      <c r="D282" s="1">
        <v>45932.333333333336</v>
      </c>
      <c r="E282">
        <v>4593.9379820623963</v>
      </c>
      <c r="F282">
        <v>2654.171711566672</v>
      </c>
      <c r="G282">
        <v>6415.8004955757924</v>
      </c>
      <c r="H282" s="1">
        <v>45930.333333333336</v>
      </c>
    </row>
    <row r="283" spans="1:8" x14ac:dyDescent="0.25">
      <c r="A283" s="7">
        <f>DATE(YEAR(m3_crossvalid[[#This Row],[cutoff]]),MONTH(m3_crossvalid[[#This Row],[cutoff]]),DAY(m3_crossvalid[[#This Row],[cutoff]]))</f>
        <v>45930</v>
      </c>
      <c r="B283" s="7">
        <f>DATE(YEAR(m3_crossvalid[[#This Row],[ds]]),MONTH(m3_crossvalid[[#This Row],[ds]]),DAY(m3_crossvalid[[#This Row],[ds]]))</f>
        <v>45933</v>
      </c>
      <c r="C283">
        <v>996</v>
      </c>
      <c r="D283" s="1">
        <v>45933.333333333336</v>
      </c>
      <c r="E283">
        <v>2712.2645438908862</v>
      </c>
      <c r="F283">
        <v>743.41675187184615</v>
      </c>
      <c r="G283">
        <v>4487.8490876129517</v>
      </c>
      <c r="H283" s="1">
        <v>45930.333333333336</v>
      </c>
    </row>
    <row r="284" spans="1:8" x14ac:dyDescent="0.25">
      <c r="A284" s="7">
        <f>DATE(YEAR(m3_crossvalid[[#This Row],[cutoff]]),MONTH(m3_crossvalid[[#This Row],[cutoff]]),DAY(m3_crossvalid[[#This Row],[cutoff]]))</f>
        <v>45930</v>
      </c>
      <c r="B284" s="7">
        <f>DATE(YEAR(m3_crossvalid[[#This Row],[ds]]),MONTH(m3_crossvalid[[#This Row],[ds]]),DAY(m3_crossvalid[[#This Row],[ds]]))</f>
        <v>45934</v>
      </c>
      <c r="C284">
        <v>141</v>
      </c>
      <c r="D284" s="1">
        <v>45934.333333333336</v>
      </c>
      <c r="E284">
        <v>-669.73676844206011</v>
      </c>
      <c r="F284">
        <v>-2531.638590894845</v>
      </c>
      <c r="G284">
        <v>1074.6503922027593</v>
      </c>
      <c r="H284" s="1">
        <v>45930.333333333336</v>
      </c>
    </row>
    <row r="285" spans="1:8" x14ac:dyDescent="0.25">
      <c r="A285" s="7">
        <f>DATE(YEAR(m3_crossvalid[[#This Row],[cutoff]]),MONTH(m3_crossvalid[[#This Row],[cutoff]]),DAY(m3_crossvalid[[#This Row],[cutoff]]))</f>
        <v>45930</v>
      </c>
      <c r="B285" s="7">
        <f>DATE(YEAR(m3_crossvalid[[#This Row],[ds]]),MONTH(m3_crossvalid[[#This Row],[ds]]),DAY(m3_crossvalid[[#This Row],[ds]]))</f>
        <v>45935</v>
      </c>
      <c r="C285">
        <v>38</v>
      </c>
      <c r="D285" s="1">
        <v>45935.333333333336</v>
      </c>
      <c r="E285">
        <v>-1402.364241667417</v>
      </c>
      <c r="F285">
        <v>-3368.3800111333417</v>
      </c>
      <c r="G285">
        <v>364.17509369654715</v>
      </c>
      <c r="H285" s="1">
        <v>45930.333333333336</v>
      </c>
    </row>
    <row r="286" spans="1:8" x14ac:dyDescent="0.25">
      <c r="A286" s="7">
        <f>DATE(YEAR(m3_crossvalid[[#This Row],[cutoff]]),MONTH(m3_crossvalid[[#This Row],[cutoff]]),DAY(m3_crossvalid[[#This Row],[cutoff]]))</f>
        <v>45930</v>
      </c>
      <c r="B286" s="7">
        <f>DATE(YEAR(m3_crossvalid[[#This Row],[ds]]),MONTH(m3_crossvalid[[#This Row],[ds]]),DAY(m3_crossvalid[[#This Row],[ds]]))</f>
        <v>45936</v>
      </c>
      <c r="C286">
        <v>1044</v>
      </c>
      <c r="D286" s="1">
        <v>45936.333333333336</v>
      </c>
      <c r="E286">
        <v>1518.7309559242074</v>
      </c>
      <c r="F286">
        <v>-436.73834671323903</v>
      </c>
      <c r="G286">
        <v>3482.2770114417563</v>
      </c>
      <c r="H286" s="1">
        <v>45930.333333333336</v>
      </c>
    </row>
    <row r="287" spans="1:8" x14ac:dyDescent="0.25">
      <c r="A287" s="7">
        <f>DATE(YEAR(m3_crossvalid[[#This Row],[cutoff]]),MONTH(m3_crossvalid[[#This Row],[cutoff]]),DAY(m3_crossvalid[[#This Row],[cutoff]]))</f>
        <v>45930</v>
      </c>
      <c r="B287" s="7">
        <f>DATE(YEAR(m3_crossvalid[[#This Row],[ds]]),MONTH(m3_crossvalid[[#This Row],[ds]]),DAY(m3_crossvalid[[#This Row],[ds]]))</f>
        <v>45937</v>
      </c>
      <c r="C287">
        <v>1351</v>
      </c>
      <c r="D287" s="1">
        <v>45937.333333333336</v>
      </c>
      <c r="E287">
        <v>2152.6900031204641</v>
      </c>
      <c r="F287">
        <v>231.84174361028954</v>
      </c>
      <c r="G287">
        <v>3989.8913891558559</v>
      </c>
      <c r="H287" s="1">
        <v>45930.333333333336</v>
      </c>
    </row>
    <row r="288" spans="1:8" x14ac:dyDescent="0.25">
      <c r="A288" s="7">
        <f>DATE(YEAR(m3_crossvalid[[#This Row],[cutoff]]),MONTH(m3_crossvalid[[#This Row],[cutoff]]),DAY(m3_crossvalid[[#This Row],[cutoff]]))</f>
        <v>45930</v>
      </c>
      <c r="B288" s="7">
        <f>DATE(YEAR(m3_crossvalid[[#This Row],[ds]]),MONTH(m3_crossvalid[[#This Row],[ds]]),DAY(m3_crossvalid[[#This Row],[ds]]))</f>
        <v>45938</v>
      </c>
      <c r="C288">
        <v>1654</v>
      </c>
      <c r="D288" s="1">
        <v>45938.333333333336</v>
      </c>
      <c r="E288">
        <v>2279.0643829169862</v>
      </c>
      <c r="F288">
        <v>422.37467037596542</v>
      </c>
      <c r="G288">
        <v>4112.002079949295</v>
      </c>
      <c r="H288" s="1">
        <v>45930.333333333336</v>
      </c>
    </row>
    <row r="289" spans="1:8" x14ac:dyDescent="0.25">
      <c r="A289" s="7">
        <f>DATE(YEAR(m3_crossvalid[[#This Row],[cutoff]]),MONTH(m3_crossvalid[[#This Row],[cutoff]]),DAY(m3_crossvalid[[#This Row],[cutoff]]))</f>
        <v>45930</v>
      </c>
      <c r="B289" s="7">
        <f>DATE(YEAR(m3_crossvalid[[#This Row],[ds]]),MONTH(m3_crossvalid[[#This Row],[ds]]),DAY(m3_crossvalid[[#This Row],[ds]]))</f>
        <v>45939</v>
      </c>
      <c r="C289">
        <v>2108</v>
      </c>
      <c r="D289" s="1">
        <v>45939.333333333336</v>
      </c>
      <c r="E289">
        <v>2151.7660009618471</v>
      </c>
      <c r="F289">
        <v>353.88301541064516</v>
      </c>
      <c r="G289">
        <v>4010.7674323078495</v>
      </c>
      <c r="H289" s="1">
        <v>45930.333333333336</v>
      </c>
    </row>
    <row r="290" spans="1:8" x14ac:dyDescent="0.25">
      <c r="A290" s="7">
        <f>DATE(YEAR(m3_crossvalid[[#This Row],[cutoff]]),MONTH(m3_crossvalid[[#This Row],[cutoff]]),DAY(m3_crossvalid[[#This Row],[cutoff]]))</f>
        <v>45930</v>
      </c>
      <c r="B290" s="7">
        <f>DATE(YEAR(m3_crossvalid[[#This Row],[ds]]),MONTH(m3_crossvalid[[#This Row],[ds]]),DAY(m3_crossvalid[[#This Row],[ds]]))</f>
        <v>45940</v>
      </c>
      <c r="C290">
        <v>2215</v>
      </c>
      <c r="D290" s="1">
        <v>45940.333333333336</v>
      </c>
      <c r="E290">
        <v>2004.1857597663848</v>
      </c>
      <c r="F290">
        <v>223.0317767065049</v>
      </c>
      <c r="G290">
        <v>4044.6776256568392</v>
      </c>
      <c r="H290" s="1">
        <v>45930.333333333336</v>
      </c>
    </row>
    <row r="291" spans="1:8" x14ac:dyDescent="0.25">
      <c r="A291" s="7">
        <f>DATE(YEAR(m3_crossvalid[[#This Row],[cutoff]]),MONTH(m3_crossvalid[[#This Row],[cutoff]]),DAY(m3_crossvalid[[#This Row],[cutoff]]))</f>
        <v>45930</v>
      </c>
      <c r="B291" s="7">
        <f>DATE(YEAR(m3_crossvalid[[#This Row],[ds]]),MONTH(m3_crossvalid[[#This Row],[ds]]),DAY(m3_crossvalid[[#This Row],[ds]]))</f>
        <v>45941</v>
      </c>
      <c r="C291">
        <v>380</v>
      </c>
      <c r="D291" s="1">
        <v>45941.333333333336</v>
      </c>
      <c r="E291">
        <v>-40.747294707037327</v>
      </c>
      <c r="F291">
        <v>-1928.0379391270233</v>
      </c>
      <c r="G291">
        <v>1725.7403447144932</v>
      </c>
      <c r="H291" s="1">
        <v>45930.333333333336</v>
      </c>
    </row>
    <row r="292" spans="1:8" x14ac:dyDescent="0.25">
      <c r="A292" s="7">
        <f>DATE(YEAR(m3_crossvalid[[#This Row],[cutoff]]),MONTH(m3_crossvalid[[#This Row],[cutoff]]),DAY(m3_crossvalid[[#This Row],[cutoff]]))</f>
        <v>45930</v>
      </c>
      <c r="B292" s="7">
        <f>DATE(YEAR(m3_crossvalid[[#This Row],[ds]]),MONTH(m3_crossvalid[[#This Row],[ds]]),DAY(m3_crossvalid[[#This Row],[ds]]))</f>
        <v>45942</v>
      </c>
      <c r="C292">
        <v>120</v>
      </c>
      <c r="D292" s="1">
        <v>45942.333333333336</v>
      </c>
      <c r="E292">
        <v>-236.99211771251976</v>
      </c>
      <c r="F292">
        <v>-2074.2927558753659</v>
      </c>
      <c r="G292">
        <v>1604.1264206557616</v>
      </c>
      <c r="H292" s="1">
        <v>45930.333333333336</v>
      </c>
    </row>
    <row r="293" spans="1:8" x14ac:dyDescent="0.25">
      <c r="A293" s="7">
        <f>DATE(YEAR(m3_crossvalid[[#This Row],[cutoff]]),MONTH(m3_crossvalid[[#This Row],[cutoff]]),DAY(m3_crossvalid[[#This Row],[cutoff]]))</f>
        <v>45930</v>
      </c>
      <c r="B293" s="7">
        <f>DATE(YEAR(m3_crossvalid[[#This Row],[ds]]),MONTH(m3_crossvalid[[#This Row],[ds]]),DAY(m3_crossvalid[[#This Row],[ds]]))</f>
        <v>45943</v>
      </c>
      <c r="C293">
        <v>2406</v>
      </c>
      <c r="D293" s="1">
        <v>45943.333333333336</v>
      </c>
      <c r="E293">
        <v>2504.87402543707</v>
      </c>
      <c r="F293">
        <v>669.6240400942952</v>
      </c>
      <c r="G293">
        <v>4410.2341584712431</v>
      </c>
      <c r="H293" s="1">
        <v>45930.333333333336</v>
      </c>
    </row>
    <row r="294" spans="1:8" x14ac:dyDescent="0.25">
      <c r="A294" s="7">
        <f>DATE(YEAR(m3_crossvalid[[#This Row],[cutoff]]),MONTH(m3_crossvalid[[#This Row],[cutoff]]),DAY(m3_crossvalid[[#This Row],[cutoff]]))</f>
        <v>45930</v>
      </c>
      <c r="B294" s="7">
        <f>DATE(YEAR(m3_crossvalid[[#This Row],[ds]]),MONTH(m3_crossvalid[[#This Row],[ds]]),DAY(m3_crossvalid[[#This Row],[ds]]))</f>
        <v>45944</v>
      </c>
      <c r="C294">
        <v>2958</v>
      </c>
      <c r="D294" s="1">
        <v>45944.333333333336</v>
      </c>
      <c r="E294">
        <v>2721.4132872859768</v>
      </c>
      <c r="F294">
        <v>893.99532586807732</v>
      </c>
      <c r="G294">
        <v>4570.1070259330154</v>
      </c>
      <c r="H294" s="1">
        <v>45930.333333333336</v>
      </c>
    </row>
    <row r="295" spans="1:8" x14ac:dyDescent="0.25">
      <c r="A295" s="7">
        <f>DATE(YEAR(m3_crossvalid[[#This Row],[cutoff]]),MONTH(m3_crossvalid[[#This Row],[cutoff]]),DAY(m3_crossvalid[[#This Row],[cutoff]]))</f>
        <v>45930</v>
      </c>
      <c r="B295" s="7">
        <f>DATE(YEAR(m3_crossvalid[[#This Row],[ds]]),MONTH(m3_crossvalid[[#This Row],[ds]]),DAY(m3_crossvalid[[#This Row],[ds]]))</f>
        <v>45945</v>
      </c>
      <c r="C295">
        <v>3074</v>
      </c>
      <c r="D295" s="1">
        <v>45945.333333333336</v>
      </c>
      <c r="E295">
        <v>2669.128885485452</v>
      </c>
      <c r="F295">
        <v>918.48103152629949</v>
      </c>
      <c r="G295">
        <v>4487.8945651076519</v>
      </c>
      <c r="H295" s="1">
        <v>45930.333333333336</v>
      </c>
    </row>
    <row r="296" spans="1:8" x14ac:dyDescent="0.25">
      <c r="A296" s="7">
        <f>DATE(YEAR(m3_crossvalid[[#This Row],[cutoff]]),MONTH(m3_crossvalid[[#This Row],[cutoff]]),DAY(m3_crossvalid[[#This Row],[cutoff]]))</f>
        <v>45930</v>
      </c>
      <c r="B296" s="7">
        <f>DATE(YEAR(m3_crossvalid[[#This Row],[ds]]),MONTH(m3_crossvalid[[#This Row],[ds]]),DAY(m3_crossvalid[[#This Row],[ds]]))</f>
        <v>45946</v>
      </c>
      <c r="C296">
        <v>3505</v>
      </c>
      <c r="D296" s="1">
        <v>45946.333333333336</v>
      </c>
      <c r="E296">
        <v>2720.3479790391675</v>
      </c>
      <c r="F296">
        <v>988.10464261356435</v>
      </c>
      <c r="G296">
        <v>4565.0401406312621</v>
      </c>
      <c r="H296" s="1">
        <v>45930.333333333336</v>
      </c>
    </row>
    <row r="297" spans="1:8" x14ac:dyDescent="0.25">
      <c r="A297" s="7">
        <f>DATE(YEAR(m3_crossvalid[[#This Row],[cutoff]]),MONTH(m3_crossvalid[[#This Row],[cutoff]]),DAY(m3_crossvalid[[#This Row],[cutoff]]))</f>
        <v>45930</v>
      </c>
      <c r="B297" s="7">
        <f>DATE(YEAR(m3_crossvalid[[#This Row],[ds]]),MONTH(m3_crossvalid[[#This Row],[ds]]),DAY(m3_crossvalid[[#This Row],[ds]]))</f>
        <v>45947</v>
      </c>
      <c r="C297">
        <v>3630</v>
      </c>
      <c r="D297" s="1">
        <v>45947.333333333336</v>
      </c>
      <c r="E297">
        <v>2846.6650333006087</v>
      </c>
      <c r="F297">
        <v>887.48476960010794</v>
      </c>
      <c r="G297">
        <v>4552.0009199608394</v>
      </c>
      <c r="H297" s="1">
        <v>45930.333333333336</v>
      </c>
    </row>
    <row r="298" spans="1:8" x14ac:dyDescent="0.25">
      <c r="A298" s="7">
        <f>DATE(YEAR(m3_crossvalid[[#This Row],[cutoff]]),MONTH(m3_crossvalid[[#This Row],[cutoff]]),DAY(m3_crossvalid[[#This Row],[cutoff]]))</f>
        <v>45930</v>
      </c>
      <c r="B298" s="7">
        <f>DATE(YEAR(m3_crossvalid[[#This Row],[ds]]),MONTH(m3_crossvalid[[#This Row],[ds]]),DAY(m3_crossvalid[[#This Row],[ds]]))</f>
        <v>45948</v>
      </c>
      <c r="C298">
        <v>653</v>
      </c>
      <c r="D298" s="1">
        <v>45948.333333333336</v>
      </c>
      <c r="E298">
        <v>839.26586459997134</v>
      </c>
      <c r="F298">
        <v>-1014.5856495727079</v>
      </c>
      <c r="G298">
        <v>2776.5574997554545</v>
      </c>
      <c r="H298" s="1">
        <v>45930.333333333336</v>
      </c>
    </row>
    <row r="299" spans="1:8" x14ac:dyDescent="0.25">
      <c r="A299" s="7">
        <f>DATE(YEAR(m3_crossvalid[[#This Row],[cutoff]]),MONTH(m3_crossvalid[[#This Row],[cutoff]]),DAY(m3_crossvalid[[#This Row],[cutoff]]))</f>
        <v>45930</v>
      </c>
      <c r="B299" s="7">
        <f>DATE(YEAR(m3_crossvalid[[#This Row],[ds]]),MONTH(m3_crossvalid[[#This Row],[ds]]),DAY(m3_crossvalid[[#This Row],[ds]]))</f>
        <v>45949</v>
      </c>
      <c r="C299">
        <v>180</v>
      </c>
      <c r="D299" s="1">
        <v>45949.333333333336</v>
      </c>
      <c r="E299">
        <v>380.98192273918858</v>
      </c>
      <c r="F299">
        <v>-1306.8666297670406</v>
      </c>
      <c r="G299">
        <v>2116.709791049866</v>
      </c>
      <c r="H299" s="1">
        <v>45930.333333333336</v>
      </c>
    </row>
    <row r="300" spans="1:8" x14ac:dyDescent="0.25">
      <c r="A300" s="7">
        <f>DATE(YEAR(m3_crossvalid[[#This Row],[cutoff]]),MONTH(m3_crossvalid[[#This Row],[cutoff]]),DAY(m3_crossvalid[[#This Row],[cutoff]]))</f>
        <v>45930</v>
      </c>
      <c r="B300" s="7">
        <f>DATE(YEAR(m3_crossvalid[[#This Row],[ds]]),MONTH(m3_crossvalid[[#This Row],[ds]]),DAY(m3_crossvalid[[#This Row],[ds]]))</f>
        <v>45950</v>
      </c>
      <c r="C300">
        <v>250</v>
      </c>
      <c r="D300" s="1">
        <v>45950.333333333336</v>
      </c>
      <c r="E300">
        <v>1007.6197255788898</v>
      </c>
      <c r="F300">
        <v>-853.98259634626277</v>
      </c>
      <c r="G300">
        <v>2865.5864117861142</v>
      </c>
      <c r="H300" s="1">
        <v>45930.333333333336</v>
      </c>
    </row>
    <row r="301" spans="1:8" x14ac:dyDescent="0.25">
      <c r="A301" s="7">
        <f>DATE(YEAR(m3_crossvalid[[#This Row],[cutoff]]),MONTH(m3_crossvalid[[#This Row],[cutoff]]),DAY(m3_crossvalid[[#This Row],[cutoff]]))</f>
        <v>45930</v>
      </c>
      <c r="B301" s="7">
        <f>DATE(YEAR(m3_crossvalid[[#This Row],[ds]]),MONTH(m3_crossvalid[[#This Row],[ds]]),DAY(m3_crossvalid[[#This Row],[ds]]))</f>
        <v>45951</v>
      </c>
      <c r="C301">
        <v>2797</v>
      </c>
      <c r="D301" s="1">
        <v>45951.333333333336</v>
      </c>
      <c r="E301">
        <v>2990.2845698960582</v>
      </c>
      <c r="F301">
        <v>1033.2033108590667</v>
      </c>
      <c r="G301">
        <v>4870.6790933773827</v>
      </c>
      <c r="H301" s="1">
        <v>45930.333333333336</v>
      </c>
    </row>
    <row r="302" spans="1:8" x14ac:dyDescent="0.25">
      <c r="A302" s="7">
        <f>DATE(YEAR(m3_crossvalid[[#This Row],[cutoff]]),MONTH(m3_crossvalid[[#This Row],[cutoff]]),DAY(m3_crossvalid[[#This Row],[cutoff]]))</f>
        <v>45930</v>
      </c>
      <c r="B302" s="7">
        <f>DATE(YEAR(m3_crossvalid[[#This Row],[ds]]),MONTH(m3_crossvalid[[#This Row],[ds]]),DAY(m3_crossvalid[[#This Row],[ds]]))</f>
        <v>45952</v>
      </c>
      <c r="C302">
        <v>3644</v>
      </c>
      <c r="D302" s="1">
        <v>45952.333333333336</v>
      </c>
      <c r="E302">
        <v>3199.2888969621176</v>
      </c>
      <c r="F302">
        <v>1342.0435066139908</v>
      </c>
      <c r="G302">
        <v>5189.7385803101424</v>
      </c>
      <c r="H302" s="1">
        <v>45930.333333333336</v>
      </c>
    </row>
    <row r="303" spans="1:8" x14ac:dyDescent="0.25">
      <c r="A303" s="7">
        <f>DATE(YEAR(m3_crossvalid[[#This Row],[cutoff]]),MONTH(m3_crossvalid[[#This Row],[cutoff]]),DAY(m3_crossvalid[[#This Row],[cutoff]]))</f>
        <v>45930</v>
      </c>
      <c r="B303" s="7">
        <f>DATE(YEAR(m3_crossvalid[[#This Row],[ds]]),MONTH(m3_crossvalid[[#This Row],[ds]]),DAY(m3_crossvalid[[#This Row],[ds]]))</f>
        <v>45953</v>
      </c>
      <c r="C303">
        <v>4009</v>
      </c>
      <c r="D303" s="1">
        <v>45953.333333333336</v>
      </c>
      <c r="E303">
        <v>3553.3441264990029</v>
      </c>
      <c r="F303">
        <v>1730.2245011949849</v>
      </c>
      <c r="G303">
        <v>5434.5246637872669</v>
      </c>
      <c r="H303" s="1">
        <v>45930.333333333336</v>
      </c>
    </row>
    <row r="304" spans="1:8" x14ac:dyDescent="0.25">
      <c r="A304" s="7">
        <f>DATE(YEAR(m3_crossvalid[[#This Row],[cutoff]]),MONTH(m3_crossvalid[[#This Row],[cutoff]]),DAY(m3_crossvalid[[#This Row],[cutoff]]))</f>
        <v>45930</v>
      </c>
      <c r="B304" s="7">
        <f>DATE(YEAR(m3_crossvalid[[#This Row],[ds]]),MONTH(m3_crossvalid[[#This Row],[ds]]),DAY(m3_crossvalid[[#This Row],[ds]]))</f>
        <v>45954</v>
      </c>
      <c r="C304">
        <v>4008</v>
      </c>
      <c r="D304" s="1">
        <v>45954.333333333336</v>
      </c>
      <c r="E304">
        <v>3730.5680178017328</v>
      </c>
      <c r="F304">
        <v>1941.9311097588984</v>
      </c>
      <c r="G304">
        <v>5635.5299385826593</v>
      </c>
      <c r="H304" s="1">
        <v>45930.333333333336</v>
      </c>
    </row>
    <row r="305" spans="1:8" x14ac:dyDescent="0.25">
      <c r="A305" s="7">
        <f>DATE(YEAR(m3_crossvalid[[#This Row],[cutoff]]),MONTH(m3_crossvalid[[#This Row],[cutoff]]),DAY(m3_crossvalid[[#This Row],[cutoff]]))</f>
        <v>45930</v>
      </c>
      <c r="B305" s="7">
        <f>DATE(YEAR(m3_crossvalid[[#This Row],[ds]]),MONTH(m3_crossvalid[[#This Row],[ds]]),DAY(m3_crossvalid[[#This Row],[ds]]))</f>
        <v>45955</v>
      </c>
      <c r="C305">
        <v>971</v>
      </c>
      <c r="D305" s="1">
        <v>45955.333333333336</v>
      </c>
      <c r="E305">
        <v>1523.8244307969849</v>
      </c>
      <c r="F305">
        <v>-360.53573686048355</v>
      </c>
      <c r="G305">
        <v>3324.2537296874116</v>
      </c>
      <c r="H305" s="1">
        <v>45930.333333333336</v>
      </c>
    </row>
    <row r="306" spans="1:8" x14ac:dyDescent="0.25">
      <c r="A306" s="7">
        <f>DATE(YEAR(m3_crossvalid[[#This Row],[cutoff]]),MONTH(m3_crossvalid[[#This Row],[cutoff]]),DAY(m3_crossvalid[[#This Row],[cutoff]]))</f>
        <v>45930</v>
      </c>
      <c r="B306" s="7">
        <f>DATE(YEAR(m3_crossvalid[[#This Row],[ds]]),MONTH(m3_crossvalid[[#This Row],[ds]]),DAY(m3_crossvalid[[#This Row],[ds]]))</f>
        <v>45956</v>
      </c>
      <c r="C306">
        <v>238</v>
      </c>
      <c r="D306" s="1">
        <v>45956.333333333336</v>
      </c>
      <c r="E306">
        <v>961.00237263214149</v>
      </c>
      <c r="F306">
        <v>-905.49311103082755</v>
      </c>
      <c r="G306">
        <v>2799.1787245384039</v>
      </c>
      <c r="H306" s="1">
        <v>45930.333333333336</v>
      </c>
    </row>
    <row r="307" spans="1:8" x14ac:dyDescent="0.25">
      <c r="A307" s="7">
        <f>DATE(YEAR(m3_crossvalid[[#This Row],[cutoff]]),MONTH(m3_crossvalid[[#This Row],[cutoff]]),DAY(m3_crossvalid[[#This Row],[cutoff]]))</f>
        <v>45930</v>
      </c>
      <c r="B307" s="7">
        <f>DATE(YEAR(m3_crossvalid[[#This Row],[ds]]),MONTH(m3_crossvalid[[#This Row],[ds]]),DAY(m3_crossvalid[[#This Row],[ds]]))</f>
        <v>45957</v>
      </c>
      <c r="C307">
        <v>4219</v>
      </c>
      <c r="D307" s="1">
        <v>45957.333333333336</v>
      </c>
      <c r="E307">
        <v>3776.1401565402175</v>
      </c>
      <c r="F307">
        <v>1990.678338668718</v>
      </c>
      <c r="G307">
        <v>5452.2262750523487</v>
      </c>
      <c r="H307" s="1">
        <v>45930.333333333336</v>
      </c>
    </row>
    <row r="308" spans="1:8" x14ac:dyDescent="0.25">
      <c r="A308" s="7">
        <f>DATE(YEAR(m3_crossvalid[[#This Row],[cutoff]]),MONTH(m3_crossvalid[[#This Row],[cutoff]]),DAY(m3_crossvalid[[#This Row],[cutoff]]))</f>
        <v>45930</v>
      </c>
      <c r="B308" s="7">
        <f>DATE(YEAR(m3_crossvalid[[#This Row],[ds]]),MONTH(m3_crossvalid[[#This Row],[ds]]),DAY(m3_crossvalid[[#This Row],[ds]]))</f>
        <v>45958</v>
      </c>
      <c r="C308">
        <v>5659</v>
      </c>
      <c r="D308" s="1">
        <v>45958.333333333336</v>
      </c>
      <c r="E308">
        <v>4855.8954030950126</v>
      </c>
      <c r="F308">
        <v>3067.201696104692</v>
      </c>
      <c r="G308">
        <v>6801.0427019626359</v>
      </c>
      <c r="H308" s="1">
        <v>45930.333333333336</v>
      </c>
    </row>
    <row r="309" spans="1:8" x14ac:dyDescent="0.25">
      <c r="A309" s="7">
        <f>DATE(YEAR(m3_crossvalid[[#This Row],[cutoff]]),MONTH(m3_crossvalid[[#This Row],[cutoff]]),DAY(m3_crossvalid[[#This Row],[cutoff]]))</f>
        <v>45930</v>
      </c>
      <c r="B309" s="7">
        <f>DATE(YEAR(m3_crossvalid[[#This Row],[ds]]),MONTH(m3_crossvalid[[#This Row],[ds]]),DAY(m3_crossvalid[[#This Row],[ds]]))</f>
        <v>45959</v>
      </c>
      <c r="C309">
        <v>6381</v>
      </c>
      <c r="D309" s="1">
        <v>45959.333333333336</v>
      </c>
      <c r="E309">
        <v>6075.5639614012398</v>
      </c>
      <c r="F309">
        <v>4254.2564024365711</v>
      </c>
      <c r="G309">
        <v>7819.9972128801573</v>
      </c>
      <c r="H309" s="1">
        <v>45930.333333333336</v>
      </c>
    </row>
    <row r="310" spans="1:8" x14ac:dyDescent="0.25">
      <c r="A310" s="7">
        <f>DATE(YEAR(m3_crossvalid[[#This Row],[cutoff]]),MONTH(m3_crossvalid[[#This Row],[cutoff]]),DAY(m3_crossvalid[[#This Row],[cutoff]]))</f>
        <v>45930</v>
      </c>
      <c r="B310" s="7">
        <f>DATE(YEAR(m3_crossvalid[[#This Row],[ds]]),MONTH(m3_crossvalid[[#This Row],[ds]]),DAY(m3_crossvalid[[#This Row],[ds]]))</f>
        <v>45960</v>
      </c>
      <c r="C310">
        <v>7936</v>
      </c>
      <c r="D310" s="1">
        <v>45960.333333333336</v>
      </c>
      <c r="E310">
        <v>6913.6855582272374</v>
      </c>
      <c r="F310">
        <v>5032.2228776820784</v>
      </c>
      <c r="G310">
        <v>8731.5202791073734</v>
      </c>
      <c r="H310" s="1">
        <v>45930.333333333336</v>
      </c>
    </row>
    <row r="311" spans="1:8" x14ac:dyDescent="0.25">
      <c r="A311" s="7">
        <f>DATE(YEAR(m3_crossvalid[[#This Row],[cutoff]]),MONTH(m3_crossvalid[[#This Row],[cutoff]]),DAY(m3_crossvalid[[#This Row],[cutoff]]))</f>
        <v>45930</v>
      </c>
      <c r="B311" s="7">
        <f>DATE(YEAR(m3_crossvalid[[#This Row],[ds]]),MONTH(m3_crossvalid[[#This Row],[ds]]),DAY(m3_crossvalid[[#This Row],[ds]]))</f>
        <v>45961</v>
      </c>
      <c r="C311">
        <v>13386</v>
      </c>
      <c r="D311" s="1">
        <v>45961.333333333336</v>
      </c>
      <c r="E311">
        <v>6639.1521981268506</v>
      </c>
      <c r="F311">
        <v>4689.3752858878097</v>
      </c>
      <c r="G311">
        <v>8514.3176046088483</v>
      </c>
      <c r="H311" s="1">
        <v>45930.333333333336</v>
      </c>
    </row>
    <row r="312" spans="1:8" x14ac:dyDescent="0.25">
      <c r="A312" s="7">
        <f>DATE(YEAR(m3_crossvalid[[#This Row],[cutoff]]),MONTH(m3_crossvalid[[#This Row],[cutoff]]),DAY(m3_crossvalid[[#This Row],[cutoff]]))</f>
        <v>45961</v>
      </c>
      <c r="B312" s="7">
        <f>DATE(YEAR(m3_crossvalid[[#This Row],[ds]]),MONTH(m3_crossvalid[[#This Row],[ds]]),DAY(m3_crossvalid[[#This Row],[ds]]))</f>
        <v>45962</v>
      </c>
      <c r="C312">
        <v>104</v>
      </c>
      <c r="D312" s="1">
        <v>45962.333333333336</v>
      </c>
      <c r="E312">
        <v>3224.8562226746235</v>
      </c>
      <c r="F312">
        <v>1350.7781476922089</v>
      </c>
      <c r="G312">
        <v>5036.9636187067272</v>
      </c>
      <c r="H312" s="1">
        <v>45961.333333333336</v>
      </c>
    </row>
    <row r="313" spans="1:8" x14ac:dyDescent="0.25">
      <c r="A313" s="7">
        <f>DATE(YEAR(m3_crossvalid[[#This Row],[cutoff]]),MONTH(m3_crossvalid[[#This Row],[cutoff]]),DAY(m3_crossvalid[[#This Row],[cutoff]]))</f>
        <v>45961</v>
      </c>
      <c r="B313" s="7">
        <f>DATE(YEAR(m3_crossvalid[[#This Row],[ds]]),MONTH(m3_crossvalid[[#This Row],[ds]]),DAY(m3_crossvalid[[#This Row],[ds]]))</f>
        <v>45963</v>
      </c>
      <c r="C313">
        <v>32</v>
      </c>
      <c r="D313" s="1">
        <v>45963.333333333336</v>
      </c>
      <c r="E313">
        <v>857.07705457807947</v>
      </c>
      <c r="F313">
        <v>-889.21260835854639</v>
      </c>
      <c r="G313">
        <v>2813.3305068237328</v>
      </c>
      <c r="H313" s="1">
        <v>45961.333333333336</v>
      </c>
    </row>
    <row r="314" spans="1:8" x14ac:dyDescent="0.25">
      <c r="A314" s="7">
        <f>DATE(YEAR(m3_crossvalid[[#This Row],[cutoff]]),MONTH(m3_crossvalid[[#This Row],[cutoff]]),DAY(m3_crossvalid[[#This Row],[cutoff]]))</f>
        <v>45961</v>
      </c>
      <c r="B314" s="7">
        <f>DATE(YEAR(m3_crossvalid[[#This Row],[ds]]),MONTH(m3_crossvalid[[#This Row],[ds]]),DAY(m3_crossvalid[[#This Row],[ds]]))</f>
        <v>45964</v>
      </c>
      <c r="C314">
        <v>607</v>
      </c>
      <c r="D314" s="1">
        <v>45964.333333333336</v>
      </c>
      <c r="E314">
        <v>1898.30424278635</v>
      </c>
      <c r="F314">
        <v>44.380716022663051</v>
      </c>
      <c r="G314">
        <v>3777.2868415477292</v>
      </c>
      <c r="H314" s="1">
        <v>45961.333333333336</v>
      </c>
    </row>
    <row r="315" spans="1:8" x14ac:dyDescent="0.25">
      <c r="A315" s="7">
        <f>DATE(YEAR(m3_crossvalid[[#This Row],[cutoff]]),MONTH(m3_crossvalid[[#This Row],[cutoff]]),DAY(m3_crossvalid[[#This Row],[cutoff]]))</f>
        <v>45961</v>
      </c>
      <c r="B315" s="7">
        <f>DATE(YEAR(m3_crossvalid[[#This Row],[ds]]),MONTH(m3_crossvalid[[#This Row],[ds]]),DAY(m3_crossvalid[[#This Row],[ds]]))</f>
        <v>45965</v>
      </c>
      <c r="C315">
        <v>821</v>
      </c>
      <c r="D315" s="1">
        <v>45965.333333333336</v>
      </c>
      <c r="E315">
        <v>1532.7601342268749</v>
      </c>
      <c r="F315">
        <v>-363.43983353237002</v>
      </c>
      <c r="G315">
        <v>3337.7532912334632</v>
      </c>
      <c r="H315" s="1">
        <v>45961.333333333336</v>
      </c>
    </row>
    <row r="316" spans="1:8" x14ac:dyDescent="0.25">
      <c r="A316" s="7">
        <f>DATE(YEAR(m3_crossvalid[[#This Row],[cutoff]]),MONTH(m3_crossvalid[[#This Row],[cutoff]]),DAY(m3_crossvalid[[#This Row],[cutoff]]))</f>
        <v>45961</v>
      </c>
      <c r="B316" s="7">
        <f>DATE(YEAR(m3_crossvalid[[#This Row],[ds]]),MONTH(m3_crossvalid[[#This Row],[ds]]),DAY(m3_crossvalid[[#This Row],[ds]]))</f>
        <v>45966</v>
      </c>
      <c r="C316">
        <v>1032</v>
      </c>
      <c r="D316" s="1">
        <v>45966.333333333336</v>
      </c>
      <c r="E316">
        <v>1730.519166201057</v>
      </c>
      <c r="F316">
        <v>-254.34741039976788</v>
      </c>
      <c r="G316">
        <v>3589.6557750526135</v>
      </c>
      <c r="H316" s="1">
        <v>45961.333333333336</v>
      </c>
    </row>
    <row r="317" spans="1:8" x14ac:dyDescent="0.25">
      <c r="A317" s="7">
        <f>DATE(YEAR(m3_crossvalid[[#This Row],[cutoff]]),MONTH(m3_crossvalid[[#This Row],[cutoff]]),DAY(m3_crossvalid[[#This Row],[cutoff]]))</f>
        <v>45961</v>
      </c>
      <c r="B317" s="7">
        <f>DATE(YEAR(m3_crossvalid[[#This Row],[ds]]),MONTH(m3_crossvalid[[#This Row],[ds]]),DAY(m3_crossvalid[[#This Row],[ds]]))</f>
        <v>45967</v>
      </c>
      <c r="C317">
        <v>1396</v>
      </c>
      <c r="D317" s="1">
        <v>45967.333333333336</v>
      </c>
      <c r="E317">
        <v>2185.962766679761</v>
      </c>
      <c r="F317">
        <v>251.45493508774877</v>
      </c>
      <c r="G317">
        <v>4005.680653819139</v>
      </c>
      <c r="H317" s="1">
        <v>45961.333333333336</v>
      </c>
    </row>
    <row r="318" spans="1:8" x14ac:dyDescent="0.25">
      <c r="A318" s="7">
        <f>DATE(YEAR(m3_crossvalid[[#This Row],[cutoff]]),MONTH(m3_crossvalid[[#This Row],[cutoff]]),DAY(m3_crossvalid[[#This Row],[cutoff]]))</f>
        <v>45961</v>
      </c>
      <c r="B318" s="7">
        <f>DATE(YEAR(m3_crossvalid[[#This Row],[ds]]),MONTH(m3_crossvalid[[#This Row],[ds]]),DAY(m3_crossvalid[[#This Row],[ds]]))</f>
        <v>45968</v>
      </c>
      <c r="C318">
        <v>1612</v>
      </c>
      <c r="D318" s="1">
        <v>45968.333333333336</v>
      </c>
      <c r="E318">
        <v>2325.3002154530309</v>
      </c>
      <c r="F318">
        <v>484.46163471980651</v>
      </c>
      <c r="G318">
        <v>4165.2997539789612</v>
      </c>
      <c r="H318" s="1">
        <v>45961.333333333336</v>
      </c>
    </row>
    <row r="319" spans="1:8" x14ac:dyDescent="0.25">
      <c r="A319" s="7">
        <f>DATE(YEAR(m3_crossvalid[[#This Row],[cutoff]]),MONTH(m3_crossvalid[[#This Row],[cutoff]]),DAY(m3_crossvalid[[#This Row],[cutoff]]))</f>
        <v>45961</v>
      </c>
      <c r="B319" s="7">
        <f>DATE(YEAR(m3_crossvalid[[#This Row],[ds]]),MONTH(m3_crossvalid[[#This Row],[ds]]),DAY(m3_crossvalid[[#This Row],[ds]]))</f>
        <v>45969</v>
      </c>
      <c r="C319">
        <v>206</v>
      </c>
      <c r="D319" s="1">
        <v>45969.333333333336</v>
      </c>
      <c r="E319">
        <v>-49.487644382764302</v>
      </c>
      <c r="F319">
        <v>-2064.0578886150493</v>
      </c>
      <c r="G319">
        <v>1765.9933059175314</v>
      </c>
      <c r="H319" s="1">
        <v>45961.333333333336</v>
      </c>
    </row>
    <row r="320" spans="1:8" x14ac:dyDescent="0.25">
      <c r="A320" s="7">
        <f>DATE(YEAR(m3_crossvalid[[#This Row],[cutoff]]),MONTH(m3_crossvalid[[#This Row],[cutoff]]),DAY(m3_crossvalid[[#This Row],[cutoff]]))</f>
        <v>45961</v>
      </c>
      <c r="B320" s="7">
        <f>DATE(YEAR(m3_crossvalid[[#This Row],[ds]]),MONTH(m3_crossvalid[[#This Row],[ds]]),DAY(m3_crossvalid[[#This Row],[ds]]))</f>
        <v>45970</v>
      </c>
      <c r="C320">
        <v>95</v>
      </c>
      <c r="D320" s="1">
        <v>45970.333333333336</v>
      </c>
      <c r="E320">
        <v>-693.99229510278292</v>
      </c>
      <c r="F320">
        <v>-2622.1127856843787</v>
      </c>
      <c r="G320">
        <v>1186.2558165151206</v>
      </c>
      <c r="H320" s="1">
        <v>45961.333333333336</v>
      </c>
    </row>
    <row r="321" spans="1:8" x14ac:dyDescent="0.25">
      <c r="A321" s="7">
        <f>DATE(YEAR(m3_crossvalid[[#This Row],[cutoff]]),MONTH(m3_crossvalid[[#This Row],[cutoff]]),DAY(m3_crossvalid[[#This Row],[cutoff]]))</f>
        <v>45961</v>
      </c>
      <c r="B321" s="7">
        <f>DATE(YEAR(m3_crossvalid[[#This Row],[ds]]),MONTH(m3_crossvalid[[#This Row],[ds]]),DAY(m3_crossvalid[[#This Row],[ds]]))</f>
        <v>45971</v>
      </c>
      <c r="C321">
        <v>1552</v>
      </c>
      <c r="D321" s="1">
        <v>45971.333333333336</v>
      </c>
      <c r="E321">
        <v>1961.156916123537</v>
      </c>
      <c r="F321">
        <v>61.61901360615019</v>
      </c>
      <c r="G321">
        <v>3864.9937532413855</v>
      </c>
      <c r="H321" s="1">
        <v>45961.333333333336</v>
      </c>
    </row>
    <row r="322" spans="1:8" x14ac:dyDescent="0.25">
      <c r="A322" s="7">
        <f>DATE(YEAR(m3_crossvalid[[#This Row],[cutoff]]),MONTH(m3_crossvalid[[#This Row],[cutoff]]),DAY(m3_crossvalid[[#This Row],[cutoff]]))</f>
        <v>45961</v>
      </c>
      <c r="B322" s="7">
        <f>DATE(YEAR(m3_crossvalid[[#This Row],[ds]]),MONTH(m3_crossvalid[[#This Row],[ds]]),DAY(m3_crossvalid[[#This Row],[ds]]))</f>
        <v>45972</v>
      </c>
      <c r="C322">
        <v>1937</v>
      </c>
      <c r="D322" s="1">
        <v>45972.333333333336</v>
      </c>
      <c r="E322">
        <v>2541.2683394878359</v>
      </c>
      <c r="F322">
        <v>701.89543714589092</v>
      </c>
      <c r="G322">
        <v>4427.4756421817947</v>
      </c>
      <c r="H322" s="1">
        <v>45961.333333333336</v>
      </c>
    </row>
    <row r="323" spans="1:8" x14ac:dyDescent="0.25">
      <c r="A323" s="7">
        <f>DATE(YEAR(m3_crossvalid[[#This Row],[cutoff]]),MONTH(m3_crossvalid[[#This Row],[cutoff]]),DAY(m3_crossvalid[[#This Row],[cutoff]]))</f>
        <v>45961</v>
      </c>
      <c r="B323" s="7">
        <f>DATE(YEAR(m3_crossvalid[[#This Row],[ds]]),MONTH(m3_crossvalid[[#This Row],[ds]]),DAY(m3_crossvalid[[#This Row],[ds]]))</f>
        <v>45973</v>
      </c>
      <c r="C323">
        <v>2198</v>
      </c>
      <c r="D323" s="1">
        <v>45973.333333333336</v>
      </c>
      <c r="E323">
        <v>2863.5717509813394</v>
      </c>
      <c r="F323">
        <v>703.15109462731698</v>
      </c>
      <c r="G323">
        <v>4784.8155330051259</v>
      </c>
      <c r="H323" s="1">
        <v>45961.333333333336</v>
      </c>
    </row>
    <row r="324" spans="1:8" x14ac:dyDescent="0.25">
      <c r="A324" s="7">
        <f>DATE(YEAR(m3_crossvalid[[#This Row],[cutoff]]),MONTH(m3_crossvalid[[#This Row],[cutoff]]),DAY(m3_crossvalid[[#This Row],[cutoff]]))</f>
        <v>45961</v>
      </c>
      <c r="B324" s="7">
        <f>DATE(YEAR(m3_crossvalid[[#This Row],[ds]]),MONTH(m3_crossvalid[[#This Row],[ds]]),DAY(m3_crossvalid[[#This Row],[ds]]))</f>
        <v>45974</v>
      </c>
      <c r="C324">
        <v>2401</v>
      </c>
      <c r="D324" s="1">
        <v>45974.333333333336</v>
      </c>
      <c r="E324">
        <v>2956.0983390926926</v>
      </c>
      <c r="F324">
        <v>1008.9219019508362</v>
      </c>
      <c r="G324">
        <v>4862.0817282011158</v>
      </c>
      <c r="H324" s="1">
        <v>45961.333333333336</v>
      </c>
    </row>
    <row r="325" spans="1:8" x14ac:dyDescent="0.25">
      <c r="A325" s="7">
        <f>DATE(YEAR(m3_crossvalid[[#This Row],[cutoff]]),MONTH(m3_crossvalid[[#This Row],[cutoff]]),DAY(m3_crossvalid[[#This Row],[cutoff]]))</f>
        <v>45961</v>
      </c>
      <c r="B325" s="7">
        <f>DATE(YEAR(m3_crossvalid[[#This Row],[ds]]),MONTH(m3_crossvalid[[#This Row],[ds]]),DAY(m3_crossvalid[[#This Row],[ds]]))</f>
        <v>45975</v>
      </c>
      <c r="C325">
        <v>2547</v>
      </c>
      <c r="D325" s="1">
        <v>45975.333333333336</v>
      </c>
      <c r="E325">
        <v>2775.9535181847596</v>
      </c>
      <c r="F325">
        <v>959.40464997219124</v>
      </c>
      <c r="G325">
        <v>4610.2116565951846</v>
      </c>
      <c r="H325" s="1">
        <v>45961.333333333336</v>
      </c>
    </row>
    <row r="326" spans="1:8" x14ac:dyDescent="0.25">
      <c r="A326" s="7">
        <f>DATE(YEAR(m3_crossvalid[[#This Row],[cutoff]]),MONTH(m3_crossvalid[[#This Row],[cutoff]]),DAY(m3_crossvalid[[#This Row],[cutoff]]))</f>
        <v>45961</v>
      </c>
      <c r="B326" s="7">
        <f>DATE(YEAR(m3_crossvalid[[#This Row],[ds]]),MONTH(m3_crossvalid[[#This Row],[ds]]),DAY(m3_crossvalid[[#This Row],[ds]]))</f>
        <v>45976</v>
      </c>
      <c r="C326">
        <v>773</v>
      </c>
      <c r="D326" s="1">
        <v>45976.333333333336</v>
      </c>
      <c r="E326">
        <v>431.83923109695479</v>
      </c>
      <c r="F326">
        <v>-1454.8727702782048</v>
      </c>
      <c r="G326">
        <v>2261.4095110124322</v>
      </c>
      <c r="H326" s="1">
        <v>45961.333333333336</v>
      </c>
    </row>
    <row r="327" spans="1:8" x14ac:dyDescent="0.25">
      <c r="A327" s="7">
        <f>DATE(YEAR(m3_crossvalid[[#This Row],[cutoff]]),MONTH(m3_crossvalid[[#This Row],[cutoff]]),DAY(m3_crossvalid[[#This Row],[cutoff]]))</f>
        <v>45961</v>
      </c>
      <c r="B327" s="7">
        <f>DATE(YEAR(m3_crossvalid[[#This Row],[ds]]),MONTH(m3_crossvalid[[#This Row],[ds]]),DAY(m3_crossvalid[[#This Row],[ds]]))</f>
        <v>45977</v>
      </c>
      <c r="C327">
        <v>113</v>
      </c>
      <c r="D327" s="1">
        <v>45977.333333333336</v>
      </c>
      <c r="E327">
        <v>55.73289104107198</v>
      </c>
      <c r="F327">
        <v>-1748.4082568833192</v>
      </c>
      <c r="G327">
        <v>1873.1392171108823</v>
      </c>
      <c r="H327" s="1">
        <v>45961.333333333336</v>
      </c>
    </row>
    <row r="328" spans="1:8" x14ac:dyDescent="0.25">
      <c r="A328" s="7">
        <f>DATE(YEAR(m3_crossvalid[[#This Row],[cutoff]]),MONTH(m3_crossvalid[[#This Row],[cutoff]]),DAY(m3_crossvalid[[#This Row],[cutoff]]))</f>
        <v>45961</v>
      </c>
      <c r="B328" s="7">
        <f>DATE(YEAR(m3_crossvalid[[#This Row],[ds]]),MONTH(m3_crossvalid[[#This Row],[ds]]),DAY(m3_crossvalid[[#This Row],[ds]]))</f>
        <v>45978</v>
      </c>
      <c r="C328">
        <v>2849</v>
      </c>
      <c r="D328" s="1">
        <v>45978.333333333336</v>
      </c>
      <c r="E328">
        <v>2870.0018370879679</v>
      </c>
      <c r="F328">
        <v>1055.6305952447819</v>
      </c>
      <c r="G328">
        <v>4676.2653970562278</v>
      </c>
      <c r="H328" s="1">
        <v>45961.333333333336</v>
      </c>
    </row>
    <row r="329" spans="1:8" x14ac:dyDescent="0.25">
      <c r="A329" s="7">
        <f>DATE(YEAR(m3_crossvalid[[#This Row],[cutoff]]),MONTH(m3_crossvalid[[#This Row],[cutoff]]),DAY(m3_crossvalid[[#This Row],[cutoff]]))</f>
        <v>45961</v>
      </c>
      <c r="B329" s="7">
        <f>DATE(YEAR(m3_crossvalid[[#This Row],[ds]]),MONTH(m3_crossvalid[[#This Row],[ds]]),DAY(m3_crossvalid[[#This Row],[ds]]))</f>
        <v>45979</v>
      </c>
      <c r="C329">
        <v>3351</v>
      </c>
      <c r="D329" s="1">
        <v>45979.333333333336</v>
      </c>
      <c r="E329">
        <v>3290.4510624660793</v>
      </c>
      <c r="F329">
        <v>1572.8532585282842</v>
      </c>
      <c r="G329">
        <v>5154.1605670205581</v>
      </c>
      <c r="H329" s="1">
        <v>45961.333333333336</v>
      </c>
    </row>
    <row r="330" spans="1:8" x14ac:dyDescent="0.25">
      <c r="A330" s="7">
        <f>DATE(YEAR(m3_crossvalid[[#This Row],[cutoff]]),MONTH(m3_crossvalid[[#This Row],[cutoff]]),DAY(m3_crossvalid[[#This Row],[cutoff]]))</f>
        <v>45961</v>
      </c>
      <c r="B330" s="7">
        <f>DATE(YEAR(m3_crossvalid[[#This Row],[ds]]),MONTH(m3_crossvalid[[#This Row],[ds]]),DAY(m3_crossvalid[[#This Row],[ds]]))</f>
        <v>45980</v>
      </c>
      <c r="C330">
        <v>3248</v>
      </c>
      <c r="D330" s="1">
        <v>45980.333333333336</v>
      </c>
      <c r="E330">
        <v>3267.1943596617493</v>
      </c>
      <c r="F330">
        <v>1566.1804467269656</v>
      </c>
      <c r="G330">
        <v>5227.4158833412985</v>
      </c>
      <c r="H330" s="1">
        <v>45961.333333333336</v>
      </c>
    </row>
    <row r="331" spans="1:8" x14ac:dyDescent="0.25">
      <c r="A331" s="7">
        <f>DATE(YEAR(m3_crossvalid[[#This Row],[cutoff]]),MONTH(m3_crossvalid[[#This Row],[cutoff]]),DAY(m3_crossvalid[[#This Row],[cutoff]]))</f>
        <v>45961</v>
      </c>
      <c r="B331" s="7">
        <f>DATE(YEAR(m3_crossvalid[[#This Row],[ds]]),MONTH(m3_crossvalid[[#This Row],[ds]]),DAY(m3_crossvalid[[#This Row],[ds]]))</f>
        <v>45981</v>
      </c>
      <c r="C331">
        <v>3581</v>
      </c>
      <c r="D331" s="1">
        <v>45981.333333333336</v>
      </c>
      <c r="E331">
        <v>3157.9930393204995</v>
      </c>
      <c r="F331">
        <v>1319.4781102213633</v>
      </c>
      <c r="G331">
        <v>4982.2860202778047</v>
      </c>
      <c r="H331" s="1">
        <v>45961.333333333336</v>
      </c>
    </row>
    <row r="332" spans="1:8" x14ac:dyDescent="0.25">
      <c r="A332" s="7">
        <f>DATE(YEAR(m3_crossvalid[[#This Row],[cutoff]]),MONTH(m3_crossvalid[[#This Row],[cutoff]]),DAY(m3_crossvalid[[#This Row],[cutoff]]))</f>
        <v>45961</v>
      </c>
      <c r="B332" s="7">
        <f>DATE(YEAR(m3_crossvalid[[#This Row],[ds]]),MONTH(m3_crossvalid[[#This Row],[ds]]),DAY(m3_crossvalid[[#This Row],[ds]]))</f>
        <v>45982</v>
      </c>
      <c r="C332">
        <v>3622</v>
      </c>
      <c r="D332" s="1">
        <v>45982.333333333336</v>
      </c>
      <c r="E332">
        <v>3107.7015385502536</v>
      </c>
      <c r="F332">
        <v>1262.2516359876181</v>
      </c>
      <c r="G332">
        <v>5054.0323449291027</v>
      </c>
      <c r="H332" s="1">
        <v>45961.333333333336</v>
      </c>
    </row>
    <row r="333" spans="1:8" x14ac:dyDescent="0.25">
      <c r="A333" s="7">
        <f>DATE(YEAR(m3_crossvalid[[#This Row],[cutoff]]),MONTH(m3_crossvalid[[#This Row],[cutoff]]),DAY(m3_crossvalid[[#This Row],[cutoff]]))</f>
        <v>45961</v>
      </c>
      <c r="B333" s="7">
        <f>DATE(YEAR(m3_crossvalid[[#This Row],[ds]]),MONTH(m3_crossvalid[[#This Row],[ds]]),DAY(m3_crossvalid[[#This Row],[ds]]))</f>
        <v>45983</v>
      </c>
      <c r="C333">
        <v>783</v>
      </c>
      <c r="D333" s="1">
        <v>45983.333333333336</v>
      </c>
      <c r="E333">
        <v>1079.8276343824828</v>
      </c>
      <c r="F333">
        <v>-781.04893954214867</v>
      </c>
      <c r="G333">
        <v>2878.1518818306463</v>
      </c>
      <c r="H333" s="1">
        <v>45961.333333333336</v>
      </c>
    </row>
    <row r="334" spans="1:8" x14ac:dyDescent="0.25">
      <c r="A334" s="7">
        <f>DATE(YEAR(m3_crossvalid[[#This Row],[cutoff]]),MONTH(m3_crossvalid[[#This Row],[cutoff]]),DAY(m3_crossvalid[[#This Row],[cutoff]]))</f>
        <v>45961</v>
      </c>
      <c r="B334" s="7">
        <f>DATE(YEAR(m3_crossvalid[[#This Row],[ds]]),MONTH(m3_crossvalid[[#This Row],[ds]]),DAY(m3_crossvalid[[#This Row],[ds]]))</f>
        <v>45984</v>
      </c>
      <c r="C334">
        <v>188</v>
      </c>
      <c r="D334" s="1">
        <v>45984.333333333336</v>
      </c>
      <c r="E334">
        <v>878.7752782961395</v>
      </c>
      <c r="F334">
        <v>-1036.0289000847918</v>
      </c>
      <c r="G334">
        <v>2660.1343150884113</v>
      </c>
      <c r="H334" s="1">
        <v>45961.333333333336</v>
      </c>
    </row>
    <row r="335" spans="1:8" x14ac:dyDescent="0.25">
      <c r="A335" s="7">
        <f>DATE(YEAR(m3_crossvalid[[#This Row],[cutoff]]),MONTH(m3_crossvalid[[#This Row],[cutoff]]),DAY(m3_crossvalid[[#This Row],[cutoff]]))</f>
        <v>45961</v>
      </c>
      <c r="B335" s="7">
        <f>DATE(YEAR(m3_crossvalid[[#This Row],[ds]]),MONTH(m3_crossvalid[[#This Row],[ds]]),DAY(m3_crossvalid[[#This Row],[ds]]))</f>
        <v>45985</v>
      </c>
      <c r="C335">
        <v>3515</v>
      </c>
      <c r="D335" s="1">
        <v>45985.333333333336</v>
      </c>
      <c r="E335">
        <v>3566.2740850845853</v>
      </c>
      <c r="F335">
        <v>1667.7011597788555</v>
      </c>
      <c r="G335">
        <v>5450.6853013163991</v>
      </c>
      <c r="H335" s="1">
        <v>45961.333333333336</v>
      </c>
    </row>
    <row r="336" spans="1:8" x14ac:dyDescent="0.25">
      <c r="A336" s="7">
        <f>DATE(YEAR(m3_crossvalid[[#This Row],[cutoff]]),MONTH(m3_crossvalid[[#This Row],[cutoff]]),DAY(m3_crossvalid[[#This Row],[cutoff]]))</f>
        <v>45961</v>
      </c>
      <c r="B336" s="7">
        <f>DATE(YEAR(m3_crossvalid[[#This Row],[ds]]),MONTH(m3_crossvalid[[#This Row],[ds]]),DAY(m3_crossvalid[[#This Row],[ds]]))</f>
        <v>45986</v>
      </c>
      <c r="C336">
        <v>4824</v>
      </c>
      <c r="D336" s="1">
        <v>45986.333333333336</v>
      </c>
      <c r="E336">
        <v>3768.1860173004525</v>
      </c>
      <c r="F336">
        <v>1924.3552142902449</v>
      </c>
      <c r="G336">
        <v>5775.2638063131872</v>
      </c>
      <c r="H336" s="1">
        <v>45961.333333333336</v>
      </c>
    </row>
    <row r="337" spans="1:8" x14ac:dyDescent="0.25">
      <c r="A337" s="7">
        <f>DATE(YEAR(m3_crossvalid[[#This Row],[cutoff]]),MONTH(m3_crossvalid[[#This Row],[cutoff]]),DAY(m3_crossvalid[[#This Row],[cutoff]]))</f>
        <v>45961</v>
      </c>
      <c r="B337" s="7">
        <f>DATE(YEAR(m3_crossvalid[[#This Row],[ds]]),MONTH(m3_crossvalid[[#This Row],[ds]]),DAY(m3_crossvalid[[#This Row],[ds]]))</f>
        <v>45987</v>
      </c>
      <c r="C337">
        <v>5463</v>
      </c>
      <c r="D337" s="1">
        <v>45987.333333333336</v>
      </c>
      <c r="E337">
        <v>3857.9960673904693</v>
      </c>
      <c r="F337">
        <v>2063.2219793292957</v>
      </c>
      <c r="G337">
        <v>5712.3656113922525</v>
      </c>
      <c r="H337" s="1">
        <v>45961.333333333336</v>
      </c>
    </row>
    <row r="338" spans="1:8" x14ac:dyDescent="0.25">
      <c r="A338" s="7">
        <f>DATE(YEAR(m3_crossvalid[[#This Row],[cutoff]]),MONTH(m3_crossvalid[[#This Row],[cutoff]]),DAY(m3_crossvalid[[#This Row],[cutoff]]))</f>
        <v>45961</v>
      </c>
      <c r="B338" s="7">
        <f>DATE(YEAR(m3_crossvalid[[#This Row],[ds]]),MONTH(m3_crossvalid[[#This Row],[ds]]),DAY(m3_crossvalid[[#This Row],[ds]]))</f>
        <v>45988</v>
      </c>
      <c r="C338">
        <v>7236</v>
      </c>
      <c r="D338" s="1">
        <v>45988.333333333336</v>
      </c>
      <c r="E338">
        <v>4435.2959626045194</v>
      </c>
      <c r="F338">
        <v>2503.5171948841612</v>
      </c>
      <c r="G338">
        <v>6327.963141302529</v>
      </c>
      <c r="H338" s="1">
        <v>45961.333333333336</v>
      </c>
    </row>
    <row r="339" spans="1:8" x14ac:dyDescent="0.25">
      <c r="A339" s="7">
        <f>DATE(YEAR(m3_crossvalid[[#This Row],[cutoff]]),MONTH(m3_crossvalid[[#This Row],[cutoff]]),DAY(m3_crossvalid[[#This Row],[cutoff]]))</f>
        <v>45961</v>
      </c>
      <c r="B339" s="7">
        <f>DATE(YEAR(m3_crossvalid[[#This Row],[ds]]),MONTH(m3_crossvalid[[#This Row],[ds]]),DAY(m3_crossvalid[[#This Row],[ds]]))</f>
        <v>45989</v>
      </c>
      <c r="C339">
        <v>10013</v>
      </c>
      <c r="D339" s="1">
        <v>45989.333333333336</v>
      </c>
      <c r="E339">
        <v>5426.1146720256311</v>
      </c>
      <c r="F339">
        <v>3560.9183508706569</v>
      </c>
      <c r="G339">
        <v>7359.4976349976168</v>
      </c>
      <c r="H339" s="1">
        <v>45961.333333333336</v>
      </c>
    </row>
    <row r="340" spans="1:8" x14ac:dyDescent="0.25">
      <c r="A340" s="7">
        <f>DATE(YEAR(m3_crossvalid[[#This Row],[cutoff]]),MONTH(m3_crossvalid[[#This Row],[cutoff]]),DAY(m3_crossvalid[[#This Row],[cutoff]]))</f>
        <v>45961</v>
      </c>
      <c r="B340" s="7">
        <f>DATE(YEAR(m3_crossvalid[[#This Row],[ds]]),MONTH(m3_crossvalid[[#This Row],[ds]]),DAY(m3_crossvalid[[#This Row],[ds]]))</f>
        <v>45990</v>
      </c>
      <c r="C340">
        <v>8210</v>
      </c>
      <c r="D340" s="1">
        <v>45990.333333333336</v>
      </c>
      <c r="E340">
        <v>4208.2957509451262</v>
      </c>
      <c r="F340">
        <v>2237.7951992664634</v>
      </c>
      <c r="G340">
        <v>6036.0262121364285</v>
      </c>
      <c r="H340" s="1">
        <v>45961.333333333336</v>
      </c>
    </row>
    <row r="341" spans="1:8" x14ac:dyDescent="0.25">
      <c r="A341" s="7">
        <f>DATE(YEAR(m3_crossvalid[[#This Row],[cutoff]]),MONTH(m3_crossvalid[[#This Row],[cutoff]]),DAY(m3_crossvalid[[#This Row],[cutoff]]))</f>
        <v>45961</v>
      </c>
      <c r="B341" s="7">
        <f>DATE(YEAR(m3_crossvalid[[#This Row],[ds]]),MONTH(m3_crossvalid[[#This Row],[ds]]),DAY(m3_crossvalid[[#This Row],[ds]]))</f>
        <v>45991</v>
      </c>
      <c r="C341">
        <v>3567</v>
      </c>
      <c r="D341" s="1">
        <v>45991.333333333336</v>
      </c>
      <c r="E341">
        <v>4027.582272037117</v>
      </c>
      <c r="F341">
        <v>2251.9094660441956</v>
      </c>
      <c r="G341">
        <v>5878.2591737019657</v>
      </c>
      <c r="H341" s="1">
        <v>45961.333333333336</v>
      </c>
    </row>
    <row r="342" spans="1:8" x14ac:dyDescent="0.25">
      <c r="A342" s="7">
        <f>DATE(YEAR(m3_crossvalid[[#This Row],[cutoff]]),MONTH(m3_crossvalid[[#This Row],[cutoff]]),DAY(m3_crossvalid[[#This Row],[cutoff]]))</f>
        <v>45961</v>
      </c>
      <c r="B342" s="7">
        <f>DATE(YEAR(m3_crossvalid[[#This Row],[ds]]),MONTH(m3_crossvalid[[#This Row],[ds]]),DAY(m3_crossvalid[[#This Row],[ds]]))</f>
        <v>45992</v>
      </c>
      <c r="C342">
        <v>659</v>
      </c>
      <c r="D342" s="1">
        <v>45992.333333333336</v>
      </c>
      <c r="E342">
        <v>5778.7324564424944</v>
      </c>
      <c r="F342">
        <v>4039.2870473192829</v>
      </c>
      <c r="G342">
        <v>7619.3542374342705</v>
      </c>
      <c r="H342" s="1">
        <v>45961.333333333336</v>
      </c>
    </row>
    <row r="343" spans="1:8" x14ac:dyDescent="0.25">
      <c r="A343" s="7">
        <f>DATE(YEAR(m3_crossvalid[[#This Row],[cutoff]]),MONTH(m3_crossvalid[[#This Row],[cutoff]]),DAY(m3_crossvalid[[#This Row],[cutoff]]))</f>
        <v>45991</v>
      </c>
      <c r="B343" s="7">
        <f>DATE(YEAR(m3_crossvalid[[#This Row],[ds]]),MONTH(m3_crossvalid[[#This Row],[ds]]),DAY(m3_crossvalid[[#This Row],[ds]]))</f>
        <v>45992</v>
      </c>
      <c r="C343">
        <v>659</v>
      </c>
      <c r="D343" s="1">
        <v>45992.333333333336</v>
      </c>
      <c r="E343">
        <v>5975.1185361763637</v>
      </c>
      <c r="F343">
        <v>4024.8666735609982</v>
      </c>
      <c r="G343">
        <v>7841.591300875898</v>
      </c>
      <c r="H343" s="1">
        <v>45991.333333333336</v>
      </c>
    </row>
    <row r="344" spans="1:8" x14ac:dyDescent="0.25">
      <c r="A344" s="7">
        <f>DATE(YEAR(m3_crossvalid[[#This Row],[cutoff]]),MONTH(m3_crossvalid[[#This Row],[cutoff]]),DAY(m3_crossvalid[[#This Row],[cutoff]]))</f>
        <v>45991</v>
      </c>
      <c r="B344" s="7">
        <f>DATE(YEAR(m3_crossvalid[[#This Row],[ds]]),MONTH(m3_crossvalid[[#This Row],[ds]]),DAY(m3_crossvalid[[#This Row],[ds]]))</f>
        <v>45993</v>
      </c>
      <c r="C344">
        <v>963</v>
      </c>
      <c r="D344" s="1">
        <v>45993.333333333336</v>
      </c>
      <c r="E344">
        <v>4550.8802343907846</v>
      </c>
      <c r="F344">
        <v>2727.1493512573552</v>
      </c>
      <c r="G344">
        <v>6470.0070740017909</v>
      </c>
      <c r="H344" s="1">
        <v>45991.333333333336</v>
      </c>
    </row>
    <row r="345" spans="1:8" x14ac:dyDescent="0.25">
      <c r="A345" s="7">
        <f>DATE(YEAR(m3_crossvalid[[#This Row],[cutoff]]),MONTH(m3_crossvalid[[#This Row],[cutoff]]),DAY(m3_crossvalid[[#This Row],[cutoff]]))</f>
        <v>45991</v>
      </c>
      <c r="B345" s="7">
        <f>DATE(YEAR(m3_crossvalid[[#This Row],[ds]]),MONTH(m3_crossvalid[[#This Row],[ds]]),DAY(m3_crossvalid[[#This Row],[ds]]))</f>
        <v>45994</v>
      </c>
      <c r="C345">
        <v>1248</v>
      </c>
      <c r="D345" s="1">
        <v>45994.333333333336</v>
      </c>
      <c r="E345">
        <v>2824.6514199056091</v>
      </c>
      <c r="F345">
        <v>1010.1209646883564</v>
      </c>
      <c r="G345">
        <v>4754.0463220205984</v>
      </c>
      <c r="H345" s="1">
        <v>45991.333333333336</v>
      </c>
    </row>
    <row r="346" spans="1:8" x14ac:dyDescent="0.25">
      <c r="A346" s="7">
        <f>DATE(YEAR(m3_crossvalid[[#This Row],[cutoff]]),MONTH(m3_crossvalid[[#This Row],[cutoff]]),DAY(m3_crossvalid[[#This Row],[cutoff]]))</f>
        <v>45991</v>
      </c>
      <c r="B346" s="7">
        <f>DATE(YEAR(m3_crossvalid[[#This Row],[ds]]),MONTH(m3_crossvalid[[#This Row],[ds]]),DAY(m3_crossvalid[[#This Row],[ds]]))</f>
        <v>45995</v>
      </c>
      <c r="C346">
        <v>1462</v>
      </c>
      <c r="D346" s="1">
        <v>45995.333333333336</v>
      </c>
      <c r="E346">
        <v>1787.7916320110405</v>
      </c>
      <c r="F346">
        <v>0.54178052423557133</v>
      </c>
      <c r="G346">
        <v>3764.3655354474236</v>
      </c>
      <c r="H346" s="1">
        <v>45991.333333333336</v>
      </c>
    </row>
    <row r="347" spans="1:8" x14ac:dyDescent="0.25">
      <c r="A347" s="7">
        <f>DATE(YEAR(m3_crossvalid[[#This Row],[cutoff]]),MONTH(m3_crossvalid[[#This Row],[cutoff]]),DAY(m3_crossvalid[[#This Row],[cutoff]]))</f>
        <v>45991</v>
      </c>
      <c r="B347" s="7">
        <f>DATE(YEAR(m3_crossvalid[[#This Row],[ds]]),MONTH(m3_crossvalid[[#This Row],[ds]]),DAY(m3_crossvalid[[#This Row],[ds]]))</f>
        <v>45996</v>
      </c>
      <c r="C347">
        <v>1441</v>
      </c>
      <c r="D347" s="1">
        <v>45996.333333333336</v>
      </c>
      <c r="E347">
        <v>1554.83309878816</v>
      </c>
      <c r="F347">
        <v>-435.04684819151305</v>
      </c>
      <c r="G347">
        <v>3426.7833762306414</v>
      </c>
      <c r="H347" s="1">
        <v>45991.333333333336</v>
      </c>
    </row>
    <row r="348" spans="1:8" x14ac:dyDescent="0.25">
      <c r="A348" s="7">
        <f>DATE(YEAR(m3_crossvalid[[#This Row],[cutoff]]),MONTH(m3_crossvalid[[#This Row],[cutoff]]),DAY(m3_crossvalid[[#This Row],[cutoff]]))</f>
        <v>45991</v>
      </c>
      <c r="B348" s="7">
        <f>DATE(YEAR(m3_crossvalid[[#This Row],[ds]]),MONTH(m3_crossvalid[[#This Row],[ds]]),DAY(m3_crossvalid[[#This Row],[ds]]))</f>
        <v>45997</v>
      </c>
      <c r="C348">
        <v>380</v>
      </c>
      <c r="D348" s="1">
        <v>45997.333333333336</v>
      </c>
      <c r="E348">
        <v>-374.02205991868095</v>
      </c>
      <c r="F348">
        <v>-2251.3359679447858</v>
      </c>
      <c r="G348">
        <v>1449.2822520859879</v>
      </c>
      <c r="H348" s="1">
        <v>45991.333333333336</v>
      </c>
    </row>
    <row r="349" spans="1:8" x14ac:dyDescent="0.25">
      <c r="A349" s="7">
        <f>DATE(YEAR(m3_crossvalid[[#This Row],[cutoff]]),MONTH(m3_crossvalid[[#This Row],[cutoff]]),DAY(m3_crossvalid[[#This Row],[cutoff]]))</f>
        <v>45991</v>
      </c>
      <c r="B349" s="7">
        <f>DATE(YEAR(m3_crossvalid[[#This Row],[ds]]),MONTH(m3_crossvalid[[#This Row],[ds]]),DAY(m3_crossvalid[[#This Row],[ds]]))</f>
        <v>45998</v>
      </c>
      <c r="C349">
        <v>59</v>
      </c>
      <c r="D349" s="1">
        <v>45998.333333333336</v>
      </c>
      <c r="E349">
        <v>-543.33219877622332</v>
      </c>
      <c r="F349">
        <v>-2327.4117683559775</v>
      </c>
      <c r="G349">
        <v>1434.4161831393203</v>
      </c>
      <c r="H349" s="1">
        <v>45991.333333333336</v>
      </c>
    </row>
    <row r="350" spans="1:8" x14ac:dyDescent="0.25">
      <c r="A350" s="7">
        <f>DATE(YEAR(m3_crossvalid[[#This Row],[cutoff]]),MONTH(m3_crossvalid[[#This Row],[cutoff]]),DAY(m3_crossvalid[[#This Row],[cutoff]]))</f>
        <v>45991</v>
      </c>
      <c r="B350" s="7">
        <f>DATE(YEAR(m3_crossvalid[[#This Row],[ds]]),MONTH(m3_crossvalid[[#This Row],[ds]]),DAY(m3_crossvalid[[#This Row],[ds]]))</f>
        <v>45999</v>
      </c>
      <c r="C350">
        <v>1698</v>
      </c>
      <c r="D350" s="1">
        <v>45999.333333333336</v>
      </c>
      <c r="E350">
        <v>2072.1475210489725</v>
      </c>
      <c r="F350">
        <v>124.48349261843198</v>
      </c>
      <c r="G350">
        <v>3968.6956697955266</v>
      </c>
      <c r="H350" s="1">
        <v>45991.333333333336</v>
      </c>
    </row>
    <row r="351" spans="1:8" x14ac:dyDescent="0.25">
      <c r="A351" s="7">
        <f>DATE(YEAR(m3_crossvalid[[#This Row],[cutoff]]),MONTH(m3_crossvalid[[#This Row],[cutoff]]),DAY(m3_crossvalid[[#This Row],[cutoff]]))</f>
        <v>45991</v>
      </c>
      <c r="B351" s="7">
        <f>DATE(YEAR(m3_crossvalid[[#This Row],[ds]]),MONTH(m3_crossvalid[[#This Row],[ds]]),DAY(m3_crossvalid[[#This Row],[ds]]))</f>
        <v>46000</v>
      </c>
      <c r="C351">
        <v>1924</v>
      </c>
      <c r="D351" s="1">
        <v>46000.333333333336</v>
      </c>
      <c r="E351">
        <v>2242.3032662108535</v>
      </c>
      <c r="F351">
        <v>251.19674177084019</v>
      </c>
      <c r="G351">
        <v>4065.2557824409437</v>
      </c>
      <c r="H351" s="1">
        <v>45991.333333333336</v>
      </c>
    </row>
    <row r="352" spans="1:8" x14ac:dyDescent="0.25">
      <c r="A352" s="7">
        <f>DATE(YEAR(m3_crossvalid[[#This Row],[cutoff]]),MONTH(m3_crossvalid[[#This Row],[cutoff]]),DAY(m3_crossvalid[[#This Row],[cutoff]]))</f>
        <v>45991</v>
      </c>
      <c r="B352" s="7">
        <f>DATE(YEAR(m3_crossvalid[[#This Row],[ds]]),MONTH(m3_crossvalid[[#This Row],[ds]]),DAY(m3_crossvalid[[#This Row],[ds]]))</f>
        <v>46001</v>
      </c>
      <c r="C352">
        <v>2624</v>
      </c>
      <c r="D352" s="1">
        <v>46001.333333333336</v>
      </c>
      <c r="E352">
        <v>2295.6836253388556</v>
      </c>
      <c r="F352">
        <v>356.57836579086768</v>
      </c>
      <c r="G352">
        <v>4185.4453146568967</v>
      </c>
      <c r="H352" s="1">
        <v>45991.333333333336</v>
      </c>
    </row>
    <row r="353" spans="1:8" x14ac:dyDescent="0.25">
      <c r="A353" s="7">
        <f>DATE(YEAR(m3_crossvalid[[#This Row],[cutoff]]),MONTH(m3_crossvalid[[#This Row],[cutoff]]),DAY(m3_crossvalid[[#This Row],[cutoff]]))</f>
        <v>45991</v>
      </c>
      <c r="B353" s="7">
        <f>DATE(YEAR(m3_crossvalid[[#This Row],[ds]]),MONTH(m3_crossvalid[[#This Row],[ds]]),DAY(m3_crossvalid[[#This Row],[ds]]))</f>
        <v>46002</v>
      </c>
      <c r="C353">
        <v>1853</v>
      </c>
      <c r="D353" s="1">
        <v>46002.333333333336</v>
      </c>
      <c r="E353">
        <v>2602.0013189725805</v>
      </c>
      <c r="F353">
        <v>842.61481297170417</v>
      </c>
      <c r="G353">
        <v>4456.6615276842222</v>
      </c>
      <c r="H353" s="1">
        <v>45991.333333333336</v>
      </c>
    </row>
    <row r="354" spans="1:8" x14ac:dyDescent="0.25">
      <c r="A354" s="7">
        <f>DATE(YEAR(m3_crossvalid[[#This Row],[cutoff]]),MONTH(m3_crossvalid[[#This Row],[cutoff]]),DAY(m3_crossvalid[[#This Row],[cutoff]]))</f>
        <v>45991</v>
      </c>
      <c r="B354" s="7">
        <f>DATE(YEAR(m3_crossvalid[[#This Row],[ds]]),MONTH(m3_crossvalid[[#This Row],[ds]]),DAY(m3_crossvalid[[#This Row],[ds]]))</f>
        <v>46003</v>
      </c>
      <c r="C354">
        <v>3010</v>
      </c>
      <c r="D354" s="1">
        <v>46003.333333333336</v>
      </c>
      <c r="E354">
        <v>2904.4643518038506</v>
      </c>
      <c r="F354">
        <v>976.66187216988169</v>
      </c>
      <c r="G354">
        <v>4766.4340395694817</v>
      </c>
      <c r="H354" s="1">
        <v>45991.333333333336</v>
      </c>
    </row>
    <row r="355" spans="1:8" x14ac:dyDescent="0.25">
      <c r="A355" s="7">
        <f>DATE(YEAR(m3_crossvalid[[#This Row],[cutoff]]),MONTH(m3_crossvalid[[#This Row],[cutoff]]),DAY(m3_crossvalid[[#This Row],[cutoff]]))</f>
        <v>45991</v>
      </c>
      <c r="B355" s="7">
        <f>DATE(YEAR(m3_crossvalid[[#This Row],[ds]]),MONTH(m3_crossvalid[[#This Row],[ds]]),DAY(m3_crossvalid[[#This Row],[ds]]))</f>
        <v>46004</v>
      </c>
      <c r="C355">
        <v>552</v>
      </c>
      <c r="D355" s="1">
        <v>46004.333333333336</v>
      </c>
      <c r="E355">
        <v>819.36497247232933</v>
      </c>
      <c r="F355">
        <v>-1156.9371939384807</v>
      </c>
      <c r="G355">
        <v>2723.757932971525</v>
      </c>
      <c r="H355" s="1">
        <v>45991.333333333336</v>
      </c>
    </row>
    <row r="356" spans="1:8" x14ac:dyDescent="0.25">
      <c r="A356" s="7">
        <f>DATE(YEAR(m3_crossvalid[[#This Row],[cutoff]]),MONTH(m3_crossvalid[[#This Row],[cutoff]]),DAY(m3_crossvalid[[#This Row],[cutoff]]))</f>
        <v>45991</v>
      </c>
      <c r="B356" s="7">
        <f>DATE(YEAR(m3_crossvalid[[#This Row],[ds]]),MONTH(m3_crossvalid[[#This Row],[ds]]),DAY(m3_crossvalid[[#This Row],[ds]]))</f>
        <v>46005</v>
      </c>
      <c r="C356">
        <v>162</v>
      </c>
      <c r="D356" s="1">
        <v>46005.333333333336</v>
      </c>
      <c r="E356">
        <v>283.6472787113612</v>
      </c>
      <c r="F356">
        <v>-1637.1534877312045</v>
      </c>
      <c r="G356">
        <v>2158.6124378824334</v>
      </c>
      <c r="H356" s="1">
        <v>45991.333333333336</v>
      </c>
    </row>
    <row r="357" spans="1:8" x14ac:dyDescent="0.25">
      <c r="A357" s="7">
        <f>DATE(YEAR(m3_crossvalid[[#This Row],[cutoff]]),MONTH(m3_crossvalid[[#This Row],[cutoff]]),DAY(m3_crossvalid[[#This Row],[cutoff]]))</f>
        <v>45991</v>
      </c>
      <c r="B357" s="7">
        <f>DATE(YEAR(m3_crossvalid[[#This Row],[ds]]),MONTH(m3_crossvalid[[#This Row],[ds]]),DAY(m3_crossvalid[[#This Row],[ds]]))</f>
        <v>46006</v>
      </c>
      <c r="C357">
        <v>2685</v>
      </c>
      <c r="D357" s="1">
        <v>46006.333333333336</v>
      </c>
      <c r="E357">
        <v>2775.2870672154568</v>
      </c>
      <c r="F357">
        <v>810.5479962068016</v>
      </c>
      <c r="G357">
        <v>4636.638179995115</v>
      </c>
      <c r="H357" s="1">
        <v>45991.333333333336</v>
      </c>
    </row>
    <row r="358" spans="1:8" x14ac:dyDescent="0.25">
      <c r="A358" s="7">
        <f>DATE(YEAR(m3_crossvalid[[#This Row],[cutoff]]),MONTH(m3_crossvalid[[#This Row],[cutoff]]),DAY(m3_crossvalid[[#This Row],[cutoff]]))</f>
        <v>45991</v>
      </c>
      <c r="B358" s="7">
        <f>DATE(YEAR(m3_crossvalid[[#This Row],[ds]]),MONTH(m3_crossvalid[[#This Row],[ds]]),DAY(m3_crossvalid[[#This Row],[ds]]))</f>
        <v>46007</v>
      </c>
      <c r="C358">
        <v>3397</v>
      </c>
      <c r="D358" s="1">
        <v>46007.333333333336</v>
      </c>
      <c r="E358">
        <v>3153.4315171097069</v>
      </c>
      <c r="F358">
        <v>1395.5997692683311</v>
      </c>
      <c r="G358">
        <v>5060.3051943166556</v>
      </c>
      <c r="H358" s="1">
        <v>45991.333333333336</v>
      </c>
    </row>
    <row r="359" spans="1:8" x14ac:dyDescent="0.25">
      <c r="A359" s="7">
        <f>DATE(YEAR(m3_crossvalid[[#This Row],[cutoff]]),MONTH(m3_crossvalid[[#This Row],[cutoff]]),DAY(m3_crossvalid[[#This Row],[cutoff]]))</f>
        <v>45991</v>
      </c>
      <c r="B359" s="7">
        <f>DATE(YEAR(m3_crossvalid[[#This Row],[ds]]),MONTH(m3_crossvalid[[#This Row],[ds]]),DAY(m3_crossvalid[[#This Row],[ds]]))</f>
        <v>46008</v>
      </c>
      <c r="C359">
        <v>4029</v>
      </c>
      <c r="D359" s="1">
        <v>46008.333333333336</v>
      </c>
      <c r="E359">
        <v>3476.6845469186924</v>
      </c>
      <c r="F359">
        <v>1529.9427073365696</v>
      </c>
      <c r="G359">
        <v>5473.0606827729398</v>
      </c>
      <c r="H359" s="1">
        <v>45991.333333333336</v>
      </c>
    </row>
    <row r="360" spans="1:8" x14ac:dyDescent="0.25">
      <c r="A360" s="7">
        <f>DATE(YEAR(m3_crossvalid[[#This Row],[cutoff]]),MONTH(m3_crossvalid[[#This Row],[cutoff]]),DAY(m3_crossvalid[[#This Row],[cutoff]]))</f>
        <v>45991</v>
      </c>
      <c r="B360" s="7">
        <f>DATE(YEAR(m3_crossvalid[[#This Row],[ds]]),MONTH(m3_crossvalid[[#This Row],[ds]]),DAY(m3_crossvalid[[#This Row],[ds]]))</f>
        <v>46009</v>
      </c>
      <c r="C360">
        <v>3874</v>
      </c>
      <c r="D360" s="1">
        <v>46009.333333333336</v>
      </c>
      <c r="E360">
        <v>3800.483423853992</v>
      </c>
      <c r="F360">
        <v>1952.7372440877643</v>
      </c>
      <c r="G360">
        <v>5683.9622710538679</v>
      </c>
      <c r="H360" s="1">
        <v>45991.333333333336</v>
      </c>
    </row>
    <row r="361" spans="1:8" x14ac:dyDescent="0.25">
      <c r="A361" s="7">
        <f>DATE(YEAR(m3_crossvalid[[#This Row],[cutoff]]),MONTH(m3_crossvalid[[#This Row],[cutoff]]),DAY(m3_crossvalid[[#This Row],[cutoff]]))</f>
        <v>45991</v>
      </c>
      <c r="B361" s="7">
        <f>DATE(YEAR(m3_crossvalid[[#This Row],[ds]]),MONTH(m3_crossvalid[[#This Row],[ds]]),DAY(m3_crossvalid[[#This Row],[ds]]))</f>
        <v>46010</v>
      </c>
      <c r="C361">
        <v>4261</v>
      </c>
      <c r="D361" s="1">
        <v>46010.333333333336</v>
      </c>
      <c r="E361">
        <v>3828.0257909105803</v>
      </c>
      <c r="F361">
        <v>2003.0925021211333</v>
      </c>
      <c r="G361">
        <v>5804.7835675200149</v>
      </c>
      <c r="H361" s="1">
        <v>45991.333333333336</v>
      </c>
    </row>
    <row r="362" spans="1:8" x14ac:dyDescent="0.25">
      <c r="A362" s="7">
        <f>DATE(YEAR(m3_crossvalid[[#This Row],[cutoff]]),MONTH(m3_crossvalid[[#This Row],[cutoff]]),DAY(m3_crossvalid[[#This Row],[cutoff]]))</f>
        <v>45991</v>
      </c>
      <c r="B362" s="7">
        <f>DATE(YEAR(m3_crossvalid[[#This Row],[ds]]),MONTH(m3_crossvalid[[#This Row],[ds]]),DAY(m3_crossvalid[[#This Row],[ds]]))</f>
        <v>46011</v>
      </c>
      <c r="C362">
        <v>999</v>
      </c>
      <c r="D362" s="1">
        <v>46011.333333333336</v>
      </c>
      <c r="E362">
        <v>1436.2971054494913</v>
      </c>
      <c r="F362">
        <v>-380.55599317994398</v>
      </c>
      <c r="G362">
        <v>3311.0097679857377</v>
      </c>
      <c r="H362" s="1">
        <v>45991.333333333336</v>
      </c>
    </row>
    <row r="363" spans="1:8" x14ac:dyDescent="0.25">
      <c r="A363" s="7">
        <f>DATE(YEAR(m3_crossvalid[[#This Row],[cutoff]]),MONTH(m3_crossvalid[[#This Row],[cutoff]]),DAY(m3_crossvalid[[#This Row],[cutoff]]))</f>
        <v>45991</v>
      </c>
      <c r="B363" s="7">
        <f>DATE(YEAR(m3_crossvalid[[#This Row],[ds]]),MONTH(m3_crossvalid[[#This Row],[ds]]),DAY(m3_crossvalid[[#This Row],[ds]]))</f>
        <v>46012</v>
      </c>
      <c r="C363">
        <v>251</v>
      </c>
      <c r="D363" s="1">
        <v>46012.333333333336</v>
      </c>
      <c r="E363">
        <v>849.66116526835935</v>
      </c>
      <c r="F363">
        <v>-1045.5414081094948</v>
      </c>
      <c r="G363">
        <v>2817.1055490154181</v>
      </c>
      <c r="H363" s="1">
        <v>45991.333333333336</v>
      </c>
    </row>
    <row r="364" spans="1:8" x14ac:dyDescent="0.25">
      <c r="A364" s="7">
        <f>DATE(YEAR(m3_crossvalid[[#This Row],[cutoff]]),MONTH(m3_crossvalid[[#This Row],[cutoff]]),DAY(m3_crossvalid[[#This Row],[cutoff]]))</f>
        <v>45991</v>
      </c>
      <c r="B364" s="7">
        <f>DATE(YEAR(m3_crossvalid[[#This Row],[ds]]),MONTH(m3_crossvalid[[#This Row],[ds]]),DAY(m3_crossvalid[[#This Row],[ds]]))</f>
        <v>46013</v>
      </c>
      <c r="C364">
        <v>4791</v>
      </c>
      <c r="D364" s="1">
        <v>46013.333333333336</v>
      </c>
      <c r="E364">
        <v>3566.5241068518817</v>
      </c>
      <c r="F364">
        <v>1574.1059261955099</v>
      </c>
      <c r="G364">
        <v>5569.8362659697505</v>
      </c>
      <c r="H364" s="1">
        <v>45991.333333333336</v>
      </c>
    </row>
    <row r="365" spans="1:8" x14ac:dyDescent="0.25">
      <c r="A365" s="7">
        <f>DATE(YEAR(m3_crossvalid[[#This Row],[cutoff]]),MONTH(m3_crossvalid[[#This Row],[cutoff]]),DAY(m3_crossvalid[[#This Row],[cutoff]]))</f>
        <v>45991</v>
      </c>
      <c r="B365" s="7">
        <f>DATE(YEAR(m3_crossvalid[[#This Row],[ds]]),MONTH(m3_crossvalid[[#This Row],[ds]]),DAY(m3_crossvalid[[#This Row],[ds]]))</f>
        <v>46014</v>
      </c>
      <c r="C365">
        <v>5802</v>
      </c>
      <c r="D365" s="1">
        <v>46014.333333333336</v>
      </c>
      <c r="E365">
        <v>4181.3398599816937</v>
      </c>
      <c r="F365">
        <v>2268.5150154560733</v>
      </c>
      <c r="G365">
        <v>6051.4902743554003</v>
      </c>
      <c r="H365" s="1">
        <v>45991.333333333336</v>
      </c>
    </row>
    <row r="366" spans="1:8" x14ac:dyDescent="0.25">
      <c r="A366" s="7">
        <f>DATE(YEAR(m3_crossvalid[[#This Row],[cutoff]]),MONTH(m3_crossvalid[[#This Row],[cutoff]]),DAY(m3_crossvalid[[#This Row],[cutoff]]))</f>
        <v>45991</v>
      </c>
      <c r="B366" s="7">
        <f>DATE(YEAR(m3_crossvalid[[#This Row],[ds]]),MONTH(m3_crossvalid[[#This Row],[ds]]),DAY(m3_crossvalid[[#This Row],[ds]]))</f>
        <v>46015</v>
      </c>
      <c r="C366">
        <v>6117</v>
      </c>
      <c r="D366" s="1">
        <v>46015.333333333336</v>
      </c>
      <c r="E366">
        <v>4483.353961535382</v>
      </c>
      <c r="F366">
        <v>2635.2264897995451</v>
      </c>
      <c r="G366">
        <v>6356.7446427293817</v>
      </c>
      <c r="H366" s="1">
        <v>45991.333333333336</v>
      </c>
    </row>
    <row r="367" spans="1:8" x14ac:dyDescent="0.25">
      <c r="A367" s="7">
        <f>DATE(YEAR(m3_crossvalid[[#This Row],[cutoff]]),MONTH(m3_crossvalid[[#This Row],[cutoff]]),DAY(m3_crossvalid[[#This Row],[cutoff]]))</f>
        <v>45991</v>
      </c>
      <c r="B367" s="7">
        <f>DATE(YEAR(m3_crossvalid[[#This Row],[ds]]),MONTH(m3_crossvalid[[#This Row],[ds]]),DAY(m3_crossvalid[[#This Row],[ds]]))</f>
        <v>46016</v>
      </c>
      <c r="C367">
        <v>400</v>
      </c>
      <c r="D367" s="1">
        <v>46016.333333333336</v>
      </c>
      <c r="E367">
        <v>814.59574312184577</v>
      </c>
      <c r="F367">
        <v>-996.15715738026893</v>
      </c>
      <c r="G367">
        <v>2736.6828388828462</v>
      </c>
      <c r="H367" s="1">
        <v>45991.333333333336</v>
      </c>
    </row>
    <row r="368" spans="1:8" x14ac:dyDescent="0.25">
      <c r="A368" s="7">
        <f>DATE(YEAR(m3_crossvalid[[#This Row],[cutoff]]),MONTH(m3_crossvalid[[#This Row],[cutoff]]),DAY(m3_crossvalid[[#This Row],[cutoff]]))</f>
        <v>45991</v>
      </c>
      <c r="B368" s="7">
        <f>DATE(YEAR(m3_crossvalid[[#This Row],[ds]]),MONTH(m3_crossvalid[[#This Row],[ds]]),DAY(m3_crossvalid[[#This Row],[ds]]))</f>
        <v>46017</v>
      </c>
      <c r="C368">
        <v>6559</v>
      </c>
      <c r="D368" s="1">
        <v>46017.333333333336</v>
      </c>
      <c r="E368">
        <v>4464.6977607442095</v>
      </c>
      <c r="F368">
        <v>2446.4090816857452</v>
      </c>
      <c r="G368">
        <v>6447.3990288222285</v>
      </c>
      <c r="H368" s="1">
        <v>45991.333333333336</v>
      </c>
    </row>
    <row r="369" spans="1:8" x14ac:dyDescent="0.25">
      <c r="A369" s="7">
        <f>DATE(YEAR(m3_crossvalid[[#This Row],[cutoff]]),MONTH(m3_crossvalid[[#This Row],[cutoff]]),DAY(m3_crossvalid[[#This Row],[cutoff]]))</f>
        <v>45991</v>
      </c>
      <c r="B369" s="7">
        <f>DATE(YEAR(m3_crossvalid[[#This Row],[ds]]),MONTH(m3_crossvalid[[#This Row],[ds]]),DAY(m3_crossvalid[[#This Row],[ds]]))</f>
        <v>46018</v>
      </c>
      <c r="C369">
        <v>1928</v>
      </c>
      <c r="D369" s="1">
        <v>46018.333333333336</v>
      </c>
      <c r="E369">
        <v>2442.5510450969582</v>
      </c>
      <c r="F369">
        <v>499.3092220938222</v>
      </c>
      <c r="G369">
        <v>4503.5463302422968</v>
      </c>
      <c r="H369" s="1">
        <v>45991.333333333336</v>
      </c>
    </row>
    <row r="370" spans="1:8" x14ac:dyDescent="0.25">
      <c r="A370" s="7">
        <f>DATE(YEAR(m3_crossvalid[[#This Row],[cutoff]]),MONTH(m3_crossvalid[[#This Row],[cutoff]]),DAY(m3_crossvalid[[#This Row],[cutoff]]))</f>
        <v>45991</v>
      </c>
      <c r="B370" s="7">
        <f>DATE(YEAR(m3_crossvalid[[#This Row],[ds]]),MONTH(m3_crossvalid[[#This Row],[ds]]),DAY(m3_crossvalid[[#This Row],[ds]]))</f>
        <v>46019</v>
      </c>
      <c r="C370">
        <v>428</v>
      </c>
      <c r="D370" s="1">
        <v>46019.333333333336</v>
      </c>
      <c r="E370">
        <v>2725.5893304424753</v>
      </c>
      <c r="F370">
        <v>940.12182660234623</v>
      </c>
      <c r="G370">
        <v>4577.7544615246561</v>
      </c>
      <c r="H370" s="1">
        <v>45991.333333333336</v>
      </c>
    </row>
    <row r="371" spans="1:8" x14ac:dyDescent="0.25">
      <c r="A371" s="7">
        <f>DATE(YEAR(m3_crossvalid[[#This Row],[cutoff]]),MONTH(m3_crossvalid[[#This Row],[cutoff]]),DAY(m3_crossvalid[[#This Row],[cutoff]]))</f>
        <v>45991</v>
      </c>
      <c r="B371" s="7">
        <f>DATE(YEAR(m3_crossvalid[[#This Row],[ds]]),MONTH(m3_crossvalid[[#This Row],[ds]]),DAY(m3_crossvalid[[#This Row],[ds]]))</f>
        <v>46020</v>
      </c>
      <c r="C371">
        <v>7441</v>
      </c>
      <c r="D371" s="1">
        <v>46020.333333333336</v>
      </c>
      <c r="E371">
        <v>6368.538271471285</v>
      </c>
      <c r="F371">
        <v>4592.9796586480797</v>
      </c>
      <c r="G371">
        <v>8287.3737634226909</v>
      </c>
      <c r="H371" s="1">
        <v>45991.333333333336</v>
      </c>
    </row>
    <row r="372" spans="1:8" x14ac:dyDescent="0.25">
      <c r="A372" s="7">
        <f>DATE(YEAR(m3_crossvalid[[#This Row],[cutoff]]),MONTH(m3_crossvalid[[#This Row],[cutoff]]),DAY(m3_crossvalid[[#This Row],[cutoff]]))</f>
        <v>45991</v>
      </c>
      <c r="B372" s="7">
        <f>DATE(YEAR(m3_crossvalid[[#This Row],[ds]]),MONTH(m3_crossvalid[[#This Row],[ds]]),DAY(m3_crossvalid[[#This Row],[ds]]))</f>
        <v>46021</v>
      </c>
      <c r="C372">
        <v>10603</v>
      </c>
      <c r="D372" s="1">
        <v>46021.333333333336</v>
      </c>
      <c r="E372">
        <v>7345.3247168292583</v>
      </c>
      <c r="F372">
        <v>5433.4903845589324</v>
      </c>
      <c r="G372">
        <v>9205.9216679624315</v>
      </c>
      <c r="H372" s="1">
        <v>45991.333333333336</v>
      </c>
    </row>
    <row r="373" spans="1:8" x14ac:dyDescent="0.25">
      <c r="A373" s="7">
        <f>DATE(YEAR(m3_crossvalid[[#This Row],[cutoff]]),MONTH(m3_crossvalid[[#This Row],[cutoff]]),DAY(m3_crossvalid[[#This Row],[cutoff]]))</f>
        <v>45991</v>
      </c>
      <c r="B373" s="7">
        <f>DATE(YEAR(m3_crossvalid[[#This Row],[ds]]),MONTH(m3_crossvalid[[#This Row],[ds]]),DAY(m3_crossvalid[[#This Row],[ds]]))</f>
        <v>46022</v>
      </c>
      <c r="C373">
        <v>15370</v>
      </c>
      <c r="D373" s="1">
        <v>46022.333333333336</v>
      </c>
      <c r="E373">
        <v>7064.9532713873759</v>
      </c>
      <c r="F373">
        <v>5173.9011599427376</v>
      </c>
      <c r="G373">
        <v>8945.0192061548787</v>
      </c>
      <c r="H373" s="1">
        <v>45991.333333333336</v>
      </c>
    </row>
    <row r="374" spans="1:8" x14ac:dyDescent="0.25">
      <c r="A374" s="7">
        <f>DATE(YEAR(m3_crossvalid[[#This Row],[cutoff]]),MONTH(m3_crossvalid[[#This Row],[cutoff]]),DAY(m3_crossvalid[[#This Row],[cutoff]]))</f>
        <v>46022</v>
      </c>
      <c r="B374" s="7">
        <f>DATE(YEAR(m3_crossvalid[[#This Row],[ds]]),MONTH(m3_crossvalid[[#This Row],[ds]]),DAY(m3_crossvalid[[#This Row],[ds]]))</f>
        <v>46023</v>
      </c>
      <c r="C374">
        <v>2584</v>
      </c>
      <c r="D374" s="1">
        <v>46023.333333333336</v>
      </c>
      <c r="E374">
        <v>4107.6249276877534</v>
      </c>
      <c r="F374">
        <v>2165.1156763535423</v>
      </c>
      <c r="G374">
        <v>5977.1759119196886</v>
      </c>
      <c r="H374" s="1">
        <v>46022.333333333336</v>
      </c>
    </row>
    <row r="375" spans="1:8" x14ac:dyDescent="0.25">
      <c r="A375" s="7">
        <f>DATE(YEAR(m3_crossvalid[[#This Row],[cutoff]]),MONTH(m3_crossvalid[[#This Row],[cutoff]]),DAY(m3_crossvalid[[#This Row],[cutoff]]))</f>
        <v>46022</v>
      </c>
      <c r="B375" s="7">
        <f>DATE(YEAR(m3_crossvalid[[#This Row],[ds]]),MONTH(m3_crossvalid[[#This Row],[ds]]),DAY(m3_crossvalid[[#This Row],[ds]]))</f>
        <v>46024</v>
      </c>
      <c r="C375">
        <v>1536</v>
      </c>
      <c r="D375" s="1">
        <v>46024.333333333336</v>
      </c>
      <c r="E375">
        <v>3923.3954971341</v>
      </c>
      <c r="F375">
        <v>2170.8394858833813</v>
      </c>
      <c r="G375">
        <v>5868.5857179429622</v>
      </c>
      <c r="H375" s="1">
        <v>46022.333333333336</v>
      </c>
    </row>
    <row r="376" spans="1:8" x14ac:dyDescent="0.25">
      <c r="A376" s="7">
        <f>DATE(YEAR(m3_crossvalid[[#This Row],[cutoff]]),MONTH(m3_crossvalid[[#This Row],[cutoff]]),DAY(m3_crossvalid[[#This Row],[cutoff]]))</f>
        <v>46022</v>
      </c>
      <c r="B376" s="7">
        <f>DATE(YEAR(m3_crossvalid[[#This Row],[ds]]),MONTH(m3_crossvalid[[#This Row],[ds]]),DAY(m3_crossvalid[[#This Row],[ds]]))</f>
        <v>46025</v>
      </c>
      <c r="C376">
        <v>80</v>
      </c>
      <c r="D376" s="1">
        <v>46025.333333333336</v>
      </c>
      <c r="E376">
        <v>11.844045357642244</v>
      </c>
      <c r="F376">
        <v>-1950.130008354168</v>
      </c>
      <c r="G376">
        <v>2022.3860417024821</v>
      </c>
      <c r="H376" s="1">
        <v>46022.333333333336</v>
      </c>
    </row>
    <row r="377" spans="1:8" x14ac:dyDescent="0.25">
      <c r="A377" s="7">
        <f>DATE(YEAR(m3_crossvalid[[#This Row],[cutoff]]),MONTH(m3_crossvalid[[#This Row],[cutoff]]),DAY(m3_crossvalid[[#This Row],[cutoff]]))</f>
        <v>46022</v>
      </c>
      <c r="B377" s="7">
        <f>DATE(YEAR(m3_crossvalid[[#This Row],[ds]]),MONTH(m3_crossvalid[[#This Row],[ds]]),DAY(m3_crossvalid[[#This Row],[ds]]))</f>
        <v>46026</v>
      </c>
      <c r="C377">
        <v>17</v>
      </c>
      <c r="D377" s="1">
        <v>46026.333333333336</v>
      </c>
      <c r="E377">
        <v>-1226.8591272570411</v>
      </c>
      <c r="F377">
        <v>-3145.8028398220049</v>
      </c>
      <c r="G377">
        <v>577.38440845278694</v>
      </c>
      <c r="H377" s="1">
        <v>46022.333333333336</v>
      </c>
    </row>
    <row r="378" spans="1:8" x14ac:dyDescent="0.25">
      <c r="A378" s="7">
        <f>DATE(YEAR(m3_crossvalid[[#This Row],[cutoff]]),MONTH(m3_crossvalid[[#This Row],[cutoff]]),DAY(m3_crossvalid[[#This Row],[cutoff]]))</f>
        <v>46022</v>
      </c>
      <c r="B378" s="7">
        <f>DATE(YEAR(m3_crossvalid[[#This Row],[ds]]),MONTH(m3_crossvalid[[#This Row],[ds]]),DAY(m3_crossvalid[[#This Row],[ds]]))</f>
        <v>46027</v>
      </c>
      <c r="C378">
        <v>340</v>
      </c>
      <c r="D378" s="1">
        <v>46027.333333333336</v>
      </c>
      <c r="E378">
        <v>1403.1373938454421</v>
      </c>
      <c r="F378">
        <v>-356.22083294273676</v>
      </c>
      <c r="G378">
        <v>3262.5025253841486</v>
      </c>
      <c r="H378" s="1">
        <v>46022.333333333336</v>
      </c>
    </row>
    <row r="379" spans="1:8" x14ac:dyDescent="0.25">
      <c r="A379" s="7">
        <f>DATE(YEAR(m3_crossvalid[[#This Row],[cutoff]]),MONTH(m3_crossvalid[[#This Row],[cutoff]]),DAY(m3_crossvalid[[#This Row],[cutoff]]))</f>
        <v>46022</v>
      </c>
      <c r="B379" s="7">
        <f>DATE(YEAR(m3_crossvalid[[#This Row],[ds]]),MONTH(m3_crossvalid[[#This Row],[ds]]),DAY(m3_crossvalid[[#This Row],[ds]]))</f>
        <v>46028</v>
      </c>
      <c r="C379">
        <v>485</v>
      </c>
      <c r="D379" s="1">
        <v>46028.333333333336</v>
      </c>
      <c r="E379">
        <v>2026.4358556777711</v>
      </c>
      <c r="F379">
        <v>91.58064784018606</v>
      </c>
      <c r="G379">
        <v>3872.9357360935019</v>
      </c>
      <c r="H379" s="1">
        <v>46022.333333333336</v>
      </c>
    </row>
    <row r="380" spans="1:8" x14ac:dyDescent="0.25">
      <c r="A380" s="7">
        <f>DATE(YEAR(m3_crossvalid[[#This Row],[cutoff]]),MONTH(m3_crossvalid[[#This Row],[cutoff]]),DAY(m3_crossvalid[[#This Row],[cutoff]]))</f>
        <v>46022</v>
      </c>
      <c r="B380" s="7">
        <f>DATE(YEAR(m3_crossvalid[[#This Row],[ds]]),MONTH(m3_crossvalid[[#This Row],[ds]]),DAY(m3_crossvalid[[#This Row],[ds]]))</f>
        <v>46029</v>
      </c>
      <c r="C380">
        <v>532</v>
      </c>
      <c r="D380" s="1">
        <v>46029.333333333336</v>
      </c>
      <c r="E380">
        <v>2211.9233832978794</v>
      </c>
      <c r="F380">
        <v>281.79445904701896</v>
      </c>
      <c r="G380">
        <v>4152.1065128690825</v>
      </c>
      <c r="H380" s="1">
        <v>46022.333333333336</v>
      </c>
    </row>
    <row r="381" spans="1:8" x14ac:dyDescent="0.25">
      <c r="A381" s="7">
        <f>DATE(YEAR(m3_crossvalid[[#This Row],[cutoff]]),MONTH(m3_crossvalid[[#This Row],[cutoff]]),DAY(m3_crossvalid[[#This Row],[cutoff]]))</f>
        <v>46022</v>
      </c>
      <c r="B381" s="7">
        <f>DATE(YEAR(m3_crossvalid[[#This Row],[ds]]),MONTH(m3_crossvalid[[#This Row],[ds]]),DAY(m3_crossvalid[[#This Row],[ds]]))</f>
        <v>46030</v>
      </c>
      <c r="C381">
        <v>659</v>
      </c>
      <c r="D381" s="1">
        <v>46030.333333333336</v>
      </c>
      <c r="E381">
        <v>2018.1127509288538</v>
      </c>
      <c r="F381">
        <v>38.43397478050337</v>
      </c>
      <c r="G381">
        <v>3997.6080380051908</v>
      </c>
      <c r="H381" s="1">
        <v>46022.333333333336</v>
      </c>
    </row>
    <row r="382" spans="1:8" x14ac:dyDescent="0.25">
      <c r="A382" s="7">
        <f>DATE(YEAR(m3_crossvalid[[#This Row],[cutoff]]),MONTH(m3_crossvalid[[#This Row],[cutoff]]),DAY(m3_crossvalid[[#This Row],[cutoff]]))</f>
        <v>46022</v>
      </c>
      <c r="B382" s="7">
        <f>DATE(YEAR(m3_crossvalid[[#This Row],[ds]]),MONTH(m3_crossvalid[[#This Row],[ds]]),DAY(m3_crossvalid[[#This Row],[ds]]))</f>
        <v>46031</v>
      </c>
      <c r="C382">
        <v>787</v>
      </c>
      <c r="D382" s="1">
        <v>46031.333333333336</v>
      </c>
      <c r="E382">
        <v>1777.7421160297297</v>
      </c>
      <c r="F382">
        <v>-154.27351337164495</v>
      </c>
      <c r="G382">
        <v>3521.9771348202971</v>
      </c>
      <c r="H382" s="1">
        <v>46022.333333333336</v>
      </c>
    </row>
    <row r="383" spans="1:8" x14ac:dyDescent="0.25">
      <c r="A383" s="7">
        <f>DATE(YEAR(m3_crossvalid[[#This Row],[cutoff]]),MONTH(m3_crossvalid[[#This Row],[cutoff]]),DAY(m3_crossvalid[[#This Row],[cutoff]]))</f>
        <v>46022</v>
      </c>
      <c r="B383" s="7">
        <f>DATE(YEAR(m3_crossvalid[[#This Row],[ds]]),MONTH(m3_crossvalid[[#This Row],[ds]]),DAY(m3_crossvalid[[#This Row],[ds]]))</f>
        <v>46032</v>
      </c>
      <c r="C383">
        <v>137</v>
      </c>
      <c r="D383" s="1">
        <v>46032.333333333336</v>
      </c>
      <c r="E383">
        <v>-507.47860152524163</v>
      </c>
      <c r="F383">
        <v>-2446.1725858180921</v>
      </c>
      <c r="G383">
        <v>1479.3585143284392</v>
      </c>
      <c r="H383" s="1">
        <v>46022.333333333336</v>
      </c>
    </row>
    <row r="384" spans="1:8" x14ac:dyDescent="0.25">
      <c r="A384" s="7">
        <f>DATE(YEAR(m3_crossvalid[[#This Row],[cutoff]]),MONTH(m3_crossvalid[[#This Row],[cutoff]]),DAY(m3_crossvalid[[#This Row],[cutoff]]))</f>
        <v>46022</v>
      </c>
      <c r="B384" s="7">
        <f>DATE(YEAR(m3_crossvalid[[#This Row],[ds]]),MONTH(m3_crossvalid[[#This Row],[ds]]),DAY(m3_crossvalid[[#This Row],[ds]]))</f>
        <v>46033</v>
      </c>
      <c r="C384">
        <v>44</v>
      </c>
      <c r="D384" s="1">
        <v>46033.333333333336</v>
      </c>
      <c r="E384">
        <v>-806.57640350004385</v>
      </c>
      <c r="F384">
        <v>-2755.4178914914601</v>
      </c>
      <c r="G384">
        <v>1070.6981249001876</v>
      </c>
      <c r="H384" s="1">
        <v>46022.333333333336</v>
      </c>
    </row>
    <row r="385" spans="1:8" x14ac:dyDescent="0.25">
      <c r="A385" s="7">
        <f>DATE(YEAR(m3_crossvalid[[#This Row],[cutoff]]),MONTH(m3_crossvalid[[#This Row],[cutoff]]),DAY(m3_crossvalid[[#This Row],[cutoff]]))</f>
        <v>46022</v>
      </c>
      <c r="B385" s="7">
        <f>DATE(YEAR(m3_crossvalid[[#This Row],[ds]]),MONTH(m3_crossvalid[[#This Row],[ds]]),DAY(m3_crossvalid[[#This Row],[ds]]))</f>
        <v>46034</v>
      </c>
      <c r="C385">
        <v>779</v>
      </c>
      <c r="D385" s="1">
        <v>46034.333333333336</v>
      </c>
      <c r="E385">
        <v>1951.2208686718509</v>
      </c>
      <c r="F385">
        <v>98.387591454883477</v>
      </c>
      <c r="G385">
        <v>3836.8983092598755</v>
      </c>
      <c r="H385" s="1">
        <v>46022.333333333336</v>
      </c>
    </row>
    <row r="386" spans="1:8" x14ac:dyDescent="0.25">
      <c r="A386" s="7">
        <f>DATE(YEAR(m3_crossvalid[[#This Row],[cutoff]]),MONTH(m3_crossvalid[[#This Row],[cutoff]]),DAY(m3_crossvalid[[#This Row],[cutoff]]))</f>
        <v>46022</v>
      </c>
      <c r="B386" s="7">
        <f>DATE(YEAR(m3_crossvalid[[#This Row],[ds]]),MONTH(m3_crossvalid[[#This Row],[ds]]),DAY(m3_crossvalid[[#This Row],[ds]]))</f>
        <v>46035</v>
      </c>
      <c r="C386">
        <v>1113</v>
      </c>
      <c r="D386" s="1">
        <v>46035.333333333336</v>
      </c>
      <c r="E386">
        <v>2250.3836684466692</v>
      </c>
      <c r="F386">
        <v>190.85615980242659</v>
      </c>
      <c r="G386">
        <v>4096.2004538014362</v>
      </c>
      <c r="H386" s="1">
        <v>46022.333333333336</v>
      </c>
    </row>
    <row r="387" spans="1:8" x14ac:dyDescent="0.25">
      <c r="A387" s="7">
        <f>DATE(YEAR(m3_crossvalid[[#This Row],[cutoff]]),MONTH(m3_crossvalid[[#This Row],[cutoff]]),DAY(m3_crossvalid[[#This Row],[cutoff]]))</f>
        <v>46022</v>
      </c>
      <c r="B387" s="7">
        <f>DATE(YEAR(m3_crossvalid[[#This Row],[ds]]),MONTH(m3_crossvalid[[#This Row],[ds]]),DAY(m3_crossvalid[[#This Row],[ds]]))</f>
        <v>46036</v>
      </c>
      <c r="C387">
        <v>1419</v>
      </c>
      <c r="D387" s="1">
        <v>46036.333333333336</v>
      </c>
      <c r="E387">
        <v>2195.3073471162265</v>
      </c>
      <c r="F387">
        <v>263.73833589503727</v>
      </c>
      <c r="G387">
        <v>4105.0167931135557</v>
      </c>
      <c r="H387" s="1">
        <v>46022.333333333336</v>
      </c>
    </row>
    <row r="388" spans="1:8" x14ac:dyDescent="0.25">
      <c r="A388" s="7">
        <f>DATE(YEAR(m3_crossvalid[[#This Row],[cutoff]]),MONTH(m3_crossvalid[[#This Row],[cutoff]]),DAY(m3_crossvalid[[#This Row],[cutoff]]))</f>
        <v>46022</v>
      </c>
      <c r="B388" s="7">
        <f>DATE(YEAR(m3_crossvalid[[#This Row],[ds]]),MONTH(m3_crossvalid[[#This Row],[ds]]),DAY(m3_crossvalid[[#This Row],[ds]]))</f>
        <v>46037</v>
      </c>
      <c r="C388">
        <v>1874</v>
      </c>
      <c r="D388" s="1">
        <v>46037.333333333336</v>
      </c>
      <c r="E388">
        <v>2132.1552420900193</v>
      </c>
      <c r="F388">
        <v>223.24236721463953</v>
      </c>
      <c r="G388">
        <v>4007.2325611221868</v>
      </c>
      <c r="H388" s="1">
        <v>46022.333333333336</v>
      </c>
    </row>
    <row r="389" spans="1:8" x14ac:dyDescent="0.25">
      <c r="A389" s="7">
        <f>DATE(YEAR(m3_crossvalid[[#This Row],[cutoff]]),MONTH(m3_crossvalid[[#This Row],[cutoff]]),DAY(m3_crossvalid[[#This Row],[cutoff]]))</f>
        <v>46022</v>
      </c>
      <c r="B389" s="7">
        <f>DATE(YEAR(m3_crossvalid[[#This Row],[ds]]),MONTH(m3_crossvalid[[#This Row],[ds]]),DAY(m3_crossvalid[[#This Row],[ds]]))</f>
        <v>46038</v>
      </c>
      <c r="C389">
        <v>2020</v>
      </c>
      <c r="D389" s="1">
        <v>46038.333333333336</v>
      </c>
      <c r="E389">
        <v>2255.691425774854</v>
      </c>
      <c r="F389">
        <v>462.5173863328514</v>
      </c>
      <c r="G389">
        <v>4229.9813923534039</v>
      </c>
      <c r="H389" s="1">
        <v>46022.333333333336</v>
      </c>
    </row>
    <row r="390" spans="1:8" x14ac:dyDescent="0.25">
      <c r="A390" s="7">
        <f>DATE(YEAR(m3_crossvalid[[#This Row],[cutoff]]),MONTH(m3_crossvalid[[#This Row],[cutoff]]),DAY(m3_crossvalid[[#This Row],[cutoff]]))</f>
        <v>46022</v>
      </c>
      <c r="B390" s="7">
        <f>DATE(YEAR(m3_crossvalid[[#This Row],[ds]]),MONTH(m3_crossvalid[[#This Row],[ds]]),DAY(m3_crossvalid[[#This Row],[ds]]))</f>
        <v>46039</v>
      </c>
      <c r="C390">
        <v>451</v>
      </c>
      <c r="D390" s="1">
        <v>46039.333333333336</v>
      </c>
      <c r="E390">
        <v>209.26512335714688</v>
      </c>
      <c r="F390">
        <v>-1629.3016940662399</v>
      </c>
      <c r="G390">
        <v>2110.3268602170897</v>
      </c>
      <c r="H390" s="1">
        <v>46022.333333333336</v>
      </c>
    </row>
    <row r="391" spans="1:8" x14ac:dyDescent="0.25">
      <c r="A391" s="7">
        <f>DATE(YEAR(m3_crossvalid[[#This Row],[cutoff]]),MONTH(m3_crossvalid[[#This Row],[cutoff]]),DAY(m3_crossvalid[[#This Row],[cutoff]]))</f>
        <v>46022</v>
      </c>
      <c r="B391" s="7">
        <f>DATE(YEAR(m3_crossvalid[[#This Row],[ds]]),MONTH(m3_crossvalid[[#This Row],[ds]]),DAY(m3_crossvalid[[#This Row],[ds]]))</f>
        <v>46040</v>
      </c>
      <c r="C391">
        <v>76</v>
      </c>
      <c r="D391" s="1">
        <v>46040.333333333336</v>
      </c>
      <c r="E391">
        <v>-177.03514586608117</v>
      </c>
      <c r="F391">
        <v>-2172.8837025207877</v>
      </c>
      <c r="G391">
        <v>1634.412674556183</v>
      </c>
      <c r="H391" s="1">
        <v>46022.333333333336</v>
      </c>
    </row>
    <row r="392" spans="1:8" x14ac:dyDescent="0.25">
      <c r="A392" s="7">
        <f>DATE(YEAR(m3_crossvalid[[#This Row],[cutoff]]),MONTH(m3_crossvalid[[#This Row],[cutoff]]),DAY(m3_crossvalid[[#This Row],[cutoff]]))</f>
        <v>46022</v>
      </c>
      <c r="B392" s="7">
        <f>DATE(YEAR(m3_crossvalid[[#This Row],[ds]]),MONTH(m3_crossvalid[[#This Row],[ds]]),DAY(m3_crossvalid[[#This Row],[ds]]))</f>
        <v>46041</v>
      </c>
      <c r="C392">
        <v>1963</v>
      </c>
      <c r="D392" s="1">
        <v>46041.333333333336</v>
      </c>
      <c r="E392">
        <v>2316.0371097219954</v>
      </c>
      <c r="F392">
        <v>266.94114078636687</v>
      </c>
      <c r="G392">
        <v>4117.4265404544367</v>
      </c>
      <c r="H392" s="1">
        <v>46022.333333333336</v>
      </c>
    </row>
    <row r="393" spans="1:8" x14ac:dyDescent="0.25">
      <c r="A393" s="7">
        <f>DATE(YEAR(m3_crossvalid[[#This Row],[cutoff]]),MONTH(m3_crossvalid[[#This Row],[cutoff]]),DAY(m3_crossvalid[[#This Row],[cutoff]]))</f>
        <v>46022</v>
      </c>
      <c r="B393" s="7">
        <f>DATE(YEAR(m3_crossvalid[[#This Row],[ds]]),MONTH(m3_crossvalid[[#This Row],[ds]]),DAY(m3_crossvalid[[#This Row],[ds]]))</f>
        <v>46042</v>
      </c>
      <c r="C393">
        <v>2481</v>
      </c>
      <c r="D393" s="1">
        <v>46042.333333333336</v>
      </c>
      <c r="E393">
        <v>2507.0759030177874</v>
      </c>
      <c r="F393">
        <v>598.42215919204841</v>
      </c>
      <c r="G393">
        <v>4335.1621936551028</v>
      </c>
      <c r="H393" s="1">
        <v>46022.333333333336</v>
      </c>
    </row>
    <row r="394" spans="1:8" x14ac:dyDescent="0.25">
      <c r="A394" s="7">
        <f>DATE(YEAR(m3_crossvalid[[#This Row],[cutoff]]),MONTH(m3_crossvalid[[#This Row],[cutoff]]),DAY(m3_crossvalid[[#This Row],[cutoff]]))</f>
        <v>46022</v>
      </c>
      <c r="B394" s="7">
        <f>DATE(YEAR(m3_crossvalid[[#This Row],[ds]]),MONTH(m3_crossvalid[[#This Row],[ds]]),DAY(m3_crossvalid[[#This Row],[ds]]))</f>
        <v>46043</v>
      </c>
      <c r="C394">
        <v>2679</v>
      </c>
      <c r="D394" s="1">
        <v>46043.333333333336</v>
      </c>
      <c r="E394">
        <v>2675.8980542067879</v>
      </c>
      <c r="F394">
        <v>730.16153444540998</v>
      </c>
      <c r="G394">
        <v>4500.3475672088962</v>
      </c>
      <c r="H394" s="1">
        <v>46022.333333333336</v>
      </c>
    </row>
    <row r="395" spans="1:8" x14ac:dyDescent="0.25">
      <c r="A395" s="7">
        <f>DATE(YEAR(m3_crossvalid[[#This Row],[cutoff]]),MONTH(m3_crossvalid[[#This Row],[cutoff]]),DAY(m3_crossvalid[[#This Row],[cutoff]]))</f>
        <v>46022</v>
      </c>
      <c r="B395" s="7">
        <f>DATE(YEAR(m3_crossvalid[[#This Row],[ds]]),MONTH(m3_crossvalid[[#This Row],[ds]]),DAY(m3_crossvalid[[#This Row],[ds]]))</f>
        <v>46044</v>
      </c>
      <c r="C395">
        <v>2830</v>
      </c>
      <c r="D395" s="1">
        <v>46044.333333333336</v>
      </c>
      <c r="E395">
        <v>3006.4677716116562</v>
      </c>
      <c r="F395">
        <v>1021.9660872276207</v>
      </c>
      <c r="G395">
        <v>4960.5227948309666</v>
      </c>
      <c r="H395" s="1">
        <v>46022.333333333336</v>
      </c>
    </row>
    <row r="396" spans="1:8" x14ac:dyDescent="0.25">
      <c r="A396" s="7">
        <f>DATE(YEAR(m3_crossvalid[[#This Row],[cutoff]]),MONTH(m3_crossvalid[[#This Row],[cutoff]]),DAY(m3_crossvalid[[#This Row],[cutoff]]))</f>
        <v>46022</v>
      </c>
      <c r="B396" s="7">
        <f>DATE(YEAR(m3_crossvalid[[#This Row],[ds]]),MONTH(m3_crossvalid[[#This Row],[ds]]),DAY(m3_crossvalid[[#This Row],[ds]]))</f>
        <v>46045</v>
      </c>
      <c r="C396">
        <v>3000</v>
      </c>
      <c r="D396" s="1">
        <v>46045.333333333336</v>
      </c>
      <c r="E396">
        <v>3361.4880835530284</v>
      </c>
      <c r="F396">
        <v>1417.4012625676328</v>
      </c>
      <c r="G396">
        <v>5226.8844909614654</v>
      </c>
      <c r="H396" s="1">
        <v>46022.333333333336</v>
      </c>
    </row>
    <row r="397" spans="1:8" x14ac:dyDescent="0.25">
      <c r="A397" s="7">
        <f>DATE(YEAR(m3_crossvalid[[#This Row],[cutoff]]),MONTH(m3_crossvalid[[#This Row],[cutoff]]),DAY(m3_crossvalid[[#This Row],[cutoff]]))</f>
        <v>46022</v>
      </c>
      <c r="B397" s="7">
        <f>DATE(YEAR(m3_crossvalid[[#This Row],[ds]]),MONTH(m3_crossvalid[[#This Row],[ds]]),DAY(m3_crossvalid[[#This Row],[ds]]))</f>
        <v>46046</v>
      </c>
      <c r="C397">
        <v>902</v>
      </c>
      <c r="D397" s="1">
        <v>46046.333333333336</v>
      </c>
      <c r="E397">
        <v>1236.5474668988622</v>
      </c>
      <c r="F397">
        <v>-797.30937167305797</v>
      </c>
      <c r="G397">
        <v>2980.7823899210339</v>
      </c>
      <c r="H397" s="1">
        <v>46022.333333333336</v>
      </c>
    </row>
    <row r="398" spans="1:8" x14ac:dyDescent="0.25">
      <c r="A398" s="7">
        <f>DATE(YEAR(m3_crossvalid[[#This Row],[cutoff]]),MONTH(m3_crossvalid[[#This Row],[cutoff]]),DAY(m3_crossvalid[[#This Row],[cutoff]]))</f>
        <v>46022</v>
      </c>
      <c r="B398" s="7">
        <f>DATE(YEAR(m3_crossvalid[[#This Row],[ds]]),MONTH(m3_crossvalid[[#This Row],[ds]]),DAY(m3_crossvalid[[#This Row],[ds]]))</f>
        <v>46047</v>
      </c>
      <c r="C398">
        <v>150</v>
      </c>
      <c r="D398" s="1">
        <v>46047.333333333336</v>
      </c>
      <c r="E398">
        <v>689.01457755238494</v>
      </c>
      <c r="F398">
        <v>-1268.0135438670147</v>
      </c>
      <c r="G398">
        <v>2673.0785429125499</v>
      </c>
      <c r="H398" s="1">
        <v>46022.333333333336</v>
      </c>
    </row>
    <row r="399" spans="1:8" x14ac:dyDescent="0.25">
      <c r="A399" s="7">
        <f>DATE(YEAR(m3_crossvalid[[#This Row],[cutoff]]),MONTH(m3_crossvalid[[#This Row],[cutoff]]),DAY(m3_crossvalid[[#This Row],[cutoff]]))</f>
        <v>46022</v>
      </c>
      <c r="B399" s="7">
        <f>DATE(YEAR(m3_crossvalid[[#This Row],[ds]]),MONTH(m3_crossvalid[[#This Row],[ds]]),DAY(m3_crossvalid[[#This Row],[ds]]))</f>
        <v>46048</v>
      </c>
      <c r="C399">
        <v>3603</v>
      </c>
      <c r="D399" s="1">
        <v>46048.333333333336</v>
      </c>
      <c r="E399">
        <v>3364.1158732930953</v>
      </c>
      <c r="F399">
        <v>1300.7926036483912</v>
      </c>
      <c r="G399">
        <v>5247.0389558614806</v>
      </c>
      <c r="H399" s="1">
        <v>46022.333333333336</v>
      </c>
    </row>
    <row r="400" spans="1:8" x14ac:dyDescent="0.25">
      <c r="A400" s="7">
        <f>DATE(YEAR(m3_crossvalid[[#This Row],[cutoff]]),MONTH(m3_crossvalid[[#This Row],[cutoff]]),DAY(m3_crossvalid[[#This Row],[cutoff]]))</f>
        <v>46022</v>
      </c>
      <c r="B400" s="7">
        <f>DATE(YEAR(m3_crossvalid[[#This Row],[ds]]),MONTH(m3_crossvalid[[#This Row],[ds]]),DAY(m3_crossvalid[[#This Row],[ds]]))</f>
        <v>46049</v>
      </c>
      <c r="C400">
        <v>4548</v>
      </c>
      <c r="D400" s="1">
        <v>46049.333333333336</v>
      </c>
      <c r="E400">
        <v>4303.426871331807</v>
      </c>
      <c r="F400">
        <v>2517.1887451095877</v>
      </c>
      <c r="G400">
        <v>6133.6570405105695</v>
      </c>
      <c r="H400" s="1">
        <v>46022.333333333336</v>
      </c>
    </row>
    <row r="401" spans="1:8" x14ac:dyDescent="0.25">
      <c r="A401" s="7">
        <f>DATE(YEAR(m3_crossvalid[[#This Row],[cutoff]]),MONTH(m3_crossvalid[[#This Row],[cutoff]]),DAY(m3_crossvalid[[#This Row],[cutoff]]))</f>
        <v>46022</v>
      </c>
      <c r="B401" s="7">
        <f>DATE(YEAR(m3_crossvalid[[#This Row],[ds]]),MONTH(m3_crossvalid[[#This Row],[ds]]),DAY(m3_crossvalid[[#This Row],[ds]]))</f>
        <v>46050</v>
      </c>
      <c r="C401">
        <v>5313</v>
      </c>
      <c r="D401" s="1">
        <v>46050.333333333336</v>
      </c>
      <c r="E401">
        <v>5539.9549137687191</v>
      </c>
      <c r="F401">
        <v>3707.0517142562303</v>
      </c>
      <c r="G401">
        <v>7580.8332587766718</v>
      </c>
      <c r="H401" s="1">
        <v>46022.333333333336</v>
      </c>
    </row>
    <row r="402" spans="1:8" x14ac:dyDescent="0.25">
      <c r="A402" s="7">
        <f>DATE(YEAR(m3_crossvalid[[#This Row],[cutoff]]),MONTH(m3_crossvalid[[#This Row],[cutoff]]),DAY(m3_crossvalid[[#This Row],[cutoff]]))</f>
        <v>46022</v>
      </c>
      <c r="B402" s="7">
        <f>DATE(YEAR(m3_crossvalid[[#This Row],[ds]]),MONTH(m3_crossvalid[[#This Row],[ds]]),DAY(m3_crossvalid[[#This Row],[ds]]))</f>
        <v>46051</v>
      </c>
      <c r="C402">
        <v>7326</v>
      </c>
      <c r="D402" s="1">
        <v>46051.333333333336</v>
      </c>
      <c r="E402">
        <v>6655.8034974198908</v>
      </c>
      <c r="F402">
        <v>4931.0444244278351</v>
      </c>
      <c r="G402">
        <v>8535.6404012890798</v>
      </c>
      <c r="H402" s="1">
        <v>46022.333333333336</v>
      </c>
    </row>
    <row r="403" spans="1:8" x14ac:dyDescent="0.25">
      <c r="A403" s="7">
        <f>DATE(YEAR(m3_crossvalid[[#This Row],[cutoff]]),MONTH(m3_crossvalid[[#This Row],[cutoff]]),DAY(m3_crossvalid[[#This Row],[cutoff]]))</f>
        <v>46022</v>
      </c>
      <c r="B403" s="7">
        <f>DATE(YEAR(m3_crossvalid[[#This Row],[ds]]),MONTH(m3_crossvalid[[#This Row],[ds]]),DAY(m3_crossvalid[[#This Row],[ds]]))</f>
        <v>46052</v>
      </c>
      <c r="C403">
        <v>10276</v>
      </c>
      <c r="D403" s="1">
        <v>46052.333333333336</v>
      </c>
      <c r="E403">
        <v>6961.996331475093</v>
      </c>
      <c r="F403">
        <v>5069.6713056091412</v>
      </c>
      <c r="G403">
        <v>8726.4069195959564</v>
      </c>
      <c r="H403" s="1">
        <v>46022.333333333336</v>
      </c>
    </row>
    <row r="404" spans="1:8" x14ac:dyDescent="0.25">
      <c r="A404" s="7">
        <f>DATE(YEAR(m3_crossvalid[[#This Row],[cutoff]]),MONTH(m3_crossvalid[[#This Row],[cutoff]]),DAY(m3_crossvalid[[#This Row],[cutoff]]))</f>
        <v>46022</v>
      </c>
      <c r="B404" s="7">
        <f>DATE(YEAR(m3_crossvalid[[#This Row],[ds]]),MONTH(m3_crossvalid[[#This Row],[ds]]),DAY(m3_crossvalid[[#This Row],[ds]]))</f>
        <v>46053</v>
      </c>
      <c r="C404">
        <v>7991</v>
      </c>
      <c r="D404" s="1">
        <v>46053.333333333336</v>
      </c>
      <c r="E404">
        <v>3810.3141789696892</v>
      </c>
      <c r="F404">
        <v>2075.9947846555337</v>
      </c>
      <c r="G404">
        <v>5774.8797756175081</v>
      </c>
      <c r="H404" s="1">
        <v>46022.333333333336</v>
      </c>
    </row>
    <row r="405" spans="1:8" x14ac:dyDescent="0.25">
      <c r="A405" s="7">
        <f>DATE(YEAR(m3_crossvalid[[#This Row],[cutoff]]),MONTH(m3_crossvalid[[#This Row],[cutoff]]),DAY(m3_crossvalid[[#This Row],[cutoff]]))</f>
        <v>46053</v>
      </c>
      <c r="B405" s="7">
        <f>DATE(YEAR(m3_crossvalid[[#This Row],[ds]]),MONTH(m3_crossvalid[[#This Row],[ds]]),DAY(m3_crossvalid[[#This Row],[ds]]))</f>
        <v>46054</v>
      </c>
      <c r="C405">
        <v>26</v>
      </c>
      <c r="D405" s="1">
        <v>46054.333333333336</v>
      </c>
      <c r="E405">
        <v>-133.85175075607913</v>
      </c>
      <c r="F405">
        <v>-2192.9464896750869</v>
      </c>
      <c r="G405">
        <v>1570.1630354710028</v>
      </c>
      <c r="H405" s="1">
        <v>46053.333333333336</v>
      </c>
    </row>
    <row r="406" spans="1:8" x14ac:dyDescent="0.25">
      <c r="A406" s="7">
        <f>DATE(YEAR(m3_crossvalid[[#This Row],[cutoff]]),MONTH(m3_crossvalid[[#This Row],[cutoff]]),DAY(m3_crossvalid[[#This Row],[cutoff]]))</f>
        <v>46053</v>
      </c>
      <c r="B406" s="7">
        <f>DATE(YEAR(m3_crossvalid[[#This Row],[ds]]),MONTH(m3_crossvalid[[#This Row],[ds]]),DAY(m3_crossvalid[[#This Row],[ds]]))</f>
        <v>46055</v>
      </c>
      <c r="C406">
        <v>134</v>
      </c>
      <c r="D406" s="1">
        <v>46055.333333333336</v>
      </c>
      <c r="E406">
        <v>616.57615193829565</v>
      </c>
      <c r="F406">
        <v>-1205.2653129228745</v>
      </c>
      <c r="G406">
        <v>2485.2234876212169</v>
      </c>
      <c r="H406" s="1">
        <v>46053.333333333336</v>
      </c>
    </row>
    <row r="407" spans="1:8" x14ac:dyDescent="0.25">
      <c r="A407" s="7">
        <f>DATE(YEAR(m3_crossvalid[[#This Row],[cutoff]]),MONTH(m3_crossvalid[[#This Row],[cutoff]]),DAY(m3_crossvalid[[#This Row],[cutoff]]))</f>
        <v>46053</v>
      </c>
      <c r="B407" s="7">
        <f>DATE(YEAR(m3_crossvalid[[#This Row],[ds]]),MONTH(m3_crossvalid[[#This Row],[ds]]),DAY(m3_crossvalid[[#This Row],[ds]]))</f>
        <v>46056</v>
      </c>
      <c r="C407">
        <v>521</v>
      </c>
      <c r="D407" s="1">
        <v>46056.333333333336</v>
      </c>
      <c r="E407">
        <v>-147.33770212707304</v>
      </c>
      <c r="F407">
        <v>-2022.1194918858</v>
      </c>
      <c r="G407">
        <v>1517.3046417964913</v>
      </c>
      <c r="H407" s="1">
        <v>46053.333333333336</v>
      </c>
    </row>
    <row r="408" spans="1:8" x14ac:dyDescent="0.25">
      <c r="A408" s="7">
        <f>DATE(YEAR(m3_crossvalid[[#This Row],[cutoff]]),MONTH(m3_crossvalid[[#This Row],[cutoff]]),DAY(m3_crossvalid[[#This Row],[cutoff]]))</f>
        <v>46053</v>
      </c>
      <c r="B408" s="7">
        <f>DATE(YEAR(m3_crossvalid[[#This Row],[ds]]),MONTH(m3_crossvalid[[#This Row],[ds]]),DAY(m3_crossvalid[[#This Row],[ds]]))</f>
        <v>46057</v>
      </c>
      <c r="C408">
        <v>696</v>
      </c>
      <c r="D408" s="1">
        <v>46057.333333333336</v>
      </c>
      <c r="E408">
        <v>1615.3261116144176</v>
      </c>
      <c r="F408">
        <v>-259.1618334186573</v>
      </c>
      <c r="G408">
        <v>3394.2277231154053</v>
      </c>
      <c r="H408" s="1">
        <v>46053.333333333336</v>
      </c>
    </row>
    <row r="409" spans="1:8" x14ac:dyDescent="0.25">
      <c r="A409" s="7">
        <f>DATE(YEAR(m3_crossvalid[[#This Row],[cutoff]]),MONTH(m3_crossvalid[[#This Row],[cutoff]]),DAY(m3_crossvalid[[#This Row],[cutoff]]))</f>
        <v>46053</v>
      </c>
      <c r="B409" s="7">
        <f>DATE(YEAR(m3_crossvalid[[#This Row],[ds]]),MONTH(m3_crossvalid[[#This Row],[ds]]),DAY(m3_crossvalid[[#This Row],[ds]]))</f>
        <v>46058</v>
      </c>
      <c r="C409">
        <v>1038</v>
      </c>
      <c r="D409" s="1">
        <v>46058.333333333336</v>
      </c>
      <c r="E409">
        <v>1987.9192978824126</v>
      </c>
      <c r="F409">
        <v>137.33531709535043</v>
      </c>
      <c r="G409">
        <v>3917.7664332105642</v>
      </c>
      <c r="H409" s="1">
        <v>46053.333333333336</v>
      </c>
    </row>
    <row r="410" spans="1:8" x14ac:dyDescent="0.25">
      <c r="A410" s="7">
        <f>DATE(YEAR(m3_crossvalid[[#This Row],[cutoff]]),MONTH(m3_crossvalid[[#This Row],[cutoff]]),DAY(m3_crossvalid[[#This Row],[cutoff]]))</f>
        <v>46053</v>
      </c>
      <c r="B410" s="7">
        <f>DATE(YEAR(m3_crossvalid[[#This Row],[ds]]),MONTH(m3_crossvalid[[#This Row],[ds]]),DAY(m3_crossvalid[[#This Row],[ds]]))</f>
        <v>46059</v>
      </c>
      <c r="C410">
        <v>1414</v>
      </c>
      <c r="D410" s="1">
        <v>46059.333333333336</v>
      </c>
      <c r="E410">
        <v>2291.1382054187516</v>
      </c>
      <c r="F410">
        <v>370.15496446442279</v>
      </c>
      <c r="G410">
        <v>4203.4637797215228</v>
      </c>
      <c r="H410" s="1">
        <v>46053.333333333336</v>
      </c>
    </row>
    <row r="411" spans="1:8" x14ac:dyDescent="0.25">
      <c r="A411" s="7">
        <f>DATE(YEAR(m3_crossvalid[[#This Row],[cutoff]]),MONTH(m3_crossvalid[[#This Row],[cutoff]]),DAY(m3_crossvalid[[#This Row],[cutoff]]))</f>
        <v>46053</v>
      </c>
      <c r="B411" s="7">
        <f>DATE(YEAR(m3_crossvalid[[#This Row],[ds]]),MONTH(m3_crossvalid[[#This Row],[ds]]),DAY(m3_crossvalid[[#This Row],[ds]]))</f>
        <v>46060</v>
      </c>
      <c r="C411">
        <v>286</v>
      </c>
      <c r="D411" s="1">
        <v>46060.333333333336</v>
      </c>
      <c r="E411">
        <v>15.657315597798515</v>
      </c>
      <c r="F411">
        <v>-1862.7012962397234</v>
      </c>
      <c r="G411">
        <v>1929.3367172571311</v>
      </c>
      <c r="H411" s="1">
        <v>46053.333333333336</v>
      </c>
    </row>
    <row r="412" spans="1:8" x14ac:dyDescent="0.25">
      <c r="A412" s="7">
        <f>DATE(YEAR(m3_crossvalid[[#This Row],[cutoff]]),MONTH(m3_crossvalid[[#This Row],[cutoff]]),DAY(m3_crossvalid[[#This Row],[cutoff]]))</f>
        <v>46053</v>
      </c>
      <c r="B412" s="7">
        <f>DATE(YEAR(m3_crossvalid[[#This Row],[ds]]),MONTH(m3_crossvalid[[#This Row],[ds]]),DAY(m3_crossvalid[[#This Row],[ds]]))</f>
        <v>46061</v>
      </c>
      <c r="C412">
        <v>82</v>
      </c>
      <c r="D412" s="1">
        <v>46061.333333333336</v>
      </c>
      <c r="E412">
        <v>-702.77745418241784</v>
      </c>
      <c r="F412">
        <v>-2574.0097180993444</v>
      </c>
      <c r="G412">
        <v>1072.5695354195941</v>
      </c>
      <c r="H412" s="1">
        <v>46053.333333333336</v>
      </c>
    </row>
    <row r="413" spans="1:8" x14ac:dyDescent="0.25">
      <c r="A413" s="7">
        <f>DATE(YEAR(m3_crossvalid[[#This Row],[cutoff]]),MONTH(m3_crossvalid[[#This Row],[cutoff]]),DAY(m3_crossvalid[[#This Row],[cutoff]]))</f>
        <v>46053</v>
      </c>
      <c r="B413" s="7">
        <f>DATE(YEAR(m3_crossvalid[[#This Row],[ds]]),MONTH(m3_crossvalid[[#This Row],[ds]]),DAY(m3_crossvalid[[#This Row],[ds]]))</f>
        <v>46062</v>
      </c>
      <c r="C413">
        <v>1902</v>
      </c>
      <c r="D413" s="1">
        <v>46062.333333333336</v>
      </c>
      <c r="E413">
        <v>1796.3916535527242</v>
      </c>
      <c r="F413">
        <v>-51.761220590939651</v>
      </c>
      <c r="G413">
        <v>3701.7481547846232</v>
      </c>
      <c r="H413" s="1">
        <v>46053.333333333336</v>
      </c>
    </row>
    <row r="414" spans="1:8" x14ac:dyDescent="0.25">
      <c r="A414" s="7">
        <f>DATE(YEAR(m3_crossvalid[[#This Row],[cutoff]]),MONTH(m3_crossvalid[[#This Row],[cutoff]]),DAY(m3_crossvalid[[#This Row],[cutoff]]))</f>
        <v>46053</v>
      </c>
      <c r="B414" s="7">
        <f>DATE(YEAR(m3_crossvalid[[#This Row],[ds]]),MONTH(m3_crossvalid[[#This Row],[ds]]),DAY(m3_crossvalid[[#This Row],[ds]]))</f>
        <v>46063</v>
      </c>
      <c r="C414">
        <v>2288</v>
      </c>
      <c r="D414" s="1">
        <v>46063.333333333336</v>
      </c>
      <c r="E414">
        <v>2313.2927671274597</v>
      </c>
      <c r="F414">
        <v>390.39524336283341</v>
      </c>
      <c r="G414">
        <v>4311.8681266163276</v>
      </c>
      <c r="H414" s="1">
        <v>46053.333333333336</v>
      </c>
    </row>
    <row r="415" spans="1:8" x14ac:dyDescent="0.25">
      <c r="A415" s="7">
        <f>DATE(YEAR(m3_crossvalid[[#This Row],[cutoff]]),MONTH(m3_crossvalid[[#This Row],[cutoff]]),DAY(m3_crossvalid[[#This Row],[cutoff]]))</f>
        <v>46053</v>
      </c>
      <c r="B415" s="7">
        <f>DATE(YEAR(m3_crossvalid[[#This Row],[ds]]),MONTH(m3_crossvalid[[#This Row],[ds]]),DAY(m3_crossvalid[[#This Row],[ds]]))</f>
        <v>46064</v>
      </c>
      <c r="C415">
        <v>2663</v>
      </c>
      <c r="D415" s="1">
        <v>46064.333333333336</v>
      </c>
      <c r="E415">
        <v>2697.0136978208197</v>
      </c>
      <c r="F415">
        <v>874.2153305901636</v>
      </c>
      <c r="G415">
        <v>4585.8588151759504</v>
      </c>
      <c r="H415" s="1">
        <v>46053.333333333336</v>
      </c>
    </row>
    <row r="416" spans="1:8" x14ac:dyDescent="0.25">
      <c r="A416" s="7">
        <f>DATE(YEAR(m3_crossvalid[[#This Row],[cutoff]]),MONTH(m3_crossvalid[[#This Row],[cutoff]]),DAY(m3_crossvalid[[#This Row],[cutoff]]))</f>
        <v>46053</v>
      </c>
      <c r="B416" s="7">
        <f>DATE(YEAR(m3_crossvalid[[#This Row],[ds]]),MONTH(m3_crossvalid[[#This Row],[ds]]),DAY(m3_crossvalid[[#This Row],[ds]]))</f>
        <v>46065</v>
      </c>
      <c r="C416">
        <v>3108</v>
      </c>
      <c r="D416" s="1">
        <v>46065.333333333336</v>
      </c>
      <c r="E416">
        <v>2820.4152056757462</v>
      </c>
      <c r="F416">
        <v>1000.6869701999498</v>
      </c>
      <c r="G416">
        <v>4820.4089631647803</v>
      </c>
      <c r="H416" s="1">
        <v>46053.333333333336</v>
      </c>
    </row>
    <row r="417" spans="1:8" x14ac:dyDescent="0.25">
      <c r="A417" s="7">
        <f>DATE(YEAR(m3_crossvalid[[#This Row],[cutoff]]),MONTH(m3_crossvalid[[#This Row],[cutoff]]),DAY(m3_crossvalid[[#This Row],[cutoff]]))</f>
        <v>46053</v>
      </c>
      <c r="B417" s="7">
        <f>DATE(YEAR(m3_crossvalid[[#This Row],[ds]]),MONTH(m3_crossvalid[[#This Row],[ds]]),DAY(m3_crossvalid[[#This Row],[ds]]))</f>
        <v>46066</v>
      </c>
      <c r="C417">
        <v>3172</v>
      </c>
      <c r="D417" s="1">
        <v>46066.333333333336</v>
      </c>
      <c r="E417">
        <v>2697.7733780719091</v>
      </c>
      <c r="F417">
        <v>714.82643280292893</v>
      </c>
      <c r="G417">
        <v>4567.6734133006303</v>
      </c>
      <c r="H417" s="1">
        <v>46053.333333333336</v>
      </c>
    </row>
    <row r="418" spans="1:8" x14ac:dyDescent="0.25">
      <c r="A418" s="7">
        <f>DATE(YEAR(m3_crossvalid[[#This Row],[cutoff]]),MONTH(m3_crossvalid[[#This Row],[cutoff]]),DAY(m3_crossvalid[[#This Row],[cutoff]]))</f>
        <v>46053</v>
      </c>
      <c r="B418" s="7">
        <f>DATE(YEAR(m3_crossvalid[[#This Row],[ds]]),MONTH(m3_crossvalid[[#This Row],[ds]]),DAY(m3_crossvalid[[#This Row],[ds]]))</f>
        <v>46067</v>
      </c>
      <c r="C418">
        <v>913</v>
      </c>
      <c r="D418" s="1">
        <v>46067.333333333336</v>
      </c>
      <c r="E418">
        <v>280.69403688702232</v>
      </c>
      <c r="F418">
        <v>-1665.0287888039063</v>
      </c>
      <c r="G418">
        <v>2195.5234516680939</v>
      </c>
      <c r="H418" s="1">
        <v>46053.333333333336</v>
      </c>
    </row>
    <row r="419" spans="1:8" x14ac:dyDescent="0.25">
      <c r="A419" s="7">
        <f>DATE(YEAR(m3_crossvalid[[#This Row],[cutoff]]),MONTH(m3_crossvalid[[#This Row],[cutoff]]),DAY(m3_crossvalid[[#This Row],[cutoff]]))</f>
        <v>46053</v>
      </c>
      <c r="B419" s="7">
        <f>DATE(YEAR(m3_crossvalid[[#This Row],[ds]]),MONTH(m3_crossvalid[[#This Row],[ds]]),DAY(m3_crossvalid[[#This Row],[ds]]))</f>
        <v>46068</v>
      </c>
      <c r="C419">
        <v>208</v>
      </c>
      <c r="D419" s="1">
        <v>46068.333333333336</v>
      </c>
      <c r="E419">
        <v>-227.59974690717627</v>
      </c>
      <c r="F419">
        <v>-2001.598489844157</v>
      </c>
      <c r="G419">
        <v>1787.7267682844097</v>
      </c>
      <c r="H419" s="1">
        <v>46053.333333333336</v>
      </c>
    </row>
    <row r="420" spans="1:8" x14ac:dyDescent="0.25">
      <c r="A420" s="7">
        <f>DATE(YEAR(m3_crossvalid[[#This Row],[cutoff]]),MONTH(m3_crossvalid[[#This Row],[cutoff]]),DAY(m3_crossvalid[[#This Row],[cutoff]]))</f>
        <v>46053</v>
      </c>
      <c r="B420" s="7">
        <f>DATE(YEAR(m3_crossvalid[[#This Row],[ds]]),MONTH(m3_crossvalid[[#This Row],[ds]]),DAY(m3_crossvalid[[#This Row],[ds]]))</f>
        <v>46069</v>
      </c>
      <c r="C420">
        <v>1728</v>
      </c>
      <c r="D420" s="1">
        <v>46069.333333333336</v>
      </c>
      <c r="E420">
        <v>2534.996903048841</v>
      </c>
      <c r="F420">
        <v>603.20616229596794</v>
      </c>
      <c r="G420">
        <v>4600.8264051012648</v>
      </c>
      <c r="H420" s="1">
        <v>46053.333333333336</v>
      </c>
    </row>
    <row r="421" spans="1:8" x14ac:dyDescent="0.25">
      <c r="A421" s="7">
        <f>DATE(YEAR(m3_crossvalid[[#This Row],[cutoff]]),MONTH(m3_crossvalid[[#This Row],[cutoff]]),DAY(m3_crossvalid[[#This Row],[cutoff]]))</f>
        <v>46053</v>
      </c>
      <c r="B421" s="7">
        <f>DATE(YEAR(m3_crossvalid[[#This Row],[ds]]),MONTH(m3_crossvalid[[#This Row],[ds]]),DAY(m3_crossvalid[[#This Row],[ds]]))</f>
        <v>46070</v>
      </c>
      <c r="C421">
        <v>27</v>
      </c>
      <c r="D421" s="1">
        <v>46070.333333333336</v>
      </c>
      <c r="E421">
        <v>619.24125179552902</v>
      </c>
      <c r="F421">
        <v>-1095.8685732033885</v>
      </c>
      <c r="G421">
        <v>2496.9901121681241</v>
      </c>
      <c r="H421" s="1">
        <v>46053.333333333336</v>
      </c>
    </row>
    <row r="422" spans="1:8" x14ac:dyDescent="0.25">
      <c r="A422" s="7">
        <f>DATE(YEAR(m3_crossvalid[[#This Row],[cutoff]]),MONTH(m3_crossvalid[[#This Row],[cutoff]]),DAY(m3_crossvalid[[#This Row],[cutoff]]))</f>
        <v>46053</v>
      </c>
      <c r="B422" s="7">
        <f>DATE(YEAR(m3_crossvalid[[#This Row],[ds]]),MONTH(m3_crossvalid[[#This Row],[ds]]),DAY(m3_crossvalid[[#This Row],[ds]]))</f>
        <v>46071</v>
      </c>
      <c r="C422">
        <v>21</v>
      </c>
      <c r="D422" s="1">
        <v>46071.333333333336</v>
      </c>
      <c r="E422">
        <v>712.72871148994341</v>
      </c>
      <c r="F422">
        <v>-1162.9107331093908</v>
      </c>
      <c r="G422">
        <v>2548.0488527987727</v>
      </c>
      <c r="H422" s="1">
        <v>46053.333333333336</v>
      </c>
    </row>
    <row r="423" spans="1:8" x14ac:dyDescent="0.25">
      <c r="A423" s="7">
        <f>DATE(YEAR(m3_crossvalid[[#This Row],[cutoff]]),MONTH(m3_crossvalid[[#This Row],[cutoff]]),DAY(m3_crossvalid[[#This Row],[cutoff]]))</f>
        <v>46053</v>
      </c>
      <c r="B423" s="7">
        <f>DATE(YEAR(m3_crossvalid[[#This Row],[ds]]),MONTH(m3_crossvalid[[#This Row],[ds]]),DAY(m3_crossvalid[[#This Row],[ds]]))</f>
        <v>46072</v>
      </c>
      <c r="C423">
        <v>1000</v>
      </c>
      <c r="D423" s="1">
        <v>46072.333333333336</v>
      </c>
      <c r="E423">
        <v>2977.6691937025007</v>
      </c>
      <c r="F423">
        <v>1174.2879212446196</v>
      </c>
      <c r="G423">
        <v>4890.0858511358565</v>
      </c>
      <c r="H423" s="1">
        <v>46053.333333333336</v>
      </c>
    </row>
    <row r="424" spans="1:8" x14ac:dyDescent="0.25">
      <c r="A424" s="7">
        <f>DATE(YEAR(m3_crossvalid[[#This Row],[cutoff]]),MONTH(m3_crossvalid[[#This Row],[cutoff]]),DAY(m3_crossvalid[[#This Row],[cutoff]]))</f>
        <v>46053</v>
      </c>
      <c r="B424" s="7">
        <f>DATE(YEAR(m3_crossvalid[[#This Row],[ds]]),MONTH(m3_crossvalid[[#This Row],[ds]]),DAY(m3_crossvalid[[#This Row],[ds]]))</f>
        <v>46073</v>
      </c>
      <c r="C424">
        <v>1555</v>
      </c>
      <c r="D424" s="1">
        <v>46073.333333333336</v>
      </c>
      <c r="E424">
        <v>2866.1364197515945</v>
      </c>
      <c r="F424">
        <v>1017.7884333011132</v>
      </c>
      <c r="G424">
        <v>4733.3209310525126</v>
      </c>
      <c r="H424" s="1">
        <v>46053.333333333336</v>
      </c>
    </row>
    <row r="425" spans="1:8" x14ac:dyDescent="0.25">
      <c r="A425" s="7">
        <f>DATE(YEAR(m3_crossvalid[[#This Row],[cutoff]]),MONTH(m3_crossvalid[[#This Row],[cutoff]]),DAY(m3_crossvalid[[#This Row],[cutoff]]))</f>
        <v>46053</v>
      </c>
      <c r="B425" s="7">
        <f>DATE(YEAR(m3_crossvalid[[#This Row],[ds]]),MONTH(m3_crossvalid[[#This Row],[ds]]),DAY(m3_crossvalid[[#This Row],[ds]]))</f>
        <v>46074</v>
      </c>
      <c r="C425">
        <v>492</v>
      </c>
      <c r="D425" s="1">
        <v>46074.333333333336</v>
      </c>
      <c r="E425">
        <v>756.48503902758739</v>
      </c>
      <c r="F425">
        <v>-1152.7981565601419</v>
      </c>
      <c r="G425">
        <v>2596.1179687168046</v>
      </c>
      <c r="H425" s="1">
        <v>46053.333333333336</v>
      </c>
    </row>
    <row r="426" spans="1:8" x14ac:dyDescent="0.25">
      <c r="A426" s="7">
        <f>DATE(YEAR(m3_crossvalid[[#This Row],[cutoff]]),MONTH(m3_crossvalid[[#This Row],[cutoff]]),DAY(m3_crossvalid[[#This Row],[cutoff]]))</f>
        <v>46053</v>
      </c>
      <c r="B426" s="7">
        <f>DATE(YEAR(m3_crossvalid[[#This Row],[ds]]),MONTH(m3_crossvalid[[#This Row],[ds]]),DAY(m3_crossvalid[[#This Row],[ds]]))</f>
        <v>46075</v>
      </c>
      <c r="C426">
        <v>159</v>
      </c>
      <c r="D426" s="1">
        <v>46075.333333333336</v>
      </c>
      <c r="E426">
        <v>556.23518541001226</v>
      </c>
      <c r="F426">
        <v>-1365.6236756959995</v>
      </c>
      <c r="G426">
        <v>2356.0036987232597</v>
      </c>
      <c r="H426" s="1">
        <v>46053.333333333336</v>
      </c>
    </row>
    <row r="427" spans="1:8" x14ac:dyDescent="0.25">
      <c r="A427" s="7">
        <f>DATE(YEAR(m3_crossvalid[[#This Row],[cutoff]]),MONTH(m3_crossvalid[[#This Row],[cutoff]]),DAY(m3_crossvalid[[#This Row],[cutoff]]))</f>
        <v>46053</v>
      </c>
      <c r="B427" s="7">
        <f>DATE(YEAR(m3_crossvalid[[#This Row],[ds]]),MONTH(m3_crossvalid[[#This Row],[ds]]),DAY(m3_crossvalid[[#This Row],[ds]]))</f>
        <v>46076</v>
      </c>
      <c r="C427">
        <v>2313</v>
      </c>
      <c r="D427" s="1">
        <v>46076.333333333336</v>
      </c>
      <c r="E427">
        <v>3347.2898807732226</v>
      </c>
      <c r="F427">
        <v>1570.3733781294864</v>
      </c>
      <c r="G427">
        <v>5270.8844647696715</v>
      </c>
      <c r="H427" s="1">
        <v>46053.333333333336</v>
      </c>
    </row>
    <row r="428" spans="1:8" x14ac:dyDescent="0.25">
      <c r="A428" s="7">
        <f>DATE(YEAR(m3_crossvalid[[#This Row],[cutoff]]),MONTH(m3_crossvalid[[#This Row],[cutoff]]),DAY(m3_crossvalid[[#This Row],[cutoff]]))</f>
        <v>46053</v>
      </c>
      <c r="B428" s="7">
        <f>DATE(YEAR(m3_crossvalid[[#This Row],[ds]]),MONTH(m3_crossvalid[[#This Row],[ds]]),DAY(m3_crossvalid[[#This Row],[ds]]))</f>
        <v>46077</v>
      </c>
      <c r="C428">
        <v>3081</v>
      </c>
      <c r="D428" s="1">
        <v>46077.333333333336</v>
      </c>
      <c r="E428">
        <v>3659.1895697313362</v>
      </c>
      <c r="F428">
        <v>1670.8377012782209</v>
      </c>
      <c r="G428">
        <v>5445.7149203694189</v>
      </c>
      <c r="H428" s="1">
        <v>46053.333333333336</v>
      </c>
    </row>
    <row r="429" spans="1:8" x14ac:dyDescent="0.25">
      <c r="A429" s="7">
        <f>DATE(YEAR(m3_crossvalid[[#This Row],[cutoff]]),MONTH(m3_crossvalid[[#This Row],[cutoff]]),DAY(m3_crossvalid[[#This Row],[cutoff]]))</f>
        <v>46053</v>
      </c>
      <c r="B429" s="7">
        <f>DATE(YEAR(m3_crossvalid[[#This Row],[ds]]),MONTH(m3_crossvalid[[#This Row],[ds]]),DAY(m3_crossvalid[[#This Row],[ds]]))</f>
        <v>46078</v>
      </c>
      <c r="C429">
        <v>4066</v>
      </c>
      <c r="D429" s="1">
        <v>46078.333333333336</v>
      </c>
      <c r="E429">
        <v>3705.8623612444708</v>
      </c>
      <c r="F429">
        <v>1900.8481325409161</v>
      </c>
      <c r="G429">
        <v>5680.674033886874</v>
      </c>
      <c r="H429" s="1">
        <v>46053.333333333336</v>
      </c>
    </row>
    <row r="430" spans="1:8" x14ac:dyDescent="0.25">
      <c r="A430" s="7">
        <f>DATE(YEAR(m3_crossvalid[[#This Row],[cutoff]]),MONTH(m3_crossvalid[[#This Row],[cutoff]]),DAY(m3_crossvalid[[#This Row],[cutoff]]))</f>
        <v>46053</v>
      </c>
      <c r="B430" s="7">
        <f>DATE(YEAR(m3_crossvalid[[#This Row],[ds]]),MONTH(m3_crossvalid[[#This Row],[ds]]),DAY(m3_crossvalid[[#This Row],[ds]]))</f>
        <v>46079</v>
      </c>
      <c r="C430">
        <v>5569</v>
      </c>
      <c r="D430" s="1">
        <v>46079.333333333336</v>
      </c>
      <c r="E430">
        <v>4027.1836565751946</v>
      </c>
      <c r="F430">
        <v>2065.389697641273</v>
      </c>
      <c r="G430">
        <v>5775.2498469733846</v>
      </c>
      <c r="H430" s="1">
        <v>46053.333333333336</v>
      </c>
    </row>
    <row r="431" spans="1:8" x14ac:dyDescent="0.25">
      <c r="A431" s="7">
        <f>DATE(YEAR(m3_crossvalid[[#This Row],[cutoff]]),MONTH(m3_crossvalid[[#This Row],[cutoff]]),DAY(m3_crossvalid[[#This Row],[cutoff]]))</f>
        <v>46053</v>
      </c>
      <c r="B431" s="7">
        <f>DATE(YEAR(m3_crossvalid[[#This Row],[ds]]),MONTH(m3_crossvalid[[#This Row],[ds]]),DAY(m3_crossvalid[[#This Row],[ds]]))</f>
        <v>46080</v>
      </c>
      <c r="C431">
        <v>8803</v>
      </c>
      <c r="D431" s="1">
        <v>46080.333333333336</v>
      </c>
      <c r="E431">
        <v>4921.6136652274963</v>
      </c>
      <c r="F431">
        <v>3053.6799487066846</v>
      </c>
      <c r="G431">
        <v>6784.2980146827631</v>
      </c>
      <c r="H431" s="1">
        <v>46053.333333333336</v>
      </c>
    </row>
    <row r="432" spans="1:8" x14ac:dyDescent="0.25">
      <c r="A432" s="7">
        <f>DATE(YEAR(m3_crossvalid[[#This Row],[cutoff]]),MONTH(m3_crossvalid[[#This Row],[cutoff]]),DAY(m3_crossvalid[[#This Row],[cutoff]]))</f>
        <v>46053</v>
      </c>
      <c r="B432" s="7">
        <f>DATE(YEAR(m3_crossvalid[[#This Row],[ds]]),MONTH(m3_crossvalid[[#This Row],[ds]]),DAY(m3_crossvalid[[#This Row],[ds]]))</f>
        <v>46081</v>
      </c>
      <c r="C432">
        <v>9425</v>
      </c>
      <c r="D432" s="1">
        <v>46081.333333333336</v>
      </c>
      <c r="E432">
        <v>3861.294336167718</v>
      </c>
      <c r="F432">
        <v>1992.3932714182959</v>
      </c>
      <c r="G432">
        <v>5774.636596941702</v>
      </c>
      <c r="H432" s="1">
        <v>46053.333333333336</v>
      </c>
    </row>
    <row r="433" spans="1:8" x14ac:dyDescent="0.25">
      <c r="A433" s="7">
        <f>DATE(YEAR(m3_crossvalid[[#This Row],[cutoff]]),MONTH(m3_crossvalid[[#This Row],[cutoff]]),DAY(m3_crossvalid[[#This Row],[cutoff]]))</f>
        <v>46053</v>
      </c>
      <c r="B433" s="7">
        <f>DATE(YEAR(m3_crossvalid[[#This Row],[ds]]),MONTH(m3_crossvalid[[#This Row],[ds]]),DAY(m3_crossvalid[[#This Row],[ds]]))</f>
        <v>46082</v>
      </c>
      <c r="C433">
        <v>40</v>
      </c>
      <c r="D433" s="1">
        <v>46082.333333333336</v>
      </c>
      <c r="E433">
        <v>4112.4294187508003</v>
      </c>
      <c r="F433">
        <v>2236.0662065073202</v>
      </c>
      <c r="G433">
        <v>5938.3481971857982</v>
      </c>
      <c r="H433" s="1">
        <v>46053.333333333336</v>
      </c>
    </row>
    <row r="434" spans="1:8" x14ac:dyDescent="0.25">
      <c r="A434" s="7">
        <f>DATE(YEAR(m3_crossvalid[[#This Row],[cutoff]]),MONTH(m3_crossvalid[[#This Row],[cutoff]]),DAY(m3_crossvalid[[#This Row],[cutoff]]))</f>
        <v>46053</v>
      </c>
      <c r="B434" s="7">
        <f>DATE(YEAR(m3_crossvalid[[#This Row],[ds]]),MONTH(m3_crossvalid[[#This Row],[ds]]),DAY(m3_crossvalid[[#This Row],[ds]]))</f>
        <v>46083</v>
      </c>
      <c r="C434">
        <v>617</v>
      </c>
      <c r="D434" s="1">
        <v>46083.333333333336</v>
      </c>
      <c r="E434">
        <v>6383.4557642147502</v>
      </c>
      <c r="F434">
        <v>4602.232339463656</v>
      </c>
      <c r="G434">
        <v>8346.5344072267144</v>
      </c>
      <c r="H434" s="1">
        <v>46053.333333333336</v>
      </c>
    </row>
    <row r="435" spans="1:8" x14ac:dyDescent="0.25">
      <c r="A435" s="7">
        <f>DATE(YEAR(m3_crossvalid[[#This Row],[cutoff]]),MONTH(m3_crossvalid[[#This Row],[cutoff]]),DAY(m3_crossvalid[[#This Row],[cutoff]]))</f>
        <v>46053</v>
      </c>
      <c r="B435" s="7">
        <f>DATE(YEAR(m3_crossvalid[[#This Row],[ds]]),MONTH(m3_crossvalid[[#This Row],[ds]]),DAY(m3_crossvalid[[#This Row],[ds]]))</f>
        <v>46084</v>
      </c>
      <c r="C435">
        <v>799</v>
      </c>
      <c r="D435" s="1">
        <v>46084.333333333336</v>
      </c>
      <c r="E435">
        <v>5307.2451432942707</v>
      </c>
      <c r="F435">
        <v>3361.0143800685978</v>
      </c>
      <c r="G435">
        <v>7241.9260084549742</v>
      </c>
      <c r="H435" s="1">
        <v>46053.333333333336</v>
      </c>
    </row>
    <row r="436" spans="1:8" x14ac:dyDescent="0.25">
      <c r="A436" s="7">
        <f>DATE(YEAR(m3_crossvalid[[#This Row],[cutoff]]),MONTH(m3_crossvalid[[#This Row],[cutoff]]),DAY(m3_crossvalid[[#This Row],[cutoff]]))</f>
        <v>46081</v>
      </c>
      <c r="B436" s="7">
        <f>DATE(YEAR(m3_crossvalid[[#This Row],[ds]]),MONTH(m3_crossvalid[[#This Row],[ds]]),DAY(m3_crossvalid[[#This Row],[ds]]))</f>
        <v>46082</v>
      </c>
      <c r="C436">
        <v>40</v>
      </c>
      <c r="D436" s="1">
        <v>46082.333333333336</v>
      </c>
      <c r="E436">
        <v>4262.5700659688346</v>
      </c>
      <c r="F436">
        <v>2413.309519836429</v>
      </c>
      <c r="G436">
        <v>6199.5250013192226</v>
      </c>
      <c r="H436" s="1">
        <v>46081.333333333336</v>
      </c>
    </row>
    <row r="437" spans="1:8" x14ac:dyDescent="0.25">
      <c r="A437" s="7">
        <f>DATE(YEAR(m3_crossvalid[[#This Row],[cutoff]]),MONTH(m3_crossvalid[[#This Row],[cutoff]]),DAY(m3_crossvalid[[#This Row],[cutoff]]))</f>
        <v>46081</v>
      </c>
      <c r="B437" s="7">
        <f>DATE(YEAR(m3_crossvalid[[#This Row],[ds]]),MONTH(m3_crossvalid[[#This Row],[ds]]),DAY(m3_crossvalid[[#This Row],[ds]]))</f>
        <v>46083</v>
      </c>
      <c r="C437">
        <v>617</v>
      </c>
      <c r="D437" s="1">
        <v>46083.333333333336</v>
      </c>
      <c r="E437">
        <v>6488.2200562251746</v>
      </c>
      <c r="F437">
        <v>4771.6351639557724</v>
      </c>
      <c r="G437">
        <v>8341.4308481996468</v>
      </c>
      <c r="H437" s="1">
        <v>46081.333333333336</v>
      </c>
    </row>
    <row r="438" spans="1:8" x14ac:dyDescent="0.25">
      <c r="A438" s="7">
        <f>DATE(YEAR(m3_crossvalid[[#This Row],[cutoff]]),MONTH(m3_crossvalid[[#This Row],[cutoff]]),DAY(m3_crossvalid[[#This Row],[cutoff]]))</f>
        <v>46081</v>
      </c>
      <c r="B438" s="7">
        <f>DATE(YEAR(m3_crossvalid[[#This Row],[ds]]),MONTH(m3_crossvalid[[#This Row],[ds]]),DAY(m3_crossvalid[[#This Row],[ds]]))</f>
        <v>46084</v>
      </c>
      <c r="C438">
        <v>799</v>
      </c>
      <c r="D438" s="1">
        <v>46084.333333333336</v>
      </c>
      <c r="E438">
        <v>5407.7190606807289</v>
      </c>
      <c r="F438">
        <v>3510.6739293197106</v>
      </c>
      <c r="G438">
        <v>7144.7484060776951</v>
      </c>
      <c r="H438" s="1">
        <v>46081.333333333336</v>
      </c>
    </row>
    <row r="439" spans="1:8" x14ac:dyDescent="0.25">
      <c r="A439" s="7">
        <f>DATE(YEAR(m3_crossvalid[[#This Row],[cutoff]]),MONTH(m3_crossvalid[[#This Row],[cutoff]]),DAY(m3_crossvalid[[#This Row],[cutoff]]))</f>
        <v>46081</v>
      </c>
      <c r="B439" s="7">
        <f>DATE(YEAR(m3_crossvalid[[#This Row],[ds]]),MONTH(m3_crossvalid[[#This Row],[ds]]),DAY(m3_crossvalid[[#This Row],[ds]]))</f>
        <v>46085</v>
      </c>
      <c r="C439">
        <v>995</v>
      </c>
      <c r="D439" s="1">
        <v>46085.333333333336</v>
      </c>
      <c r="E439">
        <v>3631.2591375086267</v>
      </c>
      <c r="F439">
        <v>1723.5758006997662</v>
      </c>
      <c r="G439">
        <v>5603.1815825114518</v>
      </c>
      <c r="H439" s="1">
        <v>46081.333333333336</v>
      </c>
    </row>
    <row r="440" spans="1:8" x14ac:dyDescent="0.25">
      <c r="A440" s="7">
        <f>DATE(YEAR(m3_crossvalid[[#This Row],[cutoff]]),MONTH(m3_crossvalid[[#This Row],[cutoff]]),DAY(m3_crossvalid[[#This Row],[cutoff]]))</f>
        <v>46081</v>
      </c>
      <c r="B440" s="7">
        <f>DATE(YEAR(m3_crossvalid[[#This Row],[ds]]),MONTH(m3_crossvalid[[#This Row],[ds]]),DAY(m3_crossvalid[[#This Row],[ds]]))</f>
        <v>46086</v>
      </c>
      <c r="C440">
        <v>1314</v>
      </c>
      <c r="D440" s="1">
        <v>46086.333333333336</v>
      </c>
      <c r="E440">
        <v>2162.2930850459006</v>
      </c>
      <c r="F440">
        <v>303.51859275997549</v>
      </c>
      <c r="G440">
        <v>4057.1895180947404</v>
      </c>
      <c r="H440" s="1">
        <v>46081.333333333336</v>
      </c>
    </row>
    <row r="441" spans="1:8" x14ac:dyDescent="0.25">
      <c r="A441" s="7">
        <f>DATE(YEAR(m3_crossvalid[[#This Row],[cutoff]]),MONTH(m3_crossvalid[[#This Row],[cutoff]]),DAY(m3_crossvalid[[#This Row],[cutoff]]))</f>
        <v>46081</v>
      </c>
      <c r="B441" s="7">
        <f>DATE(YEAR(m3_crossvalid[[#This Row],[ds]]),MONTH(m3_crossvalid[[#This Row],[ds]]),DAY(m3_crossvalid[[#This Row],[ds]]))</f>
        <v>46087</v>
      </c>
      <c r="C441">
        <v>1617</v>
      </c>
      <c r="D441" s="1">
        <v>46087.333333333336</v>
      </c>
      <c r="E441">
        <v>1588.0374026882228</v>
      </c>
      <c r="F441">
        <v>-264.595993655759</v>
      </c>
      <c r="G441">
        <v>3441.2818846782147</v>
      </c>
      <c r="H441" s="1">
        <v>46081.333333333336</v>
      </c>
    </row>
    <row r="442" spans="1:8" x14ac:dyDescent="0.25">
      <c r="A442" s="7">
        <f>DATE(YEAR(m3_crossvalid[[#This Row],[cutoff]]),MONTH(m3_crossvalid[[#This Row],[cutoff]]),DAY(m3_crossvalid[[#This Row],[cutoff]]))</f>
        <v>46081</v>
      </c>
      <c r="B442" s="7">
        <f>DATE(YEAR(m3_crossvalid[[#This Row],[ds]]),MONTH(m3_crossvalid[[#This Row],[ds]]),DAY(m3_crossvalid[[#This Row],[ds]]))</f>
        <v>46088</v>
      </c>
      <c r="C442">
        <v>220</v>
      </c>
      <c r="D442" s="1">
        <v>46088.333333333336</v>
      </c>
      <c r="E442">
        <v>-2281.00360414734</v>
      </c>
      <c r="F442">
        <v>-4017.4209217633479</v>
      </c>
      <c r="G442">
        <v>-321.73269936965812</v>
      </c>
      <c r="H442" s="1">
        <v>46081.333333333336</v>
      </c>
    </row>
    <row r="443" spans="1:8" x14ac:dyDescent="0.25">
      <c r="A443" s="7">
        <f>DATE(YEAR(m3_crossvalid[[#This Row],[cutoff]]),MONTH(m3_crossvalid[[#This Row],[cutoff]]),DAY(m3_crossvalid[[#This Row],[cutoff]]))</f>
        <v>46081</v>
      </c>
      <c r="B443" s="7">
        <f>DATE(YEAR(m3_crossvalid[[#This Row],[ds]]),MONTH(m3_crossvalid[[#This Row],[ds]]),DAY(m3_crossvalid[[#This Row],[ds]]))</f>
        <v>46089</v>
      </c>
      <c r="C443">
        <v>43</v>
      </c>
      <c r="D443" s="1">
        <v>46089.333333333336</v>
      </c>
      <c r="E443">
        <v>-610.12235106015669</v>
      </c>
      <c r="F443">
        <v>-2551.188956164593</v>
      </c>
      <c r="G443">
        <v>1244.9861001179929</v>
      </c>
      <c r="H443" s="1">
        <v>46081.333333333336</v>
      </c>
    </row>
    <row r="444" spans="1:8" x14ac:dyDescent="0.25">
      <c r="A444" s="7">
        <f>DATE(YEAR(m3_crossvalid[[#This Row],[cutoff]]),MONTH(m3_crossvalid[[#This Row],[cutoff]]),DAY(m3_crossvalid[[#This Row],[cutoff]]))</f>
        <v>46081</v>
      </c>
      <c r="B444" s="7">
        <f>DATE(YEAR(m3_crossvalid[[#This Row],[ds]]),MONTH(m3_crossvalid[[#This Row],[ds]]),DAY(m3_crossvalid[[#This Row],[ds]]))</f>
        <v>46090</v>
      </c>
      <c r="C444">
        <v>1766</v>
      </c>
      <c r="D444" s="1">
        <v>46090.333333333336</v>
      </c>
      <c r="E444">
        <v>2119.3093755533973</v>
      </c>
      <c r="F444">
        <v>221.51046382598372</v>
      </c>
      <c r="G444">
        <v>4091.0984862139826</v>
      </c>
      <c r="H444" s="1">
        <v>46081.333333333336</v>
      </c>
    </row>
    <row r="445" spans="1:8" x14ac:dyDescent="0.25">
      <c r="A445" s="7">
        <f>DATE(YEAR(m3_crossvalid[[#This Row],[cutoff]]),MONTH(m3_crossvalid[[#This Row],[cutoff]]),DAY(m3_crossvalid[[#This Row],[cutoff]]))</f>
        <v>46081</v>
      </c>
      <c r="B445" s="7">
        <f>DATE(YEAR(m3_crossvalid[[#This Row],[ds]]),MONTH(m3_crossvalid[[#This Row],[ds]]),DAY(m3_crossvalid[[#This Row],[ds]]))</f>
        <v>46091</v>
      </c>
      <c r="C445">
        <v>2170</v>
      </c>
      <c r="D445" s="1">
        <v>46091.333333333336</v>
      </c>
      <c r="E445">
        <v>2370.369802931677</v>
      </c>
      <c r="F445">
        <v>393.38456380865813</v>
      </c>
      <c r="G445">
        <v>4291.8275363089888</v>
      </c>
      <c r="H445" s="1">
        <v>46081.333333333336</v>
      </c>
    </row>
    <row r="446" spans="1:8" x14ac:dyDescent="0.25">
      <c r="A446" s="7">
        <f>DATE(YEAR(m3_crossvalid[[#This Row],[cutoff]]),MONTH(m3_crossvalid[[#This Row],[cutoff]]),DAY(m3_crossvalid[[#This Row],[cutoff]]))</f>
        <v>46081</v>
      </c>
      <c r="B446" s="7">
        <f>DATE(YEAR(m3_crossvalid[[#This Row],[ds]]),MONTH(m3_crossvalid[[#This Row],[ds]]),DAY(m3_crossvalid[[#This Row],[ds]]))</f>
        <v>46092</v>
      </c>
      <c r="C446">
        <v>2907</v>
      </c>
      <c r="D446" s="1">
        <v>46092.333333333336</v>
      </c>
      <c r="E446">
        <v>2382.418308326286</v>
      </c>
      <c r="F446">
        <v>380.00948331408074</v>
      </c>
      <c r="G446">
        <v>4313.2050793546987</v>
      </c>
      <c r="H446" s="1">
        <v>46081.333333333336</v>
      </c>
    </row>
    <row r="447" spans="1:8" x14ac:dyDescent="0.25">
      <c r="A447" s="7">
        <f>DATE(YEAR(m3_crossvalid[[#This Row],[cutoff]]),MONTH(m3_crossvalid[[#This Row],[cutoff]]),DAY(m3_crossvalid[[#This Row],[cutoff]]))</f>
        <v>46081</v>
      </c>
      <c r="B447" s="7">
        <f>DATE(YEAR(m3_crossvalid[[#This Row],[ds]]),MONTH(m3_crossvalid[[#This Row],[ds]]),DAY(m3_crossvalid[[#This Row],[ds]]))</f>
        <v>46093</v>
      </c>
      <c r="C447">
        <v>3020</v>
      </c>
      <c r="D447" s="1">
        <v>46093.333333333336</v>
      </c>
      <c r="E447">
        <v>2526.2982036894005</v>
      </c>
      <c r="F447">
        <v>649.02138583057115</v>
      </c>
      <c r="G447">
        <v>4380.9990936267313</v>
      </c>
      <c r="H447" s="1">
        <v>46081.333333333336</v>
      </c>
    </row>
    <row r="448" spans="1:8" x14ac:dyDescent="0.25">
      <c r="A448" s="7">
        <f>DATE(YEAR(m3_crossvalid[[#This Row],[cutoff]]),MONTH(m3_crossvalid[[#This Row],[cutoff]]),DAY(m3_crossvalid[[#This Row],[cutoff]]))</f>
        <v>46081</v>
      </c>
      <c r="B448" s="7">
        <f>DATE(YEAR(m3_crossvalid[[#This Row],[ds]]),MONTH(m3_crossvalid[[#This Row],[ds]]),DAY(m3_crossvalid[[#This Row],[ds]]))</f>
        <v>46094</v>
      </c>
      <c r="C448">
        <v>3551</v>
      </c>
      <c r="D448" s="1">
        <v>46094.333333333336</v>
      </c>
      <c r="E448">
        <v>2844.6810560963172</v>
      </c>
      <c r="F448">
        <v>976.81097528401972</v>
      </c>
      <c r="G448">
        <v>4689.6016566189874</v>
      </c>
      <c r="H448" s="1">
        <v>46081.333333333336</v>
      </c>
    </row>
    <row r="449" spans="1:8" x14ac:dyDescent="0.25">
      <c r="A449" s="7">
        <f>DATE(YEAR(m3_crossvalid[[#This Row],[cutoff]]),MONTH(m3_crossvalid[[#This Row],[cutoff]]),DAY(m3_crossvalid[[#This Row],[cutoff]]))</f>
        <v>46081</v>
      </c>
      <c r="B449" s="7">
        <f>DATE(YEAR(m3_crossvalid[[#This Row],[ds]]),MONTH(m3_crossvalid[[#This Row],[ds]]),DAY(m3_crossvalid[[#This Row],[ds]]))</f>
        <v>46095</v>
      </c>
      <c r="C449">
        <v>1088</v>
      </c>
      <c r="D449" s="1">
        <v>46095.333333333336</v>
      </c>
      <c r="E449">
        <v>850.98432611046314</v>
      </c>
      <c r="F449">
        <v>-998.73782026111928</v>
      </c>
      <c r="G449">
        <v>2660.1906041655325</v>
      </c>
      <c r="H449" s="1">
        <v>46081.333333333336</v>
      </c>
    </row>
    <row r="450" spans="1:8" x14ac:dyDescent="0.25">
      <c r="A450" s="7">
        <f>DATE(YEAR(m3_crossvalid[[#This Row],[cutoff]]),MONTH(m3_crossvalid[[#This Row],[cutoff]]),DAY(m3_crossvalid[[#This Row],[cutoff]]))</f>
        <v>46081</v>
      </c>
      <c r="B450" s="7">
        <f>DATE(YEAR(m3_crossvalid[[#This Row],[ds]]),MONTH(m3_crossvalid[[#This Row],[ds]]),DAY(m3_crossvalid[[#This Row],[ds]]))</f>
        <v>46096</v>
      </c>
      <c r="C450">
        <v>228</v>
      </c>
      <c r="D450" s="1">
        <v>46096.333333333336</v>
      </c>
      <c r="E450">
        <v>318.74663190079536</v>
      </c>
      <c r="F450">
        <v>-1499.2350203059934</v>
      </c>
      <c r="G450">
        <v>2212.8860799625904</v>
      </c>
      <c r="H450" s="1">
        <v>46081.333333333336</v>
      </c>
    </row>
    <row r="451" spans="1:8" x14ac:dyDescent="0.25">
      <c r="A451" s="7">
        <f>DATE(YEAR(m3_crossvalid[[#This Row],[cutoff]]),MONTH(m3_crossvalid[[#This Row],[cutoff]]),DAY(m3_crossvalid[[#This Row],[cutoff]]))</f>
        <v>46081</v>
      </c>
      <c r="B451" s="7">
        <f>DATE(YEAR(m3_crossvalid[[#This Row],[ds]]),MONTH(m3_crossvalid[[#This Row],[ds]]),DAY(m3_crossvalid[[#This Row],[ds]]))</f>
        <v>46097</v>
      </c>
      <c r="C451">
        <v>3950</v>
      </c>
      <c r="D451" s="1">
        <v>46097.333333333336</v>
      </c>
      <c r="E451">
        <v>2732.2415262053892</v>
      </c>
      <c r="F451">
        <v>992.02277805774531</v>
      </c>
      <c r="G451">
        <v>4714.6270269557144</v>
      </c>
      <c r="H451" s="1">
        <v>46081.333333333336</v>
      </c>
    </row>
    <row r="452" spans="1:8" x14ac:dyDescent="0.25">
      <c r="A452" s="7">
        <f>DATE(YEAR(m3_crossvalid[[#This Row],[cutoff]]),MONTH(m3_crossvalid[[#This Row],[cutoff]]),DAY(m3_crossvalid[[#This Row],[cutoff]]))</f>
        <v>46081</v>
      </c>
      <c r="B452" s="7">
        <f>DATE(YEAR(m3_crossvalid[[#This Row],[ds]]),MONTH(m3_crossvalid[[#This Row],[ds]]),DAY(m3_crossvalid[[#This Row],[ds]]))</f>
        <v>46098</v>
      </c>
      <c r="C452">
        <v>5807</v>
      </c>
      <c r="D452" s="1">
        <v>46098.333333333336</v>
      </c>
      <c r="E452">
        <v>3020.4330464409322</v>
      </c>
      <c r="F452">
        <v>1209.7030415024544</v>
      </c>
      <c r="G452">
        <v>5090.6578805877853</v>
      </c>
      <c r="H452" s="1">
        <v>46081.333333333336</v>
      </c>
    </row>
    <row r="453" spans="1:8" x14ac:dyDescent="0.25">
      <c r="A453" s="7">
        <f>DATE(YEAR(m3_crossvalid[[#This Row],[cutoff]]),MONTH(m3_crossvalid[[#This Row],[cutoff]]),DAY(m3_crossvalid[[#This Row],[cutoff]]))</f>
        <v>46081</v>
      </c>
      <c r="B453" s="7">
        <f>DATE(YEAR(m3_crossvalid[[#This Row],[ds]]),MONTH(m3_crossvalid[[#This Row],[ds]]),DAY(m3_crossvalid[[#This Row],[ds]]))</f>
        <v>46099</v>
      </c>
      <c r="C453">
        <v>5295</v>
      </c>
      <c r="D453" s="1">
        <v>46099.333333333336</v>
      </c>
      <c r="E453">
        <v>3280.5011174480619</v>
      </c>
      <c r="F453">
        <v>1507.2546018003115</v>
      </c>
      <c r="G453">
        <v>5147.7032358083761</v>
      </c>
      <c r="H453" s="1">
        <v>46081.333333333336</v>
      </c>
    </row>
    <row r="454" spans="1:8" x14ac:dyDescent="0.25">
      <c r="A454" s="7">
        <f>DATE(YEAR(m3_crossvalid[[#This Row],[cutoff]]),MONTH(m3_crossvalid[[#This Row],[cutoff]]),DAY(m3_crossvalid[[#This Row],[cutoff]]))</f>
        <v>46081</v>
      </c>
      <c r="B454" s="7">
        <f>DATE(YEAR(m3_crossvalid[[#This Row],[ds]]),MONTH(m3_crossvalid[[#This Row],[ds]]),DAY(m3_crossvalid[[#This Row],[ds]]))</f>
        <v>46100</v>
      </c>
      <c r="C454">
        <v>3557</v>
      </c>
      <c r="D454" s="1">
        <v>46100.333333333336</v>
      </c>
      <c r="E454">
        <v>3535.6019639403871</v>
      </c>
      <c r="F454">
        <v>1539.8245279995924</v>
      </c>
      <c r="G454">
        <v>5415.3303018306315</v>
      </c>
      <c r="H454" s="1">
        <v>46081.333333333336</v>
      </c>
    </row>
    <row r="455" spans="1:8" x14ac:dyDescent="0.25">
      <c r="A455" s="7">
        <f>DATE(YEAR(m3_crossvalid[[#This Row],[cutoff]]),MONTH(m3_crossvalid[[#This Row],[cutoff]]),DAY(m3_crossvalid[[#This Row],[cutoff]]))</f>
        <v>46081</v>
      </c>
      <c r="B455" s="7">
        <f>DATE(YEAR(m3_crossvalid[[#This Row],[ds]]),MONTH(m3_crossvalid[[#This Row],[ds]]),DAY(m3_crossvalid[[#This Row],[ds]]))</f>
        <v>46101</v>
      </c>
      <c r="C455">
        <v>61</v>
      </c>
      <c r="D455" s="1">
        <v>46101.333333333336</v>
      </c>
      <c r="E455">
        <v>274.95510951750748</v>
      </c>
      <c r="F455">
        <v>-1554.9192300539949</v>
      </c>
      <c r="G455">
        <v>2222.7356369271993</v>
      </c>
      <c r="H455" s="1">
        <v>46081.333333333336</v>
      </c>
    </row>
    <row r="456" spans="1:8" x14ac:dyDescent="0.25">
      <c r="A456" s="7">
        <f>DATE(YEAR(m3_crossvalid[[#This Row],[cutoff]]),MONTH(m3_crossvalid[[#This Row],[cutoff]]),DAY(m3_crossvalid[[#This Row],[cutoff]]))</f>
        <v>46081</v>
      </c>
      <c r="B456" s="7">
        <f>DATE(YEAR(m3_crossvalid[[#This Row],[ds]]),MONTH(m3_crossvalid[[#This Row],[ds]]),DAY(m3_crossvalid[[#This Row],[ds]]))</f>
        <v>46102</v>
      </c>
      <c r="C456">
        <v>3</v>
      </c>
      <c r="D456" s="1">
        <v>46102.333333333336</v>
      </c>
      <c r="E456">
        <v>-2659.2787675261375</v>
      </c>
      <c r="F456">
        <v>-4524.2179274514865</v>
      </c>
      <c r="G456">
        <v>-868.43566647056969</v>
      </c>
      <c r="H456" s="1">
        <v>46081.333333333336</v>
      </c>
    </row>
    <row r="457" spans="1:8" x14ac:dyDescent="0.25">
      <c r="A457" s="7">
        <f>DATE(YEAR(m3_crossvalid[[#This Row],[cutoff]]),MONTH(m3_crossvalid[[#This Row],[cutoff]]),DAY(m3_crossvalid[[#This Row],[cutoff]]))</f>
        <v>46081</v>
      </c>
      <c r="B457" s="7">
        <f>DATE(YEAR(m3_crossvalid[[#This Row],[ds]]),MONTH(m3_crossvalid[[#This Row],[ds]]),DAY(m3_crossvalid[[#This Row],[ds]]))</f>
        <v>46103</v>
      </c>
      <c r="C457">
        <v>6</v>
      </c>
      <c r="D457" s="1">
        <v>46103.333333333336</v>
      </c>
      <c r="E457">
        <v>-4493.5468167070394</v>
      </c>
      <c r="F457">
        <v>-6346.1261477372946</v>
      </c>
      <c r="G457">
        <v>-2671.7210076479078</v>
      </c>
      <c r="H457" s="1">
        <v>46081.333333333336</v>
      </c>
    </row>
    <row r="458" spans="1:8" x14ac:dyDescent="0.25">
      <c r="A458" s="7">
        <f>DATE(YEAR(m3_crossvalid[[#This Row],[cutoff]]),MONTH(m3_crossvalid[[#This Row],[cutoff]]),DAY(m3_crossvalid[[#This Row],[cutoff]]))</f>
        <v>46081</v>
      </c>
      <c r="B458" s="7">
        <f>DATE(YEAR(m3_crossvalid[[#This Row],[ds]]),MONTH(m3_crossvalid[[#This Row],[ds]]),DAY(m3_crossvalid[[#This Row],[ds]]))</f>
        <v>46104</v>
      </c>
      <c r="C458">
        <v>23</v>
      </c>
      <c r="D458" s="1">
        <v>46104.333333333336</v>
      </c>
      <c r="E458">
        <v>-2197.2996907906504</v>
      </c>
      <c r="F458">
        <v>-4065.9727954513437</v>
      </c>
      <c r="G458">
        <v>-342.67682448817595</v>
      </c>
      <c r="H458" s="1">
        <v>46081.333333333336</v>
      </c>
    </row>
    <row r="459" spans="1:8" x14ac:dyDescent="0.25">
      <c r="A459" s="7">
        <f>DATE(YEAR(m3_crossvalid[[#This Row],[cutoff]]),MONTH(m3_crossvalid[[#This Row],[cutoff]]),DAY(m3_crossvalid[[#This Row],[cutoff]]))</f>
        <v>46081</v>
      </c>
      <c r="B459" s="7">
        <f>DATE(YEAR(m3_crossvalid[[#This Row],[ds]]),MONTH(m3_crossvalid[[#This Row],[ds]]),DAY(m3_crossvalid[[#This Row],[ds]]))</f>
        <v>46105</v>
      </c>
      <c r="C459">
        <v>974</v>
      </c>
      <c r="D459" s="1">
        <v>46105.333333333336</v>
      </c>
      <c r="E459">
        <v>1458.857764381982</v>
      </c>
      <c r="F459">
        <v>-537.61434996851767</v>
      </c>
      <c r="G459">
        <v>3364.1949202542023</v>
      </c>
      <c r="H459" s="1">
        <v>46081.333333333336</v>
      </c>
    </row>
    <row r="460" spans="1:8" x14ac:dyDescent="0.25">
      <c r="A460" s="7">
        <f>DATE(YEAR(m3_crossvalid[[#This Row],[cutoff]]),MONTH(m3_crossvalid[[#This Row],[cutoff]]),DAY(m3_crossvalid[[#This Row],[cutoff]]))</f>
        <v>46081</v>
      </c>
      <c r="B460" s="7">
        <f>DATE(YEAR(m3_crossvalid[[#This Row],[ds]]),MONTH(m3_crossvalid[[#This Row],[ds]]),DAY(m3_crossvalid[[#This Row],[ds]]))</f>
        <v>46106</v>
      </c>
      <c r="C460">
        <v>1752</v>
      </c>
      <c r="D460" s="1">
        <v>46106.333333333336</v>
      </c>
      <c r="E460">
        <v>2527.2712241795098</v>
      </c>
      <c r="F460">
        <v>698.90664611619161</v>
      </c>
      <c r="G460">
        <v>4428.7238488503217</v>
      </c>
      <c r="H460" s="1">
        <v>46081.333333333336</v>
      </c>
    </row>
    <row r="461" spans="1:8" x14ac:dyDescent="0.25">
      <c r="A461" s="7">
        <f>DATE(YEAR(m3_crossvalid[[#This Row],[cutoff]]),MONTH(m3_crossvalid[[#This Row],[cutoff]]),DAY(m3_crossvalid[[#This Row],[cutoff]]))</f>
        <v>46081</v>
      </c>
      <c r="B461" s="7">
        <f>DATE(YEAR(m3_crossvalid[[#This Row],[ds]]),MONTH(m3_crossvalid[[#This Row],[ds]]),DAY(m3_crossvalid[[#This Row],[ds]]))</f>
        <v>46107</v>
      </c>
      <c r="C461">
        <v>2884</v>
      </c>
      <c r="D461" s="1">
        <v>46107.333333333336</v>
      </c>
      <c r="E461">
        <v>3633.6927566078439</v>
      </c>
      <c r="F461">
        <v>1907.7619138581622</v>
      </c>
      <c r="G461">
        <v>5488.2053690708708</v>
      </c>
      <c r="H461" s="1">
        <v>46081.333333333336</v>
      </c>
    </row>
    <row r="462" spans="1:8" x14ac:dyDescent="0.25">
      <c r="A462" s="7">
        <f>DATE(YEAR(m3_crossvalid[[#This Row],[cutoff]]),MONTH(m3_crossvalid[[#This Row],[cutoff]]),DAY(m3_crossvalid[[#This Row],[cutoff]]))</f>
        <v>46081</v>
      </c>
      <c r="B462" s="7">
        <f>DATE(YEAR(m3_crossvalid[[#This Row],[ds]]),MONTH(m3_crossvalid[[#This Row],[ds]]),DAY(m3_crossvalid[[#This Row],[ds]]))</f>
        <v>46108</v>
      </c>
      <c r="C462">
        <v>3597</v>
      </c>
      <c r="D462" s="1">
        <v>46108.333333333336</v>
      </c>
      <c r="E462">
        <v>2329.6546871225537</v>
      </c>
      <c r="F462">
        <v>381.57604584954424</v>
      </c>
      <c r="G462">
        <v>4338.2278488234751</v>
      </c>
      <c r="H462" s="1">
        <v>46081.333333333336</v>
      </c>
    </row>
    <row r="463" spans="1:8" x14ac:dyDescent="0.25">
      <c r="A463" s="7">
        <f>DATE(YEAR(m3_crossvalid[[#This Row],[cutoff]]),MONTH(m3_crossvalid[[#This Row],[cutoff]]),DAY(m3_crossvalid[[#This Row],[cutoff]]))</f>
        <v>46081</v>
      </c>
      <c r="B463" s="7">
        <f>DATE(YEAR(m3_crossvalid[[#This Row],[ds]]),MONTH(m3_crossvalid[[#This Row],[ds]]),DAY(m3_crossvalid[[#This Row],[ds]]))</f>
        <v>46109</v>
      </c>
      <c r="C463">
        <v>1207</v>
      </c>
      <c r="D463" s="1">
        <v>46109.333333333336</v>
      </c>
      <c r="E463">
        <v>448.57389279624294</v>
      </c>
      <c r="F463">
        <v>-1455.550091624089</v>
      </c>
      <c r="G463">
        <v>2363.4678012603872</v>
      </c>
      <c r="H463" s="1">
        <v>46081.333333333336</v>
      </c>
    </row>
    <row r="464" spans="1:8" x14ac:dyDescent="0.25">
      <c r="A464" s="7">
        <f>DATE(YEAR(m3_crossvalid[[#This Row],[cutoff]]),MONTH(m3_crossvalid[[#This Row],[cutoff]]),DAY(m3_crossvalid[[#This Row],[cutoff]]))</f>
        <v>46081</v>
      </c>
      <c r="B464" s="7">
        <f>DATE(YEAR(m3_crossvalid[[#This Row],[ds]]),MONTH(m3_crossvalid[[#This Row],[ds]]),DAY(m3_crossvalid[[#This Row],[ds]]))</f>
        <v>46110</v>
      </c>
      <c r="C464">
        <v>183</v>
      </c>
      <c r="D464" s="1">
        <v>46110.333333333336</v>
      </c>
      <c r="E464">
        <v>379.11720321078201</v>
      </c>
      <c r="F464">
        <v>-1479.849230917212</v>
      </c>
      <c r="G464">
        <v>2258.0424304301368</v>
      </c>
      <c r="H464" s="1">
        <v>46081.333333333336</v>
      </c>
    </row>
    <row r="465" spans="1:8" x14ac:dyDescent="0.25">
      <c r="A465" s="7">
        <f>DATE(YEAR(m3_crossvalid[[#This Row],[cutoff]]),MONTH(m3_crossvalid[[#This Row],[cutoff]]),DAY(m3_crossvalid[[#This Row],[cutoff]]))</f>
        <v>46081</v>
      </c>
      <c r="B465" s="7">
        <f>DATE(YEAR(m3_crossvalid[[#This Row],[ds]]),MONTH(m3_crossvalid[[#This Row],[ds]]),DAY(m3_crossvalid[[#This Row],[ds]]))</f>
        <v>46111</v>
      </c>
      <c r="C465">
        <v>4959</v>
      </c>
      <c r="D465" s="1">
        <v>46111.333333333336</v>
      </c>
      <c r="E465">
        <v>4099.4028856111454</v>
      </c>
      <c r="F465">
        <v>2230.4258073689239</v>
      </c>
      <c r="G465">
        <v>6009.896058944867</v>
      </c>
      <c r="H465" s="1">
        <v>46081.333333333336</v>
      </c>
    </row>
    <row r="466" spans="1:8" x14ac:dyDescent="0.25">
      <c r="A466" s="7">
        <f>DATE(YEAR(m3_crossvalid[[#This Row],[cutoff]]),MONTH(m3_crossvalid[[#This Row],[cutoff]]),DAY(m3_crossvalid[[#This Row],[cutoff]]))</f>
        <v>46081</v>
      </c>
      <c r="B466" s="7">
        <f>DATE(YEAR(m3_crossvalid[[#This Row],[ds]]),MONTH(m3_crossvalid[[#This Row],[ds]]),DAY(m3_crossvalid[[#This Row],[ds]]))</f>
        <v>46112</v>
      </c>
      <c r="C466">
        <v>13213</v>
      </c>
      <c r="D466" s="1">
        <v>46112.333333333336</v>
      </c>
      <c r="E466">
        <v>6926.4253918376035</v>
      </c>
      <c r="F466">
        <v>5022.592351618704</v>
      </c>
      <c r="G466">
        <v>8873.954246387857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61D-B9D8-445B-A9A9-9CAD1967CDF6}">
  <dimension ref="A1:H466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DATE(YEAR(m4_crossvalid[[#This Row],[cutoff]]),MONTH(m4_crossvalid[[#This Row],[cutoff]]),DAY(m4_crossvalid[[#This Row],[cutoff]]))</f>
        <v>45657</v>
      </c>
      <c r="B2" s="7">
        <f>DATE(YEAR(m4_crossvalid[[#This Row],[ds]]),MONTH(m4_crossvalid[[#This Row],[ds]]),DAY(m4_crossvalid[[#This Row],[ds]]))</f>
        <v>45658</v>
      </c>
      <c r="C2">
        <v>90</v>
      </c>
      <c r="D2" s="1">
        <v>45658.333333333336</v>
      </c>
      <c r="E2">
        <v>2889.4874849051143</v>
      </c>
      <c r="F2">
        <v>1134.7028991944051</v>
      </c>
      <c r="G2">
        <v>4494.0181372431143</v>
      </c>
      <c r="H2" s="1">
        <v>45657.333333333336</v>
      </c>
    </row>
    <row r="3" spans="1:8" x14ac:dyDescent="0.25">
      <c r="A3" s="7">
        <f>DATE(YEAR(m4_crossvalid[[#This Row],[cutoff]]),MONTH(m4_crossvalid[[#This Row],[cutoff]]),DAY(m4_crossvalid[[#This Row],[cutoff]]))</f>
        <v>45657</v>
      </c>
      <c r="B3" s="7">
        <f>DATE(YEAR(m4_crossvalid[[#This Row],[ds]]),MONTH(m4_crossvalid[[#This Row],[ds]]),DAY(m4_crossvalid[[#This Row],[ds]]))</f>
        <v>45659</v>
      </c>
      <c r="C3">
        <v>541</v>
      </c>
      <c r="D3" s="1">
        <v>45659.333333333336</v>
      </c>
      <c r="E3">
        <v>2563.1265763060164</v>
      </c>
      <c r="F3">
        <v>789.77403806820109</v>
      </c>
      <c r="G3">
        <v>4240.2482286876384</v>
      </c>
      <c r="H3" s="1">
        <v>45657.333333333336</v>
      </c>
    </row>
    <row r="4" spans="1:8" x14ac:dyDescent="0.25">
      <c r="A4" s="7">
        <f>DATE(YEAR(m4_crossvalid[[#This Row],[cutoff]]),MONTH(m4_crossvalid[[#This Row],[cutoff]]),DAY(m4_crossvalid[[#This Row],[cutoff]]))</f>
        <v>45657</v>
      </c>
      <c r="B4" s="7">
        <f>DATE(YEAR(m4_crossvalid[[#This Row],[ds]]),MONTH(m4_crossvalid[[#This Row],[ds]]),DAY(m4_crossvalid[[#This Row],[ds]]))</f>
        <v>45660</v>
      </c>
      <c r="C4">
        <v>563</v>
      </c>
      <c r="D4" s="1">
        <v>45660.333333333336</v>
      </c>
      <c r="E4">
        <v>1348.001986613313</v>
      </c>
      <c r="F4">
        <v>-415.85221430692167</v>
      </c>
      <c r="G4">
        <v>3222.6432259727189</v>
      </c>
      <c r="H4" s="1">
        <v>45657.333333333336</v>
      </c>
    </row>
    <row r="5" spans="1:8" x14ac:dyDescent="0.25">
      <c r="A5" s="7">
        <f>DATE(YEAR(m4_crossvalid[[#This Row],[cutoff]]),MONTH(m4_crossvalid[[#This Row],[cutoff]]),DAY(m4_crossvalid[[#This Row],[cutoff]]))</f>
        <v>45657</v>
      </c>
      <c r="B5" s="7">
        <f>DATE(YEAR(m4_crossvalid[[#This Row],[ds]]),MONTH(m4_crossvalid[[#This Row],[ds]]),DAY(m4_crossvalid[[#This Row],[ds]]))</f>
        <v>45661</v>
      </c>
      <c r="C5">
        <v>42</v>
      </c>
      <c r="D5" s="1">
        <v>45661.333333333336</v>
      </c>
      <c r="E5">
        <v>-885.00494302971447</v>
      </c>
      <c r="F5">
        <v>-2682.6581921457</v>
      </c>
      <c r="G5">
        <v>803.91917735069023</v>
      </c>
      <c r="H5" s="1">
        <v>45657.333333333336</v>
      </c>
    </row>
    <row r="6" spans="1:8" x14ac:dyDescent="0.25">
      <c r="A6" s="7">
        <f>DATE(YEAR(m4_crossvalid[[#This Row],[cutoff]]),MONTH(m4_crossvalid[[#This Row],[cutoff]]),DAY(m4_crossvalid[[#This Row],[cutoff]]))</f>
        <v>45657</v>
      </c>
      <c r="B6" s="7">
        <f>DATE(YEAR(m4_crossvalid[[#This Row],[ds]]),MONTH(m4_crossvalid[[#This Row],[ds]]),DAY(m4_crossvalid[[#This Row],[ds]]))</f>
        <v>45662</v>
      </c>
      <c r="C6">
        <v>22</v>
      </c>
      <c r="D6" s="1">
        <v>45662.333333333336</v>
      </c>
      <c r="E6">
        <v>-1000.2473366529998</v>
      </c>
      <c r="F6">
        <v>-2791.1239193664805</v>
      </c>
      <c r="G6">
        <v>746.14660216309801</v>
      </c>
      <c r="H6" s="1">
        <v>45657.333333333336</v>
      </c>
    </row>
    <row r="7" spans="1:8" x14ac:dyDescent="0.25">
      <c r="A7" s="7">
        <f>DATE(YEAR(m4_crossvalid[[#This Row],[cutoff]]),MONTH(m4_crossvalid[[#This Row],[cutoff]]),DAY(m4_crossvalid[[#This Row],[cutoff]]))</f>
        <v>45657</v>
      </c>
      <c r="B7" s="7">
        <f>DATE(YEAR(m4_crossvalid[[#This Row],[ds]]),MONTH(m4_crossvalid[[#This Row],[ds]]),DAY(m4_crossvalid[[#This Row],[ds]]))</f>
        <v>45663</v>
      </c>
      <c r="C7">
        <v>533</v>
      </c>
      <c r="D7" s="1">
        <v>45663.333333333336</v>
      </c>
      <c r="E7">
        <v>1770.5457585818863</v>
      </c>
      <c r="F7">
        <v>36.476073370924595</v>
      </c>
      <c r="G7">
        <v>3604.8056972944314</v>
      </c>
      <c r="H7" s="1">
        <v>45657.333333333336</v>
      </c>
    </row>
    <row r="8" spans="1:8" x14ac:dyDescent="0.25">
      <c r="A8" s="7">
        <f>DATE(YEAR(m4_crossvalid[[#This Row],[cutoff]]),MONTH(m4_crossvalid[[#This Row],[cutoff]]),DAY(m4_crossvalid[[#This Row],[cutoff]]))</f>
        <v>45657</v>
      </c>
      <c r="B8" s="7">
        <f>DATE(YEAR(m4_crossvalid[[#This Row],[ds]]),MONTH(m4_crossvalid[[#This Row],[ds]]),DAY(m4_crossvalid[[#This Row],[ds]]))</f>
        <v>45664</v>
      </c>
      <c r="C8">
        <v>712</v>
      </c>
      <c r="D8" s="1">
        <v>45664.333333333336</v>
      </c>
      <c r="E8">
        <v>2015.5518373154248</v>
      </c>
      <c r="F8">
        <v>340.09197442063476</v>
      </c>
      <c r="G8">
        <v>3739.1705462644477</v>
      </c>
      <c r="H8" s="1">
        <v>45657.333333333336</v>
      </c>
    </row>
    <row r="9" spans="1:8" x14ac:dyDescent="0.25">
      <c r="A9" s="7">
        <f>DATE(YEAR(m4_crossvalid[[#This Row],[cutoff]]),MONTH(m4_crossvalid[[#This Row],[cutoff]]),DAY(m4_crossvalid[[#This Row],[cutoff]]))</f>
        <v>45657</v>
      </c>
      <c r="B9" s="7">
        <f>DATE(YEAR(m4_crossvalid[[#This Row],[ds]]),MONTH(m4_crossvalid[[#This Row],[ds]]),DAY(m4_crossvalid[[#This Row],[ds]]))</f>
        <v>45665</v>
      </c>
      <c r="C9">
        <v>904</v>
      </c>
      <c r="D9" s="1">
        <v>45665.333333333336</v>
      </c>
      <c r="E9">
        <v>1859.9432230446264</v>
      </c>
      <c r="F9">
        <v>60.079430973127032</v>
      </c>
      <c r="G9">
        <v>3633.4727340409636</v>
      </c>
      <c r="H9" s="1">
        <v>45657.333333333336</v>
      </c>
    </row>
    <row r="10" spans="1:8" x14ac:dyDescent="0.25">
      <c r="A10" s="7">
        <f>DATE(YEAR(m4_crossvalid[[#This Row],[cutoff]]),MONTH(m4_crossvalid[[#This Row],[cutoff]]),DAY(m4_crossvalid[[#This Row],[cutoff]]))</f>
        <v>45657</v>
      </c>
      <c r="B10" s="7">
        <f>DATE(YEAR(m4_crossvalid[[#This Row],[ds]]),MONTH(m4_crossvalid[[#This Row],[ds]]),DAY(m4_crossvalid[[#This Row],[ds]]))</f>
        <v>45666</v>
      </c>
      <c r="C10">
        <v>1135</v>
      </c>
      <c r="D10" s="1">
        <v>45666.333333333336</v>
      </c>
      <c r="E10">
        <v>1772.9466246848797</v>
      </c>
      <c r="F10">
        <v>24.333622614980918</v>
      </c>
      <c r="G10">
        <v>3561.2160501333042</v>
      </c>
      <c r="H10" s="1">
        <v>45657.333333333336</v>
      </c>
    </row>
    <row r="11" spans="1:8" x14ac:dyDescent="0.25">
      <c r="A11" s="7">
        <f>DATE(YEAR(m4_crossvalid[[#This Row],[cutoff]]),MONTH(m4_crossvalid[[#This Row],[cutoff]]),DAY(m4_crossvalid[[#This Row],[cutoff]]))</f>
        <v>45657</v>
      </c>
      <c r="B11" s="7">
        <f>DATE(YEAR(m4_crossvalid[[#This Row],[ds]]),MONTH(m4_crossvalid[[#This Row],[ds]]),DAY(m4_crossvalid[[#This Row],[ds]]))</f>
        <v>45667</v>
      </c>
      <c r="C11">
        <v>1270</v>
      </c>
      <c r="D11" s="1">
        <v>45667.333333333336</v>
      </c>
      <c r="E11">
        <v>1774.7230149392617</v>
      </c>
      <c r="F11">
        <v>-17.621335699239584</v>
      </c>
      <c r="G11">
        <v>3452.7569605294593</v>
      </c>
      <c r="H11" s="1">
        <v>45657.333333333336</v>
      </c>
    </row>
    <row r="12" spans="1:8" x14ac:dyDescent="0.25">
      <c r="A12" s="7">
        <f>DATE(YEAR(m4_crossvalid[[#This Row],[cutoff]]),MONTH(m4_crossvalid[[#This Row],[cutoff]]),DAY(m4_crossvalid[[#This Row],[cutoff]]))</f>
        <v>45657</v>
      </c>
      <c r="B12" s="7">
        <f>DATE(YEAR(m4_crossvalid[[#This Row],[ds]]),MONTH(m4_crossvalid[[#This Row],[ds]]),DAY(m4_crossvalid[[#This Row],[ds]]))</f>
        <v>45668</v>
      </c>
      <c r="C12">
        <v>203</v>
      </c>
      <c r="D12" s="1">
        <v>45668.333333333336</v>
      </c>
      <c r="E12">
        <v>-123.48956952208891</v>
      </c>
      <c r="F12">
        <v>-1914.0978442195469</v>
      </c>
      <c r="G12">
        <v>1519.9641616889971</v>
      </c>
      <c r="H12" s="1">
        <v>45657.333333333336</v>
      </c>
    </row>
    <row r="13" spans="1:8" x14ac:dyDescent="0.25">
      <c r="A13" s="7">
        <f>DATE(YEAR(m4_crossvalid[[#This Row],[cutoff]]),MONTH(m4_crossvalid[[#This Row],[cutoff]]),DAY(m4_crossvalid[[#This Row],[cutoff]]))</f>
        <v>45657</v>
      </c>
      <c r="B13" s="7">
        <f>DATE(YEAR(m4_crossvalid[[#This Row],[ds]]),MONTH(m4_crossvalid[[#This Row],[ds]]),DAY(m4_crossvalid[[#This Row],[ds]]))</f>
        <v>45669</v>
      </c>
      <c r="C13">
        <v>41</v>
      </c>
      <c r="D13" s="1">
        <v>45669.333333333336</v>
      </c>
      <c r="E13">
        <v>-544.28152377234892</v>
      </c>
      <c r="F13">
        <v>-2352.9075981294404</v>
      </c>
      <c r="G13">
        <v>1261.806411347919</v>
      </c>
      <c r="H13" s="1">
        <v>45657.333333333336</v>
      </c>
    </row>
    <row r="14" spans="1:8" x14ac:dyDescent="0.25">
      <c r="A14" s="7">
        <f>DATE(YEAR(m4_crossvalid[[#This Row],[cutoff]]),MONTH(m4_crossvalid[[#This Row],[cutoff]]),DAY(m4_crossvalid[[#This Row],[cutoff]]))</f>
        <v>45657</v>
      </c>
      <c r="B14" s="7">
        <f>DATE(YEAR(m4_crossvalid[[#This Row],[ds]]),MONTH(m4_crossvalid[[#This Row],[ds]]),DAY(m4_crossvalid[[#This Row],[ds]]))</f>
        <v>45670</v>
      </c>
      <c r="C14">
        <v>1313</v>
      </c>
      <c r="D14" s="1">
        <v>45670.333333333336</v>
      </c>
      <c r="E14">
        <v>1847.5484157382789</v>
      </c>
      <c r="F14">
        <v>14.533021302807075</v>
      </c>
      <c r="G14">
        <v>3608.3407880689697</v>
      </c>
      <c r="H14" s="1">
        <v>45657.333333333336</v>
      </c>
    </row>
    <row r="15" spans="1:8" x14ac:dyDescent="0.25">
      <c r="A15" s="7">
        <f>DATE(YEAR(m4_crossvalid[[#This Row],[cutoff]]),MONTH(m4_crossvalid[[#This Row],[cutoff]]),DAY(m4_crossvalid[[#This Row],[cutoff]]))</f>
        <v>45657</v>
      </c>
      <c r="B15" s="7">
        <f>DATE(YEAR(m4_crossvalid[[#This Row],[ds]]),MONTH(m4_crossvalid[[#This Row],[ds]]),DAY(m4_crossvalid[[#This Row],[ds]]))</f>
        <v>45671</v>
      </c>
      <c r="C15">
        <v>1609</v>
      </c>
      <c r="D15" s="1">
        <v>45671.333333333336</v>
      </c>
      <c r="E15">
        <v>2074.9880136626275</v>
      </c>
      <c r="F15">
        <v>258.87391999234978</v>
      </c>
      <c r="G15">
        <v>3747.9302430194275</v>
      </c>
      <c r="H15" s="1">
        <v>45657.333333333336</v>
      </c>
    </row>
    <row r="16" spans="1:8" x14ac:dyDescent="0.25">
      <c r="A16" s="7">
        <f>DATE(YEAR(m4_crossvalid[[#This Row],[cutoff]]),MONTH(m4_crossvalid[[#This Row],[cutoff]]),DAY(m4_crossvalid[[#This Row],[cutoff]]))</f>
        <v>45657</v>
      </c>
      <c r="B16" s="7">
        <f>DATE(YEAR(m4_crossvalid[[#This Row],[ds]]),MONTH(m4_crossvalid[[#This Row],[ds]]),DAY(m4_crossvalid[[#This Row],[ds]]))</f>
        <v>45672</v>
      </c>
      <c r="C16">
        <v>2010</v>
      </c>
      <c r="D16" s="1">
        <v>45672.333333333336</v>
      </c>
      <c r="E16">
        <v>2256.8341145395107</v>
      </c>
      <c r="F16">
        <v>606.36692726675039</v>
      </c>
      <c r="G16">
        <v>4036.3373708682502</v>
      </c>
      <c r="H16" s="1">
        <v>45657.333333333336</v>
      </c>
    </row>
    <row r="17" spans="1:8" x14ac:dyDescent="0.25">
      <c r="A17" s="7">
        <f>DATE(YEAR(m4_crossvalid[[#This Row],[cutoff]]),MONTH(m4_crossvalid[[#This Row],[cutoff]]),DAY(m4_crossvalid[[#This Row],[cutoff]]))</f>
        <v>45657</v>
      </c>
      <c r="B17" s="7">
        <f>DATE(YEAR(m4_crossvalid[[#This Row],[ds]]),MONTH(m4_crossvalid[[#This Row],[ds]]),DAY(m4_crossvalid[[#This Row],[ds]]))</f>
        <v>45673</v>
      </c>
      <c r="C17">
        <v>2206</v>
      </c>
      <c r="D17" s="1">
        <v>45673.333333333336</v>
      </c>
      <c r="E17">
        <v>2508.558848128439</v>
      </c>
      <c r="F17">
        <v>785.22984071191388</v>
      </c>
      <c r="G17">
        <v>4222.8105185448003</v>
      </c>
      <c r="H17" s="1">
        <v>45657.333333333336</v>
      </c>
    </row>
    <row r="18" spans="1:8" x14ac:dyDescent="0.25">
      <c r="A18" s="7">
        <f>DATE(YEAR(m4_crossvalid[[#This Row],[cutoff]]),MONTH(m4_crossvalid[[#This Row],[cutoff]]),DAY(m4_crossvalid[[#This Row],[cutoff]]))</f>
        <v>45657</v>
      </c>
      <c r="B18" s="7">
        <f>DATE(YEAR(m4_crossvalid[[#This Row],[ds]]),MONTH(m4_crossvalid[[#This Row],[ds]]),DAY(m4_crossvalid[[#This Row],[ds]]))</f>
        <v>45674</v>
      </c>
      <c r="C18">
        <v>2291</v>
      </c>
      <c r="D18" s="1">
        <v>45674.333333333336</v>
      </c>
      <c r="E18">
        <v>2534.883042171195</v>
      </c>
      <c r="F18">
        <v>918.65519783576747</v>
      </c>
      <c r="G18">
        <v>4200.4369192114955</v>
      </c>
      <c r="H18" s="1">
        <v>45657.333333333336</v>
      </c>
    </row>
    <row r="19" spans="1:8" x14ac:dyDescent="0.25">
      <c r="A19" s="7">
        <f>DATE(YEAR(m4_crossvalid[[#This Row],[cutoff]]),MONTH(m4_crossvalid[[#This Row],[cutoff]]),DAY(m4_crossvalid[[#This Row],[cutoff]]))</f>
        <v>45657</v>
      </c>
      <c r="B19" s="7">
        <f>DATE(YEAR(m4_crossvalid[[#This Row],[ds]]),MONTH(m4_crossvalid[[#This Row],[ds]]),DAY(m4_crossvalid[[#This Row],[ds]]))</f>
        <v>45675</v>
      </c>
      <c r="C19">
        <v>401</v>
      </c>
      <c r="D19" s="1">
        <v>45675.333333333336</v>
      </c>
      <c r="E19">
        <v>377.42382049502703</v>
      </c>
      <c r="F19">
        <v>-1542.0705941843034</v>
      </c>
      <c r="G19">
        <v>2102.0710945486539</v>
      </c>
      <c r="H19" s="1">
        <v>45657.333333333336</v>
      </c>
    </row>
    <row r="20" spans="1:8" x14ac:dyDescent="0.25">
      <c r="A20" s="7">
        <f>DATE(YEAR(m4_crossvalid[[#This Row],[cutoff]]),MONTH(m4_crossvalid[[#This Row],[cutoff]]),DAY(m4_crossvalid[[#This Row],[cutoff]]))</f>
        <v>45657</v>
      </c>
      <c r="B20" s="7">
        <f>DATE(YEAR(m4_crossvalid[[#This Row],[ds]]),MONTH(m4_crossvalid[[#This Row],[ds]]),DAY(m4_crossvalid[[#This Row],[ds]]))</f>
        <v>45676</v>
      </c>
      <c r="C20">
        <v>129</v>
      </c>
      <c r="D20" s="1">
        <v>45676.333333333336</v>
      </c>
      <c r="E20">
        <v>-261.84501012777173</v>
      </c>
      <c r="F20">
        <v>-2182.413476563027</v>
      </c>
      <c r="G20">
        <v>1349.2084023437526</v>
      </c>
      <c r="H20" s="1">
        <v>45657.333333333336</v>
      </c>
    </row>
    <row r="21" spans="1:8" x14ac:dyDescent="0.25">
      <c r="A21" s="7">
        <f>DATE(YEAR(m4_crossvalid[[#This Row],[cutoff]]),MONTH(m4_crossvalid[[#This Row],[cutoff]]),DAY(m4_crossvalid[[#This Row],[cutoff]]))</f>
        <v>45657</v>
      </c>
      <c r="B21" s="7">
        <f>DATE(YEAR(m4_crossvalid[[#This Row],[ds]]),MONTH(m4_crossvalid[[#This Row],[ds]]),DAY(m4_crossvalid[[#This Row],[ds]]))</f>
        <v>45677</v>
      </c>
      <c r="C21">
        <v>2385</v>
      </c>
      <c r="D21" s="1">
        <v>45677.333333333336</v>
      </c>
      <c r="E21">
        <v>2229.4656593568461</v>
      </c>
      <c r="F21">
        <v>437.91436998525324</v>
      </c>
      <c r="G21">
        <v>4010.6246462346062</v>
      </c>
      <c r="H21" s="1">
        <v>45657.333333333336</v>
      </c>
    </row>
    <row r="22" spans="1:8" x14ac:dyDescent="0.25">
      <c r="A22" s="7">
        <f>DATE(YEAR(m4_crossvalid[[#This Row],[cutoff]]),MONTH(m4_crossvalid[[#This Row],[cutoff]]),DAY(m4_crossvalid[[#This Row],[cutoff]]))</f>
        <v>45657</v>
      </c>
      <c r="B22" s="7">
        <f>DATE(YEAR(m4_crossvalid[[#This Row],[ds]]),MONTH(m4_crossvalid[[#This Row],[ds]]),DAY(m4_crossvalid[[#This Row],[ds]]))</f>
        <v>45678</v>
      </c>
      <c r="C22">
        <v>3051</v>
      </c>
      <c r="D22" s="1">
        <v>45678.333333333336</v>
      </c>
      <c r="E22">
        <v>2818.713639636826</v>
      </c>
      <c r="F22">
        <v>1009.0173839321022</v>
      </c>
      <c r="G22">
        <v>4619.7047572829315</v>
      </c>
      <c r="H22" s="1">
        <v>45657.333333333336</v>
      </c>
    </row>
    <row r="23" spans="1:8" x14ac:dyDescent="0.25">
      <c r="A23" s="7">
        <f>DATE(YEAR(m4_crossvalid[[#This Row],[cutoff]]),MONTH(m4_crossvalid[[#This Row],[cutoff]]),DAY(m4_crossvalid[[#This Row],[cutoff]]))</f>
        <v>45657</v>
      </c>
      <c r="B23" s="7">
        <f>DATE(YEAR(m4_crossvalid[[#This Row],[ds]]),MONTH(m4_crossvalid[[#This Row],[ds]]),DAY(m4_crossvalid[[#This Row],[ds]]))</f>
        <v>45679</v>
      </c>
      <c r="C23">
        <v>2878</v>
      </c>
      <c r="D23" s="1">
        <v>45679.333333333336</v>
      </c>
      <c r="E23">
        <v>3293.2880863162295</v>
      </c>
      <c r="F23">
        <v>1619.9159047483315</v>
      </c>
      <c r="G23">
        <v>5026.1410479044107</v>
      </c>
      <c r="H23" s="1">
        <v>45657.333333333336</v>
      </c>
    </row>
    <row r="24" spans="1:8" x14ac:dyDescent="0.25">
      <c r="A24" s="7">
        <f>DATE(YEAR(m4_crossvalid[[#This Row],[cutoff]]),MONTH(m4_crossvalid[[#This Row],[cutoff]]),DAY(m4_crossvalid[[#This Row],[cutoff]]))</f>
        <v>45657</v>
      </c>
      <c r="B24" s="7">
        <f>DATE(YEAR(m4_crossvalid[[#This Row],[ds]]),MONTH(m4_crossvalid[[#This Row],[ds]]),DAY(m4_crossvalid[[#This Row],[ds]]))</f>
        <v>45680</v>
      </c>
      <c r="C24">
        <v>4853</v>
      </c>
      <c r="D24" s="1">
        <v>45680.333333333336</v>
      </c>
      <c r="E24">
        <v>3510.1598558664027</v>
      </c>
      <c r="F24">
        <v>1780.4473203294635</v>
      </c>
      <c r="G24">
        <v>5197.9256229032062</v>
      </c>
      <c r="H24" s="1">
        <v>45657.333333333336</v>
      </c>
    </row>
    <row r="25" spans="1:8" x14ac:dyDescent="0.25">
      <c r="A25" s="7">
        <f>DATE(YEAR(m4_crossvalid[[#This Row],[cutoff]]),MONTH(m4_crossvalid[[#This Row],[cutoff]]),DAY(m4_crossvalid[[#This Row],[cutoff]]))</f>
        <v>45657</v>
      </c>
      <c r="B25" s="7">
        <f>DATE(YEAR(m4_crossvalid[[#This Row],[ds]]),MONTH(m4_crossvalid[[#This Row],[ds]]),DAY(m4_crossvalid[[#This Row],[ds]]))</f>
        <v>45681</v>
      </c>
      <c r="C25">
        <v>5202</v>
      </c>
      <c r="D25" s="1">
        <v>45681.333333333336</v>
      </c>
      <c r="E25">
        <v>3287.6770221076454</v>
      </c>
      <c r="F25">
        <v>1494.8410211160626</v>
      </c>
      <c r="G25">
        <v>5000.9290866971351</v>
      </c>
      <c r="H25" s="1">
        <v>45657.333333333336</v>
      </c>
    </row>
    <row r="26" spans="1:8" x14ac:dyDescent="0.25">
      <c r="A26" s="7">
        <f>DATE(YEAR(m4_crossvalid[[#This Row],[cutoff]]),MONTH(m4_crossvalid[[#This Row],[cutoff]]),DAY(m4_crossvalid[[#This Row],[cutoff]]))</f>
        <v>45657</v>
      </c>
      <c r="B26" s="7">
        <f>DATE(YEAR(m4_crossvalid[[#This Row],[ds]]),MONTH(m4_crossvalid[[#This Row],[ds]]),DAY(m4_crossvalid[[#This Row],[ds]]))</f>
        <v>45682</v>
      </c>
      <c r="C26">
        <v>1624</v>
      </c>
      <c r="D26" s="1">
        <v>45682.333333333336</v>
      </c>
      <c r="E26">
        <v>1098.0994829402509</v>
      </c>
      <c r="F26">
        <v>-583.85693349870564</v>
      </c>
      <c r="G26">
        <v>2920.5098312649357</v>
      </c>
      <c r="H26" s="1">
        <v>45657.333333333336</v>
      </c>
    </row>
    <row r="27" spans="1:8" x14ac:dyDescent="0.25">
      <c r="A27" s="7">
        <f>DATE(YEAR(m4_crossvalid[[#This Row],[cutoff]]),MONTH(m4_crossvalid[[#This Row],[cutoff]]),DAY(m4_crossvalid[[#This Row],[cutoff]]))</f>
        <v>45657</v>
      </c>
      <c r="B27" s="7">
        <f>DATE(YEAR(m4_crossvalid[[#This Row],[ds]]),MONTH(m4_crossvalid[[#This Row],[ds]]),DAY(m4_crossvalid[[#This Row],[ds]]))</f>
        <v>45683</v>
      </c>
      <c r="C27">
        <v>454</v>
      </c>
      <c r="D27" s="1">
        <v>45683.333333333336</v>
      </c>
      <c r="E27">
        <v>1007.4269084549223</v>
      </c>
      <c r="F27">
        <v>-737.26174252975784</v>
      </c>
      <c r="G27">
        <v>2749.3157918833826</v>
      </c>
      <c r="H27" s="1">
        <v>45657.333333333336</v>
      </c>
    </row>
    <row r="28" spans="1:8" x14ac:dyDescent="0.25">
      <c r="A28" s="7">
        <f>DATE(YEAR(m4_crossvalid[[#This Row],[cutoff]]),MONTH(m4_crossvalid[[#This Row],[cutoff]]),DAY(m4_crossvalid[[#This Row],[cutoff]]))</f>
        <v>45657</v>
      </c>
      <c r="B28" s="7">
        <f>DATE(YEAR(m4_crossvalid[[#This Row],[ds]]),MONTH(m4_crossvalid[[#This Row],[ds]]),DAY(m4_crossvalid[[#This Row],[ds]]))</f>
        <v>45684</v>
      </c>
      <c r="C28">
        <v>5598</v>
      </c>
      <c r="D28" s="1">
        <v>45684.333333333336</v>
      </c>
      <c r="E28">
        <v>4552.0438564036958</v>
      </c>
      <c r="F28">
        <v>2785.1806429538251</v>
      </c>
      <c r="G28">
        <v>6282.8424625026764</v>
      </c>
      <c r="H28" s="1">
        <v>45657.333333333336</v>
      </c>
    </row>
    <row r="29" spans="1:8" x14ac:dyDescent="0.25">
      <c r="A29" s="7">
        <f>DATE(YEAR(m4_crossvalid[[#This Row],[cutoff]]),MONTH(m4_crossvalid[[#This Row],[cutoff]]),DAY(m4_crossvalid[[#This Row],[cutoff]]))</f>
        <v>45657</v>
      </c>
      <c r="B29" s="7">
        <f>DATE(YEAR(m4_crossvalid[[#This Row],[ds]]),MONTH(m4_crossvalid[[#This Row],[ds]]),DAY(m4_crossvalid[[#This Row],[ds]]))</f>
        <v>45685</v>
      </c>
      <c r="C29">
        <v>5264</v>
      </c>
      <c r="D29" s="1">
        <v>45685.333333333336</v>
      </c>
      <c r="E29">
        <v>6159.4873483362826</v>
      </c>
      <c r="F29">
        <v>4484.1606363780857</v>
      </c>
      <c r="G29">
        <v>7909.1517359951395</v>
      </c>
      <c r="H29" s="1">
        <v>45657.333333333336</v>
      </c>
    </row>
    <row r="30" spans="1:8" x14ac:dyDescent="0.25">
      <c r="A30" s="7">
        <f>DATE(YEAR(m4_crossvalid[[#This Row],[cutoff]]),MONTH(m4_crossvalid[[#This Row],[cutoff]]),DAY(m4_crossvalid[[#This Row],[cutoff]]))</f>
        <v>45657</v>
      </c>
      <c r="B30" s="7">
        <f>DATE(YEAR(m4_crossvalid[[#This Row],[ds]]),MONTH(m4_crossvalid[[#This Row],[ds]]),DAY(m4_crossvalid[[#This Row],[ds]]))</f>
        <v>45686</v>
      </c>
      <c r="C30">
        <v>310</v>
      </c>
      <c r="D30" s="1">
        <v>45686.333333333336</v>
      </c>
      <c r="E30">
        <v>5775.9220566995509</v>
      </c>
      <c r="F30">
        <v>3996.9543005324845</v>
      </c>
      <c r="G30">
        <v>7427.4076997483025</v>
      </c>
      <c r="H30" s="1">
        <v>45657.333333333336</v>
      </c>
    </row>
    <row r="31" spans="1:8" x14ac:dyDescent="0.25">
      <c r="A31" s="7">
        <f>DATE(YEAR(m4_crossvalid[[#This Row],[cutoff]]),MONTH(m4_crossvalid[[#This Row],[cutoff]]),DAY(m4_crossvalid[[#This Row],[cutoff]]))</f>
        <v>45657</v>
      </c>
      <c r="B31" s="7">
        <f>DATE(YEAR(m4_crossvalid[[#This Row],[ds]]),MONTH(m4_crossvalid[[#This Row],[ds]]),DAY(m4_crossvalid[[#This Row],[ds]]))</f>
        <v>45687</v>
      </c>
      <c r="C31">
        <v>255</v>
      </c>
      <c r="D31" s="1">
        <v>45687.333333333336</v>
      </c>
      <c r="E31">
        <v>5320.7610128399938</v>
      </c>
      <c r="F31">
        <v>3605.1212822427506</v>
      </c>
      <c r="G31">
        <v>6853.2145955103861</v>
      </c>
      <c r="H31" s="1">
        <v>45657.333333333336</v>
      </c>
    </row>
    <row r="32" spans="1:8" x14ac:dyDescent="0.25">
      <c r="A32" s="7">
        <f>DATE(YEAR(m4_crossvalid[[#This Row],[cutoff]]),MONTH(m4_crossvalid[[#This Row],[cutoff]]),DAY(m4_crossvalid[[#This Row],[cutoff]]))</f>
        <v>45657</v>
      </c>
      <c r="B32" s="7">
        <f>DATE(YEAR(m4_crossvalid[[#This Row],[ds]]),MONTH(m4_crossvalid[[#This Row],[ds]]),DAY(m4_crossvalid[[#This Row],[ds]]))</f>
        <v>45688</v>
      </c>
      <c r="C32">
        <v>6041</v>
      </c>
      <c r="D32" s="1">
        <v>45688.333333333336</v>
      </c>
      <c r="E32">
        <v>4779.7743344835553</v>
      </c>
      <c r="F32">
        <v>3121.2656553028814</v>
      </c>
      <c r="G32">
        <v>6595.5318155715877</v>
      </c>
      <c r="H32" s="1">
        <v>45657.333333333336</v>
      </c>
    </row>
    <row r="33" spans="1:8" x14ac:dyDescent="0.25">
      <c r="A33" s="7">
        <f>DATE(YEAR(m4_crossvalid[[#This Row],[cutoff]]),MONTH(m4_crossvalid[[#This Row],[cutoff]]),DAY(m4_crossvalid[[#This Row],[cutoff]]))</f>
        <v>45688</v>
      </c>
      <c r="B33" s="7">
        <f>DATE(YEAR(m4_crossvalid[[#This Row],[ds]]),MONTH(m4_crossvalid[[#This Row],[ds]]),DAY(m4_crossvalid[[#This Row],[ds]]))</f>
        <v>45689</v>
      </c>
      <c r="C33">
        <v>47</v>
      </c>
      <c r="D33" s="1">
        <v>45689.333333333336</v>
      </c>
      <c r="E33">
        <v>-931.47939666300363</v>
      </c>
      <c r="F33">
        <v>-2839.0754729454175</v>
      </c>
      <c r="G33">
        <v>804.94472113388679</v>
      </c>
      <c r="H33" s="1">
        <v>45688.333333333336</v>
      </c>
    </row>
    <row r="34" spans="1:8" x14ac:dyDescent="0.25">
      <c r="A34" s="7">
        <f>DATE(YEAR(m4_crossvalid[[#This Row],[cutoff]]),MONTH(m4_crossvalid[[#This Row],[cutoff]]),DAY(m4_crossvalid[[#This Row],[cutoff]]))</f>
        <v>45688</v>
      </c>
      <c r="B34" s="7">
        <f>DATE(YEAR(m4_crossvalid[[#This Row],[ds]]),MONTH(m4_crossvalid[[#This Row],[ds]]),DAY(m4_crossvalid[[#This Row],[ds]]))</f>
        <v>45690</v>
      </c>
      <c r="C34">
        <v>14</v>
      </c>
      <c r="D34" s="1">
        <v>45690.333333333336</v>
      </c>
      <c r="E34">
        <v>-1201.4289866100403</v>
      </c>
      <c r="F34">
        <v>-2965.9815833896619</v>
      </c>
      <c r="G34">
        <v>604.66719778937249</v>
      </c>
      <c r="H34" s="1">
        <v>45688.333333333336</v>
      </c>
    </row>
    <row r="35" spans="1:8" x14ac:dyDescent="0.25">
      <c r="A35" s="7">
        <f>DATE(YEAR(m4_crossvalid[[#This Row],[cutoff]]),MONTH(m4_crossvalid[[#This Row],[cutoff]]),DAY(m4_crossvalid[[#This Row],[cutoff]]))</f>
        <v>45688</v>
      </c>
      <c r="B35" s="7">
        <f>DATE(YEAR(m4_crossvalid[[#This Row],[ds]]),MONTH(m4_crossvalid[[#This Row],[ds]]),DAY(m4_crossvalid[[#This Row],[ds]]))</f>
        <v>45691</v>
      </c>
      <c r="C35">
        <v>454</v>
      </c>
      <c r="D35" s="1">
        <v>45691.333333333336</v>
      </c>
      <c r="E35">
        <v>903.87800239071339</v>
      </c>
      <c r="F35">
        <v>-928.52802368329753</v>
      </c>
      <c r="G35">
        <v>2629.3637524336918</v>
      </c>
      <c r="H35" s="1">
        <v>45688.333333333336</v>
      </c>
    </row>
    <row r="36" spans="1:8" x14ac:dyDescent="0.25">
      <c r="A36" s="7">
        <f>DATE(YEAR(m4_crossvalid[[#This Row],[cutoff]]),MONTH(m4_crossvalid[[#This Row],[cutoff]]),DAY(m4_crossvalid[[#This Row],[cutoff]]))</f>
        <v>45688</v>
      </c>
      <c r="B36" s="7">
        <f>DATE(YEAR(m4_crossvalid[[#This Row],[ds]]),MONTH(m4_crossvalid[[#This Row],[ds]]),DAY(m4_crossvalid[[#This Row],[ds]]))</f>
        <v>45692</v>
      </c>
      <c r="C36">
        <v>626</v>
      </c>
      <c r="D36" s="1">
        <v>45692.333333333336</v>
      </c>
      <c r="E36">
        <v>1544.9412168062654</v>
      </c>
      <c r="F36">
        <v>-215.97810721807974</v>
      </c>
      <c r="G36">
        <v>3280.6931005236052</v>
      </c>
      <c r="H36" s="1">
        <v>45688.333333333336</v>
      </c>
    </row>
    <row r="37" spans="1:8" x14ac:dyDescent="0.25">
      <c r="A37" s="7">
        <f>DATE(YEAR(m4_crossvalid[[#This Row],[cutoff]]),MONTH(m4_crossvalid[[#This Row],[cutoff]]),DAY(m4_crossvalid[[#This Row],[cutoff]]))</f>
        <v>45688</v>
      </c>
      <c r="B37" s="7">
        <f>DATE(YEAR(m4_crossvalid[[#This Row],[ds]]),MONTH(m4_crossvalid[[#This Row],[ds]]),DAY(m4_crossvalid[[#This Row],[ds]]))</f>
        <v>45693</v>
      </c>
      <c r="C37">
        <v>886</v>
      </c>
      <c r="D37" s="1">
        <v>45693.333333333336</v>
      </c>
      <c r="E37">
        <v>2017.7232291044456</v>
      </c>
      <c r="F37">
        <v>388.19114451420364</v>
      </c>
      <c r="G37">
        <v>3852.7944011687441</v>
      </c>
      <c r="H37" s="1">
        <v>45688.333333333336</v>
      </c>
    </row>
    <row r="38" spans="1:8" x14ac:dyDescent="0.25">
      <c r="A38" s="7">
        <f>DATE(YEAR(m4_crossvalid[[#This Row],[cutoff]]),MONTH(m4_crossvalid[[#This Row],[cutoff]]),DAY(m4_crossvalid[[#This Row],[cutoff]]))</f>
        <v>45688</v>
      </c>
      <c r="B38" s="7">
        <f>DATE(YEAR(m4_crossvalid[[#This Row],[ds]]),MONTH(m4_crossvalid[[#This Row],[ds]]),DAY(m4_crossvalid[[#This Row],[ds]]))</f>
        <v>45694</v>
      </c>
      <c r="C38">
        <v>1159</v>
      </c>
      <c r="D38" s="1">
        <v>45694.333333333336</v>
      </c>
      <c r="E38">
        <v>2137.1984257613426</v>
      </c>
      <c r="F38">
        <v>365.23238493393427</v>
      </c>
      <c r="G38">
        <v>3821.744934867138</v>
      </c>
      <c r="H38" s="1">
        <v>45688.333333333336</v>
      </c>
    </row>
    <row r="39" spans="1:8" x14ac:dyDescent="0.25">
      <c r="A39" s="7">
        <f>DATE(YEAR(m4_crossvalid[[#This Row],[cutoff]]),MONTH(m4_crossvalid[[#This Row],[cutoff]]),DAY(m4_crossvalid[[#This Row],[cutoff]]))</f>
        <v>45688</v>
      </c>
      <c r="B39" s="7">
        <f>DATE(YEAR(m4_crossvalid[[#This Row],[ds]]),MONTH(m4_crossvalid[[#This Row],[ds]]),DAY(m4_crossvalid[[#This Row],[ds]]))</f>
        <v>45695</v>
      </c>
      <c r="C39">
        <v>1342</v>
      </c>
      <c r="D39" s="1">
        <v>45695.333333333336</v>
      </c>
      <c r="E39">
        <v>1842.77690277069</v>
      </c>
      <c r="F39">
        <v>147.02821291521195</v>
      </c>
      <c r="G39">
        <v>3738.1780769917377</v>
      </c>
      <c r="H39" s="1">
        <v>45688.333333333336</v>
      </c>
    </row>
    <row r="40" spans="1:8" x14ac:dyDescent="0.25">
      <c r="A40" s="7">
        <f>DATE(YEAR(m4_crossvalid[[#This Row],[cutoff]]),MONTH(m4_crossvalid[[#This Row],[cutoff]]),DAY(m4_crossvalid[[#This Row],[cutoff]]))</f>
        <v>45688</v>
      </c>
      <c r="B40" s="7">
        <f>DATE(YEAR(m4_crossvalid[[#This Row],[ds]]),MONTH(m4_crossvalid[[#This Row],[ds]]),DAY(m4_crossvalid[[#This Row],[ds]]))</f>
        <v>45696</v>
      </c>
      <c r="C40">
        <v>301</v>
      </c>
      <c r="D40" s="1">
        <v>45696.333333333336</v>
      </c>
      <c r="E40">
        <v>-405.23058024719376</v>
      </c>
      <c r="F40">
        <v>-2219.8223165249428</v>
      </c>
      <c r="G40">
        <v>1356.4583792643223</v>
      </c>
      <c r="H40" s="1">
        <v>45688.333333333336</v>
      </c>
    </row>
    <row r="41" spans="1:8" x14ac:dyDescent="0.25">
      <c r="A41" s="7">
        <f>DATE(YEAR(m4_crossvalid[[#This Row],[cutoff]]),MONTH(m4_crossvalid[[#This Row],[cutoff]]),DAY(m4_crossvalid[[#This Row],[cutoff]]))</f>
        <v>45688</v>
      </c>
      <c r="B41" s="7">
        <f>DATE(YEAR(m4_crossvalid[[#This Row],[ds]]),MONTH(m4_crossvalid[[#This Row],[ds]]),DAY(m4_crossvalid[[#This Row],[ds]]))</f>
        <v>45697</v>
      </c>
      <c r="C41">
        <v>54</v>
      </c>
      <c r="D41" s="1">
        <v>45697.333333333336</v>
      </c>
      <c r="E41">
        <v>-747.35774426908438</v>
      </c>
      <c r="F41">
        <v>-2506.9552656965025</v>
      </c>
      <c r="G41">
        <v>985.23128949392458</v>
      </c>
      <c r="H41" s="1">
        <v>45688.333333333336</v>
      </c>
    </row>
    <row r="42" spans="1:8" x14ac:dyDescent="0.25">
      <c r="A42" s="7">
        <f>DATE(YEAR(m4_crossvalid[[#This Row],[cutoff]]),MONTH(m4_crossvalid[[#This Row],[cutoff]]),DAY(m4_crossvalid[[#This Row],[cutoff]]))</f>
        <v>45688</v>
      </c>
      <c r="B42" s="7">
        <f>DATE(YEAR(m4_crossvalid[[#This Row],[ds]]),MONTH(m4_crossvalid[[#This Row],[ds]]),DAY(m4_crossvalid[[#This Row],[ds]]))</f>
        <v>45698</v>
      </c>
      <c r="C42">
        <v>1577</v>
      </c>
      <c r="D42" s="1">
        <v>45698.333333333336</v>
      </c>
      <c r="E42">
        <v>2085.1068667084292</v>
      </c>
      <c r="F42">
        <v>372.22221665694155</v>
      </c>
      <c r="G42">
        <v>3946.502291306444</v>
      </c>
      <c r="H42" s="1">
        <v>45688.333333333336</v>
      </c>
    </row>
    <row r="43" spans="1:8" x14ac:dyDescent="0.25">
      <c r="A43" s="7">
        <f>DATE(YEAR(m4_crossvalid[[#This Row],[cutoff]]),MONTH(m4_crossvalid[[#This Row],[cutoff]]),DAY(m4_crossvalid[[#This Row],[cutoff]]))</f>
        <v>45688</v>
      </c>
      <c r="B43" s="7">
        <f>DATE(YEAR(m4_crossvalid[[#This Row],[ds]]),MONTH(m4_crossvalid[[#This Row],[ds]]),DAY(m4_crossvalid[[#This Row],[ds]]))</f>
        <v>45699</v>
      </c>
      <c r="C43">
        <v>555</v>
      </c>
      <c r="D43" s="1">
        <v>45699.333333333336</v>
      </c>
      <c r="E43">
        <v>1035.2427874218386</v>
      </c>
      <c r="F43">
        <v>-760.03074965601877</v>
      </c>
      <c r="G43">
        <v>2877.8466080646995</v>
      </c>
      <c r="H43" s="1">
        <v>45688.333333333336</v>
      </c>
    </row>
    <row r="44" spans="1:8" x14ac:dyDescent="0.25">
      <c r="A44" s="7">
        <f>DATE(YEAR(m4_crossvalid[[#This Row],[cutoff]]),MONTH(m4_crossvalid[[#This Row],[cutoff]]),DAY(m4_crossvalid[[#This Row],[cutoff]]))</f>
        <v>45688</v>
      </c>
      <c r="B44" s="7">
        <f>DATE(YEAR(m4_crossvalid[[#This Row],[ds]]),MONTH(m4_crossvalid[[#This Row],[ds]]),DAY(m4_crossvalid[[#This Row],[ds]]))</f>
        <v>45700</v>
      </c>
      <c r="C44">
        <v>1823</v>
      </c>
      <c r="D44" s="1">
        <v>45700.333333333336</v>
      </c>
      <c r="E44">
        <v>2628.7440930482885</v>
      </c>
      <c r="F44">
        <v>948.52459636855269</v>
      </c>
      <c r="G44">
        <v>4391.9577895821722</v>
      </c>
      <c r="H44" s="1">
        <v>45688.333333333336</v>
      </c>
    </row>
    <row r="45" spans="1:8" x14ac:dyDescent="0.25">
      <c r="A45" s="7">
        <f>DATE(YEAR(m4_crossvalid[[#This Row],[cutoff]]),MONTH(m4_crossvalid[[#This Row],[cutoff]]),DAY(m4_crossvalid[[#This Row],[cutoff]]))</f>
        <v>45688</v>
      </c>
      <c r="B45" s="7">
        <f>DATE(YEAR(m4_crossvalid[[#This Row],[ds]]),MONTH(m4_crossvalid[[#This Row],[ds]]),DAY(m4_crossvalid[[#This Row],[ds]]))</f>
        <v>45701</v>
      </c>
      <c r="C45">
        <v>2210</v>
      </c>
      <c r="D45" s="1">
        <v>45701.333333333336</v>
      </c>
      <c r="E45">
        <v>2461.9632646974619</v>
      </c>
      <c r="F45">
        <v>658.70932781025783</v>
      </c>
      <c r="G45">
        <v>4202.8446896161749</v>
      </c>
      <c r="H45" s="1">
        <v>45688.333333333336</v>
      </c>
    </row>
    <row r="46" spans="1:8" x14ac:dyDescent="0.25">
      <c r="A46" s="7">
        <f>DATE(YEAR(m4_crossvalid[[#This Row],[cutoff]]),MONTH(m4_crossvalid[[#This Row],[cutoff]]),DAY(m4_crossvalid[[#This Row],[cutoff]]))</f>
        <v>45688</v>
      </c>
      <c r="B46" s="7">
        <f>DATE(YEAR(m4_crossvalid[[#This Row],[ds]]),MONTH(m4_crossvalid[[#This Row],[ds]]),DAY(m4_crossvalid[[#This Row],[ds]]))</f>
        <v>45702</v>
      </c>
      <c r="C46">
        <v>2308</v>
      </c>
      <c r="D46" s="1">
        <v>45702.333333333336</v>
      </c>
      <c r="E46">
        <v>2294.0009610870416</v>
      </c>
      <c r="F46">
        <v>435.14997514027812</v>
      </c>
      <c r="G46">
        <v>4047.0825812840512</v>
      </c>
      <c r="H46" s="1">
        <v>45688.333333333336</v>
      </c>
    </row>
    <row r="47" spans="1:8" x14ac:dyDescent="0.25">
      <c r="A47" s="7">
        <f>DATE(YEAR(m4_crossvalid[[#This Row],[cutoff]]),MONTH(m4_crossvalid[[#This Row],[cutoff]]),DAY(m4_crossvalid[[#This Row],[cutoff]]))</f>
        <v>45688</v>
      </c>
      <c r="B47" s="7">
        <f>DATE(YEAR(m4_crossvalid[[#This Row],[ds]]),MONTH(m4_crossvalid[[#This Row],[ds]]),DAY(m4_crossvalid[[#This Row],[ds]]))</f>
        <v>45703</v>
      </c>
      <c r="C47">
        <v>485</v>
      </c>
      <c r="D47" s="1">
        <v>45703.333333333336</v>
      </c>
      <c r="E47">
        <v>364.13423439734834</v>
      </c>
      <c r="F47">
        <v>-1343.6728820751093</v>
      </c>
      <c r="G47">
        <v>2154.2301176276428</v>
      </c>
      <c r="H47" s="1">
        <v>45688.333333333336</v>
      </c>
    </row>
    <row r="48" spans="1:8" x14ac:dyDescent="0.25">
      <c r="A48" s="7">
        <f>DATE(YEAR(m4_crossvalid[[#This Row],[cutoff]]),MONTH(m4_crossvalid[[#This Row],[cutoff]]),DAY(m4_crossvalid[[#This Row],[cutoff]]))</f>
        <v>45688</v>
      </c>
      <c r="B48" s="7">
        <f>DATE(YEAR(m4_crossvalid[[#This Row],[ds]]),MONTH(m4_crossvalid[[#This Row],[ds]]),DAY(m4_crossvalid[[#This Row],[ds]]))</f>
        <v>45704</v>
      </c>
      <c r="C48">
        <v>118</v>
      </c>
      <c r="D48" s="1">
        <v>45704.333333333336</v>
      </c>
      <c r="E48">
        <v>144.08960610755275</v>
      </c>
      <c r="F48">
        <v>-1738.0461017646724</v>
      </c>
      <c r="G48">
        <v>2001.1020503059453</v>
      </c>
      <c r="H48" s="1">
        <v>45688.333333333336</v>
      </c>
    </row>
    <row r="49" spans="1:8" x14ac:dyDescent="0.25">
      <c r="A49" s="7">
        <f>DATE(YEAR(m4_crossvalid[[#This Row],[cutoff]]),MONTH(m4_crossvalid[[#This Row],[cutoff]]),DAY(m4_crossvalid[[#This Row],[cutoff]]))</f>
        <v>45688</v>
      </c>
      <c r="B49" s="7">
        <f>DATE(YEAR(m4_crossvalid[[#This Row],[ds]]),MONTH(m4_crossvalid[[#This Row],[ds]]),DAY(m4_crossvalid[[#This Row],[ds]]))</f>
        <v>45705</v>
      </c>
      <c r="C49">
        <v>2482</v>
      </c>
      <c r="D49" s="1">
        <v>45705.333333333336</v>
      </c>
      <c r="E49">
        <v>2748.9891968733923</v>
      </c>
      <c r="F49">
        <v>1021.8588241722936</v>
      </c>
      <c r="G49">
        <v>4588.4854019671257</v>
      </c>
      <c r="H49" s="1">
        <v>45688.333333333336</v>
      </c>
    </row>
    <row r="50" spans="1:8" x14ac:dyDescent="0.25">
      <c r="A50" s="7">
        <f>DATE(YEAR(m4_crossvalid[[#This Row],[cutoff]]),MONTH(m4_crossvalid[[#This Row],[cutoff]]),DAY(m4_crossvalid[[#This Row],[cutoff]]))</f>
        <v>45688</v>
      </c>
      <c r="B50" s="7">
        <f>DATE(YEAR(m4_crossvalid[[#This Row],[ds]]),MONTH(m4_crossvalid[[#This Row],[ds]]),DAY(m4_crossvalid[[#This Row],[ds]]))</f>
        <v>45706</v>
      </c>
      <c r="C50">
        <v>2913</v>
      </c>
      <c r="D50" s="1">
        <v>45706.333333333336</v>
      </c>
      <c r="E50">
        <v>2936.3773993255259</v>
      </c>
      <c r="F50">
        <v>1139.7657366252167</v>
      </c>
      <c r="G50">
        <v>4658.5326335033305</v>
      </c>
      <c r="H50" s="1">
        <v>45688.333333333336</v>
      </c>
    </row>
    <row r="51" spans="1:8" x14ac:dyDescent="0.25">
      <c r="A51" s="7">
        <f>DATE(YEAR(m4_crossvalid[[#This Row],[cutoff]]),MONTH(m4_crossvalid[[#This Row],[cutoff]]),DAY(m4_crossvalid[[#This Row],[cutoff]]))</f>
        <v>45688</v>
      </c>
      <c r="B51" s="7">
        <f>DATE(YEAR(m4_crossvalid[[#This Row],[ds]]),MONTH(m4_crossvalid[[#This Row],[ds]]),DAY(m4_crossvalid[[#This Row],[ds]]))</f>
        <v>45707</v>
      </c>
      <c r="C51">
        <v>3106</v>
      </c>
      <c r="D51" s="1">
        <v>45707.333333333336</v>
      </c>
      <c r="E51">
        <v>2815.9719687115439</v>
      </c>
      <c r="F51">
        <v>1028.3886146139648</v>
      </c>
      <c r="G51">
        <v>4450.3336038656844</v>
      </c>
      <c r="H51" s="1">
        <v>45688.333333333336</v>
      </c>
    </row>
    <row r="52" spans="1:8" x14ac:dyDescent="0.25">
      <c r="A52" s="7">
        <f>DATE(YEAR(m4_crossvalid[[#This Row],[cutoff]]),MONTH(m4_crossvalid[[#This Row],[cutoff]]),DAY(m4_crossvalid[[#This Row],[cutoff]]))</f>
        <v>45688</v>
      </c>
      <c r="B52" s="7">
        <f>DATE(YEAR(m4_crossvalid[[#This Row],[ds]]),MONTH(m4_crossvalid[[#This Row],[ds]]),DAY(m4_crossvalid[[#This Row],[ds]]))</f>
        <v>45708</v>
      </c>
      <c r="C52">
        <v>3104</v>
      </c>
      <c r="D52" s="1">
        <v>45708.333333333336</v>
      </c>
      <c r="E52">
        <v>2889.357528984774</v>
      </c>
      <c r="F52">
        <v>1040.1363654487307</v>
      </c>
      <c r="G52">
        <v>4640.4935931241762</v>
      </c>
      <c r="H52" s="1">
        <v>45688.333333333336</v>
      </c>
    </row>
    <row r="53" spans="1:8" x14ac:dyDescent="0.25">
      <c r="A53" s="7">
        <f>DATE(YEAR(m4_crossvalid[[#This Row],[cutoff]]),MONTH(m4_crossvalid[[#This Row],[cutoff]]),DAY(m4_crossvalid[[#This Row],[cutoff]]))</f>
        <v>45688</v>
      </c>
      <c r="B53" s="7">
        <f>DATE(YEAR(m4_crossvalid[[#This Row],[ds]]),MONTH(m4_crossvalid[[#This Row],[ds]]),DAY(m4_crossvalid[[#This Row],[ds]]))</f>
        <v>45709</v>
      </c>
      <c r="C53">
        <v>3309</v>
      </c>
      <c r="D53" s="1">
        <v>45709.333333333336</v>
      </c>
      <c r="E53">
        <v>3087.5353737142896</v>
      </c>
      <c r="F53">
        <v>1274.678436515565</v>
      </c>
      <c r="G53">
        <v>4856.5517300449665</v>
      </c>
      <c r="H53" s="1">
        <v>45688.333333333336</v>
      </c>
    </row>
    <row r="54" spans="1:8" x14ac:dyDescent="0.25">
      <c r="A54" s="7">
        <f>DATE(YEAR(m4_crossvalid[[#This Row],[cutoff]]),MONTH(m4_crossvalid[[#This Row],[cutoff]]),DAY(m4_crossvalid[[#This Row],[cutoff]]))</f>
        <v>45688</v>
      </c>
      <c r="B54" s="7">
        <f>DATE(YEAR(m4_crossvalid[[#This Row],[ds]]),MONTH(m4_crossvalid[[#This Row],[ds]]),DAY(m4_crossvalid[[#This Row],[ds]]))</f>
        <v>45710</v>
      </c>
      <c r="C54">
        <v>732</v>
      </c>
      <c r="D54" s="1">
        <v>45710.333333333336</v>
      </c>
      <c r="E54">
        <v>1290.7584838161627</v>
      </c>
      <c r="F54">
        <v>-419.95218312578021</v>
      </c>
      <c r="G54">
        <v>3011.3430818714432</v>
      </c>
      <c r="H54" s="1">
        <v>45688.333333333336</v>
      </c>
    </row>
    <row r="55" spans="1:8" x14ac:dyDescent="0.25">
      <c r="A55" s="7">
        <f>DATE(YEAR(m4_crossvalid[[#This Row],[cutoff]]),MONTH(m4_crossvalid[[#This Row],[cutoff]]),DAY(m4_crossvalid[[#This Row],[cutoff]]))</f>
        <v>45688</v>
      </c>
      <c r="B55" s="7">
        <f>DATE(YEAR(m4_crossvalid[[#This Row],[ds]]),MONTH(m4_crossvalid[[#This Row],[ds]]),DAY(m4_crossvalid[[#This Row],[ds]]))</f>
        <v>45711</v>
      </c>
      <c r="C55">
        <v>202</v>
      </c>
      <c r="D55" s="1">
        <v>45711.333333333336</v>
      </c>
      <c r="E55">
        <v>871.83610983033122</v>
      </c>
      <c r="F55">
        <v>-836.02499532207821</v>
      </c>
      <c r="G55">
        <v>2640.9520084459382</v>
      </c>
      <c r="H55" s="1">
        <v>45688.333333333336</v>
      </c>
    </row>
    <row r="56" spans="1:8" x14ac:dyDescent="0.25">
      <c r="A56" s="7">
        <f>DATE(YEAR(m4_crossvalid[[#This Row],[cutoff]]),MONTH(m4_crossvalid[[#This Row],[cutoff]]),DAY(m4_crossvalid[[#This Row],[cutoff]]))</f>
        <v>45688</v>
      </c>
      <c r="B56" s="7">
        <f>DATE(YEAR(m4_crossvalid[[#This Row],[ds]]),MONTH(m4_crossvalid[[#This Row],[ds]]),DAY(m4_crossvalid[[#This Row],[ds]]))</f>
        <v>45712</v>
      </c>
      <c r="C56">
        <v>3545</v>
      </c>
      <c r="D56" s="1">
        <v>45712.333333333336</v>
      </c>
      <c r="E56">
        <v>3253.1678085824665</v>
      </c>
      <c r="F56">
        <v>1380.844822961411</v>
      </c>
      <c r="G56">
        <v>5087.8086099107004</v>
      </c>
      <c r="H56" s="1">
        <v>45688.333333333336</v>
      </c>
    </row>
    <row r="57" spans="1:8" x14ac:dyDescent="0.25">
      <c r="A57" s="7">
        <f>DATE(YEAR(m4_crossvalid[[#This Row],[cutoff]]),MONTH(m4_crossvalid[[#This Row],[cutoff]]),DAY(m4_crossvalid[[#This Row],[cutoff]]))</f>
        <v>45688</v>
      </c>
      <c r="B57" s="7">
        <f>DATE(YEAR(m4_crossvalid[[#This Row],[ds]]),MONTH(m4_crossvalid[[#This Row],[ds]]),DAY(m4_crossvalid[[#This Row],[ds]]))</f>
        <v>45713</v>
      </c>
      <c r="C57">
        <v>4868</v>
      </c>
      <c r="D57" s="1">
        <v>45713.333333333336</v>
      </c>
      <c r="E57">
        <v>3652.6456024352974</v>
      </c>
      <c r="F57">
        <v>1827.8285066384237</v>
      </c>
      <c r="G57">
        <v>5205.293986968476</v>
      </c>
      <c r="H57" s="1">
        <v>45688.333333333336</v>
      </c>
    </row>
    <row r="58" spans="1:8" x14ac:dyDescent="0.25">
      <c r="A58" s="7">
        <f>DATE(YEAR(m4_crossvalid[[#This Row],[cutoff]]),MONTH(m4_crossvalid[[#This Row],[cutoff]]),DAY(m4_crossvalid[[#This Row],[cutoff]]))</f>
        <v>45688</v>
      </c>
      <c r="B58" s="7">
        <f>DATE(YEAR(m4_crossvalid[[#This Row],[ds]]),MONTH(m4_crossvalid[[#This Row],[ds]]),DAY(m4_crossvalid[[#This Row],[ds]]))</f>
        <v>45714</v>
      </c>
      <c r="C58">
        <v>6187</v>
      </c>
      <c r="D58" s="1">
        <v>45714.333333333336</v>
      </c>
      <c r="E58">
        <v>4355.6684705904208</v>
      </c>
      <c r="F58">
        <v>2735.4482928426942</v>
      </c>
      <c r="G58">
        <v>6121.4099262654627</v>
      </c>
      <c r="H58" s="1">
        <v>45688.333333333336</v>
      </c>
    </row>
    <row r="59" spans="1:8" x14ac:dyDescent="0.25">
      <c r="A59" s="7">
        <f>DATE(YEAR(m4_crossvalid[[#This Row],[cutoff]]),MONTH(m4_crossvalid[[#This Row],[cutoff]]),DAY(m4_crossvalid[[#This Row],[cutoff]]))</f>
        <v>45688</v>
      </c>
      <c r="B59" s="7">
        <f>DATE(YEAR(m4_crossvalid[[#This Row],[ds]]),MONTH(m4_crossvalid[[#This Row],[ds]]),DAY(m4_crossvalid[[#This Row],[ds]]))</f>
        <v>45715</v>
      </c>
      <c r="C59">
        <v>8082</v>
      </c>
      <c r="D59" s="1">
        <v>45715.333333333336</v>
      </c>
      <c r="E59">
        <v>5527.6316745391105</v>
      </c>
      <c r="F59">
        <v>3740.5759850308882</v>
      </c>
      <c r="G59">
        <v>7233.2058711213103</v>
      </c>
      <c r="H59" s="1">
        <v>45688.333333333336</v>
      </c>
    </row>
    <row r="60" spans="1:8" x14ac:dyDescent="0.25">
      <c r="A60" s="7">
        <f>DATE(YEAR(m4_crossvalid[[#This Row],[cutoff]]),MONTH(m4_crossvalid[[#This Row],[cutoff]]),DAY(m4_crossvalid[[#This Row],[cutoff]]))</f>
        <v>45688</v>
      </c>
      <c r="B60" s="7">
        <f>DATE(YEAR(m4_crossvalid[[#This Row],[ds]]),MONTH(m4_crossvalid[[#This Row],[ds]]),DAY(m4_crossvalid[[#This Row],[ds]]))</f>
        <v>45716</v>
      </c>
      <c r="C60">
        <v>14838</v>
      </c>
      <c r="D60" s="1">
        <v>45716.333333333336</v>
      </c>
      <c r="E60">
        <v>6445.4523004900484</v>
      </c>
      <c r="F60">
        <v>4686.14806267105</v>
      </c>
      <c r="G60">
        <v>8209.906872261754</v>
      </c>
      <c r="H60" s="1">
        <v>45688.333333333336</v>
      </c>
    </row>
    <row r="61" spans="1:8" x14ac:dyDescent="0.25">
      <c r="A61" s="7">
        <f>DATE(YEAR(m4_crossvalid[[#This Row],[cutoff]]),MONTH(m4_crossvalid[[#This Row],[cutoff]]),DAY(m4_crossvalid[[#This Row],[cutoff]]))</f>
        <v>45688</v>
      </c>
      <c r="B61" s="7">
        <f>DATE(YEAR(m4_crossvalid[[#This Row],[ds]]),MONTH(m4_crossvalid[[#This Row],[ds]]),DAY(m4_crossvalid[[#This Row],[ds]]))</f>
        <v>45717</v>
      </c>
      <c r="C61">
        <v>74</v>
      </c>
      <c r="D61" s="1">
        <v>45717.333333333336</v>
      </c>
      <c r="E61">
        <v>4469.1227178825193</v>
      </c>
      <c r="F61">
        <v>2781.0546033567557</v>
      </c>
      <c r="G61">
        <v>6194.6407337175442</v>
      </c>
      <c r="H61" s="1">
        <v>45688.333333333336</v>
      </c>
    </row>
    <row r="62" spans="1:8" x14ac:dyDescent="0.25">
      <c r="A62" s="7">
        <f>DATE(YEAR(m4_crossvalid[[#This Row],[cutoff]]),MONTH(m4_crossvalid[[#This Row],[cutoff]]),DAY(m4_crossvalid[[#This Row],[cutoff]]))</f>
        <v>45688</v>
      </c>
      <c r="B62" s="7">
        <f>DATE(YEAR(m4_crossvalid[[#This Row],[ds]]),MONTH(m4_crossvalid[[#This Row],[ds]]),DAY(m4_crossvalid[[#This Row],[ds]]))</f>
        <v>45718</v>
      </c>
      <c r="C62">
        <v>27</v>
      </c>
      <c r="D62" s="1">
        <v>45718.333333333336</v>
      </c>
      <c r="E62">
        <v>2915.7788426841071</v>
      </c>
      <c r="F62">
        <v>1211.8497323689014</v>
      </c>
      <c r="G62">
        <v>4680.2403448331106</v>
      </c>
      <c r="H62" s="1">
        <v>45688.333333333336</v>
      </c>
    </row>
    <row r="63" spans="1:8" x14ac:dyDescent="0.25">
      <c r="A63" s="7">
        <f>DATE(YEAR(m4_crossvalid[[#This Row],[cutoff]]),MONTH(m4_crossvalid[[#This Row],[cutoff]]),DAY(m4_crossvalid[[#This Row],[cutoff]]))</f>
        <v>45688</v>
      </c>
      <c r="B63" s="7">
        <f>DATE(YEAR(m4_crossvalid[[#This Row],[ds]]),MONTH(m4_crossvalid[[#This Row],[ds]]),DAY(m4_crossvalid[[#This Row],[ds]]))</f>
        <v>45719</v>
      </c>
      <c r="C63">
        <v>378</v>
      </c>
      <c r="D63" s="1">
        <v>45719.333333333336</v>
      </c>
      <c r="E63">
        <v>3580.8657884390577</v>
      </c>
      <c r="F63">
        <v>1747.7697815012637</v>
      </c>
      <c r="G63">
        <v>5343.3125844167507</v>
      </c>
      <c r="H63" s="1">
        <v>45688.333333333336</v>
      </c>
    </row>
    <row r="64" spans="1:8" x14ac:dyDescent="0.25">
      <c r="A64" s="7">
        <f>DATE(YEAR(m4_crossvalid[[#This Row],[cutoff]]),MONTH(m4_crossvalid[[#This Row],[cutoff]]),DAY(m4_crossvalid[[#This Row],[cutoff]]))</f>
        <v>45716</v>
      </c>
      <c r="B64" s="7">
        <f>DATE(YEAR(m4_crossvalid[[#This Row],[ds]]),MONTH(m4_crossvalid[[#This Row],[ds]]),DAY(m4_crossvalid[[#This Row],[ds]]))</f>
        <v>45717</v>
      </c>
      <c r="C64">
        <v>74</v>
      </c>
      <c r="D64" s="1">
        <v>45717.333333333336</v>
      </c>
      <c r="E64">
        <v>4825.2360558914888</v>
      </c>
      <c r="F64">
        <v>3111.9426374753293</v>
      </c>
      <c r="G64">
        <v>6609.4244968504809</v>
      </c>
      <c r="H64" s="1">
        <v>45716.333333333336</v>
      </c>
    </row>
    <row r="65" spans="1:8" x14ac:dyDescent="0.25">
      <c r="A65" s="7">
        <f>DATE(YEAR(m4_crossvalid[[#This Row],[cutoff]]),MONTH(m4_crossvalid[[#This Row],[cutoff]]),DAY(m4_crossvalid[[#This Row],[cutoff]]))</f>
        <v>45716</v>
      </c>
      <c r="B65" s="7">
        <f>DATE(YEAR(m4_crossvalid[[#This Row],[ds]]),MONTH(m4_crossvalid[[#This Row],[ds]]),DAY(m4_crossvalid[[#This Row],[ds]]))</f>
        <v>45718</v>
      </c>
      <c r="C65">
        <v>27</v>
      </c>
      <c r="D65" s="1">
        <v>45718.333333333336</v>
      </c>
      <c r="E65">
        <v>3236.8640148495233</v>
      </c>
      <c r="F65">
        <v>1480.1848437617971</v>
      </c>
      <c r="G65">
        <v>4900.7409568508911</v>
      </c>
      <c r="H65" s="1">
        <v>45716.333333333336</v>
      </c>
    </row>
    <row r="66" spans="1:8" x14ac:dyDescent="0.25">
      <c r="A66" s="7">
        <f>DATE(YEAR(m4_crossvalid[[#This Row],[cutoff]]),MONTH(m4_crossvalid[[#This Row],[cutoff]]),DAY(m4_crossvalid[[#This Row],[cutoff]]))</f>
        <v>45716</v>
      </c>
      <c r="B66" s="7">
        <f>DATE(YEAR(m4_crossvalid[[#This Row],[ds]]),MONTH(m4_crossvalid[[#This Row],[ds]]),DAY(m4_crossvalid[[#This Row],[ds]]))</f>
        <v>45719</v>
      </c>
      <c r="C66">
        <v>378</v>
      </c>
      <c r="D66" s="1">
        <v>45719.333333333336</v>
      </c>
      <c r="E66">
        <v>3867.1870451239756</v>
      </c>
      <c r="F66">
        <v>2025.1511435315238</v>
      </c>
      <c r="G66">
        <v>5651.5682784693226</v>
      </c>
      <c r="H66" s="1">
        <v>45716.333333333336</v>
      </c>
    </row>
    <row r="67" spans="1:8" x14ac:dyDescent="0.25">
      <c r="A67" s="7">
        <f>DATE(YEAR(m4_crossvalid[[#This Row],[cutoff]]),MONTH(m4_crossvalid[[#This Row],[cutoff]]),DAY(m4_crossvalid[[#This Row],[cutoff]]))</f>
        <v>45716</v>
      </c>
      <c r="B67" s="7">
        <f>DATE(YEAR(m4_crossvalid[[#This Row],[ds]]),MONTH(m4_crossvalid[[#This Row],[ds]]),DAY(m4_crossvalid[[#This Row],[ds]]))</f>
        <v>45720</v>
      </c>
      <c r="C67">
        <v>666</v>
      </c>
      <c r="D67" s="1">
        <v>45720.333333333336</v>
      </c>
      <c r="E67">
        <v>2460.6871825488392</v>
      </c>
      <c r="F67">
        <v>612.44274468558081</v>
      </c>
      <c r="G67">
        <v>4325.5962177723713</v>
      </c>
      <c r="H67" s="1">
        <v>45716.333333333336</v>
      </c>
    </row>
    <row r="68" spans="1:8" x14ac:dyDescent="0.25">
      <c r="A68" s="7">
        <f>DATE(YEAR(m4_crossvalid[[#This Row],[cutoff]]),MONTH(m4_crossvalid[[#This Row],[cutoff]]),DAY(m4_crossvalid[[#This Row],[cutoff]]))</f>
        <v>45716</v>
      </c>
      <c r="B68" s="7">
        <f>DATE(YEAR(m4_crossvalid[[#This Row],[ds]]),MONTH(m4_crossvalid[[#This Row],[ds]]),DAY(m4_crossvalid[[#This Row],[ds]]))</f>
        <v>45721</v>
      </c>
      <c r="C68">
        <v>793</v>
      </c>
      <c r="D68" s="1">
        <v>45721.333333333336</v>
      </c>
      <c r="E68">
        <v>1600.6942625042147</v>
      </c>
      <c r="F68">
        <v>-206.66656373376512</v>
      </c>
      <c r="G68">
        <v>3409.6917242888858</v>
      </c>
      <c r="H68" s="1">
        <v>45716.333333333336</v>
      </c>
    </row>
    <row r="69" spans="1:8" x14ac:dyDescent="0.25">
      <c r="A69" s="7">
        <f>DATE(YEAR(m4_crossvalid[[#This Row],[cutoff]]),MONTH(m4_crossvalid[[#This Row],[cutoff]]),DAY(m4_crossvalid[[#This Row],[cutoff]]))</f>
        <v>45716</v>
      </c>
      <c r="B69" s="7">
        <f>DATE(YEAR(m4_crossvalid[[#This Row],[ds]]),MONTH(m4_crossvalid[[#This Row],[ds]]),DAY(m4_crossvalid[[#This Row],[ds]]))</f>
        <v>45722</v>
      </c>
      <c r="C69">
        <v>1426</v>
      </c>
      <c r="D69" s="1">
        <v>45722.333333333336</v>
      </c>
      <c r="E69">
        <v>1619.7045384449798</v>
      </c>
      <c r="F69">
        <v>-95.621221653253329</v>
      </c>
      <c r="G69">
        <v>3520.6055298603846</v>
      </c>
      <c r="H69" s="1">
        <v>45716.333333333336</v>
      </c>
    </row>
    <row r="70" spans="1:8" x14ac:dyDescent="0.25">
      <c r="A70" s="7">
        <f>DATE(YEAR(m4_crossvalid[[#This Row],[cutoff]]),MONTH(m4_crossvalid[[#This Row],[cutoff]]),DAY(m4_crossvalid[[#This Row],[cutoff]]))</f>
        <v>45716</v>
      </c>
      <c r="B70" s="7">
        <f>DATE(YEAR(m4_crossvalid[[#This Row],[ds]]),MONTH(m4_crossvalid[[#This Row],[ds]]),DAY(m4_crossvalid[[#This Row],[ds]]))</f>
        <v>45723</v>
      </c>
      <c r="C70">
        <v>1674</v>
      </c>
      <c r="D70" s="1">
        <v>45723.333333333336</v>
      </c>
      <c r="E70">
        <v>1963.5156153711007</v>
      </c>
      <c r="F70">
        <v>133.4082943413286</v>
      </c>
      <c r="G70">
        <v>3652.0567255437891</v>
      </c>
      <c r="H70" s="1">
        <v>45716.333333333336</v>
      </c>
    </row>
    <row r="71" spans="1:8" x14ac:dyDescent="0.25">
      <c r="A71" s="7">
        <f>DATE(YEAR(m4_crossvalid[[#This Row],[cutoff]]),MONTH(m4_crossvalid[[#This Row],[cutoff]]),DAY(m4_crossvalid[[#This Row],[cutoff]]))</f>
        <v>45716</v>
      </c>
      <c r="B71" s="7">
        <f>DATE(YEAR(m4_crossvalid[[#This Row],[ds]]),MONTH(m4_crossvalid[[#This Row],[ds]]),DAY(m4_crossvalid[[#This Row],[ds]]))</f>
        <v>45724</v>
      </c>
      <c r="C71">
        <v>310</v>
      </c>
      <c r="D71" s="1">
        <v>45724.333333333336</v>
      </c>
      <c r="E71">
        <v>97.111577933901572</v>
      </c>
      <c r="F71">
        <v>-1630.9174380486886</v>
      </c>
      <c r="G71">
        <v>2029.5271234655299</v>
      </c>
      <c r="H71" s="1">
        <v>45716.333333333336</v>
      </c>
    </row>
    <row r="72" spans="1:8" x14ac:dyDescent="0.25">
      <c r="A72" s="7">
        <f>DATE(YEAR(m4_crossvalid[[#This Row],[cutoff]]),MONTH(m4_crossvalid[[#This Row],[cutoff]]),DAY(m4_crossvalid[[#This Row],[cutoff]]))</f>
        <v>45716</v>
      </c>
      <c r="B72" s="7">
        <f>DATE(YEAR(m4_crossvalid[[#This Row],[ds]]),MONTH(m4_crossvalid[[#This Row],[ds]]),DAY(m4_crossvalid[[#This Row],[ds]]))</f>
        <v>45725</v>
      </c>
      <c r="C72">
        <v>109</v>
      </c>
      <c r="D72" s="1">
        <v>45725.333333333336</v>
      </c>
      <c r="E72">
        <v>-417.7437751992702</v>
      </c>
      <c r="F72">
        <v>-2178.8528067369057</v>
      </c>
      <c r="G72">
        <v>1339.168856857327</v>
      </c>
      <c r="H72" s="1">
        <v>45716.333333333336</v>
      </c>
    </row>
    <row r="73" spans="1:8" x14ac:dyDescent="0.25">
      <c r="A73" s="7">
        <f>DATE(YEAR(m4_crossvalid[[#This Row],[cutoff]]),MONTH(m4_crossvalid[[#This Row],[cutoff]]),DAY(m4_crossvalid[[#This Row],[cutoff]]))</f>
        <v>45716</v>
      </c>
      <c r="B73" s="7">
        <f>DATE(YEAR(m4_crossvalid[[#This Row],[ds]]),MONTH(m4_crossvalid[[#This Row],[ds]]),DAY(m4_crossvalid[[#This Row],[ds]]))</f>
        <v>45726</v>
      </c>
      <c r="C73">
        <v>1900</v>
      </c>
      <c r="D73" s="1">
        <v>45726.333333333336</v>
      </c>
      <c r="E73">
        <v>1930.4516782276769</v>
      </c>
      <c r="F73">
        <v>87.97125155012661</v>
      </c>
      <c r="G73">
        <v>3796.7382093881288</v>
      </c>
      <c r="H73" s="1">
        <v>45716.333333333336</v>
      </c>
    </row>
    <row r="74" spans="1:8" x14ac:dyDescent="0.25">
      <c r="A74" s="7">
        <f>DATE(YEAR(m4_crossvalid[[#This Row],[cutoff]]),MONTH(m4_crossvalid[[#This Row],[cutoff]]),DAY(m4_crossvalid[[#This Row],[cutoff]]))</f>
        <v>45716</v>
      </c>
      <c r="B74" s="7">
        <f>DATE(YEAR(m4_crossvalid[[#This Row],[ds]]),MONTH(m4_crossvalid[[#This Row],[ds]]),DAY(m4_crossvalid[[#This Row],[ds]]))</f>
        <v>45727</v>
      </c>
      <c r="C74">
        <v>2294</v>
      </c>
      <c r="D74" s="1">
        <v>45727.333333333336</v>
      </c>
      <c r="E74">
        <v>2290.9801047082824</v>
      </c>
      <c r="F74">
        <v>471.87895830701694</v>
      </c>
      <c r="G74">
        <v>4044.1144486694411</v>
      </c>
      <c r="H74" s="1">
        <v>45716.333333333336</v>
      </c>
    </row>
    <row r="75" spans="1:8" x14ac:dyDescent="0.25">
      <c r="A75" s="7">
        <f>DATE(YEAR(m4_crossvalid[[#This Row],[cutoff]]),MONTH(m4_crossvalid[[#This Row],[cutoff]]),DAY(m4_crossvalid[[#This Row],[cutoff]]))</f>
        <v>45716</v>
      </c>
      <c r="B75" s="7">
        <f>DATE(YEAR(m4_crossvalid[[#This Row],[ds]]),MONTH(m4_crossvalid[[#This Row],[ds]]),DAY(m4_crossvalid[[#This Row],[ds]]))</f>
        <v>45728</v>
      </c>
      <c r="C75">
        <v>2576</v>
      </c>
      <c r="D75" s="1">
        <v>45728.333333333336</v>
      </c>
      <c r="E75">
        <v>2598.3421370617116</v>
      </c>
      <c r="F75">
        <v>815.96770738178986</v>
      </c>
      <c r="G75">
        <v>4376.2353097876039</v>
      </c>
      <c r="H75" s="1">
        <v>45716.333333333336</v>
      </c>
    </row>
    <row r="76" spans="1:8" x14ac:dyDescent="0.25">
      <c r="A76" s="7">
        <f>DATE(YEAR(m4_crossvalid[[#This Row],[cutoff]]),MONTH(m4_crossvalid[[#This Row],[cutoff]]),DAY(m4_crossvalid[[#This Row],[cutoff]]))</f>
        <v>45716</v>
      </c>
      <c r="B76" s="7">
        <f>DATE(YEAR(m4_crossvalid[[#This Row],[ds]]),MONTH(m4_crossvalid[[#This Row],[ds]]),DAY(m4_crossvalid[[#This Row],[ds]]))</f>
        <v>45729</v>
      </c>
      <c r="C76">
        <v>2235</v>
      </c>
      <c r="D76" s="1">
        <v>45729.333333333336</v>
      </c>
      <c r="E76">
        <v>2897.1152564648769</v>
      </c>
      <c r="F76">
        <v>1067.7627622919288</v>
      </c>
      <c r="G76">
        <v>4627.1307449492788</v>
      </c>
      <c r="H76" s="1">
        <v>45716.333333333336</v>
      </c>
    </row>
    <row r="77" spans="1:8" x14ac:dyDescent="0.25">
      <c r="A77" s="7">
        <f>DATE(YEAR(m4_crossvalid[[#This Row],[cutoff]]),MONTH(m4_crossvalid[[#This Row],[cutoff]]),DAY(m4_crossvalid[[#This Row],[cutoff]]))</f>
        <v>45716</v>
      </c>
      <c r="B77" s="7">
        <f>DATE(YEAR(m4_crossvalid[[#This Row],[ds]]),MONTH(m4_crossvalid[[#This Row],[ds]]),DAY(m4_crossvalid[[#This Row],[ds]]))</f>
        <v>45730</v>
      </c>
      <c r="C77">
        <v>3818</v>
      </c>
      <c r="D77" s="1">
        <v>45730.333333333336</v>
      </c>
      <c r="E77">
        <v>2885.8817305665007</v>
      </c>
      <c r="F77">
        <v>1152.1545723902518</v>
      </c>
      <c r="G77">
        <v>4653.6953253475504</v>
      </c>
      <c r="H77" s="1">
        <v>45716.333333333336</v>
      </c>
    </row>
    <row r="78" spans="1:8" x14ac:dyDescent="0.25">
      <c r="A78" s="7">
        <f>DATE(YEAR(m4_crossvalid[[#This Row],[cutoff]]),MONTH(m4_crossvalid[[#This Row],[cutoff]]),DAY(m4_crossvalid[[#This Row],[cutoff]]))</f>
        <v>45716</v>
      </c>
      <c r="B78" s="7">
        <f>DATE(YEAR(m4_crossvalid[[#This Row],[ds]]),MONTH(m4_crossvalid[[#This Row],[ds]]),DAY(m4_crossvalid[[#This Row],[ds]]))</f>
        <v>45731</v>
      </c>
      <c r="C78">
        <v>927</v>
      </c>
      <c r="D78" s="1">
        <v>45731.333333333336</v>
      </c>
      <c r="E78">
        <v>594.01374040164183</v>
      </c>
      <c r="F78">
        <v>-1157.6412937923553</v>
      </c>
      <c r="G78">
        <v>2362.5941881654426</v>
      </c>
      <c r="H78" s="1">
        <v>45716.333333333336</v>
      </c>
    </row>
    <row r="79" spans="1:8" x14ac:dyDescent="0.25">
      <c r="A79" s="7">
        <f>DATE(YEAR(m4_crossvalid[[#This Row],[cutoff]]),MONTH(m4_crossvalid[[#This Row],[cutoff]]),DAY(m4_crossvalid[[#This Row],[cutoff]]))</f>
        <v>45716</v>
      </c>
      <c r="B79" s="7">
        <f>DATE(YEAR(m4_crossvalid[[#This Row],[ds]]),MONTH(m4_crossvalid[[#This Row],[ds]]),DAY(m4_crossvalid[[#This Row],[ds]]))</f>
        <v>45732</v>
      </c>
      <c r="C79">
        <v>263</v>
      </c>
      <c r="D79" s="1">
        <v>45732.333333333336</v>
      </c>
      <c r="E79">
        <v>3.6345911235839594</v>
      </c>
      <c r="F79">
        <v>-1983.644299239264</v>
      </c>
      <c r="G79">
        <v>1751.8617271654193</v>
      </c>
      <c r="H79" s="1">
        <v>45716.333333333336</v>
      </c>
    </row>
    <row r="80" spans="1:8" x14ac:dyDescent="0.25">
      <c r="A80" s="7">
        <f>DATE(YEAR(m4_crossvalid[[#This Row],[cutoff]]),MONTH(m4_crossvalid[[#This Row],[cutoff]]),DAY(m4_crossvalid[[#This Row],[cutoff]]))</f>
        <v>45716</v>
      </c>
      <c r="B80" s="7">
        <f>DATE(YEAR(m4_crossvalid[[#This Row],[ds]]),MONTH(m4_crossvalid[[#This Row],[ds]]),DAY(m4_crossvalid[[#This Row],[ds]]))</f>
        <v>45733</v>
      </c>
      <c r="C80">
        <v>4812</v>
      </c>
      <c r="D80" s="1">
        <v>45733.333333333336</v>
      </c>
      <c r="E80">
        <v>2607.7851115975245</v>
      </c>
      <c r="F80">
        <v>764.23840355325638</v>
      </c>
      <c r="G80">
        <v>4383.0833696304453</v>
      </c>
      <c r="H80" s="1">
        <v>45716.333333333336</v>
      </c>
    </row>
    <row r="81" spans="1:8" x14ac:dyDescent="0.25">
      <c r="A81" s="7">
        <f>DATE(YEAR(m4_crossvalid[[#This Row],[cutoff]]),MONTH(m4_crossvalid[[#This Row],[cutoff]]),DAY(m4_crossvalid[[#This Row],[cutoff]]))</f>
        <v>45716</v>
      </c>
      <c r="B81" s="7">
        <f>DATE(YEAR(m4_crossvalid[[#This Row],[ds]]),MONTH(m4_crossvalid[[#This Row],[ds]]),DAY(m4_crossvalid[[#This Row],[ds]]))</f>
        <v>45734</v>
      </c>
      <c r="C81">
        <v>1459</v>
      </c>
      <c r="D81" s="1">
        <v>45734.333333333336</v>
      </c>
      <c r="E81">
        <v>1653.9074076019392</v>
      </c>
      <c r="F81">
        <v>-168.09799643171013</v>
      </c>
      <c r="G81">
        <v>3399.6870006504323</v>
      </c>
      <c r="H81" s="1">
        <v>45716.333333333336</v>
      </c>
    </row>
    <row r="82" spans="1:8" x14ac:dyDescent="0.25">
      <c r="A82" s="7">
        <f>DATE(YEAR(m4_crossvalid[[#This Row],[cutoff]]),MONTH(m4_crossvalid[[#This Row],[cutoff]]),DAY(m4_crossvalid[[#This Row],[cutoff]]))</f>
        <v>45716</v>
      </c>
      <c r="B82" s="7">
        <f>DATE(YEAR(m4_crossvalid[[#This Row],[ds]]),MONTH(m4_crossvalid[[#This Row],[ds]]),DAY(m4_crossvalid[[#This Row],[ds]]))</f>
        <v>45735</v>
      </c>
      <c r="C82">
        <v>3508</v>
      </c>
      <c r="D82" s="1">
        <v>45735.333333333336</v>
      </c>
      <c r="E82">
        <v>3438.7590738391991</v>
      </c>
      <c r="F82">
        <v>1645.1802657736878</v>
      </c>
      <c r="G82">
        <v>5171.7143692471955</v>
      </c>
      <c r="H82" s="1">
        <v>45716.333333333336</v>
      </c>
    </row>
    <row r="83" spans="1:8" x14ac:dyDescent="0.25">
      <c r="A83" s="7">
        <f>DATE(YEAR(m4_crossvalid[[#This Row],[cutoff]]),MONTH(m4_crossvalid[[#This Row],[cutoff]]),DAY(m4_crossvalid[[#This Row],[cutoff]]))</f>
        <v>45716</v>
      </c>
      <c r="B83" s="7">
        <f>DATE(YEAR(m4_crossvalid[[#This Row],[ds]]),MONTH(m4_crossvalid[[#This Row],[ds]]),DAY(m4_crossvalid[[#This Row],[ds]]))</f>
        <v>45736</v>
      </c>
      <c r="C83">
        <v>3947</v>
      </c>
      <c r="D83" s="1">
        <v>45736.333333333336</v>
      </c>
      <c r="E83">
        <v>3401.6702549956894</v>
      </c>
      <c r="F83">
        <v>1616.461548187677</v>
      </c>
      <c r="G83">
        <v>5182.9197934374097</v>
      </c>
      <c r="H83" s="1">
        <v>45716.333333333336</v>
      </c>
    </row>
    <row r="84" spans="1:8" x14ac:dyDescent="0.25">
      <c r="A84" s="7">
        <f>DATE(YEAR(m4_crossvalid[[#This Row],[cutoff]]),MONTH(m4_crossvalid[[#This Row],[cutoff]]),DAY(m4_crossvalid[[#This Row],[cutoff]]))</f>
        <v>45716</v>
      </c>
      <c r="B84" s="7">
        <f>DATE(YEAR(m4_crossvalid[[#This Row],[ds]]),MONTH(m4_crossvalid[[#This Row],[ds]]),DAY(m4_crossvalid[[#This Row],[ds]]))</f>
        <v>45737</v>
      </c>
      <c r="C84">
        <v>4280</v>
      </c>
      <c r="D84" s="1">
        <v>45737.333333333336</v>
      </c>
      <c r="E84">
        <v>3123.4599717689143</v>
      </c>
      <c r="F84">
        <v>1283.1811879111685</v>
      </c>
      <c r="G84">
        <v>4937.6372756307592</v>
      </c>
      <c r="H84" s="1">
        <v>45716.333333333336</v>
      </c>
    </row>
    <row r="85" spans="1:8" x14ac:dyDescent="0.25">
      <c r="A85" s="7">
        <f>DATE(YEAR(m4_crossvalid[[#This Row],[cutoff]]),MONTH(m4_crossvalid[[#This Row],[cutoff]]),DAY(m4_crossvalid[[#This Row],[cutoff]]))</f>
        <v>45716</v>
      </c>
      <c r="B85" s="7">
        <f>DATE(YEAR(m4_crossvalid[[#This Row],[ds]]),MONTH(m4_crossvalid[[#This Row],[ds]]),DAY(m4_crossvalid[[#This Row],[ds]]))</f>
        <v>45738</v>
      </c>
      <c r="C85">
        <v>1076</v>
      </c>
      <c r="D85" s="1">
        <v>45738.333333333336</v>
      </c>
      <c r="E85">
        <v>896.71561416569693</v>
      </c>
      <c r="F85">
        <v>-928.64780579250396</v>
      </c>
      <c r="G85">
        <v>2611.4388073615096</v>
      </c>
      <c r="H85" s="1">
        <v>45716.333333333336</v>
      </c>
    </row>
    <row r="86" spans="1:8" x14ac:dyDescent="0.25">
      <c r="A86" s="7">
        <f>DATE(YEAR(m4_crossvalid[[#This Row],[cutoff]]),MONTH(m4_crossvalid[[#This Row],[cutoff]]),DAY(m4_crossvalid[[#This Row],[cutoff]]))</f>
        <v>45716</v>
      </c>
      <c r="B86" s="7">
        <f>DATE(YEAR(m4_crossvalid[[#This Row],[ds]]),MONTH(m4_crossvalid[[#This Row],[ds]]),DAY(m4_crossvalid[[#This Row],[ds]]))</f>
        <v>45739</v>
      </c>
      <c r="C86">
        <v>301</v>
      </c>
      <c r="D86" s="1">
        <v>45739.333333333336</v>
      </c>
      <c r="E86">
        <v>628.83866517490833</v>
      </c>
      <c r="F86">
        <v>-1000.873233636932</v>
      </c>
      <c r="G86">
        <v>2379.0613654885342</v>
      </c>
      <c r="H86" s="1">
        <v>45716.333333333336</v>
      </c>
    </row>
    <row r="87" spans="1:8" x14ac:dyDescent="0.25">
      <c r="A87" s="7">
        <f>DATE(YEAR(m4_crossvalid[[#This Row],[cutoff]]),MONTH(m4_crossvalid[[#This Row],[cutoff]]),DAY(m4_crossvalid[[#This Row],[cutoff]]))</f>
        <v>45716</v>
      </c>
      <c r="B87" s="7">
        <f>DATE(YEAR(m4_crossvalid[[#This Row],[ds]]),MONTH(m4_crossvalid[[#This Row],[ds]]),DAY(m4_crossvalid[[#This Row],[ds]]))</f>
        <v>45740</v>
      </c>
      <c r="C87">
        <v>4292</v>
      </c>
      <c r="D87" s="1">
        <v>45740.333333333336</v>
      </c>
      <c r="E87">
        <v>3475.6469353752109</v>
      </c>
      <c r="F87">
        <v>1771.2914289274786</v>
      </c>
      <c r="G87">
        <v>5311.4152190770119</v>
      </c>
      <c r="H87" s="1">
        <v>45716.333333333336</v>
      </c>
    </row>
    <row r="88" spans="1:8" x14ac:dyDescent="0.25">
      <c r="A88" s="7">
        <f>DATE(YEAR(m4_crossvalid[[#This Row],[cutoff]]),MONTH(m4_crossvalid[[#This Row],[cutoff]]),DAY(m4_crossvalid[[#This Row],[cutoff]]))</f>
        <v>45716</v>
      </c>
      <c r="B88" s="7">
        <f>DATE(YEAR(m4_crossvalid[[#This Row],[ds]]),MONTH(m4_crossvalid[[#This Row],[ds]]),DAY(m4_crossvalid[[#This Row],[ds]]))</f>
        <v>45741</v>
      </c>
      <c r="C88">
        <v>5571</v>
      </c>
      <c r="D88" s="1">
        <v>45741.333333333336</v>
      </c>
      <c r="E88">
        <v>3991.3340664306693</v>
      </c>
      <c r="F88">
        <v>2175.6866965678496</v>
      </c>
      <c r="G88">
        <v>5809.6711233314054</v>
      </c>
      <c r="H88" s="1">
        <v>45716.333333333336</v>
      </c>
    </row>
    <row r="89" spans="1:8" x14ac:dyDescent="0.25">
      <c r="A89" s="7">
        <f>DATE(YEAR(m4_crossvalid[[#This Row],[cutoff]]),MONTH(m4_crossvalid[[#This Row],[cutoff]]),DAY(m4_crossvalid[[#This Row],[cutoff]]))</f>
        <v>45716</v>
      </c>
      <c r="B89" s="7">
        <f>DATE(YEAR(m4_crossvalid[[#This Row],[ds]]),MONTH(m4_crossvalid[[#This Row],[ds]]),DAY(m4_crossvalid[[#This Row],[ds]]))</f>
        <v>45742</v>
      </c>
      <c r="C89">
        <v>6352</v>
      </c>
      <c r="D89" s="1">
        <v>45742.333333333336</v>
      </c>
      <c r="E89">
        <v>3947.8834815284235</v>
      </c>
      <c r="F89">
        <v>2147.4261417700645</v>
      </c>
      <c r="G89">
        <v>5882.7930121948139</v>
      </c>
      <c r="H89" s="1">
        <v>45716.333333333336</v>
      </c>
    </row>
    <row r="90" spans="1:8" x14ac:dyDescent="0.25">
      <c r="A90" s="7">
        <f>DATE(YEAR(m4_crossvalid[[#This Row],[cutoff]]),MONTH(m4_crossvalid[[#This Row],[cutoff]]),DAY(m4_crossvalid[[#This Row],[cutoff]]))</f>
        <v>45716</v>
      </c>
      <c r="B90" s="7">
        <f>DATE(YEAR(m4_crossvalid[[#This Row],[ds]]),MONTH(m4_crossvalid[[#This Row],[ds]]),DAY(m4_crossvalid[[#This Row],[ds]]))</f>
        <v>45743</v>
      </c>
      <c r="C90">
        <v>8836</v>
      </c>
      <c r="D90" s="1">
        <v>45743.333333333336</v>
      </c>
      <c r="E90">
        <v>3877.730752441973</v>
      </c>
      <c r="F90">
        <v>2055.4189382904497</v>
      </c>
      <c r="G90">
        <v>5661.3239751939918</v>
      </c>
      <c r="H90" s="1">
        <v>45716.333333333336</v>
      </c>
    </row>
    <row r="91" spans="1:8" x14ac:dyDescent="0.25">
      <c r="A91" s="7">
        <f>DATE(YEAR(m4_crossvalid[[#This Row],[cutoff]]),MONTH(m4_crossvalid[[#This Row],[cutoff]]),DAY(m4_crossvalid[[#This Row],[cutoff]]))</f>
        <v>45716</v>
      </c>
      <c r="B91" s="7">
        <f>DATE(YEAR(m4_crossvalid[[#This Row],[ds]]),MONTH(m4_crossvalid[[#This Row],[ds]]),DAY(m4_crossvalid[[#This Row],[ds]]))</f>
        <v>45744</v>
      </c>
      <c r="C91">
        <v>9717</v>
      </c>
      <c r="D91" s="1">
        <v>45744.333333333336</v>
      </c>
      <c r="E91">
        <v>4157.7982278412619</v>
      </c>
      <c r="F91">
        <v>2246.8148521224548</v>
      </c>
      <c r="G91">
        <v>6056.9699384069618</v>
      </c>
      <c r="H91" s="1">
        <v>45716.333333333336</v>
      </c>
    </row>
    <row r="92" spans="1:8" x14ac:dyDescent="0.25">
      <c r="A92" s="7">
        <f>DATE(YEAR(m4_crossvalid[[#This Row],[cutoff]]),MONTH(m4_crossvalid[[#This Row],[cutoff]]),DAY(m4_crossvalid[[#This Row],[cutoff]]))</f>
        <v>45716</v>
      </c>
      <c r="B92" s="7">
        <f>DATE(YEAR(m4_crossvalid[[#This Row],[ds]]),MONTH(m4_crossvalid[[#This Row],[ds]]),DAY(m4_crossvalid[[#This Row],[ds]]))</f>
        <v>45745</v>
      </c>
      <c r="C92">
        <v>3249</v>
      </c>
      <c r="D92" s="1">
        <v>45745.333333333336</v>
      </c>
      <c r="E92">
        <v>2980.0172018272729</v>
      </c>
      <c r="F92">
        <v>1111.5505154509763</v>
      </c>
      <c r="G92">
        <v>4821.608736272944</v>
      </c>
      <c r="H92" s="1">
        <v>45716.333333333336</v>
      </c>
    </row>
    <row r="93" spans="1:8" x14ac:dyDescent="0.25">
      <c r="A93" s="7">
        <f>DATE(YEAR(m4_crossvalid[[#This Row],[cutoff]]),MONTH(m4_crossvalid[[#This Row],[cutoff]]),DAY(m4_crossvalid[[#This Row],[cutoff]]))</f>
        <v>45716</v>
      </c>
      <c r="B93" s="7">
        <f>DATE(YEAR(m4_crossvalid[[#This Row],[ds]]),MONTH(m4_crossvalid[[#This Row],[ds]]),DAY(m4_crossvalid[[#This Row],[ds]]))</f>
        <v>45746</v>
      </c>
      <c r="C93">
        <v>198</v>
      </c>
      <c r="D93" s="1">
        <v>45746.333333333336</v>
      </c>
      <c r="E93">
        <v>3699.1206305582919</v>
      </c>
      <c r="F93">
        <v>1899.866231731271</v>
      </c>
      <c r="G93">
        <v>5502.2641851615299</v>
      </c>
      <c r="H93" s="1">
        <v>45716.333333333336</v>
      </c>
    </row>
    <row r="94" spans="1:8" x14ac:dyDescent="0.25">
      <c r="A94" s="7">
        <f>DATE(YEAR(m4_crossvalid[[#This Row],[cutoff]]),MONTH(m4_crossvalid[[#This Row],[cutoff]]),DAY(m4_crossvalid[[#This Row],[cutoff]]))</f>
        <v>45716</v>
      </c>
      <c r="B94" s="7">
        <f>DATE(YEAR(m4_crossvalid[[#This Row],[ds]]),MONTH(m4_crossvalid[[#This Row],[ds]]),DAY(m4_crossvalid[[#This Row],[ds]]))</f>
        <v>45747</v>
      </c>
      <c r="C94">
        <v>53</v>
      </c>
      <c r="D94" s="1">
        <v>45747.333333333336</v>
      </c>
      <c r="E94">
        <v>4858.688087268014</v>
      </c>
      <c r="F94">
        <v>3069.1165581182845</v>
      </c>
      <c r="G94">
        <v>6690.345494751029</v>
      </c>
      <c r="H94" s="1">
        <v>45716.333333333336</v>
      </c>
    </row>
    <row r="95" spans="1:8" x14ac:dyDescent="0.25">
      <c r="A95" s="7">
        <f>DATE(YEAR(m4_crossvalid[[#This Row],[cutoff]]),MONTH(m4_crossvalid[[#This Row],[cutoff]]),DAY(m4_crossvalid[[#This Row],[cutoff]]))</f>
        <v>45747</v>
      </c>
      <c r="B95" s="7">
        <f>DATE(YEAR(m4_crossvalid[[#This Row],[ds]]),MONTH(m4_crossvalid[[#This Row],[ds]]),DAY(m4_crossvalid[[#This Row],[ds]]))</f>
        <v>45748</v>
      </c>
      <c r="C95">
        <v>2</v>
      </c>
      <c r="D95" s="1">
        <v>45748.333333333336</v>
      </c>
      <c r="E95">
        <v>3398.1730085631616</v>
      </c>
      <c r="F95">
        <v>1765.460740892175</v>
      </c>
      <c r="G95">
        <v>5224.5982366866419</v>
      </c>
      <c r="H95" s="1">
        <v>45747.333333333336</v>
      </c>
    </row>
    <row r="96" spans="1:8" x14ac:dyDescent="0.25">
      <c r="A96" s="7">
        <f>DATE(YEAR(m4_crossvalid[[#This Row],[cutoff]]),MONTH(m4_crossvalid[[#This Row],[cutoff]]),DAY(m4_crossvalid[[#This Row],[cutoff]]))</f>
        <v>45747</v>
      </c>
      <c r="B96" s="7">
        <f>DATE(YEAR(m4_crossvalid[[#This Row],[ds]]),MONTH(m4_crossvalid[[#This Row],[ds]]),DAY(m4_crossvalid[[#This Row],[ds]]))</f>
        <v>45749</v>
      </c>
      <c r="C96">
        <v>105</v>
      </c>
      <c r="D96" s="1">
        <v>45749.333333333336</v>
      </c>
      <c r="E96">
        <v>4390.4900433310822</v>
      </c>
      <c r="F96">
        <v>2665.6957145241631</v>
      </c>
      <c r="G96">
        <v>6196.062876894177</v>
      </c>
      <c r="H96" s="1">
        <v>45747.333333333336</v>
      </c>
    </row>
    <row r="97" spans="1:8" x14ac:dyDescent="0.25">
      <c r="A97" s="7">
        <f>DATE(YEAR(m4_crossvalid[[#This Row],[cutoff]]),MONTH(m4_crossvalid[[#This Row],[cutoff]]),DAY(m4_crossvalid[[#This Row],[cutoff]]))</f>
        <v>45747</v>
      </c>
      <c r="B97" s="7">
        <f>DATE(YEAR(m4_crossvalid[[#This Row],[ds]]),MONTH(m4_crossvalid[[#This Row],[ds]]),DAY(m4_crossvalid[[#This Row],[ds]]))</f>
        <v>45750</v>
      </c>
      <c r="C97">
        <v>284</v>
      </c>
      <c r="D97" s="1">
        <v>45750.333333333336</v>
      </c>
      <c r="E97">
        <v>2082.9724394777104</v>
      </c>
      <c r="F97">
        <v>258.49091520510456</v>
      </c>
      <c r="G97">
        <v>3914.3135260405297</v>
      </c>
      <c r="H97" s="1">
        <v>45747.333333333336</v>
      </c>
    </row>
    <row r="98" spans="1:8" x14ac:dyDescent="0.25">
      <c r="A98" s="7">
        <f>DATE(YEAR(m4_crossvalid[[#This Row],[cutoff]]),MONTH(m4_crossvalid[[#This Row],[cutoff]]),DAY(m4_crossvalid[[#This Row],[cutoff]]))</f>
        <v>45747</v>
      </c>
      <c r="B98" s="7">
        <f>DATE(YEAR(m4_crossvalid[[#This Row],[ds]]),MONTH(m4_crossvalid[[#This Row],[ds]]),DAY(m4_crossvalid[[#This Row],[ds]]))</f>
        <v>45751</v>
      </c>
      <c r="C98">
        <v>403</v>
      </c>
      <c r="D98" s="1">
        <v>45751.333333333336</v>
      </c>
      <c r="E98">
        <v>1109.591905333491</v>
      </c>
      <c r="F98">
        <v>-667.64015143679558</v>
      </c>
      <c r="G98">
        <v>2852.0181097850227</v>
      </c>
      <c r="H98" s="1">
        <v>45747.333333333336</v>
      </c>
    </row>
    <row r="99" spans="1:8" x14ac:dyDescent="0.25">
      <c r="A99" s="7">
        <f>DATE(YEAR(m4_crossvalid[[#This Row],[cutoff]]),MONTH(m4_crossvalid[[#This Row],[cutoff]]),DAY(m4_crossvalid[[#This Row],[cutoff]]))</f>
        <v>45747</v>
      </c>
      <c r="B99" s="7">
        <f>DATE(YEAR(m4_crossvalid[[#This Row],[ds]]),MONTH(m4_crossvalid[[#This Row],[ds]]),DAY(m4_crossvalid[[#This Row],[ds]]))</f>
        <v>45752</v>
      </c>
      <c r="C99">
        <v>47</v>
      </c>
      <c r="D99" s="1">
        <v>45752.333333333336</v>
      </c>
      <c r="E99">
        <v>-1113.4169531664797</v>
      </c>
      <c r="F99">
        <v>-2892.8682903027311</v>
      </c>
      <c r="G99">
        <v>817.94715300700602</v>
      </c>
      <c r="H99" s="1">
        <v>45747.333333333336</v>
      </c>
    </row>
    <row r="100" spans="1:8" x14ac:dyDescent="0.25">
      <c r="A100" s="7">
        <f>DATE(YEAR(m4_crossvalid[[#This Row],[cutoff]]),MONTH(m4_crossvalid[[#This Row],[cutoff]]),DAY(m4_crossvalid[[#This Row],[cutoff]]))</f>
        <v>45747</v>
      </c>
      <c r="B100" s="7">
        <f>DATE(YEAR(m4_crossvalid[[#This Row],[ds]]),MONTH(m4_crossvalid[[#This Row],[ds]]),DAY(m4_crossvalid[[#This Row],[ds]]))</f>
        <v>45753</v>
      </c>
      <c r="C100">
        <v>11</v>
      </c>
      <c r="D100" s="1">
        <v>45753.333333333336</v>
      </c>
      <c r="E100">
        <v>-1263.511492605754</v>
      </c>
      <c r="F100">
        <v>-3019.9008105993435</v>
      </c>
      <c r="G100">
        <v>480.30381380709434</v>
      </c>
      <c r="H100" s="1">
        <v>45747.333333333336</v>
      </c>
    </row>
    <row r="101" spans="1:8" x14ac:dyDescent="0.25">
      <c r="A101" s="7">
        <f>DATE(YEAR(m4_crossvalid[[#This Row],[cutoff]]),MONTH(m4_crossvalid[[#This Row],[cutoff]]),DAY(m4_crossvalid[[#This Row],[cutoff]]))</f>
        <v>45747</v>
      </c>
      <c r="B101" s="7">
        <f>DATE(YEAR(m4_crossvalid[[#This Row],[ds]]),MONTH(m4_crossvalid[[#This Row],[ds]]),DAY(m4_crossvalid[[#This Row],[ds]]))</f>
        <v>45754</v>
      </c>
      <c r="C101">
        <v>477</v>
      </c>
      <c r="D101" s="1">
        <v>45754.333333333336</v>
      </c>
      <c r="E101">
        <v>303.21279627973763</v>
      </c>
      <c r="F101">
        <v>-1641.5705104877602</v>
      </c>
      <c r="G101">
        <v>2192.8617606166899</v>
      </c>
      <c r="H101" s="1">
        <v>45747.333333333336</v>
      </c>
    </row>
    <row r="102" spans="1:8" x14ac:dyDescent="0.25">
      <c r="A102" s="7">
        <f>DATE(YEAR(m4_crossvalid[[#This Row],[cutoff]]),MONTH(m4_crossvalid[[#This Row],[cutoff]]),DAY(m4_crossvalid[[#This Row],[cutoff]]))</f>
        <v>45747</v>
      </c>
      <c r="B102" s="7">
        <f>DATE(YEAR(m4_crossvalid[[#This Row],[ds]]),MONTH(m4_crossvalid[[#This Row],[ds]]),DAY(m4_crossvalid[[#This Row],[ds]]))</f>
        <v>45755</v>
      </c>
      <c r="C102">
        <v>775</v>
      </c>
      <c r="D102" s="1">
        <v>45755.333333333336</v>
      </c>
      <c r="E102">
        <v>914.72226291336597</v>
      </c>
      <c r="F102">
        <v>-852.08649835323627</v>
      </c>
      <c r="G102">
        <v>2775.8345841467026</v>
      </c>
      <c r="H102" s="1">
        <v>45747.333333333336</v>
      </c>
    </row>
    <row r="103" spans="1:8" x14ac:dyDescent="0.25">
      <c r="A103" s="7">
        <f>DATE(YEAR(m4_crossvalid[[#This Row],[cutoff]]),MONTH(m4_crossvalid[[#This Row],[cutoff]]),DAY(m4_crossvalid[[#This Row],[cutoff]]))</f>
        <v>45747</v>
      </c>
      <c r="B103" s="7">
        <f>DATE(YEAR(m4_crossvalid[[#This Row],[ds]]),MONTH(m4_crossvalid[[#This Row],[ds]]),DAY(m4_crossvalid[[#This Row],[ds]]))</f>
        <v>45756</v>
      </c>
      <c r="C103">
        <v>1016</v>
      </c>
      <c r="D103" s="1">
        <v>45756.333333333336</v>
      </c>
      <c r="E103">
        <v>2192.9817678475692</v>
      </c>
      <c r="F103">
        <v>375.86520407997097</v>
      </c>
      <c r="G103">
        <v>3996.984282824842</v>
      </c>
      <c r="H103" s="1">
        <v>45747.333333333336</v>
      </c>
    </row>
    <row r="104" spans="1:8" x14ac:dyDescent="0.25">
      <c r="A104" s="7">
        <f>DATE(YEAR(m4_crossvalid[[#This Row],[cutoff]]),MONTH(m4_crossvalid[[#This Row],[cutoff]]),DAY(m4_crossvalid[[#This Row],[cutoff]]))</f>
        <v>45747</v>
      </c>
      <c r="B104" s="7">
        <f>DATE(YEAR(m4_crossvalid[[#This Row],[ds]]),MONTH(m4_crossvalid[[#This Row],[ds]]),DAY(m4_crossvalid[[#This Row],[ds]]))</f>
        <v>45757</v>
      </c>
      <c r="C104">
        <v>1422</v>
      </c>
      <c r="D104" s="1">
        <v>45757.333333333336</v>
      </c>
      <c r="E104">
        <v>2120.6464850494149</v>
      </c>
      <c r="F104">
        <v>488.75132048516832</v>
      </c>
      <c r="G104">
        <v>4018.4623129015272</v>
      </c>
      <c r="H104" s="1">
        <v>45747.333333333336</v>
      </c>
    </row>
    <row r="105" spans="1:8" x14ac:dyDescent="0.25">
      <c r="A105" s="7">
        <f>DATE(YEAR(m4_crossvalid[[#This Row],[cutoff]]),MONTH(m4_crossvalid[[#This Row],[cutoff]]),DAY(m4_crossvalid[[#This Row],[cutoff]]))</f>
        <v>45747</v>
      </c>
      <c r="B105" s="7">
        <f>DATE(YEAR(m4_crossvalid[[#This Row],[ds]]),MONTH(m4_crossvalid[[#This Row],[ds]]),DAY(m4_crossvalid[[#This Row],[ds]]))</f>
        <v>45758</v>
      </c>
      <c r="C105">
        <v>1565</v>
      </c>
      <c r="D105" s="1">
        <v>45758.333333333336</v>
      </c>
      <c r="E105">
        <v>2189.9034583891971</v>
      </c>
      <c r="F105">
        <v>471.28356725207271</v>
      </c>
      <c r="G105">
        <v>4066.9559911426591</v>
      </c>
      <c r="H105" s="1">
        <v>45747.333333333336</v>
      </c>
    </row>
    <row r="106" spans="1:8" x14ac:dyDescent="0.25">
      <c r="A106" s="7">
        <f>DATE(YEAR(m4_crossvalid[[#This Row],[cutoff]]),MONTH(m4_crossvalid[[#This Row],[cutoff]]),DAY(m4_crossvalid[[#This Row],[cutoff]]))</f>
        <v>45747</v>
      </c>
      <c r="B106" s="7">
        <f>DATE(YEAR(m4_crossvalid[[#This Row],[ds]]),MONTH(m4_crossvalid[[#This Row],[ds]]),DAY(m4_crossvalid[[#This Row],[ds]]))</f>
        <v>45759</v>
      </c>
      <c r="C106">
        <v>276</v>
      </c>
      <c r="D106" s="1">
        <v>45759.333333333336</v>
      </c>
      <c r="E106">
        <v>254.18384199037837</v>
      </c>
      <c r="F106">
        <v>-1610.6171858281004</v>
      </c>
      <c r="G106">
        <v>2105.6478186643026</v>
      </c>
      <c r="H106" s="1">
        <v>45747.333333333336</v>
      </c>
    </row>
    <row r="107" spans="1:8" x14ac:dyDescent="0.25">
      <c r="A107" s="7">
        <f>DATE(YEAR(m4_crossvalid[[#This Row],[cutoff]]),MONTH(m4_crossvalid[[#This Row],[cutoff]]),DAY(m4_crossvalid[[#This Row],[cutoff]]))</f>
        <v>45747</v>
      </c>
      <c r="B107" s="7">
        <f>DATE(YEAR(m4_crossvalid[[#This Row],[ds]]),MONTH(m4_crossvalid[[#This Row],[ds]]),DAY(m4_crossvalid[[#This Row],[ds]]))</f>
        <v>45760</v>
      </c>
      <c r="C107">
        <v>55</v>
      </c>
      <c r="D107" s="1">
        <v>45760.333333333336</v>
      </c>
      <c r="E107">
        <v>-27.692122587820904</v>
      </c>
      <c r="F107">
        <v>-1811.5063928508891</v>
      </c>
      <c r="G107">
        <v>1795.6036087292568</v>
      </c>
      <c r="H107" s="1">
        <v>45747.333333333336</v>
      </c>
    </row>
    <row r="108" spans="1:8" x14ac:dyDescent="0.25">
      <c r="A108" s="7">
        <f>DATE(YEAR(m4_crossvalid[[#This Row],[cutoff]]),MONTH(m4_crossvalid[[#This Row],[cutoff]]),DAY(m4_crossvalid[[#This Row],[cutoff]]))</f>
        <v>45747</v>
      </c>
      <c r="B108" s="7">
        <f>DATE(YEAR(m4_crossvalid[[#This Row],[ds]]),MONTH(m4_crossvalid[[#This Row],[ds]]),DAY(m4_crossvalid[[#This Row],[ds]]))</f>
        <v>45761</v>
      </c>
      <c r="C108">
        <v>1634</v>
      </c>
      <c r="D108" s="1">
        <v>45761.333333333336</v>
      </c>
      <c r="E108">
        <v>2485.9549943125303</v>
      </c>
      <c r="F108">
        <v>573.26254814077413</v>
      </c>
      <c r="G108">
        <v>4244.0269963341789</v>
      </c>
      <c r="H108" s="1">
        <v>45747.333333333336</v>
      </c>
    </row>
    <row r="109" spans="1:8" x14ac:dyDescent="0.25">
      <c r="A109" s="7">
        <f>DATE(YEAR(m4_crossvalid[[#This Row],[cutoff]]),MONTH(m4_crossvalid[[#This Row],[cutoff]]),DAY(m4_crossvalid[[#This Row],[cutoff]]))</f>
        <v>45747</v>
      </c>
      <c r="B109" s="7">
        <f>DATE(YEAR(m4_crossvalid[[#This Row],[ds]]),MONTH(m4_crossvalid[[#This Row],[ds]]),DAY(m4_crossvalid[[#This Row],[ds]]))</f>
        <v>45762</v>
      </c>
      <c r="C109">
        <v>1965</v>
      </c>
      <c r="D109" s="1">
        <v>45762.333333333336</v>
      </c>
      <c r="E109">
        <v>2697.0137427119403</v>
      </c>
      <c r="F109">
        <v>865.72166415828792</v>
      </c>
      <c r="G109">
        <v>4638.9146620329084</v>
      </c>
      <c r="H109" s="1">
        <v>45747.333333333336</v>
      </c>
    </row>
    <row r="110" spans="1:8" x14ac:dyDescent="0.25">
      <c r="A110" s="7">
        <f>DATE(YEAR(m4_crossvalid[[#This Row],[cutoff]]),MONTH(m4_crossvalid[[#This Row],[cutoff]]),DAY(m4_crossvalid[[#This Row],[cutoff]]))</f>
        <v>45747</v>
      </c>
      <c r="B110" s="7">
        <f>DATE(YEAR(m4_crossvalid[[#This Row],[ds]]),MONTH(m4_crossvalid[[#This Row],[ds]]),DAY(m4_crossvalid[[#This Row],[ds]]))</f>
        <v>45763</v>
      </c>
      <c r="C110">
        <v>2361</v>
      </c>
      <c r="D110" s="1">
        <v>45763.333333333336</v>
      </c>
      <c r="E110">
        <v>2745.8123518478715</v>
      </c>
      <c r="F110">
        <v>945.92181336344072</v>
      </c>
      <c r="G110">
        <v>4478.6136993086338</v>
      </c>
      <c r="H110" s="1">
        <v>45747.333333333336</v>
      </c>
    </row>
    <row r="111" spans="1:8" x14ac:dyDescent="0.25">
      <c r="A111" s="7">
        <f>DATE(YEAR(m4_crossvalid[[#This Row],[cutoff]]),MONTH(m4_crossvalid[[#This Row],[cutoff]]),DAY(m4_crossvalid[[#This Row],[cutoff]]))</f>
        <v>45747</v>
      </c>
      <c r="B111" s="7">
        <f>DATE(YEAR(m4_crossvalid[[#This Row],[ds]]),MONTH(m4_crossvalid[[#This Row],[ds]]),DAY(m4_crossvalid[[#This Row],[ds]]))</f>
        <v>45764</v>
      </c>
      <c r="C111">
        <v>2761</v>
      </c>
      <c r="D111" s="1">
        <v>45764.333333333336</v>
      </c>
      <c r="E111">
        <v>2979.5457352437074</v>
      </c>
      <c r="F111">
        <v>1141.5570379533292</v>
      </c>
      <c r="G111">
        <v>4771.548011611012</v>
      </c>
      <c r="H111" s="1">
        <v>45747.333333333336</v>
      </c>
    </row>
    <row r="112" spans="1:8" x14ac:dyDescent="0.25">
      <c r="A112" s="7">
        <f>DATE(YEAR(m4_crossvalid[[#This Row],[cutoff]]),MONTH(m4_crossvalid[[#This Row],[cutoff]]),DAY(m4_crossvalid[[#This Row],[cutoff]]))</f>
        <v>45747</v>
      </c>
      <c r="B112" s="7">
        <f>DATE(YEAR(m4_crossvalid[[#This Row],[ds]]),MONTH(m4_crossvalid[[#This Row],[ds]]),DAY(m4_crossvalid[[#This Row],[ds]]))</f>
        <v>45765</v>
      </c>
      <c r="C112">
        <v>2721</v>
      </c>
      <c r="D112" s="1">
        <v>45765.333333333336</v>
      </c>
      <c r="E112">
        <v>3171.0687912319154</v>
      </c>
      <c r="F112">
        <v>1262.6018976588473</v>
      </c>
      <c r="G112">
        <v>5098.7172920799212</v>
      </c>
      <c r="H112" s="1">
        <v>45747.333333333336</v>
      </c>
    </row>
    <row r="113" spans="1:8" x14ac:dyDescent="0.25">
      <c r="A113" s="7">
        <f>DATE(YEAR(m4_crossvalid[[#This Row],[cutoff]]),MONTH(m4_crossvalid[[#This Row],[cutoff]]),DAY(m4_crossvalid[[#This Row],[cutoff]]))</f>
        <v>45747</v>
      </c>
      <c r="B113" s="7">
        <f>DATE(YEAR(m4_crossvalid[[#This Row],[ds]]),MONTH(m4_crossvalid[[#This Row],[ds]]),DAY(m4_crossvalid[[#This Row],[ds]]))</f>
        <v>45766</v>
      </c>
      <c r="C113">
        <v>420</v>
      </c>
      <c r="D113" s="1">
        <v>45766.333333333336</v>
      </c>
      <c r="E113">
        <v>1025.7764805671629</v>
      </c>
      <c r="F113">
        <v>-834.66934215340621</v>
      </c>
      <c r="G113">
        <v>2700.8422276137821</v>
      </c>
      <c r="H113" s="1">
        <v>45747.333333333336</v>
      </c>
    </row>
    <row r="114" spans="1:8" x14ac:dyDescent="0.25">
      <c r="A114" s="7">
        <f>DATE(YEAR(m4_crossvalid[[#This Row],[cutoff]]),MONTH(m4_crossvalid[[#This Row],[cutoff]]),DAY(m4_crossvalid[[#This Row],[cutoff]]))</f>
        <v>45747</v>
      </c>
      <c r="B114" s="7">
        <f>DATE(YEAR(m4_crossvalid[[#This Row],[ds]]),MONTH(m4_crossvalid[[#This Row],[ds]]),DAY(m4_crossvalid[[#This Row],[ds]]))</f>
        <v>45767</v>
      </c>
      <c r="C114">
        <v>166</v>
      </c>
      <c r="D114" s="1">
        <v>45767.333333333336</v>
      </c>
      <c r="E114">
        <v>404.69822255031477</v>
      </c>
      <c r="F114">
        <v>-1266.3378138230635</v>
      </c>
      <c r="G114">
        <v>2256.4947998251819</v>
      </c>
      <c r="H114" s="1">
        <v>45747.333333333336</v>
      </c>
    </row>
    <row r="115" spans="1:8" x14ac:dyDescent="0.25">
      <c r="A115" s="7">
        <f>DATE(YEAR(m4_crossvalid[[#This Row],[cutoff]]),MONTH(m4_crossvalid[[#This Row],[cutoff]]),DAY(m4_crossvalid[[#This Row],[cutoff]]))</f>
        <v>45747</v>
      </c>
      <c r="B115" s="7">
        <f>DATE(YEAR(m4_crossvalid[[#This Row],[ds]]),MONTH(m4_crossvalid[[#This Row],[ds]]),DAY(m4_crossvalid[[#This Row],[ds]]))</f>
        <v>45768</v>
      </c>
      <c r="C115">
        <v>2715</v>
      </c>
      <c r="D115" s="1">
        <v>45768.333333333336</v>
      </c>
      <c r="E115">
        <v>2784.6817096992067</v>
      </c>
      <c r="F115">
        <v>1049.4338204976855</v>
      </c>
      <c r="G115">
        <v>4487.0736873834094</v>
      </c>
      <c r="H115" s="1">
        <v>45747.333333333336</v>
      </c>
    </row>
    <row r="116" spans="1:8" x14ac:dyDescent="0.25">
      <c r="A116" s="7">
        <f>DATE(YEAR(m4_crossvalid[[#This Row],[cutoff]]),MONTH(m4_crossvalid[[#This Row],[cutoff]]),DAY(m4_crossvalid[[#This Row],[cutoff]]))</f>
        <v>45747</v>
      </c>
      <c r="B116" s="7">
        <f>DATE(YEAR(m4_crossvalid[[#This Row],[ds]]),MONTH(m4_crossvalid[[#This Row],[ds]]),DAY(m4_crossvalid[[#This Row],[ds]]))</f>
        <v>45769</v>
      </c>
      <c r="C116">
        <v>3162</v>
      </c>
      <c r="D116" s="1">
        <v>45769.333333333336</v>
      </c>
      <c r="E116">
        <v>3192.7447871328654</v>
      </c>
      <c r="F116">
        <v>1340.6124063288285</v>
      </c>
      <c r="G116">
        <v>5091.1755190884987</v>
      </c>
      <c r="H116" s="1">
        <v>45747.333333333336</v>
      </c>
    </row>
    <row r="117" spans="1:8" x14ac:dyDescent="0.25">
      <c r="A117" s="7">
        <f>DATE(YEAR(m4_crossvalid[[#This Row],[cutoff]]),MONTH(m4_crossvalid[[#This Row],[cutoff]]),DAY(m4_crossvalid[[#This Row],[cutoff]]))</f>
        <v>45747</v>
      </c>
      <c r="B117" s="7">
        <f>DATE(YEAR(m4_crossvalid[[#This Row],[ds]]),MONTH(m4_crossvalid[[#This Row],[ds]]),DAY(m4_crossvalid[[#This Row],[ds]]))</f>
        <v>45770</v>
      </c>
      <c r="C117">
        <v>3604</v>
      </c>
      <c r="D117" s="1">
        <v>45770.333333333336</v>
      </c>
      <c r="E117">
        <v>3559.2823464370349</v>
      </c>
      <c r="F117">
        <v>1855.8379393974967</v>
      </c>
      <c r="G117">
        <v>5308.2678100205103</v>
      </c>
      <c r="H117" s="1">
        <v>45747.333333333336</v>
      </c>
    </row>
    <row r="118" spans="1:8" x14ac:dyDescent="0.25">
      <c r="A118" s="7">
        <f>DATE(YEAR(m4_crossvalid[[#This Row],[cutoff]]),MONTH(m4_crossvalid[[#This Row],[cutoff]]),DAY(m4_crossvalid[[#This Row],[cutoff]]))</f>
        <v>45747</v>
      </c>
      <c r="B118" s="7">
        <f>DATE(YEAR(m4_crossvalid[[#This Row],[ds]]),MONTH(m4_crossvalid[[#This Row],[ds]]),DAY(m4_crossvalid[[#This Row],[ds]]))</f>
        <v>45771</v>
      </c>
      <c r="C118">
        <v>3831</v>
      </c>
      <c r="D118" s="1">
        <v>45771.333333333336</v>
      </c>
      <c r="E118">
        <v>3906.6084360356845</v>
      </c>
      <c r="F118">
        <v>2120.5625214425377</v>
      </c>
      <c r="G118">
        <v>5786.0721418245857</v>
      </c>
      <c r="H118" s="1">
        <v>45747.333333333336</v>
      </c>
    </row>
    <row r="119" spans="1:8" x14ac:dyDescent="0.25">
      <c r="A119" s="7">
        <f>DATE(YEAR(m4_crossvalid[[#This Row],[cutoff]]),MONTH(m4_crossvalid[[#This Row],[cutoff]]),DAY(m4_crossvalid[[#This Row],[cutoff]]))</f>
        <v>45747</v>
      </c>
      <c r="B119" s="7">
        <f>DATE(YEAR(m4_crossvalid[[#This Row],[ds]]),MONTH(m4_crossvalid[[#This Row],[ds]]),DAY(m4_crossvalid[[#This Row],[ds]]))</f>
        <v>45772</v>
      </c>
      <c r="C119">
        <v>4600</v>
      </c>
      <c r="D119" s="1">
        <v>45772.333333333336</v>
      </c>
      <c r="E119">
        <v>3919.5210517980104</v>
      </c>
      <c r="F119">
        <v>2027.4530078869577</v>
      </c>
      <c r="G119">
        <v>5609.7215231989921</v>
      </c>
      <c r="H119" s="1">
        <v>45747.333333333336</v>
      </c>
    </row>
    <row r="120" spans="1:8" x14ac:dyDescent="0.25">
      <c r="A120" s="7">
        <f>DATE(YEAR(m4_crossvalid[[#This Row],[cutoff]]),MONTH(m4_crossvalid[[#This Row],[cutoff]]),DAY(m4_crossvalid[[#This Row],[cutoff]]))</f>
        <v>45747</v>
      </c>
      <c r="B120" s="7">
        <f>DATE(YEAR(m4_crossvalid[[#This Row],[ds]]),MONTH(m4_crossvalid[[#This Row],[ds]]),DAY(m4_crossvalid[[#This Row],[ds]]))</f>
        <v>45773</v>
      </c>
      <c r="C120">
        <v>1014</v>
      </c>
      <c r="D120" s="1">
        <v>45773.333333333336</v>
      </c>
      <c r="E120">
        <v>1585.4384346489906</v>
      </c>
      <c r="F120">
        <v>-222.89492613631469</v>
      </c>
      <c r="G120">
        <v>3382.8637503459549</v>
      </c>
      <c r="H120" s="1">
        <v>45747.333333333336</v>
      </c>
    </row>
    <row r="121" spans="1:8" x14ac:dyDescent="0.25">
      <c r="A121" s="7">
        <f>DATE(YEAR(m4_crossvalid[[#This Row],[cutoff]]),MONTH(m4_crossvalid[[#This Row],[cutoff]]),DAY(m4_crossvalid[[#This Row],[cutoff]]))</f>
        <v>45747</v>
      </c>
      <c r="B121" s="7">
        <f>DATE(YEAR(m4_crossvalid[[#This Row],[ds]]),MONTH(m4_crossvalid[[#This Row],[ds]]),DAY(m4_crossvalid[[#This Row],[ds]]))</f>
        <v>45774</v>
      </c>
      <c r="C121">
        <v>198</v>
      </c>
      <c r="D121" s="1">
        <v>45774.333333333336</v>
      </c>
      <c r="E121">
        <v>1182.4512880409659</v>
      </c>
      <c r="F121">
        <v>-590.96358511240646</v>
      </c>
      <c r="G121">
        <v>3054.4799890685681</v>
      </c>
      <c r="H121" s="1">
        <v>45747.333333333336</v>
      </c>
    </row>
    <row r="122" spans="1:8" x14ac:dyDescent="0.25">
      <c r="A122" s="7">
        <f>DATE(YEAR(m4_crossvalid[[#This Row],[cutoff]]),MONTH(m4_crossvalid[[#This Row],[cutoff]]),DAY(m4_crossvalid[[#This Row],[cutoff]]))</f>
        <v>45747</v>
      </c>
      <c r="B122" s="7">
        <f>DATE(YEAR(m4_crossvalid[[#This Row],[ds]]),MONTH(m4_crossvalid[[#This Row],[ds]]),DAY(m4_crossvalid[[#This Row],[ds]]))</f>
        <v>45775</v>
      </c>
      <c r="C122">
        <v>5133</v>
      </c>
      <c r="D122" s="1">
        <v>45775.333333333336</v>
      </c>
      <c r="E122">
        <v>4335.1721317698102</v>
      </c>
      <c r="F122">
        <v>2511.3684468234956</v>
      </c>
      <c r="G122">
        <v>6070.0178317635682</v>
      </c>
      <c r="H122" s="1">
        <v>45747.333333333336</v>
      </c>
    </row>
    <row r="123" spans="1:8" x14ac:dyDescent="0.25">
      <c r="A123" s="7">
        <f>DATE(YEAR(m4_crossvalid[[#This Row],[cutoff]]),MONTH(m4_crossvalid[[#This Row],[cutoff]]),DAY(m4_crossvalid[[#This Row],[cutoff]]))</f>
        <v>45747</v>
      </c>
      <c r="B123" s="7">
        <f>DATE(YEAR(m4_crossvalid[[#This Row],[ds]]),MONTH(m4_crossvalid[[#This Row],[ds]]),DAY(m4_crossvalid[[#This Row],[ds]]))</f>
        <v>45776</v>
      </c>
      <c r="C123">
        <v>7913</v>
      </c>
      <c r="D123" s="1">
        <v>45776.333333333336</v>
      </c>
      <c r="E123">
        <v>5741.8304012512181</v>
      </c>
      <c r="F123">
        <v>3949.1965649597551</v>
      </c>
      <c r="G123">
        <v>7476.8999976882069</v>
      </c>
      <c r="H123" s="1">
        <v>45747.333333333336</v>
      </c>
    </row>
    <row r="124" spans="1:8" x14ac:dyDescent="0.25">
      <c r="A124" s="7">
        <f>DATE(YEAR(m4_crossvalid[[#This Row],[cutoff]]),MONTH(m4_crossvalid[[#This Row],[cutoff]]),DAY(m4_crossvalid[[#This Row],[cutoff]]))</f>
        <v>45747</v>
      </c>
      <c r="B124" s="7">
        <f>DATE(YEAR(m4_crossvalid[[#This Row],[ds]]),MONTH(m4_crossvalid[[#This Row],[ds]]),DAY(m4_crossvalid[[#This Row],[ds]]))</f>
        <v>45777</v>
      </c>
      <c r="C124">
        <v>14564</v>
      </c>
      <c r="D124" s="1">
        <v>45777.333333333336</v>
      </c>
      <c r="E124">
        <v>6712.45432587904</v>
      </c>
      <c r="F124">
        <v>4816.0944214331457</v>
      </c>
      <c r="G124">
        <v>8423.3524107329031</v>
      </c>
      <c r="H124" s="1">
        <v>45747.333333333336</v>
      </c>
    </row>
    <row r="125" spans="1:8" x14ac:dyDescent="0.25">
      <c r="A125" s="7">
        <f>DATE(YEAR(m4_crossvalid[[#This Row],[cutoff]]),MONTH(m4_crossvalid[[#This Row],[cutoff]]),DAY(m4_crossvalid[[#This Row],[cutoff]]))</f>
        <v>45747</v>
      </c>
      <c r="B125" s="7">
        <f>DATE(YEAR(m4_crossvalid[[#This Row],[ds]]),MONTH(m4_crossvalid[[#This Row],[ds]]),DAY(m4_crossvalid[[#This Row],[ds]]))</f>
        <v>45778</v>
      </c>
      <c r="C125">
        <v>24</v>
      </c>
      <c r="D125" s="1">
        <v>45778.333333333336</v>
      </c>
      <c r="E125">
        <v>5237.6999387395726</v>
      </c>
      <c r="F125">
        <v>3371.2502278808875</v>
      </c>
      <c r="G125">
        <v>6994.2603743613499</v>
      </c>
      <c r="H125" s="1">
        <v>45747.333333333336</v>
      </c>
    </row>
    <row r="126" spans="1:8" x14ac:dyDescent="0.25">
      <c r="A126" s="7">
        <f>DATE(YEAR(m4_crossvalid[[#This Row],[cutoff]]),MONTH(m4_crossvalid[[#This Row],[cutoff]]),DAY(m4_crossvalid[[#This Row],[cutoff]]))</f>
        <v>45777</v>
      </c>
      <c r="B126" s="7">
        <f>DATE(YEAR(m4_crossvalid[[#This Row],[ds]]),MONTH(m4_crossvalid[[#This Row],[ds]]),DAY(m4_crossvalid[[#This Row],[ds]]))</f>
        <v>45778</v>
      </c>
      <c r="C126">
        <v>24</v>
      </c>
      <c r="D126" s="1">
        <v>45778.333333333336</v>
      </c>
      <c r="E126">
        <v>5490.2937175626221</v>
      </c>
      <c r="F126">
        <v>3714.6030892733861</v>
      </c>
      <c r="G126">
        <v>7354.9428513491321</v>
      </c>
      <c r="H126" s="1">
        <v>45777.333333333336</v>
      </c>
    </row>
    <row r="127" spans="1:8" x14ac:dyDescent="0.25">
      <c r="A127" s="7">
        <f>DATE(YEAR(m4_crossvalid[[#This Row],[cutoff]]),MONTH(m4_crossvalid[[#This Row],[cutoff]]),DAY(m4_crossvalid[[#This Row],[cutoff]]))</f>
        <v>45777</v>
      </c>
      <c r="B127" s="7">
        <f>DATE(YEAR(m4_crossvalid[[#This Row],[ds]]),MONTH(m4_crossvalid[[#This Row],[ds]]),DAY(m4_crossvalid[[#This Row],[ds]]))</f>
        <v>45779</v>
      </c>
      <c r="C127">
        <v>750</v>
      </c>
      <c r="D127" s="1">
        <v>45779.333333333336</v>
      </c>
      <c r="E127">
        <v>5782.4286917882855</v>
      </c>
      <c r="F127">
        <v>3913.9806962624411</v>
      </c>
      <c r="G127">
        <v>7725.8913139572987</v>
      </c>
      <c r="H127" s="1">
        <v>45777.333333333336</v>
      </c>
    </row>
    <row r="128" spans="1:8" x14ac:dyDescent="0.25">
      <c r="A128" s="7">
        <f>DATE(YEAR(m4_crossvalid[[#This Row],[cutoff]]),MONTH(m4_crossvalid[[#This Row],[cutoff]]),DAY(m4_crossvalid[[#This Row],[cutoff]]))</f>
        <v>45777</v>
      </c>
      <c r="B128" s="7">
        <f>DATE(YEAR(m4_crossvalid[[#This Row],[ds]]),MONTH(m4_crossvalid[[#This Row],[ds]]),DAY(m4_crossvalid[[#This Row],[ds]]))</f>
        <v>45780</v>
      </c>
      <c r="C128">
        <v>70</v>
      </c>
      <c r="D128" s="1">
        <v>45780.333333333336</v>
      </c>
      <c r="E128">
        <v>1644.8256550407659</v>
      </c>
      <c r="F128">
        <v>-301.06111780892525</v>
      </c>
      <c r="G128">
        <v>3463.507668183724</v>
      </c>
      <c r="H128" s="1">
        <v>45777.333333333336</v>
      </c>
    </row>
    <row r="129" spans="1:8" x14ac:dyDescent="0.25">
      <c r="A129" s="7">
        <f>DATE(YEAR(m4_crossvalid[[#This Row],[cutoff]]),MONTH(m4_crossvalid[[#This Row],[cutoff]]),DAY(m4_crossvalid[[#This Row],[cutoff]]))</f>
        <v>45777</v>
      </c>
      <c r="B129" s="7">
        <f>DATE(YEAR(m4_crossvalid[[#This Row],[ds]]),MONTH(m4_crossvalid[[#This Row],[ds]]),DAY(m4_crossvalid[[#This Row],[ds]]))</f>
        <v>45781</v>
      </c>
      <c r="C129">
        <v>31</v>
      </c>
      <c r="D129" s="1">
        <v>45781.333333333336</v>
      </c>
      <c r="E129">
        <v>-569.2575714761465</v>
      </c>
      <c r="F129">
        <v>-2407.4472614783876</v>
      </c>
      <c r="G129">
        <v>1181.6563928277774</v>
      </c>
      <c r="H129" s="1">
        <v>45777.333333333336</v>
      </c>
    </row>
    <row r="130" spans="1:8" x14ac:dyDescent="0.25">
      <c r="A130" s="7">
        <f>DATE(YEAR(m4_crossvalid[[#This Row],[cutoff]]),MONTH(m4_crossvalid[[#This Row],[cutoff]]),DAY(m4_crossvalid[[#This Row],[cutoff]]))</f>
        <v>45777</v>
      </c>
      <c r="B130" s="7">
        <f>DATE(YEAR(m4_crossvalid[[#This Row],[ds]]),MONTH(m4_crossvalid[[#This Row],[ds]]),DAY(m4_crossvalid[[#This Row],[ds]]))</f>
        <v>45782</v>
      </c>
      <c r="C130">
        <v>1026</v>
      </c>
      <c r="D130" s="1">
        <v>45782.333333333336</v>
      </c>
      <c r="E130">
        <v>1093.4390763517295</v>
      </c>
      <c r="F130">
        <v>-724.91229722639525</v>
      </c>
      <c r="G130">
        <v>2880.9194054606069</v>
      </c>
      <c r="H130" s="1">
        <v>45777.333333333336</v>
      </c>
    </row>
    <row r="131" spans="1:8" x14ac:dyDescent="0.25">
      <c r="A131" s="7">
        <f>DATE(YEAR(m4_crossvalid[[#This Row],[cutoff]]),MONTH(m4_crossvalid[[#This Row],[cutoff]]),DAY(m4_crossvalid[[#This Row],[cutoff]]))</f>
        <v>45777</v>
      </c>
      <c r="B131" s="7">
        <f>DATE(YEAR(m4_crossvalid[[#This Row],[ds]]),MONTH(m4_crossvalid[[#This Row],[ds]]),DAY(m4_crossvalid[[#This Row],[ds]]))</f>
        <v>45783</v>
      </c>
      <c r="C131">
        <v>940</v>
      </c>
      <c r="D131" s="1">
        <v>45783.333333333336</v>
      </c>
      <c r="E131">
        <v>1430.2960372748312</v>
      </c>
      <c r="F131">
        <v>-523.20808380680876</v>
      </c>
      <c r="G131">
        <v>3258.6934108206842</v>
      </c>
      <c r="H131" s="1">
        <v>45777.333333333336</v>
      </c>
    </row>
    <row r="132" spans="1:8" x14ac:dyDescent="0.25">
      <c r="A132" s="7">
        <f>DATE(YEAR(m4_crossvalid[[#This Row],[cutoff]]),MONTH(m4_crossvalid[[#This Row],[cutoff]]),DAY(m4_crossvalid[[#This Row],[cutoff]]))</f>
        <v>45777</v>
      </c>
      <c r="B132" s="7">
        <f>DATE(YEAR(m4_crossvalid[[#This Row],[ds]]),MONTH(m4_crossvalid[[#This Row],[ds]]),DAY(m4_crossvalid[[#This Row],[ds]]))</f>
        <v>45784</v>
      </c>
      <c r="C132">
        <v>1225</v>
      </c>
      <c r="D132" s="1">
        <v>45784.333333333336</v>
      </c>
      <c r="E132">
        <v>1902.9449750332965</v>
      </c>
      <c r="F132">
        <v>-42.847916498615533</v>
      </c>
      <c r="G132">
        <v>3687.7138532110075</v>
      </c>
      <c r="H132" s="1">
        <v>45777.333333333336</v>
      </c>
    </row>
    <row r="133" spans="1:8" x14ac:dyDescent="0.25">
      <c r="A133" s="7">
        <f>DATE(YEAR(m4_crossvalid[[#This Row],[cutoff]]),MONTH(m4_crossvalid[[#This Row],[cutoff]]),DAY(m4_crossvalid[[#This Row],[cutoff]]))</f>
        <v>45777</v>
      </c>
      <c r="B133" s="7">
        <f>DATE(YEAR(m4_crossvalid[[#This Row],[ds]]),MONTH(m4_crossvalid[[#This Row],[ds]]),DAY(m4_crossvalid[[#This Row],[ds]]))</f>
        <v>45785</v>
      </c>
      <c r="C133">
        <v>1538</v>
      </c>
      <c r="D133" s="1">
        <v>45785.333333333336</v>
      </c>
      <c r="E133">
        <v>2130.8635804237924</v>
      </c>
      <c r="F133">
        <v>216.82071539235193</v>
      </c>
      <c r="G133">
        <v>3936.9075072035994</v>
      </c>
      <c r="H133" s="1">
        <v>45777.333333333336</v>
      </c>
    </row>
    <row r="134" spans="1:8" x14ac:dyDescent="0.25">
      <c r="A134" s="7">
        <f>DATE(YEAR(m4_crossvalid[[#This Row],[cutoff]]),MONTH(m4_crossvalid[[#This Row],[cutoff]]),DAY(m4_crossvalid[[#This Row],[cutoff]]))</f>
        <v>45777</v>
      </c>
      <c r="B134" s="7">
        <f>DATE(YEAR(m4_crossvalid[[#This Row],[ds]]),MONTH(m4_crossvalid[[#This Row],[ds]]),DAY(m4_crossvalid[[#This Row],[ds]]))</f>
        <v>45786</v>
      </c>
      <c r="C134">
        <v>1799</v>
      </c>
      <c r="D134" s="1">
        <v>45786.333333333336</v>
      </c>
      <c r="E134">
        <v>1981.5159907099096</v>
      </c>
      <c r="F134">
        <v>82.42518556421652</v>
      </c>
      <c r="G134">
        <v>3844.9671622214028</v>
      </c>
      <c r="H134" s="1">
        <v>45777.333333333336</v>
      </c>
    </row>
    <row r="135" spans="1:8" x14ac:dyDescent="0.25">
      <c r="A135" s="7">
        <f>DATE(YEAR(m4_crossvalid[[#This Row],[cutoff]]),MONTH(m4_crossvalid[[#This Row],[cutoff]]),DAY(m4_crossvalid[[#This Row],[cutoff]]))</f>
        <v>45777</v>
      </c>
      <c r="B135" s="7">
        <f>DATE(YEAR(m4_crossvalid[[#This Row],[ds]]),MONTH(m4_crossvalid[[#This Row],[ds]]),DAY(m4_crossvalid[[#This Row],[ds]]))</f>
        <v>45787</v>
      </c>
      <c r="C135">
        <v>415</v>
      </c>
      <c r="D135" s="1">
        <v>45787.333333333336</v>
      </c>
      <c r="E135">
        <v>-448.16286152198518</v>
      </c>
      <c r="F135">
        <v>-2373.4534178514327</v>
      </c>
      <c r="G135">
        <v>1351.5742214683075</v>
      </c>
      <c r="H135" s="1">
        <v>45777.333333333336</v>
      </c>
    </row>
    <row r="136" spans="1:8" x14ac:dyDescent="0.25">
      <c r="A136" s="7">
        <f>DATE(YEAR(m4_crossvalid[[#This Row],[cutoff]]),MONTH(m4_crossvalid[[#This Row],[cutoff]]),DAY(m4_crossvalid[[#This Row],[cutoff]]))</f>
        <v>45777</v>
      </c>
      <c r="B136" s="7">
        <f>DATE(YEAR(m4_crossvalid[[#This Row],[ds]]),MONTH(m4_crossvalid[[#This Row],[ds]]),DAY(m4_crossvalid[[#This Row],[ds]]))</f>
        <v>45788</v>
      </c>
      <c r="C136">
        <v>169</v>
      </c>
      <c r="D136" s="1">
        <v>45788.333333333336</v>
      </c>
      <c r="E136">
        <v>-924.46753556485919</v>
      </c>
      <c r="F136">
        <v>-2784.2633404097583</v>
      </c>
      <c r="G136">
        <v>845.66032347815531</v>
      </c>
      <c r="H136" s="1">
        <v>45777.333333333336</v>
      </c>
    </row>
    <row r="137" spans="1:8" x14ac:dyDescent="0.25">
      <c r="A137" s="7">
        <f>DATE(YEAR(m4_crossvalid[[#This Row],[cutoff]]),MONTH(m4_crossvalid[[#This Row],[cutoff]]),DAY(m4_crossvalid[[#This Row],[cutoff]]))</f>
        <v>45777</v>
      </c>
      <c r="B137" s="7">
        <f>DATE(YEAR(m4_crossvalid[[#This Row],[ds]]),MONTH(m4_crossvalid[[#This Row],[ds]]),DAY(m4_crossvalid[[#This Row],[ds]]))</f>
        <v>45789</v>
      </c>
      <c r="C137">
        <v>185</v>
      </c>
      <c r="D137" s="1">
        <v>45789.333333333336</v>
      </c>
      <c r="E137">
        <v>342.21762236465884</v>
      </c>
      <c r="F137">
        <v>-1425.348314927513</v>
      </c>
      <c r="G137">
        <v>2197.6383187873107</v>
      </c>
      <c r="H137" s="1">
        <v>45777.333333333336</v>
      </c>
    </row>
    <row r="138" spans="1:8" x14ac:dyDescent="0.25">
      <c r="A138" s="7">
        <f>DATE(YEAR(m4_crossvalid[[#This Row],[cutoff]]),MONTH(m4_crossvalid[[#This Row],[cutoff]]),DAY(m4_crossvalid[[#This Row],[cutoff]]))</f>
        <v>45777</v>
      </c>
      <c r="B138" s="7">
        <f>DATE(YEAR(m4_crossvalid[[#This Row],[ds]]),MONTH(m4_crossvalid[[#This Row],[ds]]),DAY(m4_crossvalid[[#This Row],[ds]]))</f>
        <v>45790</v>
      </c>
      <c r="C138">
        <v>2011</v>
      </c>
      <c r="D138" s="1">
        <v>45790.333333333336</v>
      </c>
      <c r="E138">
        <v>2497.8711179660831</v>
      </c>
      <c r="F138">
        <v>751.56858088233992</v>
      </c>
      <c r="G138">
        <v>4358.2615265589702</v>
      </c>
      <c r="H138" s="1">
        <v>45777.333333333336</v>
      </c>
    </row>
    <row r="139" spans="1:8" x14ac:dyDescent="0.25">
      <c r="A139" s="7">
        <f>DATE(YEAR(m4_crossvalid[[#This Row],[cutoff]]),MONTH(m4_crossvalid[[#This Row],[cutoff]]),DAY(m4_crossvalid[[#This Row],[cutoff]]))</f>
        <v>45777</v>
      </c>
      <c r="B139" s="7">
        <f>DATE(YEAR(m4_crossvalid[[#This Row],[ds]]),MONTH(m4_crossvalid[[#This Row],[ds]]),DAY(m4_crossvalid[[#This Row],[ds]]))</f>
        <v>45791</v>
      </c>
      <c r="C139">
        <v>2630</v>
      </c>
      <c r="D139" s="1">
        <v>45791.333333333336</v>
      </c>
      <c r="E139">
        <v>2650.6605482658319</v>
      </c>
      <c r="F139">
        <v>922.0083423488245</v>
      </c>
      <c r="G139">
        <v>4333.8310369956025</v>
      </c>
      <c r="H139" s="1">
        <v>45777.333333333336</v>
      </c>
    </row>
    <row r="140" spans="1:8" x14ac:dyDescent="0.25">
      <c r="A140" s="7">
        <f>DATE(YEAR(m4_crossvalid[[#This Row],[cutoff]]),MONTH(m4_crossvalid[[#This Row],[cutoff]]),DAY(m4_crossvalid[[#This Row],[cutoff]]))</f>
        <v>45777</v>
      </c>
      <c r="B140" s="7">
        <f>DATE(YEAR(m4_crossvalid[[#This Row],[ds]]),MONTH(m4_crossvalid[[#This Row],[ds]]),DAY(m4_crossvalid[[#This Row],[ds]]))</f>
        <v>45792</v>
      </c>
      <c r="C140">
        <v>2985</v>
      </c>
      <c r="D140" s="1">
        <v>45792.333333333336</v>
      </c>
      <c r="E140">
        <v>2511.3283478640956</v>
      </c>
      <c r="F140">
        <v>761.25643354870397</v>
      </c>
      <c r="G140">
        <v>4382.6953655872194</v>
      </c>
      <c r="H140" s="1">
        <v>45777.333333333336</v>
      </c>
    </row>
    <row r="141" spans="1:8" x14ac:dyDescent="0.25">
      <c r="A141" s="7">
        <f>DATE(YEAR(m4_crossvalid[[#This Row],[cutoff]]),MONTH(m4_crossvalid[[#This Row],[cutoff]]),DAY(m4_crossvalid[[#This Row],[cutoff]]))</f>
        <v>45777</v>
      </c>
      <c r="B141" s="7">
        <f>DATE(YEAR(m4_crossvalid[[#This Row],[ds]]),MONTH(m4_crossvalid[[#This Row],[ds]]),DAY(m4_crossvalid[[#This Row],[ds]]))</f>
        <v>45793</v>
      </c>
      <c r="C141">
        <v>3081</v>
      </c>
      <c r="D141" s="1">
        <v>45793.333333333336</v>
      </c>
      <c r="E141">
        <v>2344.8634107625098</v>
      </c>
      <c r="F141">
        <v>570.25875898270135</v>
      </c>
      <c r="G141">
        <v>4173.0429995165696</v>
      </c>
      <c r="H141" s="1">
        <v>45777.333333333336</v>
      </c>
    </row>
    <row r="142" spans="1:8" x14ac:dyDescent="0.25">
      <c r="A142" s="7">
        <f>DATE(YEAR(m4_crossvalid[[#This Row],[cutoff]]),MONTH(m4_crossvalid[[#This Row],[cutoff]]),DAY(m4_crossvalid[[#This Row],[cutoff]]))</f>
        <v>45777</v>
      </c>
      <c r="B142" s="7">
        <f>DATE(YEAR(m4_crossvalid[[#This Row],[ds]]),MONTH(m4_crossvalid[[#This Row],[ds]]),DAY(m4_crossvalid[[#This Row],[ds]]))</f>
        <v>45794</v>
      </c>
      <c r="C142">
        <v>609</v>
      </c>
      <c r="D142" s="1">
        <v>45794.333333333336</v>
      </c>
      <c r="E142">
        <v>211.2505529125965</v>
      </c>
      <c r="F142">
        <v>-1754.6593602884075</v>
      </c>
      <c r="G142">
        <v>2023.2134261928006</v>
      </c>
      <c r="H142" s="1">
        <v>45777.333333333336</v>
      </c>
    </row>
    <row r="143" spans="1:8" x14ac:dyDescent="0.25">
      <c r="A143" s="7">
        <f>DATE(YEAR(m4_crossvalid[[#This Row],[cutoff]]),MONTH(m4_crossvalid[[#This Row],[cutoff]]),DAY(m4_crossvalid[[#This Row],[cutoff]]))</f>
        <v>45777</v>
      </c>
      <c r="B143" s="7">
        <f>DATE(YEAR(m4_crossvalid[[#This Row],[ds]]),MONTH(m4_crossvalid[[#This Row],[ds]]),DAY(m4_crossvalid[[#This Row],[ds]]))</f>
        <v>45795</v>
      </c>
      <c r="C143">
        <v>185</v>
      </c>
      <c r="D143" s="1">
        <v>45795.333333333336</v>
      </c>
      <c r="E143">
        <v>-7.4821132638167001</v>
      </c>
      <c r="F143">
        <v>-1879.7717815253714</v>
      </c>
      <c r="G143">
        <v>1787.6157402287613</v>
      </c>
      <c r="H143" s="1">
        <v>45777.333333333336</v>
      </c>
    </row>
    <row r="144" spans="1:8" x14ac:dyDescent="0.25">
      <c r="A144" s="7">
        <f>DATE(YEAR(m4_crossvalid[[#This Row],[cutoff]]),MONTH(m4_crossvalid[[#This Row],[cutoff]]),DAY(m4_crossvalid[[#This Row],[cutoff]]))</f>
        <v>45777</v>
      </c>
      <c r="B144" s="7">
        <f>DATE(YEAR(m4_crossvalid[[#This Row],[ds]]),MONTH(m4_crossvalid[[#This Row],[ds]]),DAY(m4_crossvalid[[#This Row],[ds]]))</f>
        <v>45796</v>
      </c>
      <c r="C144">
        <v>2926</v>
      </c>
      <c r="D144" s="1">
        <v>45796.333333333336</v>
      </c>
      <c r="E144">
        <v>2734.3223219089195</v>
      </c>
      <c r="F144">
        <v>827.50832363381608</v>
      </c>
      <c r="G144">
        <v>4548.7875703769641</v>
      </c>
      <c r="H144" s="1">
        <v>45777.333333333336</v>
      </c>
    </row>
    <row r="145" spans="1:8" x14ac:dyDescent="0.25">
      <c r="A145" s="7">
        <f>DATE(YEAR(m4_crossvalid[[#This Row],[cutoff]]),MONTH(m4_crossvalid[[#This Row],[cutoff]]),DAY(m4_crossvalid[[#This Row],[cutoff]]))</f>
        <v>45777</v>
      </c>
      <c r="B145" s="7">
        <f>DATE(YEAR(m4_crossvalid[[#This Row],[ds]]),MONTH(m4_crossvalid[[#This Row],[ds]]),DAY(m4_crossvalid[[#This Row],[ds]]))</f>
        <v>45797</v>
      </c>
      <c r="C145">
        <v>3213</v>
      </c>
      <c r="D145" s="1">
        <v>45797.333333333336</v>
      </c>
      <c r="E145">
        <v>3035.4345119389013</v>
      </c>
      <c r="F145">
        <v>1279.1788717818906</v>
      </c>
      <c r="G145">
        <v>4782.504288728097</v>
      </c>
      <c r="H145" s="1">
        <v>45777.333333333336</v>
      </c>
    </row>
    <row r="146" spans="1:8" x14ac:dyDescent="0.25">
      <c r="A146" s="7">
        <f>DATE(YEAR(m4_crossvalid[[#This Row],[cutoff]]),MONTH(m4_crossvalid[[#This Row],[cutoff]]),DAY(m4_crossvalid[[#This Row],[cutoff]]))</f>
        <v>45777</v>
      </c>
      <c r="B146" s="7">
        <f>DATE(YEAR(m4_crossvalid[[#This Row],[ds]]),MONTH(m4_crossvalid[[#This Row],[ds]]),DAY(m4_crossvalid[[#This Row],[ds]]))</f>
        <v>45798</v>
      </c>
      <c r="C146">
        <v>3566</v>
      </c>
      <c r="D146" s="1">
        <v>45798.333333333336</v>
      </c>
      <c r="E146">
        <v>2953.6178230135456</v>
      </c>
      <c r="F146">
        <v>1231.2985807332402</v>
      </c>
      <c r="G146">
        <v>4861.012111082493</v>
      </c>
      <c r="H146" s="1">
        <v>45777.333333333336</v>
      </c>
    </row>
    <row r="147" spans="1:8" x14ac:dyDescent="0.25">
      <c r="A147" s="7">
        <f>DATE(YEAR(m4_crossvalid[[#This Row],[cutoff]]),MONTH(m4_crossvalid[[#This Row],[cutoff]]),DAY(m4_crossvalid[[#This Row],[cutoff]]))</f>
        <v>45777</v>
      </c>
      <c r="B147" s="7">
        <f>DATE(YEAR(m4_crossvalid[[#This Row],[ds]]),MONTH(m4_crossvalid[[#This Row],[ds]]),DAY(m4_crossvalid[[#This Row],[ds]]))</f>
        <v>45799</v>
      </c>
      <c r="C147">
        <v>3706</v>
      </c>
      <c r="D147" s="1">
        <v>45799.333333333336</v>
      </c>
      <c r="E147">
        <v>2918.4297227562556</v>
      </c>
      <c r="F147">
        <v>1116.0838327822648</v>
      </c>
      <c r="G147">
        <v>4632.7824880169974</v>
      </c>
      <c r="H147" s="1">
        <v>45777.333333333336</v>
      </c>
    </row>
    <row r="148" spans="1:8" x14ac:dyDescent="0.25">
      <c r="A148" s="7">
        <f>DATE(YEAR(m4_crossvalid[[#This Row],[cutoff]]),MONTH(m4_crossvalid[[#This Row],[cutoff]]),DAY(m4_crossvalid[[#This Row],[cutoff]]))</f>
        <v>45777</v>
      </c>
      <c r="B148" s="7">
        <f>DATE(YEAR(m4_crossvalid[[#This Row],[ds]]),MONTH(m4_crossvalid[[#This Row],[ds]]),DAY(m4_crossvalid[[#This Row],[ds]]))</f>
        <v>45800</v>
      </c>
      <c r="C148">
        <v>3920</v>
      </c>
      <c r="D148" s="1">
        <v>45800.333333333336</v>
      </c>
      <c r="E148">
        <v>3111.1973261263529</v>
      </c>
      <c r="F148">
        <v>1140.8321266707394</v>
      </c>
      <c r="G148">
        <v>4974.2272079441418</v>
      </c>
      <c r="H148" s="1">
        <v>45777.333333333336</v>
      </c>
    </row>
    <row r="149" spans="1:8" x14ac:dyDescent="0.25">
      <c r="A149" s="7">
        <f>DATE(YEAR(m4_crossvalid[[#This Row],[cutoff]]),MONTH(m4_crossvalid[[#This Row],[cutoff]]),DAY(m4_crossvalid[[#This Row],[cutoff]]))</f>
        <v>45777</v>
      </c>
      <c r="B149" s="7">
        <f>DATE(YEAR(m4_crossvalid[[#This Row],[ds]]),MONTH(m4_crossvalid[[#This Row],[ds]]),DAY(m4_crossvalid[[#This Row],[ds]]))</f>
        <v>45801</v>
      </c>
      <c r="C149">
        <v>857</v>
      </c>
      <c r="D149" s="1">
        <v>45801.333333333336</v>
      </c>
      <c r="E149">
        <v>1252.8193074452995</v>
      </c>
      <c r="F149">
        <v>-621.40197614936176</v>
      </c>
      <c r="G149">
        <v>3095.8064277594899</v>
      </c>
      <c r="H149" s="1">
        <v>45777.333333333336</v>
      </c>
    </row>
    <row r="150" spans="1:8" x14ac:dyDescent="0.25">
      <c r="A150" s="7">
        <f>DATE(YEAR(m4_crossvalid[[#This Row],[cutoff]]),MONTH(m4_crossvalid[[#This Row],[cutoff]]),DAY(m4_crossvalid[[#This Row],[cutoff]]))</f>
        <v>45777</v>
      </c>
      <c r="B150" s="7">
        <f>DATE(YEAR(m4_crossvalid[[#This Row],[ds]]),MONTH(m4_crossvalid[[#This Row],[ds]]),DAY(m4_crossvalid[[#This Row],[ds]]))</f>
        <v>45802</v>
      </c>
      <c r="C150">
        <v>215</v>
      </c>
      <c r="D150" s="1">
        <v>45802.333333333336</v>
      </c>
      <c r="E150">
        <v>985.05410335667125</v>
      </c>
      <c r="F150">
        <v>-744.0628289018764</v>
      </c>
      <c r="G150">
        <v>2846.3003736442934</v>
      </c>
      <c r="H150" s="1">
        <v>45777.333333333336</v>
      </c>
    </row>
    <row r="151" spans="1:8" x14ac:dyDescent="0.25">
      <c r="A151" s="7">
        <f>DATE(YEAR(m4_crossvalid[[#This Row],[cutoff]]),MONTH(m4_crossvalid[[#This Row],[cutoff]]),DAY(m4_crossvalid[[#This Row],[cutoff]]))</f>
        <v>45777</v>
      </c>
      <c r="B151" s="7">
        <f>DATE(YEAR(m4_crossvalid[[#This Row],[ds]]),MONTH(m4_crossvalid[[#This Row],[ds]]),DAY(m4_crossvalid[[#This Row],[ds]]))</f>
        <v>45803</v>
      </c>
      <c r="C151">
        <v>4297</v>
      </c>
      <c r="D151" s="1">
        <v>45803.333333333336</v>
      </c>
      <c r="E151">
        <v>3488.4847739975426</v>
      </c>
      <c r="F151">
        <v>1598.5827517397247</v>
      </c>
      <c r="G151">
        <v>5337.0106586795382</v>
      </c>
      <c r="H151" s="1">
        <v>45777.333333333336</v>
      </c>
    </row>
    <row r="152" spans="1:8" x14ac:dyDescent="0.25">
      <c r="A152" s="7">
        <f>DATE(YEAR(m4_crossvalid[[#This Row],[cutoff]]),MONTH(m4_crossvalid[[#This Row],[cutoff]]),DAY(m4_crossvalid[[#This Row],[cutoff]]))</f>
        <v>45777</v>
      </c>
      <c r="B152" s="7">
        <f>DATE(YEAR(m4_crossvalid[[#This Row],[ds]]),MONTH(m4_crossvalid[[#This Row],[ds]]),DAY(m4_crossvalid[[#This Row],[ds]]))</f>
        <v>45804</v>
      </c>
      <c r="C152">
        <v>5188</v>
      </c>
      <c r="D152" s="1">
        <v>45804.333333333336</v>
      </c>
      <c r="E152">
        <v>3787.6089099785904</v>
      </c>
      <c r="F152">
        <v>2045.9848897825989</v>
      </c>
      <c r="G152">
        <v>5624.5814537126707</v>
      </c>
      <c r="H152" s="1">
        <v>45777.333333333336</v>
      </c>
    </row>
    <row r="153" spans="1:8" x14ac:dyDescent="0.25">
      <c r="A153" s="7">
        <f>DATE(YEAR(m4_crossvalid[[#This Row],[cutoff]]),MONTH(m4_crossvalid[[#This Row],[cutoff]]),DAY(m4_crossvalid[[#This Row],[cutoff]]))</f>
        <v>45777</v>
      </c>
      <c r="B153" s="7">
        <f>DATE(YEAR(m4_crossvalid[[#This Row],[ds]]),MONTH(m4_crossvalid[[#This Row],[ds]]),DAY(m4_crossvalid[[#This Row],[ds]]))</f>
        <v>45805</v>
      </c>
      <c r="C153">
        <v>5701</v>
      </c>
      <c r="D153" s="1">
        <v>45805.333333333336</v>
      </c>
      <c r="E153">
        <v>4266.8187026167143</v>
      </c>
      <c r="F153">
        <v>2444.5403587007122</v>
      </c>
      <c r="G153">
        <v>6008.0143151721977</v>
      </c>
      <c r="H153" s="1">
        <v>45777.333333333336</v>
      </c>
    </row>
    <row r="154" spans="1:8" x14ac:dyDescent="0.25">
      <c r="A154" s="7">
        <f>DATE(YEAR(m4_crossvalid[[#This Row],[cutoff]]),MONTH(m4_crossvalid[[#This Row],[cutoff]]),DAY(m4_crossvalid[[#This Row],[cutoff]]))</f>
        <v>45777</v>
      </c>
      <c r="B154" s="7">
        <f>DATE(YEAR(m4_crossvalid[[#This Row],[ds]]),MONTH(m4_crossvalid[[#This Row],[ds]]),DAY(m4_crossvalid[[#This Row],[ds]]))</f>
        <v>45806</v>
      </c>
      <c r="C154">
        <v>8103</v>
      </c>
      <c r="D154" s="1">
        <v>45806.333333333336</v>
      </c>
      <c r="E154">
        <v>5235.6690805220005</v>
      </c>
      <c r="F154">
        <v>3480.028459544787</v>
      </c>
      <c r="G154">
        <v>7218.7557975437212</v>
      </c>
      <c r="H154" s="1">
        <v>45777.333333333336</v>
      </c>
    </row>
    <row r="155" spans="1:8" x14ac:dyDescent="0.25">
      <c r="A155" s="7">
        <f>DATE(YEAR(m4_crossvalid[[#This Row],[cutoff]]),MONTH(m4_crossvalid[[#This Row],[cutoff]]),DAY(m4_crossvalid[[#This Row],[cutoff]]))</f>
        <v>45777</v>
      </c>
      <c r="B155" s="7">
        <f>DATE(YEAR(m4_crossvalid[[#This Row],[ds]]),MONTH(m4_crossvalid[[#This Row],[ds]]),DAY(m4_crossvalid[[#This Row],[ds]]))</f>
        <v>45807</v>
      </c>
      <c r="C155">
        <v>8920</v>
      </c>
      <c r="D155" s="1">
        <v>45807.333333333336</v>
      </c>
      <c r="E155">
        <v>6322.5947722006131</v>
      </c>
      <c r="F155">
        <v>4407.8494224973047</v>
      </c>
      <c r="G155">
        <v>8097.2074822603818</v>
      </c>
      <c r="H155" s="1">
        <v>45777.333333333336</v>
      </c>
    </row>
    <row r="156" spans="1:8" x14ac:dyDescent="0.25">
      <c r="A156" s="7">
        <f>DATE(YEAR(m4_crossvalid[[#This Row],[cutoff]]),MONTH(m4_crossvalid[[#This Row],[cutoff]]),DAY(m4_crossvalid[[#This Row],[cutoff]]))</f>
        <v>45777</v>
      </c>
      <c r="B156" s="7">
        <f>DATE(YEAR(m4_crossvalid[[#This Row],[ds]]),MONTH(m4_crossvalid[[#This Row],[ds]]),DAY(m4_crossvalid[[#This Row],[ds]]))</f>
        <v>45808</v>
      </c>
      <c r="C156">
        <v>4108</v>
      </c>
      <c r="D156" s="1">
        <v>45808.333333333336</v>
      </c>
      <c r="E156">
        <v>4634.9114723468629</v>
      </c>
      <c r="F156">
        <v>2811.2647787210285</v>
      </c>
      <c r="G156">
        <v>6399.6491676521728</v>
      </c>
      <c r="H156" s="1">
        <v>45777.333333333336</v>
      </c>
    </row>
    <row r="157" spans="1:8" x14ac:dyDescent="0.25">
      <c r="A157" s="7">
        <f>DATE(YEAR(m4_crossvalid[[#This Row],[cutoff]]),MONTH(m4_crossvalid[[#This Row],[cutoff]]),DAY(m4_crossvalid[[#This Row],[cutoff]]))</f>
        <v>45808</v>
      </c>
      <c r="B157" s="7">
        <f>DATE(YEAR(m4_crossvalid[[#This Row],[ds]]),MONTH(m4_crossvalid[[#This Row],[ds]]),DAY(m4_crossvalid[[#This Row],[ds]]))</f>
        <v>45809</v>
      </c>
      <c r="C157">
        <v>75</v>
      </c>
      <c r="D157" s="1">
        <v>45809.333333333336</v>
      </c>
      <c r="E157">
        <v>3640.6424019482001</v>
      </c>
      <c r="F157">
        <v>1874.2748021076327</v>
      </c>
      <c r="G157">
        <v>5473.9908109509979</v>
      </c>
      <c r="H157" s="1">
        <v>45808.333333333336</v>
      </c>
    </row>
    <row r="158" spans="1:8" x14ac:dyDescent="0.25">
      <c r="A158" s="7">
        <f>DATE(YEAR(m4_crossvalid[[#This Row],[cutoff]]),MONTH(m4_crossvalid[[#This Row],[cutoff]]),DAY(m4_crossvalid[[#This Row],[cutoff]]))</f>
        <v>45808</v>
      </c>
      <c r="B158" s="7">
        <f>DATE(YEAR(m4_crossvalid[[#This Row],[ds]]),MONTH(m4_crossvalid[[#This Row],[ds]]),DAY(m4_crossvalid[[#This Row],[ds]]))</f>
        <v>45810</v>
      </c>
      <c r="C158">
        <v>3</v>
      </c>
      <c r="D158" s="1">
        <v>45810.333333333336</v>
      </c>
      <c r="E158">
        <v>2925.5256652964872</v>
      </c>
      <c r="F158">
        <v>1052.5644498383729</v>
      </c>
      <c r="G158">
        <v>4771.1218899626847</v>
      </c>
      <c r="H158" s="1">
        <v>45808.333333333336</v>
      </c>
    </row>
    <row r="159" spans="1:8" x14ac:dyDescent="0.25">
      <c r="A159" s="7">
        <f>DATE(YEAR(m4_crossvalid[[#This Row],[cutoff]]),MONTH(m4_crossvalid[[#This Row],[cutoff]]),DAY(m4_crossvalid[[#This Row],[cutoff]]))</f>
        <v>45808</v>
      </c>
      <c r="B159" s="7">
        <f>DATE(YEAR(m4_crossvalid[[#This Row],[ds]]),MONTH(m4_crossvalid[[#This Row],[ds]]),DAY(m4_crossvalid[[#This Row],[ds]]))</f>
        <v>45811</v>
      </c>
      <c r="C159">
        <v>578</v>
      </c>
      <c r="D159" s="1">
        <v>45811.333333333336</v>
      </c>
      <c r="E159">
        <v>3052.600582544359</v>
      </c>
      <c r="F159">
        <v>1317.5681090396588</v>
      </c>
      <c r="G159">
        <v>4937.55512131456</v>
      </c>
      <c r="H159" s="1">
        <v>45808.333333333336</v>
      </c>
    </row>
    <row r="160" spans="1:8" x14ac:dyDescent="0.25">
      <c r="A160" s="7">
        <f>DATE(YEAR(m4_crossvalid[[#This Row],[cutoff]]),MONTH(m4_crossvalid[[#This Row],[cutoff]]),DAY(m4_crossvalid[[#This Row],[cutoff]]))</f>
        <v>45808</v>
      </c>
      <c r="B160" s="7">
        <f>DATE(YEAR(m4_crossvalid[[#This Row],[ds]]),MONTH(m4_crossvalid[[#This Row],[ds]]),DAY(m4_crossvalid[[#This Row],[ds]]))</f>
        <v>45812</v>
      </c>
      <c r="C160">
        <v>842</v>
      </c>
      <c r="D160" s="1">
        <v>45812.333333333336</v>
      </c>
      <c r="E160">
        <v>1858.9191551684066</v>
      </c>
      <c r="F160">
        <v>-67.722283925003168</v>
      </c>
      <c r="G160">
        <v>3706.0426637942064</v>
      </c>
      <c r="H160" s="1">
        <v>45808.333333333336</v>
      </c>
    </row>
    <row r="161" spans="1:8" x14ac:dyDescent="0.25">
      <c r="A161" s="7">
        <f>DATE(YEAR(m4_crossvalid[[#This Row],[cutoff]]),MONTH(m4_crossvalid[[#This Row],[cutoff]]),DAY(m4_crossvalid[[#This Row],[cutoff]]))</f>
        <v>45808</v>
      </c>
      <c r="B161" s="7">
        <f>DATE(YEAR(m4_crossvalid[[#This Row],[ds]]),MONTH(m4_crossvalid[[#This Row],[ds]]),DAY(m4_crossvalid[[#This Row],[ds]]))</f>
        <v>45813</v>
      </c>
      <c r="C161">
        <v>1102</v>
      </c>
      <c r="D161" s="1">
        <v>45813.333333333336</v>
      </c>
      <c r="E161">
        <v>1464.4404624359022</v>
      </c>
      <c r="F161">
        <v>-238.48722172701841</v>
      </c>
      <c r="G161">
        <v>3267.4614695010091</v>
      </c>
      <c r="H161" s="1">
        <v>45808.333333333336</v>
      </c>
    </row>
    <row r="162" spans="1:8" x14ac:dyDescent="0.25">
      <c r="A162" s="7">
        <f>DATE(YEAR(m4_crossvalid[[#This Row],[cutoff]]),MONTH(m4_crossvalid[[#This Row],[cutoff]]),DAY(m4_crossvalid[[#This Row],[cutoff]]))</f>
        <v>45808</v>
      </c>
      <c r="B162" s="7">
        <f>DATE(YEAR(m4_crossvalid[[#This Row],[ds]]),MONTH(m4_crossvalid[[#This Row],[ds]]),DAY(m4_crossvalid[[#This Row],[ds]]))</f>
        <v>45814</v>
      </c>
      <c r="C162">
        <v>1098</v>
      </c>
      <c r="D162" s="1">
        <v>45814.333333333336</v>
      </c>
      <c r="E162">
        <v>-2049.9866285418061</v>
      </c>
      <c r="F162">
        <v>-3801.1207870216858</v>
      </c>
      <c r="G162">
        <v>-183.6271118041598</v>
      </c>
      <c r="H162" s="1">
        <v>45808.333333333336</v>
      </c>
    </row>
    <row r="163" spans="1:8" x14ac:dyDescent="0.25">
      <c r="A163" s="7">
        <f>DATE(YEAR(m4_crossvalid[[#This Row],[cutoff]]),MONTH(m4_crossvalid[[#This Row],[cutoff]]),DAY(m4_crossvalid[[#This Row],[cutoff]]))</f>
        <v>45808</v>
      </c>
      <c r="B163" s="7">
        <f>DATE(YEAR(m4_crossvalid[[#This Row],[ds]]),MONTH(m4_crossvalid[[#This Row],[ds]]),DAY(m4_crossvalid[[#This Row],[ds]]))</f>
        <v>45815</v>
      </c>
      <c r="C163">
        <v>17</v>
      </c>
      <c r="D163" s="1">
        <v>45815.333333333336</v>
      </c>
      <c r="E163">
        <v>-209.57680723524572</v>
      </c>
      <c r="F163">
        <v>-1963.2314031056962</v>
      </c>
      <c r="G163">
        <v>1469.5929060837302</v>
      </c>
      <c r="H163" s="1">
        <v>45808.333333333336</v>
      </c>
    </row>
    <row r="164" spans="1:8" x14ac:dyDescent="0.25">
      <c r="A164" s="7">
        <f>DATE(YEAR(m4_crossvalid[[#This Row],[cutoff]]),MONTH(m4_crossvalid[[#This Row],[cutoff]]),DAY(m4_crossvalid[[#This Row],[cutoff]]))</f>
        <v>45808</v>
      </c>
      <c r="B164" s="7">
        <f>DATE(YEAR(m4_crossvalid[[#This Row],[ds]]),MONTH(m4_crossvalid[[#This Row],[ds]]),DAY(m4_crossvalid[[#This Row],[ds]]))</f>
        <v>45816</v>
      </c>
      <c r="C164">
        <v>2</v>
      </c>
      <c r="D164" s="1">
        <v>45816.333333333336</v>
      </c>
      <c r="E164">
        <v>-1880.8659204263249</v>
      </c>
      <c r="F164">
        <v>-3624.8551080022871</v>
      </c>
      <c r="G164">
        <v>33.808486849739978</v>
      </c>
      <c r="H164" s="1">
        <v>45808.333333333336</v>
      </c>
    </row>
    <row r="165" spans="1:8" x14ac:dyDescent="0.25">
      <c r="A165" s="7">
        <f>DATE(YEAR(m4_crossvalid[[#This Row],[cutoff]]),MONTH(m4_crossvalid[[#This Row],[cutoff]]),DAY(m4_crossvalid[[#This Row],[cutoff]]))</f>
        <v>45808</v>
      </c>
      <c r="B165" s="7">
        <f>DATE(YEAR(m4_crossvalid[[#This Row],[ds]]),MONTH(m4_crossvalid[[#This Row],[ds]]),DAY(m4_crossvalid[[#This Row],[ds]]))</f>
        <v>45817</v>
      </c>
      <c r="C165">
        <v>716</v>
      </c>
      <c r="D165" s="1">
        <v>45817.333333333336</v>
      </c>
      <c r="E165">
        <v>1781.5231718904138</v>
      </c>
      <c r="F165">
        <v>-27.312158632074024</v>
      </c>
      <c r="G165">
        <v>3557.9548275502716</v>
      </c>
      <c r="H165" s="1">
        <v>45808.333333333336</v>
      </c>
    </row>
    <row r="166" spans="1:8" x14ac:dyDescent="0.25">
      <c r="A166" s="7">
        <f>DATE(YEAR(m4_crossvalid[[#This Row],[cutoff]]),MONTH(m4_crossvalid[[#This Row],[cutoff]]),DAY(m4_crossvalid[[#This Row],[cutoff]]))</f>
        <v>45808</v>
      </c>
      <c r="B166" s="7">
        <f>DATE(YEAR(m4_crossvalid[[#This Row],[ds]]),MONTH(m4_crossvalid[[#This Row],[ds]]),DAY(m4_crossvalid[[#This Row],[ds]]))</f>
        <v>45818</v>
      </c>
      <c r="C166">
        <v>1129</v>
      </c>
      <c r="D166" s="1">
        <v>45818.333333333336</v>
      </c>
      <c r="E166">
        <v>1485.9599163352761</v>
      </c>
      <c r="F166">
        <v>-329.58936464662696</v>
      </c>
      <c r="G166">
        <v>3269.560666832147</v>
      </c>
      <c r="H166" s="1">
        <v>45808.333333333336</v>
      </c>
    </row>
    <row r="167" spans="1:8" x14ac:dyDescent="0.25">
      <c r="A167" s="7">
        <f>DATE(YEAR(m4_crossvalid[[#This Row],[cutoff]]),MONTH(m4_crossvalid[[#This Row],[cutoff]]),DAY(m4_crossvalid[[#This Row],[cutoff]]))</f>
        <v>45808</v>
      </c>
      <c r="B167" s="7">
        <f>DATE(YEAR(m4_crossvalid[[#This Row],[ds]]),MONTH(m4_crossvalid[[#This Row],[ds]]),DAY(m4_crossvalid[[#This Row],[ds]]))</f>
        <v>45819</v>
      </c>
      <c r="C167">
        <v>1387</v>
      </c>
      <c r="D167" s="1">
        <v>45819.333333333336</v>
      </c>
      <c r="E167">
        <v>2024.1354072660827</v>
      </c>
      <c r="F167">
        <v>321.94290114802419</v>
      </c>
      <c r="G167">
        <v>3804.4360224780935</v>
      </c>
      <c r="H167" s="1">
        <v>45808.333333333336</v>
      </c>
    </row>
    <row r="168" spans="1:8" x14ac:dyDescent="0.25">
      <c r="A168" s="7">
        <f>DATE(YEAR(m4_crossvalid[[#This Row],[cutoff]]),MONTH(m4_crossvalid[[#This Row],[cutoff]]),DAY(m4_crossvalid[[#This Row],[cutoff]]))</f>
        <v>45808</v>
      </c>
      <c r="B168" s="7">
        <f>DATE(YEAR(m4_crossvalid[[#This Row],[ds]]),MONTH(m4_crossvalid[[#This Row],[ds]]),DAY(m4_crossvalid[[#This Row],[ds]]))</f>
        <v>45820</v>
      </c>
      <c r="C168">
        <v>1689</v>
      </c>
      <c r="D168" s="1">
        <v>45820.333333333336</v>
      </c>
      <c r="E168">
        <v>2523.4705509574815</v>
      </c>
      <c r="F168">
        <v>699.16302503067334</v>
      </c>
      <c r="G168">
        <v>4350.8131055328386</v>
      </c>
      <c r="H168" s="1">
        <v>45808.333333333336</v>
      </c>
    </row>
    <row r="169" spans="1:8" x14ac:dyDescent="0.25">
      <c r="A169" s="7">
        <f>DATE(YEAR(m4_crossvalid[[#This Row],[cutoff]]),MONTH(m4_crossvalid[[#This Row],[cutoff]]),DAY(m4_crossvalid[[#This Row],[cutoff]]))</f>
        <v>45808</v>
      </c>
      <c r="B169" s="7">
        <f>DATE(YEAR(m4_crossvalid[[#This Row],[ds]]),MONTH(m4_crossvalid[[#This Row],[ds]]),DAY(m4_crossvalid[[#This Row],[ds]]))</f>
        <v>45821</v>
      </c>
      <c r="C169">
        <v>1883</v>
      </c>
      <c r="D169" s="1">
        <v>45821.333333333336</v>
      </c>
      <c r="E169">
        <v>2214.2521076432113</v>
      </c>
      <c r="F169">
        <v>291.75660870552792</v>
      </c>
      <c r="G169">
        <v>4070.2009277110333</v>
      </c>
      <c r="H169" s="1">
        <v>45808.333333333336</v>
      </c>
    </row>
    <row r="170" spans="1:8" x14ac:dyDescent="0.25">
      <c r="A170" s="7">
        <f>DATE(YEAR(m4_crossvalid[[#This Row],[cutoff]]),MONTH(m4_crossvalid[[#This Row],[cutoff]]),DAY(m4_crossvalid[[#This Row],[cutoff]]))</f>
        <v>45808</v>
      </c>
      <c r="B170" s="7">
        <f>DATE(YEAR(m4_crossvalid[[#This Row],[ds]]),MONTH(m4_crossvalid[[#This Row],[ds]]),DAY(m4_crossvalid[[#This Row],[ds]]))</f>
        <v>45822</v>
      </c>
      <c r="C170">
        <v>280</v>
      </c>
      <c r="D170" s="1">
        <v>45822.333333333336</v>
      </c>
      <c r="E170">
        <v>385.05088516099249</v>
      </c>
      <c r="F170">
        <v>-1367.4618668453586</v>
      </c>
      <c r="G170">
        <v>2234.2734546680822</v>
      </c>
      <c r="H170" s="1">
        <v>45808.333333333336</v>
      </c>
    </row>
    <row r="171" spans="1:8" x14ac:dyDescent="0.25">
      <c r="A171" s="7">
        <f>DATE(YEAR(m4_crossvalid[[#This Row],[cutoff]]),MONTH(m4_crossvalid[[#This Row],[cutoff]]),DAY(m4_crossvalid[[#This Row],[cutoff]]))</f>
        <v>45808</v>
      </c>
      <c r="B171" s="7">
        <f>DATE(YEAR(m4_crossvalid[[#This Row],[ds]]),MONTH(m4_crossvalid[[#This Row],[ds]]),DAY(m4_crossvalid[[#This Row],[ds]]))</f>
        <v>45823</v>
      </c>
      <c r="C171">
        <v>71</v>
      </c>
      <c r="D171" s="1">
        <v>45823.333333333336</v>
      </c>
      <c r="E171">
        <v>-234.89849907646112</v>
      </c>
      <c r="F171">
        <v>-2014.1429667399941</v>
      </c>
      <c r="G171">
        <v>1534.8163273653145</v>
      </c>
      <c r="H171" s="1">
        <v>45808.333333333336</v>
      </c>
    </row>
    <row r="172" spans="1:8" x14ac:dyDescent="0.25">
      <c r="A172" s="7">
        <f>DATE(YEAR(m4_crossvalid[[#This Row],[cutoff]]),MONTH(m4_crossvalid[[#This Row],[cutoff]]),DAY(m4_crossvalid[[#This Row],[cutoff]]))</f>
        <v>45808</v>
      </c>
      <c r="B172" s="7">
        <f>DATE(YEAR(m4_crossvalid[[#This Row],[ds]]),MONTH(m4_crossvalid[[#This Row],[ds]]),DAY(m4_crossvalid[[#This Row],[ds]]))</f>
        <v>45824</v>
      </c>
      <c r="C172">
        <v>1852</v>
      </c>
      <c r="D172" s="1">
        <v>45824.333333333336</v>
      </c>
      <c r="E172">
        <v>2298.686524477997</v>
      </c>
      <c r="F172">
        <v>351.44331392987402</v>
      </c>
      <c r="G172">
        <v>4159.4219416298038</v>
      </c>
      <c r="H172" s="1">
        <v>45808.333333333336</v>
      </c>
    </row>
    <row r="173" spans="1:8" x14ac:dyDescent="0.25">
      <c r="A173" s="7">
        <f>DATE(YEAR(m4_crossvalid[[#This Row],[cutoff]]),MONTH(m4_crossvalid[[#This Row],[cutoff]]),DAY(m4_crossvalid[[#This Row],[cutoff]]))</f>
        <v>45808</v>
      </c>
      <c r="B173" s="7">
        <f>DATE(YEAR(m4_crossvalid[[#This Row],[ds]]),MONTH(m4_crossvalid[[#This Row],[ds]]),DAY(m4_crossvalid[[#This Row],[ds]]))</f>
        <v>45825</v>
      </c>
      <c r="C173">
        <v>2251</v>
      </c>
      <c r="D173" s="1">
        <v>45825.333333333336</v>
      </c>
      <c r="E173">
        <v>2823.3298504571862</v>
      </c>
      <c r="F173">
        <v>1107.4733238061908</v>
      </c>
      <c r="G173">
        <v>4707.7360793074249</v>
      </c>
      <c r="H173" s="1">
        <v>45808.333333333336</v>
      </c>
    </row>
    <row r="174" spans="1:8" x14ac:dyDescent="0.25">
      <c r="A174" s="7">
        <f>DATE(YEAR(m4_crossvalid[[#This Row],[cutoff]]),MONTH(m4_crossvalid[[#This Row],[cutoff]]),DAY(m4_crossvalid[[#This Row],[cutoff]]))</f>
        <v>45808</v>
      </c>
      <c r="B174" s="7">
        <f>DATE(YEAR(m4_crossvalid[[#This Row],[ds]]),MONTH(m4_crossvalid[[#This Row],[ds]]),DAY(m4_crossvalid[[#This Row],[ds]]))</f>
        <v>45826</v>
      </c>
      <c r="C174">
        <v>2552</v>
      </c>
      <c r="D174" s="1">
        <v>45826.333333333336</v>
      </c>
      <c r="E174">
        <v>3161.7716687859788</v>
      </c>
      <c r="F174">
        <v>1181.2300511849799</v>
      </c>
      <c r="G174">
        <v>4900.8974131819568</v>
      </c>
      <c r="H174" s="1">
        <v>45808.333333333336</v>
      </c>
    </row>
    <row r="175" spans="1:8" x14ac:dyDescent="0.25">
      <c r="A175" s="7">
        <f>DATE(YEAR(m4_crossvalid[[#This Row],[cutoff]]),MONTH(m4_crossvalid[[#This Row],[cutoff]]),DAY(m4_crossvalid[[#This Row],[cutoff]]))</f>
        <v>45808</v>
      </c>
      <c r="B175" s="7">
        <f>DATE(YEAR(m4_crossvalid[[#This Row],[ds]]),MONTH(m4_crossvalid[[#This Row],[ds]]),DAY(m4_crossvalid[[#This Row],[ds]]))</f>
        <v>45827</v>
      </c>
      <c r="C175">
        <v>2813</v>
      </c>
      <c r="D175" s="1">
        <v>45827.333333333336</v>
      </c>
      <c r="E175">
        <v>3217.0265289192753</v>
      </c>
      <c r="F175">
        <v>1429.9893803549585</v>
      </c>
      <c r="G175">
        <v>4945.2974274670059</v>
      </c>
      <c r="H175" s="1">
        <v>45808.333333333336</v>
      </c>
    </row>
    <row r="176" spans="1:8" x14ac:dyDescent="0.25">
      <c r="A176" s="7">
        <f>DATE(YEAR(m4_crossvalid[[#This Row],[cutoff]]),MONTH(m4_crossvalid[[#This Row],[cutoff]]),DAY(m4_crossvalid[[#This Row],[cutoff]]))</f>
        <v>45808</v>
      </c>
      <c r="B176" s="7">
        <f>DATE(YEAR(m4_crossvalid[[#This Row],[ds]]),MONTH(m4_crossvalid[[#This Row],[ds]]),DAY(m4_crossvalid[[#This Row],[ds]]))</f>
        <v>45828</v>
      </c>
      <c r="C176">
        <v>3023</v>
      </c>
      <c r="D176" s="1">
        <v>45828.333333333336</v>
      </c>
      <c r="E176">
        <v>3028.0615710784432</v>
      </c>
      <c r="F176">
        <v>1225.9926729099525</v>
      </c>
      <c r="G176">
        <v>4934.491555839747</v>
      </c>
      <c r="H176" s="1">
        <v>45808.333333333336</v>
      </c>
    </row>
    <row r="177" spans="1:8" x14ac:dyDescent="0.25">
      <c r="A177" s="7">
        <f>DATE(YEAR(m4_crossvalid[[#This Row],[cutoff]]),MONTH(m4_crossvalid[[#This Row],[cutoff]]),DAY(m4_crossvalid[[#This Row],[cutoff]]))</f>
        <v>45808</v>
      </c>
      <c r="B177" s="7">
        <f>DATE(YEAR(m4_crossvalid[[#This Row],[ds]]),MONTH(m4_crossvalid[[#This Row],[ds]]),DAY(m4_crossvalid[[#This Row],[ds]]))</f>
        <v>45829</v>
      </c>
      <c r="C177">
        <v>360</v>
      </c>
      <c r="D177" s="1">
        <v>45829.333333333336</v>
      </c>
      <c r="E177">
        <v>659.00769380330712</v>
      </c>
      <c r="F177">
        <v>-1172.2623605734516</v>
      </c>
      <c r="G177">
        <v>2689.5508821916824</v>
      </c>
      <c r="H177" s="1">
        <v>45808.333333333336</v>
      </c>
    </row>
    <row r="178" spans="1:8" x14ac:dyDescent="0.25">
      <c r="A178" s="7">
        <f>DATE(YEAR(m4_crossvalid[[#This Row],[cutoff]]),MONTH(m4_crossvalid[[#This Row],[cutoff]]),DAY(m4_crossvalid[[#This Row],[cutoff]]))</f>
        <v>45808</v>
      </c>
      <c r="B178" s="7">
        <f>DATE(YEAR(m4_crossvalid[[#This Row],[ds]]),MONTH(m4_crossvalid[[#This Row],[ds]]),DAY(m4_crossvalid[[#This Row],[ds]]))</f>
        <v>45830</v>
      </c>
      <c r="C178">
        <v>129</v>
      </c>
      <c r="D178" s="1">
        <v>45830.333333333336</v>
      </c>
      <c r="E178">
        <v>267.86355113666377</v>
      </c>
      <c r="F178">
        <v>-1524.4293298748139</v>
      </c>
      <c r="G178">
        <v>2316.128852751277</v>
      </c>
      <c r="H178" s="1">
        <v>45808.333333333336</v>
      </c>
    </row>
    <row r="179" spans="1:8" x14ac:dyDescent="0.25">
      <c r="A179" s="7">
        <f>DATE(YEAR(m4_crossvalid[[#This Row],[cutoff]]),MONTH(m4_crossvalid[[#This Row],[cutoff]]),DAY(m4_crossvalid[[#This Row],[cutoff]]))</f>
        <v>45808</v>
      </c>
      <c r="B179" s="7">
        <f>DATE(YEAR(m4_crossvalid[[#This Row],[ds]]),MONTH(m4_crossvalid[[#This Row],[ds]]),DAY(m4_crossvalid[[#This Row],[ds]]))</f>
        <v>45831</v>
      </c>
      <c r="C179">
        <v>3291</v>
      </c>
      <c r="D179" s="1">
        <v>45831.333333333336</v>
      </c>
      <c r="E179">
        <v>3114.940434489265</v>
      </c>
      <c r="F179">
        <v>1252.1632779256822</v>
      </c>
      <c r="G179">
        <v>4935.0385543666234</v>
      </c>
      <c r="H179" s="1">
        <v>45808.333333333336</v>
      </c>
    </row>
    <row r="180" spans="1:8" x14ac:dyDescent="0.25">
      <c r="A180" s="7">
        <f>DATE(YEAR(m4_crossvalid[[#This Row],[cutoff]]),MONTH(m4_crossvalid[[#This Row],[cutoff]]),DAY(m4_crossvalid[[#This Row],[cutoff]]))</f>
        <v>45808</v>
      </c>
      <c r="B180" s="7">
        <f>DATE(YEAR(m4_crossvalid[[#This Row],[ds]]),MONTH(m4_crossvalid[[#This Row],[ds]]),DAY(m4_crossvalid[[#This Row],[ds]]))</f>
        <v>45832</v>
      </c>
      <c r="C180">
        <v>3743</v>
      </c>
      <c r="D180" s="1">
        <v>45832.333333333336</v>
      </c>
      <c r="E180">
        <v>3732.3270183472287</v>
      </c>
      <c r="F180">
        <v>1967.8641169648727</v>
      </c>
      <c r="G180">
        <v>5547.6515914645306</v>
      </c>
      <c r="H180" s="1">
        <v>45808.333333333336</v>
      </c>
    </row>
    <row r="181" spans="1:8" x14ac:dyDescent="0.25">
      <c r="A181" s="7">
        <f>DATE(YEAR(m4_crossvalid[[#This Row],[cutoff]]),MONTH(m4_crossvalid[[#This Row],[cutoff]]),DAY(m4_crossvalid[[#This Row],[cutoff]]))</f>
        <v>45808</v>
      </c>
      <c r="B181" s="7">
        <f>DATE(YEAR(m4_crossvalid[[#This Row],[ds]]),MONTH(m4_crossvalid[[#This Row],[ds]]),DAY(m4_crossvalid[[#This Row],[ds]]))</f>
        <v>45833</v>
      </c>
      <c r="C181">
        <v>4576</v>
      </c>
      <c r="D181" s="1">
        <v>45833.333333333336</v>
      </c>
      <c r="E181">
        <v>3894.2888961521594</v>
      </c>
      <c r="F181">
        <v>2150.474517132106</v>
      </c>
      <c r="G181">
        <v>5666.1542152663478</v>
      </c>
      <c r="H181" s="1">
        <v>45808.333333333336</v>
      </c>
    </row>
    <row r="182" spans="1:8" x14ac:dyDescent="0.25">
      <c r="A182" s="7">
        <f>DATE(YEAR(m4_crossvalid[[#This Row],[cutoff]]),MONTH(m4_crossvalid[[#This Row],[cutoff]]),DAY(m4_crossvalid[[#This Row],[cutoff]]))</f>
        <v>45808</v>
      </c>
      <c r="B182" s="7">
        <f>DATE(YEAR(m4_crossvalid[[#This Row],[ds]]),MONTH(m4_crossvalid[[#This Row],[ds]]),DAY(m4_crossvalid[[#This Row],[ds]]))</f>
        <v>45834</v>
      </c>
      <c r="C182">
        <v>6205</v>
      </c>
      <c r="D182" s="1">
        <v>45834.333333333336</v>
      </c>
      <c r="E182">
        <v>3807.4461029868717</v>
      </c>
      <c r="F182">
        <v>2058.2381231606046</v>
      </c>
      <c r="G182">
        <v>5706.3697961152729</v>
      </c>
      <c r="H182" s="1">
        <v>45808.333333333336</v>
      </c>
    </row>
    <row r="183" spans="1:8" x14ac:dyDescent="0.25">
      <c r="A183" s="7">
        <f>DATE(YEAR(m4_crossvalid[[#This Row],[cutoff]]),MONTH(m4_crossvalid[[#This Row],[cutoff]]),DAY(m4_crossvalid[[#This Row],[cutoff]]))</f>
        <v>45808</v>
      </c>
      <c r="B183" s="7">
        <f>DATE(YEAR(m4_crossvalid[[#This Row],[ds]]),MONTH(m4_crossvalid[[#This Row],[ds]]),DAY(m4_crossvalid[[#This Row],[ds]]))</f>
        <v>45835</v>
      </c>
      <c r="C183">
        <v>814</v>
      </c>
      <c r="D183" s="1">
        <v>45835.333333333336</v>
      </c>
      <c r="E183">
        <v>2256.5538075626646</v>
      </c>
      <c r="F183">
        <v>478.69587290232261</v>
      </c>
      <c r="G183">
        <v>4158.3792010461448</v>
      </c>
      <c r="H183" s="1">
        <v>45808.333333333336</v>
      </c>
    </row>
    <row r="184" spans="1:8" x14ac:dyDescent="0.25">
      <c r="A184" s="7">
        <f>DATE(YEAR(m4_crossvalid[[#This Row],[cutoff]]),MONTH(m4_crossvalid[[#This Row],[cutoff]]),DAY(m4_crossvalid[[#This Row],[cutoff]]))</f>
        <v>45808</v>
      </c>
      <c r="B184" s="7">
        <f>DATE(YEAR(m4_crossvalid[[#This Row],[ds]]),MONTH(m4_crossvalid[[#This Row],[ds]]),DAY(m4_crossvalid[[#This Row],[ds]]))</f>
        <v>45836</v>
      </c>
      <c r="C184">
        <v>2326</v>
      </c>
      <c r="D184" s="1">
        <v>45836.333333333336</v>
      </c>
      <c r="E184">
        <v>2362.4964855757958</v>
      </c>
      <c r="F184">
        <v>468.64063008275269</v>
      </c>
      <c r="G184">
        <v>4144.843031120221</v>
      </c>
      <c r="H184" s="1">
        <v>45808.333333333336</v>
      </c>
    </row>
    <row r="185" spans="1:8" x14ac:dyDescent="0.25">
      <c r="A185" s="7">
        <f>DATE(YEAR(m4_crossvalid[[#This Row],[cutoff]]),MONTH(m4_crossvalid[[#This Row],[cutoff]]),DAY(m4_crossvalid[[#This Row],[cutoff]]))</f>
        <v>45808</v>
      </c>
      <c r="B185" s="7">
        <f>DATE(YEAR(m4_crossvalid[[#This Row],[ds]]),MONTH(m4_crossvalid[[#This Row],[ds]]),DAY(m4_crossvalid[[#This Row],[ds]]))</f>
        <v>45837</v>
      </c>
      <c r="C185">
        <v>427</v>
      </c>
      <c r="D185" s="1">
        <v>45837.333333333336</v>
      </c>
      <c r="E185">
        <v>2963.3821563945085</v>
      </c>
      <c r="F185">
        <v>1189.3471612317016</v>
      </c>
      <c r="G185">
        <v>4655.819219345035</v>
      </c>
      <c r="H185" s="1">
        <v>45808.333333333336</v>
      </c>
    </row>
    <row r="186" spans="1:8" x14ac:dyDescent="0.25">
      <c r="A186" s="7">
        <f>DATE(YEAR(m4_crossvalid[[#This Row],[cutoff]]),MONTH(m4_crossvalid[[#This Row],[cutoff]]),DAY(m4_crossvalid[[#This Row],[cutoff]]))</f>
        <v>45808</v>
      </c>
      <c r="B186" s="7">
        <f>DATE(YEAR(m4_crossvalid[[#This Row],[ds]]),MONTH(m4_crossvalid[[#This Row],[ds]]),DAY(m4_crossvalid[[#This Row],[ds]]))</f>
        <v>45838</v>
      </c>
      <c r="C186">
        <v>13624</v>
      </c>
      <c r="D186" s="1">
        <v>45838.333333333336</v>
      </c>
      <c r="E186">
        <v>6355.1587056030457</v>
      </c>
      <c r="F186">
        <v>4663.8839641306067</v>
      </c>
      <c r="G186">
        <v>8190.6804050044002</v>
      </c>
      <c r="H186" s="1">
        <v>45808.333333333336</v>
      </c>
    </row>
    <row r="187" spans="1:8" x14ac:dyDescent="0.25">
      <c r="A187" s="7">
        <f>DATE(YEAR(m4_crossvalid[[#This Row],[cutoff]]),MONTH(m4_crossvalid[[#This Row],[cutoff]]),DAY(m4_crossvalid[[#This Row],[cutoff]]))</f>
        <v>45808</v>
      </c>
      <c r="B187" s="7">
        <f>DATE(YEAR(m4_crossvalid[[#This Row],[ds]]),MONTH(m4_crossvalid[[#This Row],[ds]]),DAY(m4_crossvalid[[#This Row],[ds]]))</f>
        <v>45839</v>
      </c>
      <c r="C187">
        <v>624</v>
      </c>
      <c r="D187" s="1">
        <v>45839.333333333336</v>
      </c>
      <c r="E187">
        <v>6620.9900920964592</v>
      </c>
      <c r="F187">
        <v>4735.5385662005501</v>
      </c>
      <c r="G187">
        <v>8412.5222135975055</v>
      </c>
      <c r="H187" s="1">
        <v>45808.333333333336</v>
      </c>
    </row>
    <row r="188" spans="1:8" x14ac:dyDescent="0.25">
      <c r="A188" s="7">
        <f>DATE(YEAR(m4_crossvalid[[#This Row],[cutoff]]),MONTH(m4_crossvalid[[#This Row],[cutoff]]),DAY(m4_crossvalid[[#This Row],[cutoff]]))</f>
        <v>45838</v>
      </c>
      <c r="B188" s="7">
        <f>DATE(YEAR(m4_crossvalid[[#This Row],[ds]]),MONTH(m4_crossvalid[[#This Row],[ds]]),DAY(m4_crossvalid[[#This Row],[ds]]))</f>
        <v>45839</v>
      </c>
      <c r="C188">
        <v>624</v>
      </c>
      <c r="D188" s="1">
        <v>45839.333333333336</v>
      </c>
      <c r="E188">
        <v>6690.288360215297</v>
      </c>
      <c r="F188">
        <v>4903.6172810779544</v>
      </c>
      <c r="G188">
        <v>8531.0939487178493</v>
      </c>
      <c r="H188" s="1">
        <v>45838.333333333336</v>
      </c>
    </row>
    <row r="189" spans="1:8" x14ac:dyDescent="0.25">
      <c r="A189" s="7">
        <f>DATE(YEAR(m4_crossvalid[[#This Row],[cutoff]]),MONTH(m4_crossvalid[[#This Row],[cutoff]]),DAY(m4_crossvalid[[#This Row],[cutoff]]))</f>
        <v>45838</v>
      </c>
      <c r="B189" s="7">
        <f>DATE(YEAR(m4_crossvalid[[#This Row],[ds]]),MONTH(m4_crossvalid[[#This Row],[ds]]),DAY(m4_crossvalid[[#This Row],[ds]]))</f>
        <v>45840</v>
      </c>
      <c r="C189">
        <v>733</v>
      </c>
      <c r="D189" s="1">
        <v>45840.333333333336</v>
      </c>
      <c r="E189">
        <v>5574.6392807818484</v>
      </c>
      <c r="F189">
        <v>3700.8665885321047</v>
      </c>
      <c r="G189">
        <v>7462.0981274203195</v>
      </c>
      <c r="H189" s="1">
        <v>45838.333333333336</v>
      </c>
    </row>
    <row r="190" spans="1:8" x14ac:dyDescent="0.25">
      <c r="A190" s="7">
        <f>DATE(YEAR(m4_crossvalid[[#This Row],[cutoff]]),MONTH(m4_crossvalid[[#This Row],[cutoff]]),DAY(m4_crossvalid[[#This Row],[cutoff]]))</f>
        <v>45838</v>
      </c>
      <c r="B190" s="7">
        <f>DATE(YEAR(m4_crossvalid[[#This Row],[ds]]),MONTH(m4_crossvalid[[#This Row],[ds]]),DAY(m4_crossvalid[[#This Row],[ds]]))</f>
        <v>45841</v>
      </c>
      <c r="C190">
        <v>1036</v>
      </c>
      <c r="D190" s="1">
        <v>45841.333333333336</v>
      </c>
      <c r="E190">
        <v>3708.8450433990306</v>
      </c>
      <c r="F190">
        <v>1784.7445294741738</v>
      </c>
      <c r="G190">
        <v>5574.8309931424719</v>
      </c>
      <c r="H190" s="1">
        <v>45838.333333333336</v>
      </c>
    </row>
    <row r="191" spans="1:8" x14ac:dyDescent="0.25">
      <c r="A191" s="7">
        <f>DATE(YEAR(m4_crossvalid[[#This Row],[cutoff]]),MONTH(m4_crossvalid[[#This Row],[cutoff]]),DAY(m4_crossvalid[[#This Row],[cutoff]]))</f>
        <v>45838</v>
      </c>
      <c r="B191" s="7">
        <f>DATE(YEAR(m4_crossvalid[[#This Row],[ds]]),MONTH(m4_crossvalid[[#This Row],[ds]]),DAY(m4_crossvalid[[#This Row],[ds]]))</f>
        <v>45842</v>
      </c>
      <c r="C191">
        <v>1189</v>
      </c>
      <c r="D191" s="1">
        <v>45842.333333333336</v>
      </c>
      <c r="E191">
        <v>2010.0015245481634</v>
      </c>
      <c r="F191">
        <v>284.07753955129215</v>
      </c>
      <c r="G191">
        <v>3853.0391002444258</v>
      </c>
      <c r="H191" s="1">
        <v>45838.333333333336</v>
      </c>
    </row>
    <row r="192" spans="1:8" x14ac:dyDescent="0.25">
      <c r="A192" s="7">
        <f>DATE(YEAR(m4_crossvalid[[#This Row],[cutoff]]),MONTH(m4_crossvalid[[#This Row],[cutoff]]),DAY(m4_crossvalid[[#This Row],[cutoff]]))</f>
        <v>45838</v>
      </c>
      <c r="B192" s="7">
        <f>DATE(YEAR(m4_crossvalid[[#This Row],[ds]]),MONTH(m4_crossvalid[[#This Row],[ds]]),DAY(m4_crossvalid[[#This Row],[ds]]))</f>
        <v>45843</v>
      </c>
      <c r="C192">
        <v>170</v>
      </c>
      <c r="D192" s="1">
        <v>45843.333333333336</v>
      </c>
      <c r="E192">
        <v>-1030.0277512633947</v>
      </c>
      <c r="F192">
        <v>-2914.4447526235545</v>
      </c>
      <c r="G192">
        <v>812.08108884001808</v>
      </c>
      <c r="H192" s="1">
        <v>45838.333333333336</v>
      </c>
    </row>
    <row r="193" spans="1:8" x14ac:dyDescent="0.25">
      <c r="A193" s="7">
        <f>DATE(YEAR(m4_crossvalid[[#This Row],[cutoff]]),MONTH(m4_crossvalid[[#This Row],[cutoff]]),DAY(m4_crossvalid[[#This Row],[cutoff]]))</f>
        <v>45838</v>
      </c>
      <c r="B193" s="7">
        <f>DATE(YEAR(m4_crossvalid[[#This Row],[ds]]),MONTH(m4_crossvalid[[#This Row],[ds]]),DAY(m4_crossvalid[[#This Row],[ds]]))</f>
        <v>45844</v>
      </c>
      <c r="C193">
        <v>30</v>
      </c>
      <c r="D193" s="1">
        <v>45844.333333333336</v>
      </c>
      <c r="E193">
        <v>-1477.4421374567569</v>
      </c>
      <c r="F193">
        <v>-3319.4219259693009</v>
      </c>
      <c r="G193">
        <v>384.99215321122995</v>
      </c>
      <c r="H193" s="1">
        <v>45838.333333333336</v>
      </c>
    </row>
    <row r="194" spans="1:8" x14ac:dyDescent="0.25">
      <c r="A194" s="7">
        <f>DATE(YEAR(m4_crossvalid[[#This Row],[cutoff]]),MONTH(m4_crossvalid[[#This Row],[cutoff]]),DAY(m4_crossvalid[[#This Row],[cutoff]]))</f>
        <v>45838</v>
      </c>
      <c r="B194" s="7">
        <f>DATE(YEAR(m4_crossvalid[[#This Row],[ds]]),MONTH(m4_crossvalid[[#This Row],[ds]]),DAY(m4_crossvalid[[#This Row],[ds]]))</f>
        <v>45845</v>
      </c>
      <c r="C194">
        <v>1218</v>
      </c>
      <c r="D194" s="1">
        <v>45845.333333333336</v>
      </c>
      <c r="E194">
        <v>1505.1785345414651</v>
      </c>
      <c r="F194">
        <v>-385.58291515118594</v>
      </c>
      <c r="G194">
        <v>3390.5427408101127</v>
      </c>
      <c r="H194" s="1">
        <v>45838.333333333336</v>
      </c>
    </row>
    <row r="195" spans="1:8" x14ac:dyDescent="0.25">
      <c r="A195" s="7">
        <f>DATE(YEAR(m4_crossvalid[[#This Row],[cutoff]]),MONTH(m4_crossvalid[[#This Row],[cutoff]]),DAY(m4_crossvalid[[#This Row],[cutoff]]))</f>
        <v>45838</v>
      </c>
      <c r="B195" s="7">
        <f>DATE(YEAR(m4_crossvalid[[#This Row],[ds]]),MONTH(m4_crossvalid[[#This Row],[ds]]),DAY(m4_crossvalid[[#This Row],[ds]]))</f>
        <v>45846</v>
      </c>
      <c r="C195">
        <v>1543</v>
      </c>
      <c r="D195" s="1">
        <v>45846.333333333336</v>
      </c>
      <c r="E195">
        <v>2026.9038227224912</v>
      </c>
      <c r="F195">
        <v>194.22180074440104</v>
      </c>
      <c r="G195">
        <v>3986.7398903225226</v>
      </c>
      <c r="H195" s="1">
        <v>45838.333333333336</v>
      </c>
    </row>
    <row r="196" spans="1:8" x14ac:dyDescent="0.25">
      <c r="A196" s="7">
        <f>DATE(YEAR(m4_crossvalid[[#This Row],[cutoff]]),MONTH(m4_crossvalid[[#This Row],[cutoff]]),DAY(m4_crossvalid[[#This Row],[cutoff]]))</f>
        <v>45838</v>
      </c>
      <c r="B196" s="7">
        <f>DATE(YEAR(m4_crossvalid[[#This Row],[ds]]),MONTH(m4_crossvalid[[#This Row],[ds]]),DAY(m4_crossvalid[[#This Row],[ds]]))</f>
        <v>45847</v>
      </c>
      <c r="C196">
        <v>2120</v>
      </c>
      <c r="D196" s="1">
        <v>45847.333333333336</v>
      </c>
      <c r="E196">
        <v>2044.1093413017632</v>
      </c>
      <c r="F196">
        <v>251.52207186817478</v>
      </c>
      <c r="G196">
        <v>3899.424771286906</v>
      </c>
      <c r="H196" s="1">
        <v>45838.333333333336</v>
      </c>
    </row>
    <row r="197" spans="1:8" x14ac:dyDescent="0.25">
      <c r="A197" s="7">
        <f>DATE(YEAR(m4_crossvalid[[#This Row],[cutoff]]),MONTH(m4_crossvalid[[#This Row],[cutoff]]),DAY(m4_crossvalid[[#This Row],[cutoff]]))</f>
        <v>45838</v>
      </c>
      <c r="B197" s="7">
        <f>DATE(YEAR(m4_crossvalid[[#This Row],[ds]]),MONTH(m4_crossvalid[[#This Row],[ds]]),DAY(m4_crossvalid[[#This Row],[ds]]))</f>
        <v>45848</v>
      </c>
      <c r="C197">
        <v>2298</v>
      </c>
      <c r="D197" s="1">
        <v>45848.333333333336</v>
      </c>
      <c r="E197">
        <v>1869.8633344817213</v>
      </c>
      <c r="F197">
        <v>54.753495190386474</v>
      </c>
      <c r="G197">
        <v>3663.3437234165503</v>
      </c>
      <c r="H197" s="1">
        <v>45838.333333333336</v>
      </c>
    </row>
    <row r="198" spans="1:8" x14ac:dyDescent="0.25">
      <c r="A198" s="7">
        <f>DATE(YEAR(m4_crossvalid[[#This Row],[cutoff]]),MONTH(m4_crossvalid[[#This Row],[cutoff]]),DAY(m4_crossvalid[[#This Row],[cutoff]]))</f>
        <v>45838</v>
      </c>
      <c r="B198" s="7">
        <f>DATE(YEAR(m4_crossvalid[[#This Row],[ds]]),MONTH(m4_crossvalid[[#This Row],[ds]]),DAY(m4_crossvalid[[#This Row],[ds]]))</f>
        <v>45849</v>
      </c>
      <c r="C198">
        <v>2183</v>
      </c>
      <c r="D198" s="1">
        <v>45849.333333333336</v>
      </c>
      <c r="E198">
        <v>1847.8471446374333</v>
      </c>
      <c r="F198">
        <v>90.226612702400075</v>
      </c>
      <c r="G198">
        <v>3703.3065745209046</v>
      </c>
      <c r="H198" s="1">
        <v>45838.333333333336</v>
      </c>
    </row>
    <row r="199" spans="1:8" x14ac:dyDescent="0.25">
      <c r="A199" s="7">
        <f>DATE(YEAR(m4_crossvalid[[#This Row],[cutoff]]),MONTH(m4_crossvalid[[#This Row],[cutoff]]),DAY(m4_crossvalid[[#This Row],[cutoff]]))</f>
        <v>45838</v>
      </c>
      <c r="B199" s="7">
        <f>DATE(YEAR(m4_crossvalid[[#This Row],[ds]]),MONTH(m4_crossvalid[[#This Row],[ds]]),DAY(m4_crossvalid[[#This Row],[ds]]))</f>
        <v>45850</v>
      </c>
      <c r="C199">
        <v>462</v>
      </c>
      <c r="D199" s="1">
        <v>45850.333333333336</v>
      </c>
      <c r="E199">
        <v>-121.7061367162155</v>
      </c>
      <c r="F199">
        <v>-1992.8335791313109</v>
      </c>
      <c r="G199">
        <v>1508.7803031211765</v>
      </c>
      <c r="H199" s="1">
        <v>45838.333333333336</v>
      </c>
    </row>
    <row r="200" spans="1:8" x14ac:dyDescent="0.25">
      <c r="A200" s="7">
        <f>DATE(YEAR(m4_crossvalid[[#This Row],[cutoff]]),MONTH(m4_crossvalid[[#This Row],[cutoff]]),DAY(m4_crossvalid[[#This Row],[cutoff]]))</f>
        <v>45838</v>
      </c>
      <c r="B200" s="7">
        <f>DATE(YEAR(m4_crossvalid[[#This Row],[ds]]),MONTH(m4_crossvalid[[#This Row],[ds]]),DAY(m4_crossvalid[[#This Row],[ds]]))</f>
        <v>45851</v>
      </c>
      <c r="C200">
        <v>114</v>
      </c>
      <c r="D200" s="1">
        <v>45851.333333333336</v>
      </c>
      <c r="E200">
        <v>-333.19980269531607</v>
      </c>
      <c r="F200">
        <v>-2172.1033462077676</v>
      </c>
      <c r="G200">
        <v>1555.7860029224564</v>
      </c>
      <c r="H200" s="1">
        <v>45838.333333333336</v>
      </c>
    </row>
    <row r="201" spans="1:8" x14ac:dyDescent="0.25">
      <c r="A201" s="7">
        <f>DATE(YEAR(m4_crossvalid[[#This Row],[cutoff]]),MONTH(m4_crossvalid[[#This Row],[cutoff]]),DAY(m4_crossvalid[[#This Row],[cutoff]]))</f>
        <v>45838</v>
      </c>
      <c r="B201" s="7">
        <f>DATE(YEAR(m4_crossvalid[[#This Row],[ds]]),MONTH(m4_crossvalid[[#This Row],[ds]]),DAY(m4_crossvalid[[#This Row],[ds]]))</f>
        <v>45852</v>
      </c>
      <c r="C201">
        <v>2356</v>
      </c>
      <c r="D201" s="1">
        <v>45852.333333333336</v>
      </c>
      <c r="E201">
        <v>2326.6639051833386</v>
      </c>
      <c r="F201">
        <v>583.59002785679581</v>
      </c>
      <c r="G201">
        <v>4124.6039909485862</v>
      </c>
      <c r="H201" s="1">
        <v>45838.333333333336</v>
      </c>
    </row>
    <row r="202" spans="1:8" x14ac:dyDescent="0.25">
      <c r="A202" s="7">
        <f>DATE(YEAR(m4_crossvalid[[#This Row],[cutoff]]),MONTH(m4_crossvalid[[#This Row],[cutoff]]),DAY(m4_crossvalid[[#This Row],[cutoff]]))</f>
        <v>45838</v>
      </c>
      <c r="B202" s="7">
        <f>DATE(YEAR(m4_crossvalid[[#This Row],[ds]]),MONTH(m4_crossvalid[[#This Row],[ds]]),DAY(m4_crossvalid[[#This Row],[ds]]))</f>
        <v>45853</v>
      </c>
      <c r="C202">
        <v>2694</v>
      </c>
      <c r="D202" s="1">
        <v>45853.333333333336</v>
      </c>
      <c r="E202">
        <v>2504.2256271704196</v>
      </c>
      <c r="F202">
        <v>732.75256057635261</v>
      </c>
      <c r="G202">
        <v>4292.9911455365318</v>
      </c>
      <c r="H202" s="1">
        <v>45838.333333333336</v>
      </c>
    </row>
    <row r="203" spans="1:8" x14ac:dyDescent="0.25">
      <c r="A203" s="7">
        <f>DATE(YEAR(m4_crossvalid[[#This Row],[cutoff]]),MONTH(m4_crossvalid[[#This Row],[cutoff]]),DAY(m4_crossvalid[[#This Row],[cutoff]]))</f>
        <v>45838</v>
      </c>
      <c r="B203" s="7">
        <f>DATE(YEAR(m4_crossvalid[[#This Row],[ds]]),MONTH(m4_crossvalid[[#This Row],[ds]]),DAY(m4_crossvalid[[#This Row],[ds]]))</f>
        <v>45854</v>
      </c>
      <c r="C203">
        <v>2796</v>
      </c>
      <c r="D203" s="1">
        <v>45854.333333333336</v>
      </c>
      <c r="E203">
        <v>2523.0812837775543</v>
      </c>
      <c r="F203">
        <v>657.37641410275751</v>
      </c>
      <c r="G203">
        <v>4332.5684727385369</v>
      </c>
      <c r="H203" s="1">
        <v>45838.333333333336</v>
      </c>
    </row>
    <row r="204" spans="1:8" x14ac:dyDescent="0.25">
      <c r="A204" s="7">
        <f>DATE(YEAR(m4_crossvalid[[#This Row],[cutoff]]),MONTH(m4_crossvalid[[#This Row],[cutoff]]),DAY(m4_crossvalid[[#This Row],[cutoff]]))</f>
        <v>45838</v>
      </c>
      <c r="B204" s="7">
        <f>DATE(YEAR(m4_crossvalid[[#This Row],[ds]]),MONTH(m4_crossvalid[[#This Row],[ds]]),DAY(m4_crossvalid[[#This Row],[ds]]))</f>
        <v>45855</v>
      </c>
      <c r="C204">
        <v>2972</v>
      </c>
      <c r="D204" s="1">
        <v>45855.333333333336</v>
      </c>
      <c r="E204">
        <v>2640.7636088695049</v>
      </c>
      <c r="F204">
        <v>728.55672524441661</v>
      </c>
      <c r="G204">
        <v>4364.3629247482386</v>
      </c>
      <c r="H204" s="1">
        <v>45838.333333333336</v>
      </c>
    </row>
    <row r="205" spans="1:8" x14ac:dyDescent="0.25">
      <c r="A205" s="7">
        <f>DATE(YEAR(m4_crossvalid[[#This Row],[cutoff]]),MONTH(m4_crossvalid[[#This Row],[cutoff]]),DAY(m4_crossvalid[[#This Row],[cutoff]]))</f>
        <v>45838</v>
      </c>
      <c r="B205" s="7">
        <f>DATE(YEAR(m4_crossvalid[[#This Row],[ds]]),MONTH(m4_crossvalid[[#This Row],[ds]]),DAY(m4_crossvalid[[#This Row],[ds]]))</f>
        <v>45856</v>
      </c>
      <c r="C205">
        <v>2891</v>
      </c>
      <c r="D205" s="1">
        <v>45856.333333333336</v>
      </c>
      <c r="E205">
        <v>2855.2299952818621</v>
      </c>
      <c r="F205">
        <v>1014.8336828412494</v>
      </c>
      <c r="G205">
        <v>4686.4370343577084</v>
      </c>
      <c r="H205" s="1">
        <v>45838.333333333336</v>
      </c>
    </row>
    <row r="206" spans="1:8" x14ac:dyDescent="0.25">
      <c r="A206" s="7">
        <f>DATE(YEAR(m4_crossvalid[[#This Row],[cutoff]]),MONTH(m4_crossvalid[[#This Row],[cutoff]]),DAY(m4_crossvalid[[#This Row],[cutoff]]))</f>
        <v>45838</v>
      </c>
      <c r="B206" s="7">
        <f>DATE(YEAR(m4_crossvalid[[#This Row],[ds]]),MONTH(m4_crossvalid[[#This Row],[ds]]),DAY(m4_crossvalid[[#This Row],[ds]]))</f>
        <v>45857</v>
      </c>
      <c r="C206">
        <v>521</v>
      </c>
      <c r="D206" s="1">
        <v>45857.333333333336</v>
      </c>
      <c r="E206">
        <v>804.58495745869186</v>
      </c>
      <c r="F206">
        <v>-1016.3468908497845</v>
      </c>
      <c r="G206">
        <v>2515.3530675221077</v>
      </c>
      <c r="H206" s="1">
        <v>45838.333333333336</v>
      </c>
    </row>
    <row r="207" spans="1:8" x14ac:dyDescent="0.25">
      <c r="A207" s="7">
        <f>DATE(YEAR(m4_crossvalid[[#This Row],[cutoff]]),MONTH(m4_crossvalid[[#This Row],[cutoff]]),DAY(m4_crossvalid[[#This Row],[cutoff]]))</f>
        <v>45838</v>
      </c>
      <c r="B207" s="7">
        <f>DATE(YEAR(m4_crossvalid[[#This Row],[ds]]),MONTH(m4_crossvalid[[#This Row],[ds]]),DAY(m4_crossvalid[[#This Row],[ds]]))</f>
        <v>45858</v>
      </c>
      <c r="C207">
        <v>189</v>
      </c>
      <c r="D207" s="1">
        <v>45858.333333333336</v>
      </c>
      <c r="E207">
        <v>273.40737496519932</v>
      </c>
      <c r="F207">
        <v>-1496.6554048196253</v>
      </c>
      <c r="G207">
        <v>2096.2602851751985</v>
      </c>
      <c r="H207" s="1">
        <v>45838.333333333336</v>
      </c>
    </row>
    <row r="208" spans="1:8" x14ac:dyDescent="0.25">
      <c r="A208" s="7">
        <f>DATE(YEAR(m4_crossvalid[[#This Row],[cutoff]]),MONTH(m4_crossvalid[[#This Row],[cutoff]]),DAY(m4_crossvalid[[#This Row],[cutoff]]))</f>
        <v>45838</v>
      </c>
      <c r="B208" s="7">
        <f>DATE(YEAR(m4_crossvalid[[#This Row],[ds]]),MONTH(m4_crossvalid[[#This Row],[ds]]),DAY(m4_crossvalid[[#This Row],[ds]]))</f>
        <v>45859</v>
      </c>
      <c r="C208">
        <v>2798</v>
      </c>
      <c r="D208" s="1">
        <v>45859.333333333336</v>
      </c>
      <c r="E208">
        <v>2702.1312834402352</v>
      </c>
      <c r="F208">
        <v>991.61939857264485</v>
      </c>
      <c r="G208">
        <v>4475.4344158483691</v>
      </c>
      <c r="H208" s="1">
        <v>45838.333333333336</v>
      </c>
    </row>
    <row r="209" spans="1:8" x14ac:dyDescent="0.25">
      <c r="A209" s="7">
        <f>DATE(YEAR(m4_crossvalid[[#This Row],[cutoff]]),MONTH(m4_crossvalid[[#This Row],[cutoff]]),DAY(m4_crossvalid[[#This Row],[cutoff]]))</f>
        <v>45838</v>
      </c>
      <c r="B209" s="7">
        <f>DATE(YEAR(m4_crossvalid[[#This Row],[ds]]),MONTH(m4_crossvalid[[#This Row],[ds]]),DAY(m4_crossvalid[[#This Row],[ds]]))</f>
        <v>45860</v>
      </c>
      <c r="C209">
        <v>2894</v>
      </c>
      <c r="D209" s="1">
        <v>45860.333333333336</v>
      </c>
      <c r="E209">
        <v>2975.5373319897212</v>
      </c>
      <c r="F209">
        <v>1049.8468103966518</v>
      </c>
      <c r="G209">
        <v>4785.9619914336672</v>
      </c>
      <c r="H209" s="1">
        <v>45838.333333333336</v>
      </c>
    </row>
    <row r="210" spans="1:8" x14ac:dyDescent="0.25">
      <c r="A210" s="7">
        <f>DATE(YEAR(m4_crossvalid[[#This Row],[cutoff]]),MONTH(m4_crossvalid[[#This Row],[cutoff]]),DAY(m4_crossvalid[[#This Row],[cutoff]]))</f>
        <v>45838</v>
      </c>
      <c r="B210" s="7">
        <f>DATE(YEAR(m4_crossvalid[[#This Row],[ds]]),MONTH(m4_crossvalid[[#This Row],[ds]]),DAY(m4_crossvalid[[#This Row],[ds]]))</f>
        <v>45861</v>
      </c>
      <c r="C210">
        <v>3299</v>
      </c>
      <c r="D210" s="1">
        <v>45861.333333333336</v>
      </c>
      <c r="E210">
        <v>3325.4567585031018</v>
      </c>
      <c r="F210">
        <v>1500.0379790367804</v>
      </c>
      <c r="G210">
        <v>5117.8659139105785</v>
      </c>
      <c r="H210" s="1">
        <v>45838.333333333336</v>
      </c>
    </row>
    <row r="211" spans="1:8" x14ac:dyDescent="0.25">
      <c r="A211" s="7">
        <f>DATE(YEAR(m4_crossvalid[[#This Row],[cutoff]]),MONTH(m4_crossvalid[[#This Row],[cutoff]]),DAY(m4_crossvalid[[#This Row],[cutoff]]))</f>
        <v>45838</v>
      </c>
      <c r="B211" s="7">
        <f>DATE(YEAR(m4_crossvalid[[#This Row],[ds]]),MONTH(m4_crossvalid[[#This Row],[ds]]),DAY(m4_crossvalid[[#This Row],[ds]]))</f>
        <v>45862</v>
      </c>
      <c r="C211">
        <v>3785</v>
      </c>
      <c r="D211" s="1">
        <v>45862.333333333336</v>
      </c>
      <c r="E211">
        <v>3683.5514387191024</v>
      </c>
      <c r="F211">
        <v>1788.8577107825677</v>
      </c>
      <c r="G211">
        <v>5362.2528828874665</v>
      </c>
      <c r="H211" s="1">
        <v>45838.333333333336</v>
      </c>
    </row>
    <row r="212" spans="1:8" x14ac:dyDescent="0.25">
      <c r="A212" s="7">
        <f>DATE(YEAR(m4_crossvalid[[#This Row],[cutoff]]),MONTH(m4_crossvalid[[#This Row],[cutoff]]),DAY(m4_crossvalid[[#This Row],[cutoff]]))</f>
        <v>45838</v>
      </c>
      <c r="B212" s="7">
        <f>DATE(YEAR(m4_crossvalid[[#This Row],[ds]]),MONTH(m4_crossvalid[[#This Row],[ds]]),DAY(m4_crossvalid[[#This Row],[ds]]))</f>
        <v>45863</v>
      </c>
      <c r="C212">
        <v>3663</v>
      </c>
      <c r="D212" s="1">
        <v>45863.333333333336</v>
      </c>
      <c r="E212">
        <v>3831.5097627948544</v>
      </c>
      <c r="F212">
        <v>1956.4433657526038</v>
      </c>
      <c r="G212">
        <v>5631.6427484200694</v>
      </c>
      <c r="H212" s="1">
        <v>45838.333333333336</v>
      </c>
    </row>
    <row r="213" spans="1:8" x14ac:dyDescent="0.25">
      <c r="A213" s="7">
        <f>DATE(YEAR(m4_crossvalid[[#This Row],[cutoff]]),MONTH(m4_crossvalid[[#This Row],[cutoff]]),DAY(m4_crossvalid[[#This Row],[cutoff]]))</f>
        <v>45838</v>
      </c>
      <c r="B213" s="7">
        <f>DATE(YEAR(m4_crossvalid[[#This Row],[ds]]),MONTH(m4_crossvalid[[#This Row],[ds]]),DAY(m4_crossvalid[[#This Row],[ds]]))</f>
        <v>45864</v>
      </c>
      <c r="C213">
        <v>901</v>
      </c>
      <c r="D213" s="1">
        <v>45864.333333333336</v>
      </c>
      <c r="E213">
        <v>1554.3875724448976</v>
      </c>
      <c r="F213">
        <v>-369.39412836421388</v>
      </c>
      <c r="G213">
        <v>3366.2248282513501</v>
      </c>
      <c r="H213" s="1">
        <v>45838.333333333336</v>
      </c>
    </row>
    <row r="214" spans="1:8" x14ac:dyDescent="0.25">
      <c r="A214" s="7">
        <f>DATE(YEAR(m4_crossvalid[[#This Row],[cutoff]]),MONTH(m4_crossvalid[[#This Row],[cutoff]]),DAY(m4_crossvalid[[#This Row],[cutoff]]))</f>
        <v>45838</v>
      </c>
      <c r="B214" s="7">
        <f>DATE(YEAR(m4_crossvalid[[#This Row],[ds]]),MONTH(m4_crossvalid[[#This Row],[ds]]),DAY(m4_crossvalid[[#This Row],[ds]]))</f>
        <v>45865</v>
      </c>
      <c r="C214">
        <v>262</v>
      </c>
      <c r="D214" s="1">
        <v>45865.333333333336</v>
      </c>
      <c r="E214">
        <v>1048.9175432527022</v>
      </c>
      <c r="F214">
        <v>-835.60015474292868</v>
      </c>
      <c r="G214">
        <v>2778.4633762522926</v>
      </c>
      <c r="H214" s="1">
        <v>45838.333333333336</v>
      </c>
    </row>
    <row r="215" spans="1:8" x14ac:dyDescent="0.25">
      <c r="A215" s="7">
        <f>DATE(YEAR(m4_crossvalid[[#This Row],[cutoff]]),MONTH(m4_crossvalid[[#This Row],[cutoff]]),DAY(m4_crossvalid[[#This Row],[cutoff]]))</f>
        <v>45838</v>
      </c>
      <c r="B215" s="7">
        <f>DATE(YEAR(m4_crossvalid[[#This Row],[ds]]),MONTH(m4_crossvalid[[#This Row],[ds]]),DAY(m4_crossvalid[[#This Row],[ds]]))</f>
        <v>45866</v>
      </c>
      <c r="C215">
        <v>4324</v>
      </c>
      <c r="D215" s="1">
        <v>45866.333333333336</v>
      </c>
      <c r="E215">
        <v>4051.7672331072163</v>
      </c>
      <c r="F215">
        <v>2220.3351475188242</v>
      </c>
      <c r="G215">
        <v>5910.9671822396476</v>
      </c>
      <c r="H215" s="1">
        <v>45838.333333333336</v>
      </c>
    </row>
    <row r="216" spans="1:8" x14ac:dyDescent="0.25">
      <c r="A216" s="7">
        <f>DATE(YEAR(m4_crossvalid[[#This Row],[cutoff]]),MONTH(m4_crossvalid[[#This Row],[cutoff]]),DAY(m4_crossvalid[[#This Row],[cutoff]]))</f>
        <v>45838</v>
      </c>
      <c r="B216" s="7">
        <f>DATE(YEAR(m4_crossvalid[[#This Row],[ds]]),MONTH(m4_crossvalid[[#This Row],[ds]]),DAY(m4_crossvalid[[#This Row],[ds]]))</f>
        <v>45867</v>
      </c>
      <c r="C216">
        <v>5336</v>
      </c>
      <c r="D216" s="1">
        <v>45867.333333333336</v>
      </c>
      <c r="E216">
        <v>5304.381904644868</v>
      </c>
      <c r="F216">
        <v>3403.6072092155168</v>
      </c>
      <c r="G216">
        <v>7231.6661533175866</v>
      </c>
      <c r="H216" s="1">
        <v>45838.333333333336</v>
      </c>
    </row>
    <row r="217" spans="1:8" x14ac:dyDescent="0.25">
      <c r="A217" s="7">
        <f>DATE(YEAR(m4_crossvalid[[#This Row],[cutoff]]),MONTH(m4_crossvalid[[#This Row],[cutoff]]),DAY(m4_crossvalid[[#This Row],[cutoff]]))</f>
        <v>45838</v>
      </c>
      <c r="B217" s="7">
        <f>DATE(YEAR(m4_crossvalid[[#This Row],[ds]]),MONTH(m4_crossvalid[[#This Row],[ds]]),DAY(m4_crossvalid[[#This Row],[ds]]))</f>
        <v>45868</v>
      </c>
      <c r="C217">
        <v>8373</v>
      </c>
      <c r="D217" s="1">
        <v>45868.333333333336</v>
      </c>
      <c r="E217">
        <v>6487.582355528335</v>
      </c>
      <c r="F217">
        <v>4628.263911086161</v>
      </c>
      <c r="G217">
        <v>8359.0913006487044</v>
      </c>
      <c r="H217" s="1">
        <v>45838.333333333336</v>
      </c>
    </row>
    <row r="218" spans="1:8" x14ac:dyDescent="0.25">
      <c r="A218" s="7">
        <f>DATE(YEAR(m4_crossvalid[[#This Row],[cutoff]]),MONTH(m4_crossvalid[[#This Row],[cutoff]]),DAY(m4_crossvalid[[#This Row],[cutoff]]))</f>
        <v>45838</v>
      </c>
      <c r="B218" s="7">
        <f>DATE(YEAR(m4_crossvalid[[#This Row],[ds]]),MONTH(m4_crossvalid[[#This Row],[ds]]),DAY(m4_crossvalid[[#This Row],[ds]]))</f>
        <v>45869</v>
      </c>
      <c r="C218">
        <v>11889</v>
      </c>
      <c r="D218" s="1">
        <v>45869.333333333336</v>
      </c>
      <c r="E218">
        <v>6944.0021893848825</v>
      </c>
      <c r="F218">
        <v>5255.1297785414663</v>
      </c>
      <c r="G218">
        <v>8615.75890691514</v>
      </c>
      <c r="H218" s="1">
        <v>45838.333333333336</v>
      </c>
    </row>
    <row r="219" spans="1:8" x14ac:dyDescent="0.25">
      <c r="A219" s="7">
        <f>DATE(YEAR(m4_crossvalid[[#This Row],[cutoff]]),MONTH(m4_crossvalid[[#This Row],[cutoff]]),DAY(m4_crossvalid[[#This Row],[cutoff]]))</f>
        <v>45869</v>
      </c>
      <c r="B219" s="7">
        <f>DATE(YEAR(m4_crossvalid[[#This Row],[ds]]),MONTH(m4_crossvalid[[#This Row],[ds]]),DAY(m4_crossvalid[[#This Row],[ds]]))</f>
        <v>45870</v>
      </c>
      <c r="C219">
        <v>761</v>
      </c>
      <c r="D219" s="1">
        <v>45870.333333333336</v>
      </c>
      <c r="E219">
        <v>6257.3713511289043</v>
      </c>
      <c r="F219">
        <v>4401.7339316298903</v>
      </c>
      <c r="G219">
        <v>8236.2296371216635</v>
      </c>
      <c r="H219" s="1">
        <v>45869.333333333336</v>
      </c>
    </row>
    <row r="220" spans="1:8" x14ac:dyDescent="0.25">
      <c r="A220" s="7">
        <f>DATE(YEAR(m4_crossvalid[[#This Row],[cutoff]]),MONTH(m4_crossvalid[[#This Row],[cutoff]]),DAY(m4_crossvalid[[#This Row],[cutoff]]))</f>
        <v>45869</v>
      </c>
      <c r="B220" s="7">
        <f>DATE(YEAR(m4_crossvalid[[#This Row],[ds]]),MONTH(m4_crossvalid[[#This Row],[ds]]),DAY(m4_crossvalid[[#This Row],[ds]]))</f>
        <v>45871</v>
      </c>
      <c r="C220">
        <v>74</v>
      </c>
      <c r="D220" s="1">
        <v>45871.333333333336</v>
      </c>
      <c r="E220">
        <v>2372.0168011374785</v>
      </c>
      <c r="F220">
        <v>544.42592966806308</v>
      </c>
      <c r="G220">
        <v>4075.4114430345567</v>
      </c>
      <c r="H220" s="1">
        <v>45869.333333333336</v>
      </c>
    </row>
    <row r="221" spans="1:8" x14ac:dyDescent="0.25">
      <c r="A221" s="7">
        <f>DATE(YEAR(m4_crossvalid[[#This Row],[cutoff]]),MONTH(m4_crossvalid[[#This Row],[cutoff]]),DAY(m4_crossvalid[[#This Row],[cutoff]]))</f>
        <v>45869</v>
      </c>
      <c r="B221" s="7">
        <f>DATE(YEAR(m4_crossvalid[[#This Row],[ds]]),MONTH(m4_crossvalid[[#This Row],[ds]]),DAY(m4_crossvalid[[#This Row],[ds]]))</f>
        <v>45872</v>
      </c>
      <c r="C221">
        <v>28</v>
      </c>
      <c r="D221" s="1">
        <v>45872.333333333336</v>
      </c>
      <c r="E221">
        <v>40.678678986844716</v>
      </c>
      <c r="F221">
        <v>-1664.0372357565882</v>
      </c>
      <c r="G221">
        <v>1909.5378296199028</v>
      </c>
      <c r="H221" s="1">
        <v>45869.333333333336</v>
      </c>
    </row>
    <row r="222" spans="1:8" x14ac:dyDescent="0.25">
      <c r="A222" s="7">
        <f>DATE(YEAR(m4_crossvalid[[#This Row],[cutoff]]),MONTH(m4_crossvalid[[#This Row],[cutoff]]),DAY(m4_crossvalid[[#This Row],[cutoff]]))</f>
        <v>45869</v>
      </c>
      <c r="B222" s="7">
        <f>DATE(YEAR(m4_crossvalid[[#This Row],[ds]]),MONTH(m4_crossvalid[[#This Row],[ds]]),DAY(m4_crossvalid[[#This Row],[ds]]))</f>
        <v>45873</v>
      </c>
      <c r="C222">
        <v>912</v>
      </c>
      <c r="D222" s="1">
        <v>45873.333333333336</v>
      </c>
      <c r="E222">
        <v>1399.5909015473899</v>
      </c>
      <c r="F222">
        <v>-432.9362339620414</v>
      </c>
      <c r="G222">
        <v>3223.3771844160178</v>
      </c>
      <c r="H222" s="1">
        <v>45869.333333333336</v>
      </c>
    </row>
    <row r="223" spans="1:8" x14ac:dyDescent="0.25">
      <c r="A223" s="7">
        <f>DATE(YEAR(m4_crossvalid[[#This Row],[cutoff]]),MONTH(m4_crossvalid[[#This Row],[cutoff]]),DAY(m4_crossvalid[[#This Row],[cutoff]]))</f>
        <v>45869</v>
      </c>
      <c r="B223" s="7">
        <f>DATE(YEAR(m4_crossvalid[[#This Row],[ds]]),MONTH(m4_crossvalid[[#This Row],[ds]]),DAY(m4_crossvalid[[#This Row],[ds]]))</f>
        <v>45874</v>
      </c>
      <c r="C223">
        <v>2022</v>
      </c>
      <c r="D223" s="1">
        <v>45874.333333333336</v>
      </c>
      <c r="E223">
        <v>1355.4113646449159</v>
      </c>
      <c r="F223">
        <v>-628.6203569149643</v>
      </c>
      <c r="G223">
        <v>3085.5862717690898</v>
      </c>
      <c r="H223" s="1">
        <v>45869.333333333336</v>
      </c>
    </row>
    <row r="224" spans="1:8" x14ac:dyDescent="0.25">
      <c r="A224" s="7">
        <f>DATE(YEAR(m4_crossvalid[[#This Row],[cutoff]]),MONTH(m4_crossvalid[[#This Row],[cutoff]]),DAY(m4_crossvalid[[#This Row],[cutoff]]))</f>
        <v>45869</v>
      </c>
      <c r="B224" s="7">
        <f>DATE(YEAR(m4_crossvalid[[#This Row],[ds]]),MONTH(m4_crossvalid[[#This Row],[ds]]),DAY(m4_crossvalid[[#This Row],[ds]]))</f>
        <v>45875</v>
      </c>
      <c r="C224">
        <v>1344</v>
      </c>
      <c r="D224" s="1">
        <v>45875.333333333336</v>
      </c>
      <c r="E224">
        <v>1781.1773786605563</v>
      </c>
      <c r="F224">
        <v>83.920789140526864</v>
      </c>
      <c r="G224">
        <v>3551.427451565909</v>
      </c>
      <c r="H224" s="1">
        <v>45869.333333333336</v>
      </c>
    </row>
    <row r="225" spans="1:8" x14ac:dyDescent="0.25">
      <c r="A225" s="7">
        <f>DATE(YEAR(m4_crossvalid[[#This Row],[cutoff]]),MONTH(m4_crossvalid[[#This Row],[cutoff]]),DAY(m4_crossvalid[[#This Row],[cutoff]]))</f>
        <v>45869</v>
      </c>
      <c r="B225" s="7">
        <f>DATE(YEAR(m4_crossvalid[[#This Row],[ds]]),MONTH(m4_crossvalid[[#This Row],[ds]]),DAY(m4_crossvalid[[#This Row],[ds]]))</f>
        <v>45876</v>
      </c>
      <c r="C225">
        <v>1585</v>
      </c>
      <c r="D225" s="1">
        <v>45876.333333333336</v>
      </c>
      <c r="E225">
        <v>2146.9362202407365</v>
      </c>
      <c r="F225">
        <v>302.97301465460578</v>
      </c>
      <c r="G225">
        <v>4089.0935726758034</v>
      </c>
      <c r="H225" s="1">
        <v>45869.333333333336</v>
      </c>
    </row>
    <row r="226" spans="1:8" x14ac:dyDescent="0.25">
      <c r="A226" s="7">
        <f>DATE(YEAR(m4_crossvalid[[#This Row],[cutoff]]),MONTH(m4_crossvalid[[#This Row],[cutoff]]),DAY(m4_crossvalid[[#This Row],[cutoff]]))</f>
        <v>45869</v>
      </c>
      <c r="B226" s="7">
        <f>DATE(YEAR(m4_crossvalid[[#This Row],[ds]]),MONTH(m4_crossvalid[[#This Row],[ds]]),DAY(m4_crossvalid[[#This Row],[ds]]))</f>
        <v>45877</v>
      </c>
      <c r="C226">
        <v>2032</v>
      </c>
      <c r="D226" s="1">
        <v>45877.333333333336</v>
      </c>
      <c r="E226">
        <v>2110.8074106058089</v>
      </c>
      <c r="F226">
        <v>258.1326220726458</v>
      </c>
      <c r="G226">
        <v>3941.698624834245</v>
      </c>
      <c r="H226" s="1">
        <v>45869.333333333336</v>
      </c>
    </row>
    <row r="227" spans="1:8" x14ac:dyDescent="0.25">
      <c r="A227" s="7">
        <f>DATE(YEAR(m4_crossvalid[[#This Row],[cutoff]]),MONTH(m4_crossvalid[[#This Row],[cutoff]]),DAY(m4_crossvalid[[#This Row],[cutoff]]))</f>
        <v>45869</v>
      </c>
      <c r="B227" s="7">
        <f>DATE(YEAR(m4_crossvalid[[#This Row],[ds]]),MONTH(m4_crossvalid[[#This Row],[ds]]),DAY(m4_crossvalid[[#This Row],[ds]]))</f>
        <v>45878</v>
      </c>
      <c r="C227">
        <v>327</v>
      </c>
      <c r="D227" s="1">
        <v>45878.333333333336</v>
      </c>
      <c r="E227">
        <v>-291.86565473609562</v>
      </c>
      <c r="F227">
        <v>-1891.4692229798047</v>
      </c>
      <c r="G227">
        <v>1619.0948706821814</v>
      </c>
      <c r="H227" s="1">
        <v>45869.333333333336</v>
      </c>
    </row>
    <row r="228" spans="1:8" x14ac:dyDescent="0.25">
      <c r="A228" s="7">
        <f>DATE(YEAR(m4_crossvalid[[#This Row],[cutoff]]),MONTH(m4_crossvalid[[#This Row],[cutoff]]),DAY(m4_crossvalid[[#This Row],[cutoff]]))</f>
        <v>45869</v>
      </c>
      <c r="B228" s="7">
        <f>DATE(YEAR(m4_crossvalid[[#This Row],[ds]]),MONTH(m4_crossvalid[[#This Row],[ds]]),DAY(m4_crossvalid[[#This Row],[ds]]))</f>
        <v>45879</v>
      </c>
      <c r="C228">
        <v>78</v>
      </c>
      <c r="D228" s="1">
        <v>45879.333333333336</v>
      </c>
      <c r="E228">
        <v>-869.33092902382941</v>
      </c>
      <c r="F228">
        <v>-2781.7012669219066</v>
      </c>
      <c r="G228">
        <v>882.55099435737975</v>
      </c>
      <c r="H228" s="1">
        <v>45869.333333333336</v>
      </c>
    </row>
    <row r="229" spans="1:8" x14ac:dyDescent="0.25">
      <c r="A229" s="7">
        <f>DATE(YEAR(m4_crossvalid[[#This Row],[cutoff]]),MONTH(m4_crossvalid[[#This Row],[cutoff]]),DAY(m4_crossvalid[[#This Row],[cutoff]]))</f>
        <v>45869</v>
      </c>
      <c r="B229" s="7">
        <f>DATE(YEAR(m4_crossvalid[[#This Row],[ds]]),MONTH(m4_crossvalid[[#This Row],[ds]]),DAY(m4_crossvalid[[#This Row],[ds]]))</f>
        <v>45880</v>
      </c>
      <c r="C229">
        <v>2043</v>
      </c>
      <c r="D229" s="1">
        <v>45880.333333333336</v>
      </c>
      <c r="E229">
        <v>1884.5178558606676</v>
      </c>
      <c r="F229">
        <v>64.275263180628315</v>
      </c>
      <c r="G229">
        <v>3763.5004635529035</v>
      </c>
      <c r="H229" s="1">
        <v>45869.333333333336</v>
      </c>
    </row>
    <row r="230" spans="1:8" x14ac:dyDescent="0.25">
      <c r="A230" s="7">
        <f>DATE(YEAR(m4_crossvalid[[#This Row],[cutoff]]),MONTH(m4_crossvalid[[#This Row],[cutoff]]),DAY(m4_crossvalid[[#This Row],[cutoff]]))</f>
        <v>45869</v>
      </c>
      <c r="B230" s="7">
        <f>DATE(YEAR(m4_crossvalid[[#This Row],[ds]]),MONTH(m4_crossvalid[[#This Row],[ds]]),DAY(m4_crossvalid[[#This Row],[ds]]))</f>
        <v>45881</v>
      </c>
      <c r="C230">
        <v>2431</v>
      </c>
      <c r="D230" s="1">
        <v>45881.333333333336</v>
      </c>
      <c r="E230">
        <v>2449.8470588182813</v>
      </c>
      <c r="F230">
        <v>718.88844814133654</v>
      </c>
      <c r="G230">
        <v>4364.4546736999782</v>
      </c>
      <c r="H230" s="1">
        <v>45869.333333333336</v>
      </c>
    </row>
    <row r="231" spans="1:8" x14ac:dyDescent="0.25">
      <c r="A231" s="7">
        <f>DATE(YEAR(m4_crossvalid[[#This Row],[cutoff]]),MONTH(m4_crossvalid[[#This Row],[cutoff]]),DAY(m4_crossvalid[[#This Row],[cutoff]]))</f>
        <v>45869</v>
      </c>
      <c r="B231" s="7">
        <f>DATE(YEAR(m4_crossvalid[[#This Row],[ds]]),MONTH(m4_crossvalid[[#This Row],[ds]]),DAY(m4_crossvalid[[#This Row],[ds]]))</f>
        <v>45882</v>
      </c>
      <c r="C231">
        <v>2484</v>
      </c>
      <c r="D231" s="1">
        <v>45882.333333333336</v>
      </c>
      <c r="E231">
        <v>2756.2845970098624</v>
      </c>
      <c r="F231">
        <v>923.98224998615956</v>
      </c>
      <c r="G231">
        <v>4590.663976743469</v>
      </c>
      <c r="H231" s="1">
        <v>45869.333333333336</v>
      </c>
    </row>
    <row r="232" spans="1:8" x14ac:dyDescent="0.25">
      <c r="A232" s="7">
        <f>DATE(YEAR(m4_crossvalid[[#This Row],[cutoff]]),MONTH(m4_crossvalid[[#This Row],[cutoff]]),DAY(m4_crossvalid[[#This Row],[cutoff]]))</f>
        <v>45869</v>
      </c>
      <c r="B232" s="7">
        <f>DATE(YEAR(m4_crossvalid[[#This Row],[ds]]),MONTH(m4_crossvalid[[#This Row],[ds]]),DAY(m4_crossvalid[[#This Row],[ds]]))</f>
        <v>45883</v>
      </c>
      <c r="C232">
        <v>2669</v>
      </c>
      <c r="D232" s="1">
        <v>45883.333333333336</v>
      </c>
      <c r="E232">
        <v>2737.2586113258831</v>
      </c>
      <c r="F232">
        <v>894.21595806383095</v>
      </c>
      <c r="G232">
        <v>4599.1369067457099</v>
      </c>
      <c r="H232" s="1">
        <v>45869.333333333336</v>
      </c>
    </row>
    <row r="233" spans="1:8" x14ac:dyDescent="0.25">
      <c r="A233" s="7">
        <f>DATE(YEAR(m4_crossvalid[[#This Row],[cutoff]]),MONTH(m4_crossvalid[[#This Row],[cutoff]]),DAY(m4_crossvalid[[#This Row],[cutoff]]))</f>
        <v>45869</v>
      </c>
      <c r="B233" s="7">
        <f>DATE(YEAR(m4_crossvalid[[#This Row],[ds]]),MONTH(m4_crossvalid[[#This Row],[ds]]),DAY(m4_crossvalid[[#This Row],[ds]]))</f>
        <v>45884</v>
      </c>
      <c r="C233">
        <v>3160</v>
      </c>
      <c r="D233" s="1">
        <v>45884.333333333336</v>
      </c>
      <c r="E233">
        <v>2536.1721873337719</v>
      </c>
      <c r="F233">
        <v>701.30636087090079</v>
      </c>
      <c r="G233">
        <v>4524.9282233269396</v>
      </c>
      <c r="H233" s="1">
        <v>45869.333333333336</v>
      </c>
    </row>
    <row r="234" spans="1:8" x14ac:dyDescent="0.25">
      <c r="A234" s="7">
        <f>DATE(YEAR(m4_crossvalid[[#This Row],[cutoff]]),MONTH(m4_crossvalid[[#This Row],[cutoff]]),DAY(m4_crossvalid[[#This Row],[cutoff]]))</f>
        <v>45869</v>
      </c>
      <c r="B234" s="7">
        <f>DATE(YEAR(m4_crossvalid[[#This Row],[ds]]),MONTH(m4_crossvalid[[#This Row],[ds]]),DAY(m4_crossvalid[[#This Row],[ds]]))</f>
        <v>45885</v>
      </c>
      <c r="C234">
        <v>560</v>
      </c>
      <c r="D234" s="1">
        <v>45885.333333333336</v>
      </c>
      <c r="E234">
        <v>326.55622475664495</v>
      </c>
      <c r="F234">
        <v>-1579.9327150801887</v>
      </c>
      <c r="G234">
        <v>2172.4564039955262</v>
      </c>
      <c r="H234" s="1">
        <v>45869.333333333336</v>
      </c>
    </row>
    <row r="235" spans="1:8" x14ac:dyDescent="0.25">
      <c r="A235" s="7">
        <f>DATE(YEAR(m4_crossvalid[[#This Row],[cutoff]]),MONTH(m4_crossvalid[[#This Row],[cutoff]]),DAY(m4_crossvalid[[#This Row],[cutoff]]))</f>
        <v>45869</v>
      </c>
      <c r="B235" s="7">
        <f>DATE(YEAR(m4_crossvalid[[#This Row],[ds]]),MONTH(m4_crossvalid[[#This Row],[ds]]),DAY(m4_crossvalid[[#This Row],[ds]]))</f>
        <v>45886</v>
      </c>
      <c r="C235">
        <v>166</v>
      </c>
      <c r="D235" s="1">
        <v>45886.333333333336</v>
      </c>
      <c r="E235">
        <v>50.072944209150592</v>
      </c>
      <c r="F235">
        <v>-1792.4775584046606</v>
      </c>
      <c r="G235">
        <v>1952.4251932165885</v>
      </c>
      <c r="H235" s="1">
        <v>45869.333333333336</v>
      </c>
    </row>
    <row r="236" spans="1:8" x14ac:dyDescent="0.25">
      <c r="A236" s="7">
        <f>DATE(YEAR(m4_crossvalid[[#This Row],[cutoff]]),MONTH(m4_crossvalid[[#This Row],[cutoff]]),DAY(m4_crossvalid[[#This Row],[cutoff]]))</f>
        <v>45869</v>
      </c>
      <c r="B236" s="7">
        <f>DATE(YEAR(m4_crossvalid[[#This Row],[ds]]),MONTH(m4_crossvalid[[#This Row],[ds]]),DAY(m4_crossvalid[[#This Row],[ds]]))</f>
        <v>45887</v>
      </c>
      <c r="C236">
        <v>3003</v>
      </c>
      <c r="D236" s="1">
        <v>45887.333333333336</v>
      </c>
      <c r="E236">
        <v>2874.5868584559066</v>
      </c>
      <c r="F236">
        <v>1095.0477568625847</v>
      </c>
      <c r="G236">
        <v>4804.8210961897039</v>
      </c>
      <c r="H236" s="1">
        <v>45869.333333333336</v>
      </c>
    </row>
    <row r="237" spans="1:8" x14ac:dyDescent="0.25">
      <c r="A237" s="7">
        <f>DATE(YEAR(m4_crossvalid[[#This Row],[cutoff]]),MONTH(m4_crossvalid[[#This Row],[cutoff]]),DAY(m4_crossvalid[[#This Row],[cutoff]]))</f>
        <v>45869</v>
      </c>
      <c r="B237" s="7">
        <f>DATE(YEAR(m4_crossvalid[[#This Row],[ds]]),MONTH(m4_crossvalid[[#This Row],[ds]]),DAY(m4_crossvalid[[#This Row],[ds]]))</f>
        <v>45888</v>
      </c>
      <c r="C237">
        <v>3182</v>
      </c>
      <c r="D237" s="1">
        <v>45888.333333333336</v>
      </c>
      <c r="E237">
        <v>3200.4506888469928</v>
      </c>
      <c r="F237">
        <v>1396.6918118585982</v>
      </c>
      <c r="G237">
        <v>4967.186952007808</v>
      </c>
      <c r="H237" s="1">
        <v>45869.333333333336</v>
      </c>
    </row>
    <row r="238" spans="1:8" x14ac:dyDescent="0.25">
      <c r="A238" s="7">
        <f>DATE(YEAR(m4_crossvalid[[#This Row],[cutoff]]),MONTH(m4_crossvalid[[#This Row],[cutoff]]),DAY(m4_crossvalid[[#This Row],[cutoff]]))</f>
        <v>45869</v>
      </c>
      <c r="B238" s="7">
        <f>DATE(YEAR(m4_crossvalid[[#This Row],[ds]]),MONTH(m4_crossvalid[[#This Row],[ds]]),DAY(m4_crossvalid[[#This Row],[ds]]))</f>
        <v>45889</v>
      </c>
      <c r="C238">
        <v>3745</v>
      </c>
      <c r="D238" s="1">
        <v>45889.333333333336</v>
      </c>
      <c r="E238">
        <v>3204.3755742327671</v>
      </c>
      <c r="F238">
        <v>1264.8941181938617</v>
      </c>
      <c r="G238">
        <v>5137.2187401956653</v>
      </c>
      <c r="H238" s="1">
        <v>45869.333333333336</v>
      </c>
    </row>
    <row r="239" spans="1:8" x14ac:dyDescent="0.25">
      <c r="A239" s="7">
        <f>DATE(YEAR(m4_crossvalid[[#This Row],[cutoff]]),MONTH(m4_crossvalid[[#This Row],[cutoff]]),DAY(m4_crossvalid[[#This Row],[cutoff]]))</f>
        <v>45869</v>
      </c>
      <c r="B239" s="7">
        <f>DATE(YEAR(m4_crossvalid[[#This Row],[ds]]),MONTH(m4_crossvalid[[#This Row],[ds]]),DAY(m4_crossvalid[[#This Row],[ds]]))</f>
        <v>45890</v>
      </c>
      <c r="C239">
        <v>3754</v>
      </c>
      <c r="D239" s="1">
        <v>45890.333333333336</v>
      </c>
      <c r="E239">
        <v>3134.2614051382734</v>
      </c>
      <c r="F239">
        <v>1407.1012083214644</v>
      </c>
      <c r="G239">
        <v>5010.4692234418972</v>
      </c>
      <c r="H239" s="1">
        <v>45869.333333333336</v>
      </c>
    </row>
    <row r="240" spans="1:8" x14ac:dyDescent="0.25">
      <c r="A240" s="7">
        <f>DATE(YEAR(m4_crossvalid[[#This Row],[cutoff]]),MONTH(m4_crossvalid[[#This Row],[cutoff]]),DAY(m4_crossvalid[[#This Row],[cutoff]]))</f>
        <v>45869</v>
      </c>
      <c r="B240" s="7">
        <f>DATE(YEAR(m4_crossvalid[[#This Row],[ds]]),MONTH(m4_crossvalid[[#This Row],[ds]]),DAY(m4_crossvalid[[#This Row],[ds]]))</f>
        <v>45891</v>
      </c>
      <c r="C240">
        <v>3741</v>
      </c>
      <c r="D240" s="1">
        <v>45891.333333333336</v>
      </c>
      <c r="E240">
        <v>3194.0604635312379</v>
      </c>
      <c r="F240">
        <v>1319.33887976439</v>
      </c>
      <c r="G240">
        <v>5125.8180062001238</v>
      </c>
      <c r="H240" s="1">
        <v>45869.333333333336</v>
      </c>
    </row>
    <row r="241" spans="1:8" x14ac:dyDescent="0.25">
      <c r="A241" s="7">
        <f>DATE(YEAR(m4_crossvalid[[#This Row],[cutoff]]),MONTH(m4_crossvalid[[#This Row],[cutoff]]),DAY(m4_crossvalid[[#This Row],[cutoff]]))</f>
        <v>45869</v>
      </c>
      <c r="B241" s="7">
        <f>DATE(YEAR(m4_crossvalid[[#This Row],[ds]]),MONTH(m4_crossvalid[[#This Row],[ds]]),DAY(m4_crossvalid[[#This Row],[ds]]))</f>
        <v>45892</v>
      </c>
      <c r="C241">
        <v>761</v>
      </c>
      <c r="D241" s="1">
        <v>45892.333333333336</v>
      </c>
      <c r="E241">
        <v>1302.7523242442398</v>
      </c>
      <c r="F241">
        <v>-413.88603823301969</v>
      </c>
      <c r="G241">
        <v>3057.0314343820037</v>
      </c>
      <c r="H241" s="1">
        <v>45869.333333333336</v>
      </c>
    </row>
    <row r="242" spans="1:8" x14ac:dyDescent="0.25">
      <c r="A242" s="7">
        <f>DATE(YEAR(m4_crossvalid[[#This Row],[cutoff]]),MONTH(m4_crossvalid[[#This Row],[cutoff]]),DAY(m4_crossvalid[[#This Row],[cutoff]]))</f>
        <v>45869</v>
      </c>
      <c r="B242" s="7">
        <f>DATE(YEAR(m4_crossvalid[[#This Row],[ds]]),MONTH(m4_crossvalid[[#This Row],[ds]]),DAY(m4_crossvalid[[#This Row],[ds]]))</f>
        <v>45893</v>
      </c>
      <c r="C242">
        <v>239</v>
      </c>
      <c r="D242" s="1">
        <v>45893.333333333336</v>
      </c>
      <c r="E242">
        <v>1096.6487122786436</v>
      </c>
      <c r="F242">
        <v>-778.02021571688624</v>
      </c>
      <c r="G242">
        <v>2784.1812411249089</v>
      </c>
      <c r="H242" s="1">
        <v>45869.333333333336</v>
      </c>
    </row>
    <row r="243" spans="1:8" x14ac:dyDescent="0.25">
      <c r="A243" s="7">
        <f>DATE(YEAR(m4_crossvalid[[#This Row],[cutoff]]),MONTH(m4_crossvalid[[#This Row],[cutoff]]),DAY(m4_crossvalid[[#This Row],[cutoff]]))</f>
        <v>45869</v>
      </c>
      <c r="B243" s="7">
        <f>DATE(YEAR(m4_crossvalid[[#This Row],[ds]]),MONTH(m4_crossvalid[[#This Row],[ds]]),DAY(m4_crossvalid[[#This Row],[ds]]))</f>
        <v>45894</v>
      </c>
      <c r="C243">
        <v>3838</v>
      </c>
      <c r="D243" s="1">
        <v>45894.333333333336</v>
      </c>
      <c r="E243">
        <v>3720.8734426992405</v>
      </c>
      <c r="F243">
        <v>1760.8263758472945</v>
      </c>
      <c r="G243">
        <v>5485.7416490882661</v>
      </c>
      <c r="H243" s="1">
        <v>45869.333333333336</v>
      </c>
    </row>
    <row r="244" spans="1:8" x14ac:dyDescent="0.25">
      <c r="A244" s="7">
        <f>DATE(YEAR(m4_crossvalid[[#This Row],[cutoff]]),MONTH(m4_crossvalid[[#This Row],[cutoff]]),DAY(m4_crossvalid[[#This Row],[cutoff]]))</f>
        <v>45869</v>
      </c>
      <c r="B244" s="7">
        <f>DATE(YEAR(m4_crossvalid[[#This Row],[ds]]),MONTH(m4_crossvalid[[#This Row],[ds]]),DAY(m4_crossvalid[[#This Row],[ds]]))</f>
        <v>45895</v>
      </c>
      <c r="C244">
        <v>5214</v>
      </c>
      <c r="D244" s="1">
        <v>45895.333333333336</v>
      </c>
      <c r="E244">
        <v>3904.8554084216426</v>
      </c>
      <c r="F244">
        <v>2116.7844212005525</v>
      </c>
      <c r="G244">
        <v>5762.0617469994258</v>
      </c>
      <c r="H244" s="1">
        <v>45869.333333333336</v>
      </c>
    </row>
    <row r="245" spans="1:8" x14ac:dyDescent="0.25">
      <c r="A245" s="7">
        <f>DATE(YEAR(m4_crossvalid[[#This Row],[cutoff]]),MONTH(m4_crossvalid[[#This Row],[cutoff]]),DAY(m4_crossvalid[[#This Row],[cutoff]]))</f>
        <v>45869</v>
      </c>
      <c r="B245" s="7">
        <f>DATE(YEAR(m4_crossvalid[[#This Row],[ds]]),MONTH(m4_crossvalid[[#This Row],[ds]]),DAY(m4_crossvalid[[#This Row],[ds]]))</f>
        <v>45896</v>
      </c>
      <c r="C245">
        <v>5989</v>
      </c>
      <c r="D245" s="1">
        <v>45896.333333333336</v>
      </c>
      <c r="E245">
        <v>4221.9661659026115</v>
      </c>
      <c r="F245">
        <v>2629.194657517583</v>
      </c>
      <c r="G245">
        <v>6202.426521938788</v>
      </c>
      <c r="H245" s="1">
        <v>45869.333333333336</v>
      </c>
    </row>
    <row r="246" spans="1:8" x14ac:dyDescent="0.25">
      <c r="A246" s="7">
        <f>DATE(YEAR(m4_crossvalid[[#This Row],[cutoff]]),MONTH(m4_crossvalid[[#This Row],[cutoff]]),DAY(m4_crossvalid[[#This Row],[cutoff]]))</f>
        <v>45869</v>
      </c>
      <c r="B246" s="7">
        <f>DATE(YEAR(m4_crossvalid[[#This Row],[ds]]),MONTH(m4_crossvalid[[#This Row],[ds]]),DAY(m4_crossvalid[[#This Row],[ds]]))</f>
        <v>45897</v>
      </c>
      <c r="C246">
        <v>7115</v>
      </c>
      <c r="D246" s="1">
        <v>45897.333333333336</v>
      </c>
      <c r="E246">
        <v>4992.5540728605556</v>
      </c>
      <c r="F246">
        <v>3196.8518896179889</v>
      </c>
      <c r="G246">
        <v>6763.7907609313888</v>
      </c>
      <c r="H246" s="1">
        <v>45869.333333333336</v>
      </c>
    </row>
    <row r="247" spans="1:8" x14ac:dyDescent="0.25">
      <c r="A247" s="7">
        <f>DATE(YEAR(m4_crossvalid[[#This Row],[cutoff]]),MONTH(m4_crossvalid[[#This Row],[cutoff]]),DAY(m4_crossvalid[[#This Row],[cutoff]]))</f>
        <v>45869</v>
      </c>
      <c r="B247" s="7">
        <f>DATE(YEAR(m4_crossvalid[[#This Row],[ds]]),MONTH(m4_crossvalid[[#This Row],[ds]]),DAY(m4_crossvalid[[#This Row],[ds]]))</f>
        <v>45898</v>
      </c>
      <c r="C247">
        <v>9571</v>
      </c>
      <c r="D247" s="1">
        <v>45898.333333333336</v>
      </c>
      <c r="E247">
        <v>6025.0521409389003</v>
      </c>
      <c r="F247">
        <v>4079.9390749773215</v>
      </c>
      <c r="G247">
        <v>7793.1752723895806</v>
      </c>
      <c r="H247" s="1">
        <v>45869.333333333336</v>
      </c>
    </row>
    <row r="248" spans="1:8" x14ac:dyDescent="0.25">
      <c r="A248" s="7">
        <f>DATE(YEAR(m4_crossvalid[[#This Row],[cutoff]]),MONTH(m4_crossvalid[[#This Row],[cutoff]]),DAY(m4_crossvalid[[#This Row],[cutoff]]))</f>
        <v>45869</v>
      </c>
      <c r="B248" s="7">
        <f>DATE(YEAR(m4_crossvalid[[#This Row],[ds]]),MONTH(m4_crossvalid[[#This Row],[ds]]),DAY(m4_crossvalid[[#This Row],[ds]]))</f>
        <v>45899</v>
      </c>
      <c r="C248">
        <v>5764</v>
      </c>
      <c r="D248" s="1">
        <v>45899.333333333336</v>
      </c>
      <c r="E248">
        <v>4616.7765525711438</v>
      </c>
      <c r="F248">
        <v>2845.1613970640037</v>
      </c>
      <c r="G248">
        <v>6379.8993238595249</v>
      </c>
      <c r="H248" s="1">
        <v>45869.333333333336</v>
      </c>
    </row>
    <row r="249" spans="1:8" x14ac:dyDescent="0.25">
      <c r="A249" s="7">
        <f>DATE(YEAR(m4_crossvalid[[#This Row],[cutoff]]),MONTH(m4_crossvalid[[#This Row],[cutoff]]),DAY(m4_crossvalid[[#This Row],[cutoff]]))</f>
        <v>45869</v>
      </c>
      <c r="B249" s="7">
        <f>DATE(YEAR(m4_crossvalid[[#This Row],[ds]]),MONTH(m4_crossvalid[[#This Row],[ds]]),DAY(m4_crossvalid[[#This Row],[ds]]))</f>
        <v>45900</v>
      </c>
      <c r="C249">
        <v>386</v>
      </c>
      <c r="D249" s="1">
        <v>45900.333333333336</v>
      </c>
      <c r="E249">
        <v>2258.6296780169873</v>
      </c>
      <c r="F249">
        <v>359.53105084930309</v>
      </c>
      <c r="G249">
        <v>4298.8203942013815</v>
      </c>
      <c r="H249" s="1">
        <v>45869.333333333336</v>
      </c>
    </row>
    <row r="250" spans="1:8" x14ac:dyDescent="0.25">
      <c r="A250" s="7">
        <f>DATE(YEAR(m4_crossvalid[[#This Row],[cutoff]]),MONTH(m4_crossvalid[[#This Row],[cutoff]]),DAY(m4_crossvalid[[#This Row],[cutoff]]))</f>
        <v>45900</v>
      </c>
      <c r="B250" s="7">
        <f>DATE(YEAR(m4_crossvalid[[#This Row],[ds]]),MONTH(m4_crossvalid[[#This Row],[ds]]),DAY(m4_crossvalid[[#This Row],[ds]]))</f>
        <v>45901</v>
      </c>
      <c r="C250">
        <v>34</v>
      </c>
      <c r="D250" s="1">
        <v>45901.333333333336</v>
      </c>
      <c r="E250">
        <v>3614.3218385094915</v>
      </c>
      <c r="F250">
        <v>1728.0549053571635</v>
      </c>
      <c r="G250">
        <v>5480.692367066511</v>
      </c>
      <c r="H250" s="1">
        <v>45900.333333333336</v>
      </c>
    </row>
    <row r="251" spans="1:8" x14ac:dyDescent="0.25">
      <c r="A251" s="7">
        <f>DATE(YEAR(m4_crossvalid[[#This Row],[cutoff]]),MONTH(m4_crossvalid[[#This Row],[cutoff]]),DAY(m4_crossvalid[[#This Row],[cutoff]]))</f>
        <v>45900</v>
      </c>
      <c r="B251" s="7">
        <f>DATE(YEAR(m4_crossvalid[[#This Row],[ds]]),MONTH(m4_crossvalid[[#This Row],[ds]]),DAY(m4_crossvalid[[#This Row],[ds]]))</f>
        <v>45902</v>
      </c>
      <c r="C251">
        <v>463</v>
      </c>
      <c r="D251" s="1">
        <v>45902.333333333336</v>
      </c>
      <c r="E251">
        <v>3775.749165396327</v>
      </c>
      <c r="F251">
        <v>1828.2042550740348</v>
      </c>
      <c r="G251">
        <v>5662.4950279907252</v>
      </c>
      <c r="H251" s="1">
        <v>45900.333333333336</v>
      </c>
    </row>
    <row r="252" spans="1:8" x14ac:dyDescent="0.25">
      <c r="A252" s="7">
        <f>DATE(YEAR(m4_crossvalid[[#This Row],[cutoff]]),MONTH(m4_crossvalid[[#This Row],[cutoff]]),DAY(m4_crossvalid[[#This Row],[cutoff]]))</f>
        <v>45900</v>
      </c>
      <c r="B252" s="7">
        <f>DATE(YEAR(m4_crossvalid[[#This Row],[ds]]),MONTH(m4_crossvalid[[#This Row],[ds]]),DAY(m4_crossvalid[[#This Row],[ds]]))</f>
        <v>45903</v>
      </c>
      <c r="C252">
        <v>734</v>
      </c>
      <c r="D252" s="1">
        <v>45903.333333333336</v>
      </c>
      <c r="E252">
        <v>2318.150348753567</v>
      </c>
      <c r="F252">
        <v>449.57528237045864</v>
      </c>
      <c r="G252">
        <v>4108.6013775831725</v>
      </c>
      <c r="H252" s="1">
        <v>45900.333333333336</v>
      </c>
    </row>
    <row r="253" spans="1:8" x14ac:dyDescent="0.25">
      <c r="A253" s="7">
        <f>DATE(YEAR(m4_crossvalid[[#This Row],[cutoff]]),MONTH(m4_crossvalid[[#This Row],[cutoff]]),DAY(m4_crossvalid[[#This Row],[cutoff]]))</f>
        <v>45900</v>
      </c>
      <c r="B253" s="7">
        <f>DATE(YEAR(m4_crossvalid[[#This Row],[ds]]),MONTH(m4_crossvalid[[#This Row],[ds]]),DAY(m4_crossvalid[[#This Row],[ds]]))</f>
        <v>45904</v>
      </c>
      <c r="C253">
        <v>973</v>
      </c>
      <c r="D253" s="1">
        <v>45904.333333333336</v>
      </c>
      <c r="E253">
        <v>1604.1936814060482</v>
      </c>
      <c r="F253">
        <v>-205.63800590031573</v>
      </c>
      <c r="G253">
        <v>3428.519939094952</v>
      </c>
      <c r="H253" s="1">
        <v>45900.333333333336</v>
      </c>
    </row>
    <row r="254" spans="1:8" x14ac:dyDescent="0.25">
      <c r="A254" s="7">
        <f>DATE(YEAR(m4_crossvalid[[#This Row],[cutoff]]),MONTH(m4_crossvalid[[#This Row],[cutoff]]),DAY(m4_crossvalid[[#This Row],[cutoff]]))</f>
        <v>45900</v>
      </c>
      <c r="B254" s="7">
        <f>DATE(YEAR(m4_crossvalid[[#This Row],[ds]]),MONTH(m4_crossvalid[[#This Row],[ds]]),DAY(m4_crossvalid[[#This Row],[ds]]))</f>
        <v>45905</v>
      </c>
      <c r="C254">
        <v>61</v>
      </c>
      <c r="D254" s="1">
        <v>45905.333333333336</v>
      </c>
      <c r="E254">
        <v>-179.28061884792578</v>
      </c>
      <c r="F254">
        <v>-1944.8292687998453</v>
      </c>
      <c r="G254">
        <v>1651.6379867034866</v>
      </c>
      <c r="H254" s="1">
        <v>45900.333333333336</v>
      </c>
    </row>
    <row r="255" spans="1:8" x14ac:dyDescent="0.25">
      <c r="A255" s="7">
        <f>DATE(YEAR(m4_crossvalid[[#This Row],[cutoff]]),MONTH(m4_crossvalid[[#This Row],[cutoff]]),DAY(m4_crossvalid[[#This Row],[cutoff]]))</f>
        <v>45900</v>
      </c>
      <c r="B255" s="7">
        <f>DATE(YEAR(m4_crossvalid[[#This Row],[ds]]),MONTH(m4_crossvalid[[#This Row],[ds]]),DAY(m4_crossvalid[[#This Row],[ds]]))</f>
        <v>45906</v>
      </c>
      <c r="C255">
        <v>107</v>
      </c>
      <c r="D255" s="1">
        <v>45906.333333333336</v>
      </c>
      <c r="E255">
        <v>-331.14572056219549</v>
      </c>
      <c r="F255">
        <v>-2255.8924885345091</v>
      </c>
      <c r="G255">
        <v>1380.8600518401618</v>
      </c>
      <c r="H255" s="1">
        <v>45900.333333333336</v>
      </c>
    </row>
    <row r="256" spans="1:8" x14ac:dyDescent="0.25">
      <c r="A256" s="7">
        <f>DATE(YEAR(m4_crossvalid[[#This Row],[cutoff]]),MONTH(m4_crossvalid[[#This Row],[cutoff]]),DAY(m4_crossvalid[[#This Row],[cutoff]]))</f>
        <v>45900</v>
      </c>
      <c r="B256" s="7">
        <f>DATE(YEAR(m4_crossvalid[[#This Row],[ds]]),MONTH(m4_crossvalid[[#This Row],[ds]]),DAY(m4_crossvalid[[#This Row],[ds]]))</f>
        <v>45907</v>
      </c>
      <c r="C256">
        <v>30</v>
      </c>
      <c r="D256" s="1">
        <v>45907.333333333336</v>
      </c>
      <c r="E256">
        <v>-659.90561828850787</v>
      </c>
      <c r="F256">
        <v>-2426.2933978112901</v>
      </c>
      <c r="G256">
        <v>1277.7173974348184</v>
      </c>
      <c r="H256" s="1">
        <v>45900.333333333336</v>
      </c>
    </row>
    <row r="257" spans="1:8" x14ac:dyDescent="0.25">
      <c r="A257" s="7">
        <f>DATE(YEAR(m4_crossvalid[[#This Row],[cutoff]]),MONTH(m4_crossvalid[[#This Row],[cutoff]]),DAY(m4_crossvalid[[#This Row],[cutoff]]))</f>
        <v>45900</v>
      </c>
      <c r="B257" s="7">
        <f>DATE(YEAR(m4_crossvalid[[#This Row],[ds]]),MONTH(m4_crossvalid[[#This Row],[ds]]),DAY(m4_crossvalid[[#This Row],[ds]]))</f>
        <v>45908</v>
      </c>
      <c r="C257">
        <v>1382</v>
      </c>
      <c r="D257" s="1">
        <v>45908.333333333336</v>
      </c>
      <c r="E257">
        <v>1802.7048807589606</v>
      </c>
      <c r="F257">
        <v>-75.161687292482142</v>
      </c>
      <c r="G257">
        <v>3652.025597408674</v>
      </c>
      <c r="H257" s="1">
        <v>45900.333333333336</v>
      </c>
    </row>
    <row r="258" spans="1:8" x14ac:dyDescent="0.25">
      <c r="A258" s="7">
        <f>DATE(YEAR(m4_crossvalid[[#This Row],[cutoff]]),MONTH(m4_crossvalid[[#This Row],[cutoff]]),DAY(m4_crossvalid[[#This Row],[cutoff]]))</f>
        <v>45900</v>
      </c>
      <c r="B258" s="7">
        <f>DATE(YEAR(m4_crossvalid[[#This Row],[ds]]),MONTH(m4_crossvalid[[#This Row],[ds]]),DAY(m4_crossvalid[[#This Row],[ds]]))</f>
        <v>45909</v>
      </c>
      <c r="C258">
        <v>1925</v>
      </c>
      <c r="D258" s="1">
        <v>45909.333333333336</v>
      </c>
      <c r="E258">
        <v>1899.3508796609076</v>
      </c>
      <c r="F258">
        <v>-30.165912036368702</v>
      </c>
      <c r="G258">
        <v>3664.4031861008339</v>
      </c>
      <c r="H258" s="1">
        <v>45900.333333333336</v>
      </c>
    </row>
    <row r="259" spans="1:8" x14ac:dyDescent="0.25">
      <c r="A259" s="7">
        <f>DATE(YEAR(m4_crossvalid[[#This Row],[cutoff]]),MONTH(m4_crossvalid[[#This Row],[cutoff]]),DAY(m4_crossvalid[[#This Row],[cutoff]]))</f>
        <v>45900</v>
      </c>
      <c r="B259" s="7">
        <f>DATE(YEAR(m4_crossvalid[[#This Row],[ds]]),MONTH(m4_crossvalid[[#This Row],[ds]]),DAY(m4_crossvalid[[#This Row],[ds]]))</f>
        <v>45910</v>
      </c>
      <c r="C259">
        <v>1988</v>
      </c>
      <c r="D259" s="1">
        <v>45910.333333333336</v>
      </c>
      <c r="E259">
        <v>2043.5582839887766</v>
      </c>
      <c r="F259">
        <v>360.00840559993236</v>
      </c>
      <c r="G259">
        <v>4026.7736270701403</v>
      </c>
      <c r="H259" s="1">
        <v>45900.333333333336</v>
      </c>
    </row>
    <row r="260" spans="1:8" x14ac:dyDescent="0.25">
      <c r="A260" s="7">
        <f>DATE(YEAR(m4_crossvalid[[#This Row],[cutoff]]),MONTH(m4_crossvalid[[#This Row],[cutoff]]),DAY(m4_crossvalid[[#This Row],[cutoff]]))</f>
        <v>45900</v>
      </c>
      <c r="B260" s="7">
        <f>DATE(YEAR(m4_crossvalid[[#This Row],[ds]]),MONTH(m4_crossvalid[[#This Row],[ds]]),DAY(m4_crossvalid[[#This Row],[ds]]))</f>
        <v>45911</v>
      </c>
      <c r="C260">
        <v>2414</v>
      </c>
      <c r="D260" s="1">
        <v>45911.333333333336</v>
      </c>
      <c r="E260">
        <v>2312.2925620918068</v>
      </c>
      <c r="F260">
        <v>542.48160380525326</v>
      </c>
      <c r="G260">
        <v>4199.741272901465</v>
      </c>
      <c r="H260" s="1">
        <v>45900.333333333336</v>
      </c>
    </row>
    <row r="261" spans="1:8" x14ac:dyDescent="0.25">
      <c r="A261" s="7">
        <f>DATE(YEAR(m4_crossvalid[[#This Row],[cutoff]]),MONTH(m4_crossvalid[[#This Row],[cutoff]]),DAY(m4_crossvalid[[#This Row],[cutoff]]))</f>
        <v>45900</v>
      </c>
      <c r="B261" s="7">
        <f>DATE(YEAR(m4_crossvalid[[#This Row],[ds]]),MONTH(m4_crossvalid[[#This Row],[ds]]),DAY(m4_crossvalid[[#This Row],[ds]]))</f>
        <v>45912</v>
      </c>
      <c r="C261">
        <v>2644</v>
      </c>
      <c r="D261" s="1">
        <v>45912.333333333336</v>
      </c>
      <c r="E261">
        <v>2447.9589822958005</v>
      </c>
      <c r="F261">
        <v>735.86101724189973</v>
      </c>
      <c r="G261">
        <v>4307.819551354648</v>
      </c>
      <c r="H261" s="1">
        <v>45900.333333333336</v>
      </c>
    </row>
    <row r="262" spans="1:8" x14ac:dyDescent="0.25">
      <c r="A262" s="7">
        <f>DATE(YEAR(m4_crossvalid[[#This Row],[cutoff]]),MONTH(m4_crossvalid[[#This Row],[cutoff]]),DAY(m4_crossvalid[[#This Row],[cutoff]]))</f>
        <v>45900</v>
      </c>
      <c r="B262" s="7">
        <f>DATE(YEAR(m4_crossvalid[[#This Row],[ds]]),MONTH(m4_crossvalid[[#This Row],[ds]]),DAY(m4_crossvalid[[#This Row],[ds]]))</f>
        <v>45913</v>
      </c>
      <c r="C262">
        <v>439</v>
      </c>
      <c r="D262" s="1">
        <v>45913.333333333336</v>
      </c>
      <c r="E262">
        <v>243.19377993183616</v>
      </c>
      <c r="F262">
        <v>-1681.3330118918661</v>
      </c>
      <c r="G262">
        <v>2064.561940624103</v>
      </c>
      <c r="H262" s="1">
        <v>45900.333333333336</v>
      </c>
    </row>
    <row r="263" spans="1:8" x14ac:dyDescent="0.25">
      <c r="A263" s="7">
        <f>DATE(YEAR(m4_crossvalid[[#This Row],[cutoff]]),MONTH(m4_crossvalid[[#This Row],[cutoff]]),DAY(m4_crossvalid[[#This Row],[cutoff]]))</f>
        <v>45900</v>
      </c>
      <c r="B263" s="7">
        <f>DATE(YEAR(m4_crossvalid[[#This Row],[ds]]),MONTH(m4_crossvalid[[#This Row],[ds]]),DAY(m4_crossvalid[[#This Row],[ds]]))</f>
        <v>45914</v>
      </c>
      <c r="C263">
        <v>108</v>
      </c>
      <c r="D263" s="1">
        <v>45914.333333333336</v>
      </c>
      <c r="E263">
        <v>-394.50851360665638</v>
      </c>
      <c r="F263">
        <v>-2211.773724198295</v>
      </c>
      <c r="G263">
        <v>1467.3510044943152</v>
      </c>
      <c r="H263" s="1">
        <v>45900.333333333336</v>
      </c>
    </row>
    <row r="264" spans="1:8" x14ac:dyDescent="0.25">
      <c r="A264" s="7">
        <f>DATE(YEAR(m4_crossvalid[[#This Row],[cutoff]]),MONTH(m4_crossvalid[[#This Row],[cutoff]]),DAY(m4_crossvalid[[#This Row],[cutoff]]))</f>
        <v>45900</v>
      </c>
      <c r="B264" s="7">
        <f>DATE(YEAR(m4_crossvalid[[#This Row],[ds]]),MONTH(m4_crossvalid[[#This Row],[ds]]),DAY(m4_crossvalid[[#This Row],[ds]]))</f>
        <v>45915</v>
      </c>
      <c r="C264">
        <v>19</v>
      </c>
      <c r="D264" s="1">
        <v>45915.333333333336</v>
      </c>
      <c r="E264">
        <v>358.22276522833408</v>
      </c>
      <c r="F264">
        <v>-1485.8855922620428</v>
      </c>
      <c r="G264">
        <v>2035.0799438708182</v>
      </c>
      <c r="H264" s="1">
        <v>45900.333333333336</v>
      </c>
    </row>
    <row r="265" spans="1:8" x14ac:dyDescent="0.25">
      <c r="A265" s="7">
        <f>DATE(YEAR(m4_crossvalid[[#This Row],[cutoff]]),MONTH(m4_crossvalid[[#This Row],[cutoff]]),DAY(m4_crossvalid[[#This Row],[cutoff]]))</f>
        <v>45900</v>
      </c>
      <c r="B265" s="7">
        <f>DATE(YEAR(m4_crossvalid[[#This Row],[ds]]),MONTH(m4_crossvalid[[#This Row],[ds]]),DAY(m4_crossvalid[[#This Row],[ds]]))</f>
        <v>45916</v>
      </c>
      <c r="C265">
        <v>5</v>
      </c>
      <c r="D265" s="1">
        <v>45916.333333333336</v>
      </c>
      <c r="E265">
        <v>735.8085637985273</v>
      </c>
      <c r="F265">
        <v>-1077.3871635025876</v>
      </c>
      <c r="G265">
        <v>2676.7347502712164</v>
      </c>
      <c r="H265" s="1">
        <v>45900.333333333336</v>
      </c>
    </row>
    <row r="266" spans="1:8" x14ac:dyDescent="0.25">
      <c r="A266" s="7">
        <f>DATE(YEAR(m4_crossvalid[[#This Row],[cutoff]]),MONTH(m4_crossvalid[[#This Row],[cutoff]]),DAY(m4_crossvalid[[#This Row],[cutoff]]))</f>
        <v>45900</v>
      </c>
      <c r="B266" s="7">
        <f>DATE(YEAR(m4_crossvalid[[#This Row],[ds]]),MONTH(m4_crossvalid[[#This Row],[ds]]),DAY(m4_crossvalid[[#This Row],[ds]]))</f>
        <v>45917</v>
      </c>
      <c r="C266">
        <v>2108</v>
      </c>
      <c r="D266" s="1">
        <v>45917.333333333336</v>
      </c>
      <c r="E266">
        <v>2824.1308573299443</v>
      </c>
      <c r="F266">
        <v>1062.6547899916702</v>
      </c>
      <c r="G266">
        <v>4704.5445611363202</v>
      </c>
      <c r="H266" s="1">
        <v>45900.333333333336</v>
      </c>
    </row>
    <row r="267" spans="1:8" x14ac:dyDescent="0.25">
      <c r="A267" s="7">
        <f>DATE(YEAR(m4_crossvalid[[#This Row],[cutoff]]),MONTH(m4_crossvalid[[#This Row],[cutoff]]),DAY(m4_crossvalid[[#This Row],[cutoff]]))</f>
        <v>45900</v>
      </c>
      <c r="B267" s="7">
        <f>DATE(YEAR(m4_crossvalid[[#This Row],[ds]]),MONTH(m4_crossvalid[[#This Row],[ds]]),DAY(m4_crossvalid[[#This Row],[ds]]))</f>
        <v>45918</v>
      </c>
      <c r="C267">
        <v>3129</v>
      </c>
      <c r="D267" s="1">
        <v>45918.333333333336</v>
      </c>
      <c r="E267">
        <v>3006.6655108002851</v>
      </c>
      <c r="F267">
        <v>1031.4372482264378</v>
      </c>
      <c r="G267">
        <v>4790.9958012206243</v>
      </c>
      <c r="H267" s="1">
        <v>45900.333333333336</v>
      </c>
    </row>
    <row r="268" spans="1:8" x14ac:dyDescent="0.25">
      <c r="A268" s="7">
        <f>DATE(YEAR(m4_crossvalid[[#This Row],[cutoff]]),MONTH(m4_crossvalid[[#This Row],[cutoff]]),DAY(m4_crossvalid[[#This Row],[cutoff]]))</f>
        <v>45900</v>
      </c>
      <c r="B268" s="7">
        <f>DATE(YEAR(m4_crossvalid[[#This Row],[ds]]),MONTH(m4_crossvalid[[#This Row],[ds]]),DAY(m4_crossvalid[[#This Row],[ds]]))</f>
        <v>45919</v>
      </c>
      <c r="C268">
        <v>3027</v>
      </c>
      <c r="D268" s="1">
        <v>45919.333333333336</v>
      </c>
      <c r="E268">
        <v>2857.8837628084643</v>
      </c>
      <c r="F268">
        <v>1054.5377515459897</v>
      </c>
      <c r="G268">
        <v>4757.0999498023739</v>
      </c>
      <c r="H268" s="1">
        <v>45900.333333333336</v>
      </c>
    </row>
    <row r="269" spans="1:8" x14ac:dyDescent="0.25">
      <c r="A269" s="7">
        <f>DATE(YEAR(m4_crossvalid[[#This Row],[cutoff]]),MONTH(m4_crossvalid[[#This Row],[cutoff]]),DAY(m4_crossvalid[[#This Row],[cutoff]]))</f>
        <v>45900</v>
      </c>
      <c r="B269" s="7">
        <f>DATE(YEAR(m4_crossvalid[[#This Row],[ds]]),MONTH(m4_crossvalid[[#This Row],[ds]]),DAY(m4_crossvalid[[#This Row],[ds]]))</f>
        <v>45920</v>
      </c>
      <c r="C269">
        <v>525</v>
      </c>
      <c r="D269" s="1">
        <v>45920.333333333336</v>
      </c>
      <c r="E269">
        <v>478.05811671118431</v>
      </c>
      <c r="F269">
        <v>-1321.7394968304707</v>
      </c>
      <c r="G269">
        <v>2283.3448939607324</v>
      </c>
      <c r="H269" s="1">
        <v>45900.333333333336</v>
      </c>
    </row>
    <row r="270" spans="1:8" x14ac:dyDescent="0.25">
      <c r="A270" s="7">
        <f>DATE(YEAR(m4_crossvalid[[#This Row],[cutoff]]),MONTH(m4_crossvalid[[#This Row],[cutoff]]),DAY(m4_crossvalid[[#This Row],[cutoff]]))</f>
        <v>45900</v>
      </c>
      <c r="B270" s="7">
        <f>DATE(YEAR(m4_crossvalid[[#This Row],[ds]]),MONTH(m4_crossvalid[[#This Row],[ds]]),DAY(m4_crossvalid[[#This Row],[ds]]))</f>
        <v>45921</v>
      </c>
      <c r="C270">
        <v>107</v>
      </c>
      <c r="D270" s="1">
        <v>45921.333333333336</v>
      </c>
      <c r="E270">
        <v>-25.880930974091825</v>
      </c>
      <c r="F270">
        <v>-1860.7758409560884</v>
      </c>
      <c r="G270">
        <v>1878.5844743115956</v>
      </c>
      <c r="H270" s="1">
        <v>45900.333333333336</v>
      </c>
    </row>
    <row r="271" spans="1:8" x14ac:dyDescent="0.25">
      <c r="A271" s="7">
        <f>DATE(YEAR(m4_crossvalid[[#This Row],[cutoff]]),MONTH(m4_crossvalid[[#This Row],[cutoff]]),DAY(m4_crossvalid[[#This Row],[cutoff]]))</f>
        <v>45900</v>
      </c>
      <c r="B271" s="7">
        <f>DATE(YEAR(m4_crossvalid[[#This Row],[ds]]),MONTH(m4_crossvalid[[#This Row],[ds]]),DAY(m4_crossvalid[[#This Row],[ds]]))</f>
        <v>45922</v>
      </c>
      <c r="C271">
        <v>2480</v>
      </c>
      <c r="D271" s="1">
        <v>45922.333333333336</v>
      </c>
      <c r="E271">
        <v>2792.2324177732753</v>
      </c>
      <c r="F271">
        <v>1025.2957017800645</v>
      </c>
      <c r="G271">
        <v>4617.5665375770832</v>
      </c>
      <c r="H271" s="1">
        <v>45900.333333333336</v>
      </c>
    </row>
    <row r="272" spans="1:8" x14ac:dyDescent="0.25">
      <c r="A272" s="7">
        <f>DATE(YEAR(m4_crossvalid[[#This Row],[cutoff]]),MONTH(m4_crossvalid[[#This Row],[cutoff]]),DAY(m4_crossvalid[[#This Row],[cutoff]]))</f>
        <v>45900</v>
      </c>
      <c r="B272" s="7">
        <f>DATE(YEAR(m4_crossvalid[[#This Row],[ds]]),MONTH(m4_crossvalid[[#This Row],[ds]]),DAY(m4_crossvalid[[#This Row],[ds]]))</f>
        <v>45923</v>
      </c>
      <c r="C272">
        <v>2893</v>
      </c>
      <c r="D272" s="1">
        <v>45923.333333333336</v>
      </c>
      <c r="E272">
        <v>3392.4454134824923</v>
      </c>
      <c r="F272">
        <v>1459.4661056459047</v>
      </c>
      <c r="G272">
        <v>5138.5441887610605</v>
      </c>
      <c r="H272" s="1">
        <v>45900.333333333336</v>
      </c>
    </row>
    <row r="273" spans="1:8" x14ac:dyDescent="0.25">
      <c r="A273" s="7">
        <f>DATE(YEAR(m4_crossvalid[[#This Row],[cutoff]]),MONTH(m4_crossvalid[[#This Row],[cutoff]]),DAY(m4_crossvalid[[#This Row],[cutoff]]))</f>
        <v>45900</v>
      </c>
      <c r="B273" s="7">
        <f>DATE(YEAR(m4_crossvalid[[#This Row],[ds]]),MONTH(m4_crossvalid[[#This Row],[ds]]),DAY(m4_crossvalid[[#This Row],[ds]]))</f>
        <v>45924</v>
      </c>
      <c r="C273">
        <v>3143</v>
      </c>
      <c r="D273" s="1">
        <v>45924.333333333336</v>
      </c>
      <c r="E273">
        <v>3687.6145178343586</v>
      </c>
      <c r="F273">
        <v>1798.4964468148294</v>
      </c>
      <c r="G273">
        <v>5703.187613670957</v>
      </c>
      <c r="H273" s="1">
        <v>45900.333333333336</v>
      </c>
    </row>
    <row r="274" spans="1:8" x14ac:dyDescent="0.25">
      <c r="A274" s="7">
        <f>DATE(YEAR(m4_crossvalid[[#This Row],[cutoff]]),MONTH(m4_crossvalid[[#This Row],[cutoff]]),DAY(m4_crossvalid[[#This Row],[cutoff]]))</f>
        <v>45900</v>
      </c>
      <c r="B274" s="7">
        <f>DATE(YEAR(m4_crossvalid[[#This Row],[ds]]),MONTH(m4_crossvalid[[#This Row],[ds]]),DAY(m4_crossvalid[[#This Row],[ds]]))</f>
        <v>45925</v>
      </c>
      <c r="C274">
        <v>3361</v>
      </c>
      <c r="D274" s="1">
        <v>45925.333333333336</v>
      </c>
      <c r="E274">
        <v>3702.5380747509071</v>
      </c>
      <c r="F274">
        <v>1844.9168158915068</v>
      </c>
      <c r="G274">
        <v>5543.4676470279283</v>
      </c>
      <c r="H274" s="1">
        <v>45900.333333333336</v>
      </c>
    </row>
    <row r="275" spans="1:8" x14ac:dyDescent="0.25">
      <c r="A275" s="7">
        <f>DATE(YEAR(m4_crossvalid[[#This Row],[cutoff]]),MONTH(m4_crossvalid[[#This Row],[cutoff]]),DAY(m4_crossvalid[[#This Row],[cutoff]]))</f>
        <v>45900</v>
      </c>
      <c r="B275" s="7">
        <f>DATE(YEAR(m4_crossvalid[[#This Row],[ds]]),MONTH(m4_crossvalid[[#This Row],[ds]]),DAY(m4_crossvalid[[#This Row],[ds]]))</f>
        <v>45926</v>
      </c>
      <c r="C275">
        <v>3885</v>
      </c>
      <c r="D275" s="1">
        <v>45926.333333333336</v>
      </c>
      <c r="E275">
        <v>3670.9660469709761</v>
      </c>
      <c r="F275">
        <v>1808.4363216447225</v>
      </c>
      <c r="G275">
        <v>5492.2468641020077</v>
      </c>
      <c r="H275" s="1">
        <v>45900.333333333336</v>
      </c>
    </row>
    <row r="276" spans="1:8" x14ac:dyDescent="0.25">
      <c r="A276" s="7">
        <f>DATE(YEAR(m4_crossvalid[[#This Row],[cutoff]]),MONTH(m4_crossvalid[[#This Row],[cutoff]]),DAY(m4_crossvalid[[#This Row],[cutoff]]))</f>
        <v>45900</v>
      </c>
      <c r="B276" s="7">
        <f>DATE(YEAR(m4_crossvalid[[#This Row],[ds]]),MONTH(m4_crossvalid[[#This Row],[ds]]),DAY(m4_crossvalid[[#This Row],[ds]]))</f>
        <v>45927</v>
      </c>
      <c r="C276">
        <v>1024</v>
      </c>
      <c r="D276" s="1">
        <v>45927.333333333336</v>
      </c>
      <c r="E276">
        <v>1939.9224888709293</v>
      </c>
      <c r="F276">
        <v>22.677698667891256</v>
      </c>
      <c r="G276">
        <v>3828.4877581627125</v>
      </c>
      <c r="H276" s="1">
        <v>45900.333333333336</v>
      </c>
    </row>
    <row r="277" spans="1:8" x14ac:dyDescent="0.25">
      <c r="A277" s="7">
        <f>DATE(YEAR(m4_crossvalid[[#This Row],[cutoff]]),MONTH(m4_crossvalid[[#This Row],[cutoff]]),DAY(m4_crossvalid[[#This Row],[cutoff]]))</f>
        <v>45900</v>
      </c>
      <c r="B277" s="7">
        <f>DATE(YEAR(m4_crossvalid[[#This Row],[ds]]),MONTH(m4_crossvalid[[#This Row],[ds]]),DAY(m4_crossvalid[[#This Row],[ds]]))</f>
        <v>45928</v>
      </c>
      <c r="C277">
        <v>280</v>
      </c>
      <c r="D277" s="1">
        <v>45928.333333333336</v>
      </c>
      <c r="E277">
        <v>2432.7401616834836</v>
      </c>
      <c r="F277">
        <v>672.89919340629399</v>
      </c>
      <c r="G277">
        <v>4276.4423630775646</v>
      </c>
      <c r="H277" s="1">
        <v>45900.333333333336</v>
      </c>
    </row>
    <row r="278" spans="1:8" x14ac:dyDescent="0.25">
      <c r="A278" s="7">
        <f>DATE(YEAR(m4_crossvalid[[#This Row],[cutoff]]),MONTH(m4_crossvalid[[#This Row],[cutoff]]),DAY(m4_crossvalid[[#This Row],[cutoff]]))</f>
        <v>45900</v>
      </c>
      <c r="B278" s="7">
        <f>DATE(YEAR(m4_crossvalid[[#This Row],[ds]]),MONTH(m4_crossvalid[[#This Row],[ds]]),DAY(m4_crossvalid[[#This Row],[ds]]))</f>
        <v>45929</v>
      </c>
      <c r="C278">
        <v>8852</v>
      </c>
      <c r="D278" s="1">
        <v>45929.333333333336</v>
      </c>
      <c r="E278">
        <v>6045.0612193605002</v>
      </c>
      <c r="F278">
        <v>4161.2655690726478</v>
      </c>
      <c r="G278">
        <v>8068.5616507780178</v>
      </c>
      <c r="H278" s="1">
        <v>45900.333333333336</v>
      </c>
    </row>
    <row r="279" spans="1:8" x14ac:dyDescent="0.25">
      <c r="A279" s="7">
        <f>DATE(YEAR(m4_crossvalid[[#This Row],[cutoff]]),MONTH(m4_crossvalid[[#This Row],[cutoff]]),DAY(m4_crossvalid[[#This Row],[cutoff]]))</f>
        <v>45900</v>
      </c>
      <c r="B279" s="7">
        <f>DATE(YEAR(m4_crossvalid[[#This Row],[ds]]),MONTH(m4_crossvalid[[#This Row],[ds]]),DAY(m4_crossvalid[[#This Row],[ds]]))</f>
        <v>45930</v>
      </c>
      <c r="C279">
        <v>14458</v>
      </c>
      <c r="D279" s="1">
        <v>45930.333333333336</v>
      </c>
      <c r="E279">
        <v>6685.0593208822756</v>
      </c>
      <c r="F279">
        <v>4871.3238789727002</v>
      </c>
      <c r="G279">
        <v>8542.7722712037757</v>
      </c>
      <c r="H279" s="1">
        <v>45900.333333333336</v>
      </c>
    </row>
    <row r="280" spans="1:8" x14ac:dyDescent="0.25">
      <c r="A280" s="7">
        <f>DATE(YEAR(m4_crossvalid[[#This Row],[cutoff]]),MONTH(m4_crossvalid[[#This Row],[cutoff]]),DAY(m4_crossvalid[[#This Row],[cutoff]]))</f>
        <v>45900</v>
      </c>
      <c r="B280" s="7">
        <f>DATE(YEAR(m4_crossvalid[[#This Row],[ds]]),MONTH(m4_crossvalid[[#This Row],[ds]]),DAY(m4_crossvalid[[#This Row],[ds]]))</f>
        <v>45931</v>
      </c>
      <c r="C280">
        <v>639</v>
      </c>
      <c r="D280" s="1">
        <v>45931.333333333336</v>
      </c>
      <c r="E280">
        <v>6075.6393941579099</v>
      </c>
      <c r="F280">
        <v>4192.954835532475</v>
      </c>
      <c r="G280">
        <v>7976.9350702396314</v>
      </c>
      <c r="H280" s="1">
        <v>45900.333333333336</v>
      </c>
    </row>
    <row r="281" spans="1:8" x14ac:dyDescent="0.25">
      <c r="A281" s="7">
        <f>DATE(YEAR(m4_crossvalid[[#This Row],[cutoff]]),MONTH(m4_crossvalid[[#This Row],[cutoff]]),DAY(m4_crossvalid[[#This Row],[cutoff]]))</f>
        <v>45930</v>
      </c>
      <c r="B281" s="7">
        <f>DATE(YEAR(m4_crossvalid[[#This Row],[ds]]),MONTH(m4_crossvalid[[#This Row],[ds]]),DAY(m4_crossvalid[[#This Row],[ds]]))</f>
        <v>45931</v>
      </c>
      <c r="C281">
        <v>639</v>
      </c>
      <c r="D281" s="1">
        <v>45931.333333333336</v>
      </c>
      <c r="E281">
        <v>6220.4880992859808</v>
      </c>
      <c r="F281">
        <v>4369.785271284446</v>
      </c>
      <c r="G281">
        <v>7879.400929185379</v>
      </c>
      <c r="H281" s="1">
        <v>45930.333333333336</v>
      </c>
    </row>
    <row r="282" spans="1:8" x14ac:dyDescent="0.25">
      <c r="A282" s="7">
        <f>DATE(YEAR(m4_crossvalid[[#This Row],[cutoff]]),MONTH(m4_crossvalid[[#This Row],[cutoff]]),DAY(m4_crossvalid[[#This Row],[cutoff]]))</f>
        <v>45930</v>
      </c>
      <c r="B282" s="7">
        <f>DATE(YEAR(m4_crossvalid[[#This Row],[ds]]),MONTH(m4_crossvalid[[#This Row],[ds]]),DAY(m4_crossvalid[[#This Row],[ds]]))</f>
        <v>45932</v>
      </c>
      <c r="C282">
        <v>823</v>
      </c>
      <c r="D282" s="1">
        <v>45932.333333333336</v>
      </c>
      <c r="E282">
        <v>4590.7058676412053</v>
      </c>
      <c r="F282">
        <v>2593.1124628220673</v>
      </c>
      <c r="G282">
        <v>6352.5823738541976</v>
      </c>
      <c r="H282" s="1">
        <v>45930.333333333336</v>
      </c>
    </row>
    <row r="283" spans="1:8" x14ac:dyDescent="0.25">
      <c r="A283" s="7">
        <f>DATE(YEAR(m4_crossvalid[[#This Row],[cutoff]]),MONTH(m4_crossvalid[[#This Row],[cutoff]]),DAY(m4_crossvalid[[#This Row],[cutoff]]))</f>
        <v>45930</v>
      </c>
      <c r="B283" s="7">
        <f>DATE(YEAR(m4_crossvalid[[#This Row],[ds]]),MONTH(m4_crossvalid[[#This Row],[ds]]),DAY(m4_crossvalid[[#This Row],[ds]]))</f>
        <v>45933</v>
      </c>
      <c r="C283">
        <v>996</v>
      </c>
      <c r="D283" s="1">
        <v>45933.333333333336</v>
      </c>
      <c r="E283">
        <v>2709.7283207090427</v>
      </c>
      <c r="F283">
        <v>989.11138531254619</v>
      </c>
      <c r="G283">
        <v>4668.2757864085561</v>
      </c>
      <c r="H283" s="1">
        <v>45930.333333333336</v>
      </c>
    </row>
    <row r="284" spans="1:8" x14ac:dyDescent="0.25">
      <c r="A284" s="7">
        <f>DATE(YEAR(m4_crossvalid[[#This Row],[cutoff]]),MONTH(m4_crossvalid[[#This Row],[cutoff]]),DAY(m4_crossvalid[[#This Row],[cutoff]]))</f>
        <v>45930</v>
      </c>
      <c r="B284" s="7">
        <f>DATE(YEAR(m4_crossvalid[[#This Row],[ds]]),MONTH(m4_crossvalid[[#This Row],[ds]]),DAY(m4_crossvalid[[#This Row],[ds]]))</f>
        <v>45934</v>
      </c>
      <c r="C284">
        <v>141</v>
      </c>
      <c r="D284" s="1">
        <v>45934.333333333336</v>
      </c>
      <c r="E284">
        <v>-672.19405533201461</v>
      </c>
      <c r="F284">
        <v>-2377.9654687125485</v>
      </c>
      <c r="G284">
        <v>1168.9163005934015</v>
      </c>
      <c r="H284" s="1">
        <v>45930.333333333336</v>
      </c>
    </row>
    <row r="285" spans="1:8" x14ac:dyDescent="0.25">
      <c r="A285" s="7">
        <f>DATE(YEAR(m4_crossvalid[[#This Row],[cutoff]]),MONTH(m4_crossvalid[[#This Row],[cutoff]]),DAY(m4_crossvalid[[#This Row],[cutoff]]))</f>
        <v>45930</v>
      </c>
      <c r="B285" s="7">
        <f>DATE(YEAR(m4_crossvalid[[#This Row],[ds]]),MONTH(m4_crossvalid[[#This Row],[ds]]),DAY(m4_crossvalid[[#This Row],[ds]]))</f>
        <v>45935</v>
      </c>
      <c r="C285">
        <v>38</v>
      </c>
      <c r="D285" s="1">
        <v>45935.333333333336</v>
      </c>
      <c r="E285">
        <v>-1405.7408603489448</v>
      </c>
      <c r="F285">
        <v>-3278.7615475143407</v>
      </c>
      <c r="G285">
        <v>497.45475656283617</v>
      </c>
      <c r="H285" s="1">
        <v>45930.333333333336</v>
      </c>
    </row>
    <row r="286" spans="1:8" x14ac:dyDescent="0.25">
      <c r="A286" s="7">
        <f>DATE(YEAR(m4_crossvalid[[#This Row],[cutoff]]),MONTH(m4_crossvalid[[#This Row],[cutoff]]),DAY(m4_crossvalid[[#This Row],[cutoff]]))</f>
        <v>45930</v>
      </c>
      <c r="B286" s="7">
        <f>DATE(YEAR(m4_crossvalid[[#This Row],[ds]]),MONTH(m4_crossvalid[[#This Row],[ds]]),DAY(m4_crossvalid[[#This Row],[ds]]))</f>
        <v>45936</v>
      </c>
      <c r="C286">
        <v>1044</v>
      </c>
      <c r="D286" s="1">
        <v>45936.333333333336</v>
      </c>
      <c r="E286">
        <v>1516.3395820088181</v>
      </c>
      <c r="F286">
        <v>-376.11446966199605</v>
      </c>
      <c r="G286">
        <v>3389.2818175648117</v>
      </c>
      <c r="H286" s="1">
        <v>45930.333333333336</v>
      </c>
    </row>
    <row r="287" spans="1:8" x14ac:dyDescent="0.25">
      <c r="A287" s="7">
        <f>DATE(YEAR(m4_crossvalid[[#This Row],[cutoff]]),MONTH(m4_crossvalid[[#This Row],[cutoff]]),DAY(m4_crossvalid[[#This Row],[cutoff]]))</f>
        <v>45930</v>
      </c>
      <c r="B287" s="7">
        <f>DATE(YEAR(m4_crossvalid[[#This Row],[ds]]),MONTH(m4_crossvalid[[#This Row],[ds]]),DAY(m4_crossvalid[[#This Row],[ds]]))</f>
        <v>45937</v>
      </c>
      <c r="C287">
        <v>1351</v>
      </c>
      <c r="D287" s="1">
        <v>45937.333333333336</v>
      </c>
      <c r="E287">
        <v>2149.0908494621181</v>
      </c>
      <c r="F287">
        <v>311.35500544299856</v>
      </c>
      <c r="G287">
        <v>3884.7102249437921</v>
      </c>
      <c r="H287" s="1">
        <v>45930.333333333336</v>
      </c>
    </row>
    <row r="288" spans="1:8" x14ac:dyDescent="0.25">
      <c r="A288" s="7">
        <f>DATE(YEAR(m4_crossvalid[[#This Row],[cutoff]]),MONTH(m4_crossvalid[[#This Row],[cutoff]]),DAY(m4_crossvalid[[#This Row],[cutoff]]))</f>
        <v>45930</v>
      </c>
      <c r="B288" s="7">
        <f>DATE(YEAR(m4_crossvalid[[#This Row],[ds]]),MONTH(m4_crossvalid[[#This Row],[ds]]),DAY(m4_crossvalid[[#This Row],[ds]]))</f>
        <v>45938</v>
      </c>
      <c r="C288">
        <v>1654</v>
      </c>
      <c r="D288" s="1">
        <v>45938.333333333336</v>
      </c>
      <c r="E288">
        <v>2275.4989364023459</v>
      </c>
      <c r="F288">
        <v>452.25984527530795</v>
      </c>
      <c r="G288">
        <v>4197.7769877917881</v>
      </c>
      <c r="H288" s="1">
        <v>45930.333333333336</v>
      </c>
    </row>
    <row r="289" spans="1:8" x14ac:dyDescent="0.25">
      <c r="A289" s="7">
        <f>DATE(YEAR(m4_crossvalid[[#This Row],[cutoff]]),MONTH(m4_crossvalid[[#This Row],[cutoff]]),DAY(m4_crossvalid[[#This Row],[cutoff]]))</f>
        <v>45930</v>
      </c>
      <c r="B289" s="7">
        <f>DATE(YEAR(m4_crossvalid[[#This Row],[ds]]),MONTH(m4_crossvalid[[#This Row],[ds]]),DAY(m4_crossvalid[[#This Row],[ds]]))</f>
        <v>45939</v>
      </c>
      <c r="C289">
        <v>2108</v>
      </c>
      <c r="D289" s="1">
        <v>45939.333333333336</v>
      </c>
      <c r="E289">
        <v>2147.833206146458</v>
      </c>
      <c r="F289">
        <v>232.38535181428605</v>
      </c>
      <c r="G289">
        <v>3961.7984710197525</v>
      </c>
      <c r="H289" s="1">
        <v>45930.333333333336</v>
      </c>
    </row>
    <row r="290" spans="1:8" x14ac:dyDescent="0.25">
      <c r="A290" s="7">
        <f>DATE(YEAR(m4_crossvalid[[#This Row],[cutoff]]),MONTH(m4_crossvalid[[#This Row],[cutoff]]),DAY(m4_crossvalid[[#This Row],[cutoff]]))</f>
        <v>45930</v>
      </c>
      <c r="B290" s="7">
        <f>DATE(YEAR(m4_crossvalid[[#This Row],[ds]]),MONTH(m4_crossvalid[[#This Row],[ds]]),DAY(m4_crossvalid[[#This Row],[ds]]))</f>
        <v>45940</v>
      </c>
      <c r="C290">
        <v>2215</v>
      </c>
      <c r="D290" s="1">
        <v>45940.333333333336</v>
      </c>
      <c r="E290">
        <v>1999.9790133113897</v>
      </c>
      <c r="F290">
        <v>22.720259910576225</v>
      </c>
      <c r="G290">
        <v>3744.1002299672173</v>
      </c>
      <c r="H290" s="1">
        <v>45930.333333333336</v>
      </c>
    </row>
    <row r="291" spans="1:8" x14ac:dyDescent="0.25">
      <c r="A291" s="7">
        <f>DATE(YEAR(m4_crossvalid[[#This Row],[cutoff]]),MONTH(m4_crossvalid[[#This Row],[cutoff]]),DAY(m4_crossvalid[[#This Row],[cutoff]]))</f>
        <v>45930</v>
      </c>
      <c r="B291" s="7">
        <f>DATE(YEAR(m4_crossvalid[[#This Row],[ds]]),MONTH(m4_crossvalid[[#This Row],[ds]]),DAY(m4_crossvalid[[#This Row],[ds]]))</f>
        <v>45941</v>
      </c>
      <c r="C291">
        <v>380</v>
      </c>
      <c r="D291" s="1">
        <v>45941.333333333336</v>
      </c>
      <c r="E291">
        <v>-45.376857454546098</v>
      </c>
      <c r="F291">
        <v>-1957.0345655700107</v>
      </c>
      <c r="G291">
        <v>1662.8972740112845</v>
      </c>
      <c r="H291" s="1">
        <v>45930.333333333336</v>
      </c>
    </row>
    <row r="292" spans="1:8" x14ac:dyDescent="0.25">
      <c r="A292" s="7">
        <f>DATE(YEAR(m4_crossvalid[[#This Row],[cutoff]]),MONTH(m4_crossvalid[[#This Row],[cutoff]]),DAY(m4_crossvalid[[#This Row],[cutoff]]))</f>
        <v>45930</v>
      </c>
      <c r="B292" s="7">
        <f>DATE(YEAR(m4_crossvalid[[#This Row],[ds]]),MONTH(m4_crossvalid[[#This Row],[ds]]),DAY(m4_crossvalid[[#This Row],[ds]]))</f>
        <v>45942</v>
      </c>
      <c r="C292">
        <v>120</v>
      </c>
      <c r="D292" s="1">
        <v>45942.333333333336</v>
      </c>
      <c r="E292">
        <v>-242.33712261265282</v>
      </c>
      <c r="F292">
        <v>-2036.1230385910035</v>
      </c>
      <c r="G292">
        <v>1594.520504057564</v>
      </c>
      <c r="H292" s="1">
        <v>45930.333333333336</v>
      </c>
    </row>
    <row r="293" spans="1:8" x14ac:dyDescent="0.25">
      <c r="A293" s="7">
        <f>DATE(YEAR(m4_crossvalid[[#This Row],[cutoff]]),MONTH(m4_crossvalid[[#This Row],[cutoff]]),DAY(m4_crossvalid[[#This Row],[cutoff]]))</f>
        <v>45930</v>
      </c>
      <c r="B293" s="7">
        <f>DATE(YEAR(m4_crossvalid[[#This Row],[ds]]),MONTH(m4_crossvalid[[#This Row],[ds]]),DAY(m4_crossvalid[[#This Row],[ds]]))</f>
        <v>45943</v>
      </c>
      <c r="C293">
        <v>2406</v>
      </c>
      <c r="D293" s="1">
        <v>45943.333333333336</v>
      </c>
      <c r="E293">
        <v>2501.2157295681959</v>
      </c>
      <c r="F293">
        <v>585.29960559605388</v>
      </c>
      <c r="G293">
        <v>4189.0858607726968</v>
      </c>
      <c r="H293" s="1">
        <v>45930.333333333336</v>
      </c>
    </row>
    <row r="294" spans="1:8" x14ac:dyDescent="0.25">
      <c r="A294" s="7">
        <f>DATE(YEAR(m4_crossvalid[[#This Row],[cutoff]]),MONTH(m4_crossvalid[[#This Row],[cutoff]]),DAY(m4_crossvalid[[#This Row],[cutoff]]))</f>
        <v>45930</v>
      </c>
      <c r="B294" s="7">
        <f>DATE(YEAR(m4_crossvalid[[#This Row],[ds]]),MONTH(m4_crossvalid[[#This Row],[ds]]),DAY(m4_crossvalid[[#This Row],[ds]]))</f>
        <v>45944</v>
      </c>
      <c r="C294">
        <v>2958</v>
      </c>
      <c r="D294" s="1">
        <v>45944.333333333336</v>
      </c>
      <c r="E294">
        <v>2717.3042262229465</v>
      </c>
      <c r="F294">
        <v>798.32586741707166</v>
      </c>
      <c r="G294">
        <v>4419.1296306135728</v>
      </c>
      <c r="H294" s="1">
        <v>45930.333333333336</v>
      </c>
    </row>
    <row r="295" spans="1:8" x14ac:dyDescent="0.25">
      <c r="A295" s="7">
        <f>DATE(YEAR(m4_crossvalid[[#This Row],[cutoff]]),MONTH(m4_crossvalid[[#This Row],[cutoff]]),DAY(m4_crossvalid[[#This Row],[cutoff]]))</f>
        <v>45930</v>
      </c>
      <c r="B295" s="7">
        <f>DATE(YEAR(m4_crossvalid[[#This Row],[ds]]),MONTH(m4_crossvalid[[#This Row],[ds]]),DAY(m4_crossvalid[[#This Row],[ds]]))</f>
        <v>45945</v>
      </c>
      <c r="C295">
        <v>3074</v>
      </c>
      <c r="D295" s="1">
        <v>45945.333333333336</v>
      </c>
      <c r="E295">
        <v>2665.5413374170639</v>
      </c>
      <c r="F295">
        <v>929.91490454586688</v>
      </c>
      <c r="G295">
        <v>4687.5637561003405</v>
      </c>
      <c r="H295" s="1">
        <v>45930.333333333336</v>
      </c>
    </row>
    <row r="296" spans="1:8" x14ac:dyDescent="0.25">
      <c r="A296" s="7">
        <f>DATE(YEAR(m4_crossvalid[[#This Row],[cutoff]]),MONTH(m4_crossvalid[[#This Row],[cutoff]]),DAY(m4_crossvalid[[#This Row],[cutoff]]))</f>
        <v>45930</v>
      </c>
      <c r="B296" s="7">
        <f>DATE(YEAR(m4_crossvalid[[#This Row],[ds]]),MONTH(m4_crossvalid[[#This Row],[ds]]),DAY(m4_crossvalid[[#This Row],[ds]]))</f>
        <v>45946</v>
      </c>
      <c r="C296">
        <v>3505</v>
      </c>
      <c r="D296" s="1">
        <v>45946.333333333336</v>
      </c>
      <c r="E296">
        <v>2716.5854396092004</v>
      </c>
      <c r="F296">
        <v>935.00617307856066</v>
      </c>
      <c r="G296">
        <v>4493.8810141373824</v>
      </c>
      <c r="H296" s="1">
        <v>45930.333333333336</v>
      </c>
    </row>
    <row r="297" spans="1:8" x14ac:dyDescent="0.25">
      <c r="A297" s="7">
        <f>DATE(YEAR(m4_crossvalid[[#This Row],[cutoff]]),MONTH(m4_crossvalid[[#This Row],[cutoff]]),DAY(m4_crossvalid[[#This Row],[cutoff]]))</f>
        <v>45930</v>
      </c>
      <c r="B297" s="7">
        <f>DATE(YEAR(m4_crossvalid[[#This Row],[ds]]),MONTH(m4_crossvalid[[#This Row],[ds]]),DAY(m4_crossvalid[[#This Row],[ds]]))</f>
        <v>45947</v>
      </c>
      <c r="C297">
        <v>3630</v>
      </c>
      <c r="D297" s="1">
        <v>45947.333333333336</v>
      </c>
      <c r="E297">
        <v>2842.684543219777</v>
      </c>
      <c r="F297">
        <v>905.86359330641062</v>
      </c>
      <c r="G297">
        <v>4746.4627782098578</v>
      </c>
      <c r="H297" s="1">
        <v>45930.333333333336</v>
      </c>
    </row>
    <row r="298" spans="1:8" x14ac:dyDescent="0.25">
      <c r="A298" s="7">
        <f>DATE(YEAR(m4_crossvalid[[#This Row],[cutoff]]),MONTH(m4_crossvalid[[#This Row],[cutoff]]),DAY(m4_crossvalid[[#This Row],[cutoff]]))</f>
        <v>45930</v>
      </c>
      <c r="B298" s="7">
        <f>DATE(YEAR(m4_crossvalid[[#This Row],[ds]]),MONTH(m4_crossvalid[[#This Row],[ds]]),DAY(m4_crossvalid[[#This Row],[ds]]))</f>
        <v>45948</v>
      </c>
      <c r="C298">
        <v>653</v>
      </c>
      <c r="D298" s="1">
        <v>45948.333333333336</v>
      </c>
      <c r="E298">
        <v>834.87936910627036</v>
      </c>
      <c r="F298">
        <v>-1060.9023442484629</v>
      </c>
      <c r="G298">
        <v>2732.9133965116034</v>
      </c>
      <c r="H298" s="1">
        <v>45930.333333333336</v>
      </c>
    </row>
    <row r="299" spans="1:8" x14ac:dyDescent="0.25">
      <c r="A299" s="7">
        <f>DATE(YEAR(m4_crossvalid[[#This Row],[cutoff]]),MONTH(m4_crossvalid[[#This Row],[cutoff]]),DAY(m4_crossvalid[[#This Row],[cutoff]]))</f>
        <v>45930</v>
      </c>
      <c r="B299" s="7">
        <f>DATE(YEAR(m4_crossvalid[[#This Row],[ds]]),MONTH(m4_crossvalid[[#This Row],[ds]]),DAY(m4_crossvalid[[#This Row],[ds]]))</f>
        <v>45949</v>
      </c>
      <c r="C299">
        <v>180</v>
      </c>
      <c r="D299" s="1">
        <v>45949.333333333336</v>
      </c>
      <c r="E299">
        <v>375.78212174171767</v>
      </c>
      <c r="F299">
        <v>-1402.4568119024684</v>
      </c>
      <c r="G299">
        <v>2289.9077840877476</v>
      </c>
      <c r="H299" s="1">
        <v>45930.333333333336</v>
      </c>
    </row>
    <row r="300" spans="1:8" x14ac:dyDescent="0.25">
      <c r="A300" s="7">
        <f>DATE(YEAR(m4_crossvalid[[#This Row],[cutoff]]),MONTH(m4_crossvalid[[#This Row],[cutoff]]),DAY(m4_crossvalid[[#This Row],[cutoff]]))</f>
        <v>45930</v>
      </c>
      <c r="B300" s="7">
        <f>DATE(YEAR(m4_crossvalid[[#This Row],[ds]]),MONTH(m4_crossvalid[[#This Row],[ds]]),DAY(m4_crossvalid[[#This Row],[ds]]))</f>
        <v>45950</v>
      </c>
      <c r="C300">
        <v>250</v>
      </c>
      <c r="D300" s="1">
        <v>45950.333333333336</v>
      </c>
      <c r="E300">
        <v>999.39191732204381</v>
      </c>
      <c r="F300">
        <v>-882.65820624345452</v>
      </c>
      <c r="G300">
        <v>2760.540276081414</v>
      </c>
      <c r="H300" s="1">
        <v>45930.333333333336</v>
      </c>
    </row>
    <row r="301" spans="1:8" x14ac:dyDescent="0.25">
      <c r="A301" s="7">
        <f>DATE(YEAR(m4_crossvalid[[#This Row],[cutoff]]),MONTH(m4_crossvalid[[#This Row],[cutoff]]),DAY(m4_crossvalid[[#This Row],[cutoff]]))</f>
        <v>45930</v>
      </c>
      <c r="B301" s="7">
        <f>DATE(YEAR(m4_crossvalid[[#This Row],[ds]]),MONTH(m4_crossvalid[[#This Row],[ds]]),DAY(m4_crossvalid[[#This Row],[ds]]))</f>
        <v>45951</v>
      </c>
      <c r="C301">
        <v>2797</v>
      </c>
      <c r="D301" s="1">
        <v>45951.333333333336</v>
      </c>
      <c r="E301">
        <v>2985.510778457146</v>
      </c>
      <c r="F301">
        <v>1140.4215534659324</v>
      </c>
      <c r="G301">
        <v>4859.8858584317932</v>
      </c>
      <c r="H301" s="1">
        <v>45930.333333333336</v>
      </c>
    </row>
    <row r="302" spans="1:8" x14ac:dyDescent="0.25">
      <c r="A302" s="7">
        <f>DATE(YEAR(m4_crossvalid[[#This Row],[cutoff]]),MONTH(m4_crossvalid[[#This Row],[cutoff]]),DAY(m4_crossvalid[[#This Row],[cutoff]]))</f>
        <v>45930</v>
      </c>
      <c r="B302" s="7">
        <f>DATE(YEAR(m4_crossvalid[[#This Row],[ds]]),MONTH(m4_crossvalid[[#This Row],[ds]]),DAY(m4_crossvalid[[#This Row],[ds]]))</f>
        <v>45952</v>
      </c>
      <c r="C302">
        <v>3644</v>
      </c>
      <c r="D302" s="1">
        <v>45952.333333333336</v>
      </c>
      <c r="E302">
        <v>3194.7043419791044</v>
      </c>
      <c r="F302">
        <v>1485.3447270168756</v>
      </c>
      <c r="G302">
        <v>4958.9526874554604</v>
      </c>
      <c r="H302" s="1">
        <v>45930.333333333336</v>
      </c>
    </row>
    <row r="303" spans="1:8" x14ac:dyDescent="0.25">
      <c r="A303" s="7">
        <f>DATE(YEAR(m4_crossvalid[[#This Row],[cutoff]]),MONTH(m4_crossvalid[[#This Row],[cutoff]]),DAY(m4_crossvalid[[#This Row],[cutoff]]))</f>
        <v>45930</v>
      </c>
      <c r="B303" s="7">
        <f>DATE(YEAR(m4_crossvalid[[#This Row],[ds]]),MONTH(m4_crossvalid[[#This Row],[ds]]),DAY(m4_crossvalid[[#This Row],[ds]]))</f>
        <v>45953</v>
      </c>
      <c r="C303">
        <v>4009</v>
      </c>
      <c r="D303" s="1">
        <v>45953.333333333336</v>
      </c>
      <c r="E303">
        <v>3548.7397827830409</v>
      </c>
      <c r="F303">
        <v>1670.1361283602071</v>
      </c>
      <c r="G303">
        <v>5436.3238780504125</v>
      </c>
      <c r="H303" s="1">
        <v>45930.333333333336</v>
      </c>
    </row>
    <row r="304" spans="1:8" x14ac:dyDescent="0.25">
      <c r="A304" s="7">
        <f>DATE(YEAR(m4_crossvalid[[#This Row],[cutoff]]),MONTH(m4_crossvalid[[#This Row],[cutoff]]),DAY(m4_crossvalid[[#This Row],[cutoff]]))</f>
        <v>45930</v>
      </c>
      <c r="B304" s="7">
        <f>DATE(YEAR(m4_crossvalid[[#This Row],[ds]]),MONTH(m4_crossvalid[[#This Row],[ds]]),DAY(m4_crossvalid[[#This Row],[ds]]))</f>
        <v>45954</v>
      </c>
      <c r="C304">
        <v>4008</v>
      </c>
      <c r="D304" s="1">
        <v>45954.333333333336</v>
      </c>
      <c r="E304">
        <v>3726.4526218393135</v>
      </c>
      <c r="F304">
        <v>1724.6828389032441</v>
      </c>
      <c r="G304">
        <v>5574.3556658336583</v>
      </c>
      <c r="H304" s="1">
        <v>45930.333333333336</v>
      </c>
    </row>
    <row r="305" spans="1:8" x14ac:dyDescent="0.25">
      <c r="A305" s="7">
        <f>DATE(YEAR(m4_crossvalid[[#This Row],[cutoff]]),MONTH(m4_crossvalid[[#This Row],[cutoff]]),DAY(m4_crossvalid[[#This Row],[cutoff]]))</f>
        <v>45930</v>
      </c>
      <c r="B305" s="7">
        <f>DATE(YEAR(m4_crossvalid[[#This Row],[ds]]),MONTH(m4_crossvalid[[#This Row],[ds]]),DAY(m4_crossvalid[[#This Row],[ds]]))</f>
        <v>45955</v>
      </c>
      <c r="C305">
        <v>971</v>
      </c>
      <c r="D305" s="1">
        <v>45955.333333333336</v>
      </c>
      <c r="E305">
        <v>1520.2486101665522</v>
      </c>
      <c r="F305">
        <v>-407.36583738721998</v>
      </c>
      <c r="G305">
        <v>3317.2773906796865</v>
      </c>
      <c r="H305" s="1">
        <v>45930.333333333336</v>
      </c>
    </row>
    <row r="306" spans="1:8" x14ac:dyDescent="0.25">
      <c r="A306" s="7">
        <f>DATE(YEAR(m4_crossvalid[[#This Row],[cutoff]]),MONTH(m4_crossvalid[[#This Row],[cutoff]]),DAY(m4_crossvalid[[#This Row],[cutoff]]))</f>
        <v>45930</v>
      </c>
      <c r="B306" s="7">
        <f>DATE(YEAR(m4_crossvalid[[#This Row],[ds]]),MONTH(m4_crossvalid[[#This Row],[ds]]),DAY(m4_crossvalid[[#This Row],[ds]]))</f>
        <v>45956</v>
      </c>
      <c r="C306">
        <v>238</v>
      </c>
      <c r="D306" s="1">
        <v>45956.333333333336</v>
      </c>
      <c r="E306">
        <v>957.31232194471204</v>
      </c>
      <c r="F306">
        <v>-880.75561308704971</v>
      </c>
      <c r="G306">
        <v>2824.159184760631</v>
      </c>
      <c r="H306" s="1">
        <v>45930.333333333336</v>
      </c>
    </row>
    <row r="307" spans="1:8" x14ac:dyDescent="0.25">
      <c r="A307" s="7">
        <f>DATE(YEAR(m4_crossvalid[[#This Row],[cutoff]]),MONTH(m4_crossvalid[[#This Row],[cutoff]]),DAY(m4_crossvalid[[#This Row],[cutoff]]))</f>
        <v>45930</v>
      </c>
      <c r="B307" s="7">
        <f>DATE(YEAR(m4_crossvalid[[#This Row],[ds]]),MONTH(m4_crossvalid[[#This Row],[ds]]),DAY(m4_crossvalid[[#This Row],[ds]]))</f>
        <v>45957</v>
      </c>
      <c r="C307">
        <v>4219</v>
      </c>
      <c r="D307" s="1">
        <v>45957.333333333336</v>
      </c>
      <c r="E307">
        <v>3773.9540762777124</v>
      </c>
      <c r="F307">
        <v>2022.5969602223479</v>
      </c>
      <c r="G307">
        <v>5716.9507074821267</v>
      </c>
      <c r="H307" s="1">
        <v>45930.333333333336</v>
      </c>
    </row>
    <row r="308" spans="1:8" x14ac:dyDescent="0.25">
      <c r="A308" s="7">
        <f>DATE(YEAR(m4_crossvalid[[#This Row],[cutoff]]),MONTH(m4_crossvalid[[#This Row],[cutoff]]),DAY(m4_crossvalid[[#This Row],[cutoff]]))</f>
        <v>45930</v>
      </c>
      <c r="B308" s="7">
        <f>DATE(YEAR(m4_crossvalid[[#This Row],[ds]]),MONTH(m4_crossvalid[[#This Row],[ds]]),DAY(m4_crossvalid[[#This Row],[ds]]))</f>
        <v>45958</v>
      </c>
      <c r="C308">
        <v>5659</v>
      </c>
      <c r="D308" s="1">
        <v>45958.333333333336</v>
      </c>
      <c r="E308">
        <v>4852.423175586282</v>
      </c>
      <c r="F308">
        <v>2919.7210640030726</v>
      </c>
      <c r="G308">
        <v>6672.4558940126499</v>
      </c>
      <c r="H308" s="1">
        <v>45930.333333333336</v>
      </c>
    </row>
    <row r="309" spans="1:8" x14ac:dyDescent="0.25">
      <c r="A309" s="7">
        <f>DATE(YEAR(m4_crossvalid[[#This Row],[cutoff]]),MONTH(m4_crossvalid[[#This Row],[cutoff]]),DAY(m4_crossvalid[[#This Row],[cutoff]]))</f>
        <v>45930</v>
      </c>
      <c r="B309" s="7">
        <f>DATE(YEAR(m4_crossvalid[[#This Row],[ds]]),MONTH(m4_crossvalid[[#This Row],[ds]]),DAY(m4_crossvalid[[#This Row],[ds]]))</f>
        <v>45959</v>
      </c>
      <c r="C309">
        <v>6381</v>
      </c>
      <c r="D309" s="1">
        <v>45959.333333333336</v>
      </c>
      <c r="E309">
        <v>6071.7499791535101</v>
      </c>
      <c r="F309">
        <v>4219.4643022102109</v>
      </c>
      <c r="G309">
        <v>7832.6163500170887</v>
      </c>
      <c r="H309" s="1">
        <v>45930.333333333336</v>
      </c>
    </row>
    <row r="310" spans="1:8" x14ac:dyDescent="0.25">
      <c r="A310" s="7">
        <f>DATE(YEAR(m4_crossvalid[[#This Row],[cutoff]]),MONTH(m4_crossvalid[[#This Row],[cutoff]]),DAY(m4_crossvalid[[#This Row],[cutoff]]))</f>
        <v>45930</v>
      </c>
      <c r="B310" s="7">
        <f>DATE(YEAR(m4_crossvalid[[#This Row],[ds]]),MONTH(m4_crossvalid[[#This Row],[ds]]),DAY(m4_crossvalid[[#This Row],[ds]]))</f>
        <v>45960</v>
      </c>
      <c r="C310">
        <v>7936</v>
      </c>
      <c r="D310" s="1">
        <v>45960.333333333336</v>
      </c>
      <c r="E310">
        <v>6909.4225161388194</v>
      </c>
      <c r="F310">
        <v>5044.6789259105599</v>
      </c>
      <c r="G310">
        <v>8818.9554307058461</v>
      </c>
      <c r="H310" s="1">
        <v>45930.333333333336</v>
      </c>
    </row>
    <row r="311" spans="1:8" x14ac:dyDescent="0.25">
      <c r="A311" s="7">
        <f>DATE(YEAR(m4_crossvalid[[#This Row],[cutoff]]),MONTH(m4_crossvalid[[#This Row],[cutoff]]),DAY(m4_crossvalid[[#This Row],[cutoff]]))</f>
        <v>45930</v>
      </c>
      <c r="B311" s="7">
        <f>DATE(YEAR(m4_crossvalid[[#This Row],[ds]]),MONTH(m4_crossvalid[[#This Row],[ds]]),DAY(m4_crossvalid[[#This Row],[ds]]))</f>
        <v>45961</v>
      </c>
      <c r="C311">
        <v>13386</v>
      </c>
      <c r="D311" s="1">
        <v>45961.333333333336</v>
      </c>
      <c r="E311">
        <v>6635.1074881935692</v>
      </c>
      <c r="F311">
        <v>4663.3298811384766</v>
      </c>
      <c r="G311">
        <v>8334.3239524376677</v>
      </c>
      <c r="H311" s="1">
        <v>45930.333333333336</v>
      </c>
    </row>
    <row r="312" spans="1:8" x14ac:dyDescent="0.25">
      <c r="A312" s="7">
        <f>DATE(YEAR(m4_crossvalid[[#This Row],[cutoff]]),MONTH(m4_crossvalid[[#This Row],[cutoff]]),DAY(m4_crossvalid[[#This Row],[cutoff]]))</f>
        <v>45961</v>
      </c>
      <c r="B312" s="7">
        <f>DATE(YEAR(m4_crossvalid[[#This Row],[ds]]),MONTH(m4_crossvalid[[#This Row],[ds]]),DAY(m4_crossvalid[[#This Row],[ds]]))</f>
        <v>45962</v>
      </c>
      <c r="C312">
        <v>104</v>
      </c>
      <c r="D312" s="1">
        <v>45962.333333333336</v>
      </c>
      <c r="E312">
        <v>3217.772971954716</v>
      </c>
      <c r="F312">
        <v>1454.3653849032175</v>
      </c>
      <c r="G312">
        <v>4905.125536261362</v>
      </c>
      <c r="H312" s="1">
        <v>45961.333333333336</v>
      </c>
    </row>
    <row r="313" spans="1:8" x14ac:dyDescent="0.25">
      <c r="A313" s="7">
        <f>DATE(YEAR(m4_crossvalid[[#This Row],[cutoff]]),MONTH(m4_crossvalid[[#This Row],[cutoff]]),DAY(m4_crossvalid[[#This Row],[cutoff]]))</f>
        <v>45961</v>
      </c>
      <c r="B313" s="7">
        <f>DATE(YEAR(m4_crossvalid[[#This Row],[ds]]),MONTH(m4_crossvalid[[#This Row],[ds]]),DAY(m4_crossvalid[[#This Row],[ds]]))</f>
        <v>45963</v>
      </c>
      <c r="C313">
        <v>32</v>
      </c>
      <c r="D313" s="1">
        <v>45963.333333333336</v>
      </c>
      <c r="E313">
        <v>851.16250292585732</v>
      </c>
      <c r="F313">
        <v>-1092.4031110623582</v>
      </c>
      <c r="G313">
        <v>2733.7908037913862</v>
      </c>
      <c r="H313" s="1">
        <v>45961.333333333336</v>
      </c>
    </row>
    <row r="314" spans="1:8" x14ac:dyDescent="0.25">
      <c r="A314" s="7">
        <f>DATE(YEAR(m4_crossvalid[[#This Row],[cutoff]]),MONTH(m4_crossvalid[[#This Row],[cutoff]]),DAY(m4_crossvalid[[#This Row],[cutoff]]))</f>
        <v>45961</v>
      </c>
      <c r="B314" s="7">
        <f>DATE(YEAR(m4_crossvalid[[#This Row],[ds]]),MONTH(m4_crossvalid[[#This Row],[ds]]),DAY(m4_crossvalid[[#This Row],[ds]]))</f>
        <v>45964</v>
      </c>
      <c r="C314">
        <v>607</v>
      </c>
      <c r="D314" s="1">
        <v>45964.333333333336</v>
      </c>
      <c r="E314">
        <v>1892.0069993033756</v>
      </c>
      <c r="F314">
        <v>41.284747728593771</v>
      </c>
      <c r="G314">
        <v>3736.399304235124</v>
      </c>
      <c r="H314" s="1">
        <v>45961.333333333336</v>
      </c>
    </row>
    <row r="315" spans="1:8" x14ac:dyDescent="0.25">
      <c r="A315" s="7">
        <f>DATE(YEAR(m4_crossvalid[[#This Row],[cutoff]]),MONTH(m4_crossvalid[[#This Row],[cutoff]]),DAY(m4_crossvalid[[#This Row],[cutoff]]))</f>
        <v>45961</v>
      </c>
      <c r="B315" s="7">
        <f>DATE(YEAR(m4_crossvalid[[#This Row],[ds]]),MONTH(m4_crossvalid[[#This Row],[ds]]),DAY(m4_crossvalid[[#This Row],[ds]]))</f>
        <v>45965</v>
      </c>
      <c r="C315">
        <v>821</v>
      </c>
      <c r="D315" s="1">
        <v>45965.333333333336</v>
      </c>
      <c r="E315">
        <v>1526.2831121151708</v>
      </c>
      <c r="F315">
        <v>-341.03064978834971</v>
      </c>
      <c r="G315">
        <v>3388.8886109318214</v>
      </c>
      <c r="H315" s="1">
        <v>45961.333333333336</v>
      </c>
    </row>
    <row r="316" spans="1:8" x14ac:dyDescent="0.25">
      <c r="A316" s="7">
        <f>DATE(YEAR(m4_crossvalid[[#This Row],[cutoff]]),MONTH(m4_crossvalid[[#This Row],[cutoff]]),DAY(m4_crossvalid[[#This Row],[cutoff]]))</f>
        <v>45961</v>
      </c>
      <c r="B316" s="7">
        <f>DATE(YEAR(m4_crossvalid[[#This Row],[ds]]),MONTH(m4_crossvalid[[#This Row],[ds]]),DAY(m4_crossvalid[[#This Row],[ds]]))</f>
        <v>45966</v>
      </c>
      <c r="C316">
        <v>1032</v>
      </c>
      <c r="D316" s="1">
        <v>45966.333333333336</v>
      </c>
      <c r="E316">
        <v>1723.8484820113586</v>
      </c>
      <c r="F316">
        <v>74.565293081548376</v>
      </c>
      <c r="G316">
        <v>3535.6282007021041</v>
      </c>
      <c r="H316" s="1">
        <v>45961.333333333336</v>
      </c>
    </row>
    <row r="317" spans="1:8" x14ac:dyDescent="0.25">
      <c r="A317" s="7">
        <f>DATE(YEAR(m4_crossvalid[[#This Row],[cutoff]]),MONTH(m4_crossvalid[[#This Row],[cutoff]]),DAY(m4_crossvalid[[#This Row],[cutoff]]))</f>
        <v>45961</v>
      </c>
      <c r="B317" s="7">
        <f>DATE(YEAR(m4_crossvalid[[#This Row],[ds]]),MONTH(m4_crossvalid[[#This Row],[ds]]),DAY(m4_crossvalid[[#This Row],[ds]]))</f>
        <v>45967</v>
      </c>
      <c r="C317">
        <v>1396</v>
      </c>
      <c r="D317" s="1">
        <v>45967.333333333336</v>
      </c>
      <c r="E317">
        <v>2179.3385163947687</v>
      </c>
      <c r="F317">
        <v>371.81960545044285</v>
      </c>
      <c r="G317">
        <v>4127.5253429163331</v>
      </c>
      <c r="H317" s="1">
        <v>45961.333333333336</v>
      </c>
    </row>
    <row r="318" spans="1:8" x14ac:dyDescent="0.25">
      <c r="A318" s="7">
        <f>DATE(YEAR(m4_crossvalid[[#This Row],[cutoff]]),MONTH(m4_crossvalid[[#This Row],[cutoff]]),DAY(m4_crossvalid[[#This Row],[cutoff]]))</f>
        <v>45961</v>
      </c>
      <c r="B318" s="7">
        <f>DATE(YEAR(m4_crossvalid[[#This Row],[ds]]),MONTH(m4_crossvalid[[#This Row],[ds]]),DAY(m4_crossvalid[[#This Row],[ds]]))</f>
        <v>45968</v>
      </c>
      <c r="C318">
        <v>1612</v>
      </c>
      <c r="D318" s="1">
        <v>45968.333333333336</v>
      </c>
      <c r="E318">
        <v>2318.5420492130984</v>
      </c>
      <c r="F318">
        <v>548.49577311455187</v>
      </c>
      <c r="G318">
        <v>4210.676274311134</v>
      </c>
      <c r="H318" s="1">
        <v>45961.333333333336</v>
      </c>
    </row>
    <row r="319" spans="1:8" x14ac:dyDescent="0.25">
      <c r="A319" s="7">
        <f>DATE(YEAR(m4_crossvalid[[#This Row],[cutoff]]),MONTH(m4_crossvalid[[#This Row],[cutoff]]),DAY(m4_crossvalid[[#This Row],[cutoff]]))</f>
        <v>45961</v>
      </c>
      <c r="B319" s="7">
        <f>DATE(YEAR(m4_crossvalid[[#This Row],[ds]]),MONTH(m4_crossvalid[[#This Row],[ds]]),DAY(m4_crossvalid[[#This Row],[ds]]))</f>
        <v>45969</v>
      </c>
      <c r="C319">
        <v>206</v>
      </c>
      <c r="D319" s="1">
        <v>45969.333333333336</v>
      </c>
      <c r="E319">
        <v>-56.979922623740094</v>
      </c>
      <c r="F319">
        <v>-2069.1077917968851</v>
      </c>
      <c r="G319">
        <v>1790.6455187874078</v>
      </c>
      <c r="H319" s="1">
        <v>45961.333333333336</v>
      </c>
    </row>
    <row r="320" spans="1:8" x14ac:dyDescent="0.25">
      <c r="A320" s="7">
        <f>DATE(YEAR(m4_crossvalid[[#This Row],[cutoff]]),MONTH(m4_crossvalid[[#This Row],[cutoff]]),DAY(m4_crossvalid[[#This Row],[cutoff]]))</f>
        <v>45961</v>
      </c>
      <c r="B320" s="7">
        <f>DATE(YEAR(m4_crossvalid[[#This Row],[ds]]),MONTH(m4_crossvalid[[#This Row],[ds]]),DAY(m4_crossvalid[[#This Row],[ds]]))</f>
        <v>45970</v>
      </c>
      <c r="C320">
        <v>95</v>
      </c>
      <c r="D320" s="1">
        <v>45970.333333333336</v>
      </c>
      <c r="E320">
        <v>-700.48407690757676</v>
      </c>
      <c r="F320">
        <v>-2422.6427770943633</v>
      </c>
      <c r="G320">
        <v>1149.7215019119881</v>
      </c>
      <c r="H320" s="1">
        <v>45961.333333333336</v>
      </c>
    </row>
    <row r="321" spans="1:8" x14ac:dyDescent="0.25">
      <c r="A321" s="7">
        <f>DATE(YEAR(m4_crossvalid[[#This Row],[cutoff]]),MONTH(m4_crossvalid[[#This Row],[cutoff]]),DAY(m4_crossvalid[[#This Row],[cutoff]]))</f>
        <v>45961</v>
      </c>
      <c r="B321" s="7">
        <f>DATE(YEAR(m4_crossvalid[[#This Row],[ds]]),MONTH(m4_crossvalid[[#This Row],[ds]]),DAY(m4_crossvalid[[#This Row],[ds]]))</f>
        <v>45971</v>
      </c>
      <c r="C321">
        <v>1552</v>
      </c>
      <c r="D321" s="1">
        <v>45971.333333333336</v>
      </c>
      <c r="E321">
        <v>1954.3570587808274</v>
      </c>
      <c r="F321">
        <v>77.388562016059069</v>
      </c>
      <c r="G321">
        <v>3752.3909604344826</v>
      </c>
      <c r="H321" s="1">
        <v>45961.333333333336</v>
      </c>
    </row>
    <row r="322" spans="1:8" x14ac:dyDescent="0.25">
      <c r="A322" s="7">
        <f>DATE(YEAR(m4_crossvalid[[#This Row],[cutoff]]),MONTH(m4_crossvalid[[#This Row],[cutoff]]),DAY(m4_crossvalid[[#This Row],[cutoff]]))</f>
        <v>45961</v>
      </c>
      <c r="B322" s="7">
        <f>DATE(YEAR(m4_crossvalid[[#This Row],[ds]]),MONTH(m4_crossvalid[[#This Row],[ds]]),DAY(m4_crossvalid[[#This Row],[ds]]))</f>
        <v>45972</v>
      </c>
      <c r="C322">
        <v>1937</v>
      </c>
      <c r="D322" s="1">
        <v>45972.333333333336</v>
      </c>
      <c r="E322">
        <v>2534.5882597004588</v>
      </c>
      <c r="F322">
        <v>551.24431345474284</v>
      </c>
      <c r="G322">
        <v>4352.4551797177246</v>
      </c>
      <c r="H322" s="1">
        <v>45961.333333333336</v>
      </c>
    </row>
    <row r="323" spans="1:8" x14ac:dyDescent="0.25">
      <c r="A323" s="7">
        <f>DATE(YEAR(m4_crossvalid[[#This Row],[cutoff]]),MONTH(m4_crossvalid[[#This Row],[cutoff]]),DAY(m4_crossvalid[[#This Row],[cutoff]]))</f>
        <v>45961</v>
      </c>
      <c r="B323" s="7">
        <f>DATE(YEAR(m4_crossvalid[[#This Row],[ds]]),MONTH(m4_crossvalid[[#This Row],[ds]]),DAY(m4_crossvalid[[#This Row],[ds]]))</f>
        <v>45973</v>
      </c>
      <c r="C323">
        <v>2198</v>
      </c>
      <c r="D323" s="1">
        <v>45973.333333333336</v>
      </c>
      <c r="E323">
        <v>2857.007340337268</v>
      </c>
      <c r="F323">
        <v>962.30482953651028</v>
      </c>
      <c r="G323">
        <v>4665.7234390679369</v>
      </c>
      <c r="H323" s="1">
        <v>45961.333333333336</v>
      </c>
    </row>
    <row r="324" spans="1:8" x14ac:dyDescent="0.25">
      <c r="A324" s="7">
        <f>DATE(YEAR(m4_crossvalid[[#This Row],[cutoff]]),MONTH(m4_crossvalid[[#This Row],[cutoff]]),DAY(m4_crossvalid[[#This Row],[cutoff]]))</f>
        <v>45961</v>
      </c>
      <c r="B324" s="7">
        <f>DATE(YEAR(m4_crossvalid[[#This Row],[ds]]),MONTH(m4_crossvalid[[#This Row],[ds]]),DAY(m4_crossvalid[[#This Row],[ds]]))</f>
        <v>45974</v>
      </c>
      <c r="C324">
        <v>2401</v>
      </c>
      <c r="D324" s="1">
        <v>45974.333333333336</v>
      </c>
      <c r="E324">
        <v>2949.6792919620143</v>
      </c>
      <c r="F324">
        <v>1096.9132191799522</v>
      </c>
      <c r="G324">
        <v>4694.0457561442272</v>
      </c>
      <c r="H324" s="1">
        <v>45961.333333333336</v>
      </c>
    </row>
    <row r="325" spans="1:8" x14ac:dyDescent="0.25">
      <c r="A325" s="7">
        <f>DATE(YEAR(m4_crossvalid[[#This Row],[cutoff]]),MONTH(m4_crossvalid[[#This Row],[cutoff]]),DAY(m4_crossvalid[[#This Row],[cutoff]]))</f>
        <v>45961</v>
      </c>
      <c r="B325" s="7">
        <f>DATE(YEAR(m4_crossvalid[[#This Row],[ds]]),MONTH(m4_crossvalid[[#This Row],[ds]]),DAY(m4_crossvalid[[#This Row],[ds]]))</f>
        <v>45975</v>
      </c>
      <c r="C325">
        <v>2547</v>
      </c>
      <c r="D325" s="1">
        <v>45975.333333333336</v>
      </c>
      <c r="E325">
        <v>2769.2420279016123</v>
      </c>
      <c r="F325">
        <v>784.04947244219989</v>
      </c>
      <c r="G325">
        <v>4620.2333542814558</v>
      </c>
      <c r="H325" s="1">
        <v>45961.333333333336</v>
      </c>
    </row>
    <row r="326" spans="1:8" x14ac:dyDescent="0.25">
      <c r="A326" s="7">
        <f>DATE(YEAR(m4_crossvalid[[#This Row],[cutoff]]),MONTH(m4_crossvalid[[#This Row],[cutoff]]),DAY(m4_crossvalid[[#This Row],[cutoff]]))</f>
        <v>45961</v>
      </c>
      <c r="B326" s="7">
        <f>DATE(YEAR(m4_crossvalid[[#This Row],[ds]]),MONTH(m4_crossvalid[[#This Row],[ds]]),DAY(m4_crossvalid[[#This Row],[ds]]))</f>
        <v>45976</v>
      </c>
      <c r="C326">
        <v>773</v>
      </c>
      <c r="D326" s="1">
        <v>45976.333333333336</v>
      </c>
      <c r="E326">
        <v>424.11419375261858</v>
      </c>
      <c r="F326">
        <v>-1467.91663341301</v>
      </c>
      <c r="G326">
        <v>2393.4788191845541</v>
      </c>
      <c r="H326" s="1">
        <v>45961.333333333336</v>
      </c>
    </row>
    <row r="327" spans="1:8" x14ac:dyDescent="0.25">
      <c r="A327" s="7">
        <f>DATE(YEAR(m4_crossvalid[[#This Row],[cutoff]]),MONTH(m4_crossvalid[[#This Row],[cutoff]]),DAY(m4_crossvalid[[#This Row],[cutoff]]))</f>
        <v>45961</v>
      </c>
      <c r="B327" s="7">
        <f>DATE(YEAR(m4_crossvalid[[#This Row],[ds]]),MONTH(m4_crossvalid[[#This Row],[ds]]),DAY(m4_crossvalid[[#This Row],[ds]]))</f>
        <v>45977</v>
      </c>
      <c r="C327">
        <v>113</v>
      </c>
      <c r="D327" s="1">
        <v>45977.333333333336</v>
      </c>
      <c r="E327">
        <v>48.777974140298738</v>
      </c>
      <c r="F327">
        <v>-1991.1039709552499</v>
      </c>
      <c r="G327">
        <v>1858.1332698304936</v>
      </c>
      <c r="H327" s="1">
        <v>45961.333333333336</v>
      </c>
    </row>
    <row r="328" spans="1:8" x14ac:dyDescent="0.25">
      <c r="A328" s="7">
        <f>DATE(YEAR(m4_crossvalid[[#This Row],[cutoff]]),MONTH(m4_crossvalid[[#This Row],[cutoff]]),DAY(m4_crossvalid[[#This Row],[cutoff]]))</f>
        <v>45961</v>
      </c>
      <c r="B328" s="7">
        <f>DATE(YEAR(m4_crossvalid[[#This Row],[ds]]),MONTH(m4_crossvalid[[#This Row],[ds]]),DAY(m4_crossvalid[[#This Row],[ds]]))</f>
        <v>45978</v>
      </c>
      <c r="C328">
        <v>2849</v>
      </c>
      <c r="D328" s="1">
        <v>45978.333333333336</v>
      </c>
      <c r="E328">
        <v>2862.6035132237103</v>
      </c>
      <c r="F328">
        <v>990.14931694081054</v>
      </c>
      <c r="G328">
        <v>4608.7542978201391</v>
      </c>
      <c r="H328" s="1">
        <v>45961.333333333336</v>
      </c>
    </row>
    <row r="329" spans="1:8" x14ac:dyDescent="0.25">
      <c r="A329" s="7">
        <f>DATE(YEAR(m4_crossvalid[[#This Row],[cutoff]]),MONTH(m4_crossvalid[[#This Row],[cutoff]]),DAY(m4_crossvalid[[#This Row],[cutoff]]))</f>
        <v>45961</v>
      </c>
      <c r="B329" s="7">
        <f>DATE(YEAR(m4_crossvalid[[#This Row],[ds]]),MONTH(m4_crossvalid[[#This Row],[ds]]),DAY(m4_crossvalid[[#This Row],[ds]]))</f>
        <v>45979</v>
      </c>
      <c r="C329">
        <v>3351</v>
      </c>
      <c r="D329" s="1">
        <v>45979.333333333336</v>
      </c>
      <c r="E329">
        <v>3283.0396918797665</v>
      </c>
      <c r="F329">
        <v>1360.4176379932467</v>
      </c>
      <c r="G329">
        <v>5166.0128488970486</v>
      </c>
      <c r="H329" s="1">
        <v>45961.333333333336</v>
      </c>
    </row>
    <row r="330" spans="1:8" x14ac:dyDescent="0.25">
      <c r="A330" s="7">
        <f>DATE(YEAR(m4_crossvalid[[#This Row],[cutoff]]),MONTH(m4_crossvalid[[#This Row],[cutoff]]),DAY(m4_crossvalid[[#This Row],[cutoff]]))</f>
        <v>45961</v>
      </c>
      <c r="B330" s="7">
        <f>DATE(YEAR(m4_crossvalid[[#This Row],[ds]]),MONTH(m4_crossvalid[[#This Row],[ds]]),DAY(m4_crossvalid[[#This Row],[ds]]))</f>
        <v>45980</v>
      </c>
      <c r="C330">
        <v>3248</v>
      </c>
      <c r="D330" s="1">
        <v>45980.333333333336</v>
      </c>
      <c r="E330">
        <v>3259.6706555649725</v>
      </c>
      <c r="F330">
        <v>1530.8518397730804</v>
      </c>
      <c r="G330">
        <v>5132.7511248892333</v>
      </c>
      <c r="H330" s="1">
        <v>45961.333333333336</v>
      </c>
    </row>
    <row r="331" spans="1:8" x14ac:dyDescent="0.25">
      <c r="A331" s="7">
        <f>DATE(YEAR(m4_crossvalid[[#This Row],[cutoff]]),MONTH(m4_crossvalid[[#This Row],[cutoff]]),DAY(m4_crossvalid[[#This Row],[cutoff]]))</f>
        <v>45961</v>
      </c>
      <c r="B331" s="7">
        <f>DATE(YEAR(m4_crossvalid[[#This Row],[ds]]),MONTH(m4_crossvalid[[#This Row],[ds]]),DAY(m4_crossvalid[[#This Row],[ds]]))</f>
        <v>45981</v>
      </c>
      <c r="C331">
        <v>3581</v>
      </c>
      <c r="D331" s="1">
        <v>45981.333333333336</v>
      </c>
      <c r="E331">
        <v>3150.3301116788325</v>
      </c>
      <c r="F331">
        <v>1409.4483557735921</v>
      </c>
      <c r="G331">
        <v>5104.8175669155389</v>
      </c>
      <c r="H331" s="1">
        <v>45961.333333333336</v>
      </c>
    </row>
    <row r="332" spans="1:8" x14ac:dyDescent="0.25">
      <c r="A332" s="7">
        <f>DATE(YEAR(m4_crossvalid[[#This Row],[cutoff]]),MONTH(m4_crossvalid[[#This Row],[cutoff]]),DAY(m4_crossvalid[[#This Row],[cutoff]]))</f>
        <v>45961</v>
      </c>
      <c r="B332" s="7">
        <f>DATE(YEAR(m4_crossvalid[[#This Row],[ds]]),MONTH(m4_crossvalid[[#This Row],[ds]]),DAY(m4_crossvalid[[#This Row],[ds]]))</f>
        <v>45982</v>
      </c>
      <c r="C332">
        <v>3622</v>
      </c>
      <c r="D332" s="1">
        <v>45982.333333333336</v>
      </c>
      <c r="E332">
        <v>3099.5828785266681</v>
      </c>
      <c r="F332">
        <v>1377.0521059760251</v>
      </c>
      <c r="G332">
        <v>4924.4371100245808</v>
      </c>
      <c r="H332" s="1">
        <v>45961.333333333336</v>
      </c>
    </row>
    <row r="333" spans="1:8" x14ac:dyDescent="0.25">
      <c r="A333" s="7">
        <f>DATE(YEAR(m4_crossvalid[[#This Row],[cutoff]]),MONTH(m4_crossvalid[[#This Row],[cutoff]]),DAY(m4_crossvalid[[#This Row],[cutoff]]))</f>
        <v>45961</v>
      </c>
      <c r="B333" s="7">
        <f>DATE(YEAR(m4_crossvalid[[#This Row],[ds]]),MONTH(m4_crossvalid[[#This Row],[ds]]),DAY(m4_crossvalid[[#This Row],[ds]]))</f>
        <v>45983</v>
      </c>
      <c r="C333">
        <v>783</v>
      </c>
      <c r="D333" s="1">
        <v>45983.333333333336</v>
      </c>
      <c r="E333">
        <v>1070.8239087867437</v>
      </c>
      <c r="F333">
        <v>-820.57514042414516</v>
      </c>
      <c r="G333">
        <v>2934.4242148252438</v>
      </c>
      <c r="H333" s="1">
        <v>45961.333333333336</v>
      </c>
    </row>
    <row r="334" spans="1:8" x14ac:dyDescent="0.25">
      <c r="A334" s="7">
        <f>DATE(YEAR(m4_crossvalid[[#This Row],[cutoff]]),MONTH(m4_crossvalid[[#This Row],[cutoff]]),DAY(m4_crossvalid[[#This Row],[cutoff]]))</f>
        <v>45961</v>
      </c>
      <c r="B334" s="7">
        <f>DATE(YEAR(m4_crossvalid[[#This Row],[ds]]),MONTH(m4_crossvalid[[#This Row],[ds]]),DAY(m4_crossvalid[[#This Row],[ds]]))</f>
        <v>45984</v>
      </c>
      <c r="C334">
        <v>188</v>
      </c>
      <c r="D334" s="1">
        <v>45984.333333333336</v>
      </c>
      <c r="E334">
        <v>870.96249636694415</v>
      </c>
      <c r="F334">
        <v>-1039.6834098974587</v>
      </c>
      <c r="G334">
        <v>2840.3663032526129</v>
      </c>
      <c r="H334" s="1">
        <v>45961.333333333336</v>
      </c>
    </row>
    <row r="335" spans="1:8" x14ac:dyDescent="0.25">
      <c r="A335" s="7">
        <f>DATE(YEAR(m4_crossvalid[[#This Row],[cutoff]]),MONTH(m4_crossvalid[[#This Row],[cutoff]]),DAY(m4_crossvalid[[#This Row],[cutoff]]))</f>
        <v>45961</v>
      </c>
      <c r="B335" s="7">
        <f>DATE(YEAR(m4_crossvalid[[#This Row],[ds]]),MONTH(m4_crossvalid[[#This Row],[ds]]),DAY(m4_crossvalid[[#This Row],[ds]]))</f>
        <v>45985</v>
      </c>
      <c r="C335">
        <v>3515</v>
      </c>
      <c r="D335" s="1">
        <v>45985.333333333336</v>
      </c>
      <c r="E335">
        <v>3558.5340245849175</v>
      </c>
      <c r="F335">
        <v>1698.9375757672055</v>
      </c>
      <c r="G335">
        <v>5430.3037962195767</v>
      </c>
      <c r="H335" s="1">
        <v>45961.333333333336</v>
      </c>
    </row>
    <row r="336" spans="1:8" x14ac:dyDescent="0.25">
      <c r="A336" s="7">
        <f>DATE(YEAR(m4_crossvalid[[#This Row],[cutoff]]),MONTH(m4_crossvalid[[#This Row],[cutoff]]),DAY(m4_crossvalid[[#This Row],[cutoff]]))</f>
        <v>45961</v>
      </c>
      <c r="B336" s="7">
        <f>DATE(YEAR(m4_crossvalid[[#This Row],[ds]]),MONTH(m4_crossvalid[[#This Row],[ds]]),DAY(m4_crossvalid[[#This Row],[ds]]))</f>
        <v>45986</v>
      </c>
      <c r="C336">
        <v>4824</v>
      </c>
      <c r="D336" s="1">
        <v>45986.333333333336</v>
      </c>
      <c r="E336">
        <v>3760.7824825792086</v>
      </c>
      <c r="F336">
        <v>1838.6503085963993</v>
      </c>
      <c r="G336">
        <v>5573.0127311817732</v>
      </c>
      <c r="H336" s="1">
        <v>45961.333333333336</v>
      </c>
    </row>
    <row r="337" spans="1:8" x14ac:dyDescent="0.25">
      <c r="A337" s="7">
        <f>DATE(YEAR(m4_crossvalid[[#This Row],[cutoff]]),MONTH(m4_crossvalid[[#This Row],[cutoff]]),DAY(m4_crossvalid[[#This Row],[cutoff]]))</f>
        <v>45961</v>
      </c>
      <c r="B337" s="7">
        <f>DATE(YEAR(m4_crossvalid[[#This Row],[ds]]),MONTH(m4_crossvalid[[#This Row],[ds]]),DAY(m4_crossvalid[[#This Row],[ds]]))</f>
        <v>45987</v>
      </c>
      <c r="C337">
        <v>5463</v>
      </c>
      <c r="D337" s="1">
        <v>45987.333333333336</v>
      </c>
      <c r="E337">
        <v>3850.5108723749845</v>
      </c>
      <c r="F337">
        <v>1941.6435400271741</v>
      </c>
      <c r="G337">
        <v>5737.4346104228553</v>
      </c>
      <c r="H337" s="1">
        <v>45961.333333333336</v>
      </c>
    </row>
    <row r="338" spans="1:8" x14ac:dyDescent="0.25">
      <c r="A338" s="7">
        <f>DATE(YEAR(m4_crossvalid[[#This Row],[cutoff]]),MONTH(m4_crossvalid[[#This Row],[cutoff]]),DAY(m4_crossvalid[[#This Row],[cutoff]]))</f>
        <v>45961</v>
      </c>
      <c r="B338" s="7">
        <f>DATE(YEAR(m4_crossvalid[[#This Row],[ds]]),MONTH(m4_crossvalid[[#This Row],[ds]]),DAY(m4_crossvalid[[#This Row],[ds]]))</f>
        <v>45988</v>
      </c>
      <c r="C338">
        <v>7236</v>
      </c>
      <c r="D338" s="1">
        <v>45988.333333333336</v>
      </c>
      <c r="E338">
        <v>4427.4095809143537</v>
      </c>
      <c r="F338">
        <v>2510.4263249281948</v>
      </c>
      <c r="G338">
        <v>6344.8990455933717</v>
      </c>
      <c r="H338" s="1">
        <v>45961.333333333336</v>
      </c>
    </row>
    <row r="339" spans="1:8" x14ac:dyDescent="0.25">
      <c r="A339" s="7">
        <f>DATE(YEAR(m4_crossvalid[[#This Row],[cutoff]]),MONTH(m4_crossvalid[[#This Row],[cutoff]]),DAY(m4_crossvalid[[#This Row],[cutoff]]))</f>
        <v>45961</v>
      </c>
      <c r="B339" s="7">
        <f>DATE(YEAR(m4_crossvalid[[#This Row],[ds]]),MONTH(m4_crossvalid[[#This Row],[ds]]),DAY(m4_crossvalid[[#This Row],[ds]]))</f>
        <v>45989</v>
      </c>
      <c r="C339">
        <v>10013</v>
      </c>
      <c r="D339" s="1">
        <v>45989.333333333336</v>
      </c>
      <c r="E339">
        <v>5417.3487319276865</v>
      </c>
      <c r="F339">
        <v>3488.8281298491929</v>
      </c>
      <c r="G339">
        <v>7281.519068084498</v>
      </c>
      <c r="H339" s="1">
        <v>45961.333333333336</v>
      </c>
    </row>
    <row r="340" spans="1:8" x14ac:dyDescent="0.25">
      <c r="A340" s="7">
        <f>DATE(YEAR(m4_crossvalid[[#This Row],[cutoff]]),MONTH(m4_crossvalid[[#This Row],[cutoff]]),DAY(m4_crossvalid[[#This Row],[cutoff]]))</f>
        <v>45961</v>
      </c>
      <c r="B340" s="7">
        <f>DATE(YEAR(m4_crossvalid[[#This Row],[ds]]),MONTH(m4_crossvalid[[#This Row],[ds]]),DAY(m4_crossvalid[[#This Row],[ds]]))</f>
        <v>45990</v>
      </c>
      <c r="C340">
        <v>8210</v>
      </c>
      <c r="D340" s="1">
        <v>45990.333333333336</v>
      </c>
      <c r="E340">
        <v>4198.1729765384516</v>
      </c>
      <c r="F340">
        <v>2347.5506872096548</v>
      </c>
      <c r="G340">
        <v>6138.4377453955085</v>
      </c>
      <c r="H340" s="1">
        <v>45961.333333333336</v>
      </c>
    </row>
    <row r="341" spans="1:8" x14ac:dyDescent="0.25">
      <c r="A341" s="7">
        <f>DATE(YEAR(m4_crossvalid[[#This Row],[cutoff]]),MONTH(m4_crossvalid[[#This Row],[cutoff]]),DAY(m4_crossvalid[[#This Row],[cutoff]]))</f>
        <v>45961</v>
      </c>
      <c r="B341" s="7">
        <f>DATE(YEAR(m4_crossvalid[[#This Row],[ds]]),MONTH(m4_crossvalid[[#This Row],[ds]]),DAY(m4_crossvalid[[#This Row],[ds]]))</f>
        <v>45991</v>
      </c>
      <c r="C341">
        <v>3567</v>
      </c>
      <c r="D341" s="1">
        <v>45991.333333333336</v>
      </c>
      <c r="E341">
        <v>4018.1832285147293</v>
      </c>
      <c r="F341">
        <v>2131.155713389951</v>
      </c>
      <c r="G341">
        <v>5773.8621984354459</v>
      </c>
      <c r="H341" s="1">
        <v>45961.333333333336</v>
      </c>
    </row>
    <row r="342" spans="1:8" x14ac:dyDescent="0.25">
      <c r="A342" s="7">
        <f>DATE(YEAR(m4_crossvalid[[#This Row],[cutoff]]),MONTH(m4_crossvalid[[#This Row],[cutoff]]),DAY(m4_crossvalid[[#This Row],[cutoff]]))</f>
        <v>45961</v>
      </c>
      <c r="B342" s="7">
        <f>DATE(YEAR(m4_crossvalid[[#This Row],[ds]]),MONTH(m4_crossvalid[[#This Row],[ds]]),DAY(m4_crossvalid[[#This Row],[ds]]))</f>
        <v>45992</v>
      </c>
      <c r="C342">
        <v>659</v>
      </c>
      <c r="D342" s="1">
        <v>45992.333333333336</v>
      </c>
      <c r="E342">
        <v>5768.9923512156083</v>
      </c>
      <c r="F342">
        <v>4015.7530398935778</v>
      </c>
      <c r="G342">
        <v>7659.5594987114455</v>
      </c>
      <c r="H342" s="1">
        <v>45961.333333333336</v>
      </c>
    </row>
    <row r="343" spans="1:8" x14ac:dyDescent="0.25">
      <c r="A343" s="7">
        <f>DATE(YEAR(m4_crossvalid[[#This Row],[cutoff]]),MONTH(m4_crossvalid[[#This Row],[cutoff]]),DAY(m4_crossvalid[[#This Row],[cutoff]]))</f>
        <v>45991</v>
      </c>
      <c r="B343" s="7">
        <f>DATE(YEAR(m4_crossvalid[[#This Row],[ds]]),MONTH(m4_crossvalid[[#This Row],[ds]]),DAY(m4_crossvalid[[#This Row],[ds]]))</f>
        <v>45992</v>
      </c>
      <c r="C343">
        <v>659</v>
      </c>
      <c r="D343" s="1">
        <v>45992.333333333336</v>
      </c>
      <c r="E343">
        <v>5974.5440283487187</v>
      </c>
      <c r="F343">
        <v>4110.538813582858</v>
      </c>
      <c r="G343">
        <v>7921.2821754264978</v>
      </c>
      <c r="H343" s="1">
        <v>45991.333333333336</v>
      </c>
    </row>
    <row r="344" spans="1:8" x14ac:dyDescent="0.25">
      <c r="A344" s="7">
        <f>DATE(YEAR(m4_crossvalid[[#This Row],[cutoff]]),MONTH(m4_crossvalid[[#This Row],[cutoff]]),DAY(m4_crossvalid[[#This Row],[cutoff]]))</f>
        <v>45991</v>
      </c>
      <c r="B344" s="7">
        <f>DATE(YEAR(m4_crossvalid[[#This Row],[ds]]),MONTH(m4_crossvalid[[#This Row],[ds]]),DAY(m4_crossvalid[[#This Row],[ds]]))</f>
        <v>45993</v>
      </c>
      <c r="C344">
        <v>963</v>
      </c>
      <c r="D344" s="1">
        <v>45993.333333333336</v>
      </c>
      <c r="E344">
        <v>4550.3567691820217</v>
      </c>
      <c r="F344">
        <v>2706.9204718334458</v>
      </c>
      <c r="G344">
        <v>6447.0929759180017</v>
      </c>
      <c r="H344" s="1">
        <v>45991.333333333336</v>
      </c>
    </row>
    <row r="345" spans="1:8" x14ac:dyDescent="0.25">
      <c r="A345" s="7">
        <f>DATE(YEAR(m4_crossvalid[[#This Row],[cutoff]]),MONTH(m4_crossvalid[[#This Row],[cutoff]]),DAY(m4_crossvalid[[#This Row],[cutoff]]))</f>
        <v>45991</v>
      </c>
      <c r="B345" s="7">
        <f>DATE(YEAR(m4_crossvalid[[#This Row],[ds]]),MONTH(m4_crossvalid[[#This Row],[ds]]),DAY(m4_crossvalid[[#This Row],[ds]]))</f>
        <v>45994</v>
      </c>
      <c r="C345">
        <v>1248</v>
      </c>
      <c r="D345" s="1">
        <v>45994.333333333336</v>
      </c>
      <c r="E345">
        <v>2823.7923623329521</v>
      </c>
      <c r="F345">
        <v>915.0856732517434</v>
      </c>
      <c r="G345">
        <v>4740.6296863832767</v>
      </c>
      <c r="H345" s="1">
        <v>45991.333333333336</v>
      </c>
    </row>
    <row r="346" spans="1:8" x14ac:dyDescent="0.25">
      <c r="A346" s="7">
        <f>DATE(YEAR(m4_crossvalid[[#This Row],[cutoff]]),MONTH(m4_crossvalid[[#This Row],[cutoff]]),DAY(m4_crossvalid[[#This Row],[cutoff]]))</f>
        <v>45991</v>
      </c>
      <c r="B346" s="7">
        <f>DATE(YEAR(m4_crossvalid[[#This Row],[ds]]),MONTH(m4_crossvalid[[#This Row],[ds]]),DAY(m4_crossvalid[[#This Row],[ds]]))</f>
        <v>45995</v>
      </c>
      <c r="C346">
        <v>1462</v>
      </c>
      <c r="D346" s="1">
        <v>45995.333333333336</v>
      </c>
      <c r="E346">
        <v>1786.8494161523281</v>
      </c>
      <c r="F346">
        <v>-55.124202043972254</v>
      </c>
      <c r="G346">
        <v>3742.1255350337301</v>
      </c>
      <c r="H346" s="1">
        <v>45991.333333333336</v>
      </c>
    </row>
    <row r="347" spans="1:8" x14ac:dyDescent="0.25">
      <c r="A347" s="7">
        <f>DATE(YEAR(m4_crossvalid[[#This Row],[cutoff]]),MONTH(m4_crossvalid[[#This Row],[cutoff]]),DAY(m4_crossvalid[[#This Row],[cutoff]]))</f>
        <v>45991</v>
      </c>
      <c r="B347" s="7">
        <f>DATE(YEAR(m4_crossvalid[[#This Row],[ds]]),MONTH(m4_crossvalid[[#This Row],[ds]]),DAY(m4_crossvalid[[#This Row],[ds]]))</f>
        <v>45996</v>
      </c>
      <c r="C347">
        <v>1441</v>
      </c>
      <c r="D347" s="1">
        <v>45996.333333333336</v>
      </c>
      <c r="E347">
        <v>1554.0104960662386</v>
      </c>
      <c r="F347">
        <v>-311.78999177377881</v>
      </c>
      <c r="G347">
        <v>3330.934046019996</v>
      </c>
      <c r="H347" s="1">
        <v>45991.333333333336</v>
      </c>
    </row>
    <row r="348" spans="1:8" x14ac:dyDescent="0.25">
      <c r="A348" s="7">
        <f>DATE(YEAR(m4_crossvalid[[#This Row],[cutoff]]),MONTH(m4_crossvalid[[#This Row],[cutoff]]),DAY(m4_crossvalid[[#This Row],[cutoff]]))</f>
        <v>45991</v>
      </c>
      <c r="B348" s="7">
        <f>DATE(YEAR(m4_crossvalid[[#This Row],[ds]]),MONTH(m4_crossvalid[[#This Row],[ds]]),DAY(m4_crossvalid[[#This Row],[ds]]))</f>
        <v>45997</v>
      </c>
      <c r="C348">
        <v>380</v>
      </c>
      <c r="D348" s="1">
        <v>45997.333333333336</v>
      </c>
      <c r="E348">
        <v>-374.80234973434744</v>
      </c>
      <c r="F348">
        <v>-2424.7606637484828</v>
      </c>
      <c r="G348">
        <v>1482.5267724908381</v>
      </c>
      <c r="H348" s="1">
        <v>45991.333333333336</v>
      </c>
    </row>
    <row r="349" spans="1:8" x14ac:dyDescent="0.25">
      <c r="A349" s="7">
        <f>DATE(YEAR(m4_crossvalid[[#This Row],[cutoff]]),MONTH(m4_crossvalid[[#This Row],[cutoff]]),DAY(m4_crossvalid[[#This Row],[cutoff]]))</f>
        <v>45991</v>
      </c>
      <c r="B349" s="7">
        <f>DATE(YEAR(m4_crossvalid[[#This Row],[ds]]),MONTH(m4_crossvalid[[#This Row],[ds]]),DAY(m4_crossvalid[[#This Row],[ds]]))</f>
        <v>45998</v>
      </c>
      <c r="C349">
        <v>59</v>
      </c>
      <c r="D349" s="1">
        <v>45998.333333333336</v>
      </c>
      <c r="E349">
        <v>-544.27559364221133</v>
      </c>
      <c r="F349">
        <v>-2472.6226518648909</v>
      </c>
      <c r="G349">
        <v>1264.6284484901507</v>
      </c>
      <c r="H349" s="1">
        <v>45991.333333333336</v>
      </c>
    </row>
    <row r="350" spans="1:8" x14ac:dyDescent="0.25">
      <c r="A350" s="7">
        <f>DATE(YEAR(m4_crossvalid[[#This Row],[cutoff]]),MONTH(m4_crossvalid[[#This Row],[cutoff]]),DAY(m4_crossvalid[[#This Row],[cutoff]]))</f>
        <v>45991</v>
      </c>
      <c r="B350" s="7">
        <f>DATE(YEAR(m4_crossvalid[[#This Row],[ds]]),MONTH(m4_crossvalid[[#This Row],[ds]]),DAY(m4_crossvalid[[#This Row],[ds]]))</f>
        <v>45999</v>
      </c>
      <c r="C350">
        <v>1698</v>
      </c>
      <c r="D350" s="1">
        <v>45999.333333333336</v>
      </c>
      <c r="E350">
        <v>2070.872363871958</v>
      </c>
      <c r="F350">
        <v>164.63109871590456</v>
      </c>
      <c r="G350">
        <v>3935.5743537086437</v>
      </c>
      <c r="H350" s="1">
        <v>45991.333333333336</v>
      </c>
    </row>
    <row r="351" spans="1:8" x14ac:dyDescent="0.25">
      <c r="A351" s="7">
        <f>DATE(YEAR(m4_crossvalid[[#This Row],[cutoff]]),MONTH(m4_crossvalid[[#This Row],[cutoff]]),DAY(m4_crossvalid[[#This Row],[cutoff]]))</f>
        <v>45991</v>
      </c>
      <c r="B351" s="7">
        <f>DATE(YEAR(m4_crossvalid[[#This Row],[ds]]),MONTH(m4_crossvalid[[#This Row],[ds]]),DAY(m4_crossvalid[[#This Row],[ds]]))</f>
        <v>46000</v>
      </c>
      <c r="C351">
        <v>1924</v>
      </c>
      <c r="D351" s="1">
        <v>46000.333333333336</v>
      </c>
      <c r="E351">
        <v>2241.1856545039582</v>
      </c>
      <c r="F351">
        <v>263.38159600087499</v>
      </c>
      <c r="G351">
        <v>4159.7175163767015</v>
      </c>
      <c r="H351" s="1">
        <v>45991.333333333336</v>
      </c>
    </row>
    <row r="352" spans="1:8" x14ac:dyDescent="0.25">
      <c r="A352" s="7">
        <f>DATE(YEAR(m4_crossvalid[[#This Row],[cutoff]]),MONTH(m4_crossvalid[[#This Row],[cutoff]]),DAY(m4_crossvalid[[#This Row],[cutoff]]))</f>
        <v>45991</v>
      </c>
      <c r="B352" s="7">
        <f>DATE(YEAR(m4_crossvalid[[#This Row],[ds]]),MONTH(m4_crossvalid[[#This Row],[ds]]),DAY(m4_crossvalid[[#This Row],[ds]]))</f>
        <v>46001</v>
      </c>
      <c r="C352">
        <v>2624</v>
      </c>
      <c r="D352" s="1">
        <v>46001.333333333336</v>
      </c>
      <c r="E352">
        <v>2294.3652959693427</v>
      </c>
      <c r="F352">
        <v>480.00194325970648</v>
      </c>
      <c r="G352">
        <v>4200.4839185472711</v>
      </c>
      <c r="H352" s="1">
        <v>45991.333333333336</v>
      </c>
    </row>
    <row r="353" spans="1:8" x14ac:dyDescent="0.25">
      <c r="A353" s="7">
        <f>DATE(YEAR(m4_crossvalid[[#This Row],[cutoff]]),MONTH(m4_crossvalid[[#This Row],[cutoff]]),DAY(m4_crossvalid[[#This Row],[cutoff]]))</f>
        <v>45991</v>
      </c>
      <c r="B353" s="7">
        <f>DATE(YEAR(m4_crossvalid[[#This Row],[ds]]),MONTH(m4_crossvalid[[#This Row],[ds]]),DAY(m4_crossvalid[[#This Row],[ds]]))</f>
        <v>46002</v>
      </c>
      <c r="C353">
        <v>1853</v>
      </c>
      <c r="D353" s="1">
        <v>46002.333333333336</v>
      </c>
      <c r="E353">
        <v>2600.6278338058737</v>
      </c>
      <c r="F353">
        <v>731.4076540221821</v>
      </c>
      <c r="G353">
        <v>4413.0446019082847</v>
      </c>
      <c r="H353" s="1">
        <v>45991.333333333336</v>
      </c>
    </row>
    <row r="354" spans="1:8" x14ac:dyDescent="0.25">
      <c r="A354" s="7">
        <f>DATE(YEAR(m4_crossvalid[[#This Row],[cutoff]]),MONTH(m4_crossvalid[[#This Row],[cutoff]]),DAY(m4_crossvalid[[#This Row],[cutoff]]))</f>
        <v>45991</v>
      </c>
      <c r="B354" s="7">
        <f>DATE(YEAR(m4_crossvalid[[#This Row],[ds]]),MONTH(m4_crossvalid[[#This Row],[ds]]),DAY(m4_crossvalid[[#This Row],[ds]]))</f>
        <v>46003</v>
      </c>
      <c r="C354">
        <v>3010</v>
      </c>
      <c r="D354" s="1">
        <v>46003.333333333336</v>
      </c>
      <c r="E354">
        <v>2903.0687366776838</v>
      </c>
      <c r="F354">
        <v>1053.449535622892</v>
      </c>
      <c r="G354">
        <v>4645.9809870703048</v>
      </c>
      <c r="H354" s="1">
        <v>45991.333333333336</v>
      </c>
    </row>
    <row r="355" spans="1:8" x14ac:dyDescent="0.25">
      <c r="A355" s="7">
        <f>DATE(YEAR(m4_crossvalid[[#This Row],[cutoff]]),MONTH(m4_crossvalid[[#This Row],[cutoff]]),DAY(m4_crossvalid[[#This Row],[cutoff]]))</f>
        <v>45991</v>
      </c>
      <c r="B355" s="7">
        <f>DATE(YEAR(m4_crossvalid[[#This Row],[ds]]),MONTH(m4_crossvalid[[#This Row],[ds]]),DAY(m4_crossvalid[[#This Row],[ds]]))</f>
        <v>46004</v>
      </c>
      <c r="C355">
        <v>552</v>
      </c>
      <c r="D355" s="1">
        <v>46004.333333333336</v>
      </c>
      <c r="E355">
        <v>817.77016867872658</v>
      </c>
      <c r="F355">
        <v>-1086.6374643042514</v>
      </c>
      <c r="G355">
        <v>2633.4019531770928</v>
      </c>
      <c r="H355" s="1">
        <v>45991.333333333336</v>
      </c>
    </row>
    <row r="356" spans="1:8" x14ac:dyDescent="0.25">
      <c r="A356" s="7">
        <f>DATE(YEAR(m4_crossvalid[[#This Row],[cutoff]]),MONTH(m4_crossvalid[[#This Row],[cutoff]]),DAY(m4_crossvalid[[#This Row],[cutoff]]))</f>
        <v>45991</v>
      </c>
      <c r="B356" s="7">
        <f>DATE(YEAR(m4_crossvalid[[#This Row],[ds]]),MONTH(m4_crossvalid[[#This Row],[ds]]),DAY(m4_crossvalid[[#This Row],[ds]]))</f>
        <v>46005</v>
      </c>
      <c r="C356">
        <v>162</v>
      </c>
      <c r="D356" s="1">
        <v>46005.333333333336</v>
      </c>
      <c r="E356">
        <v>281.6917695927923</v>
      </c>
      <c r="F356">
        <v>-1594.5042281036515</v>
      </c>
      <c r="G356">
        <v>2231.2810255209806</v>
      </c>
      <c r="H356" s="1">
        <v>45991.333333333336</v>
      </c>
    </row>
    <row r="357" spans="1:8" x14ac:dyDescent="0.25">
      <c r="A357" s="7">
        <f>DATE(YEAR(m4_crossvalid[[#This Row],[cutoff]]),MONTH(m4_crossvalid[[#This Row],[cutoff]]),DAY(m4_crossvalid[[#This Row],[cutoff]]))</f>
        <v>45991</v>
      </c>
      <c r="B357" s="7">
        <f>DATE(YEAR(m4_crossvalid[[#This Row],[ds]]),MONTH(m4_crossvalid[[#This Row],[ds]]),DAY(m4_crossvalid[[#This Row],[ds]]))</f>
        <v>46006</v>
      </c>
      <c r="C357">
        <v>2685</v>
      </c>
      <c r="D357" s="1">
        <v>46006.333333333336</v>
      </c>
      <c r="E357">
        <v>2772.9381135114622</v>
      </c>
      <c r="F357">
        <v>931.78253665575869</v>
      </c>
      <c r="G357">
        <v>4669.5740696289231</v>
      </c>
      <c r="H357" s="1">
        <v>45991.333333333336</v>
      </c>
    </row>
    <row r="358" spans="1:8" x14ac:dyDescent="0.25">
      <c r="A358" s="7">
        <f>DATE(YEAR(m4_crossvalid[[#This Row],[cutoff]]),MONTH(m4_crossvalid[[#This Row],[cutoff]]),DAY(m4_crossvalid[[#This Row],[cutoff]]))</f>
        <v>45991</v>
      </c>
      <c r="B358" s="7">
        <f>DATE(YEAR(m4_crossvalid[[#This Row],[ds]]),MONTH(m4_crossvalid[[#This Row],[ds]]),DAY(m4_crossvalid[[#This Row],[ds]]))</f>
        <v>46007</v>
      </c>
      <c r="C358">
        <v>3397</v>
      </c>
      <c r="D358" s="1">
        <v>46007.333333333336</v>
      </c>
      <c r="E358">
        <v>3151.2815765830028</v>
      </c>
      <c r="F358">
        <v>1354.6055410403637</v>
      </c>
      <c r="G358">
        <v>5136.3203770568161</v>
      </c>
      <c r="H358" s="1">
        <v>45991.333333333336</v>
      </c>
    </row>
    <row r="359" spans="1:8" x14ac:dyDescent="0.25">
      <c r="A359" s="7">
        <f>DATE(YEAR(m4_crossvalid[[#This Row],[cutoff]]),MONTH(m4_crossvalid[[#This Row],[cutoff]]),DAY(m4_crossvalid[[#This Row],[cutoff]]))</f>
        <v>45991</v>
      </c>
      <c r="B359" s="7">
        <f>DATE(YEAR(m4_crossvalid[[#This Row],[ds]]),MONTH(m4_crossvalid[[#This Row],[ds]]),DAY(m4_crossvalid[[#This Row],[ds]]))</f>
        <v>46008</v>
      </c>
      <c r="C359">
        <v>4029</v>
      </c>
      <c r="D359" s="1">
        <v>46008.333333333336</v>
      </c>
      <c r="E359">
        <v>3474.3689402423934</v>
      </c>
      <c r="F359">
        <v>1477.4245604651396</v>
      </c>
      <c r="G359">
        <v>5335.2327420929696</v>
      </c>
      <c r="H359" s="1">
        <v>45991.333333333336</v>
      </c>
    </row>
    <row r="360" spans="1:8" x14ac:dyDescent="0.25">
      <c r="A360" s="7">
        <f>DATE(YEAR(m4_crossvalid[[#This Row],[cutoff]]),MONTH(m4_crossvalid[[#This Row],[cutoff]]),DAY(m4_crossvalid[[#This Row],[cutoff]]))</f>
        <v>45991</v>
      </c>
      <c r="B360" s="7">
        <f>DATE(YEAR(m4_crossvalid[[#This Row],[ds]]),MONTH(m4_crossvalid[[#This Row],[ds]]),DAY(m4_crossvalid[[#This Row],[ds]]))</f>
        <v>46009</v>
      </c>
      <c r="C360">
        <v>3874</v>
      </c>
      <c r="D360" s="1">
        <v>46009.333333333336</v>
      </c>
      <c r="E360">
        <v>3798.0758568664191</v>
      </c>
      <c r="F360">
        <v>1814.785643316955</v>
      </c>
      <c r="G360">
        <v>5642.7191243990474</v>
      </c>
      <c r="H360" s="1">
        <v>45991.333333333336</v>
      </c>
    </row>
    <row r="361" spans="1:8" x14ac:dyDescent="0.25">
      <c r="A361" s="7">
        <f>DATE(YEAR(m4_crossvalid[[#This Row],[cutoff]]),MONTH(m4_crossvalid[[#This Row],[cutoff]]),DAY(m4_crossvalid[[#This Row],[cutoff]]))</f>
        <v>45991</v>
      </c>
      <c r="B361" s="7">
        <f>DATE(YEAR(m4_crossvalid[[#This Row],[ds]]),MONTH(m4_crossvalid[[#This Row],[ds]]),DAY(m4_crossvalid[[#This Row],[ds]]))</f>
        <v>46010</v>
      </c>
      <c r="C361">
        <v>4261</v>
      </c>
      <c r="D361" s="1">
        <v>46010.333333333336</v>
      </c>
      <c r="E361">
        <v>3825.5402115426796</v>
      </c>
      <c r="F361">
        <v>1946.5829629276202</v>
      </c>
      <c r="G361">
        <v>5681.859065226944</v>
      </c>
      <c r="H361" s="1">
        <v>45991.333333333336</v>
      </c>
    </row>
    <row r="362" spans="1:8" x14ac:dyDescent="0.25">
      <c r="A362" s="7">
        <f>DATE(YEAR(m4_crossvalid[[#This Row],[cutoff]]),MONTH(m4_crossvalid[[#This Row],[cutoff]]),DAY(m4_crossvalid[[#This Row],[cutoff]]))</f>
        <v>45991</v>
      </c>
      <c r="B362" s="7">
        <f>DATE(YEAR(m4_crossvalid[[#This Row],[ds]]),MONTH(m4_crossvalid[[#This Row],[ds]]),DAY(m4_crossvalid[[#This Row],[ds]]))</f>
        <v>46011</v>
      </c>
      <c r="C362">
        <v>999</v>
      </c>
      <c r="D362" s="1">
        <v>46011.333333333336</v>
      </c>
      <c r="E362">
        <v>1433.6604576189577</v>
      </c>
      <c r="F362">
        <v>-457.59140911188035</v>
      </c>
      <c r="G362">
        <v>3188.0026692550887</v>
      </c>
      <c r="H362" s="1">
        <v>45991.333333333336</v>
      </c>
    </row>
    <row r="363" spans="1:8" x14ac:dyDescent="0.25">
      <c r="A363" s="7">
        <f>DATE(YEAR(m4_crossvalid[[#This Row],[cutoff]]),MONTH(m4_crossvalid[[#This Row],[cutoff]]),DAY(m4_crossvalid[[#This Row],[cutoff]]))</f>
        <v>45991</v>
      </c>
      <c r="B363" s="7">
        <f>DATE(YEAR(m4_crossvalid[[#This Row],[ds]]),MONTH(m4_crossvalid[[#This Row],[ds]]),DAY(m4_crossvalid[[#This Row],[ds]]))</f>
        <v>46012</v>
      </c>
      <c r="C363">
        <v>251</v>
      </c>
      <c r="D363" s="1">
        <v>46012.333333333336</v>
      </c>
      <c r="E363">
        <v>846.88335965504166</v>
      </c>
      <c r="F363">
        <v>-1127.8302870690204</v>
      </c>
      <c r="G363">
        <v>2692.0256299378416</v>
      </c>
      <c r="H363" s="1">
        <v>45991.333333333336</v>
      </c>
    </row>
    <row r="364" spans="1:8" x14ac:dyDescent="0.25">
      <c r="A364" s="7">
        <f>DATE(YEAR(m4_crossvalid[[#This Row],[cutoff]]),MONTH(m4_crossvalid[[#This Row],[cutoff]]),DAY(m4_crossvalid[[#This Row],[cutoff]]))</f>
        <v>45991</v>
      </c>
      <c r="B364" s="7">
        <f>DATE(YEAR(m4_crossvalid[[#This Row],[ds]]),MONTH(m4_crossvalid[[#This Row],[ds]]),DAY(m4_crossvalid[[#This Row],[ds]]))</f>
        <v>46013</v>
      </c>
      <c r="C364">
        <v>4791</v>
      </c>
      <c r="D364" s="1">
        <v>46013.333333333336</v>
      </c>
      <c r="E364">
        <v>3563.6743235579415</v>
      </c>
      <c r="F364">
        <v>1717.4702449259066</v>
      </c>
      <c r="G364">
        <v>5251.4221018516091</v>
      </c>
      <c r="H364" s="1">
        <v>45991.333333333336</v>
      </c>
    </row>
    <row r="365" spans="1:8" x14ac:dyDescent="0.25">
      <c r="A365" s="7">
        <f>DATE(YEAR(m4_crossvalid[[#This Row],[cutoff]]),MONTH(m4_crossvalid[[#This Row],[cutoff]]),DAY(m4_crossvalid[[#This Row],[cutoff]]))</f>
        <v>45991</v>
      </c>
      <c r="B365" s="7">
        <f>DATE(YEAR(m4_crossvalid[[#This Row],[ds]]),MONTH(m4_crossvalid[[#This Row],[ds]]),DAY(m4_crossvalid[[#This Row],[ds]]))</f>
        <v>46014</v>
      </c>
      <c r="C365">
        <v>5802</v>
      </c>
      <c r="D365" s="1">
        <v>46014.333333333336</v>
      </c>
      <c r="E365">
        <v>4178.9530180861002</v>
      </c>
      <c r="F365">
        <v>2243.7457429011588</v>
      </c>
      <c r="G365">
        <v>5925.330460885506</v>
      </c>
      <c r="H365" s="1">
        <v>45991.333333333336</v>
      </c>
    </row>
    <row r="366" spans="1:8" x14ac:dyDescent="0.25">
      <c r="A366" s="7">
        <f>DATE(YEAR(m4_crossvalid[[#This Row],[cutoff]]),MONTH(m4_crossvalid[[#This Row],[cutoff]]),DAY(m4_crossvalid[[#This Row],[cutoff]]))</f>
        <v>45991</v>
      </c>
      <c r="B366" s="7">
        <f>DATE(YEAR(m4_crossvalid[[#This Row],[ds]]),MONTH(m4_crossvalid[[#This Row],[ds]]),DAY(m4_crossvalid[[#This Row],[ds]]))</f>
        <v>46015</v>
      </c>
      <c r="C366">
        <v>6117</v>
      </c>
      <c r="D366" s="1">
        <v>46015.333333333336</v>
      </c>
      <c r="E366">
        <v>4480.8957453829953</v>
      </c>
      <c r="F366">
        <v>2643.2833314516124</v>
      </c>
      <c r="G366">
        <v>6224.6827933621844</v>
      </c>
      <c r="H366" s="1">
        <v>45991.333333333336</v>
      </c>
    </row>
    <row r="367" spans="1:8" x14ac:dyDescent="0.25">
      <c r="A367" s="7">
        <f>DATE(YEAR(m4_crossvalid[[#This Row],[cutoff]]),MONTH(m4_crossvalid[[#This Row],[cutoff]]),DAY(m4_crossvalid[[#This Row],[cutoff]]))</f>
        <v>45991</v>
      </c>
      <c r="B367" s="7">
        <f>DATE(YEAR(m4_crossvalid[[#This Row],[ds]]),MONTH(m4_crossvalid[[#This Row],[ds]]),DAY(m4_crossvalid[[#This Row],[ds]]))</f>
        <v>46016</v>
      </c>
      <c r="C367">
        <v>400</v>
      </c>
      <c r="D367" s="1">
        <v>46016.333333333336</v>
      </c>
      <c r="E367">
        <v>819.30815794214209</v>
      </c>
      <c r="F367">
        <v>-1091.558917514011</v>
      </c>
      <c r="G367">
        <v>2658.1130193310578</v>
      </c>
      <c r="H367" s="1">
        <v>45991.333333333336</v>
      </c>
    </row>
    <row r="368" spans="1:8" x14ac:dyDescent="0.25">
      <c r="A368" s="7">
        <f>DATE(YEAR(m4_crossvalid[[#This Row],[cutoff]]),MONTH(m4_crossvalid[[#This Row],[cutoff]]),DAY(m4_crossvalid[[#This Row],[cutoff]]))</f>
        <v>45991</v>
      </c>
      <c r="B368" s="7">
        <f>DATE(YEAR(m4_crossvalid[[#This Row],[ds]]),MONTH(m4_crossvalid[[#This Row],[ds]]),DAY(m4_crossvalid[[#This Row],[ds]]))</f>
        <v>46017</v>
      </c>
      <c r="C368">
        <v>6559</v>
      </c>
      <c r="D368" s="1">
        <v>46017.333333333336</v>
      </c>
      <c r="E368">
        <v>4462.0147844079584</v>
      </c>
      <c r="F368">
        <v>2662.5150200244934</v>
      </c>
      <c r="G368">
        <v>6351.0366265770517</v>
      </c>
      <c r="H368" s="1">
        <v>45991.333333333336</v>
      </c>
    </row>
    <row r="369" spans="1:8" x14ac:dyDescent="0.25">
      <c r="A369" s="7">
        <f>DATE(YEAR(m4_crossvalid[[#This Row],[cutoff]]),MONTH(m4_crossvalid[[#This Row],[cutoff]]),DAY(m4_crossvalid[[#This Row],[cutoff]]))</f>
        <v>45991</v>
      </c>
      <c r="B369" s="7">
        <f>DATE(YEAR(m4_crossvalid[[#This Row],[ds]]),MONTH(m4_crossvalid[[#This Row],[ds]]),DAY(m4_crossvalid[[#This Row],[ds]]))</f>
        <v>46018</v>
      </c>
      <c r="C369">
        <v>1928</v>
      </c>
      <c r="D369" s="1">
        <v>46018.333333333336</v>
      </c>
      <c r="E369">
        <v>2439.8604766353174</v>
      </c>
      <c r="F369">
        <v>575.44123443798685</v>
      </c>
      <c r="G369">
        <v>4222.5088240999994</v>
      </c>
      <c r="H369" s="1">
        <v>45991.333333333336</v>
      </c>
    </row>
    <row r="370" spans="1:8" x14ac:dyDescent="0.25">
      <c r="A370" s="7">
        <f>DATE(YEAR(m4_crossvalid[[#This Row],[cutoff]]),MONTH(m4_crossvalid[[#This Row],[cutoff]]),DAY(m4_crossvalid[[#This Row],[cutoff]]))</f>
        <v>45991</v>
      </c>
      <c r="B370" s="7">
        <f>DATE(YEAR(m4_crossvalid[[#This Row],[ds]]),MONTH(m4_crossvalid[[#This Row],[ds]]),DAY(m4_crossvalid[[#This Row],[ds]]))</f>
        <v>46019</v>
      </c>
      <c r="C370">
        <v>428</v>
      </c>
      <c r="D370" s="1">
        <v>46019.333333333336</v>
      </c>
      <c r="E370">
        <v>2723.0606214362656</v>
      </c>
      <c r="F370">
        <v>837.36313832858036</v>
      </c>
      <c r="G370">
        <v>4607.1130978273277</v>
      </c>
      <c r="H370" s="1">
        <v>45991.333333333336</v>
      </c>
    </row>
    <row r="371" spans="1:8" x14ac:dyDescent="0.25">
      <c r="A371" s="7">
        <f>DATE(YEAR(m4_crossvalid[[#This Row],[cutoff]]),MONTH(m4_crossvalid[[#This Row],[cutoff]]),DAY(m4_crossvalid[[#This Row],[cutoff]]))</f>
        <v>45991</v>
      </c>
      <c r="B371" s="7">
        <f>DATE(YEAR(m4_crossvalid[[#This Row],[ds]]),MONTH(m4_crossvalid[[#This Row],[ds]]),DAY(m4_crossvalid[[#This Row],[ds]]))</f>
        <v>46020</v>
      </c>
      <c r="C371">
        <v>7441</v>
      </c>
      <c r="D371" s="1">
        <v>46020.333333333336</v>
      </c>
      <c r="E371">
        <v>6366.2671077830792</v>
      </c>
      <c r="F371">
        <v>4475.5783712547318</v>
      </c>
      <c r="G371">
        <v>8384.5319800999114</v>
      </c>
      <c r="H371" s="1">
        <v>45991.333333333336</v>
      </c>
    </row>
    <row r="372" spans="1:8" x14ac:dyDescent="0.25">
      <c r="A372" s="7">
        <f>DATE(YEAR(m4_crossvalid[[#This Row],[cutoff]]),MONTH(m4_crossvalid[[#This Row],[cutoff]]),DAY(m4_crossvalid[[#This Row],[cutoff]]))</f>
        <v>45991</v>
      </c>
      <c r="B372" s="7">
        <f>DATE(YEAR(m4_crossvalid[[#This Row],[ds]]),MONTH(m4_crossvalid[[#This Row],[ds]]),DAY(m4_crossvalid[[#This Row],[ds]]))</f>
        <v>46021</v>
      </c>
      <c r="C372">
        <v>10603</v>
      </c>
      <c r="D372" s="1">
        <v>46021.333333333336</v>
      </c>
      <c r="E372">
        <v>7343.7259768148833</v>
      </c>
      <c r="F372">
        <v>5503.6983330160328</v>
      </c>
      <c r="G372">
        <v>9248.8542613519548</v>
      </c>
      <c r="H372" s="1">
        <v>45991.333333333336</v>
      </c>
    </row>
    <row r="373" spans="1:8" x14ac:dyDescent="0.25">
      <c r="A373" s="7">
        <f>DATE(YEAR(m4_crossvalid[[#This Row],[cutoff]]),MONTH(m4_crossvalid[[#This Row],[cutoff]]),DAY(m4_crossvalid[[#This Row],[cutoff]]))</f>
        <v>45991</v>
      </c>
      <c r="B373" s="7">
        <f>DATE(YEAR(m4_crossvalid[[#This Row],[ds]]),MONTH(m4_crossvalid[[#This Row],[ds]]),DAY(m4_crossvalid[[#This Row],[ds]]))</f>
        <v>46022</v>
      </c>
      <c r="C373">
        <v>15370</v>
      </c>
      <c r="D373" s="1">
        <v>46022.333333333336</v>
      </c>
      <c r="E373">
        <v>7063.3341826391388</v>
      </c>
      <c r="F373">
        <v>5209.2324167725565</v>
      </c>
      <c r="G373">
        <v>8947.8927301041113</v>
      </c>
      <c r="H373" s="1">
        <v>45991.333333333336</v>
      </c>
    </row>
    <row r="374" spans="1:8" x14ac:dyDescent="0.25">
      <c r="A374" s="7">
        <f>DATE(YEAR(m4_crossvalid[[#This Row],[cutoff]]),MONTH(m4_crossvalid[[#This Row],[cutoff]]),DAY(m4_crossvalid[[#This Row],[cutoff]]))</f>
        <v>46022</v>
      </c>
      <c r="B374" s="7">
        <f>DATE(YEAR(m4_crossvalid[[#This Row],[ds]]),MONTH(m4_crossvalid[[#This Row],[ds]]),DAY(m4_crossvalid[[#This Row],[ds]]))</f>
        <v>46023</v>
      </c>
      <c r="C374">
        <v>2584</v>
      </c>
      <c r="D374" s="1">
        <v>46023.333333333336</v>
      </c>
      <c r="E374">
        <v>4110.2799995967016</v>
      </c>
      <c r="F374">
        <v>2163.3347139749958</v>
      </c>
      <c r="G374">
        <v>6025.3005308938018</v>
      </c>
      <c r="H374" s="1">
        <v>46022.333333333336</v>
      </c>
    </row>
    <row r="375" spans="1:8" x14ac:dyDescent="0.25">
      <c r="A375" s="7">
        <f>DATE(YEAR(m4_crossvalid[[#This Row],[cutoff]]),MONTH(m4_crossvalid[[#This Row],[cutoff]]),DAY(m4_crossvalid[[#This Row],[cutoff]]))</f>
        <v>46022</v>
      </c>
      <c r="B375" s="7">
        <f>DATE(YEAR(m4_crossvalid[[#This Row],[ds]]),MONTH(m4_crossvalid[[#This Row],[ds]]),DAY(m4_crossvalid[[#This Row],[ds]]))</f>
        <v>46024</v>
      </c>
      <c r="C375">
        <v>1536</v>
      </c>
      <c r="D375" s="1">
        <v>46024.333333333336</v>
      </c>
      <c r="E375">
        <v>3920.703883672385</v>
      </c>
      <c r="F375">
        <v>2003.4054834110018</v>
      </c>
      <c r="G375">
        <v>5846.8949138317066</v>
      </c>
      <c r="H375" s="1">
        <v>46022.333333333336</v>
      </c>
    </row>
    <row r="376" spans="1:8" x14ac:dyDescent="0.25">
      <c r="A376" s="7">
        <f>DATE(YEAR(m4_crossvalid[[#This Row],[cutoff]]),MONTH(m4_crossvalid[[#This Row],[cutoff]]),DAY(m4_crossvalid[[#This Row],[cutoff]]))</f>
        <v>46022</v>
      </c>
      <c r="B376" s="7">
        <f>DATE(YEAR(m4_crossvalid[[#This Row],[ds]]),MONTH(m4_crossvalid[[#This Row],[ds]]),DAY(m4_crossvalid[[#This Row],[ds]]))</f>
        <v>46025</v>
      </c>
      <c r="C376">
        <v>80</v>
      </c>
      <c r="D376" s="1">
        <v>46025.333333333336</v>
      </c>
      <c r="E376">
        <v>8.7333415381872328</v>
      </c>
      <c r="F376">
        <v>-1978.2209601046511</v>
      </c>
      <c r="G376">
        <v>1822.1622307038847</v>
      </c>
      <c r="H376" s="1">
        <v>46022.333333333336</v>
      </c>
    </row>
    <row r="377" spans="1:8" x14ac:dyDescent="0.25">
      <c r="A377" s="7">
        <f>DATE(YEAR(m4_crossvalid[[#This Row],[cutoff]]),MONTH(m4_crossvalid[[#This Row],[cutoff]]),DAY(m4_crossvalid[[#This Row],[cutoff]]))</f>
        <v>46022</v>
      </c>
      <c r="B377" s="7">
        <f>DATE(YEAR(m4_crossvalid[[#This Row],[ds]]),MONTH(m4_crossvalid[[#This Row],[ds]]),DAY(m4_crossvalid[[#This Row],[ds]]))</f>
        <v>46026</v>
      </c>
      <c r="C377">
        <v>17</v>
      </c>
      <c r="D377" s="1">
        <v>46026.333333333336</v>
      </c>
      <c r="E377">
        <v>-1230.7439394618877</v>
      </c>
      <c r="F377">
        <v>-3115.9878016611215</v>
      </c>
      <c r="G377">
        <v>805.2775730563917</v>
      </c>
      <c r="H377" s="1">
        <v>46022.333333333336</v>
      </c>
    </row>
    <row r="378" spans="1:8" x14ac:dyDescent="0.25">
      <c r="A378" s="7">
        <f>DATE(YEAR(m4_crossvalid[[#This Row],[cutoff]]),MONTH(m4_crossvalid[[#This Row],[cutoff]]),DAY(m4_crossvalid[[#This Row],[cutoff]]))</f>
        <v>46022</v>
      </c>
      <c r="B378" s="7">
        <f>DATE(YEAR(m4_crossvalid[[#This Row],[ds]]),MONTH(m4_crossvalid[[#This Row],[ds]]),DAY(m4_crossvalid[[#This Row],[ds]]))</f>
        <v>46027</v>
      </c>
      <c r="C378">
        <v>340</v>
      </c>
      <c r="D378" s="1">
        <v>46027.333333333336</v>
      </c>
      <c r="E378">
        <v>1398.4029560068357</v>
      </c>
      <c r="F378">
        <v>-485.21917459986099</v>
      </c>
      <c r="G378">
        <v>3239.5545183634786</v>
      </c>
      <c r="H378" s="1">
        <v>46022.333333333336</v>
      </c>
    </row>
    <row r="379" spans="1:8" x14ac:dyDescent="0.25">
      <c r="A379" s="7">
        <f>DATE(YEAR(m4_crossvalid[[#This Row],[cutoff]]),MONTH(m4_crossvalid[[#This Row],[cutoff]]),DAY(m4_crossvalid[[#This Row],[cutoff]]))</f>
        <v>46022</v>
      </c>
      <c r="B379" s="7">
        <f>DATE(YEAR(m4_crossvalid[[#This Row],[ds]]),MONTH(m4_crossvalid[[#This Row],[ds]]),DAY(m4_crossvalid[[#This Row],[ds]]))</f>
        <v>46028</v>
      </c>
      <c r="C379">
        <v>485</v>
      </c>
      <c r="D379" s="1">
        <v>46028.333333333336</v>
      </c>
      <c r="E379">
        <v>2021.5418139777053</v>
      </c>
      <c r="F379">
        <v>215.96467711059407</v>
      </c>
      <c r="G379">
        <v>3788.6048079086945</v>
      </c>
      <c r="H379" s="1">
        <v>46022.333333333336</v>
      </c>
    </row>
    <row r="380" spans="1:8" x14ac:dyDescent="0.25">
      <c r="A380" s="7">
        <f>DATE(YEAR(m4_crossvalid[[#This Row],[cutoff]]),MONTH(m4_crossvalid[[#This Row],[cutoff]]),DAY(m4_crossvalid[[#This Row],[cutoff]]))</f>
        <v>46022</v>
      </c>
      <c r="B380" s="7">
        <f>DATE(YEAR(m4_crossvalid[[#This Row],[ds]]),MONTH(m4_crossvalid[[#This Row],[ds]]),DAY(m4_crossvalid[[#This Row],[ds]]))</f>
        <v>46029</v>
      </c>
      <c r="C380">
        <v>532</v>
      </c>
      <c r="D380" s="1">
        <v>46029.333333333336</v>
      </c>
      <c r="E380">
        <v>2206.8619639680714</v>
      </c>
      <c r="F380">
        <v>342.24785637054487</v>
      </c>
      <c r="G380">
        <v>4078.5370081869319</v>
      </c>
      <c r="H380" s="1">
        <v>46022.333333333336</v>
      </c>
    </row>
    <row r="381" spans="1:8" x14ac:dyDescent="0.25">
      <c r="A381" s="7">
        <f>DATE(YEAR(m4_crossvalid[[#This Row],[cutoff]]),MONTH(m4_crossvalid[[#This Row],[cutoff]]),DAY(m4_crossvalid[[#This Row],[cutoff]]))</f>
        <v>46022</v>
      </c>
      <c r="B381" s="7">
        <f>DATE(YEAR(m4_crossvalid[[#This Row],[ds]]),MONTH(m4_crossvalid[[#This Row],[ds]]),DAY(m4_crossvalid[[#This Row],[ds]]))</f>
        <v>46030</v>
      </c>
      <c r="C381">
        <v>659</v>
      </c>
      <c r="D381" s="1">
        <v>46030.333333333336</v>
      </c>
      <c r="E381">
        <v>2012.8082680115626</v>
      </c>
      <c r="F381">
        <v>219.40081748635706</v>
      </c>
      <c r="G381">
        <v>3908.2518660197134</v>
      </c>
      <c r="H381" s="1">
        <v>46022.333333333336</v>
      </c>
    </row>
    <row r="382" spans="1:8" x14ac:dyDescent="0.25">
      <c r="A382" s="7">
        <f>DATE(YEAR(m4_crossvalid[[#This Row],[cutoff]]),MONTH(m4_crossvalid[[#This Row],[cutoff]]),DAY(m4_crossvalid[[#This Row],[cutoff]]))</f>
        <v>46022</v>
      </c>
      <c r="B382" s="7">
        <f>DATE(YEAR(m4_crossvalid[[#This Row],[ds]]),MONTH(m4_crossvalid[[#This Row],[ds]]),DAY(m4_crossvalid[[#This Row],[ds]]))</f>
        <v>46031</v>
      </c>
      <c r="C382">
        <v>787</v>
      </c>
      <c r="D382" s="1">
        <v>46031.333333333336</v>
      </c>
      <c r="E382">
        <v>1772.2451190854249</v>
      </c>
      <c r="F382">
        <v>-147.88587254794479</v>
      </c>
      <c r="G382">
        <v>3675.7073627630325</v>
      </c>
      <c r="H382" s="1">
        <v>46022.333333333336</v>
      </c>
    </row>
    <row r="383" spans="1:8" x14ac:dyDescent="0.25">
      <c r="A383" s="7">
        <f>DATE(YEAR(m4_crossvalid[[#This Row],[cutoff]]),MONTH(m4_crossvalid[[#This Row],[cutoff]]),DAY(m4_crossvalid[[#This Row],[cutoff]]))</f>
        <v>46022</v>
      </c>
      <c r="B383" s="7">
        <f>DATE(YEAR(m4_crossvalid[[#This Row],[ds]]),MONTH(m4_crossvalid[[#This Row],[ds]]),DAY(m4_crossvalid[[#This Row],[ds]]))</f>
        <v>46032</v>
      </c>
      <c r="C383">
        <v>137</v>
      </c>
      <c r="D383" s="1">
        <v>46032.333333333336</v>
      </c>
      <c r="E383">
        <v>-513.37316469141024</v>
      </c>
      <c r="F383">
        <v>-2439.068476725658</v>
      </c>
      <c r="G383">
        <v>1323.5739950922321</v>
      </c>
      <c r="H383" s="1">
        <v>46022.333333333336</v>
      </c>
    </row>
    <row r="384" spans="1:8" x14ac:dyDescent="0.25">
      <c r="A384" s="7">
        <f>DATE(YEAR(m4_crossvalid[[#This Row],[cutoff]]),MONTH(m4_crossvalid[[#This Row],[cutoff]]),DAY(m4_crossvalid[[#This Row],[cutoff]]))</f>
        <v>46022</v>
      </c>
      <c r="B384" s="7">
        <f>DATE(YEAR(m4_crossvalid[[#This Row],[ds]]),MONTH(m4_crossvalid[[#This Row],[ds]]),DAY(m4_crossvalid[[#This Row],[ds]]))</f>
        <v>46033</v>
      </c>
      <c r="C384">
        <v>44</v>
      </c>
      <c r="D384" s="1">
        <v>46033.333333333336</v>
      </c>
      <c r="E384">
        <v>-812.76244161263685</v>
      </c>
      <c r="F384">
        <v>-2769.8768322747974</v>
      </c>
      <c r="G384">
        <v>1261.3101594553925</v>
      </c>
      <c r="H384" s="1">
        <v>46022.333333333336</v>
      </c>
    </row>
    <row r="385" spans="1:8" x14ac:dyDescent="0.25">
      <c r="A385" s="7">
        <f>DATE(YEAR(m4_crossvalid[[#This Row],[cutoff]]),MONTH(m4_crossvalid[[#This Row],[cutoff]]),DAY(m4_crossvalid[[#This Row],[cutoff]]))</f>
        <v>46022</v>
      </c>
      <c r="B385" s="7">
        <f>DATE(YEAR(m4_crossvalid[[#This Row],[ds]]),MONTH(m4_crossvalid[[#This Row],[ds]]),DAY(m4_crossvalid[[#This Row],[ds]]))</f>
        <v>46034</v>
      </c>
      <c r="C385">
        <v>779</v>
      </c>
      <c r="D385" s="1">
        <v>46034.333333333336</v>
      </c>
      <c r="E385">
        <v>1945.0767185305976</v>
      </c>
      <c r="F385">
        <v>-21.337791650064077</v>
      </c>
      <c r="G385">
        <v>3827.4737110829401</v>
      </c>
      <c r="H385" s="1">
        <v>46022.333333333336</v>
      </c>
    </row>
    <row r="386" spans="1:8" x14ac:dyDescent="0.25">
      <c r="A386" s="7">
        <f>DATE(YEAR(m4_crossvalid[[#This Row],[cutoff]]),MONTH(m4_crossvalid[[#This Row],[cutoff]]),DAY(m4_crossvalid[[#This Row],[cutoff]]))</f>
        <v>46022</v>
      </c>
      <c r="B386" s="7">
        <f>DATE(YEAR(m4_crossvalid[[#This Row],[ds]]),MONTH(m4_crossvalid[[#This Row],[ds]]),DAY(m4_crossvalid[[#This Row],[ds]]))</f>
        <v>46035</v>
      </c>
      <c r="C386">
        <v>1113</v>
      </c>
      <c r="D386" s="1">
        <v>46035.333333333336</v>
      </c>
      <c r="E386">
        <v>2245.0348438778792</v>
      </c>
      <c r="F386">
        <v>411.08800733188514</v>
      </c>
      <c r="G386">
        <v>4082.7457021925215</v>
      </c>
      <c r="H386" s="1">
        <v>46022.333333333336</v>
      </c>
    </row>
    <row r="387" spans="1:8" x14ac:dyDescent="0.25">
      <c r="A387" s="7">
        <f>DATE(YEAR(m4_crossvalid[[#This Row],[cutoff]]),MONTH(m4_crossvalid[[#This Row],[cutoff]]),DAY(m4_crossvalid[[#This Row],[cutoff]]))</f>
        <v>46022</v>
      </c>
      <c r="B387" s="7">
        <f>DATE(YEAR(m4_crossvalid[[#This Row],[ds]]),MONTH(m4_crossvalid[[#This Row],[ds]]),DAY(m4_crossvalid[[#This Row],[ds]]))</f>
        <v>46036</v>
      </c>
      <c r="C387">
        <v>1419</v>
      </c>
      <c r="D387" s="1">
        <v>46036.333333333336</v>
      </c>
      <c r="E387">
        <v>2190.4262624042808</v>
      </c>
      <c r="F387">
        <v>230.73268011710604</v>
      </c>
      <c r="G387">
        <v>3973.5767934807341</v>
      </c>
      <c r="H387" s="1">
        <v>46022.333333333336</v>
      </c>
    </row>
    <row r="388" spans="1:8" x14ac:dyDescent="0.25">
      <c r="A388" s="7">
        <f>DATE(YEAR(m4_crossvalid[[#This Row],[cutoff]]),MONTH(m4_crossvalid[[#This Row],[cutoff]]),DAY(m4_crossvalid[[#This Row],[cutoff]]))</f>
        <v>46022</v>
      </c>
      <c r="B388" s="7">
        <f>DATE(YEAR(m4_crossvalid[[#This Row],[ds]]),MONTH(m4_crossvalid[[#This Row],[ds]]),DAY(m4_crossvalid[[#This Row],[ds]]))</f>
        <v>46037</v>
      </c>
      <c r="C388">
        <v>1874</v>
      </c>
      <c r="D388" s="1">
        <v>46037.333333333336</v>
      </c>
      <c r="E388">
        <v>2127.2047960704253</v>
      </c>
      <c r="F388">
        <v>160.52738404927791</v>
      </c>
      <c r="G388">
        <v>3906.5164835839914</v>
      </c>
      <c r="H388" s="1">
        <v>46022.333333333336</v>
      </c>
    </row>
    <row r="389" spans="1:8" x14ac:dyDescent="0.25">
      <c r="A389" s="7">
        <f>DATE(YEAR(m4_crossvalid[[#This Row],[cutoff]]),MONTH(m4_crossvalid[[#This Row],[cutoff]]),DAY(m4_crossvalid[[#This Row],[cutoff]]))</f>
        <v>46022</v>
      </c>
      <c r="B389" s="7">
        <f>DATE(YEAR(m4_crossvalid[[#This Row],[ds]]),MONTH(m4_crossvalid[[#This Row],[ds]]),DAY(m4_crossvalid[[#This Row],[ds]]))</f>
        <v>46038</v>
      </c>
      <c r="C389">
        <v>2020</v>
      </c>
      <c r="D389" s="1">
        <v>46038.333333333336</v>
      </c>
      <c r="E389">
        <v>2250.4287582409866</v>
      </c>
      <c r="F389">
        <v>314.26354834984426</v>
      </c>
      <c r="G389">
        <v>4107.5744393995028</v>
      </c>
      <c r="H389" s="1">
        <v>46022.333333333336</v>
      </c>
    </row>
    <row r="390" spans="1:8" x14ac:dyDescent="0.25">
      <c r="A390" s="7">
        <f>DATE(YEAR(m4_crossvalid[[#This Row],[cutoff]]),MONTH(m4_crossvalid[[#This Row],[cutoff]]),DAY(m4_crossvalid[[#This Row],[cutoff]]))</f>
        <v>46022</v>
      </c>
      <c r="B390" s="7">
        <f>DATE(YEAR(m4_crossvalid[[#This Row],[ds]]),MONTH(m4_crossvalid[[#This Row],[ds]]),DAY(m4_crossvalid[[#This Row],[ds]]))</f>
        <v>46039</v>
      </c>
      <c r="C390">
        <v>451</v>
      </c>
      <c r="D390" s="1">
        <v>46039.333333333336</v>
      </c>
      <c r="E390">
        <v>203.48715024385456</v>
      </c>
      <c r="F390">
        <v>-1508.1988085783048</v>
      </c>
      <c r="G390">
        <v>2179.8012133776028</v>
      </c>
      <c r="H390" s="1">
        <v>46022.333333333336</v>
      </c>
    </row>
    <row r="391" spans="1:8" x14ac:dyDescent="0.25">
      <c r="A391" s="7">
        <f>DATE(YEAR(m4_crossvalid[[#This Row],[cutoff]]),MONTH(m4_crossvalid[[#This Row],[cutoff]]),DAY(m4_crossvalid[[#This Row],[cutoff]]))</f>
        <v>46022</v>
      </c>
      <c r="B391" s="7">
        <f>DATE(YEAR(m4_crossvalid[[#This Row],[ds]]),MONTH(m4_crossvalid[[#This Row],[ds]]),DAY(m4_crossvalid[[#This Row],[ds]]))</f>
        <v>46040</v>
      </c>
      <c r="C391">
        <v>76</v>
      </c>
      <c r="D391" s="1">
        <v>46040.333333333336</v>
      </c>
      <c r="E391">
        <v>-183.04667587599079</v>
      </c>
      <c r="F391">
        <v>-1964.8729108923103</v>
      </c>
      <c r="G391">
        <v>1760.5512990487234</v>
      </c>
      <c r="H391" s="1">
        <v>46022.333333333336</v>
      </c>
    </row>
    <row r="392" spans="1:8" x14ac:dyDescent="0.25">
      <c r="A392" s="7">
        <f>DATE(YEAR(m4_crossvalid[[#This Row],[cutoff]]),MONTH(m4_crossvalid[[#This Row],[cutoff]]),DAY(m4_crossvalid[[#This Row],[cutoff]]))</f>
        <v>46022</v>
      </c>
      <c r="B392" s="7">
        <f>DATE(YEAR(m4_crossvalid[[#This Row],[ds]]),MONTH(m4_crossvalid[[#This Row],[ds]]),DAY(m4_crossvalid[[#This Row],[ds]]))</f>
        <v>46041</v>
      </c>
      <c r="C392">
        <v>1963</v>
      </c>
      <c r="D392" s="1">
        <v>46041.333333333336</v>
      </c>
      <c r="E392">
        <v>2310.2623036212499</v>
      </c>
      <c r="F392">
        <v>423.90614174218297</v>
      </c>
      <c r="G392">
        <v>4180.7953931827669</v>
      </c>
      <c r="H392" s="1">
        <v>46022.333333333336</v>
      </c>
    </row>
    <row r="393" spans="1:8" x14ac:dyDescent="0.25">
      <c r="A393" s="7">
        <f>DATE(YEAR(m4_crossvalid[[#This Row],[cutoff]]),MONTH(m4_crossvalid[[#This Row],[cutoff]]),DAY(m4_crossvalid[[#This Row],[cutoff]]))</f>
        <v>46022</v>
      </c>
      <c r="B393" s="7">
        <f>DATE(YEAR(m4_crossvalid[[#This Row],[ds]]),MONTH(m4_crossvalid[[#This Row],[ds]]),DAY(m4_crossvalid[[#This Row],[ds]]))</f>
        <v>46042</v>
      </c>
      <c r="C393">
        <v>2481</v>
      </c>
      <c r="D393" s="1">
        <v>46042.333333333336</v>
      </c>
      <c r="E393">
        <v>2502.3007729779556</v>
      </c>
      <c r="F393">
        <v>652.03628754993917</v>
      </c>
      <c r="G393">
        <v>4443.5648701567816</v>
      </c>
      <c r="H393" s="1">
        <v>46022.333333333336</v>
      </c>
    </row>
    <row r="394" spans="1:8" x14ac:dyDescent="0.25">
      <c r="A394" s="7">
        <f>DATE(YEAR(m4_crossvalid[[#This Row],[cutoff]]),MONTH(m4_crossvalid[[#This Row],[cutoff]]),DAY(m4_crossvalid[[#This Row],[cutoff]]))</f>
        <v>46022</v>
      </c>
      <c r="B394" s="7">
        <f>DATE(YEAR(m4_crossvalid[[#This Row],[ds]]),MONTH(m4_crossvalid[[#This Row],[ds]]),DAY(m4_crossvalid[[#This Row],[ds]]))</f>
        <v>46043</v>
      </c>
      <c r="C394">
        <v>2679</v>
      </c>
      <c r="D394" s="1">
        <v>46043.333333333336</v>
      </c>
      <c r="E394">
        <v>2671.7733104431377</v>
      </c>
      <c r="F394">
        <v>824.50457921841701</v>
      </c>
      <c r="G394">
        <v>4490.614221509104</v>
      </c>
      <c r="H394" s="1">
        <v>46022.333333333336</v>
      </c>
    </row>
    <row r="395" spans="1:8" x14ac:dyDescent="0.25">
      <c r="A395" s="7">
        <f>DATE(YEAR(m4_crossvalid[[#This Row],[cutoff]]),MONTH(m4_crossvalid[[#This Row],[cutoff]]),DAY(m4_crossvalid[[#This Row],[cutoff]]))</f>
        <v>46022</v>
      </c>
      <c r="B395" s="7">
        <f>DATE(YEAR(m4_crossvalid[[#This Row],[ds]]),MONTH(m4_crossvalid[[#This Row],[ds]]),DAY(m4_crossvalid[[#This Row],[ds]]))</f>
        <v>46044</v>
      </c>
      <c r="C395">
        <v>2830</v>
      </c>
      <c r="D395" s="1">
        <v>46044.333333333336</v>
      </c>
      <c r="E395">
        <v>3002.5446324490385</v>
      </c>
      <c r="F395">
        <v>999.43055995345662</v>
      </c>
      <c r="G395">
        <v>4914.5299925547251</v>
      </c>
      <c r="H395" s="1">
        <v>46022.333333333336</v>
      </c>
    </row>
    <row r="396" spans="1:8" x14ac:dyDescent="0.25">
      <c r="A396" s="7">
        <f>DATE(YEAR(m4_crossvalid[[#This Row],[cutoff]]),MONTH(m4_crossvalid[[#This Row],[cutoff]]),DAY(m4_crossvalid[[#This Row],[cutoff]]))</f>
        <v>46022</v>
      </c>
      <c r="B396" s="7">
        <f>DATE(YEAR(m4_crossvalid[[#This Row],[ds]]),MONTH(m4_crossvalid[[#This Row],[ds]]),DAY(m4_crossvalid[[#This Row],[ds]]))</f>
        <v>46045</v>
      </c>
      <c r="C396">
        <v>3000</v>
      </c>
      <c r="D396" s="1">
        <v>46045.333333333336</v>
      </c>
      <c r="E396">
        <v>3357.7220859313047</v>
      </c>
      <c r="F396">
        <v>1441.4006063978111</v>
      </c>
      <c r="G396">
        <v>5368.2737903002444</v>
      </c>
      <c r="H396" s="1">
        <v>46022.333333333336</v>
      </c>
    </row>
    <row r="397" spans="1:8" x14ac:dyDescent="0.25">
      <c r="A397" s="7">
        <f>DATE(YEAR(m4_crossvalid[[#This Row],[cutoff]]),MONTH(m4_crossvalid[[#This Row],[cutoff]]),DAY(m4_crossvalid[[#This Row],[cutoff]]))</f>
        <v>46022</v>
      </c>
      <c r="B397" s="7">
        <f>DATE(YEAR(m4_crossvalid[[#This Row],[ds]]),MONTH(m4_crossvalid[[#This Row],[ds]]),DAY(m4_crossvalid[[#This Row],[ds]]))</f>
        <v>46046</v>
      </c>
      <c r="C397">
        <v>902</v>
      </c>
      <c r="D397" s="1">
        <v>46046.333333333336</v>
      </c>
      <c r="E397">
        <v>1232.8682275312767</v>
      </c>
      <c r="F397">
        <v>-558.7281979620717</v>
      </c>
      <c r="G397">
        <v>3049.956957405413</v>
      </c>
      <c r="H397" s="1">
        <v>46022.333333333336</v>
      </c>
    </row>
    <row r="398" spans="1:8" x14ac:dyDescent="0.25">
      <c r="A398" s="7">
        <f>DATE(YEAR(m4_crossvalid[[#This Row],[cutoff]]),MONTH(m4_crossvalid[[#This Row],[cutoff]]),DAY(m4_crossvalid[[#This Row],[cutoff]]))</f>
        <v>46022</v>
      </c>
      <c r="B398" s="7">
        <f>DATE(YEAR(m4_crossvalid[[#This Row],[ds]]),MONTH(m4_crossvalid[[#This Row],[ds]]),DAY(m4_crossvalid[[#This Row],[ds]]))</f>
        <v>46047</v>
      </c>
      <c r="C398">
        <v>150</v>
      </c>
      <c r="D398" s="1">
        <v>46047.333333333336</v>
      </c>
      <c r="E398">
        <v>685.57940209696699</v>
      </c>
      <c r="F398">
        <v>-1167.7513961202653</v>
      </c>
      <c r="G398">
        <v>2486.8346833874825</v>
      </c>
      <c r="H398" s="1">
        <v>46022.333333333336</v>
      </c>
    </row>
    <row r="399" spans="1:8" x14ac:dyDescent="0.25">
      <c r="A399" s="7">
        <f>DATE(YEAR(m4_crossvalid[[#This Row],[cutoff]]),MONTH(m4_crossvalid[[#This Row],[cutoff]]),DAY(m4_crossvalid[[#This Row],[cutoff]]))</f>
        <v>46022</v>
      </c>
      <c r="B399" s="7">
        <f>DATE(YEAR(m4_crossvalid[[#This Row],[ds]]),MONTH(m4_crossvalid[[#This Row],[ds]]),DAY(m4_crossvalid[[#This Row],[ds]]))</f>
        <v>46048</v>
      </c>
      <c r="C399">
        <v>3603</v>
      </c>
      <c r="D399" s="1">
        <v>46048.333333333336</v>
      </c>
      <c r="E399">
        <v>3361.0058334677501</v>
      </c>
      <c r="F399">
        <v>1483.9413007193805</v>
      </c>
      <c r="G399">
        <v>5199.3292030040102</v>
      </c>
      <c r="H399" s="1">
        <v>46022.333333333336</v>
      </c>
    </row>
    <row r="400" spans="1:8" x14ac:dyDescent="0.25">
      <c r="A400" s="7">
        <f>DATE(YEAR(m4_crossvalid[[#This Row],[cutoff]]),MONTH(m4_crossvalid[[#This Row],[cutoff]]),DAY(m4_crossvalid[[#This Row],[cutoff]]))</f>
        <v>46022</v>
      </c>
      <c r="B400" s="7">
        <f>DATE(YEAR(m4_crossvalid[[#This Row],[ds]]),MONTH(m4_crossvalid[[#This Row],[ds]]),DAY(m4_crossvalid[[#This Row],[ds]]))</f>
        <v>46049</v>
      </c>
      <c r="C400">
        <v>4548</v>
      </c>
      <c r="D400" s="1">
        <v>46049.333333333336</v>
      </c>
      <c r="E400">
        <v>4300.965051373063</v>
      </c>
      <c r="F400">
        <v>2362.0068741255673</v>
      </c>
      <c r="G400">
        <v>6263.0267108612879</v>
      </c>
      <c r="H400" s="1">
        <v>46022.333333333336</v>
      </c>
    </row>
    <row r="401" spans="1:8" x14ac:dyDescent="0.25">
      <c r="A401" s="7">
        <f>DATE(YEAR(m4_crossvalid[[#This Row],[cutoff]]),MONTH(m4_crossvalid[[#This Row],[cutoff]]),DAY(m4_crossvalid[[#This Row],[cutoff]]))</f>
        <v>46022</v>
      </c>
      <c r="B401" s="7">
        <f>DATE(YEAR(m4_crossvalid[[#This Row],[ds]]),MONTH(m4_crossvalid[[#This Row],[ds]]),DAY(m4_crossvalid[[#This Row],[ds]]))</f>
        <v>46050</v>
      </c>
      <c r="C401">
        <v>5313</v>
      </c>
      <c r="D401" s="1">
        <v>46050.333333333336</v>
      </c>
      <c r="E401">
        <v>5537.566424543269</v>
      </c>
      <c r="F401">
        <v>3689.92923184847</v>
      </c>
      <c r="G401">
        <v>7411.8278260877332</v>
      </c>
      <c r="H401" s="1">
        <v>46022.333333333336</v>
      </c>
    </row>
    <row r="402" spans="1:8" x14ac:dyDescent="0.25">
      <c r="A402" s="7">
        <f>DATE(YEAR(m4_crossvalid[[#This Row],[cutoff]]),MONTH(m4_crossvalid[[#This Row],[cutoff]]),DAY(m4_crossvalid[[#This Row],[cutoff]]))</f>
        <v>46022</v>
      </c>
      <c r="B402" s="7">
        <f>DATE(YEAR(m4_crossvalid[[#This Row],[ds]]),MONTH(m4_crossvalid[[#This Row],[ds]]),DAY(m4_crossvalid[[#This Row],[ds]]))</f>
        <v>46051</v>
      </c>
      <c r="C402">
        <v>7326</v>
      </c>
      <c r="D402" s="1">
        <v>46051.333333333336</v>
      </c>
      <c r="E402">
        <v>6653.1202091318983</v>
      </c>
      <c r="F402">
        <v>4681.409439058235</v>
      </c>
      <c r="G402">
        <v>8680.4606330398692</v>
      </c>
      <c r="H402" s="1">
        <v>46022.333333333336</v>
      </c>
    </row>
    <row r="403" spans="1:8" x14ac:dyDescent="0.25">
      <c r="A403" s="7">
        <f>DATE(YEAR(m4_crossvalid[[#This Row],[cutoff]]),MONTH(m4_crossvalid[[#This Row],[cutoff]]),DAY(m4_crossvalid[[#This Row],[cutoff]]))</f>
        <v>46022</v>
      </c>
      <c r="B403" s="7">
        <f>DATE(YEAR(m4_crossvalid[[#This Row],[ds]]),MONTH(m4_crossvalid[[#This Row],[ds]]),DAY(m4_crossvalid[[#This Row],[ds]]))</f>
        <v>46052</v>
      </c>
      <c r="C403">
        <v>10276</v>
      </c>
      <c r="D403" s="1">
        <v>46052.333333333336</v>
      </c>
      <c r="E403">
        <v>6959.2127351599975</v>
      </c>
      <c r="F403">
        <v>5033.3396054227187</v>
      </c>
      <c r="G403">
        <v>8945.6784354819556</v>
      </c>
      <c r="H403" s="1">
        <v>46022.333333333336</v>
      </c>
    </row>
    <row r="404" spans="1:8" x14ac:dyDescent="0.25">
      <c r="A404" s="7">
        <f>DATE(YEAR(m4_crossvalid[[#This Row],[cutoff]]),MONTH(m4_crossvalid[[#This Row],[cutoff]]),DAY(m4_crossvalid[[#This Row],[cutoff]]))</f>
        <v>46022</v>
      </c>
      <c r="B404" s="7">
        <f>DATE(YEAR(m4_crossvalid[[#This Row],[ds]]),MONTH(m4_crossvalid[[#This Row],[ds]]),DAY(m4_crossvalid[[#This Row],[ds]]))</f>
        <v>46053</v>
      </c>
      <c r="C404">
        <v>7991</v>
      </c>
      <c r="D404" s="1">
        <v>46053.333333333336</v>
      </c>
      <c r="E404">
        <v>3807.5194053836753</v>
      </c>
      <c r="F404">
        <v>1878.7775709895991</v>
      </c>
      <c r="G404">
        <v>5799.0370950079059</v>
      </c>
      <c r="H404" s="1">
        <v>46022.333333333336</v>
      </c>
    </row>
    <row r="405" spans="1:8" x14ac:dyDescent="0.25">
      <c r="A405" s="7">
        <f>DATE(YEAR(m4_crossvalid[[#This Row],[cutoff]]),MONTH(m4_crossvalid[[#This Row],[cutoff]]),DAY(m4_crossvalid[[#This Row],[cutoff]]))</f>
        <v>46053</v>
      </c>
      <c r="B405" s="7">
        <f>DATE(YEAR(m4_crossvalid[[#This Row],[ds]]),MONTH(m4_crossvalid[[#This Row],[ds]]),DAY(m4_crossvalid[[#This Row],[ds]]))</f>
        <v>46054</v>
      </c>
      <c r="C405">
        <v>26</v>
      </c>
      <c r="D405" s="1">
        <v>46054.333333333336</v>
      </c>
      <c r="E405">
        <v>-135.8369313351227</v>
      </c>
      <c r="F405">
        <v>-2009.4488774569236</v>
      </c>
      <c r="G405">
        <v>1670.2968356599599</v>
      </c>
      <c r="H405" s="1">
        <v>46053.333333333336</v>
      </c>
    </row>
    <row r="406" spans="1:8" x14ac:dyDescent="0.25">
      <c r="A406" s="7">
        <f>DATE(YEAR(m4_crossvalid[[#This Row],[cutoff]]),MONTH(m4_crossvalid[[#This Row],[cutoff]]),DAY(m4_crossvalid[[#This Row],[cutoff]]))</f>
        <v>46053</v>
      </c>
      <c r="B406" s="7">
        <f>DATE(YEAR(m4_crossvalid[[#This Row],[ds]]),MONTH(m4_crossvalid[[#This Row],[ds]]),DAY(m4_crossvalid[[#This Row],[ds]]))</f>
        <v>46055</v>
      </c>
      <c r="C406">
        <v>134</v>
      </c>
      <c r="D406" s="1">
        <v>46055.333333333336</v>
      </c>
      <c r="E406">
        <v>613.53987674590053</v>
      </c>
      <c r="F406">
        <v>-1290.2563995342857</v>
      </c>
      <c r="G406">
        <v>2491.2605771538751</v>
      </c>
      <c r="H406" s="1">
        <v>46053.333333333336</v>
      </c>
    </row>
    <row r="407" spans="1:8" x14ac:dyDescent="0.25">
      <c r="A407" s="7">
        <f>DATE(YEAR(m4_crossvalid[[#This Row],[cutoff]]),MONTH(m4_crossvalid[[#This Row],[cutoff]]),DAY(m4_crossvalid[[#This Row],[cutoff]]))</f>
        <v>46053</v>
      </c>
      <c r="B407" s="7">
        <f>DATE(YEAR(m4_crossvalid[[#This Row],[ds]]),MONTH(m4_crossvalid[[#This Row],[ds]]),DAY(m4_crossvalid[[#This Row],[ds]]))</f>
        <v>46056</v>
      </c>
      <c r="C407">
        <v>521</v>
      </c>
      <c r="D407" s="1">
        <v>46056.333333333336</v>
      </c>
      <c r="E407">
        <v>-149.77137131612653</v>
      </c>
      <c r="F407">
        <v>-1963.3989446233165</v>
      </c>
      <c r="G407">
        <v>1670.5622149419557</v>
      </c>
      <c r="H407" s="1">
        <v>46053.333333333336</v>
      </c>
    </row>
    <row r="408" spans="1:8" x14ac:dyDescent="0.25">
      <c r="A408" s="7">
        <f>DATE(YEAR(m4_crossvalid[[#This Row],[cutoff]]),MONTH(m4_crossvalid[[#This Row],[cutoff]]),DAY(m4_crossvalid[[#This Row],[cutoff]]))</f>
        <v>46053</v>
      </c>
      <c r="B408" s="7">
        <f>DATE(YEAR(m4_crossvalid[[#This Row],[ds]]),MONTH(m4_crossvalid[[#This Row],[ds]]),DAY(m4_crossvalid[[#This Row],[ds]]))</f>
        <v>46057</v>
      </c>
      <c r="C408">
        <v>696</v>
      </c>
      <c r="D408" s="1">
        <v>46057.333333333336</v>
      </c>
      <c r="E408">
        <v>1611.7443720468964</v>
      </c>
      <c r="F408">
        <v>-297.25280533814498</v>
      </c>
      <c r="G408">
        <v>3490.6427460229047</v>
      </c>
      <c r="H408" s="1">
        <v>46053.333333333336</v>
      </c>
    </row>
    <row r="409" spans="1:8" x14ac:dyDescent="0.25">
      <c r="A409" s="7">
        <f>DATE(YEAR(m4_crossvalid[[#This Row],[cutoff]]),MONTH(m4_crossvalid[[#This Row],[cutoff]]),DAY(m4_crossvalid[[#This Row],[cutoff]]))</f>
        <v>46053</v>
      </c>
      <c r="B409" s="7">
        <f>DATE(YEAR(m4_crossvalid[[#This Row],[ds]]),MONTH(m4_crossvalid[[#This Row],[ds]]),DAY(m4_crossvalid[[#This Row],[ds]]))</f>
        <v>46058</v>
      </c>
      <c r="C409">
        <v>1038</v>
      </c>
      <c r="D409" s="1">
        <v>46058.333333333336</v>
      </c>
      <c r="E409">
        <v>1984.1515492128565</v>
      </c>
      <c r="F409">
        <v>171.41516739152007</v>
      </c>
      <c r="G409">
        <v>3922.6455915254637</v>
      </c>
      <c r="H409" s="1">
        <v>46053.333333333336</v>
      </c>
    </row>
    <row r="410" spans="1:8" x14ac:dyDescent="0.25">
      <c r="A410" s="7">
        <f>DATE(YEAR(m4_crossvalid[[#This Row],[cutoff]]),MONTH(m4_crossvalid[[#This Row],[cutoff]]),DAY(m4_crossvalid[[#This Row],[cutoff]]))</f>
        <v>46053</v>
      </c>
      <c r="B410" s="7">
        <f>DATE(YEAR(m4_crossvalid[[#This Row],[ds]]),MONTH(m4_crossvalid[[#This Row],[ds]]),DAY(m4_crossvalid[[#This Row],[ds]]))</f>
        <v>46059</v>
      </c>
      <c r="C410">
        <v>1414</v>
      </c>
      <c r="D410" s="1">
        <v>46059.333333333336</v>
      </c>
      <c r="E410">
        <v>2288.1657200395871</v>
      </c>
      <c r="F410">
        <v>553.98696905572945</v>
      </c>
      <c r="G410">
        <v>4211.7064087624249</v>
      </c>
      <c r="H410" s="1">
        <v>46053.333333333336</v>
      </c>
    </row>
    <row r="411" spans="1:8" x14ac:dyDescent="0.25">
      <c r="A411" s="7">
        <f>DATE(YEAR(m4_crossvalid[[#This Row],[cutoff]]),MONTH(m4_crossvalid[[#This Row],[cutoff]]),DAY(m4_crossvalid[[#This Row],[cutoff]]))</f>
        <v>46053</v>
      </c>
      <c r="B411" s="7">
        <f>DATE(YEAR(m4_crossvalid[[#This Row],[ds]]),MONTH(m4_crossvalid[[#This Row],[ds]]),DAY(m4_crossvalid[[#This Row],[ds]]))</f>
        <v>46060</v>
      </c>
      <c r="C411">
        <v>286</v>
      </c>
      <c r="D411" s="1">
        <v>46060.333333333336</v>
      </c>
      <c r="E411">
        <v>12.868688089693933</v>
      </c>
      <c r="F411">
        <v>-1779.4990752473782</v>
      </c>
      <c r="G411">
        <v>1964.1403238333482</v>
      </c>
      <c r="H411" s="1">
        <v>46053.333333333336</v>
      </c>
    </row>
    <row r="412" spans="1:8" x14ac:dyDescent="0.25">
      <c r="A412" s="7">
        <f>DATE(YEAR(m4_crossvalid[[#This Row],[cutoff]]),MONTH(m4_crossvalid[[#This Row],[cutoff]]),DAY(m4_crossvalid[[#This Row],[cutoff]]))</f>
        <v>46053</v>
      </c>
      <c r="B412" s="7">
        <f>DATE(YEAR(m4_crossvalid[[#This Row],[ds]]),MONTH(m4_crossvalid[[#This Row],[ds]]),DAY(m4_crossvalid[[#This Row],[ds]]))</f>
        <v>46061</v>
      </c>
      <c r="C412">
        <v>82</v>
      </c>
      <c r="D412" s="1">
        <v>46061.333333333336</v>
      </c>
      <c r="E412">
        <v>-704.94706065995842</v>
      </c>
      <c r="F412">
        <v>-2528.2857795669024</v>
      </c>
      <c r="G412">
        <v>1193.0730595998612</v>
      </c>
      <c r="H412" s="1">
        <v>46053.333333333336</v>
      </c>
    </row>
    <row r="413" spans="1:8" x14ac:dyDescent="0.25">
      <c r="A413" s="7">
        <f>DATE(YEAR(m4_crossvalid[[#This Row],[cutoff]]),MONTH(m4_crossvalid[[#This Row],[cutoff]]),DAY(m4_crossvalid[[#This Row],[cutoff]]))</f>
        <v>46053</v>
      </c>
      <c r="B413" s="7">
        <f>DATE(YEAR(m4_crossvalid[[#This Row],[ds]]),MONTH(m4_crossvalid[[#This Row],[ds]]),DAY(m4_crossvalid[[#This Row],[ds]]))</f>
        <v>46062</v>
      </c>
      <c r="C413">
        <v>1902</v>
      </c>
      <c r="D413" s="1">
        <v>46062.333333333336</v>
      </c>
      <c r="E413">
        <v>1793.7758824040318</v>
      </c>
      <c r="F413">
        <v>106.18116360798537</v>
      </c>
      <c r="G413">
        <v>3776.0326054272218</v>
      </c>
      <c r="H413" s="1">
        <v>46053.333333333336</v>
      </c>
    </row>
    <row r="414" spans="1:8" x14ac:dyDescent="0.25">
      <c r="A414" s="7">
        <f>DATE(YEAR(m4_crossvalid[[#This Row],[cutoff]]),MONTH(m4_crossvalid[[#This Row],[cutoff]]),DAY(m4_crossvalid[[#This Row],[cutoff]]))</f>
        <v>46053</v>
      </c>
      <c r="B414" s="7">
        <f>DATE(YEAR(m4_crossvalid[[#This Row],[ds]]),MONTH(m4_crossvalid[[#This Row],[ds]]),DAY(m4_crossvalid[[#This Row],[ds]]))</f>
        <v>46063</v>
      </c>
      <c r="C414">
        <v>2288</v>
      </c>
      <c r="D414" s="1">
        <v>46063.333333333336</v>
      </c>
      <c r="E414">
        <v>2311.5930318168057</v>
      </c>
      <c r="F414">
        <v>518.22877991518965</v>
      </c>
      <c r="G414">
        <v>4169.8076562400011</v>
      </c>
      <c r="H414" s="1">
        <v>46053.333333333336</v>
      </c>
    </row>
    <row r="415" spans="1:8" x14ac:dyDescent="0.25">
      <c r="A415" s="7">
        <f>DATE(YEAR(m4_crossvalid[[#This Row],[cutoff]]),MONTH(m4_crossvalid[[#This Row],[cutoff]]),DAY(m4_crossvalid[[#This Row],[cutoff]]))</f>
        <v>46053</v>
      </c>
      <c r="B415" s="7">
        <f>DATE(YEAR(m4_crossvalid[[#This Row],[ds]]),MONTH(m4_crossvalid[[#This Row],[ds]]),DAY(m4_crossvalid[[#This Row],[ds]]))</f>
        <v>46064</v>
      </c>
      <c r="C415">
        <v>2663</v>
      </c>
      <c r="D415" s="1">
        <v>46064.333333333336</v>
      </c>
      <c r="E415">
        <v>2694.3609418660913</v>
      </c>
      <c r="F415">
        <v>862.50867175332496</v>
      </c>
      <c r="G415">
        <v>4581.711841216068</v>
      </c>
      <c r="H415" s="1">
        <v>46053.333333333336</v>
      </c>
    </row>
    <row r="416" spans="1:8" x14ac:dyDescent="0.25">
      <c r="A416" s="7">
        <f>DATE(YEAR(m4_crossvalid[[#This Row],[cutoff]]),MONTH(m4_crossvalid[[#This Row],[cutoff]]),DAY(m4_crossvalid[[#This Row],[cutoff]]))</f>
        <v>46053</v>
      </c>
      <c r="B416" s="7">
        <f>DATE(YEAR(m4_crossvalid[[#This Row],[ds]]),MONTH(m4_crossvalid[[#This Row],[ds]]),DAY(m4_crossvalid[[#This Row],[ds]]))</f>
        <v>46065</v>
      </c>
      <c r="C416">
        <v>3108</v>
      </c>
      <c r="D416" s="1">
        <v>46065.333333333336</v>
      </c>
      <c r="E416">
        <v>2817.1872262448919</v>
      </c>
      <c r="F416">
        <v>1079.6559811806264</v>
      </c>
      <c r="G416">
        <v>4742.8442303765287</v>
      </c>
      <c r="H416" s="1">
        <v>46053.333333333336</v>
      </c>
    </row>
    <row r="417" spans="1:8" x14ac:dyDescent="0.25">
      <c r="A417" s="7">
        <f>DATE(YEAR(m4_crossvalid[[#This Row],[cutoff]]),MONTH(m4_crossvalid[[#This Row],[cutoff]]),DAY(m4_crossvalid[[#This Row],[cutoff]]))</f>
        <v>46053</v>
      </c>
      <c r="B417" s="7">
        <f>DATE(YEAR(m4_crossvalid[[#This Row],[ds]]),MONTH(m4_crossvalid[[#This Row],[ds]]),DAY(m4_crossvalid[[#This Row],[ds]]))</f>
        <v>46066</v>
      </c>
      <c r="C417">
        <v>3172</v>
      </c>
      <c r="D417" s="1">
        <v>46066.333333333336</v>
      </c>
      <c r="E417">
        <v>2694.8975266304342</v>
      </c>
      <c r="F417">
        <v>955.06868298182894</v>
      </c>
      <c r="G417">
        <v>4573.8066375472335</v>
      </c>
      <c r="H417" s="1">
        <v>46053.333333333336</v>
      </c>
    </row>
    <row r="418" spans="1:8" x14ac:dyDescent="0.25">
      <c r="A418" s="7">
        <f>DATE(YEAR(m4_crossvalid[[#This Row],[cutoff]]),MONTH(m4_crossvalid[[#This Row],[cutoff]]),DAY(m4_crossvalid[[#This Row],[cutoff]]))</f>
        <v>46053</v>
      </c>
      <c r="B418" s="7">
        <f>DATE(YEAR(m4_crossvalid[[#This Row],[ds]]),MONTH(m4_crossvalid[[#This Row],[ds]]),DAY(m4_crossvalid[[#This Row],[ds]]))</f>
        <v>46067</v>
      </c>
      <c r="C418">
        <v>913</v>
      </c>
      <c r="D418" s="1">
        <v>46067.333333333336</v>
      </c>
      <c r="E418">
        <v>277.70399145596593</v>
      </c>
      <c r="F418">
        <v>-1623.2840822531589</v>
      </c>
      <c r="G418">
        <v>2107.0632567121756</v>
      </c>
      <c r="H418" s="1">
        <v>46053.333333333336</v>
      </c>
    </row>
    <row r="419" spans="1:8" x14ac:dyDescent="0.25">
      <c r="A419" s="7">
        <f>DATE(YEAR(m4_crossvalid[[#This Row],[cutoff]]),MONTH(m4_crossvalid[[#This Row],[cutoff]]),DAY(m4_crossvalid[[#This Row],[cutoff]]))</f>
        <v>46053</v>
      </c>
      <c r="B419" s="7">
        <f>DATE(YEAR(m4_crossvalid[[#This Row],[ds]]),MONTH(m4_crossvalid[[#This Row],[ds]]),DAY(m4_crossvalid[[#This Row],[ds]]))</f>
        <v>46068</v>
      </c>
      <c r="C419">
        <v>208</v>
      </c>
      <c r="D419" s="1">
        <v>46068.333333333336</v>
      </c>
      <c r="E419">
        <v>-230.06494786672465</v>
      </c>
      <c r="F419">
        <v>-2099.242408770278</v>
      </c>
      <c r="G419">
        <v>1666.0953117132103</v>
      </c>
      <c r="H419" s="1">
        <v>46053.333333333336</v>
      </c>
    </row>
    <row r="420" spans="1:8" x14ac:dyDescent="0.25">
      <c r="A420" s="7">
        <f>DATE(YEAR(m4_crossvalid[[#This Row],[cutoff]]),MONTH(m4_crossvalid[[#This Row],[cutoff]]),DAY(m4_crossvalid[[#This Row],[cutoff]]))</f>
        <v>46053</v>
      </c>
      <c r="B420" s="7">
        <f>DATE(YEAR(m4_crossvalid[[#This Row],[ds]]),MONTH(m4_crossvalid[[#This Row],[ds]]),DAY(m4_crossvalid[[#This Row],[ds]]))</f>
        <v>46069</v>
      </c>
      <c r="C420">
        <v>1728</v>
      </c>
      <c r="D420" s="1">
        <v>46069.333333333336</v>
      </c>
      <c r="E420">
        <v>2532.1426579609638</v>
      </c>
      <c r="F420">
        <v>718.57525852972935</v>
      </c>
      <c r="G420">
        <v>4516.2672856185382</v>
      </c>
      <c r="H420" s="1">
        <v>46053.333333333336</v>
      </c>
    </row>
    <row r="421" spans="1:8" x14ac:dyDescent="0.25">
      <c r="A421" s="7">
        <f>DATE(YEAR(m4_crossvalid[[#This Row],[cutoff]]),MONTH(m4_crossvalid[[#This Row],[cutoff]]),DAY(m4_crossvalid[[#This Row],[cutoff]]))</f>
        <v>46053</v>
      </c>
      <c r="B421" s="7">
        <f>DATE(YEAR(m4_crossvalid[[#This Row],[ds]]),MONTH(m4_crossvalid[[#This Row],[ds]]),DAY(m4_crossvalid[[#This Row],[ds]]))</f>
        <v>46070</v>
      </c>
      <c r="C421">
        <v>27</v>
      </c>
      <c r="D421" s="1">
        <v>46070.333333333336</v>
      </c>
      <c r="E421">
        <v>619.45123119371442</v>
      </c>
      <c r="F421">
        <v>-1365.8222696432158</v>
      </c>
      <c r="G421">
        <v>2718.0765433681768</v>
      </c>
      <c r="H421" s="1">
        <v>46053.333333333336</v>
      </c>
    </row>
    <row r="422" spans="1:8" x14ac:dyDescent="0.25">
      <c r="A422" s="7">
        <f>DATE(YEAR(m4_crossvalid[[#This Row],[cutoff]]),MONTH(m4_crossvalid[[#This Row],[cutoff]]),DAY(m4_crossvalid[[#This Row],[cutoff]]))</f>
        <v>46053</v>
      </c>
      <c r="B422" s="7">
        <f>DATE(YEAR(m4_crossvalid[[#This Row],[ds]]),MONTH(m4_crossvalid[[#This Row],[ds]]),DAY(m4_crossvalid[[#This Row],[ds]]))</f>
        <v>46071</v>
      </c>
      <c r="C422">
        <v>21</v>
      </c>
      <c r="D422" s="1">
        <v>46071.333333333336</v>
      </c>
      <c r="E422">
        <v>712.18689878505347</v>
      </c>
      <c r="F422">
        <v>-1268.6942683869784</v>
      </c>
      <c r="G422">
        <v>2534.8227029482309</v>
      </c>
      <c r="H422" s="1">
        <v>46053.333333333336</v>
      </c>
    </row>
    <row r="423" spans="1:8" x14ac:dyDescent="0.25">
      <c r="A423" s="7">
        <f>DATE(YEAR(m4_crossvalid[[#This Row],[cutoff]]),MONTH(m4_crossvalid[[#This Row],[cutoff]]),DAY(m4_crossvalid[[#This Row],[cutoff]]))</f>
        <v>46053</v>
      </c>
      <c r="B423" s="7">
        <f>DATE(YEAR(m4_crossvalid[[#This Row],[ds]]),MONTH(m4_crossvalid[[#This Row],[ds]]),DAY(m4_crossvalid[[#This Row],[ds]]))</f>
        <v>46072</v>
      </c>
      <c r="C423">
        <v>1000</v>
      </c>
      <c r="D423" s="1">
        <v>46072.333333333336</v>
      </c>
      <c r="E423">
        <v>2974.7922387165013</v>
      </c>
      <c r="F423">
        <v>1239.3479940512977</v>
      </c>
      <c r="G423">
        <v>5076.6082070768725</v>
      </c>
      <c r="H423" s="1">
        <v>46053.333333333336</v>
      </c>
    </row>
    <row r="424" spans="1:8" x14ac:dyDescent="0.25">
      <c r="A424" s="7">
        <f>DATE(YEAR(m4_crossvalid[[#This Row],[cutoff]]),MONTH(m4_crossvalid[[#This Row],[cutoff]]),DAY(m4_crossvalid[[#This Row],[cutoff]]))</f>
        <v>46053</v>
      </c>
      <c r="B424" s="7">
        <f>DATE(YEAR(m4_crossvalid[[#This Row],[ds]]),MONTH(m4_crossvalid[[#This Row],[ds]]),DAY(m4_crossvalid[[#This Row],[ds]]))</f>
        <v>46073</v>
      </c>
      <c r="C424">
        <v>1555</v>
      </c>
      <c r="D424" s="1">
        <v>46073.333333333336</v>
      </c>
      <c r="E424">
        <v>2863.8321621026271</v>
      </c>
      <c r="F424">
        <v>1035.8982387505737</v>
      </c>
      <c r="G424">
        <v>4860.9383647117365</v>
      </c>
      <c r="H424" s="1">
        <v>46053.333333333336</v>
      </c>
    </row>
    <row r="425" spans="1:8" x14ac:dyDescent="0.25">
      <c r="A425" s="7">
        <f>DATE(YEAR(m4_crossvalid[[#This Row],[cutoff]]),MONTH(m4_crossvalid[[#This Row],[cutoff]]),DAY(m4_crossvalid[[#This Row],[cutoff]]))</f>
        <v>46053</v>
      </c>
      <c r="B425" s="7">
        <f>DATE(YEAR(m4_crossvalid[[#This Row],[ds]]),MONTH(m4_crossvalid[[#This Row],[ds]]),DAY(m4_crossvalid[[#This Row],[ds]]))</f>
        <v>46074</v>
      </c>
      <c r="C425">
        <v>492</v>
      </c>
      <c r="D425" s="1">
        <v>46074.333333333336</v>
      </c>
      <c r="E425">
        <v>754.12241772991752</v>
      </c>
      <c r="F425">
        <v>-1110.5748933597222</v>
      </c>
      <c r="G425">
        <v>2715.6057398688713</v>
      </c>
      <c r="H425" s="1">
        <v>46053.333333333336</v>
      </c>
    </row>
    <row r="426" spans="1:8" x14ac:dyDescent="0.25">
      <c r="A426" s="7">
        <f>DATE(YEAR(m4_crossvalid[[#This Row],[cutoff]]),MONTH(m4_crossvalid[[#This Row],[cutoff]]),DAY(m4_crossvalid[[#This Row],[cutoff]]))</f>
        <v>46053</v>
      </c>
      <c r="B426" s="7">
        <f>DATE(YEAR(m4_crossvalid[[#This Row],[ds]]),MONTH(m4_crossvalid[[#This Row],[ds]]),DAY(m4_crossvalid[[#This Row],[ds]]))</f>
        <v>46075</v>
      </c>
      <c r="C426">
        <v>159</v>
      </c>
      <c r="D426" s="1">
        <v>46075.333333333336</v>
      </c>
      <c r="E426">
        <v>554.16890808266771</v>
      </c>
      <c r="F426">
        <v>-1260.7365413117579</v>
      </c>
      <c r="G426">
        <v>2360.4334439681725</v>
      </c>
      <c r="H426" s="1">
        <v>46053.333333333336</v>
      </c>
    </row>
    <row r="427" spans="1:8" x14ac:dyDescent="0.25">
      <c r="A427" s="7">
        <f>DATE(YEAR(m4_crossvalid[[#This Row],[cutoff]]),MONTH(m4_crossvalid[[#This Row],[cutoff]]),DAY(m4_crossvalid[[#This Row],[cutoff]]))</f>
        <v>46053</v>
      </c>
      <c r="B427" s="7">
        <f>DATE(YEAR(m4_crossvalid[[#This Row],[ds]]),MONTH(m4_crossvalid[[#This Row],[ds]]),DAY(m4_crossvalid[[#This Row],[ds]]))</f>
        <v>46076</v>
      </c>
      <c r="C427">
        <v>2313</v>
      </c>
      <c r="D427" s="1">
        <v>46076.333333333336</v>
      </c>
      <c r="E427">
        <v>3344.3346406388946</v>
      </c>
      <c r="F427">
        <v>1452.4804330600889</v>
      </c>
      <c r="G427">
        <v>5329.6504488424216</v>
      </c>
      <c r="H427" s="1">
        <v>46053.333333333336</v>
      </c>
    </row>
    <row r="428" spans="1:8" x14ac:dyDescent="0.25">
      <c r="A428" s="7">
        <f>DATE(YEAR(m4_crossvalid[[#This Row],[cutoff]]),MONTH(m4_crossvalid[[#This Row],[cutoff]]),DAY(m4_crossvalid[[#This Row],[cutoff]]))</f>
        <v>46053</v>
      </c>
      <c r="B428" s="7">
        <f>DATE(YEAR(m4_crossvalid[[#This Row],[ds]]),MONTH(m4_crossvalid[[#This Row],[ds]]),DAY(m4_crossvalid[[#This Row],[ds]]))</f>
        <v>46077</v>
      </c>
      <c r="C428">
        <v>3081</v>
      </c>
      <c r="D428" s="1">
        <v>46077.333333333336</v>
      </c>
      <c r="E428">
        <v>3656.7001082930933</v>
      </c>
      <c r="F428">
        <v>1733.764469087424</v>
      </c>
      <c r="G428">
        <v>5545.2024151669812</v>
      </c>
      <c r="H428" s="1">
        <v>46053.333333333336</v>
      </c>
    </row>
    <row r="429" spans="1:8" x14ac:dyDescent="0.25">
      <c r="A429" s="7">
        <f>DATE(YEAR(m4_crossvalid[[#This Row],[cutoff]]),MONTH(m4_crossvalid[[#This Row],[cutoff]]),DAY(m4_crossvalid[[#This Row],[cutoff]]))</f>
        <v>46053</v>
      </c>
      <c r="B429" s="7">
        <f>DATE(YEAR(m4_crossvalid[[#This Row],[ds]]),MONTH(m4_crossvalid[[#This Row],[ds]]),DAY(m4_crossvalid[[#This Row],[ds]]))</f>
        <v>46078</v>
      </c>
      <c r="C429">
        <v>4066</v>
      </c>
      <c r="D429" s="1">
        <v>46078.333333333336</v>
      </c>
      <c r="E429">
        <v>3702.1933385838411</v>
      </c>
      <c r="F429">
        <v>1791.9325610098272</v>
      </c>
      <c r="G429">
        <v>5636.0458782435708</v>
      </c>
      <c r="H429" s="1">
        <v>46053.333333333336</v>
      </c>
    </row>
    <row r="430" spans="1:8" x14ac:dyDescent="0.25">
      <c r="A430" s="7">
        <f>DATE(YEAR(m4_crossvalid[[#This Row],[cutoff]]),MONTH(m4_crossvalid[[#This Row],[cutoff]]),DAY(m4_crossvalid[[#This Row],[cutoff]]))</f>
        <v>46053</v>
      </c>
      <c r="B430" s="7">
        <f>DATE(YEAR(m4_crossvalid[[#This Row],[ds]]),MONTH(m4_crossvalid[[#This Row],[ds]]),DAY(m4_crossvalid[[#This Row],[ds]]))</f>
        <v>46079</v>
      </c>
      <c r="C430">
        <v>5569</v>
      </c>
      <c r="D430" s="1">
        <v>46079.333333333336</v>
      </c>
      <c r="E430">
        <v>4023.1016914991405</v>
      </c>
      <c r="F430">
        <v>2215.3879444028612</v>
      </c>
      <c r="G430">
        <v>5827.2756465300099</v>
      </c>
      <c r="H430" s="1">
        <v>46053.333333333336</v>
      </c>
    </row>
    <row r="431" spans="1:8" x14ac:dyDescent="0.25">
      <c r="A431" s="7">
        <f>DATE(YEAR(m4_crossvalid[[#This Row],[cutoff]]),MONTH(m4_crossvalid[[#This Row],[cutoff]]),DAY(m4_crossvalid[[#This Row],[cutoff]]))</f>
        <v>46053</v>
      </c>
      <c r="B431" s="7">
        <f>DATE(YEAR(m4_crossvalid[[#This Row],[ds]]),MONTH(m4_crossvalid[[#This Row],[ds]]),DAY(m4_crossvalid[[#This Row],[ds]]))</f>
        <v>46080</v>
      </c>
      <c r="C431">
        <v>8803</v>
      </c>
      <c r="D431" s="1">
        <v>46080.333333333336</v>
      </c>
      <c r="E431">
        <v>4918.3687632417477</v>
      </c>
      <c r="F431">
        <v>3077.5668387213109</v>
      </c>
      <c r="G431">
        <v>6735.499082929894</v>
      </c>
      <c r="H431" s="1">
        <v>46053.333333333336</v>
      </c>
    </row>
    <row r="432" spans="1:8" x14ac:dyDescent="0.25">
      <c r="A432" s="7">
        <f>DATE(YEAR(m4_crossvalid[[#This Row],[cutoff]]),MONTH(m4_crossvalid[[#This Row],[cutoff]]),DAY(m4_crossvalid[[#This Row],[cutoff]]))</f>
        <v>46053</v>
      </c>
      <c r="B432" s="7">
        <f>DATE(YEAR(m4_crossvalid[[#This Row],[ds]]),MONTH(m4_crossvalid[[#This Row],[ds]]),DAY(m4_crossvalid[[#This Row],[ds]]))</f>
        <v>46081</v>
      </c>
      <c r="C432">
        <v>9425</v>
      </c>
      <c r="D432" s="1">
        <v>46081.333333333336</v>
      </c>
      <c r="E432">
        <v>3858.461089322825</v>
      </c>
      <c r="F432">
        <v>2075.4197107366767</v>
      </c>
      <c r="G432">
        <v>5632.0313583351908</v>
      </c>
      <c r="H432" s="1">
        <v>46053.333333333336</v>
      </c>
    </row>
    <row r="433" spans="1:8" x14ac:dyDescent="0.25">
      <c r="A433" s="7">
        <f>DATE(YEAR(m4_crossvalid[[#This Row],[cutoff]]),MONTH(m4_crossvalid[[#This Row],[cutoff]]),DAY(m4_crossvalid[[#This Row],[cutoff]]))</f>
        <v>46053</v>
      </c>
      <c r="B433" s="7">
        <f>DATE(YEAR(m4_crossvalid[[#This Row],[ds]]),MONTH(m4_crossvalid[[#This Row],[ds]]),DAY(m4_crossvalid[[#This Row],[ds]]))</f>
        <v>46082</v>
      </c>
      <c r="C433">
        <v>40</v>
      </c>
      <c r="D433" s="1">
        <v>46082.333333333336</v>
      </c>
      <c r="E433">
        <v>4110.3840841749561</v>
      </c>
      <c r="F433">
        <v>2189.1619544144414</v>
      </c>
      <c r="G433">
        <v>5967.795897193384</v>
      </c>
      <c r="H433" s="1">
        <v>46053.333333333336</v>
      </c>
    </row>
    <row r="434" spans="1:8" x14ac:dyDescent="0.25">
      <c r="A434" s="7">
        <f>DATE(YEAR(m4_crossvalid[[#This Row],[cutoff]]),MONTH(m4_crossvalid[[#This Row],[cutoff]]),DAY(m4_crossvalid[[#This Row],[cutoff]]))</f>
        <v>46053</v>
      </c>
      <c r="B434" s="7">
        <f>DATE(YEAR(m4_crossvalid[[#This Row],[ds]]),MONTH(m4_crossvalid[[#This Row],[ds]]),DAY(m4_crossvalid[[#This Row],[ds]]))</f>
        <v>46083</v>
      </c>
      <c r="C434">
        <v>617</v>
      </c>
      <c r="D434" s="1">
        <v>46083.333333333336</v>
      </c>
      <c r="E434">
        <v>6380.9028950601296</v>
      </c>
      <c r="F434">
        <v>4457.602492564034</v>
      </c>
      <c r="G434">
        <v>8264.9365755920007</v>
      </c>
      <c r="H434" s="1">
        <v>46053.333333333336</v>
      </c>
    </row>
    <row r="435" spans="1:8" x14ac:dyDescent="0.25">
      <c r="A435" s="7">
        <f>DATE(YEAR(m4_crossvalid[[#This Row],[cutoff]]),MONTH(m4_crossvalid[[#This Row],[cutoff]]),DAY(m4_crossvalid[[#This Row],[cutoff]]))</f>
        <v>46053</v>
      </c>
      <c r="B435" s="7">
        <f>DATE(YEAR(m4_crossvalid[[#This Row],[ds]]),MONTH(m4_crossvalid[[#This Row],[ds]]),DAY(m4_crossvalid[[#This Row],[ds]]))</f>
        <v>46084</v>
      </c>
      <c r="C435">
        <v>799</v>
      </c>
      <c r="D435" s="1">
        <v>46084.333333333336</v>
      </c>
      <c r="E435">
        <v>5305.3655167509369</v>
      </c>
      <c r="F435">
        <v>3182.337357624358</v>
      </c>
      <c r="G435">
        <v>7226.399876314581</v>
      </c>
      <c r="H435" s="1">
        <v>46053.333333333336</v>
      </c>
    </row>
    <row r="436" spans="1:8" x14ac:dyDescent="0.25">
      <c r="A436" s="7">
        <f>DATE(YEAR(m4_crossvalid[[#This Row],[cutoff]]),MONTH(m4_crossvalid[[#This Row],[cutoff]]),DAY(m4_crossvalid[[#This Row],[cutoff]]))</f>
        <v>46081</v>
      </c>
      <c r="B436" s="7">
        <f>DATE(YEAR(m4_crossvalid[[#This Row],[ds]]),MONTH(m4_crossvalid[[#This Row],[ds]]),DAY(m4_crossvalid[[#This Row],[ds]]))</f>
        <v>46082</v>
      </c>
      <c r="C436">
        <v>40</v>
      </c>
      <c r="D436" s="1">
        <v>46082.333333333336</v>
      </c>
      <c r="E436">
        <v>4256.8322623765671</v>
      </c>
      <c r="F436">
        <v>2442.8490067446323</v>
      </c>
      <c r="G436">
        <v>6038.9034122329085</v>
      </c>
      <c r="H436" s="1">
        <v>46081.333333333336</v>
      </c>
    </row>
    <row r="437" spans="1:8" x14ac:dyDescent="0.25">
      <c r="A437" s="7">
        <f>DATE(YEAR(m4_crossvalid[[#This Row],[cutoff]]),MONTH(m4_crossvalid[[#This Row],[cutoff]]),DAY(m4_crossvalid[[#This Row],[cutoff]]))</f>
        <v>46081</v>
      </c>
      <c r="B437" s="7">
        <f>DATE(YEAR(m4_crossvalid[[#This Row],[ds]]),MONTH(m4_crossvalid[[#This Row],[ds]]),DAY(m4_crossvalid[[#This Row],[ds]]))</f>
        <v>46083</v>
      </c>
      <c r="C437">
        <v>617</v>
      </c>
      <c r="D437" s="1">
        <v>46083.333333333336</v>
      </c>
      <c r="E437">
        <v>6484.0939601983246</v>
      </c>
      <c r="F437">
        <v>4677.8941929664343</v>
      </c>
      <c r="G437">
        <v>8426.8867542077751</v>
      </c>
      <c r="H437" s="1">
        <v>46081.333333333336</v>
      </c>
    </row>
    <row r="438" spans="1:8" x14ac:dyDescent="0.25">
      <c r="A438" s="7">
        <f>DATE(YEAR(m4_crossvalid[[#This Row],[cutoff]]),MONTH(m4_crossvalid[[#This Row],[cutoff]]),DAY(m4_crossvalid[[#This Row],[cutoff]]))</f>
        <v>46081</v>
      </c>
      <c r="B438" s="7">
        <f>DATE(YEAR(m4_crossvalid[[#This Row],[ds]]),MONTH(m4_crossvalid[[#This Row],[ds]]),DAY(m4_crossvalid[[#This Row],[ds]]))</f>
        <v>46084</v>
      </c>
      <c r="C438">
        <v>799</v>
      </c>
      <c r="D438" s="1">
        <v>46084.333333333336</v>
      </c>
      <c r="E438">
        <v>5401.8675258766079</v>
      </c>
      <c r="F438">
        <v>3531.6408218003071</v>
      </c>
      <c r="G438">
        <v>7200.5249336638126</v>
      </c>
      <c r="H438" s="1">
        <v>46081.333333333336</v>
      </c>
    </row>
    <row r="439" spans="1:8" x14ac:dyDescent="0.25">
      <c r="A439" s="7">
        <f>DATE(YEAR(m4_crossvalid[[#This Row],[cutoff]]),MONTH(m4_crossvalid[[#This Row],[cutoff]]),DAY(m4_crossvalid[[#This Row],[cutoff]]))</f>
        <v>46081</v>
      </c>
      <c r="B439" s="7">
        <f>DATE(YEAR(m4_crossvalid[[#This Row],[ds]]),MONTH(m4_crossvalid[[#This Row],[ds]]),DAY(m4_crossvalid[[#This Row],[ds]]))</f>
        <v>46085</v>
      </c>
      <c r="C439">
        <v>995</v>
      </c>
      <c r="D439" s="1">
        <v>46085.333333333336</v>
      </c>
      <c r="E439">
        <v>3625.7058363570277</v>
      </c>
      <c r="F439">
        <v>1792.0524497655219</v>
      </c>
      <c r="G439">
        <v>5518.542136830968</v>
      </c>
      <c r="H439" s="1">
        <v>46081.333333333336</v>
      </c>
    </row>
    <row r="440" spans="1:8" x14ac:dyDescent="0.25">
      <c r="A440" s="7">
        <f>DATE(YEAR(m4_crossvalid[[#This Row],[cutoff]]),MONTH(m4_crossvalid[[#This Row],[cutoff]]),DAY(m4_crossvalid[[#This Row],[cutoff]]))</f>
        <v>46081</v>
      </c>
      <c r="B440" s="7">
        <f>DATE(YEAR(m4_crossvalid[[#This Row],[ds]]),MONTH(m4_crossvalid[[#This Row],[ds]]),DAY(m4_crossvalid[[#This Row],[ds]]))</f>
        <v>46086</v>
      </c>
      <c r="C440">
        <v>1314</v>
      </c>
      <c r="D440" s="1">
        <v>46086.333333333336</v>
      </c>
      <c r="E440">
        <v>2157.1007545714824</v>
      </c>
      <c r="F440">
        <v>347.1515831035324</v>
      </c>
      <c r="G440">
        <v>3954.2490485277831</v>
      </c>
      <c r="H440" s="1">
        <v>46081.333333333336</v>
      </c>
    </row>
    <row r="441" spans="1:8" x14ac:dyDescent="0.25">
      <c r="A441" s="7">
        <f>DATE(YEAR(m4_crossvalid[[#This Row],[cutoff]]),MONTH(m4_crossvalid[[#This Row],[cutoff]]),DAY(m4_crossvalid[[#This Row],[cutoff]]))</f>
        <v>46081</v>
      </c>
      <c r="B441" s="7">
        <f>DATE(YEAR(m4_crossvalid[[#This Row],[ds]]),MONTH(m4_crossvalid[[#This Row],[ds]]),DAY(m4_crossvalid[[#This Row],[ds]]))</f>
        <v>46087</v>
      </c>
      <c r="C441">
        <v>1617</v>
      </c>
      <c r="D441" s="1">
        <v>46087.333333333336</v>
      </c>
      <c r="E441">
        <v>1582.1002495981006</v>
      </c>
      <c r="F441">
        <v>-361.33288801023474</v>
      </c>
      <c r="G441">
        <v>3574.3499229264362</v>
      </c>
      <c r="H441" s="1">
        <v>46081.333333333336</v>
      </c>
    </row>
    <row r="442" spans="1:8" x14ac:dyDescent="0.25">
      <c r="A442" s="7">
        <f>DATE(YEAR(m4_crossvalid[[#This Row],[cutoff]]),MONTH(m4_crossvalid[[#This Row],[cutoff]]),DAY(m4_crossvalid[[#This Row],[cutoff]]))</f>
        <v>46081</v>
      </c>
      <c r="B442" s="7">
        <f>DATE(YEAR(m4_crossvalid[[#This Row],[ds]]),MONTH(m4_crossvalid[[#This Row],[ds]]),DAY(m4_crossvalid[[#This Row],[ds]]))</f>
        <v>46088</v>
      </c>
      <c r="C442">
        <v>220</v>
      </c>
      <c r="D442" s="1">
        <v>46088.333333333336</v>
      </c>
      <c r="E442">
        <v>-2295.675579826237</v>
      </c>
      <c r="F442">
        <v>-4129.6049366949928</v>
      </c>
      <c r="G442">
        <v>-244.68792819695494</v>
      </c>
      <c r="H442" s="1">
        <v>46081.333333333336</v>
      </c>
    </row>
    <row r="443" spans="1:8" x14ac:dyDescent="0.25">
      <c r="A443" s="7">
        <f>DATE(YEAR(m4_crossvalid[[#This Row],[cutoff]]),MONTH(m4_crossvalid[[#This Row],[cutoff]]),DAY(m4_crossvalid[[#This Row],[cutoff]]))</f>
        <v>46081</v>
      </c>
      <c r="B443" s="7">
        <f>DATE(YEAR(m4_crossvalid[[#This Row],[ds]]),MONTH(m4_crossvalid[[#This Row],[ds]]),DAY(m4_crossvalid[[#This Row],[ds]]))</f>
        <v>46089</v>
      </c>
      <c r="C443">
        <v>43</v>
      </c>
      <c r="D443" s="1">
        <v>46089.333333333336</v>
      </c>
      <c r="E443">
        <v>-616.40595925361686</v>
      </c>
      <c r="F443">
        <v>-2524.5591468106363</v>
      </c>
      <c r="G443">
        <v>1179.9996894615285</v>
      </c>
      <c r="H443" s="1">
        <v>46081.333333333336</v>
      </c>
    </row>
    <row r="444" spans="1:8" x14ac:dyDescent="0.25">
      <c r="A444" s="7">
        <f>DATE(YEAR(m4_crossvalid[[#This Row],[cutoff]]),MONTH(m4_crossvalid[[#This Row],[cutoff]]),DAY(m4_crossvalid[[#This Row],[cutoff]]))</f>
        <v>46081</v>
      </c>
      <c r="B444" s="7">
        <f>DATE(YEAR(m4_crossvalid[[#This Row],[ds]]),MONTH(m4_crossvalid[[#This Row],[ds]]),DAY(m4_crossvalid[[#This Row],[ds]]))</f>
        <v>46090</v>
      </c>
      <c r="C444">
        <v>1766</v>
      </c>
      <c r="D444" s="1">
        <v>46090.333333333336</v>
      </c>
      <c r="E444">
        <v>2114.4509753936736</v>
      </c>
      <c r="F444">
        <v>167.00457785533135</v>
      </c>
      <c r="G444">
        <v>3962.8895525395665</v>
      </c>
      <c r="H444" s="1">
        <v>46081.333333333336</v>
      </c>
    </row>
    <row r="445" spans="1:8" x14ac:dyDescent="0.25">
      <c r="A445" s="7">
        <f>DATE(YEAR(m4_crossvalid[[#This Row],[cutoff]]),MONTH(m4_crossvalid[[#This Row],[cutoff]]),DAY(m4_crossvalid[[#This Row],[cutoff]]))</f>
        <v>46081</v>
      </c>
      <c r="B445" s="7">
        <f>DATE(YEAR(m4_crossvalid[[#This Row],[ds]]),MONTH(m4_crossvalid[[#This Row],[ds]]),DAY(m4_crossvalid[[#This Row],[ds]]))</f>
        <v>46091</v>
      </c>
      <c r="C445">
        <v>2170</v>
      </c>
      <c r="D445" s="1">
        <v>46091.333333333336</v>
      </c>
      <c r="E445">
        <v>2363.5314675145896</v>
      </c>
      <c r="F445">
        <v>586.31481887427026</v>
      </c>
      <c r="G445">
        <v>4093.0921140400474</v>
      </c>
      <c r="H445" s="1">
        <v>46081.333333333336</v>
      </c>
    </row>
    <row r="446" spans="1:8" x14ac:dyDescent="0.25">
      <c r="A446" s="7">
        <f>DATE(YEAR(m4_crossvalid[[#This Row],[cutoff]]),MONTH(m4_crossvalid[[#This Row],[cutoff]]),DAY(m4_crossvalid[[#This Row],[cutoff]]))</f>
        <v>46081</v>
      </c>
      <c r="B446" s="7">
        <f>DATE(YEAR(m4_crossvalid[[#This Row],[ds]]),MONTH(m4_crossvalid[[#This Row],[ds]]),DAY(m4_crossvalid[[#This Row],[ds]]))</f>
        <v>46092</v>
      </c>
      <c r="C446">
        <v>2907</v>
      </c>
      <c r="D446" s="1">
        <v>46092.333333333336</v>
      </c>
      <c r="E446">
        <v>2375.8559894904956</v>
      </c>
      <c r="F446">
        <v>479.6718749531866</v>
      </c>
      <c r="G446">
        <v>4302.21685303505</v>
      </c>
      <c r="H446" s="1">
        <v>46081.333333333336</v>
      </c>
    </row>
    <row r="447" spans="1:8" x14ac:dyDescent="0.25">
      <c r="A447" s="7">
        <f>DATE(YEAR(m4_crossvalid[[#This Row],[cutoff]]),MONTH(m4_crossvalid[[#This Row],[cutoff]]),DAY(m4_crossvalid[[#This Row],[cutoff]]))</f>
        <v>46081</v>
      </c>
      <c r="B447" s="7">
        <f>DATE(YEAR(m4_crossvalid[[#This Row],[ds]]),MONTH(m4_crossvalid[[#This Row],[ds]]),DAY(m4_crossvalid[[#This Row],[ds]]))</f>
        <v>46093</v>
      </c>
      <c r="C447">
        <v>3020</v>
      </c>
      <c r="D447" s="1">
        <v>46093.333333333336</v>
      </c>
      <c r="E447">
        <v>2520.4156627393695</v>
      </c>
      <c r="F447">
        <v>567.19358517046703</v>
      </c>
      <c r="G447">
        <v>4448.3521106057733</v>
      </c>
      <c r="H447" s="1">
        <v>46081.333333333336</v>
      </c>
    </row>
    <row r="448" spans="1:8" x14ac:dyDescent="0.25">
      <c r="A448" s="7">
        <f>DATE(YEAR(m4_crossvalid[[#This Row],[cutoff]]),MONTH(m4_crossvalid[[#This Row],[cutoff]]),DAY(m4_crossvalid[[#This Row],[cutoff]]))</f>
        <v>46081</v>
      </c>
      <c r="B448" s="7">
        <f>DATE(YEAR(m4_crossvalid[[#This Row],[ds]]),MONTH(m4_crossvalid[[#This Row],[ds]]),DAY(m4_crossvalid[[#This Row],[ds]]))</f>
        <v>46094</v>
      </c>
      <c r="C448">
        <v>3551</v>
      </c>
      <c r="D448" s="1">
        <v>46094.333333333336</v>
      </c>
      <c r="E448">
        <v>2838.5399025870893</v>
      </c>
      <c r="F448">
        <v>1055.8623586792128</v>
      </c>
      <c r="G448">
        <v>4654.3213753448481</v>
      </c>
      <c r="H448" s="1">
        <v>46081.333333333336</v>
      </c>
    </row>
    <row r="449" spans="1:8" x14ac:dyDescent="0.25">
      <c r="A449" s="7">
        <f>DATE(YEAR(m4_crossvalid[[#This Row],[cutoff]]),MONTH(m4_crossvalid[[#This Row],[cutoff]]),DAY(m4_crossvalid[[#This Row],[cutoff]]))</f>
        <v>46081</v>
      </c>
      <c r="B449" s="7">
        <f>DATE(YEAR(m4_crossvalid[[#This Row],[ds]]),MONTH(m4_crossvalid[[#This Row],[ds]]),DAY(m4_crossvalid[[#This Row],[ds]]))</f>
        <v>46095</v>
      </c>
      <c r="C449">
        <v>1088</v>
      </c>
      <c r="D449" s="1">
        <v>46095.333333333336</v>
      </c>
      <c r="E449">
        <v>844.1862448089214</v>
      </c>
      <c r="F449">
        <v>-991.47139351634758</v>
      </c>
      <c r="G449">
        <v>2695.7932906612764</v>
      </c>
      <c r="H449" s="1">
        <v>46081.333333333336</v>
      </c>
    </row>
    <row r="450" spans="1:8" x14ac:dyDescent="0.25">
      <c r="A450" s="7">
        <f>DATE(YEAR(m4_crossvalid[[#This Row],[cutoff]]),MONTH(m4_crossvalid[[#This Row],[cutoff]]),DAY(m4_crossvalid[[#This Row],[cutoff]]))</f>
        <v>46081</v>
      </c>
      <c r="B450" s="7">
        <f>DATE(YEAR(m4_crossvalid[[#This Row],[ds]]),MONTH(m4_crossvalid[[#This Row],[ds]]),DAY(m4_crossvalid[[#This Row],[ds]]))</f>
        <v>46096</v>
      </c>
      <c r="C450">
        <v>228</v>
      </c>
      <c r="D450" s="1">
        <v>46096.333333333336</v>
      </c>
      <c r="E450">
        <v>312.70288601658785</v>
      </c>
      <c r="F450">
        <v>-1573.892843736804</v>
      </c>
      <c r="G450">
        <v>2129.313516293179</v>
      </c>
      <c r="H450" s="1">
        <v>46081.333333333336</v>
      </c>
    </row>
    <row r="451" spans="1:8" x14ac:dyDescent="0.25">
      <c r="A451" s="7">
        <f>DATE(YEAR(m4_crossvalid[[#This Row],[cutoff]]),MONTH(m4_crossvalid[[#This Row],[cutoff]]),DAY(m4_crossvalid[[#This Row],[cutoff]]))</f>
        <v>46081</v>
      </c>
      <c r="B451" s="7">
        <f>DATE(YEAR(m4_crossvalid[[#This Row],[ds]]),MONTH(m4_crossvalid[[#This Row],[ds]]),DAY(m4_crossvalid[[#This Row],[ds]]))</f>
        <v>46097</v>
      </c>
      <c r="C451">
        <v>3950</v>
      </c>
      <c r="D451" s="1">
        <v>46097.333333333336</v>
      </c>
      <c r="E451">
        <v>2727.5472947017311</v>
      </c>
      <c r="F451">
        <v>671.5980904974441</v>
      </c>
      <c r="G451">
        <v>4673.792027616817</v>
      </c>
      <c r="H451" s="1">
        <v>46081.333333333336</v>
      </c>
    </row>
    <row r="452" spans="1:8" x14ac:dyDescent="0.25">
      <c r="A452" s="7">
        <f>DATE(YEAR(m4_crossvalid[[#This Row],[cutoff]]),MONTH(m4_crossvalid[[#This Row],[cutoff]]),DAY(m4_crossvalid[[#This Row],[cutoff]]))</f>
        <v>46081</v>
      </c>
      <c r="B452" s="7">
        <f>DATE(YEAR(m4_crossvalid[[#This Row],[ds]]),MONTH(m4_crossvalid[[#This Row],[ds]]),DAY(m4_crossvalid[[#This Row],[ds]]))</f>
        <v>46098</v>
      </c>
      <c r="C452">
        <v>5807</v>
      </c>
      <c r="D452" s="1">
        <v>46098.333333333336</v>
      </c>
      <c r="E452">
        <v>3013.776098238965</v>
      </c>
      <c r="F452">
        <v>953.08264699574045</v>
      </c>
      <c r="G452">
        <v>4862.1515361933971</v>
      </c>
      <c r="H452" s="1">
        <v>46081.333333333336</v>
      </c>
    </row>
    <row r="453" spans="1:8" x14ac:dyDescent="0.25">
      <c r="A453" s="7">
        <f>DATE(YEAR(m4_crossvalid[[#This Row],[cutoff]]),MONTH(m4_crossvalid[[#This Row],[cutoff]]),DAY(m4_crossvalid[[#This Row],[cutoff]]))</f>
        <v>46081</v>
      </c>
      <c r="B453" s="7">
        <f>DATE(YEAR(m4_crossvalid[[#This Row],[ds]]),MONTH(m4_crossvalid[[#This Row],[ds]]),DAY(m4_crossvalid[[#This Row],[ds]]))</f>
        <v>46099</v>
      </c>
      <c r="C453">
        <v>5295</v>
      </c>
      <c r="D453" s="1">
        <v>46099.333333333336</v>
      </c>
      <c r="E453">
        <v>3274.3616588539435</v>
      </c>
      <c r="F453">
        <v>1349.450572512867</v>
      </c>
      <c r="G453">
        <v>5171.7931061309782</v>
      </c>
      <c r="H453" s="1">
        <v>46081.333333333336</v>
      </c>
    </row>
    <row r="454" spans="1:8" x14ac:dyDescent="0.25">
      <c r="A454" s="7">
        <f>DATE(YEAR(m4_crossvalid[[#This Row],[cutoff]]),MONTH(m4_crossvalid[[#This Row],[cutoff]]),DAY(m4_crossvalid[[#This Row],[cutoff]]))</f>
        <v>46081</v>
      </c>
      <c r="B454" s="7">
        <f>DATE(YEAR(m4_crossvalid[[#This Row],[ds]]),MONTH(m4_crossvalid[[#This Row],[ds]]),DAY(m4_crossvalid[[#This Row],[ds]]))</f>
        <v>46100</v>
      </c>
      <c r="C454">
        <v>3557</v>
      </c>
      <c r="D454" s="1">
        <v>46100.333333333336</v>
      </c>
      <c r="E454">
        <v>3530.4758743613652</v>
      </c>
      <c r="F454">
        <v>1704.8170959533441</v>
      </c>
      <c r="G454">
        <v>5407.0850146299153</v>
      </c>
      <c r="H454" s="1">
        <v>46081.333333333336</v>
      </c>
    </row>
    <row r="455" spans="1:8" x14ac:dyDescent="0.25">
      <c r="A455" s="7">
        <f>DATE(YEAR(m4_crossvalid[[#This Row],[cutoff]]),MONTH(m4_crossvalid[[#This Row],[cutoff]]),DAY(m4_crossvalid[[#This Row],[cutoff]]))</f>
        <v>46081</v>
      </c>
      <c r="B455" s="7">
        <f>DATE(YEAR(m4_crossvalid[[#This Row],[ds]]),MONTH(m4_crossvalid[[#This Row],[ds]]),DAY(m4_crossvalid[[#This Row],[ds]]))</f>
        <v>46101</v>
      </c>
      <c r="C455">
        <v>61</v>
      </c>
      <c r="D455" s="1">
        <v>46101.333333333336</v>
      </c>
      <c r="E455">
        <v>260.35331227689494</v>
      </c>
      <c r="F455">
        <v>-1727.6573520021057</v>
      </c>
      <c r="G455">
        <v>2216.9357016762578</v>
      </c>
      <c r="H455" s="1">
        <v>46081.333333333336</v>
      </c>
    </row>
    <row r="456" spans="1:8" x14ac:dyDescent="0.25">
      <c r="A456" s="7">
        <f>DATE(YEAR(m4_crossvalid[[#This Row],[cutoff]]),MONTH(m4_crossvalid[[#This Row],[cutoff]]),DAY(m4_crossvalid[[#This Row],[cutoff]]))</f>
        <v>46081</v>
      </c>
      <c r="B456" s="7">
        <f>DATE(YEAR(m4_crossvalid[[#This Row],[ds]]),MONTH(m4_crossvalid[[#This Row],[ds]]),DAY(m4_crossvalid[[#This Row],[ds]]))</f>
        <v>46102</v>
      </c>
      <c r="C456">
        <v>3</v>
      </c>
      <c r="D456" s="1">
        <v>46102.333333333336</v>
      </c>
      <c r="E456">
        <v>-2662.4263120724381</v>
      </c>
      <c r="F456">
        <v>-4550.1787773437263</v>
      </c>
      <c r="G456">
        <v>-749.27576198171198</v>
      </c>
      <c r="H456" s="1">
        <v>46081.333333333336</v>
      </c>
    </row>
    <row r="457" spans="1:8" x14ac:dyDescent="0.25">
      <c r="A457" s="7">
        <f>DATE(YEAR(m4_crossvalid[[#This Row],[cutoff]]),MONTH(m4_crossvalid[[#This Row],[cutoff]]),DAY(m4_crossvalid[[#This Row],[cutoff]]))</f>
        <v>46081</v>
      </c>
      <c r="B457" s="7">
        <f>DATE(YEAR(m4_crossvalid[[#This Row],[ds]]),MONTH(m4_crossvalid[[#This Row],[ds]]),DAY(m4_crossvalid[[#This Row],[ds]]))</f>
        <v>46103</v>
      </c>
      <c r="C457">
        <v>6</v>
      </c>
      <c r="D457" s="1">
        <v>46103.333333333336</v>
      </c>
      <c r="E457">
        <v>-4489.3438900260771</v>
      </c>
      <c r="F457">
        <v>-6346.5839301887681</v>
      </c>
      <c r="G457">
        <v>-2588.3340595812183</v>
      </c>
      <c r="H457" s="1">
        <v>46081.333333333336</v>
      </c>
    </row>
    <row r="458" spans="1:8" x14ac:dyDescent="0.25">
      <c r="A458" s="7">
        <f>DATE(YEAR(m4_crossvalid[[#This Row],[cutoff]]),MONTH(m4_crossvalid[[#This Row],[cutoff]]),DAY(m4_crossvalid[[#This Row],[cutoff]]))</f>
        <v>46081</v>
      </c>
      <c r="B458" s="7">
        <f>DATE(YEAR(m4_crossvalid[[#This Row],[ds]]),MONTH(m4_crossvalid[[#This Row],[ds]]),DAY(m4_crossvalid[[#This Row],[ds]]))</f>
        <v>46104</v>
      </c>
      <c r="C458">
        <v>23</v>
      </c>
      <c r="D458" s="1">
        <v>46104.333333333336</v>
      </c>
      <c r="E458">
        <v>-2198.723240231885</v>
      </c>
      <c r="F458">
        <v>-4171.2290549612371</v>
      </c>
      <c r="G458">
        <v>-245.55495292487285</v>
      </c>
      <c r="H458" s="1">
        <v>46081.333333333336</v>
      </c>
    </row>
    <row r="459" spans="1:8" x14ac:dyDescent="0.25">
      <c r="A459" s="7">
        <f>DATE(YEAR(m4_crossvalid[[#This Row],[cutoff]]),MONTH(m4_crossvalid[[#This Row],[cutoff]]),DAY(m4_crossvalid[[#This Row],[cutoff]]))</f>
        <v>46081</v>
      </c>
      <c r="B459" s="7">
        <f>DATE(YEAR(m4_crossvalid[[#This Row],[ds]]),MONTH(m4_crossvalid[[#This Row],[ds]]),DAY(m4_crossvalid[[#This Row],[ds]]))</f>
        <v>46105</v>
      </c>
      <c r="C459">
        <v>974</v>
      </c>
      <c r="D459" s="1">
        <v>46105.333333333336</v>
      </c>
      <c r="E459">
        <v>1449.4715177495937</v>
      </c>
      <c r="F459">
        <v>-463.31282262026815</v>
      </c>
      <c r="G459">
        <v>3319.8265153023704</v>
      </c>
      <c r="H459" s="1">
        <v>46081.333333333336</v>
      </c>
    </row>
    <row r="460" spans="1:8" x14ac:dyDescent="0.25">
      <c r="A460" s="7">
        <f>DATE(YEAR(m4_crossvalid[[#This Row],[cutoff]]),MONTH(m4_crossvalid[[#This Row],[cutoff]]),DAY(m4_crossvalid[[#This Row],[cutoff]]))</f>
        <v>46081</v>
      </c>
      <c r="B460" s="7">
        <f>DATE(YEAR(m4_crossvalid[[#This Row],[ds]]),MONTH(m4_crossvalid[[#This Row],[ds]]),DAY(m4_crossvalid[[#This Row],[ds]]))</f>
        <v>46106</v>
      </c>
      <c r="C460">
        <v>1752</v>
      </c>
      <c r="D460" s="1">
        <v>46106.333333333336</v>
      </c>
      <c r="E460">
        <v>2535.9996123351339</v>
      </c>
      <c r="F460">
        <v>740.42912901805528</v>
      </c>
      <c r="G460">
        <v>4330.1822571608136</v>
      </c>
      <c r="H460" s="1">
        <v>46081.333333333336</v>
      </c>
    </row>
    <row r="461" spans="1:8" x14ac:dyDescent="0.25">
      <c r="A461" s="7">
        <f>DATE(YEAR(m4_crossvalid[[#This Row],[cutoff]]),MONTH(m4_crossvalid[[#This Row],[cutoff]]),DAY(m4_crossvalid[[#This Row],[cutoff]]))</f>
        <v>46081</v>
      </c>
      <c r="B461" s="7">
        <f>DATE(YEAR(m4_crossvalid[[#This Row],[ds]]),MONTH(m4_crossvalid[[#This Row],[ds]]),DAY(m4_crossvalid[[#This Row],[ds]]))</f>
        <v>46107</v>
      </c>
      <c r="C461">
        <v>2884</v>
      </c>
      <c r="D461" s="1">
        <v>46107.333333333336</v>
      </c>
      <c r="E461">
        <v>3616.4723408657928</v>
      </c>
      <c r="F461">
        <v>1716.6749233019304</v>
      </c>
      <c r="G461">
        <v>5558.6592319348501</v>
      </c>
      <c r="H461" s="1">
        <v>46081.333333333336</v>
      </c>
    </row>
    <row r="462" spans="1:8" x14ac:dyDescent="0.25">
      <c r="A462" s="7">
        <f>DATE(YEAR(m4_crossvalid[[#This Row],[cutoff]]),MONTH(m4_crossvalid[[#This Row],[cutoff]]),DAY(m4_crossvalid[[#This Row],[cutoff]]))</f>
        <v>46081</v>
      </c>
      <c r="B462" s="7">
        <f>DATE(YEAR(m4_crossvalid[[#This Row],[ds]]),MONTH(m4_crossvalid[[#This Row],[ds]]),DAY(m4_crossvalid[[#This Row],[ds]]))</f>
        <v>46108</v>
      </c>
      <c r="C462">
        <v>3597</v>
      </c>
      <c r="D462" s="1">
        <v>46108.333333333336</v>
      </c>
      <c r="E462">
        <v>2309.0845337156147</v>
      </c>
      <c r="F462">
        <v>497.75702602115757</v>
      </c>
      <c r="G462">
        <v>4239.6898329454962</v>
      </c>
      <c r="H462" s="1">
        <v>46081.333333333336</v>
      </c>
    </row>
    <row r="463" spans="1:8" x14ac:dyDescent="0.25">
      <c r="A463" s="7">
        <f>DATE(YEAR(m4_crossvalid[[#This Row],[cutoff]]),MONTH(m4_crossvalid[[#This Row],[cutoff]]),DAY(m4_crossvalid[[#This Row],[cutoff]]))</f>
        <v>46081</v>
      </c>
      <c r="B463" s="7">
        <f>DATE(YEAR(m4_crossvalid[[#This Row],[ds]]),MONTH(m4_crossvalid[[#This Row],[ds]]),DAY(m4_crossvalid[[#This Row],[ds]]))</f>
        <v>46109</v>
      </c>
      <c r="C463">
        <v>1207</v>
      </c>
      <c r="D463" s="1">
        <v>46109.333333333336</v>
      </c>
      <c r="E463">
        <v>442.68559365306373</v>
      </c>
      <c r="F463">
        <v>-1378.1468545767943</v>
      </c>
      <c r="G463">
        <v>2353.4138260922632</v>
      </c>
      <c r="H463" s="1">
        <v>46081.333333333336</v>
      </c>
    </row>
    <row r="464" spans="1:8" x14ac:dyDescent="0.25">
      <c r="A464" s="7">
        <f>DATE(YEAR(m4_crossvalid[[#This Row],[cutoff]]),MONTH(m4_crossvalid[[#This Row],[cutoff]]),DAY(m4_crossvalid[[#This Row],[cutoff]]))</f>
        <v>46081</v>
      </c>
      <c r="B464" s="7">
        <f>DATE(YEAR(m4_crossvalid[[#This Row],[ds]]),MONTH(m4_crossvalid[[#This Row],[ds]]),DAY(m4_crossvalid[[#This Row],[ds]]))</f>
        <v>46110</v>
      </c>
      <c r="C464">
        <v>183</v>
      </c>
      <c r="D464" s="1">
        <v>46110.333333333336</v>
      </c>
      <c r="E464">
        <v>343.94297319032103</v>
      </c>
      <c r="F464">
        <v>-1616.4079390626982</v>
      </c>
      <c r="G464">
        <v>2345.3231219943809</v>
      </c>
      <c r="H464" s="1">
        <v>46081.333333333336</v>
      </c>
    </row>
    <row r="465" spans="1:8" x14ac:dyDescent="0.25">
      <c r="A465" s="7">
        <f>DATE(YEAR(m4_crossvalid[[#This Row],[cutoff]]),MONTH(m4_crossvalid[[#This Row],[cutoff]]),DAY(m4_crossvalid[[#This Row],[cutoff]]))</f>
        <v>46081</v>
      </c>
      <c r="B465" s="7">
        <f>DATE(YEAR(m4_crossvalid[[#This Row],[ds]]),MONTH(m4_crossvalid[[#This Row],[ds]]),DAY(m4_crossvalid[[#This Row],[ds]]))</f>
        <v>46111</v>
      </c>
      <c r="C465">
        <v>4959</v>
      </c>
      <c r="D465" s="1">
        <v>46111.333333333336</v>
      </c>
      <c r="E465">
        <v>4085.4127814923477</v>
      </c>
      <c r="F465">
        <v>2213.3838390804308</v>
      </c>
      <c r="G465">
        <v>6076.060294974277</v>
      </c>
      <c r="H465" s="1">
        <v>46081.333333333336</v>
      </c>
    </row>
    <row r="466" spans="1:8" x14ac:dyDescent="0.25">
      <c r="A466" s="7">
        <f>DATE(YEAR(m4_crossvalid[[#This Row],[cutoff]]),MONTH(m4_crossvalid[[#This Row],[cutoff]]),DAY(m4_crossvalid[[#This Row],[cutoff]]))</f>
        <v>46081</v>
      </c>
      <c r="B466" s="7">
        <f>DATE(YEAR(m4_crossvalid[[#This Row],[ds]]),MONTH(m4_crossvalid[[#This Row],[ds]]),DAY(m4_crossvalid[[#This Row],[ds]]))</f>
        <v>46112</v>
      </c>
      <c r="C466">
        <v>13213</v>
      </c>
      <c r="D466" s="1">
        <v>46112.333333333336</v>
      </c>
      <c r="E466">
        <v>6920.2946946655393</v>
      </c>
      <c r="F466">
        <v>4955.4205903547063</v>
      </c>
      <c r="G466">
        <v>8711.7350669099269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B824-5356-483F-B1CB-86846F9487A8}">
  <dimension ref="A1:H466"/>
  <sheetViews>
    <sheetView workbookViewId="0"/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DATE(YEAR(m5_crossvalid[[#This Row],[cutoff]]),MONTH(m5_crossvalid[[#This Row],[cutoff]]),DAY(m5_crossvalid[[#This Row],[cutoff]]))</f>
        <v>45657</v>
      </c>
      <c r="B2" s="7">
        <f>DATE(YEAR(m5_crossvalid[[#This Row],[ds]]),MONTH(m5_crossvalid[[#This Row],[ds]]),DAY(m5_crossvalid[[#This Row],[ds]]))</f>
        <v>45658</v>
      </c>
      <c r="C2">
        <v>90</v>
      </c>
      <c r="D2" s="1">
        <v>45658.333333333336</v>
      </c>
      <c r="E2">
        <v>641.70587753928885</v>
      </c>
      <c r="F2">
        <v>-717.29469411152604</v>
      </c>
      <c r="G2">
        <v>2055.2337125957451</v>
      </c>
      <c r="H2" s="1">
        <v>45657.333333333336</v>
      </c>
    </row>
    <row r="3" spans="1:8" x14ac:dyDescent="0.25">
      <c r="A3" s="7">
        <f>DATE(YEAR(m5_crossvalid[[#This Row],[cutoff]]),MONTH(m5_crossvalid[[#This Row],[cutoff]]),DAY(m5_crossvalid[[#This Row],[cutoff]]))</f>
        <v>45657</v>
      </c>
      <c r="B3" s="7">
        <f>DATE(YEAR(m5_crossvalid[[#This Row],[ds]]),MONTH(m5_crossvalid[[#This Row],[ds]]),DAY(m5_crossvalid[[#This Row],[ds]]))</f>
        <v>45659</v>
      </c>
      <c r="C3">
        <v>541</v>
      </c>
      <c r="D3" s="1">
        <v>45659.333333333336</v>
      </c>
      <c r="E3">
        <v>1718.5943806918758</v>
      </c>
      <c r="F3">
        <v>295.67697487095359</v>
      </c>
      <c r="G3">
        <v>3039.7753200115644</v>
      </c>
      <c r="H3" s="1">
        <v>45657.333333333336</v>
      </c>
    </row>
    <row r="4" spans="1:8" x14ac:dyDescent="0.25">
      <c r="A4" s="7">
        <f>DATE(YEAR(m5_crossvalid[[#This Row],[cutoff]]),MONTH(m5_crossvalid[[#This Row],[cutoff]]),DAY(m5_crossvalid[[#This Row],[cutoff]]))</f>
        <v>45657</v>
      </c>
      <c r="B4" s="7">
        <f>DATE(YEAR(m5_crossvalid[[#This Row],[ds]]),MONTH(m5_crossvalid[[#This Row],[ds]]),DAY(m5_crossvalid[[#This Row],[ds]]))</f>
        <v>45660</v>
      </c>
      <c r="C4">
        <v>563</v>
      </c>
      <c r="D4" s="1">
        <v>45660.333333333336</v>
      </c>
      <c r="E4">
        <v>1735.4151587489823</v>
      </c>
      <c r="F4">
        <v>267.49557424666909</v>
      </c>
      <c r="G4">
        <v>3223.7192344395494</v>
      </c>
      <c r="H4" s="1">
        <v>45657.333333333336</v>
      </c>
    </row>
    <row r="5" spans="1:8" x14ac:dyDescent="0.25">
      <c r="A5" s="7">
        <f>DATE(YEAR(m5_crossvalid[[#This Row],[cutoff]]),MONTH(m5_crossvalid[[#This Row],[cutoff]]),DAY(m5_crossvalid[[#This Row],[cutoff]]))</f>
        <v>45657</v>
      </c>
      <c r="B5" s="7">
        <f>DATE(YEAR(m5_crossvalid[[#This Row],[ds]]),MONTH(m5_crossvalid[[#This Row],[ds]]),DAY(m5_crossvalid[[#This Row],[ds]]))</f>
        <v>45661</v>
      </c>
      <c r="C5">
        <v>42</v>
      </c>
      <c r="D5" s="1">
        <v>45661.333333333336</v>
      </c>
      <c r="E5">
        <v>-451.36637748726616</v>
      </c>
      <c r="F5">
        <v>-1816.6707762234378</v>
      </c>
      <c r="G5">
        <v>914.1160508213818</v>
      </c>
      <c r="H5" s="1">
        <v>45657.333333333336</v>
      </c>
    </row>
    <row r="6" spans="1:8" x14ac:dyDescent="0.25">
      <c r="A6" s="7">
        <f>DATE(YEAR(m5_crossvalid[[#This Row],[cutoff]]),MONTH(m5_crossvalid[[#This Row],[cutoff]]),DAY(m5_crossvalid[[#This Row],[cutoff]]))</f>
        <v>45657</v>
      </c>
      <c r="B6" s="7">
        <f>DATE(YEAR(m5_crossvalid[[#This Row],[ds]]),MONTH(m5_crossvalid[[#This Row],[ds]]),DAY(m5_crossvalid[[#This Row],[ds]]))</f>
        <v>45662</v>
      </c>
      <c r="C6">
        <v>22</v>
      </c>
      <c r="D6" s="1">
        <v>45662.333333333336</v>
      </c>
      <c r="E6">
        <v>-936.50934339450168</v>
      </c>
      <c r="F6">
        <v>-2316.1105182085062</v>
      </c>
      <c r="G6">
        <v>429.81281723545669</v>
      </c>
      <c r="H6" s="1">
        <v>45657.333333333336</v>
      </c>
    </row>
    <row r="7" spans="1:8" x14ac:dyDescent="0.25">
      <c r="A7" s="7">
        <f>DATE(YEAR(m5_crossvalid[[#This Row],[cutoff]]),MONTH(m5_crossvalid[[#This Row],[cutoff]]),DAY(m5_crossvalid[[#This Row],[cutoff]]))</f>
        <v>45657</v>
      </c>
      <c r="B7" s="7">
        <f>DATE(YEAR(m5_crossvalid[[#This Row],[ds]]),MONTH(m5_crossvalid[[#This Row],[ds]]),DAY(m5_crossvalid[[#This Row],[ds]]))</f>
        <v>45663</v>
      </c>
      <c r="C7">
        <v>533</v>
      </c>
      <c r="D7" s="1">
        <v>45663.333333333336</v>
      </c>
      <c r="E7">
        <v>1406.5447626640259</v>
      </c>
      <c r="F7">
        <v>18.750868240217532</v>
      </c>
      <c r="G7">
        <v>2788.3188594370567</v>
      </c>
      <c r="H7" s="1">
        <v>45657.333333333336</v>
      </c>
    </row>
    <row r="8" spans="1:8" x14ac:dyDescent="0.25">
      <c r="A8" s="7">
        <f>DATE(YEAR(m5_crossvalid[[#This Row],[cutoff]]),MONTH(m5_crossvalid[[#This Row],[cutoff]]),DAY(m5_crossvalid[[#This Row],[cutoff]]))</f>
        <v>45657</v>
      </c>
      <c r="B8" s="7">
        <f>DATE(YEAR(m5_crossvalid[[#This Row],[ds]]),MONTH(m5_crossvalid[[#This Row],[ds]]),DAY(m5_crossvalid[[#This Row],[ds]]))</f>
        <v>45664</v>
      </c>
      <c r="C8">
        <v>712</v>
      </c>
      <c r="D8" s="1">
        <v>45664.333333333336</v>
      </c>
      <c r="E8">
        <v>1504.9755756386949</v>
      </c>
      <c r="F8">
        <v>128.64818011244537</v>
      </c>
      <c r="G8">
        <v>2960.5956055517254</v>
      </c>
      <c r="H8" s="1">
        <v>45657.333333333336</v>
      </c>
    </row>
    <row r="9" spans="1:8" x14ac:dyDescent="0.25">
      <c r="A9" s="7">
        <f>DATE(YEAR(m5_crossvalid[[#This Row],[cutoff]]),MONTH(m5_crossvalid[[#This Row],[cutoff]]),DAY(m5_crossvalid[[#This Row],[cutoff]]))</f>
        <v>45657</v>
      </c>
      <c r="B9" s="7">
        <f>DATE(YEAR(m5_crossvalid[[#This Row],[ds]]),MONTH(m5_crossvalid[[#This Row],[ds]]),DAY(m5_crossvalid[[#This Row],[ds]]))</f>
        <v>45665</v>
      </c>
      <c r="C9">
        <v>904</v>
      </c>
      <c r="D9" s="1">
        <v>45665.333333333336</v>
      </c>
      <c r="E9">
        <v>2143.401627465295</v>
      </c>
      <c r="F9">
        <v>691.83257716050014</v>
      </c>
      <c r="G9">
        <v>3484.6619493594121</v>
      </c>
      <c r="H9" s="1">
        <v>45657.333333333336</v>
      </c>
    </row>
    <row r="10" spans="1:8" x14ac:dyDescent="0.25">
      <c r="A10" s="7">
        <f>DATE(YEAR(m5_crossvalid[[#This Row],[cutoff]]),MONTH(m5_crossvalid[[#This Row],[cutoff]]),DAY(m5_crossvalid[[#This Row],[cutoff]]))</f>
        <v>45657</v>
      </c>
      <c r="B10" s="7">
        <f>DATE(YEAR(m5_crossvalid[[#This Row],[ds]]),MONTH(m5_crossvalid[[#This Row],[ds]]),DAY(m5_crossvalid[[#This Row],[ds]]))</f>
        <v>45666</v>
      </c>
      <c r="C10">
        <v>1135</v>
      </c>
      <c r="D10" s="1">
        <v>45666.333333333336</v>
      </c>
      <c r="E10">
        <v>2063.5319525233676</v>
      </c>
      <c r="F10">
        <v>723.40321296178445</v>
      </c>
      <c r="G10">
        <v>3475.2944774629514</v>
      </c>
      <c r="H10" s="1">
        <v>45657.333333333336</v>
      </c>
    </row>
    <row r="11" spans="1:8" x14ac:dyDescent="0.25">
      <c r="A11" s="7">
        <f>DATE(YEAR(m5_crossvalid[[#This Row],[cutoff]]),MONTH(m5_crossvalid[[#This Row],[cutoff]]),DAY(m5_crossvalid[[#This Row],[cutoff]]))</f>
        <v>45657</v>
      </c>
      <c r="B11" s="7">
        <f>DATE(YEAR(m5_crossvalid[[#This Row],[ds]]),MONTH(m5_crossvalid[[#This Row],[ds]]),DAY(m5_crossvalid[[#This Row],[ds]]))</f>
        <v>45667</v>
      </c>
      <c r="C11">
        <v>1270</v>
      </c>
      <c r="D11" s="1">
        <v>45667.333333333336</v>
      </c>
      <c r="E11">
        <v>1944.0756915286424</v>
      </c>
      <c r="F11">
        <v>579.32334530234289</v>
      </c>
      <c r="G11">
        <v>3378.1410449820946</v>
      </c>
      <c r="H11" s="1">
        <v>45657.333333333336</v>
      </c>
    </row>
    <row r="12" spans="1:8" x14ac:dyDescent="0.25">
      <c r="A12" s="7">
        <f>DATE(YEAR(m5_crossvalid[[#This Row],[cutoff]]),MONTH(m5_crossvalid[[#This Row],[cutoff]]),DAY(m5_crossvalid[[#This Row],[cutoff]]))</f>
        <v>45657</v>
      </c>
      <c r="B12" s="7">
        <f>DATE(YEAR(m5_crossvalid[[#This Row],[ds]]),MONTH(m5_crossvalid[[#This Row],[ds]]),DAY(m5_crossvalid[[#This Row],[ds]]))</f>
        <v>45668</v>
      </c>
      <c r="C12">
        <v>203</v>
      </c>
      <c r="D12" s="1">
        <v>45668.333333333336</v>
      </c>
      <c r="E12">
        <v>-225.82512685491747</v>
      </c>
      <c r="F12">
        <v>-1665.5614749524443</v>
      </c>
      <c r="G12">
        <v>1285.7133007770287</v>
      </c>
      <c r="H12" s="1">
        <v>45657.333333333336</v>
      </c>
    </row>
    <row r="13" spans="1:8" x14ac:dyDescent="0.25">
      <c r="A13" s="7">
        <f>DATE(YEAR(m5_crossvalid[[#This Row],[cutoff]]),MONTH(m5_crossvalid[[#This Row],[cutoff]]),DAY(m5_crossvalid[[#This Row],[cutoff]]))</f>
        <v>45657</v>
      </c>
      <c r="B13" s="7">
        <f>DATE(YEAR(m5_crossvalid[[#This Row],[ds]]),MONTH(m5_crossvalid[[#This Row],[ds]]),DAY(m5_crossvalid[[#This Row],[ds]]))</f>
        <v>45669</v>
      </c>
      <c r="C13">
        <v>41</v>
      </c>
      <c r="D13" s="1">
        <v>45669.333333333336</v>
      </c>
      <c r="E13">
        <v>-723.0119024378655</v>
      </c>
      <c r="F13">
        <v>-2099.0197291169261</v>
      </c>
      <c r="G13">
        <v>545.58780350441168</v>
      </c>
      <c r="H13" s="1">
        <v>45657.333333333336</v>
      </c>
    </row>
    <row r="14" spans="1:8" x14ac:dyDescent="0.25">
      <c r="A14" s="7">
        <f>DATE(YEAR(m5_crossvalid[[#This Row],[cutoff]]),MONTH(m5_crossvalid[[#This Row],[cutoff]]),DAY(m5_crossvalid[[#This Row],[cutoff]]))</f>
        <v>45657</v>
      </c>
      <c r="B14" s="7">
        <f>DATE(YEAR(m5_crossvalid[[#This Row],[ds]]),MONTH(m5_crossvalid[[#This Row],[ds]]),DAY(m5_crossvalid[[#This Row],[ds]]))</f>
        <v>45670</v>
      </c>
      <c r="C14">
        <v>1313</v>
      </c>
      <c r="D14" s="1">
        <v>45670.333333333336</v>
      </c>
      <c r="E14">
        <v>1766.052939811384</v>
      </c>
      <c r="F14">
        <v>389.06154723499122</v>
      </c>
      <c r="G14">
        <v>3179.9241431039677</v>
      </c>
      <c r="H14" s="1">
        <v>45657.333333333336</v>
      </c>
    </row>
    <row r="15" spans="1:8" x14ac:dyDescent="0.25">
      <c r="A15" s="7">
        <f>DATE(YEAR(m5_crossvalid[[#This Row],[cutoff]]),MONTH(m5_crossvalid[[#This Row],[cutoff]]),DAY(m5_crossvalid[[#This Row],[cutoff]]))</f>
        <v>45657</v>
      </c>
      <c r="B15" s="7">
        <f>DATE(YEAR(m5_crossvalid[[#This Row],[ds]]),MONTH(m5_crossvalid[[#This Row],[ds]]),DAY(m5_crossvalid[[#This Row],[ds]]))</f>
        <v>45671</v>
      </c>
      <c r="C15">
        <v>1609</v>
      </c>
      <c r="D15" s="1">
        <v>45671.333333333336</v>
      </c>
      <c r="E15">
        <v>2187.2233412304754</v>
      </c>
      <c r="F15">
        <v>751.19214483484529</v>
      </c>
      <c r="G15">
        <v>3564.799703306895</v>
      </c>
      <c r="H15" s="1">
        <v>45657.333333333336</v>
      </c>
    </row>
    <row r="16" spans="1:8" x14ac:dyDescent="0.25">
      <c r="A16" s="7">
        <f>DATE(YEAR(m5_crossvalid[[#This Row],[cutoff]]),MONTH(m5_crossvalid[[#This Row],[cutoff]]),DAY(m5_crossvalid[[#This Row],[cutoff]]))</f>
        <v>45657</v>
      </c>
      <c r="B16" s="7">
        <f>DATE(YEAR(m5_crossvalid[[#This Row],[ds]]),MONTH(m5_crossvalid[[#This Row],[ds]]),DAY(m5_crossvalid[[#This Row],[ds]]))</f>
        <v>45672</v>
      </c>
      <c r="C16">
        <v>2010</v>
      </c>
      <c r="D16" s="1">
        <v>45672.333333333336</v>
      </c>
      <c r="E16">
        <v>2402.0904441245743</v>
      </c>
      <c r="F16">
        <v>998.14352121847321</v>
      </c>
      <c r="G16">
        <v>3822.5718008881854</v>
      </c>
      <c r="H16" s="1">
        <v>45657.333333333336</v>
      </c>
    </row>
    <row r="17" spans="1:8" x14ac:dyDescent="0.25">
      <c r="A17" s="7">
        <f>DATE(YEAR(m5_crossvalid[[#This Row],[cutoff]]),MONTH(m5_crossvalid[[#This Row],[cutoff]]),DAY(m5_crossvalid[[#This Row],[cutoff]]))</f>
        <v>45657</v>
      </c>
      <c r="B17" s="7">
        <f>DATE(YEAR(m5_crossvalid[[#This Row],[ds]]),MONTH(m5_crossvalid[[#This Row],[ds]]),DAY(m5_crossvalid[[#This Row],[ds]]))</f>
        <v>45673</v>
      </c>
      <c r="C17">
        <v>2206</v>
      </c>
      <c r="D17" s="1">
        <v>45673.333333333336</v>
      </c>
      <c r="E17">
        <v>2530.8443314689612</v>
      </c>
      <c r="F17">
        <v>1247.0586823611879</v>
      </c>
      <c r="G17">
        <v>3842.2661561448131</v>
      </c>
      <c r="H17" s="1">
        <v>45657.333333333336</v>
      </c>
    </row>
    <row r="18" spans="1:8" x14ac:dyDescent="0.25">
      <c r="A18" s="7">
        <f>DATE(YEAR(m5_crossvalid[[#This Row],[cutoff]]),MONTH(m5_crossvalid[[#This Row],[cutoff]]),DAY(m5_crossvalid[[#This Row],[cutoff]]))</f>
        <v>45657</v>
      </c>
      <c r="B18" s="7">
        <f>DATE(YEAR(m5_crossvalid[[#This Row],[ds]]),MONTH(m5_crossvalid[[#This Row],[ds]]),DAY(m5_crossvalid[[#This Row],[ds]]))</f>
        <v>45674</v>
      </c>
      <c r="C18">
        <v>2291</v>
      </c>
      <c r="D18" s="1">
        <v>45674.333333333336</v>
      </c>
      <c r="E18">
        <v>2440.229194634027</v>
      </c>
      <c r="F18">
        <v>984.37338202766102</v>
      </c>
      <c r="G18">
        <v>3855.1763132387059</v>
      </c>
      <c r="H18" s="1">
        <v>45657.333333333336</v>
      </c>
    </row>
    <row r="19" spans="1:8" x14ac:dyDescent="0.25">
      <c r="A19" s="7">
        <f>DATE(YEAR(m5_crossvalid[[#This Row],[cutoff]]),MONTH(m5_crossvalid[[#This Row],[cutoff]]),DAY(m5_crossvalid[[#This Row],[cutoff]]))</f>
        <v>45657</v>
      </c>
      <c r="B19" s="7">
        <f>DATE(YEAR(m5_crossvalid[[#This Row],[ds]]),MONTH(m5_crossvalid[[#This Row],[ds]]),DAY(m5_crossvalid[[#This Row],[ds]]))</f>
        <v>45675</v>
      </c>
      <c r="C19">
        <v>401</v>
      </c>
      <c r="D19" s="1">
        <v>45675.333333333336</v>
      </c>
      <c r="E19">
        <v>233.09805451569036</v>
      </c>
      <c r="F19">
        <v>-1184.1103353025114</v>
      </c>
      <c r="G19">
        <v>1573.2702891085416</v>
      </c>
      <c r="H19" s="1">
        <v>45657.333333333336</v>
      </c>
    </row>
    <row r="20" spans="1:8" x14ac:dyDescent="0.25">
      <c r="A20" s="7">
        <f>DATE(YEAR(m5_crossvalid[[#This Row],[cutoff]]),MONTH(m5_crossvalid[[#This Row],[cutoff]]),DAY(m5_crossvalid[[#This Row],[cutoff]]))</f>
        <v>45657</v>
      </c>
      <c r="B20" s="7">
        <f>DATE(YEAR(m5_crossvalid[[#This Row],[ds]]),MONTH(m5_crossvalid[[#This Row],[ds]]),DAY(m5_crossvalid[[#This Row],[ds]]))</f>
        <v>45676</v>
      </c>
      <c r="C20">
        <v>129</v>
      </c>
      <c r="D20" s="1">
        <v>45676.333333333336</v>
      </c>
      <c r="E20">
        <v>-227.35006268935831</v>
      </c>
      <c r="F20">
        <v>-1652.8518449987509</v>
      </c>
      <c r="G20">
        <v>1156.4118137978335</v>
      </c>
      <c r="H20" s="1">
        <v>45657.333333333336</v>
      </c>
    </row>
    <row r="21" spans="1:8" x14ac:dyDescent="0.25">
      <c r="A21" s="7">
        <f>DATE(YEAR(m5_crossvalid[[#This Row],[cutoff]]),MONTH(m5_crossvalid[[#This Row],[cutoff]]),DAY(m5_crossvalid[[#This Row],[cutoff]]))</f>
        <v>45657</v>
      </c>
      <c r="B21" s="7">
        <f>DATE(YEAR(m5_crossvalid[[#This Row],[ds]]),MONTH(m5_crossvalid[[#This Row],[ds]]),DAY(m5_crossvalid[[#This Row],[ds]]))</f>
        <v>45677</v>
      </c>
      <c r="C21">
        <v>2385</v>
      </c>
      <c r="D21" s="1">
        <v>45677.333333333336</v>
      </c>
      <c r="E21">
        <v>2394.9507586068567</v>
      </c>
      <c r="F21">
        <v>1021.878075537962</v>
      </c>
      <c r="G21">
        <v>3804.5363388450701</v>
      </c>
      <c r="H21" s="1">
        <v>45657.333333333336</v>
      </c>
    </row>
    <row r="22" spans="1:8" x14ac:dyDescent="0.25">
      <c r="A22" s="7">
        <f>DATE(YEAR(m5_crossvalid[[#This Row],[cutoff]]),MONTH(m5_crossvalid[[#This Row],[cutoff]]),DAY(m5_crossvalid[[#This Row],[cutoff]]))</f>
        <v>45657</v>
      </c>
      <c r="B22" s="7">
        <f>DATE(YEAR(m5_crossvalid[[#This Row],[ds]]),MONTH(m5_crossvalid[[#This Row],[ds]]),DAY(m5_crossvalid[[#This Row],[ds]]))</f>
        <v>45678</v>
      </c>
      <c r="C22">
        <v>3051</v>
      </c>
      <c r="D22" s="1">
        <v>45678.333333333336</v>
      </c>
      <c r="E22">
        <v>2929.6592256160275</v>
      </c>
      <c r="F22">
        <v>1582.3514418263062</v>
      </c>
      <c r="G22">
        <v>4321.3126426928911</v>
      </c>
      <c r="H22" s="1">
        <v>45657.333333333336</v>
      </c>
    </row>
    <row r="23" spans="1:8" x14ac:dyDescent="0.25">
      <c r="A23" s="7">
        <f>DATE(YEAR(m5_crossvalid[[#This Row],[cutoff]]),MONTH(m5_crossvalid[[#This Row],[cutoff]]),DAY(m5_crossvalid[[#This Row],[cutoff]]))</f>
        <v>45657</v>
      </c>
      <c r="B23" s="7">
        <f>DATE(YEAR(m5_crossvalid[[#This Row],[ds]]),MONTH(m5_crossvalid[[#This Row],[ds]]),DAY(m5_crossvalid[[#This Row],[ds]]))</f>
        <v>45679</v>
      </c>
      <c r="C23">
        <v>2878</v>
      </c>
      <c r="D23" s="1">
        <v>45679.333333333336</v>
      </c>
      <c r="E23">
        <v>3106.4626024344288</v>
      </c>
      <c r="F23">
        <v>1720.2249513931908</v>
      </c>
      <c r="G23">
        <v>4470.8701018516085</v>
      </c>
      <c r="H23" s="1">
        <v>45657.333333333336</v>
      </c>
    </row>
    <row r="24" spans="1:8" x14ac:dyDescent="0.25">
      <c r="A24" s="7">
        <f>DATE(YEAR(m5_crossvalid[[#This Row],[cutoff]]),MONTH(m5_crossvalid[[#This Row],[cutoff]]),DAY(m5_crossvalid[[#This Row],[cutoff]]))</f>
        <v>45657</v>
      </c>
      <c r="B24" s="7">
        <f>DATE(YEAR(m5_crossvalid[[#This Row],[ds]]),MONTH(m5_crossvalid[[#This Row],[ds]]),DAY(m5_crossvalid[[#This Row],[ds]]))</f>
        <v>45680</v>
      </c>
      <c r="C24">
        <v>4853</v>
      </c>
      <c r="D24" s="1">
        <v>45680.333333333336</v>
      </c>
      <c r="E24">
        <v>3046.5976699026314</v>
      </c>
      <c r="F24">
        <v>1643.4425504024107</v>
      </c>
      <c r="G24">
        <v>4461.7802940073016</v>
      </c>
      <c r="H24" s="1">
        <v>45657.333333333336</v>
      </c>
    </row>
    <row r="25" spans="1:8" x14ac:dyDescent="0.25">
      <c r="A25" s="7">
        <f>DATE(YEAR(m5_crossvalid[[#This Row],[cutoff]]),MONTH(m5_crossvalid[[#This Row],[cutoff]]),DAY(m5_crossvalid[[#This Row],[cutoff]]))</f>
        <v>45657</v>
      </c>
      <c r="B25" s="7">
        <f>DATE(YEAR(m5_crossvalid[[#This Row],[ds]]),MONTH(m5_crossvalid[[#This Row],[ds]]),DAY(m5_crossvalid[[#This Row],[ds]]))</f>
        <v>45681</v>
      </c>
      <c r="C25">
        <v>5202</v>
      </c>
      <c r="D25" s="1">
        <v>45681.333333333336</v>
      </c>
      <c r="E25">
        <v>2779.170365429618</v>
      </c>
      <c r="F25">
        <v>1406.8952569864566</v>
      </c>
      <c r="G25">
        <v>4225.3460308376389</v>
      </c>
      <c r="H25" s="1">
        <v>45657.333333333336</v>
      </c>
    </row>
    <row r="26" spans="1:8" x14ac:dyDescent="0.25">
      <c r="A26" s="7">
        <f>DATE(YEAR(m5_crossvalid[[#This Row],[cutoff]]),MONTH(m5_crossvalid[[#This Row],[cutoff]]),DAY(m5_crossvalid[[#This Row],[cutoff]]))</f>
        <v>45657</v>
      </c>
      <c r="B26" s="7">
        <f>DATE(YEAR(m5_crossvalid[[#This Row],[ds]]),MONTH(m5_crossvalid[[#This Row],[ds]]),DAY(m5_crossvalid[[#This Row],[ds]]))</f>
        <v>45682</v>
      </c>
      <c r="C26">
        <v>1624</v>
      </c>
      <c r="D26" s="1">
        <v>45682.333333333336</v>
      </c>
      <c r="E26">
        <v>1461.1537036804907</v>
      </c>
      <c r="F26">
        <v>71.047459691549307</v>
      </c>
      <c r="G26">
        <v>2899.3033417545198</v>
      </c>
      <c r="H26" s="1">
        <v>45657.333333333336</v>
      </c>
    </row>
    <row r="27" spans="1:8" x14ac:dyDescent="0.25">
      <c r="A27" s="7">
        <f>DATE(YEAR(m5_crossvalid[[#This Row],[cutoff]]),MONTH(m5_crossvalid[[#This Row],[cutoff]]),DAY(m5_crossvalid[[#This Row],[cutoff]]))</f>
        <v>45657</v>
      </c>
      <c r="B27" s="7">
        <f>DATE(YEAR(m5_crossvalid[[#This Row],[ds]]),MONTH(m5_crossvalid[[#This Row],[ds]]),DAY(m5_crossvalid[[#This Row],[ds]]))</f>
        <v>45683</v>
      </c>
      <c r="C27">
        <v>454</v>
      </c>
      <c r="D27" s="1">
        <v>45683.333333333336</v>
      </c>
      <c r="E27">
        <v>1300.3704746703095</v>
      </c>
      <c r="F27">
        <v>-110.86015929153258</v>
      </c>
      <c r="G27">
        <v>2640.0096723737242</v>
      </c>
      <c r="H27" s="1">
        <v>45657.333333333336</v>
      </c>
    </row>
    <row r="28" spans="1:8" x14ac:dyDescent="0.25">
      <c r="A28" s="7">
        <f>DATE(YEAR(m5_crossvalid[[#This Row],[cutoff]]),MONTH(m5_crossvalid[[#This Row],[cutoff]]),DAY(m5_crossvalid[[#This Row],[cutoff]]))</f>
        <v>45657</v>
      </c>
      <c r="B28" s="7">
        <f>DATE(YEAR(m5_crossvalid[[#This Row],[ds]]),MONTH(m5_crossvalid[[#This Row],[ds]]),DAY(m5_crossvalid[[#This Row],[ds]]))</f>
        <v>45684</v>
      </c>
      <c r="C28">
        <v>5598</v>
      </c>
      <c r="D28" s="1">
        <v>45684.333333333336</v>
      </c>
      <c r="E28">
        <v>4345.3779884193636</v>
      </c>
      <c r="F28">
        <v>2919.0648348586565</v>
      </c>
      <c r="G28">
        <v>5823.5080117639991</v>
      </c>
      <c r="H28" s="1">
        <v>45657.333333333336</v>
      </c>
    </row>
    <row r="29" spans="1:8" x14ac:dyDescent="0.25">
      <c r="A29" s="7">
        <f>DATE(YEAR(m5_crossvalid[[#This Row],[cutoff]]),MONTH(m5_crossvalid[[#This Row],[cutoff]]),DAY(m5_crossvalid[[#This Row],[cutoff]]))</f>
        <v>45657</v>
      </c>
      <c r="B29" s="7">
        <f>DATE(YEAR(m5_crossvalid[[#This Row],[ds]]),MONTH(m5_crossvalid[[#This Row],[ds]]),DAY(m5_crossvalid[[#This Row],[ds]]))</f>
        <v>45685</v>
      </c>
      <c r="C29">
        <v>5264</v>
      </c>
      <c r="D29" s="1">
        <v>45685.333333333336</v>
      </c>
      <c r="E29">
        <v>5173.4924168494244</v>
      </c>
      <c r="F29">
        <v>3776.1958077470695</v>
      </c>
      <c r="G29">
        <v>6573.2384699675686</v>
      </c>
      <c r="H29" s="1">
        <v>45657.333333333336</v>
      </c>
    </row>
    <row r="30" spans="1:8" x14ac:dyDescent="0.25">
      <c r="A30" s="7">
        <f>DATE(YEAR(m5_crossvalid[[#This Row],[cutoff]]),MONTH(m5_crossvalid[[#This Row],[cutoff]]),DAY(m5_crossvalid[[#This Row],[cutoff]]))</f>
        <v>45657</v>
      </c>
      <c r="B30" s="7">
        <f>DATE(YEAR(m5_crossvalid[[#This Row],[ds]]),MONTH(m5_crossvalid[[#This Row],[ds]]),DAY(m5_crossvalid[[#This Row],[ds]]))</f>
        <v>45686</v>
      </c>
      <c r="C30">
        <v>310</v>
      </c>
      <c r="D30" s="1">
        <v>45686.333333333336</v>
      </c>
      <c r="E30">
        <v>4406.2697731455955</v>
      </c>
      <c r="F30">
        <v>3035.9873740392159</v>
      </c>
      <c r="G30">
        <v>5942.4371904726686</v>
      </c>
      <c r="H30" s="1">
        <v>45657.333333333336</v>
      </c>
    </row>
    <row r="31" spans="1:8" x14ac:dyDescent="0.25">
      <c r="A31" s="7">
        <f>DATE(YEAR(m5_crossvalid[[#This Row],[cutoff]]),MONTH(m5_crossvalid[[#This Row],[cutoff]]),DAY(m5_crossvalid[[#This Row],[cutoff]]))</f>
        <v>45657</v>
      </c>
      <c r="B31" s="7">
        <f>DATE(YEAR(m5_crossvalid[[#This Row],[ds]]),MONTH(m5_crossvalid[[#This Row],[ds]]),DAY(m5_crossvalid[[#This Row],[ds]]))</f>
        <v>45687</v>
      </c>
      <c r="C31">
        <v>255</v>
      </c>
      <c r="D31" s="1">
        <v>45687.333333333336</v>
      </c>
      <c r="E31">
        <v>6179.2611114802503</v>
      </c>
      <c r="F31">
        <v>4711.9298884140953</v>
      </c>
      <c r="G31">
        <v>7589.8526717975665</v>
      </c>
      <c r="H31" s="1">
        <v>45657.333333333336</v>
      </c>
    </row>
    <row r="32" spans="1:8" x14ac:dyDescent="0.25">
      <c r="A32" s="7">
        <f>DATE(YEAR(m5_crossvalid[[#This Row],[cutoff]]),MONTH(m5_crossvalid[[#This Row],[cutoff]]),DAY(m5_crossvalid[[#This Row],[cutoff]]))</f>
        <v>45657</v>
      </c>
      <c r="B32" s="7">
        <f>DATE(YEAR(m5_crossvalid[[#This Row],[ds]]),MONTH(m5_crossvalid[[#This Row],[ds]]),DAY(m5_crossvalid[[#This Row],[ds]]))</f>
        <v>45688</v>
      </c>
      <c r="C32">
        <v>6041</v>
      </c>
      <c r="D32" s="1">
        <v>45688.333333333336</v>
      </c>
      <c r="E32">
        <v>8220.6912933812182</v>
      </c>
      <c r="F32">
        <v>6663.9235547109092</v>
      </c>
      <c r="G32">
        <v>9653.6107542932914</v>
      </c>
      <c r="H32" s="1">
        <v>45657.333333333336</v>
      </c>
    </row>
    <row r="33" spans="1:8" x14ac:dyDescent="0.25">
      <c r="A33" s="7">
        <f>DATE(YEAR(m5_crossvalid[[#This Row],[cutoff]]),MONTH(m5_crossvalid[[#This Row],[cutoff]]),DAY(m5_crossvalid[[#This Row],[cutoff]]))</f>
        <v>45688</v>
      </c>
      <c r="B33" s="7">
        <f>DATE(YEAR(m5_crossvalid[[#This Row],[ds]]),MONTH(m5_crossvalid[[#This Row],[ds]]),DAY(m5_crossvalid[[#This Row],[ds]]))</f>
        <v>45689</v>
      </c>
      <c r="C33">
        <v>47</v>
      </c>
      <c r="D33" s="1">
        <v>45689.333333333336</v>
      </c>
      <c r="E33">
        <v>-2544.7317879962966</v>
      </c>
      <c r="F33">
        <v>-3910.253432343341</v>
      </c>
      <c r="G33">
        <v>-1118.0249202102927</v>
      </c>
      <c r="H33" s="1">
        <v>45688.333333333336</v>
      </c>
    </row>
    <row r="34" spans="1:8" x14ac:dyDescent="0.25">
      <c r="A34" s="7">
        <f>DATE(YEAR(m5_crossvalid[[#This Row],[cutoff]]),MONTH(m5_crossvalid[[#This Row],[cutoff]]),DAY(m5_crossvalid[[#This Row],[cutoff]]))</f>
        <v>45688</v>
      </c>
      <c r="B34" s="7">
        <f>DATE(YEAR(m5_crossvalid[[#This Row],[ds]]),MONTH(m5_crossvalid[[#This Row],[ds]]),DAY(m5_crossvalid[[#This Row],[ds]]))</f>
        <v>45690</v>
      </c>
      <c r="C34">
        <v>14</v>
      </c>
      <c r="D34" s="1">
        <v>45690.333333333336</v>
      </c>
      <c r="E34">
        <v>-1682.3662055731729</v>
      </c>
      <c r="F34">
        <v>-3138.6917555339833</v>
      </c>
      <c r="G34">
        <v>-347.58418046553851</v>
      </c>
      <c r="H34" s="1">
        <v>45688.333333333336</v>
      </c>
    </row>
    <row r="35" spans="1:8" x14ac:dyDescent="0.25">
      <c r="A35" s="7">
        <f>DATE(YEAR(m5_crossvalid[[#This Row],[cutoff]]),MONTH(m5_crossvalid[[#This Row],[cutoff]]),DAY(m5_crossvalid[[#This Row],[cutoff]]))</f>
        <v>45688</v>
      </c>
      <c r="B35" s="7">
        <f>DATE(YEAR(m5_crossvalid[[#This Row],[ds]]),MONTH(m5_crossvalid[[#This Row],[ds]]),DAY(m5_crossvalid[[#This Row],[ds]]))</f>
        <v>45691</v>
      </c>
      <c r="C35">
        <v>454</v>
      </c>
      <c r="D35" s="1">
        <v>45691.333333333336</v>
      </c>
      <c r="E35">
        <v>1148.5517012117095</v>
      </c>
      <c r="F35">
        <v>-212.17834460029235</v>
      </c>
      <c r="G35">
        <v>2594.9799957954433</v>
      </c>
      <c r="H35" s="1">
        <v>45688.333333333336</v>
      </c>
    </row>
    <row r="36" spans="1:8" x14ac:dyDescent="0.25">
      <c r="A36" s="7">
        <f>DATE(YEAR(m5_crossvalid[[#This Row],[cutoff]]),MONTH(m5_crossvalid[[#This Row],[cutoff]]),DAY(m5_crossvalid[[#This Row],[cutoff]]))</f>
        <v>45688</v>
      </c>
      <c r="B36" s="7">
        <f>DATE(YEAR(m5_crossvalid[[#This Row],[ds]]),MONTH(m5_crossvalid[[#This Row],[ds]]),DAY(m5_crossvalid[[#This Row],[ds]]))</f>
        <v>45692</v>
      </c>
      <c r="C36">
        <v>626</v>
      </c>
      <c r="D36" s="1">
        <v>45692.333333333336</v>
      </c>
      <c r="E36">
        <v>1632.209498332872</v>
      </c>
      <c r="F36">
        <v>204.72478824379445</v>
      </c>
      <c r="G36">
        <v>3066.7512526835399</v>
      </c>
      <c r="H36" s="1">
        <v>45688.333333333336</v>
      </c>
    </row>
    <row r="37" spans="1:8" x14ac:dyDescent="0.25">
      <c r="A37" s="7">
        <f>DATE(YEAR(m5_crossvalid[[#This Row],[cutoff]]),MONTH(m5_crossvalid[[#This Row],[cutoff]]),DAY(m5_crossvalid[[#This Row],[cutoff]]))</f>
        <v>45688</v>
      </c>
      <c r="B37" s="7">
        <f>DATE(YEAR(m5_crossvalid[[#This Row],[ds]]),MONTH(m5_crossvalid[[#This Row],[ds]]),DAY(m5_crossvalid[[#This Row],[ds]]))</f>
        <v>45693</v>
      </c>
      <c r="C37">
        <v>886</v>
      </c>
      <c r="D37" s="1">
        <v>45693.333333333336</v>
      </c>
      <c r="E37">
        <v>1670.5118221355824</v>
      </c>
      <c r="F37">
        <v>361.05445462058572</v>
      </c>
      <c r="G37">
        <v>3221.0885197664679</v>
      </c>
      <c r="H37" s="1">
        <v>45688.333333333336</v>
      </c>
    </row>
    <row r="38" spans="1:8" x14ac:dyDescent="0.25">
      <c r="A38" s="7">
        <f>DATE(YEAR(m5_crossvalid[[#This Row],[cutoff]]),MONTH(m5_crossvalid[[#This Row],[cutoff]]),DAY(m5_crossvalid[[#This Row],[cutoff]]))</f>
        <v>45688</v>
      </c>
      <c r="B38" s="7">
        <f>DATE(YEAR(m5_crossvalid[[#This Row],[ds]]),MONTH(m5_crossvalid[[#This Row],[ds]]),DAY(m5_crossvalid[[#This Row],[ds]]))</f>
        <v>45694</v>
      </c>
      <c r="C38">
        <v>1159</v>
      </c>
      <c r="D38" s="1">
        <v>45694.333333333336</v>
      </c>
      <c r="E38">
        <v>1483.1402901549714</v>
      </c>
      <c r="F38">
        <v>143.52594132405349</v>
      </c>
      <c r="G38">
        <v>2896.4123727468741</v>
      </c>
      <c r="H38" s="1">
        <v>45688.333333333336</v>
      </c>
    </row>
    <row r="39" spans="1:8" x14ac:dyDescent="0.25">
      <c r="A39" s="7">
        <f>DATE(YEAR(m5_crossvalid[[#This Row],[cutoff]]),MONTH(m5_crossvalid[[#This Row],[cutoff]]),DAY(m5_crossvalid[[#This Row],[cutoff]]))</f>
        <v>45688</v>
      </c>
      <c r="B39" s="7">
        <f>DATE(YEAR(m5_crossvalid[[#This Row],[ds]]),MONTH(m5_crossvalid[[#This Row],[ds]]),DAY(m5_crossvalid[[#This Row],[ds]]))</f>
        <v>45695</v>
      </c>
      <c r="C39">
        <v>1342</v>
      </c>
      <c r="D39" s="1">
        <v>45695.333333333336</v>
      </c>
      <c r="E39">
        <v>1166.5798578445824</v>
      </c>
      <c r="F39">
        <v>-209.26209106348415</v>
      </c>
      <c r="G39">
        <v>2537.4392210223882</v>
      </c>
      <c r="H39" s="1">
        <v>45688.333333333336</v>
      </c>
    </row>
    <row r="40" spans="1:8" x14ac:dyDescent="0.25">
      <c r="A40" s="7">
        <f>DATE(YEAR(m5_crossvalid[[#This Row],[cutoff]]),MONTH(m5_crossvalid[[#This Row],[cutoff]]),DAY(m5_crossvalid[[#This Row],[cutoff]]))</f>
        <v>45688</v>
      </c>
      <c r="B40" s="7">
        <f>DATE(YEAR(m5_crossvalid[[#This Row],[ds]]),MONTH(m5_crossvalid[[#This Row],[ds]]),DAY(m5_crossvalid[[#This Row],[ds]]))</f>
        <v>45696</v>
      </c>
      <c r="C40">
        <v>301</v>
      </c>
      <c r="D40" s="1">
        <v>45696.333333333336</v>
      </c>
      <c r="E40">
        <v>-283.49774846228638</v>
      </c>
      <c r="F40">
        <v>-1742.7459265589628</v>
      </c>
      <c r="G40">
        <v>1208.8077327428748</v>
      </c>
      <c r="H40" s="1">
        <v>45688.333333333336</v>
      </c>
    </row>
    <row r="41" spans="1:8" x14ac:dyDescent="0.25">
      <c r="A41" s="7">
        <f>DATE(YEAR(m5_crossvalid[[#This Row],[cutoff]]),MONTH(m5_crossvalid[[#This Row],[cutoff]]),DAY(m5_crossvalid[[#This Row],[cutoff]]))</f>
        <v>45688</v>
      </c>
      <c r="B41" s="7">
        <f>DATE(YEAR(m5_crossvalid[[#This Row],[ds]]),MONTH(m5_crossvalid[[#This Row],[ds]]),DAY(m5_crossvalid[[#This Row],[ds]]))</f>
        <v>45697</v>
      </c>
      <c r="C41">
        <v>54</v>
      </c>
      <c r="D41" s="1">
        <v>45697.333333333336</v>
      </c>
      <c r="E41">
        <v>-709.79222669348383</v>
      </c>
      <c r="F41">
        <v>-2107.3109171402089</v>
      </c>
      <c r="G41">
        <v>595.65223338400187</v>
      </c>
      <c r="H41" s="1">
        <v>45688.333333333336</v>
      </c>
    </row>
    <row r="42" spans="1:8" x14ac:dyDescent="0.25">
      <c r="A42" s="7">
        <f>DATE(YEAR(m5_crossvalid[[#This Row],[cutoff]]),MONTH(m5_crossvalid[[#This Row],[cutoff]]),DAY(m5_crossvalid[[#This Row],[cutoff]]))</f>
        <v>45688</v>
      </c>
      <c r="B42" s="7">
        <f>DATE(YEAR(m5_crossvalid[[#This Row],[ds]]),MONTH(m5_crossvalid[[#This Row],[ds]]),DAY(m5_crossvalid[[#This Row],[ds]]))</f>
        <v>45698</v>
      </c>
      <c r="C42">
        <v>1577</v>
      </c>
      <c r="D42" s="1">
        <v>45698.333333333336</v>
      </c>
      <c r="E42">
        <v>1876.8098896047113</v>
      </c>
      <c r="F42">
        <v>424.64984853783767</v>
      </c>
      <c r="G42">
        <v>3234.5040847292544</v>
      </c>
      <c r="H42" s="1">
        <v>45688.333333333336</v>
      </c>
    </row>
    <row r="43" spans="1:8" x14ac:dyDescent="0.25">
      <c r="A43" s="7">
        <f>DATE(YEAR(m5_crossvalid[[#This Row],[cutoff]]),MONTH(m5_crossvalid[[#This Row],[cutoff]]),DAY(m5_crossvalid[[#This Row],[cutoff]]))</f>
        <v>45688</v>
      </c>
      <c r="B43" s="7">
        <f>DATE(YEAR(m5_crossvalid[[#This Row],[ds]]),MONTH(m5_crossvalid[[#This Row],[ds]]),DAY(m5_crossvalid[[#This Row],[ds]]))</f>
        <v>45699</v>
      </c>
      <c r="C43">
        <v>555</v>
      </c>
      <c r="D43" s="1">
        <v>45699.333333333336</v>
      </c>
      <c r="E43">
        <v>700.65871008934505</v>
      </c>
      <c r="F43">
        <v>-751.98746674100857</v>
      </c>
      <c r="G43">
        <v>2014.3139732937275</v>
      </c>
      <c r="H43" s="1">
        <v>45688.333333333336</v>
      </c>
    </row>
    <row r="44" spans="1:8" x14ac:dyDescent="0.25">
      <c r="A44" s="7">
        <f>DATE(YEAR(m5_crossvalid[[#This Row],[cutoff]]),MONTH(m5_crossvalid[[#This Row],[cutoff]]),DAY(m5_crossvalid[[#This Row],[cutoff]]))</f>
        <v>45688</v>
      </c>
      <c r="B44" s="7">
        <f>DATE(YEAR(m5_crossvalid[[#This Row],[ds]]),MONTH(m5_crossvalid[[#This Row],[ds]]),DAY(m5_crossvalid[[#This Row],[ds]]))</f>
        <v>45700</v>
      </c>
      <c r="C44">
        <v>1823</v>
      </c>
      <c r="D44" s="1">
        <v>45700.333333333336</v>
      </c>
      <c r="E44">
        <v>2291.368707481849</v>
      </c>
      <c r="F44">
        <v>913.43047419663969</v>
      </c>
      <c r="G44">
        <v>3689.4369785575282</v>
      </c>
      <c r="H44" s="1">
        <v>45688.333333333336</v>
      </c>
    </row>
    <row r="45" spans="1:8" x14ac:dyDescent="0.25">
      <c r="A45" s="7">
        <f>DATE(YEAR(m5_crossvalid[[#This Row],[cutoff]]),MONTH(m5_crossvalid[[#This Row],[cutoff]]),DAY(m5_crossvalid[[#This Row],[cutoff]]))</f>
        <v>45688</v>
      </c>
      <c r="B45" s="7">
        <f>DATE(YEAR(m5_crossvalid[[#This Row],[ds]]),MONTH(m5_crossvalid[[#This Row],[ds]]),DAY(m5_crossvalid[[#This Row],[ds]]))</f>
        <v>45701</v>
      </c>
      <c r="C45">
        <v>2210</v>
      </c>
      <c r="D45" s="1">
        <v>45701.333333333336</v>
      </c>
      <c r="E45">
        <v>2314.1499245565215</v>
      </c>
      <c r="F45">
        <v>909.92071419969227</v>
      </c>
      <c r="G45">
        <v>3678.3511185599132</v>
      </c>
      <c r="H45" s="1">
        <v>45688.333333333336</v>
      </c>
    </row>
    <row r="46" spans="1:8" x14ac:dyDescent="0.25">
      <c r="A46" s="7">
        <f>DATE(YEAR(m5_crossvalid[[#This Row],[cutoff]]),MONTH(m5_crossvalid[[#This Row],[cutoff]]),DAY(m5_crossvalid[[#This Row],[cutoff]]))</f>
        <v>45688</v>
      </c>
      <c r="B46" s="7">
        <f>DATE(YEAR(m5_crossvalid[[#This Row],[ds]]),MONTH(m5_crossvalid[[#This Row],[ds]]),DAY(m5_crossvalid[[#This Row],[ds]]))</f>
        <v>45702</v>
      </c>
      <c r="C46">
        <v>2308</v>
      </c>
      <c r="D46" s="1">
        <v>45702.333333333336</v>
      </c>
      <c r="E46">
        <v>2330.1738950845279</v>
      </c>
      <c r="F46">
        <v>918.17479057784294</v>
      </c>
      <c r="G46">
        <v>3718.434016069732</v>
      </c>
      <c r="H46" s="1">
        <v>45688.333333333336</v>
      </c>
    </row>
    <row r="47" spans="1:8" x14ac:dyDescent="0.25">
      <c r="A47" s="7">
        <f>DATE(YEAR(m5_crossvalid[[#This Row],[cutoff]]),MONTH(m5_crossvalid[[#This Row],[cutoff]]),DAY(m5_crossvalid[[#This Row],[cutoff]]))</f>
        <v>45688</v>
      </c>
      <c r="B47" s="7">
        <f>DATE(YEAR(m5_crossvalid[[#This Row],[ds]]),MONTH(m5_crossvalid[[#This Row],[ds]]),DAY(m5_crossvalid[[#This Row],[ds]]))</f>
        <v>45703</v>
      </c>
      <c r="C47">
        <v>485</v>
      </c>
      <c r="D47" s="1">
        <v>45703.333333333336</v>
      </c>
      <c r="E47">
        <v>334.36677548435478</v>
      </c>
      <c r="F47">
        <v>-1086.3148346721846</v>
      </c>
      <c r="G47">
        <v>1780.235542459608</v>
      </c>
      <c r="H47" s="1">
        <v>45688.333333333336</v>
      </c>
    </row>
    <row r="48" spans="1:8" x14ac:dyDescent="0.25">
      <c r="A48" s="7">
        <f>DATE(YEAR(m5_crossvalid[[#This Row],[cutoff]]),MONTH(m5_crossvalid[[#This Row],[cutoff]]),DAY(m5_crossvalid[[#This Row],[cutoff]]))</f>
        <v>45688</v>
      </c>
      <c r="B48" s="7">
        <f>DATE(YEAR(m5_crossvalid[[#This Row],[ds]]),MONTH(m5_crossvalid[[#This Row],[ds]]),DAY(m5_crossvalid[[#This Row],[ds]]))</f>
        <v>45704</v>
      </c>
      <c r="C48">
        <v>118</v>
      </c>
      <c r="D48" s="1">
        <v>45704.333333333336</v>
      </c>
      <c r="E48">
        <v>-46.994035649478974</v>
      </c>
      <c r="F48">
        <v>-1466.3014473904136</v>
      </c>
      <c r="G48">
        <v>1385.3535010865746</v>
      </c>
      <c r="H48" s="1">
        <v>45688.333333333336</v>
      </c>
    </row>
    <row r="49" spans="1:8" x14ac:dyDescent="0.25">
      <c r="A49" s="7">
        <f>DATE(YEAR(m5_crossvalid[[#This Row],[cutoff]]),MONTH(m5_crossvalid[[#This Row],[cutoff]]),DAY(m5_crossvalid[[#This Row],[cutoff]]))</f>
        <v>45688</v>
      </c>
      <c r="B49" s="7">
        <f>DATE(YEAR(m5_crossvalid[[#This Row],[ds]]),MONTH(m5_crossvalid[[#This Row],[ds]]),DAY(m5_crossvalid[[#This Row],[ds]]))</f>
        <v>45705</v>
      </c>
      <c r="C49">
        <v>2482</v>
      </c>
      <c r="D49" s="1">
        <v>45705.333333333336</v>
      </c>
      <c r="E49">
        <v>2437.1397516953034</v>
      </c>
      <c r="F49">
        <v>982.37867002644896</v>
      </c>
      <c r="G49">
        <v>3768.4393179837939</v>
      </c>
      <c r="H49" s="1">
        <v>45688.333333333336</v>
      </c>
    </row>
    <row r="50" spans="1:8" x14ac:dyDescent="0.25">
      <c r="A50" s="7">
        <f>DATE(YEAR(m5_crossvalid[[#This Row],[cutoff]]),MONTH(m5_crossvalid[[#This Row],[cutoff]]),DAY(m5_crossvalid[[#This Row],[cutoff]]))</f>
        <v>45688</v>
      </c>
      <c r="B50" s="7">
        <f>DATE(YEAR(m5_crossvalid[[#This Row],[ds]]),MONTH(m5_crossvalid[[#This Row],[ds]]),DAY(m5_crossvalid[[#This Row],[ds]]))</f>
        <v>45706</v>
      </c>
      <c r="C50">
        <v>2913</v>
      </c>
      <c r="D50" s="1">
        <v>45706.333333333336</v>
      </c>
      <c r="E50">
        <v>2740.2426885511322</v>
      </c>
      <c r="F50">
        <v>1374.0118965753277</v>
      </c>
      <c r="G50">
        <v>4143.7800559009138</v>
      </c>
      <c r="H50" s="1">
        <v>45688.333333333336</v>
      </c>
    </row>
    <row r="51" spans="1:8" x14ac:dyDescent="0.25">
      <c r="A51" s="7">
        <f>DATE(YEAR(m5_crossvalid[[#This Row],[cutoff]]),MONTH(m5_crossvalid[[#This Row],[cutoff]]),DAY(m5_crossvalid[[#This Row],[cutoff]]))</f>
        <v>45688</v>
      </c>
      <c r="B51" s="7">
        <f>DATE(YEAR(m5_crossvalid[[#This Row],[ds]]),MONTH(m5_crossvalid[[#This Row],[ds]]),DAY(m5_crossvalid[[#This Row],[ds]]))</f>
        <v>45707</v>
      </c>
      <c r="C51">
        <v>3106</v>
      </c>
      <c r="D51" s="1">
        <v>45707.333333333336</v>
      </c>
      <c r="E51">
        <v>2832.1696972182904</v>
      </c>
      <c r="F51">
        <v>1329.4414073429466</v>
      </c>
      <c r="G51">
        <v>4269.4516446891503</v>
      </c>
      <c r="H51" s="1">
        <v>45688.333333333336</v>
      </c>
    </row>
    <row r="52" spans="1:8" x14ac:dyDescent="0.25">
      <c r="A52" s="7">
        <f>DATE(YEAR(m5_crossvalid[[#This Row],[cutoff]]),MONTH(m5_crossvalid[[#This Row],[cutoff]]),DAY(m5_crossvalid[[#This Row],[cutoff]]))</f>
        <v>45688</v>
      </c>
      <c r="B52" s="7">
        <f>DATE(YEAR(m5_crossvalid[[#This Row],[ds]]),MONTH(m5_crossvalid[[#This Row],[ds]]),DAY(m5_crossvalid[[#This Row],[ds]]))</f>
        <v>45708</v>
      </c>
      <c r="C52">
        <v>3104</v>
      </c>
      <c r="D52" s="1">
        <v>45708.333333333336</v>
      </c>
      <c r="E52">
        <v>2992.7848529921007</v>
      </c>
      <c r="F52">
        <v>1569.455208583006</v>
      </c>
      <c r="G52">
        <v>4381.8244413888779</v>
      </c>
      <c r="H52" s="1">
        <v>45688.333333333336</v>
      </c>
    </row>
    <row r="53" spans="1:8" x14ac:dyDescent="0.25">
      <c r="A53" s="7">
        <f>DATE(YEAR(m5_crossvalid[[#This Row],[cutoff]]),MONTH(m5_crossvalid[[#This Row],[cutoff]]),DAY(m5_crossvalid[[#This Row],[cutoff]]))</f>
        <v>45688</v>
      </c>
      <c r="B53" s="7">
        <f>DATE(YEAR(m5_crossvalid[[#This Row],[ds]]),MONTH(m5_crossvalid[[#This Row],[ds]]),DAY(m5_crossvalid[[#This Row],[ds]]))</f>
        <v>45709</v>
      </c>
      <c r="C53">
        <v>3309</v>
      </c>
      <c r="D53" s="1">
        <v>45709.333333333336</v>
      </c>
      <c r="E53">
        <v>3067.1074161522333</v>
      </c>
      <c r="F53">
        <v>1688.6301002725684</v>
      </c>
      <c r="G53">
        <v>4524.9092276817137</v>
      </c>
      <c r="H53" s="1">
        <v>45688.333333333336</v>
      </c>
    </row>
    <row r="54" spans="1:8" x14ac:dyDescent="0.25">
      <c r="A54" s="7">
        <f>DATE(YEAR(m5_crossvalid[[#This Row],[cutoff]]),MONTH(m5_crossvalid[[#This Row],[cutoff]]),DAY(m5_crossvalid[[#This Row],[cutoff]]))</f>
        <v>45688</v>
      </c>
      <c r="B54" s="7">
        <f>DATE(YEAR(m5_crossvalid[[#This Row],[ds]]),MONTH(m5_crossvalid[[#This Row],[ds]]),DAY(m5_crossvalid[[#This Row],[ds]]))</f>
        <v>45710</v>
      </c>
      <c r="C54">
        <v>732</v>
      </c>
      <c r="D54" s="1">
        <v>45710.333333333336</v>
      </c>
      <c r="E54">
        <v>1629.0912628104511</v>
      </c>
      <c r="F54">
        <v>236.15017402253156</v>
      </c>
      <c r="G54">
        <v>3037.6266485805281</v>
      </c>
      <c r="H54" s="1">
        <v>45688.333333333336</v>
      </c>
    </row>
    <row r="55" spans="1:8" x14ac:dyDescent="0.25">
      <c r="A55" s="7">
        <f>DATE(YEAR(m5_crossvalid[[#This Row],[cutoff]]),MONTH(m5_crossvalid[[#This Row],[cutoff]]),DAY(m5_crossvalid[[#This Row],[cutoff]]))</f>
        <v>45688</v>
      </c>
      <c r="B55" s="7">
        <f>DATE(YEAR(m5_crossvalid[[#This Row],[ds]]),MONTH(m5_crossvalid[[#This Row],[ds]]),DAY(m5_crossvalid[[#This Row],[ds]]))</f>
        <v>45711</v>
      </c>
      <c r="C55">
        <v>202</v>
      </c>
      <c r="D55" s="1">
        <v>45711.333333333336</v>
      </c>
      <c r="E55">
        <v>1058.9646057387722</v>
      </c>
      <c r="F55">
        <v>-370.39160744270396</v>
      </c>
      <c r="G55">
        <v>2445.1782466712784</v>
      </c>
      <c r="H55" s="1">
        <v>45688.333333333336</v>
      </c>
    </row>
    <row r="56" spans="1:8" x14ac:dyDescent="0.25">
      <c r="A56" s="7">
        <f>DATE(YEAR(m5_crossvalid[[#This Row],[cutoff]]),MONTH(m5_crossvalid[[#This Row],[cutoff]]),DAY(m5_crossvalid[[#This Row],[cutoff]]))</f>
        <v>45688</v>
      </c>
      <c r="B56" s="7">
        <f>DATE(YEAR(m5_crossvalid[[#This Row],[ds]]),MONTH(m5_crossvalid[[#This Row],[ds]]),DAY(m5_crossvalid[[#This Row],[ds]]))</f>
        <v>45712</v>
      </c>
      <c r="C56">
        <v>3545</v>
      </c>
      <c r="D56" s="1">
        <v>45712.333333333336</v>
      </c>
      <c r="E56">
        <v>3486.1716927726984</v>
      </c>
      <c r="F56">
        <v>2093.9919147920164</v>
      </c>
      <c r="G56">
        <v>4939.5378596739793</v>
      </c>
      <c r="H56" s="1">
        <v>45688.333333333336</v>
      </c>
    </row>
    <row r="57" spans="1:8" x14ac:dyDescent="0.25">
      <c r="A57" s="7">
        <f>DATE(YEAR(m5_crossvalid[[#This Row],[cutoff]]),MONTH(m5_crossvalid[[#This Row],[cutoff]]),DAY(m5_crossvalid[[#This Row],[cutoff]]))</f>
        <v>45688</v>
      </c>
      <c r="B57" s="7">
        <f>DATE(YEAR(m5_crossvalid[[#This Row],[ds]]),MONTH(m5_crossvalid[[#This Row],[ds]]),DAY(m5_crossvalid[[#This Row],[ds]]))</f>
        <v>45713</v>
      </c>
      <c r="C57">
        <v>4868</v>
      </c>
      <c r="D57" s="1">
        <v>45713.333333333336</v>
      </c>
      <c r="E57">
        <v>4004.858850436367</v>
      </c>
      <c r="F57">
        <v>2525.5067095669915</v>
      </c>
      <c r="G57">
        <v>5382.2707475045809</v>
      </c>
      <c r="H57" s="1">
        <v>45688.333333333336</v>
      </c>
    </row>
    <row r="58" spans="1:8" x14ac:dyDescent="0.25">
      <c r="A58" s="7">
        <f>DATE(YEAR(m5_crossvalid[[#This Row],[cutoff]]),MONTH(m5_crossvalid[[#This Row],[cutoff]]),DAY(m5_crossvalid[[#This Row],[cutoff]]))</f>
        <v>45688</v>
      </c>
      <c r="B58" s="7">
        <f>DATE(YEAR(m5_crossvalid[[#This Row],[ds]]),MONTH(m5_crossvalid[[#This Row],[ds]]),DAY(m5_crossvalid[[#This Row],[ds]]))</f>
        <v>45714</v>
      </c>
      <c r="C58">
        <v>6187</v>
      </c>
      <c r="D58" s="1">
        <v>45714.333333333336</v>
      </c>
      <c r="E58">
        <v>4513.1527848813676</v>
      </c>
      <c r="F58">
        <v>3167.6925946053893</v>
      </c>
      <c r="G58">
        <v>5805.9016318513368</v>
      </c>
      <c r="H58" s="1">
        <v>45688.333333333336</v>
      </c>
    </row>
    <row r="59" spans="1:8" x14ac:dyDescent="0.25">
      <c r="A59" s="7">
        <f>DATE(YEAR(m5_crossvalid[[#This Row],[cutoff]]),MONTH(m5_crossvalid[[#This Row],[cutoff]]),DAY(m5_crossvalid[[#This Row],[cutoff]]))</f>
        <v>45688</v>
      </c>
      <c r="B59" s="7">
        <f>DATE(YEAR(m5_crossvalid[[#This Row],[ds]]),MONTH(m5_crossvalid[[#This Row],[ds]]),DAY(m5_crossvalid[[#This Row],[ds]]))</f>
        <v>45715</v>
      </c>
      <c r="C59">
        <v>8082</v>
      </c>
      <c r="D59" s="1">
        <v>45715.333333333336</v>
      </c>
      <c r="E59">
        <v>7282.4602905736165</v>
      </c>
      <c r="F59">
        <v>5871.6780176477823</v>
      </c>
      <c r="G59">
        <v>8617.8027662705481</v>
      </c>
      <c r="H59" s="1">
        <v>45688.333333333336</v>
      </c>
    </row>
    <row r="60" spans="1:8" x14ac:dyDescent="0.25">
      <c r="A60" s="7">
        <f>DATE(YEAR(m5_crossvalid[[#This Row],[cutoff]]),MONTH(m5_crossvalid[[#This Row],[cutoff]]),DAY(m5_crossvalid[[#This Row],[cutoff]]))</f>
        <v>45688</v>
      </c>
      <c r="B60" s="7">
        <f>DATE(YEAR(m5_crossvalid[[#This Row],[ds]]),MONTH(m5_crossvalid[[#This Row],[ds]]),DAY(m5_crossvalid[[#This Row],[ds]]))</f>
        <v>45716</v>
      </c>
      <c r="C60">
        <v>14838</v>
      </c>
      <c r="D60" s="1">
        <v>45716.333333333336</v>
      </c>
      <c r="E60">
        <v>9539.7319789209578</v>
      </c>
      <c r="F60">
        <v>8087.3212543516056</v>
      </c>
      <c r="G60">
        <v>10940.365161570393</v>
      </c>
      <c r="H60" s="1">
        <v>45688.333333333336</v>
      </c>
    </row>
    <row r="61" spans="1:8" x14ac:dyDescent="0.25">
      <c r="A61" s="7">
        <f>DATE(YEAR(m5_crossvalid[[#This Row],[cutoff]]),MONTH(m5_crossvalid[[#This Row],[cutoff]]),DAY(m5_crossvalid[[#This Row],[cutoff]]))</f>
        <v>45688</v>
      </c>
      <c r="B61" s="7">
        <f>DATE(YEAR(m5_crossvalid[[#This Row],[ds]]),MONTH(m5_crossvalid[[#This Row],[ds]]),DAY(m5_crossvalid[[#This Row],[ds]]))</f>
        <v>45717</v>
      </c>
      <c r="C61">
        <v>74</v>
      </c>
      <c r="D61" s="1">
        <v>45717.333333333336</v>
      </c>
      <c r="E61">
        <v>903.62489759538016</v>
      </c>
      <c r="F61">
        <v>-508.43684111085861</v>
      </c>
      <c r="G61">
        <v>2318.3708134957747</v>
      </c>
      <c r="H61" s="1">
        <v>45688.333333333336</v>
      </c>
    </row>
    <row r="62" spans="1:8" x14ac:dyDescent="0.25">
      <c r="A62" s="7">
        <f>DATE(YEAR(m5_crossvalid[[#This Row],[cutoff]]),MONTH(m5_crossvalid[[#This Row],[cutoff]]),DAY(m5_crossvalid[[#This Row],[cutoff]]))</f>
        <v>45688</v>
      </c>
      <c r="B62" s="7">
        <f>DATE(YEAR(m5_crossvalid[[#This Row],[ds]]),MONTH(m5_crossvalid[[#This Row],[ds]]),DAY(m5_crossvalid[[#This Row],[ds]]))</f>
        <v>45718</v>
      </c>
      <c r="C62">
        <v>27</v>
      </c>
      <c r="D62" s="1">
        <v>45718.333333333336</v>
      </c>
      <c r="E62">
        <v>-233.06782224981498</v>
      </c>
      <c r="F62">
        <v>-1739.7704992673962</v>
      </c>
      <c r="G62">
        <v>1056.8840518661814</v>
      </c>
      <c r="H62" s="1">
        <v>45688.333333333336</v>
      </c>
    </row>
    <row r="63" spans="1:8" x14ac:dyDescent="0.25">
      <c r="A63" s="7">
        <f>DATE(YEAR(m5_crossvalid[[#This Row],[cutoff]]),MONTH(m5_crossvalid[[#This Row],[cutoff]]),DAY(m5_crossvalid[[#This Row],[cutoff]]))</f>
        <v>45688</v>
      </c>
      <c r="B63" s="7">
        <f>DATE(YEAR(m5_crossvalid[[#This Row],[ds]]),MONTH(m5_crossvalid[[#This Row],[ds]]),DAY(m5_crossvalid[[#This Row],[ds]]))</f>
        <v>45719</v>
      </c>
      <c r="C63">
        <v>378</v>
      </c>
      <c r="D63" s="1">
        <v>45719.333333333336</v>
      </c>
      <c r="E63">
        <v>1751.9582182155596</v>
      </c>
      <c r="F63">
        <v>304.32174999779738</v>
      </c>
      <c r="G63">
        <v>3128.1309223312478</v>
      </c>
      <c r="H63" s="1">
        <v>45688.333333333336</v>
      </c>
    </row>
    <row r="64" spans="1:8" x14ac:dyDescent="0.25">
      <c r="A64" s="7">
        <f>DATE(YEAR(m5_crossvalid[[#This Row],[cutoff]]),MONTH(m5_crossvalid[[#This Row],[cutoff]]),DAY(m5_crossvalid[[#This Row],[cutoff]]))</f>
        <v>45716</v>
      </c>
      <c r="B64" s="7">
        <f>DATE(YEAR(m5_crossvalid[[#This Row],[ds]]),MONTH(m5_crossvalid[[#This Row],[ds]]),DAY(m5_crossvalid[[#This Row],[ds]]))</f>
        <v>45717</v>
      </c>
      <c r="C64">
        <v>74</v>
      </c>
      <c r="D64" s="1">
        <v>45717.333333333336</v>
      </c>
      <c r="E64">
        <v>1285.5718967126124</v>
      </c>
      <c r="F64">
        <v>-174.56645822165535</v>
      </c>
      <c r="G64">
        <v>2784.1002717795959</v>
      </c>
      <c r="H64" s="1">
        <v>45716.333333333336</v>
      </c>
    </row>
    <row r="65" spans="1:8" x14ac:dyDescent="0.25">
      <c r="A65" s="7">
        <f>DATE(YEAR(m5_crossvalid[[#This Row],[cutoff]]),MONTH(m5_crossvalid[[#This Row],[cutoff]]),DAY(m5_crossvalid[[#This Row],[cutoff]]))</f>
        <v>45716</v>
      </c>
      <c r="B65" s="7">
        <f>DATE(YEAR(m5_crossvalid[[#This Row],[ds]]),MONTH(m5_crossvalid[[#This Row],[ds]]),DAY(m5_crossvalid[[#This Row],[ds]]))</f>
        <v>45718</v>
      </c>
      <c r="C65">
        <v>27</v>
      </c>
      <c r="D65" s="1">
        <v>45718.333333333336</v>
      </c>
      <c r="E65">
        <v>21.71075952254796</v>
      </c>
      <c r="F65">
        <v>-1471.6371020248982</v>
      </c>
      <c r="G65">
        <v>1339.5739343533658</v>
      </c>
      <c r="H65" s="1">
        <v>45716.333333333336</v>
      </c>
    </row>
    <row r="66" spans="1:8" x14ac:dyDescent="0.25">
      <c r="A66" s="7">
        <f>DATE(YEAR(m5_crossvalid[[#This Row],[cutoff]]),MONTH(m5_crossvalid[[#This Row],[cutoff]]),DAY(m5_crossvalid[[#This Row],[cutoff]]))</f>
        <v>45716</v>
      </c>
      <c r="B66" s="7">
        <f>DATE(YEAR(m5_crossvalid[[#This Row],[ds]]),MONTH(m5_crossvalid[[#This Row],[ds]]),DAY(m5_crossvalid[[#This Row],[ds]]))</f>
        <v>45719</v>
      </c>
      <c r="C66">
        <v>378</v>
      </c>
      <c r="D66" s="1">
        <v>45719.333333333336</v>
      </c>
      <c r="E66">
        <v>1838.9850157146766</v>
      </c>
      <c r="F66">
        <v>370.97809021309814</v>
      </c>
      <c r="G66">
        <v>3218.6035357918936</v>
      </c>
      <c r="H66" s="1">
        <v>45716.333333333336</v>
      </c>
    </row>
    <row r="67" spans="1:8" x14ac:dyDescent="0.25">
      <c r="A67" s="7">
        <f>DATE(YEAR(m5_crossvalid[[#This Row],[cutoff]]),MONTH(m5_crossvalid[[#This Row],[cutoff]]),DAY(m5_crossvalid[[#This Row],[cutoff]]))</f>
        <v>45716</v>
      </c>
      <c r="B67" s="7">
        <f>DATE(YEAR(m5_crossvalid[[#This Row],[ds]]),MONTH(m5_crossvalid[[#This Row],[ds]]),DAY(m5_crossvalid[[#This Row],[ds]]))</f>
        <v>45720</v>
      </c>
      <c r="C67">
        <v>666</v>
      </c>
      <c r="D67" s="1">
        <v>45720.333333333336</v>
      </c>
      <c r="E67">
        <v>1729.3479385591008</v>
      </c>
      <c r="F67">
        <v>270.41331718606631</v>
      </c>
      <c r="G67">
        <v>3078.1915585527945</v>
      </c>
      <c r="H67" s="1">
        <v>45716.333333333336</v>
      </c>
    </row>
    <row r="68" spans="1:8" x14ac:dyDescent="0.25">
      <c r="A68" s="7">
        <f>DATE(YEAR(m5_crossvalid[[#This Row],[cutoff]]),MONTH(m5_crossvalid[[#This Row],[cutoff]]),DAY(m5_crossvalid[[#This Row],[cutoff]]))</f>
        <v>45716</v>
      </c>
      <c r="B68" s="7">
        <f>DATE(YEAR(m5_crossvalid[[#This Row],[ds]]),MONTH(m5_crossvalid[[#This Row],[ds]]),DAY(m5_crossvalid[[#This Row],[ds]]))</f>
        <v>45721</v>
      </c>
      <c r="C68">
        <v>793</v>
      </c>
      <c r="D68" s="1">
        <v>45721.333333333336</v>
      </c>
      <c r="E68">
        <v>1742.0115869027118</v>
      </c>
      <c r="F68">
        <v>423.12438352852905</v>
      </c>
      <c r="G68">
        <v>3138.0616735590761</v>
      </c>
      <c r="H68" s="1">
        <v>45716.333333333336</v>
      </c>
    </row>
    <row r="69" spans="1:8" x14ac:dyDescent="0.25">
      <c r="A69" s="7">
        <f>DATE(YEAR(m5_crossvalid[[#This Row],[cutoff]]),MONTH(m5_crossvalid[[#This Row],[cutoff]]),DAY(m5_crossvalid[[#This Row],[cutoff]]))</f>
        <v>45716</v>
      </c>
      <c r="B69" s="7">
        <f>DATE(YEAR(m5_crossvalid[[#This Row],[ds]]),MONTH(m5_crossvalid[[#This Row],[ds]]),DAY(m5_crossvalid[[#This Row],[ds]]))</f>
        <v>45722</v>
      </c>
      <c r="C69">
        <v>1426</v>
      </c>
      <c r="D69" s="1">
        <v>45722.333333333336</v>
      </c>
      <c r="E69">
        <v>1912.0266037368549</v>
      </c>
      <c r="F69">
        <v>562.84193609535271</v>
      </c>
      <c r="G69">
        <v>3199.5481756465133</v>
      </c>
      <c r="H69" s="1">
        <v>45716.333333333336</v>
      </c>
    </row>
    <row r="70" spans="1:8" x14ac:dyDescent="0.25">
      <c r="A70" s="7">
        <f>DATE(YEAR(m5_crossvalid[[#This Row],[cutoff]]),MONTH(m5_crossvalid[[#This Row],[cutoff]]),DAY(m5_crossvalid[[#This Row],[cutoff]]))</f>
        <v>45716</v>
      </c>
      <c r="B70" s="7">
        <f>DATE(YEAR(m5_crossvalid[[#This Row],[ds]]),MONTH(m5_crossvalid[[#This Row],[ds]]),DAY(m5_crossvalid[[#This Row],[ds]]))</f>
        <v>45723</v>
      </c>
      <c r="C70">
        <v>1674</v>
      </c>
      <c r="D70" s="1">
        <v>45723.333333333336</v>
      </c>
      <c r="E70">
        <v>1946.5266721917069</v>
      </c>
      <c r="F70">
        <v>528.37996330483998</v>
      </c>
      <c r="G70">
        <v>3333.0355227146651</v>
      </c>
      <c r="H70" s="1">
        <v>45716.333333333336</v>
      </c>
    </row>
    <row r="71" spans="1:8" x14ac:dyDescent="0.25">
      <c r="A71" s="7">
        <f>DATE(YEAR(m5_crossvalid[[#This Row],[cutoff]]),MONTH(m5_crossvalid[[#This Row],[cutoff]]),DAY(m5_crossvalid[[#This Row],[cutoff]]))</f>
        <v>45716</v>
      </c>
      <c r="B71" s="7">
        <f>DATE(YEAR(m5_crossvalid[[#This Row],[ds]]),MONTH(m5_crossvalid[[#This Row],[ds]]),DAY(m5_crossvalid[[#This Row],[ds]]))</f>
        <v>45724</v>
      </c>
      <c r="C71">
        <v>310</v>
      </c>
      <c r="D71" s="1">
        <v>45724.333333333336</v>
      </c>
      <c r="E71">
        <v>437.01005160890645</v>
      </c>
      <c r="F71">
        <v>-977.89595886636687</v>
      </c>
      <c r="G71">
        <v>1790.9122172175485</v>
      </c>
      <c r="H71" s="1">
        <v>45716.333333333336</v>
      </c>
    </row>
    <row r="72" spans="1:8" x14ac:dyDescent="0.25">
      <c r="A72" s="7">
        <f>DATE(YEAR(m5_crossvalid[[#This Row],[cutoff]]),MONTH(m5_crossvalid[[#This Row],[cutoff]]),DAY(m5_crossvalid[[#This Row],[cutoff]]))</f>
        <v>45716</v>
      </c>
      <c r="B72" s="7">
        <f>DATE(YEAR(m5_crossvalid[[#This Row],[ds]]),MONTH(m5_crossvalid[[#This Row],[ds]]),DAY(m5_crossvalid[[#This Row],[ds]]))</f>
        <v>45725</v>
      </c>
      <c r="C72">
        <v>109</v>
      </c>
      <c r="D72" s="1">
        <v>45725.333333333336</v>
      </c>
      <c r="E72">
        <v>-247.07152148407704</v>
      </c>
      <c r="F72">
        <v>-1488.2573694361258</v>
      </c>
      <c r="G72">
        <v>1198.3343267161151</v>
      </c>
      <c r="H72" s="1">
        <v>45716.333333333336</v>
      </c>
    </row>
    <row r="73" spans="1:8" x14ac:dyDescent="0.25">
      <c r="A73" s="7">
        <f>DATE(YEAR(m5_crossvalid[[#This Row],[cutoff]]),MONTH(m5_crossvalid[[#This Row],[cutoff]]),DAY(m5_crossvalid[[#This Row],[cutoff]]))</f>
        <v>45716</v>
      </c>
      <c r="B73" s="7">
        <f>DATE(YEAR(m5_crossvalid[[#This Row],[ds]]),MONTH(m5_crossvalid[[#This Row],[ds]]),DAY(m5_crossvalid[[#This Row],[ds]]))</f>
        <v>45726</v>
      </c>
      <c r="C73">
        <v>1900</v>
      </c>
      <c r="D73" s="1">
        <v>45726.333333333336</v>
      </c>
      <c r="E73">
        <v>2091.6861734277841</v>
      </c>
      <c r="F73">
        <v>614.71382278103692</v>
      </c>
      <c r="G73">
        <v>3613.1814226144943</v>
      </c>
      <c r="H73" s="1">
        <v>45716.333333333336</v>
      </c>
    </row>
    <row r="74" spans="1:8" x14ac:dyDescent="0.25">
      <c r="A74" s="7">
        <f>DATE(YEAR(m5_crossvalid[[#This Row],[cutoff]]),MONTH(m5_crossvalid[[#This Row],[cutoff]]),DAY(m5_crossvalid[[#This Row],[cutoff]]))</f>
        <v>45716</v>
      </c>
      <c r="B74" s="7">
        <f>DATE(YEAR(m5_crossvalid[[#This Row],[ds]]),MONTH(m5_crossvalid[[#This Row],[ds]]),DAY(m5_crossvalid[[#This Row],[ds]]))</f>
        <v>45727</v>
      </c>
      <c r="C74">
        <v>2294</v>
      </c>
      <c r="D74" s="1">
        <v>45727.333333333336</v>
      </c>
      <c r="E74">
        <v>2459.655100387693</v>
      </c>
      <c r="F74">
        <v>1134.9276417563094</v>
      </c>
      <c r="G74">
        <v>3949.2288739497749</v>
      </c>
      <c r="H74" s="1">
        <v>45716.333333333336</v>
      </c>
    </row>
    <row r="75" spans="1:8" x14ac:dyDescent="0.25">
      <c r="A75" s="7">
        <f>DATE(YEAR(m5_crossvalid[[#This Row],[cutoff]]),MONTH(m5_crossvalid[[#This Row],[cutoff]]),DAY(m5_crossvalid[[#This Row],[cutoff]]))</f>
        <v>45716</v>
      </c>
      <c r="B75" s="7">
        <f>DATE(YEAR(m5_crossvalid[[#This Row],[ds]]),MONTH(m5_crossvalid[[#This Row],[ds]]),DAY(m5_crossvalid[[#This Row],[ds]]))</f>
        <v>45728</v>
      </c>
      <c r="C75">
        <v>2576</v>
      </c>
      <c r="D75" s="1">
        <v>45728.333333333336</v>
      </c>
      <c r="E75">
        <v>2608.7448025193876</v>
      </c>
      <c r="F75">
        <v>1108.0252930123886</v>
      </c>
      <c r="G75">
        <v>3961.7462032003996</v>
      </c>
      <c r="H75" s="1">
        <v>45716.333333333336</v>
      </c>
    </row>
    <row r="76" spans="1:8" x14ac:dyDescent="0.25">
      <c r="A76" s="7">
        <f>DATE(YEAR(m5_crossvalid[[#This Row],[cutoff]]),MONTH(m5_crossvalid[[#This Row],[cutoff]]),DAY(m5_crossvalid[[#This Row],[cutoff]]))</f>
        <v>45716</v>
      </c>
      <c r="B76" s="7">
        <f>DATE(YEAR(m5_crossvalid[[#This Row],[ds]]),MONTH(m5_crossvalid[[#This Row],[ds]]),DAY(m5_crossvalid[[#This Row],[ds]]))</f>
        <v>45729</v>
      </c>
      <c r="C76">
        <v>2235</v>
      </c>
      <c r="D76" s="1">
        <v>45729.333333333336</v>
      </c>
      <c r="E76">
        <v>2672.3662854737877</v>
      </c>
      <c r="F76">
        <v>1209.0196623032314</v>
      </c>
      <c r="G76">
        <v>4056.0503492399907</v>
      </c>
      <c r="H76" s="1">
        <v>45716.333333333336</v>
      </c>
    </row>
    <row r="77" spans="1:8" x14ac:dyDescent="0.25">
      <c r="A77" s="7">
        <f>DATE(YEAR(m5_crossvalid[[#This Row],[cutoff]]),MONTH(m5_crossvalid[[#This Row],[cutoff]]),DAY(m5_crossvalid[[#This Row],[cutoff]]))</f>
        <v>45716</v>
      </c>
      <c r="B77" s="7">
        <f>DATE(YEAR(m5_crossvalid[[#This Row],[ds]]),MONTH(m5_crossvalid[[#This Row],[ds]]),DAY(m5_crossvalid[[#This Row],[ds]]))</f>
        <v>45730</v>
      </c>
      <c r="C77">
        <v>3818</v>
      </c>
      <c r="D77" s="1">
        <v>45730.333333333336</v>
      </c>
      <c r="E77">
        <v>2605.6431766890196</v>
      </c>
      <c r="F77">
        <v>1147.4435363101604</v>
      </c>
      <c r="G77">
        <v>3857.0382606619646</v>
      </c>
      <c r="H77" s="1">
        <v>45716.333333333336</v>
      </c>
    </row>
    <row r="78" spans="1:8" x14ac:dyDescent="0.25">
      <c r="A78" s="7">
        <f>DATE(YEAR(m5_crossvalid[[#This Row],[cutoff]]),MONTH(m5_crossvalid[[#This Row],[cutoff]]),DAY(m5_crossvalid[[#This Row],[cutoff]]))</f>
        <v>45716</v>
      </c>
      <c r="B78" s="7">
        <f>DATE(YEAR(m5_crossvalid[[#This Row],[ds]]),MONTH(m5_crossvalid[[#This Row],[ds]]),DAY(m5_crossvalid[[#This Row],[ds]]))</f>
        <v>45731</v>
      </c>
      <c r="C78">
        <v>927</v>
      </c>
      <c r="D78" s="1">
        <v>45731.333333333336</v>
      </c>
      <c r="E78">
        <v>434.89249385007611</v>
      </c>
      <c r="F78">
        <v>-952.59756452147838</v>
      </c>
      <c r="G78">
        <v>1874.6736161314384</v>
      </c>
      <c r="H78" s="1">
        <v>45716.333333333336</v>
      </c>
    </row>
    <row r="79" spans="1:8" x14ac:dyDescent="0.25">
      <c r="A79" s="7">
        <f>DATE(YEAR(m5_crossvalid[[#This Row],[cutoff]]),MONTH(m5_crossvalid[[#This Row],[cutoff]]),DAY(m5_crossvalid[[#This Row],[cutoff]]))</f>
        <v>45716</v>
      </c>
      <c r="B79" s="7">
        <f>DATE(YEAR(m5_crossvalid[[#This Row],[ds]]),MONTH(m5_crossvalid[[#This Row],[ds]]),DAY(m5_crossvalid[[#This Row],[ds]]))</f>
        <v>45732</v>
      </c>
      <c r="C79">
        <v>263</v>
      </c>
      <c r="D79" s="1">
        <v>45732.333333333336</v>
      </c>
      <c r="E79">
        <v>34.366492154398657</v>
      </c>
      <c r="F79">
        <v>-1274.392246578308</v>
      </c>
      <c r="G79">
        <v>1447.9599438049886</v>
      </c>
      <c r="H79" s="1">
        <v>45716.333333333336</v>
      </c>
    </row>
    <row r="80" spans="1:8" x14ac:dyDescent="0.25">
      <c r="A80" s="7">
        <f>DATE(YEAR(m5_crossvalid[[#This Row],[cutoff]]),MONTH(m5_crossvalid[[#This Row],[cutoff]]),DAY(m5_crossvalid[[#This Row],[cutoff]]))</f>
        <v>45716</v>
      </c>
      <c r="B80" s="7">
        <f>DATE(YEAR(m5_crossvalid[[#This Row],[ds]]),MONTH(m5_crossvalid[[#This Row],[ds]]),DAY(m5_crossvalid[[#This Row],[ds]]))</f>
        <v>45733</v>
      </c>
      <c r="C80">
        <v>4812</v>
      </c>
      <c r="D80" s="1">
        <v>45733.333333333336</v>
      </c>
      <c r="E80">
        <v>2659.1842118538625</v>
      </c>
      <c r="F80">
        <v>1267.6520465247274</v>
      </c>
      <c r="G80">
        <v>4103.0998648646282</v>
      </c>
      <c r="H80" s="1">
        <v>45716.333333333336</v>
      </c>
    </row>
    <row r="81" spans="1:8" x14ac:dyDescent="0.25">
      <c r="A81" s="7">
        <f>DATE(YEAR(m5_crossvalid[[#This Row],[cutoff]]),MONTH(m5_crossvalid[[#This Row],[cutoff]]),DAY(m5_crossvalid[[#This Row],[cutoff]]))</f>
        <v>45716</v>
      </c>
      <c r="B81" s="7">
        <f>DATE(YEAR(m5_crossvalid[[#This Row],[ds]]),MONTH(m5_crossvalid[[#This Row],[ds]]),DAY(m5_crossvalid[[#This Row],[ds]]))</f>
        <v>45734</v>
      </c>
      <c r="C81">
        <v>1459</v>
      </c>
      <c r="D81" s="1">
        <v>45734.333333333336</v>
      </c>
      <c r="E81">
        <v>1631.6027790796441</v>
      </c>
      <c r="F81">
        <v>192.91938005354112</v>
      </c>
      <c r="G81">
        <v>3045.3749967481626</v>
      </c>
      <c r="H81" s="1">
        <v>45716.333333333336</v>
      </c>
    </row>
    <row r="82" spans="1:8" x14ac:dyDescent="0.25">
      <c r="A82" s="7">
        <f>DATE(YEAR(m5_crossvalid[[#This Row],[cutoff]]),MONTH(m5_crossvalid[[#This Row],[cutoff]]),DAY(m5_crossvalid[[#This Row],[cutoff]]))</f>
        <v>45716</v>
      </c>
      <c r="B82" s="7">
        <f>DATE(YEAR(m5_crossvalid[[#This Row],[ds]]),MONTH(m5_crossvalid[[#This Row],[ds]]),DAY(m5_crossvalid[[#This Row],[ds]]))</f>
        <v>45735</v>
      </c>
      <c r="C82">
        <v>3508</v>
      </c>
      <c r="D82" s="1">
        <v>45735.333333333336</v>
      </c>
      <c r="E82">
        <v>3213.0111002965368</v>
      </c>
      <c r="F82">
        <v>1816.1161944218272</v>
      </c>
      <c r="G82">
        <v>4713.1463559620306</v>
      </c>
      <c r="H82" s="1">
        <v>45716.333333333336</v>
      </c>
    </row>
    <row r="83" spans="1:8" x14ac:dyDescent="0.25">
      <c r="A83" s="7">
        <f>DATE(YEAR(m5_crossvalid[[#This Row],[cutoff]]),MONTH(m5_crossvalid[[#This Row],[cutoff]]),DAY(m5_crossvalid[[#This Row],[cutoff]]))</f>
        <v>45716</v>
      </c>
      <c r="B83" s="7">
        <f>DATE(YEAR(m5_crossvalid[[#This Row],[ds]]),MONTH(m5_crossvalid[[#This Row],[ds]]),DAY(m5_crossvalid[[#This Row],[ds]]))</f>
        <v>45736</v>
      </c>
      <c r="C83">
        <v>3947</v>
      </c>
      <c r="D83" s="1">
        <v>45736.333333333336</v>
      </c>
      <c r="E83">
        <v>3161.7952302184849</v>
      </c>
      <c r="F83">
        <v>1779.0920371377165</v>
      </c>
      <c r="G83">
        <v>4550.5556741680712</v>
      </c>
      <c r="H83" s="1">
        <v>45716.333333333336</v>
      </c>
    </row>
    <row r="84" spans="1:8" x14ac:dyDescent="0.25">
      <c r="A84" s="7">
        <f>DATE(YEAR(m5_crossvalid[[#This Row],[cutoff]]),MONTH(m5_crossvalid[[#This Row],[cutoff]]),DAY(m5_crossvalid[[#This Row],[cutoff]]))</f>
        <v>45716</v>
      </c>
      <c r="B84" s="7">
        <f>DATE(YEAR(m5_crossvalid[[#This Row],[ds]]),MONTH(m5_crossvalid[[#This Row],[ds]]),DAY(m5_crossvalid[[#This Row],[ds]]))</f>
        <v>45737</v>
      </c>
      <c r="C84">
        <v>4280</v>
      </c>
      <c r="D84" s="1">
        <v>45737.333333333336</v>
      </c>
      <c r="E84">
        <v>3090.0326618942254</v>
      </c>
      <c r="F84">
        <v>1677.8674834709052</v>
      </c>
      <c r="G84">
        <v>4425.1891131637822</v>
      </c>
      <c r="H84" s="1">
        <v>45716.333333333336</v>
      </c>
    </row>
    <row r="85" spans="1:8" x14ac:dyDescent="0.25">
      <c r="A85" s="7">
        <f>DATE(YEAR(m5_crossvalid[[#This Row],[cutoff]]),MONTH(m5_crossvalid[[#This Row],[cutoff]]),DAY(m5_crossvalid[[#This Row],[cutoff]]))</f>
        <v>45716</v>
      </c>
      <c r="B85" s="7">
        <f>DATE(YEAR(m5_crossvalid[[#This Row],[ds]]),MONTH(m5_crossvalid[[#This Row],[ds]]),DAY(m5_crossvalid[[#This Row],[ds]]))</f>
        <v>45738</v>
      </c>
      <c r="C85">
        <v>1076</v>
      </c>
      <c r="D85" s="1">
        <v>45738.333333333336</v>
      </c>
      <c r="E85">
        <v>1028.1372848844276</v>
      </c>
      <c r="F85">
        <v>-334.72555322963962</v>
      </c>
      <c r="G85">
        <v>2445.3396748320051</v>
      </c>
      <c r="H85" s="1">
        <v>45716.333333333336</v>
      </c>
    </row>
    <row r="86" spans="1:8" x14ac:dyDescent="0.25">
      <c r="A86" s="7">
        <f>DATE(YEAR(m5_crossvalid[[#This Row],[cutoff]]),MONTH(m5_crossvalid[[#This Row],[cutoff]]),DAY(m5_crossvalid[[#This Row],[cutoff]]))</f>
        <v>45716</v>
      </c>
      <c r="B86" s="7">
        <f>DATE(YEAR(m5_crossvalid[[#This Row],[ds]]),MONTH(m5_crossvalid[[#This Row],[ds]]),DAY(m5_crossvalid[[#This Row],[ds]]))</f>
        <v>45739</v>
      </c>
      <c r="C86">
        <v>301</v>
      </c>
      <c r="D86" s="1">
        <v>45739.333333333336</v>
      </c>
      <c r="E86">
        <v>712.28463150076163</v>
      </c>
      <c r="F86">
        <v>-691.60181493221262</v>
      </c>
      <c r="G86">
        <v>2110.9988986639573</v>
      </c>
      <c r="H86" s="1">
        <v>45716.333333333336</v>
      </c>
    </row>
    <row r="87" spans="1:8" x14ac:dyDescent="0.25">
      <c r="A87" s="7">
        <f>DATE(YEAR(m5_crossvalid[[#This Row],[cutoff]]),MONTH(m5_crossvalid[[#This Row],[cutoff]]),DAY(m5_crossvalid[[#This Row],[cutoff]]))</f>
        <v>45716</v>
      </c>
      <c r="B87" s="7">
        <f>DATE(YEAR(m5_crossvalid[[#This Row],[ds]]),MONTH(m5_crossvalid[[#This Row],[ds]]),DAY(m5_crossvalid[[#This Row],[ds]]))</f>
        <v>45740</v>
      </c>
      <c r="C87">
        <v>4292</v>
      </c>
      <c r="D87" s="1">
        <v>45740.333333333336</v>
      </c>
      <c r="E87">
        <v>3269.5906158644839</v>
      </c>
      <c r="F87">
        <v>1896.0566000007861</v>
      </c>
      <c r="G87">
        <v>4815.7038450597356</v>
      </c>
      <c r="H87" s="1">
        <v>45716.333333333336</v>
      </c>
    </row>
    <row r="88" spans="1:8" x14ac:dyDescent="0.25">
      <c r="A88" s="7">
        <f>DATE(YEAR(m5_crossvalid[[#This Row],[cutoff]]),MONTH(m5_crossvalid[[#This Row],[cutoff]]),DAY(m5_crossvalid[[#This Row],[cutoff]]))</f>
        <v>45716</v>
      </c>
      <c r="B88" s="7">
        <f>DATE(YEAR(m5_crossvalid[[#This Row],[ds]]),MONTH(m5_crossvalid[[#This Row],[ds]]),DAY(m5_crossvalid[[#This Row],[ds]]))</f>
        <v>45741</v>
      </c>
      <c r="C88">
        <v>5571</v>
      </c>
      <c r="D88" s="1">
        <v>45741.333333333336</v>
      </c>
      <c r="E88">
        <v>4096.9853639140092</v>
      </c>
      <c r="F88">
        <v>2707.2470620800141</v>
      </c>
      <c r="G88">
        <v>5412.8112879186701</v>
      </c>
      <c r="H88" s="1">
        <v>45716.333333333336</v>
      </c>
    </row>
    <row r="89" spans="1:8" x14ac:dyDescent="0.25">
      <c r="A89" s="7">
        <f>DATE(YEAR(m5_crossvalid[[#This Row],[cutoff]]),MONTH(m5_crossvalid[[#This Row],[cutoff]]),DAY(m5_crossvalid[[#This Row],[cutoff]]))</f>
        <v>45716</v>
      </c>
      <c r="B89" s="7">
        <f>DATE(YEAR(m5_crossvalid[[#This Row],[ds]]),MONTH(m5_crossvalid[[#This Row],[ds]]),DAY(m5_crossvalid[[#This Row],[ds]]))</f>
        <v>45742</v>
      </c>
      <c r="C89">
        <v>6352</v>
      </c>
      <c r="D89" s="1">
        <v>45742.333333333336</v>
      </c>
      <c r="E89">
        <v>4057.7142766801753</v>
      </c>
      <c r="F89">
        <v>2661.2388150187867</v>
      </c>
      <c r="G89">
        <v>5449.6068291968077</v>
      </c>
      <c r="H89" s="1">
        <v>45716.333333333336</v>
      </c>
    </row>
    <row r="90" spans="1:8" x14ac:dyDescent="0.25">
      <c r="A90" s="7">
        <f>DATE(YEAR(m5_crossvalid[[#This Row],[cutoff]]),MONTH(m5_crossvalid[[#This Row],[cutoff]]),DAY(m5_crossvalid[[#This Row],[cutoff]]))</f>
        <v>45716</v>
      </c>
      <c r="B90" s="7">
        <f>DATE(YEAR(m5_crossvalid[[#This Row],[ds]]),MONTH(m5_crossvalid[[#This Row],[ds]]),DAY(m5_crossvalid[[#This Row],[ds]]))</f>
        <v>45743</v>
      </c>
      <c r="C90">
        <v>8836</v>
      </c>
      <c r="D90" s="1">
        <v>45743.333333333336</v>
      </c>
      <c r="E90">
        <v>4151.7270746435988</v>
      </c>
      <c r="F90">
        <v>2743.0102034950291</v>
      </c>
      <c r="G90">
        <v>5555.4484889586884</v>
      </c>
      <c r="H90" s="1">
        <v>45716.333333333336</v>
      </c>
    </row>
    <row r="91" spans="1:8" x14ac:dyDescent="0.25">
      <c r="A91" s="7">
        <f>DATE(YEAR(m5_crossvalid[[#This Row],[cutoff]]),MONTH(m5_crossvalid[[#This Row],[cutoff]]),DAY(m5_crossvalid[[#This Row],[cutoff]]))</f>
        <v>45716</v>
      </c>
      <c r="B91" s="7">
        <f>DATE(YEAR(m5_crossvalid[[#This Row],[ds]]),MONTH(m5_crossvalid[[#This Row],[ds]]),DAY(m5_crossvalid[[#This Row],[ds]]))</f>
        <v>45744</v>
      </c>
      <c r="C91">
        <v>9717</v>
      </c>
      <c r="D91" s="1">
        <v>45744.333333333336</v>
      </c>
      <c r="E91">
        <v>4481.8277953100678</v>
      </c>
      <c r="F91">
        <v>3060.5959509052805</v>
      </c>
      <c r="G91">
        <v>5965.9081092841734</v>
      </c>
      <c r="H91" s="1">
        <v>45716.333333333336</v>
      </c>
    </row>
    <row r="92" spans="1:8" x14ac:dyDescent="0.25">
      <c r="A92" s="7">
        <f>DATE(YEAR(m5_crossvalid[[#This Row],[cutoff]]),MONTH(m5_crossvalid[[#This Row],[cutoff]]),DAY(m5_crossvalid[[#This Row],[cutoff]]))</f>
        <v>45716</v>
      </c>
      <c r="B92" s="7">
        <f>DATE(YEAR(m5_crossvalid[[#This Row],[ds]]),MONTH(m5_crossvalid[[#This Row],[ds]]),DAY(m5_crossvalid[[#This Row],[ds]]))</f>
        <v>45745</v>
      </c>
      <c r="C92">
        <v>3249</v>
      </c>
      <c r="D92" s="1">
        <v>45745.333333333336</v>
      </c>
      <c r="E92">
        <v>2855.3140320541415</v>
      </c>
      <c r="F92">
        <v>1527.9921321142524</v>
      </c>
      <c r="G92">
        <v>4276.5568282029753</v>
      </c>
      <c r="H92" s="1">
        <v>45716.333333333336</v>
      </c>
    </row>
    <row r="93" spans="1:8" x14ac:dyDescent="0.25">
      <c r="A93" s="7">
        <f>DATE(YEAR(m5_crossvalid[[#This Row],[cutoff]]),MONTH(m5_crossvalid[[#This Row],[cutoff]]),DAY(m5_crossvalid[[#This Row],[cutoff]]))</f>
        <v>45716</v>
      </c>
      <c r="B93" s="7">
        <f>DATE(YEAR(m5_crossvalid[[#This Row],[ds]]),MONTH(m5_crossvalid[[#This Row],[ds]]),DAY(m5_crossvalid[[#This Row],[ds]]))</f>
        <v>45746</v>
      </c>
      <c r="C93">
        <v>198</v>
      </c>
      <c r="D93" s="1">
        <v>45746.333333333336</v>
      </c>
      <c r="E93">
        <v>5116.1999470223291</v>
      </c>
      <c r="F93">
        <v>3641.1100417962966</v>
      </c>
      <c r="G93">
        <v>6592.7351133510092</v>
      </c>
      <c r="H93" s="1">
        <v>45716.333333333336</v>
      </c>
    </row>
    <row r="94" spans="1:8" x14ac:dyDescent="0.25">
      <c r="A94" s="7">
        <f>DATE(YEAR(m5_crossvalid[[#This Row],[cutoff]]),MONTH(m5_crossvalid[[#This Row],[cutoff]]),DAY(m5_crossvalid[[#This Row],[cutoff]]))</f>
        <v>45716</v>
      </c>
      <c r="B94" s="7">
        <f>DATE(YEAR(m5_crossvalid[[#This Row],[ds]]),MONTH(m5_crossvalid[[#This Row],[ds]]),DAY(m5_crossvalid[[#This Row],[ds]]))</f>
        <v>45747</v>
      </c>
      <c r="C94">
        <v>53</v>
      </c>
      <c r="D94" s="1">
        <v>45747.333333333336</v>
      </c>
      <c r="E94">
        <v>8028.1246211774933</v>
      </c>
      <c r="F94">
        <v>6593.1855404110001</v>
      </c>
      <c r="G94">
        <v>9454.7677041284533</v>
      </c>
      <c r="H94" s="1">
        <v>45716.333333333336</v>
      </c>
    </row>
    <row r="95" spans="1:8" x14ac:dyDescent="0.25">
      <c r="A95" s="7">
        <f>DATE(YEAR(m5_crossvalid[[#This Row],[cutoff]]),MONTH(m5_crossvalid[[#This Row],[cutoff]]),DAY(m5_crossvalid[[#This Row],[cutoff]]))</f>
        <v>45747</v>
      </c>
      <c r="B95" s="7">
        <f>DATE(YEAR(m5_crossvalid[[#This Row],[ds]]),MONTH(m5_crossvalid[[#This Row],[ds]]),DAY(m5_crossvalid[[#This Row],[ds]]))</f>
        <v>45748</v>
      </c>
      <c r="C95">
        <v>2</v>
      </c>
      <c r="D95" s="1">
        <v>45748.333333333336</v>
      </c>
      <c r="E95">
        <v>-413.39548974579566</v>
      </c>
      <c r="F95">
        <v>-1872.6896292091933</v>
      </c>
      <c r="G95">
        <v>1145.6759719108752</v>
      </c>
      <c r="H95" s="1">
        <v>45747.333333333336</v>
      </c>
    </row>
    <row r="96" spans="1:8" x14ac:dyDescent="0.25">
      <c r="A96" s="7">
        <f>DATE(YEAR(m5_crossvalid[[#This Row],[cutoff]]),MONTH(m5_crossvalid[[#This Row],[cutoff]]),DAY(m5_crossvalid[[#This Row],[cutoff]]))</f>
        <v>45747</v>
      </c>
      <c r="B96" s="7">
        <f>DATE(YEAR(m5_crossvalid[[#This Row],[ds]]),MONTH(m5_crossvalid[[#This Row],[ds]]),DAY(m5_crossvalid[[#This Row],[ds]]))</f>
        <v>45749</v>
      </c>
      <c r="C96">
        <v>105</v>
      </c>
      <c r="D96" s="1">
        <v>45749.333333333336</v>
      </c>
      <c r="E96">
        <v>1551.8247841238999</v>
      </c>
      <c r="F96">
        <v>111.19999018968971</v>
      </c>
      <c r="G96">
        <v>2972.2312167738824</v>
      </c>
      <c r="H96" s="1">
        <v>45747.333333333336</v>
      </c>
    </row>
    <row r="97" spans="1:8" x14ac:dyDescent="0.25">
      <c r="A97" s="7">
        <f>DATE(YEAR(m5_crossvalid[[#This Row],[cutoff]]),MONTH(m5_crossvalid[[#This Row],[cutoff]]),DAY(m5_crossvalid[[#This Row],[cutoff]]))</f>
        <v>45747</v>
      </c>
      <c r="B97" s="7">
        <f>DATE(YEAR(m5_crossvalid[[#This Row],[ds]]),MONTH(m5_crossvalid[[#This Row],[ds]]),DAY(m5_crossvalid[[#This Row],[ds]]))</f>
        <v>45750</v>
      </c>
      <c r="C97">
        <v>284</v>
      </c>
      <c r="D97" s="1">
        <v>45750.333333333336</v>
      </c>
      <c r="E97">
        <v>424.90912520000188</v>
      </c>
      <c r="F97">
        <v>-1147.0999224417812</v>
      </c>
      <c r="G97">
        <v>1865.6125549348044</v>
      </c>
      <c r="H97" s="1">
        <v>45747.333333333336</v>
      </c>
    </row>
    <row r="98" spans="1:8" x14ac:dyDescent="0.25">
      <c r="A98" s="7">
        <f>DATE(YEAR(m5_crossvalid[[#This Row],[cutoff]]),MONTH(m5_crossvalid[[#This Row],[cutoff]]),DAY(m5_crossvalid[[#This Row],[cutoff]]))</f>
        <v>45747</v>
      </c>
      <c r="B98" s="7">
        <f>DATE(YEAR(m5_crossvalid[[#This Row],[ds]]),MONTH(m5_crossvalid[[#This Row],[ds]]),DAY(m5_crossvalid[[#This Row],[ds]]))</f>
        <v>45751</v>
      </c>
      <c r="C98">
        <v>403</v>
      </c>
      <c r="D98" s="1">
        <v>45751.333333333336</v>
      </c>
      <c r="E98">
        <v>1112.4479691141576</v>
      </c>
      <c r="F98">
        <v>-344.73113961421006</v>
      </c>
      <c r="G98">
        <v>2528.8293340250284</v>
      </c>
      <c r="H98" s="1">
        <v>45747.333333333336</v>
      </c>
    </row>
    <row r="99" spans="1:8" x14ac:dyDescent="0.25">
      <c r="A99" s="7">
        <f>DATE(YEAR(m5_crossvalid[[#This Row],[cutoff]]),MONTH(m5_crossvalid[[#This Row],[cutoff]]),DAY(m5_crossvalid[[#This Row],[cutoff]]))</f>
        <v>45747</v>
      </c>
      <c r="B99" s="7">
        <f>DATE(YEAR(m5_crossvalid[[#This Row],[ds]]),MONTH(m5_crossvalid[[#This Row],[ds]]),DAY(m5_crossvalid[[#This Row],[ds]]))</f>
        <v>45752</v>
      </c>
      <c r="C99">
        <v>47</v>
      </c>
      <c r="D99" s="1">
        <v>45752.333333333336</v>
      </c>
      <c r="E99">
        <v>-551.91784774882763</v>
      </c>
      <c r="F99">
        <v>-2117.1833031112105</v>
      </c>
      <c r="G99">
        <v>842.75503014394496</v>
      </c>
      <c r="H99" s="1">
        <v>45747.333333333336</v>
      </c>
    </row>
    <row r="100" spans="1:8" x14ac:dyDescent="0.25">
      <c r="A100" s="7">
        <f>DATE(YEAR(m5_crossvalid[[#This Row],[cutoff]]),MONTH(m5_crossvalid[[#This Row],[cutoff]]),DAY(m5_crossvalid[[#This Row],[cutoff]]))</f>
        <v>45747</v>
      </c>
      <c r="B100" s="7">
        <f>DATE(YEAR(m5_crossvalid[[#This Row],[ds]]),MONTH(m5_crossvalid[[#This Row],[ds]]),DAY(m5_crossvalid[[#This Row],[ds]]))</f>
        <v>45753</v>
      </c>
      <c r="C100">
        <v>11</v>
      </c>
      <c r="D100" s="1">
        <v>45753.333333333336</v>
      </c>
      <c r="E100">
        <v>-1416.5353104239521</v>
      </c>
      <c r="F100">
        <v>-2829.9667125044816</v>
      </c>
      <c r="G100">
        <v>28.409822155002491</v>
      </c>
      <c r="H100" s="1">
        <v>45747.333333333336</v>
      </c>
    </row>
    <row r="101" spans="1:8" x14ac:dyDescent="0.25">
      <c r="A101" s="7">
        <f>DATE(YEAR(m5_crossvalid[[#This Row],[cutoff]]),MONTH(m5_crossvalid[[#This Row],[cutoff]]),DAY(m5_crossvalid[[#This Row],[cutoff]]))</f>
        <v>45747</v>
      </c>
      <c r="B101" s="7">
        <f>DATE(YEAR(m5_crossvalid[[#This Row],[ds]]),MONTH(m5_crossvalid[[#This Row],[ds]]),DAY(m5_crossvalid[[#This Row],[ds]]))</f>
        <v>45754</v>
      </c>
      <c r="C101">
        <v>477</v>
      </c>
      <c r="D101" s="1">
        <v>45754.333333333336</v>
      </c>
      <c r="E101">
        <v>-693.83827650022567</v>
      </c>
      <c r="F101">
        <v>-2214.1785516780742</v>
      </c>
      <c r="G101">
        <v>771.17417722523749</v>
      </c>
      <c r="H101" s="1">
        <v>45747.333333333336</v>
      </c>
    </row>
    <row r="102" spans="1:8" x14ac:dyDescent="0.25">
      <c r="A102" s="7">
        <f>DATE(YEAR(m5_crossvalid[[#This Row],[cutoff]]),MONTH(m5_crossvalid[[#This Row],[cutoff]]),DAY(m5_crossvalid[[#This Row],[cutoff]]))</f>
        <v>45747</v>
      </c>
      <c r="B102" s="7">
        <f>DATE(YEAR(m5_crossvalid[[#This Row],[ds]]),MONTH(m5_crossvalid[[#This Row],[ds]]),DAY(m5_crossvalid[[#This Row],[ds]]))</f>
        <v>45755</v>
      </c>
      <c r="C102">
        <v>775</v>
      </c>
      <c r="D102" s="1">
        <v>45755.333333333336</v>
      </c>
      <c r="E102">
        <v>1087.4271037775841</v>
      </c>
      <c r="F102">
        <v>-280.26275982121717</v>
      </c>
      <c r="G102">
        <v>2565.2042196634538</v>
      </c>
      <c r="H102" s="1">
        <v>45747.333333333336</v>
      </c>
    </row>
    <row r="103" spans="1:8" x14ac:dyDescent="0.25">
      <c r="A103" s="7">
        <f>DATE(YEAR(m5_crossvalid[[#This Row],[cutoff]]),MONTH(m5_crossvalid[[#This Row],[cutoff]]),DAY(m5_crossvalid[[#This Row],[cutoff]]))</f>
        <v>45747</v>
      </c>
      <c r="B103" s="7">
        <f>DATE(YEAR(m5_crossvalid[[#This Row],[ds]]),MONTH(m5_crossvalid[[#This Row],[ds]]),DAY(m5_crossvalid[[#This Row],[ds]]))</f>
        <v>45756</v>
      </c>
      <c r="C103">
        <v>1016</v>
      </c>
      <c r="D103" s="1">
        <v>45756.333333333336</v>
      </c>
      <c r="E103">
        <v>2454.3744454948301</v>
      </c>
      <c r="F103">
        <v>976.38063213587338</v>
      </c>
      <c r="G103">
        <v>3900.6749663587971</v>
      </c>
      <c r="H103" s="1">
        <v>45747.333333333336</v>
      </c>
    </row>
    <row r="104" spans="1:8" x14ac:dyDescent="0.25">
      <c r="A104" s="7">
        <f>DATE(YEAR(m5_crossvalid[[#This Row],[cutoff]]),MONTH(m5_crossvalid[[#This Row],[cutoff]]),DAY(m5_crossvalid[[#This Row],[cutoff]]))</f>
        <v>45747</v>
      </c>
      <c r="B104" s="7">
        <f>DATE(YEAR(m5_crossvalid[[#This Row],[ds]]),MONTH(m5_crossvalid[[#This Row],[ds]]),DAY(m5_crossvalid[[#This Row],[ds]]))</f>
        <v>45757</v>
      </c>
      <c r="C104">
        <v>1422</v>
      </c>
      <c r="D104" s="1">
        <v>45757.333333333336</v>
      </c>
      <c r="E104">
        <v>2380.1963910808022</v>
      </c>
      <c r="F104">
        <v>878.27106155255694</v>
      </c>
      <c r="G104">
        <v>3958.5018515253978</v>
      </c>
      <c r="H104" s="1">
        <v>45747.333333333336</v>
      </c>
    </row>
    <row r="105" spans="1:8" x14ac:dyDescent="0.25">
      <c r="A105" s="7">
        <f>DATE(YEAR(m5_crossvalid[[#This Row],[cutoff]]),MONTH(m5_crossvalid[[#This Row],[cutoff]]),DAY(m5_crossvalid[[#This Row],[cutoff]]))</f>
        <v>45747</v>
      </c>
      <c r="B105" s="7">
        <f>DATE(YEAR(m5_crossvalid[[#This Row],[ds]]),MONTH(m5_crossvalid[[#This Row],[ds]]),DAY(m5_crossvalid[[#This Row],[ds]]))</f>
        <v>45758</v>
      </c>
      <c r="C105">
        <v>1565</v>
      </c>
      <c r="D105" s="1">
        <v>45758.333333333336</v>
      </c>
      <c r="E105">
        <v>2384.6326301602708</v>
      </c>
      <c r="F105">
        <v>884.55470974319826</v>
      </c>
      <c r="G105">
        <v>3865.2980784180927</v>
      </c>
      <c r="H105" s="1">
        <v>45747.333333333336</v>
      </c>
    </row>
    <row r="106" spans="1:8" x14ac:dyDescent="0.25">
      <c r="A106" s="7">
        <f>DATE(YEAR(m5_crossvalid[[#This Row],[cutoff]]),MONTH(m5_crossvalid[[#This Row],[cutoff]]),DAY(m5_crossvalid[[#This Row],[cutoff]]))</f>
        <v>45747</v>
      </c>
      <c r="B106" s="7">
        <f>DATE(YEAR(m5_crossvalid[[#This Row],[ds]]),MONTH(m5_crossvalid[[#This Row],[ds]]),DAY(m5_crossvalid[[#This Row],[ds]]))</f>
        <v>45759</v>
      </c>
      <c r="C106">
        <v>276</v>
      </c>
      <c r="D106" s="1">
        <v>45759.333333333336</v>
      </c>
      <c r="E106">
        <v>249.35848615515943</v>
      </c>
      <c r="F106">
        <v>-1230.6564129648882</v>
      </c>
      <c r="G106">
        <v>1681.1126593554366</v>
      </c>
      <c r="H106" s="1">
        <v>45747.333333333336</v>
      </c>
    </row>
    <row r="107" spans="1:8" x14ac:dyDescent="0.25">
      <c r="A107" s="7">
        <f>DATE(YEAR(m5_crossvalid[[#This Row],[cutoff]]),MONTH(m5_crossvalid[[#This Row],[cutoff]]),DAY(m5_crossvalid[[#This Row],[cutoff]]))</f>
        <v>45747</v>
      </c>
      <c r="B107" s="7">
        <f>DATE(YEAR(m5_crossvalid[[#This Row],[ds]]),MONTH(m5_crossvalid[[#This Row],[ds]]),DAY(m5_crossvalid[[#This Row],[ds]]))</f>
        <v>45760</v>
      </c>
      <c r="C107">
        <v>55</v>
      </c>
      <c r="D107" s="1">
        <v>45760.333333333336</v>
      </c>
      <c r="E107">
        <v>-200.96349804316833</v>
      </c>
      <c r="F107">
        <v>-1705.1744951007861</v>
      </c>
      <c r="G107">
        <v>1325.2788575259704</v>
      </c>
      <c r="H107" s="1">
        <v>45747.333333333336</v>
      </c>
    </row>
    <row r="108" spans="1:8" x14ac:dyDescent="0.25">
      <c r="A108" s="7">
        <f>DATE(YEAR(m5_crossvalid[[#This Row],[cutoff]]),MONTH(m5_crossvalid[[#This Row],[cutoff]]),DAY(m5_crossvalid[[#This Row],[cutoff]]))</f>
        <v>45747</v>
      </c>
      <c r="B108" s="7">
        <f>DATE(YEAR(m5_crossvalid[[#This Row],[ds]]),MONTH(m5_crossvalid[[#This Row],[ds]]),DAY(m5_crossvalid[[#This Row],[ds]]))</f>
        <v>45761</v>
      </c>
      <c r="C108">
        <v>1634</v>
      </c>
      <c r="D108" s="1">
        <v>45761.333333333336</v>
      </c>
      <c r="E108">
        <v>2315.253139808844</v>
      </c>
      <c r="F108">
        <v>817.61866987152973</v>
      </c>
      <c r="G108">
        <v>3635.2746917727059</v>
      </c>
      <c r="H108" s="1">
        <v>45747.333333333336</v>
      </c>
    </row>
    <row r="109" spans="1:8" x14ac:dyDescent="0.25">
      <c r="A109" s="7">
        <f>DATE(YEAR(m5_crossvalid[[#This Row],[cutoff]]),MONTH(m5_crossvalid[[#This Row],[cutoff]]),DAY(m5_crossvalid[[#This Row],[cutoff]]))</f>
        <v>45747</v>
      </c>
      <c r="B109" s="7">
        <f>DATE(YEAR(m5_crossvalid[[#This Row],[ds]]),MONTH(m5_crossvalid[[#This Row],[ds]]),DAY(m5_crossvalid[[#This Row],[ds]]))</f>
        <v>45762</v>
      </c>
      <c r="C109">
        <v>1965</v>
      </c>
      <c r="D109" s="1">
        <v>45762.333333333336</v>
      </c>
      <c r="E109">
        <v>2708.6872221177105</v>
      </c>
      <c r="F109">
        <v>1236.0670802391446</v>
      </c>
      <c r="G109">
        <v>4194.1653534292554</v>
      </c>
      <c r="H109" s="1">
        <v>45747.333333333336</v>
      </c>
    </row>
    <row r="110" spans="1:8" x14ac:dyDescent="0.25">
      <c r="A110" s="7">
        <f>DATE(YEAR(m5_crossvalid[[#This Row],[cutoff]]),MONTH(m5_crossvalid[[#This Row],[cutoff]]),DAY(m5_crossvalid[[#This Row],[cutoff]]))</f>
        <v>45747</v>
      </c>
      <c r="B110" s="7">
        <f>DATE(YEAR(m5_crossvalid[[#This Row],[ds]]),MONTH(m5_crossvalid[[#This Row],[ds]]),DAY(m5_crossvalid[[#This Row],[ds]]))</f>
        <v>45763</v>
      </c>
      <c r="C110">
        <v>2361</v>
      </c>
      <c r="D110" s="1">
        <v>45763.333333333336</v>
      </c>
      <c r="E110">
        <v>2893.3304713051821</v>
      </c>
      <c r="F110">
        <v>1351.6410196906697</v>
      </c>
      <c r="G110">
        <v>4341.3635619252791</v>
      </c>
      <c r="H110" s="1">
        <v>45747.333333333336</v>
      </c>
    </row>
    <row r="111" spans="1:8" x14ac:dyDescent="0.25">
      <c r="A111" s="7">
        <f>DATE(YEAR(m5_crossvalid[[#This Row],[cutoff]]),MONTH(m5_crossvalid[[#This Row],[cutoff]]),DAY(m5_crossvalid[[#This Row],[cutoff]]))</f>
        <v>45747</v>
      </c>
      <c r="B111" s="7">
        <f>DATE(YEAR(m5_crossvalid[[#This Row],[ds]]),MONTH(m5_crossvalid[[#This Row],[ds]]),DAY(m5_crossvalid[[#This Row],[ds]]))</f>
        <v>45764</v>
      </c>
      <c r="C111">
        <v>2761</v>
      </c>
      <c r="D111" s="1">
        <v>45764.333333333336</v>
      </c>
      <c r="E111">
        <v>3065.4762654277142</v>
      </c>
      <c r="F111">
        <v>1574.1921039137869</v>
      </c>
      <c r="G111">
        <v>4518.2645979836125</v>
      </c>
      <c r="H111" s="1">
        <v>45747.333333333336</v>
      </c>
    </row>
    <row r="112" spans="1:8" x14ac:dyDescent="0.25">
      <c r="A112" s="7">
        <f>DATE(YEAR(m5_crossvalid[[#This Row],[cutoff]]),MONTH(m5_crossvalid[[#This Row],[cutoff]]),DAY(m5_crossvalid[[#This Row],[cutoff]]))</f>
        <v>45747</v>
      </c>
      <c r="B112" s="7">
        <f>DATE(YEAR(m5_crossvalid[[#This Row],[ds]]),MONTH(m5_crossvalid[[#This Row],[ds]]),DAY(m5_crossvalid[[#This Row],[ds]]))</f>
        <v>45765</v>
      </c>
      <c r="C112">
        <v>2721</v>
      </c>
      <c r="D112" s="1">
        <v>45765.333333333336</v>
      </c>
      <c r="E112">
        <v>3120.5137826199598</v>
      </c>
      <c r="F112">
        <v>1629.3442554618675</v>
      </c>
      <c r="G112">
        <v>4696.7720215749914</v>
      </c>
      <c r="H112" s="1">
        <v>45747.333333333336</v>
      </c>
    </row>
    <row r="113" spans="1:8" x14ac:dyDescent="0.25">
      <c r="A113" s="7">
        <f>DATE(YEAR(m5_crossvalid[[#This Row],[cutoff]]),MONTH(m5_crossvalid[[#This Row],[cutoff]]),DAY(m5_crossvalid[[#This Row],[cutoff]]))</f>
        <v>45747</v>
      </c>
      <c r="B113" s="7">
        <f>DATE(YEAR(m5_crossvalid[[#This Row],[ds]]),MONTH(m5_crossvalid[[#This Row],[ds]]),DAY(m5_crossvalid[[#This Row],[ds]]))</f>
        <v>45766</v>
      </c>
      <c r="C113">
        <v>420</v>
      </c>
      <c r="D113" s="1">
        <v>45766.333333333336</v>
      </c>
      <c r="E113">
        <v>894.42501051761269</v>
      </c>
      <c r="F113">
        <v>-552.86584648614644</v>
      </c>
      <c r="G113">
        <v>2346.1270439313107</v>
      </c>
      <c r="H113" s="1">
        <v>45747.333333333336</v>
      </c>
    </row>
    <row r="114" spans="1:8" x14ac:dyDescent="0.25">
      <c r="A114" s="7">
        <f>DATE(YEAR(m5_crossvalid[[#This Row],[cutoff]]),MONTH(m5_crossvalid[[#This Row],[cutoff]]),DAY(m5_crossvalid[[#This Row],[cutoff]]))</f>
        <v>45747</v>
      </c>
      <c r="B114" s="7">
        <f>DATE(YEAR(m5_crossvalid[[#This Row],[ds]]),MONTH(m5_crossvalid[[#This Row],[ds]]),DAY(m5_crossvalid[[#This Row],[ds]]))</f>
        <v>45767</v>
      </c>
      <c r="C114">
        <v>166</v>
      </c>
      <c r="D114" s="1">
        <v>45767.333333333336</v>
      </c>
      <c r="E114">
        <v>365.70800583405571</v>
      </c>
      <c r="F114">
        <v>-1048.554529818766</v>
      </c>
      <c r="G114">
        <v>1819.0513976867148</v>
      </c>
      <c r="H114" s="1">
        <v>45747.333333333336</v>
      </c>
    </row>
    <row r="115" spans="1:8" x14ac:dyDescent="0.25">
      <c r="A115" s="7">
        <f>DATE(YEAR(m5_crossvalid[[#This Row],[cutoff]]),MONTH(m5_crossvalid[[#This Row],[cutoff]]),DAY(m5_crossvalid[[#This Row],[cutoff]]))</f>
        <v>45747</v>
      </c>
      <c r="B115" s="7">
        <f>DATE(YEAR(m5_crossvalid[[#This Row],[ds]]),MONTH(m5_crossvalid[[#This Row],[ds]]),DAY(m5_crossvalid[[#This Row],[ds]]))</f>
        <v>45768</v>
      </c>
      <c r="C115">
        <v>2715</v>
      </c>
      <c r="D115" s="1">
        <v>45768.333333333336</v>
      </c>
      <c r="E115">
        <v>2913.1246484754656</v>
      </c>
      <c r="F115">
        <v>1455.3700653956816</v>
      </c>
      <c r="G115">
        <v>4366.0109457445442</v>
      </c>
      <c r="H115" s="1">
        <v>45747.333333333336</v>
      </c>
    </row>
    <row r="116" spans="1:8" x14ac:dyDescent="0.25">
      <c r="A116" s="7">
        <f>DATE(YEAR(m5_crossvalid[[#This Row],[cutoff]]),MONTH(m5_crossvalid[[#This Row],[cutoff]]),DAY(m5_crossvalid[[#This Row],[cutoff]]))</f>
        <v>45747</v>
      </c>
      <c r="B116" s="7">
        <f>DATE(YEAR(m5_crossvalid[[#This Row],[ds]]),MONTH(m5_crossvalid[[#This Row],[ds]]),DAY(m5_crossvalid[[#This Row],[ds]]))</f>
        <v>45769</v>
      </c>
      <c r="C116">
        <v>3162</v>
      </c>
      <c r="D116" s="1">
        <v>45769.333333333336</v>
      </c>
      <c r="E116">
        <v>3396.1276382152214</v>
      </c>
      <c r="F116">
        <v>1972.3753681245425</v>
      </c>
      <c r="G116">
        <v>4948.1320629114844</v>
      </c>
      <c r="H116" s="1">
        <v>45747.333333333336</v>
      </c>
    </row>
    <row r="117" spans="1:8" x14ac:dyDescent="0.25">
      <c r="A117" s="7">
        <f>DATE(YEAR(m5_crossvalid[[#This Row],[cutoff]]),MONTH(m5_crossvalid[[#This Row],[cutoff]]),DAY(m5_crossvalid[[#This Row],[cutoff]]))</f>
        <v>45747</v>
      </c>
      <c r="B117" s="7">
        <f>DATE(YEAR(m5_crossvalid[[#This Row],[ds]]),MONTH(m5_crossvalid[[#This Row],[ds]]),DAY(m5_crossvalid[[#This Row],[ds]]))</f>
        <v>45770</v>
      </c>
      <c r="C117">
        <v>3604</v>
      </c>
      <c r="D117" s="1">
        <v>45770.333333333336</v>
      </c>
      <c r="E117">
        <v>3589.950489716286</v>
      </c>
      <c r="F117">
        <v>2110.8791253266336</v>
      </c>
      <c r="G117">
        <v>5142.3751932335681</v>
      </c>
      <c r="H117" s="1">
        <v>45747.333333333336</v>
      </c>
    </row>
    <row r="118" spans="1:8" x14ac:dyDescent="0.25">
      <c r="A118" s="7">
        <f>DATE(YEAR(m5_crossvalid[[#This Row],[cutoff]]),MONTH(m5_crossvalid[[#This Row],[cutoff]]),DAY(m5_crossvalid[[#This Row],[cutoff]]))</f>
        <v>45747</v>
      </c>
      <c r="B118" s="7">
        <f>DATE(YEAR(m5_crossvalid[[#This Row],[ds]]),MONTH(m5_crossvalid[[#This Row],[ds]]),DAY(m5_crossvalid[[#This Row],[ds]]))</f>
        <v>45771</v>
      </c>
      <c r="C118">
        <v>3831</v>
      </c>
      <c r="D118" s="1">
        <v>45771.333333333336</v>
      </c>
      <c r="E118">
        <v>4433.2945758836722</v>
      </c>
      <c r="F118">
        <v>3036.8053671870434</v>
      </c>
      <c r="G118">
        <v>5878.0189988489392</v>
      </c>
      <c r="H118" s="1">
        <v>45747.333333333336</v>
      </c>
    </row>
    <row r="119" spans="1:8" x14ac:dyDescent="0.25">
      <c r="A119" s="7">
        <f>DATE(YEAR(m5_crossvalid[[#This Row],[cutoff]]),MONTH(m5_crossvalid[[#This Row],[cutoff]]),DAY(m5_crossvalid[[#This Row],[cutoff]]))</f>
        <v>45747</v>
      </c>
      <c r="B119" s="7">
        <f>DATE(YEAR(m5_crossvalid[[#This Row],[ds]]),MONTH(m5_crossvalid[[#This Row],[ds]]),DAY(m5_crossvalid[[#This Row],[ds]]))</f>
        <v>45772</v>
      </c>
      <c r="C119">
        <v>4600</v>
      </c>
      <c r="D119" s="1">
        <v>45772.333333333336</v>
      </c>
      <c r="E119">
        <v>4278.8744303510975</v>
      </c>
      <c r="F119">
        <v>2762.3825821495529</v>
      </c>
      <c r="G119">
        <v>5740.8120287126758</v>
      </c>
      <c r="H119" s="1">
        <v>45747.333333333336</v>
      </c>
    </row>
    <row r="120" spans="1:8" x14ac:dyDescent="0.25">
      <c r="A120" s="7">
        <f>DATE(YEAR(m5_crossvalid[[#This Row],[cutoff]]),MONTH(m5_crossvalid[[#This Row],[cutoff]]),DAY(m5_crossvalid[[#This Row],[cutoff]]))</f>
        <v>45747</v>
      </c>
      <c r="B120" s="7">
        <f>DATE(YEAR(m5_crossvalid[[#This Row],[ds]]),MONTH(m5_crossvalid[[#This Row],[ds]]),DAY(m5_crossvalid[[#This Row],[ds]]))</f>
        <v>45773</v>
      </c>
      <c r="C120">
        <v>1014</v>
      </c>
      <c r="D120" s="1">
        <v>45773.333333333336</v>
      </c>
      <c r="E120">
        <v>1966.2169221518805</v>
      </c>
      <c r="F120">
        <v>599.73499517238963</v>
      </c>
      <c r="G120">
        <v>3514.6363740948282</v>
      </c>
      <c r="H120" s="1">
        <v>45747.333333333336</v>
      </c>
    </row>
    <row r="121" spans="1:8" x14ac:dyDescent="0.25">
      <c r="A121" s="7">
        <f>DATE(YEAR(m5_crossvalid[[#This Row],[cutoff]]),MONTH(m5_crossvalid[[#This Row],[cutoff]]),DAY(m5_crossvalid[[#This Row],[cutoff]]))</f>
        <v>45747</v>
      </c>
      <c r="B121" s="7">
        <f>DATE(YEAR(m5_crossvalid[[#This Row],[ds]]),MONTH(m5_crossvalid[[#This Row],[ds]]),DAY(m5_crossvalid[[#This Row],[ds]]))</f>
        <v>45774</v>
      </c>
      <c r="C121">
        <v>198</v>
      </c>
      <c r="D121" s="1">
        <v>45774.333333333336</v>
      </c>
      <c r="E121">
        <v>1594.7041122555343</v>
      </c>
      <c r="F121">
        <v>61.703803625082941</v>
      </c>
      <c r="G121">
        <v>3082.3946248462435</v>
      </c>
      <c r="H121" s="1">
        <v>45747.333333333336</v>
      </c>
    </row>
    <row r="122" spans="1:8" x14ac:dyDescent="0.25">
      <c r="A122" s="7">
        <f>DATE(YEAR(m5_crossvalid[[#This Row],[cutoff]]),MONTH(m5_crossvalid[[#This Row],[cutoff]]),DAY(m5_crossvalid[[#This Row],[cutoff]]))</f>
        <v>45747</v>
      </c>
      <c r="B122" s="7">
        <f>DATE(YEAR(m5_crossvalid[[#This Row],[ds]]),MONTH(m5_crossvalid[[#This Row],[ds]]),DAY(m5_crossvalid[[#This Row],[ds]]))</f>
        <v>45775</v>
      </c>
      <c r="C122">
        <v>5133</v>
      </c>
      <c r="D122" s="1">
        <v>45775.333333333336</v>
      </c>
      <c r="E122">
        <v>4472.8607564137337</v>
      </c>
      <c r="F122">
        <v>2917.5288116678771</v>
      </c>
      <c r="G122">
        <v>5971.3538188320099</v>
      </c>
      <c r="H122" s="1">
        <v>45747.333333333336</v>
      </c>
    </row>
    <row r="123" spans="1:8" x14ac:dyDescent="0.25">
      <c r="A123" s="7">
        <f>DATE(YEAR(m5_crossvalid[[#This Row],[cutoff]]),MONTH(m5_crossvalid[[#This Row],[cutoff]]),DAY(m5_crossvalid[[#This Row],[cutoff]]))</f>
        <v>45747</v>
      </c>
      <c r="B123" s="7">
        <f>DATE(YEAR(m5_crossvalid[[#This Row],[ds]]),MONTH(m5_crossvalid[[#This Row],[ds]]),DAY(m5_crossvalid[[#This Row],[ds]]))</f>
        <v>45776</v>
      </c>
      <c r="C123">
        <v>7913</v>
      </c>
      <c r="D123" s="1">
        <v>45776.333333333336</v>
      </c>
      <c r="E123">
        <v>7388.4031568153359</v>
      </c>
      <c r="F123">
        <v>5821.6566443135689</v>
      </c>
      <c r="G123">
        <v>8730.118747557568</v>
      </c>
      <c r="H123" s="1">
        <v>45747.333333333336</v>
      </c>
    </row>
    <row r="124" spans="1:8" x14ac:dyDescent="0.25">
      <c r="A124" s="7">
        <f>DATE(YEAR(m5_crossvalid[[#This Row],[cutoff]]),MONTH(m5_crossvalid[[#This Row],[cutoff]]),DAY(m5_crossvalid[[#This Row],[cutoff]]))</f>
        <v>45747</v>
      </c>
      <c r="B124" s="7">
        <f>DATE(YEAR(m5_crossvalid[[#This Row],[ds]]),MONTH(m5_crossvalid[[#This Row],[ds]]),DAY(m5_crossvalid[[#This Row],[ds]]))</f>
        <v>45777</v>
      </c>
      <c r="C124">
        <v>14564</v>
      </c>
      <c r="D124" s="1">
        <v>45777.333333333336</v>
      </c>
      <c r="E124">
        <v>9783.4109909747003</v>
      </c>
      <c r="F124">
        <v>8415.9941957284245</v>
      </c>
      <c r="G124">
        <v>11242.980804304194</v>
      </c>
      <c r="H124" s="1">
        <v>45747.333333333336</v>
      </c>
    </row>
    <row r="125" spans="1:8" x14ac:dyDescent="0.25">
      <c r="A125" s="7">
        <f>DATE(YEAR(m5_crossvalid[[#This Row],[cutoff]]),MONTH(m5_crossvalid[[#This Row],[cutoff]]),DAY(m5_crossvalid[[#This Row],[cutoff]]))</f>
        <v>45747</v>
      </c>
      <c r="B125" s="7">
        <f>DATE(YEAR(m5_crossvalid[[#This Row],[ds]]),MONTH(m5_crossvalid[[#This Row],[ds]]),DAY(m5_crossvalid[[#This Row],[ds]]))</f>
        <v>45778</v>
      </c>
      <c r="C125">
        <v>24</v>
      </c>
      <c r="D125" s="1">
        <v>45778.333333333336</v>
      </c>
      <c r="E125">
        <v>1716.7746467620802</v>
      </c>
      <c r="F125">
        <v>184.03563055658395</v>
      </c>
      <c r="G125">
        <v>3289.0940970103552</v>
      </c>
      <c r="H125" s="1">
        <v>45747.333333333336</v>
      </c>
    </row>
    <row r="126" spans="1:8" x14ac:dyDescent="0.25">
      <c r="A126" s="7">
        <f>DATE(YEAR(m5_crossvalid[[#This Row],[cutoff]]),MONTH(m5_crossvalid[[#This Row],[cutoff]]),DAY(m5_crossvalid[[#This Row],[cutoff]]))</f>
        <v>45777</v>
      </c>
      <c r="B126" s="7">
        <f>DATE(YEAR(m5_crossvalid[[#This Row],[ds]]),MONTH(m5_crossvalid[[#This Row],[ds]]),DAY(m5_crossvalid[[#This Row],[ds]]))</f>
        <v>45778</v>
      </c>
      <c r="C126">
        <v>24</v>
      </c>
      <c r="D126" s="1">
        <v>45778.333333333336</v>
      </c>
      <c r="E126">
        <v>1861.484724891297</v>
      </c>
      <c r="F126">
        <v>584.48080338472107</v>
      </c>
      <c r="G126">
        <v>3284.7302391415333</v>
      </c>
      <c r="H126" s="1">
        <v>45777.333333333336</v>
      </c>
    </row>
    <row r="127" spans="1:8" x14ac:dyDescent="0.25">
      <c r="A127" s="7">
        <f>DATE(YEAR(m5_crossvalid[[#This Row],[cutoff]]),MONTH(m5_crossvalid[[#This Row],[cutoff]]),DAY(m5_crossvalid[[#This Row],[cutoff]]))</f>
        <v>45777</v>
      </c>
      <c r="B127" s="7">
        <f>DATE(YEAR(m5_crossvalid[[#This Row],[ds]]),MONTH(m5_crossvalid[[#This Row],[ds]]),DAY(m5_crossvalid[[#This Row],[ds]]))</f>
        <v>45779</v>
      </c>
      <c r="C127">
        <v>750</v>
      </c>
      <c r="D127" s="1">
        <v>45779.333333333336</v>
      </c>
      <c r="E127">
        <v>2614.1341282257699</v>
      </c>
      <c r="F127">
        <v>1233.7502707186754</v>
      </c>
      <c r="G127">
        <v>4076.7431715698353</v>
      </c>
      <c r="H127" s="1">
        <v>45777.333333333336</v>
      </c>
    </row>
    <row r="128" spans="1:8" x14ac:dyDescent="0.25">
      <c r="A128" s="7">
        <f>DATE(YEAR(m5_crossvalid[[#This Row],[cutoff]]),MONTH(m5_crossvalid[[#This Row],[cutoff]]),DAY(m5_crossvalid[[#This Row],[cutoff]]))</f>
        <v>45777</v>
      </c>
      <c r="B128" s="7">
        <f>DATE(YEAR(m5_crossvalid[[#This Row],[ds]]),MONTH(m5_crossvalid[[#This Row],[ds]]),DAY(m5_crossvalid[[#This Row],[ds]]))</f>
        <v>45780</v>
      </c>
      <c r="C128">
        <v>70</v>
      </c>
      <c r="D128" s="1">
        <v>45780.333333333336</v>
      </c>
      <c r="E128">
        <v>-362.25420582062998</v>
      </c>
      <c r="F128">
        <v>-1755.5832550886414</v>
      </c>
      <c r="G128">
        <v>1043.4920565817401</v>
      </c>
      <c r="H128" s="1">
        <v>45777.333333333336</v>
      </c>
    </row>
    <row r="129" spans="1:8" x14ac:dyDescent="0.25">
      <c r="A129" s="7">
        <f>DATE(YEAR(m5_crossvalid[[#This Row],[cutoff]]),MONTH(m5_crossvalid[[#This Row],[cutoff]]),DAY(m5_crossvalid[[#This Row],[cutoff]]))</f>
        <v>45777</v>
      </c>
      <c r="B129" s="7">
        <f>DATE(YEAR(m5_crossvalid[[#This Row],[ds]]),MONTH(m5_crossvalid[[#This Row],[ds]]),DAY(m5_crossvalid[[#This Row],[ds]]))</f>
        <v>45781</v>
      </c>
      <c r="C129">
        <v>31</v>
      </c>
      <c r="D129" s="1">
        <v>45781.333333333336</v>
      </c>
      <c r="E129">
        <v>-1311.323811969954</v>
      </c>
      <c r="F129">
        <v>-2620.3692311590335</v>
      </c>
      <c r="G129">
        <v>299.15616636811802</v>
      </c>
      <c r="H129" s="1">
        <v>45777.333333333336</v>
      </c>
    </row>
    <row r="130" spans="1:8" x14ac:dyDescent="0.25">
      <c r="A130" s="7">
        <f>DATE(YEAR(m5_crossvalid[[#This Row],[cutoff]]),MONTH(m5_crossvalid[[#This Row],[cutoff]]),DAY(m5_crossvalid[[#This Row],[cutoff]]))</f>
        <v>45777</v>
      </c>
      <c r="B130" s="7">
        <f>DATE(YEAR(m5_crossvalid[[#This Row],[ds]]),MONTH(m5_crossvalid[[#This Row],[ds]]),DAY(m5_crossvalid[[#This Row],[ds]]))</f>
        <v>45782</v>
      </c>
      <c r="C130">
        <v>1026</v>
      </c>
      <c r="D130" s="1">
        <v>45782.333333333336</v>
      </c>
      <c r="E130">
        <v>1164.476865101439</v>
      </c>
      <c r="F130">
        <v>-195.31751887928843</v>
      </c>
      <c r="G130">
        <v>2629.8354818769267</v>
      </c>
      <c r="H130" s="1">
        <v>45777.333333333336</v>
      </c>
    </row>
    <row r="131" spans="1:8" x14ac:dyDescent="0.25">
      <c r="A131" s="7">
        <f>DATE(YEAR(m5_crossvalid[[#This Row],[cutoff]]),MONTH(m5_crossvalid[[#This Row],[cutoff]]),DAY(m5_crossvalid[[#This Row],[cutoff]]))</f>
        <v>45777</v>
      </c>
      <c r="B131" s="7">
        <f>DATE(YEAR(m5_crossvalid[[#This Row],[ds]]),MONTH(m5_crossvalid[[#This Row],[ds]]),DAY(m5_crossvalid[[#This Row],[ds]]))</f>
        <v>45783</v>
      </c>
      <c r="C131">
        <v>940</v>
      </c>
      <c r="D131" s="1">
        <v>45783.333333333336</v>
      </c>
      <c r="E131">
        <v>1656.6778668140773</v>
      </c>
      <c r="F131">
        <v>86.157879363925716</v>
      </c>
      <c r="G131">
        <v>3049.2769798559762</v>
      </c>
      <c r="H131" s="1">
        <v>45777.333333333336</v>
      </c>
    </row>
    <row r="132" spans="1:8" x14ac:dyDescent="0.25">
      <c r="A132" s="7">
        <f>DATE(YEAR(m5_crossvalid[[#This Row],[cutoff]]),MONTH(m5_crossvalid[[#This Row],[cutoff]]),DAY(m5_crossvalid[[#This Row],[cutoff]]))</f>
        <v>45777</v>
      </c>
      <c r="B132" s="7">
        <f>DATE(YEAR(m5_crossvalid[[#This Row],[ds]]),MONTH(m5_crossvalid[[#This Row],[ds]]),DAY(m5_crossvalid[[#This Row],[ds]]))</f>
        <v>45784</v>
      </c>
      <c r="C132">
        <v>1225</v>
      </c>
      <c r="D132" s="1">
        <v>45784.333333333336</v>
      </c>
      <c r="E132">
        <v>1815.6122521598841</v>
      </c>
      <c r="F132">
        <v>368.03250716970001</v>
      </c>
      <c r="G132">
        <v>3226.5655411225221</v>
      </c>
      <c r="H132" s="1">
        <v>45777.333333333336</v>
      </c>
    </row>
    <row r="133" spans="1:8" x14ac:dyDescent="0.25">
      <c r="A133" s="7">
        <f>DATE(YEAR(m5_crossvalid[[#This Row],[cutoff]]),MONTH(m5_crossvalid[[#This Row],[cutoff]]),DAY(m5_crossvalid[[#This Row],[cutoff]]))</f>
        <v>45777</v>
      </c>
      <c r="B133" s="7">
        <f>DATE(YEAR(m5_crossvalid[[#This Row],[ds]]),MONTH(m5_crossvalid[[#This Row],[ds]]),DAY(m5_crossvalid[[#This Row],[ds]]))</f>
        <v>45785</v>
      </c>
      <c r="C133">
        <v>1538</v>
      </c>
      <c r="D133" s="1">
        <v>45785.333333333336</v>
      </c>
      <c r="E133">
        <v>2429.5416066322432</v>
      </c>
      <c r="F133">
        <v>918.76674038030581</v>
      </c>
      <c r="G133">
        <v>3869.5468153345673</v>
      </c>
      <c r="H133" s="1">
        <v>45777.333333333336</v>
      </c>
    </row>
    <row r="134" spans="1:8" x14ac:dyDescent="0.25">
      <c r="A134" s="7">
        <f>DATE(YEAR(m5_crossvalid[[#This Row],[cutoff]]),MONTH(m5_crossvalid[[#This Row],[cutoff]]),DAY(m5_crossvalid[[#This Row],[cutoff]]))</f>
        <v>45777</v>
      </c>
      <c r="B134" s="7">
        <f>DATE(YEAR(m5_crossvalid[[#This Row],[ds]]),MONTH(m5_crossvalid[[#This Row],[ds]]),DAY(m5_crossvalid[[#This Row],[ds]]))</f>
        <v>45786</v>
      </c>
      <c r="C134">
        <v>1799</v>
      </c>
      <c r="D134" s="1">
        <v>45786.333333333336</v>
      </c>
      <c r="E134">
        <v>2164.0264287093801</v>
      </c>
      <c r="F134">
        <v>734.06023592431211</v>
      </c>
      <c r="G134">
        <v>3628.2660197236501</v>
      </c>
      <c r="H134" s="1">
        <v>45777.333333333336</v>
      </c>
    </row>
    <row r="135" spans="1:8" x14ac:dyDescent="0.25">
      <c r="A135" s="7">
        <f>DATE(YEAR(m5_crossvalid[[#This Row],[cutoff]]),MONTH(m5_crossvalid[[#This Row],[cutoff]]),DAY(m5_crossvalid[[#This Row],[cutoff]]))</f>
        <v>45777</v>
      </c>
      <c r="B135" s="7">
        <f>DATE(YEAR(m5_crossvalid[[#This Row],[ds]]),MONTH(m5_crossvalid[[#This Row],[ds]]),DAY(m5_crossvalid[[#This Row],[ds]]))</f>
        <v>45787</v>
      </c>
      <c r="C135">
        <v>415</v>
      </c>
      <c r="D135" s="1">
        <v>45787.333333333336</v>
      </c>
      <c r="E135">
        <v>-231.78083393197903</v>
      </c>
      <c r="F135">
        <v>-1685.5942540326334</v>
      </c>
      <c r="G135">
        <v>1239.6850902633082</v>
      </c>
      <c r="H135" s="1">
        <v>45777.333333333336</v>
      </c>
    </row>
    <row r="136" spans="1:8" x14ac:dyDescent="0.25">
      <c r="A136" s="7">
        <f>DATE(YEAR(m5_crossvalid[[#This Row],[cutoff]]),MONTH(m5_crossvalid[[#This Row],[cutoff]]),DAY(m5_crossvalid[[#This Row],[cutoff]]))</f>
        <v>45777</v>
      </c>
      <c r="B136" s="7">
        <f>DATE(YEAR(m5_crossvalid[[#This Row],[ds]]),MONTH(m5_crossvalid[[#This Row],[ds]]),DAY(m5_crossvalid[[#This Row],[ds]]))</f>
        <v>45788</v>
      </c>
      <c r="C136">
        <v>169</v>
      </c>
      <c r="D136" s="1">
        <v>45788.333333333336</v>
      </c>
      <c r="E136">
        <v>-729.38541649393801</v>
      </c>
      <c r="F136">
        <v>-2131.9943698342909</v>
      </c>
      <c r="G136">
        <v>638.57106025205235</v>
      </c>
      <c r="H136" s="1">
        <v>45777.333333333336</v>
      </c>
    </row>
    <row r="137" spans="1:8" x14ac:dyDescent="0.25">
      <c r="A137" s="7">
        <f>DATE(YEAR(m5_crossvalid[[#This Row],[cutoff]]),MONTH(m5_crossvalid[[#This Row],[cutoff]]),DAY(m5_crossvalid[[#This Row],[cutoff]]))</f>
        <v>45777</v>
      </c>
      <c r="B137" s="7">
        <f>DATE(YEAR(m5_crossvalid[[#This Row],[ds]]),MONTH(m5_crossvalid[[#This Row],[ds]]),DAY(m5_crossvalid[[#This Row],[ds]]))</f>
        <v>45789</v>
      </c>
      <c r="C137">
        <v>185</v>
      </c>
      <c r="D137" s="1">
        <v>45789.333333333336</v>
      </c>
      <c r="E137">
        <v>349.18549369717653</v>
      </c>
      <c r="F137">
        <v>-1245.1077559108803</v>
      </c>
      <c r="G137">
        <v>1751.2192609074843</v>
      </c>
      <c r="H137" s="1">
        <v>45777.333333333336</v>
      </c>
    </row>
    <row r="138" spans="1:8" x14ac:dyDescent="0.25">
      <c r="A138" s="7">
        <f>DATE(YEAR(m5_crossvalid[[#This Row],[cutoff]]),MONTH(m5_crossvalid[[#This Row],[cutoff]]),DAY(m5_crossvalid[[#This Row],[cutoff]]))</f>
        <v>45777</v>
      </c>
      <c r="B138" s="7">
        <f>DATE(YEAR(m5_crossvalid[[#This Row],[ds]]),MONTH(m5_crossvalid[[#This Row],[ds]]),DAY(m5_crossvalid[[#This Row],[ds]]))</f>
        <v>45790</v>
      </c>
      <c r="C138">
        <v>2011</v>
      </c>
      <c r="D138" s="1">
        <v>45790.333333333336</v>
      </c>
      <c r="E138">
        <v>2296.3794221653584</v>
      </c>
      <c r="F138">
        <v>889.23325078591574</v>
      </c>
      <c r="G138">
        <v>3845.2023670908216</v>
      </c>
      <c r="H138" s="1">
        <v>45777.333333333336</v>
      </c>
    </row>
    <row r="139" spans="1:8" x14ac:dyDescent="0.25">
      <c r="A139" s="7">
        <f>DATE(YEAR(m5_crossvalid[[#This Row],[cutoff]]),MONTH(m5_crossvalid[[#This Row],[cutoff]]),DAY(m5_crossvalid[[#This Row],[cutoff]]))</f>
        <v>45777</v>
      </c>
      <c r="B139" s="7">
        <f>DATE(YEAR(m5_crossvalid[[#This Row],[ds]]),MONTH(m5_crossvalid[[#This Row],[ds]]),DAY(m5_crossvalid[[#This Row],[ds]]))</f>
        <v>45791</v>
      </c>
      <c r="C139">
        <v>2630</v>
      </c>
      <c r="D139" s="1">
        <v>45791.333333333336</v>
      </c>
      <c r="E139">
        <v>2390.3251555565166</v>
      </c>
      <c r="F139">
        <v>922.26845070866091</v>
      </c>
      <c r="G139">
        <v>3854.8713533466266</v>
      </c>
      <c r="H139" s="1">
        <v>45777.333333333336</v>
      </c>
    </row>
    <row r="140" spans="1:8" x14ac:dyDescent="0.25">
      <c r="A140" s="7">
        <f>DATE(YEAR(m5_crossvalid[[#This Row],[cutoff]]),MONTH(m5_crossvalid[[#This Row],[cutoff]]),DAY(m5_crossvalid[[#This Row],[cutoff]]))</f>
        <v>45777</v>
      </c>
      <c r="B140" s="7">
        <f>DATE(YEAR(m5_crossvalid[[#This Row],[ds]]),MONTH(m5_crossvalid[[#This Row],[ds]]),DAY(m5_crossvalid[[#This Row],[ds]]))</f>
        <v>45792</v>
      </c>
      <c r="C140">
        <v>2985</v>
      </c>
      <c r="D140" s="1">
        <v>45792.333333333336</v>
      </c>
      <c r="E140">
        <v>2386.3742376878431</v>
      </c>
      <c r="F140">
        <v>967.65002562218228</v>
      </c>
      <c r="G140">
        <v>3838.6233790035481</v>
      </c>
      <c r="H140" s="1">
        <v>45777.333333333336</v>
      </c>
    </row>
    <row r="141" spans="1:8" x14ac:dyDescent="0.25">
      <c r="A141" s="7">
        <f>DATE(YEAR(m5_crossvalid[[#This Row],[cutoff]]),MONTH(m5_crossvalid[[#This Row],[cutoff]]),DAY(m5_crossvalid[[#This Row],[cutoff]]))</f>
        <v>45777</v>
      </c>
      <c r="B141" s="7">
        <f>DATE(YEAR(m5_crossvalid[[#This Row],[ds]]),MONTH(m5_crossvalid[[#This Row],[ds]]),DAY(m5_crossvalid[[#This Row],[ds]]))</f>
        <v>45793</v>
      </c>
      <c r="C141">
        <v>3081</v>
      </c>
      <c r="D141" s="1">
        <v>45793.333333333336</v>
      </c>
      <c r="E141">
        <v>2441.3174156012537</v>
      </c>
      <c r="F141">
        <v>925.04952498039313</v>
      </c>
      <c r="G141">
        <v>3890.5031872915697</v>
      </c>
      <c r="H141" s="1">
        <v>45777.333333333336</v>
      </c>
    </row>
    <row r="142" spans="1:8" x14ac:dyDescent="0.25">
      <c r="A142" s="7">
        <f>DATE(YEAR(m5_crossvalid[[#This Row],[cutoff]]),MONTH(m5_crossvalid[[#This Row],[cutoff]]),DAY(m5_crossvalid[[#This Row],[cutoff]]))</f>
        <v>45777</v>
      </c>
      <c r="B142" s="7">
        <f>DATE(YEAR(m5_crossvalid[[#This Row],[ds]]),MONTH(m5_crossvalid[[#This Row],[ds]]),DAY(m5_crossvalid[[#This Row],[ds]]))</f>
        <v>45794</v>
      </c>
      <c r="C142">
        <v>609</v>
      </c>
      <c r="D142" s="1">
        <v>45794.333333333336</v>
      </c>
      <c r="E142">
        <v>365.15377234319817</v>
      </c>
      <c r="F142">
        <v>-976.38683777584538</v>
      </c>
      <c r="G142">
        <v>1800.9774814483717</v>
      </c>
      <c r="H142" s="1">
        <v>45777.333333333336</v>
      </c>
    </row>
    <row r="143" spans="1:8" x14ac:dyDescent="0.25">
      <c r="A143" s="7">
        <f>DATE(YEAR(m5_crossvalid[[#This Row],[cutoff]]),MONTH(m5_crossvalid[[#This Row],[cutoff]]),DAY(m5_crossvalid[[#This Row],[cutoff]]))</f>
        <v>45777</v>
      </c>
      <c r="B143" s="7">
        <f>DATE(YEAR(m5_crossvalid[[#This Row],[ds]]),MONTH(m5_crossvalid[[#This Row],[ds]]),DAY(m5_crossvalid[[#This Row],[ds]]))</f>
        <v>45795</v>
      </c>
      <c r="C143">
        <v>185</v>
      </c>
      <c r="D143" s="1">
        <v>45795.333333333336</v>
      </c>
      <c r="E143">
        <v>6.514553211159182</v>
      </c>
      <c r="F143">
        <v>-1408.4736562819662</v>
      </c>
      <c r="G143">
        <v>1573.207572592715</v>
      </c>
      <c r="H143" s="1">
        <v>45777.333333333336</v>
      </c>
    </row>
    <row r="144" spans="1:8" x14ac:dyDescent="0.25">
      <c r="A144" s="7">
        <f>DATE(YEAR(m5_crossvalid[[#This Row],[cutoff]]),MONTH(m5_crossvalid[[#This Row],[cutoff]]),DAY(m5_crossvalid[[#This Row],[cutoff]]))</f>
        <v>45777</v>
      </c>
      <c r="B144" s="7">
        <f>DATE(YEAR(m5_crossvalid[[#This Row],[ds]]),MONTH(m5_crossvalid[[#This Row],[ds]]),DAY(m5_crossvalid[[#This Row],[ds]]))</f>
        <v>45796</v>
      </c>
      <c r="C144">
        <v>2926</v>
      </c>
      <c r="D144" s="1">
        <v>45796.333333333336</v>
      </c>
      <c r="E144">
        <v>2564.6640594139872</v>
      </c>
      <c r="F144">
        <v>1130.0271991715122</v>
      </c>
      <c r="G144">
        <v>3937.3504119236763</v>
      </c>
      <c r="H144" s="1">
        <v>45777.333333333336</v>
      </c>
    </row>
    <row r="145" spans="1:8" x14ac:dyDescent="0.25">
      <c r="A145" s="7">
        <f>DATE(YEAR(m5_crossvalid[[#This Row],[cutoff]]),MONTH(m5_crossvalid[[#This Row],[cutoff]]),DAY(m5_crossvalid[[#This Row],[cutoff]]))</f>
        <v>45777</v>
      </c>
      <c r="B145" s="7">
        <f>DATE(YEAR(m5_crossvalid[[#This Row],[ds]]),MONTH(m5_crossvalid[[#This Row],[ds]]),DAY(m5_crossvalid[[#This Row],[ds]]))</f>
        <v>45797</v>
      </c>
      <c r="C145">
        <v>3213</v>
      </c>
      <c r="D145" s="1">
        <v>45797.333333333336</v>
      </c>
      <c r="E145">
        <v>2871.2789831210066</v>
      </c>
      <c r="F145">
        <v>1475.0374477085763</v>
      </c>
      <c r="G145">
        <v>4278.5397742485893</v>
      </c>
      <c r="H145" s="1">
        <v>45777.333333333336</v>
      </c>
    </row>
    <row r="146" spans="1:8" x14ac:dyDescent="0.25">
      <c r="A146" s="7">
        <f>DATE(YEAR(m5_crossvalid[[#This Row],[cutoff]]),MONTH(m5_crossvalid[[#This Row],[cutoff]]),DAY(m5_crossvalid[[#This Row],[cutoff]]))</f>
        <v>45777</v>
      </c>
      <c r="B146" s="7">
        <f>DATE(YEAR(m5_crossvalid[[#This Row],[ds]]),MONTH(m5_crossvalid[[#This Row],[ds]]),DAY(m5_crossvalid[[#This Row],[ds]]))</f>
        <v>45798</v>
      </c>
      <c r="C146">
        <v>3566</v>
      </c>
      <c r="D146" s="1">
        <v>45798.333333333336</v>
      </c>
      <c r="E146">
        <v>2969.357263188791</v>
      </c>
      <c r="F146">
        <v>1481.7077012483846</v>
      </c>
      <c r="G146">
        <v>4521.2285670001065</v>
      </c>
      <c r="H146" s="1">
        <v>45777.333333333336</v>
      </c>
    </row>
    <row r="147" spans="1:8" x14ac:dyDescent="0.25">
      <c r="A147" s="7">
        <f>DATE(YEAR(m5_crossvalid[[#This Row],[cutoff]]),MONTH(m5_crossvalid[[#This Row],[cutoff]]),DAY(m5_crossvalid[[#This Row],[cutoff]]))</f>
        <v>45777</v>
      </c>
      <c r="B147" s="7">
        <f>DATE(YEAR(m5_crossvalid[[#This Row],[ds]]),MONTH(m5_crossvalid[[#This Row],[ds]]),DAY(m5_crossvalid[[#This Row],[ds]]))</f>
        <v>45799</v>
      </c>
      <c r="C147">
        <v>3706</v>
      </c>
      <c r="D147" s="1">
        <v>45799.333333333336</v>
      </c>
      <c r="E147">
        <v>3089.0669522736698</v>
      </c>
      <c r="F147">
        <v>1693.1589383957303</v>
      </c>
      <c r="G147">
        <v>4708.9982169000314</v>
      </c>
      <c r="H147" s="1">
        <v>45777.333333333336</v>
      </c>
    </row>
    <row r="148" spans="1:8" x14ac:dyDescent="0.25">
      <c r="A148" s="7">
        <f>DATE(YEAR(m5_crossvalid[[#This Row],[cutoff]]),MONTH(m5_crossvalid[[#This Row],[cutoff]]),DAY(m5_crossvalid[[#This Row],[cutoff]]))</f>
        <v>45777</v>
      </c>
      <c r="B148" s="7">
        <f>DATE(YEAR(m5_crossvalid[[#This Row],[ds]]),MONTH(m5_crossvalid[[#This Row],[ds]]),DAY(m5_crossvalid[[#This Row],[ds]]))</f>
        <v>45800</v>
      </c>
      <c r="C148">
        <v>3920</v>
      </c>
      <c r="D148" s="1">
        <v>45800.333333333336</v>
      </c>
      <c r="E148">
        <v>3248.6424384773291</v>
      </c>
      <c r="F148">
        <v>1703.965904596336</v>
      </c>
      <c r="G148">
        <v>4685.5422756590751</v>
      </c>
      <c r="H148" s="1">
        <v>45777.333333333336</v>
      </c>
    </row>
    <row r="149" spans="1:8" x14ac:dyDescent="0.25">
      <c r="A149" s="7">
        <f>DATE(YEAR(m5_crossvalid[[#This Row],[cutoff]]),MONTH(m5_crossvalid[[#This Row],[cutoff]]),DAY(m5_crossvalid[[#This Row],[cutoff]]))</f>
        <v>45777</v>
      </c>
      <c r="B149" s="7">
        <f>DATE(YEAR(m5_crossvalid[[#This Row],[ds]]),MONTH(m5_crossvalid[[#This Row],[ds]]),DAY(m5_crossvalid[[#This Row],[ds]]))</f>
        <v>45801</v>
      </c>
      <c r="C149">
        <v>857</v>
      </c>
      <c r="D149" s="1">
        <v>45801.333333333336</v>
      </c>
      <c r="E149">
        <v>1118.85794812431</v>
      </c>
      <c r="F149">
        <v>-355.26864247649644</v>
      </c>
      <c r="G149">
        <v>2516.96878553946</v>
      </c>
      <c r="H149" s="1">
        <v>45777.333333333336</v>
      </c>
    </row>
    <row r="150" spans="1:8" x14ac:dyDescent="0.25">
      <c r="A150" s="7">
        <f>DATE(YEAR(m5_crossvalid[[#This Row],[cutoff]]),MONTH(m5_crossvalid[[#This Row],[cutoff]]),DAY(m5_crossvalid[[#This Row],[cutoff]]))</f>
        <v>45777</v>
      </c>
      <c r="B150" s="7">
        <f>DATE(YEAR(m5_crossvalid[[#This Row],[ds]]),MONTH(m5_crossvalid[[#This Row],[ds]]),DAY(m5_crossvalid[[#This Row],[ds]]))</f>
        <v>45802</v>
      </c>
      <c r="C150">
        <v>215</v>
      </c>
      <c r="D150" s="1">
        <v>45802.333333333336</v>
      </c>
      <c r="E150">
        <v>1325.615603943</v>
      </c>
      <c r="F150">
        <v>-263.91632016263384</v>
      </c>
      <c r="G150">
        <v>2748.5989047429662</v>
      </c>
      <c r="H150" s="1">
        <v>45777.333333333336</v>
      </c>
    </row>
    <row r="151" spans="1:8" x14ac:dyDescent="0.25">
      <c r="A151" s="7">
        <f>DATE(YEAR(m5_crossvalid[[#This Row],[cutoff]]),MONTH(m5_crossvalid[[#This Row],[cutoff]]),DAY(m5_crossvalid[[#This Row],[cutoff]]))</f>
        <v>45777</v>
      </c>
      <c r="B151" s="7">
        <f>DATE(YEAR(m5_crossvalid[[#This Row],[ds]]),MONTH(m5_crossvalid[[#This Row],[ds]]),DAY(m5_crossvalid[[#This Row],[ds]]))</f>
        <v>45803</v>
      </c>
      <c r="C151">
        <v>4297</v>
      </c>
      <c r="D151" s="1">
        <v>45803.333333333336</v>
      </c>
      <c r="E151">
        <v>3728.9686956917594</v>
      </c>
      <c r="F151">
        <v>2226.9519413489893</v>
      </c>
      <c r="G151">
        <v>5036.5218016238441</v>
      </c>
      <c r="H151" s="1">
        <v>45777.333333333336</v>
      </c>
    </row>
    <row r="152" spans="1:8" x14ac:dyDescent="0.25">
      <c r="A152" s="7">
        <f>DATE(YEAR(m5_crossvalid[[#This Row],[cutoff]]),MONTH(m5_crossvalid[[#This Row],[cutoff]]),DAY(m5_crossvalid[[#This Row],[cutoff]]))</f>
        <v>45777</v>
      </c>
      <c r="B152" s="7">
        <f>DATE(YEAR(m5_crossvalid[[#This Row],[ds]]),MONTH(m5_crossvalid[[#This Row],[ds]]),DAY(m5_crossvalid[[#This Row],[ds]]))</f>
        <v>45804</v>
      </c>
      <c r="C152">
        <v>5188</v>
      </c>
      <c r="D152" s="1">
        <v>45804.333333333336</v>
      </c>
      <c r="E152">
        <v>4111.4103769816047</v>
      </c>
      <c r="F152">
        <v>2657.7763650913271</v>
      </c>
      <c r="G152">
        <v>5628.8208575534754</v>
      </c>
      <c r="H152" s="1">
        <v>45777.333333333336</v>
      </c>
    </row>
    <row r="153" spans="1:8" x14ac:dyDescent="0.25">
      <c r="A153" s="7">
        <f>DATE(YEAR(m5_crossvalid[[#This Row],[cutoff]]),MONTH(m5_crossvalid[[#This Row],[cutoff]]),DAY(m5_crossvalid[[#This Row],[cutoff]]))</f>
        <v>45777</v>
      </c>
      <c r="B153" s="7">
        <f>DATE(YEAR(m5_crossvalid[[#This Row],[ds]]),MONTH(m5_crossvalid[[#This Row],[ds]]),DAY(m5_crossvalid[[#This Row],[ds]]))</f>
        <v>45805</v>
      </c>
      <c r="C153">
        <v>5701</v>
      </c>
      <c r="D153" s="1">
        <v>45805.333333333336</v>
      </c>
      <c r="E153">
        <v>4532.4998319005717</v>
      </c>
      <c r="F153">
        <v>3077.8045931258766</v>
      </c>
      <c r="G153">
        <v>5965.7468254191608</v>
      </c>
      <c r="H153" s="1">
        <v>45777.333333333336</v>
      </c>
    </row>
    <row r="154" spans="1:8" x14ac:dyDescent="0.25">
      <c r="A154" s="7">
        <f>DATE(YEAR(m5_crossvalid[[#This Row],[cutoff]]),MONTH(m5_crossvalid[[#This Row],[cutoff]]),DAY(m5_crossvalid[[#This Row],[cutoff]]))</f>
        <v>45777</v>
      </c>
      <c r="B154" s="7">
        <f>DATE(YEAR(m5_crossvalid[[#This Row],[ds]]),MONTH(m5_crossvalid[[#This Row],[ds]]),DAY(m5_crossvalid[[#This Row],[ds]]))</f>
        <v>45806</v>
      </c>
      <c r="C154">
        <v>8103</v>
      </c>
      <c r="D154" s="1">
        <v>45806.333333333336</v>
      </c>
      <c r="E154">
        <v>5022.5807721059118</v>
      </c>
      <c r="F154">
        <v>3618.0435224793396</v>
      </c>
      <c r="G154">
        <v>6498.4529900031357</v>
      </c>
      <c r="H154" s="1">
        <v>45777.333333333336</v>
      </c>
    </row>
    <row r="155" spans="1:8" x14ac:dyDescent="0.25">
      <c r="A155" s="7">
        <f>DATE(YEAR(m5_crossvalid[[#This Row],[cutoff]]),MONTH(m5_crossvalid[[#This Row],[cutoff]]),DAY(m5_crossvalid[[#This Row],[cutoff]]))</f>
        <v>45777</v>
      </c>
      <c r="B155" s="7">
        <f>DATE(YEAR(m5_crossvalid[[#This Row],[ds]]),MONTH(m5_crossvalid[[#This Row],[ds]]),DAY(m5_crossvalid[[#This Row],[ds]]))</f>
        <v>45807</v>
      </c>
      <c r="C155">
        <v>8920</v>
      </c>
      <c r="D155" s="1">
        <v>45807.333333333336</v>
      </c>
      <c r="E155">
        <v>7545.1826525012675</v>
      </c>
      <c r="F155">
        <v>6121.3438170289774</v>
      </c>
      <c r="G155">
        <v>8999.8572577682353</v>
      </c>
      <c r="H155" s="1">
        <v>45777.333333333336</v>
      </c>
    </row>
    <row r="156" spans="1:8" x14ac:dyDescent="0.25">
      <c r="A156" s="7">
        <f>DATE(YEAR(m5_crossvalid[[#This Row],[cutoff]]),MONTH(m5_crossvalid[[#This Row],[cutoff]]),DAY(m5_crossvalid[[#This Row],[cutoff]]))</f>
        <v>45777</v>
      </c>
      <c r="B156" s="7">
        <f>DATE(YEAR(m5_crossvalid[[#This Row],[ds]]),MONTH(m5_crossvalid[[#This Row],[ds]]),DAY(m5_crossvalid[[#This Row],[ds]]))</f>
        <v>45808</v>
      </c>
      <c r="C156">
        <v>4108</v>
      </c>
      <c r="D156" s="1">
        <v>45808.333333333336</v>
      </c>
      <c r="E156">
        <v>7587.2986695026184</v>
      </c>
      <c r="F156">
        <v>6237.5412084988939</v>
      </c>
      <c r="G156">
        <v>9033.8237882062058</v>
      </c>
      <c r="H156" s="1">
        <v>45777.333333333336</v>
      </c>
    </row>
    <row r="157" spans="1:8" x14ac:dyDescent="0.25">
      <c r="A157" s="7">
        <f>DATE(YEAR(m5_crossvalid[[#This Row],[cutoff]]),MONTH(m5_crossvalid[[#This Row],[cutoff]]),DAY(m5_crossvalid[[#This Row],[cutoff]]))</f>
        <v>45808</v>
      </c>
      <c r="B157" s="7">
        <f>DATE(YEAR(m5_crossvalid[[#This Row],[ds]]),MONTH(m5_crossvalid[[#This Row],[ds]]),DAY(m5_crossvalid[[#This Row],[ds]]))</f>
        <v>45809</v>
      </c>
      <c r="C157">
        <v>75</v>
      </c>
      <c r="D157" s="1">
        <v>45809.333333333336</v>
      </c>
      <c r="E157">
        <v>144.32097583814584</v>
      </c>
      <c r="F157">
        <v>-1349.0022386035207</v>
      </c>
      <c r="G157">
        <v>1582.2796469931354</v>
      </c>
      <c r="H157" s="1">
        <v>45808.333333333336</v>
      </c>
    </row>
    <row r="158" spans="1:8" x14ac:dyDescent="0.25">
      <c r="A158" s="7">
        <f>DATE(YEAR(m5_crossvalid[[#This Row],[cutoff]]),MONTH(m5_crossvalid[[#This Row],[cutoff]]),DAY(m5_crossvalid[[#This Row],[cutoff]]))</f>
        <v>45808</v>
      </c>
      <c r="B158" s="7">
        <f>DATE(YEAR(m5_crossvalid[[#This Row],[ds]]),MONTH(m5_crossvalid[[#This Row],[ds]]),DAY(m5_crossvalid[[#This Row],[ds]]))</f>
        <v>45810</v>
      </c>
      <c r="C158">
        <v>3</v>
      </c>
      <c r="D158" s="1">
        <v>45810.333333333336</v>
      </c>
      <c r="E158">
        <v>302.70693819603957</v>
      </c>
      <c r="F158">
        <v>-1157.978572357099</v>
      </c>
      <c r="G158">
        <v>1750.2215791844812</v>
      </c>
      <c r="H158" s="1">
        <v>45808.333333333336</v>
      </c>
    </row>
    <row r="159" spans="1:8" x14ac:dyDescent="0.25">
      <c r="A159" s="7">
        <f>DATE(YEAR(m5_crossvalid[[#This Row],[cutoff]]),MONTH(m5_crossvalid[[#This Row],[cutoff]]),DAY(m5_crossvalid[[#This Row],[cutoff]]))</f>
        <v>45808</v>
      </c>
      <c r="B159" s="7">
        <f>DATE(YEAR(m5_crossvalid[[#This Row],[ds]]),MONTH(m5_crossvalid[[#This Row],[ds]]),DAY(m5_crossvalid[[#This Row],[ds]]))</f>
        <v>45811</v>
      </c>
      <c r="C159">
        <v>578</v>
      </c>
      <c r="D159" s="1">
        <v>45811.333333333336</v>
      </c>
      <c r="E159">
        <v>1794.3316408461133</v>
      </c>
      <c r="F159">
        <v>298.35413111551293</v>
      </c>
      <c r="G159">
        <v>3127.3844949624909</v>
      </c>
      <c r="H159" s="1">
        <v>45808.333333333336</v>
      </c>
    </row>
    <row r="160" spans="1:8" x14ac:dyDescent="0.25">
      <c r="A160" s="7">
        <f>DATE(YEAR(m5_crossvalid[[#This Row],[cutoff]]),MONTH(m5_crossvalid[[#This Row],[cutoff]]),DAY(m5_crossvalid[[#This Row],[cutoff]]))</f>
        <v>45808</v>
      </c>
      <c r="B160" s="7">
        <f>DATE(YEAR(m5_crossvalid[[#This Row],[ds]]),MONTH(m5_crossvalid[[#This Row],[ds]]),DAY(m5_crossvalid[[#This Row],[ds]]))</f>
        <v>45812</v>
      </c>
      <c r="C160">
        <v>842</v>
      </c>
      <c r="D160" s="1">
        <v>45812.333333333336</v>
      </c>
      <c r="E160">
        <v>1660.2824842533792</v>
      </c>
      <c r="F160">
        <v>299.44277842702985</v>
      </c>
      <c r="G160">
        <v>3111.2774520850799</v>
      </c>
      <c r="H160" s="1">
        <v>45808.333333333336</v>
      </c>
    </row>
    <row r="161" spans="1:8" x14ac:dyDescent="0.25">
      <c r="A161" s="7">
        <f>DATE(YEAR(m5_crossvalid[[#This Row],[cutoff]]),MONTH(m5_crossvalid[[#This Row],[cutoff]]),DAY(m5_crossvalid[[#This Row],[cutoff]]))</f>
        <v>45808</v>
      </c>
      <c r="B161" s="7">
        <f>DATE(YEAR(m5_crossvalid[[#This Row],[ds]]),MONTH(m5_crossvalid[[#This Row],[ds]]),DAY(m5_crossvalid[[#This Row],[ds]]))</f>
        <v>45813</v>
      </c>
      <c r="C161">
        <v>1102</v>
      </c>
      <c r="D161" s="1">
        <v>45813.333333333336</v>
      </c>
      <c r="E161">
        <v>1729.8507211942633</v>
      </c>
      <c r="F161">
        <v>283.37023594907731</v>
      </c>
      <c r="G161">
        <v>3262.3374632842961</v>
      </c>
      <c r="H161" s="1">
        <v>45808.333333333336</v>
      </c>
    </row>
    <row r="162" spans="1:8" x14ac:dyDescent="0.25">
      <c r="A162" s="7">
        <f>DATE(YEAR(m5_crossvalid[[#This Row],[cutoff]]),MONTH(m5_crossvalid[[#This Row],[cutoff]]),DAY(m5_crossvalid[[#This Row],[cutoff]]))</f>
        <v>45808</v>
      </c>
      <c r="B162" s="7">
        <f>DATE(YEAR(m5_crossvalid[[#This Row],[ds]]),MONTH(m5_crossvalid[[#This Row],[ds]]),DAY(m5_crossvalid[[#This Row],[ds]]))</f>
        <v>45814</v>
      </c>
      <c r="C162">
        <v>1098</v>
      </c>
      <c r="D162" s="1">
        <v>45814.333333333336</v>
      </c>
      <c r="E162">
        <v>-1786.6101068541702</v>
      </c>
      <c r="F162">
        <v>-3308.9106380928615</v>
      </c>
      <c r="G162">
        <v>-369.80394360102144</v>
      </c>
      <c r="H162" s="1">
        <v>45808.333333333336</v>
      </c>
    </row>
    <row r="163" spans="1:8" x14ac:dyDescent="0.25">
      <c r="A163" s="7">
        <f>DATE(YEAR(m5_crossvalid[[#This Row],[cutoff]]),MONTH(m5_crossvalid[[#This Row],[cutoff]]),DAY(m5_crossvalid[[#This Row],[cutoff]]))</f>
        <v>45808</v>
      </c>
      <c r="B163" s="7">
        <f>DATE(YEAR(m5_crossvalid[[#This Row],[ds]]),MONTH(m5_crossvalid[[#This Row],[ds]]),DAY(m5_crossvalid[[#This Row],[ds]]))</f>
        <v>45815</v>
      </c>
      <c r="C163">
        <v>17</v>
      </c>
      <c r="D163" s="1">
        <v>45815.333333333336</v>
      </c>
      <c r="E163">
        <v>-1417.7810791928932</v>
      </c>
      <c r="F163">
        <v>-2804.7836279356761</v>
      </c>
      <c r="G163">
        <v>140.91383145345168</v>
      </c>
      <c r="H163" s="1">
        <v>45808.333333333336</v>
      </c>
    </row>
    <row r="164" spans="1:8" x14ac:dyDescent="0.25">
      <c r="A164" s="7">
        <f>DATE(YEAR(m5_crossvalid[[#This Row],[cutoff]]),MONTH(m5_crossvalid[[#This Row],[cutoff]]),DAY(m5_crossvalid[[#This Row],[cutoff]]))</f>
        <v>45808</v>
      </c>
      <c r="B164" s="7">
        <f>DATE(YEAR(m5_crossvalid[[#This Row],[ds]]),MONTH(m5_crossvalid[[#This Row],[ds]]),DAY(m5_crossvalid[[#This Row],[ds]]))</f>
        <v>45816</v>
      </c>
      <c r="C164">
        <v>2</v>
      </c>
      <c r="D164" s="1">
        <v>45816.333333333336</v>
      </c>
      <c r="E164">
        <v>-696.29860255686663</v>
      </c>
      <c r="F164">
        <v>-2207.8861689112209</v>
      </c>
      <c r="G164">
        <v>644.38770968306892</v>
      </c>
      <c r="H164" s="1">
        <v>45808.333333333336</v>
      </c>
    </row>
    <row r="165" spans="1:8" x14ac:dyDescent="0.25">
      <c r="A165" s="7">
        <f>DATE(YEAR(m5_crossvalid[[#This Row],[cutoff]]),MONTH(m5_crossvalid[[#This Row],[cutoff]]),DAY(m5_crossvalid[[#This Row],[cutoff]]))</f>
        <v>45808</v>
      </c>
      <c r="B165" s="7">
        <f>DATE(YEAR(m5_crossvalid[[#This Row],[ds]]),MONTH(m5_crossvalid[[#This Row],[ds]]),DAY(m5_crossvalid[[#This Row],[ds]]))</f>
        <v>45817</v>
      </c>
      <c r="C165">
        <v>716</v>
      </c>
      <c r="D165" s="1">
        <v>45817.333333333336</v>
      </c>
      <c r="E165">
        <v>2095.912256320385</v>
      </c>
      <c r="F165">
        <v>627.3308865465068</v>
      </c>
      <c r="G165">
        <v>3531.0177442802037</v>
      </c>
      <c r="H165" s="1">
        <v>45808.333333333336</v>
      </c>
    </row>
    <row r="166" spans="1:8" x14ac:dyDescent="0.25">
      <c r="A166" s="7">
        <f>DATE(YEAR(m5_crossvalid[[#This Row],[cutoff]]),MONTH(m5_crossvalid[[#This Row],[cutoff]]),DAY(m5_crossvalid[[#This Row],[cutoff]]))</f>
        <v>45808</v>
      </c>
      <c r="B166" s="7">
        <f>DATE(YEAR(m5_crossvalid[[#This Row],[ds]]),MONTH(m5_crossvalid[[#This Row],[ds]]),DAY(m5_crossvalid[[#This Row],[ds]]))</f>
        <v>45818</v>
      </c>
      <c r="C166">
        <v>1129</v>
      </c>
      <c r="D166" s="1">
        <v>45818.333333333336</v>
      </c>
      <c r="E166">
        <v>1649.1251921982803</v>
      </c>
      <c r="F166">
        <v>90.034679403403672</v>
      </c>
      <c r="G166">
        <v>3043.8304553634985</v>
      </c>
      <c r="H166" s="1">
        <v>45808.333333333336</v>
      </c>
    </row>
    <row r="167" spans="1:8" x14ac:dyDescent="0.25">
      <c r="A167" s="7">
        <f>DATE(YEAR(m5_crossvalid[[#This Row],[cutoff]]),MONTH(m5_crossvalid[[#This Row],[cutoff]]),DAY(m5_crossvalid[[#This Row],[cutoff]]))</f>
        <v>45808</v>
      </c>
      <c r="B167" s="7">
        <f>DATE(YEAR(m5_crossvalid[[#This Row],[ds]]),MONTH(m5_crossvalid[[#This Row],[ds]]),DAY(m5_crossvalid[[#This Row],[ds]]))</f>
        <v>45819</v>
      </c>
      <c r="C167">
        <v>1387</v>
      </c>
      <c r="D167" s="1">
        <v>45819.333333333336</v>
      </c>
      <c r="E167">
        <v>1950.8581052223769</v>
      </c>
      <c r="F167">
        <v>583.9044389476976</v>
      </c>
      <c r="G167">
        <v>3360.024789676791</v>
      </c>
      <c r="H167" s="1">
        <v>45808.333333333336</v>
      </c>
    </row>
    <row r="168" spans="1:8" x14ac:dyDescent="0.25">
      <c r="A168" s="7">
        <f>DATE(YEAR(m5_crossvalid[[#This Row],[cutoff]]),MONTH(m5_crossvalid[[#This Row],[cutoff]]),DAY(m5_crossvalid[[#This Row],[cutoff]]))</f>
        <v>45808</v>
      </c>
      <c r="B168" s="7">
        <f>DATE(YEAR(m5_crossvalid[[#This Row],[ds]]),MONTH(m5_crossvalid[[#This Row],[ds]]),DAY(m5_crossvalid[[#This Row],[ds]]))</f>
        <v>45820</v>
      </c>
      <c r="C168">
        <v>1689</v>
      </c>
      <c r="D168" s="1">
        <v>45820.333333333336</v>
      </c>
      <c r="E168">
        <v>2427.1805813750038</v>
      </c>
      <c r="F168">
        <v>962.2484286285694</v>
      </c>
      <c r="G168">
        <v>3811.1588070244084</v>
      </c>
      <c r="H168" s="1">
        <v>45808.333333333336</v>
      </c>
    </row>
    <row r="169" spans="1:8" x14ac:dyDescent="0.25">
      <c r="A169" s="7">
        <f>DATE(YEAR(m5_crossvalid[[#This Row],[cutoff]]),MONTH(m5_crossvalid[[#This Row],[cutoff]]),DAY(m5_crossvalid[[#This Row],[cutoff]]))</f>
        <v>45808</v>
      </c>
      <c r="B169" s="7">
        <f>DATE(YEAR(m5_crossvalid[[#This Row],[ds]]),MONTH(m5_crossvalid[[#This Row],[ds]]),DAY(m5_crossvalid[[#This Row],[ds]]))</f>
        <v>45821</v>
      </c>
      <c r="C169">
        <v>1883</v>
      </c>
      <c r="D169" s="1">
        <v>45821.333333333336</v>
      </c>
      <c r="E169">
        <v>1970.7660400433649</v>
      </c>
      <c r="F169">
        <v>447.77485892098014</v>
      </c>
      <c r="G169">
        <v>3442.6863186053888</v>
      </c>
      <c r="H169" s="1">
        <v>45808.333333333336</v>
      </c>
    </row>
    <row r="170" spans="1:8" x14ac:dyDescent="0.25">
      <c r="A170" s="7">
        <f>DATE(YEAR(m5_crossvalid[[#This Row],[cutoff]]),MONTH(m5_crossvalid[[#This Row],[cutoff]]),DAY(m5_crossvalid[[#This Row],[cutoff]]))</f>
        <v>45808</v>
      </c>
      <c r="B170" s="7">
        <f>DATE(YEAR(m5_crossvalid[[#This Row],[ds]]),MONTH(m5_crossvalid[[#This Row],[ds]]),DAY(m5_crossvalid[[#This Row],[ds]]))</f>
        <v>45822</v>
      </c>
      <c r="C170">
        <v>280</v>
      </c>
      <c r="D170" s="1">
        <v>45822.333333333336</v>
      </c>
      <c r="E170">
        <v>186.87641990543807</v>
      </c>
      <c r="F170">
        <v>-1320.4036778247578</v>
      </c>
      <c r="G170">
        <v>1577.836684994719</v>
      </c>
      <c r="H170" s="1">
        <v>45808.333333333336</v>
      </c>
    </row>
    <row r="171" spans="1:8" x14ac:dyDescent="0.25">
      <c r="A171" s="7">
        <f>DATE(YEAR(m5_crossvalid[[#This Row],[cutoff]]),MONTH(m5_crossvalid[[#This Row],[cutoff]]),DAY(m5_crossvalid[[#This Row],[cutoff]]))</f>
        <v>45808</v>
      </c>
      <c r="B171" s="7">
        <f>DATE(YEAR(m5_crossvalid[[#This Row],[ds]]),MONTH(m5_crossvalid[[#This Row],[ds]]),DAY(m5_crossvalid[[#This Row],[ds]]))</f>
        <v>45823</v>
      </c>
      <c r="C171">
        <v>71</v>
      </c>
      <c r="D171" s="1">
        <v>45823.333333333336</v>
      </c>
      <c r="E171">
        <v>-249.09962292553337</v>
      </c>
      <c r="F171">
        <v>-1720.3774381276135</v>
      </c>
      <c r="G171">
        <v>1270.4560620515733</v>
      </c>
      <c r="H171" s="1">
        <v>45808.333333333336</v>
      </c>
    </row>
    <row r="172" spans="1:8" x14ac:dyDescent="0.25">
      <c r="A172" s="7">
        <f>DATE(YEAR(m5_crossvalid[[#This Row],[cutoff]]),MONTH(m5_crossvalid[[#This Row],[cutoff]]),DAY(m5_crossvalid[[#This Row],[cutoff]]))</f>
        <v>45808</v>
      </c>
      <c r="B172" s="7">
        <f>DATE(YEAR(m5_crossvalid[[#This Row],[ds]]),MONTH(m5_crossvalid[[#This Row],[ds]]),DAY(m5_crossvalid[[#This Row],[ds]]))</f>
        <v>45824</v>
      </c>
      <c r="C172">
        <v>1852</v>
      </c>
      <c r="D172" s="1">
        <v>45824.333333333336</v>
      </c>
      <c r="E172">
        <v>2369.2239848939403</v>
      </c>
      <c r="F172">
        <v>1085.4154628013507</v>
      </c>
      <c r="G172">
        <v>3876.8411839081323</v>
      </c>
      <c r="H172" s="1">
        <v>45808.333333333336</v>
      </c>
    </row>
    <row r="173" spans="1:8" x14ac:dyDescent="0.25">
      <c r="A173" s="7">
        <f>DATE(YEAR(m5_crossvalid[[#This Row],[cutoff]]),MONTH(m5_crossvalid[[#This Row],[cutoff]]),DAY(m5_crossvalid[[#This Row],[cutoff]]))</f>
        <v>45808</v>
      </c>
      <c r="B173" s="7">
        <f>DATE(YEAR(m5_crossvalid[[#This Row],[ds]]),MONTH(m5_crossvalid[[#This Row],[ds]]),DAY(m5_crossvalid[[#This Row],[ds]]))</f>
        <v>45825</v>
      </c>
      <c r="C173">
        <v>2251</v>
      </c>
      <c r="D173" s="1">
        <v>45825.333333333336</v>
      </c>
      <c r="E173">
        <v>2843.4747623109815</v>
      </c>
      <c r="F173">
        <v>1364.4097932525553</v>
      </c>
      <c r="G173">
        <v>4262.2399727187467</v>
      </c>
      <c r="H173" s="1">
        <v>45808.333333333336</v>
      </c>
    </row>
    <row r="174" spans="1:8" x14ac:dyDescent="0.25">
      <c r="A174" s="7">
        <f>DATE(YEAR(m5_crossvalid[[#This Row],[cutoff]]),MONTH(m5_crossvalid[[#This Row],[cutoff]]),DAY(m5_crossvalid[[#This Row],[cutoff]]))</f>
        <v>45808</v>
      </c>
      <c r="B174" s="7">
        <f>DATE(YEAR(m5_crossvalid[[#This Row],[ds]]),MONTH(m5_crossvalid[[#This Row],[ds]]),DAY(m5_crossvalid[[#This Row],[ds]]))</f>
        <v>45826</v>
      </c>
      <c r="C174">
        <v>2552</v>
      </c>
      <c r="D174" s="1">
        <v>45826.333333333336</v>
      </c>
      <c r="E174">
        <v>3003.0906945724837</v>
      </c>
      <c r="F174">
        <v>1491.1085165355207</v>
      </c>
      <c r="G174">
        <v>4428.7808291011943</v>
      </c>
      <c r="H174" s="1">
        <v>45808.333333333336</v>
      </c>
    </row>
    <row r="175" spans="1:8" x14ac:dyDescent="0.25">
      <c r="A175" s="7">
        <f>DATE(YEAR(m5_crossvalid[[#This Row],[cutoff]]),MONTH(m5_crossvalid[[#This Row],[cutoff]]),DAY(m5_crossvalid[[#This Row],[cutoff]]))</f>
        <v>45808</v>
      </c>
      <c r="B175" s="7">
        <f>DATE(YEAR(m5_crossvalid[[#This Row],[ds]]),MONTH(m5_crossvalid[[#This Row],[ds]]),DAY(m5_crossvalid[[#This Row],[ds]]))</f>
        <v>45827</v>
      </c>
      <c r="C175">
        <v>2813</v>
      </c>
      <c r="D175" s="1">
        <v>45827.333333333336</v>
      </c>
      <c r="E175">
        <v>3002.5265630223694</v>
      </c>
      <c r="F175">
        <v>1332.8585509930058</v>
      </c>
      <c r="G175">
        <v>4442.6781597555382</v>
      </c>
      <c r="H175" s="1">
        <v>45808.333333333336</v>
      </c>
    </row>
    <row r="176" spans="1:8" x14ac:dyDescent="0.25">
      <c r="A176" s="7">
        <f>DATE(YEAR(m5_crossvalid[[#This Row],[cutoff]]),MONTH(m5_crossvalid[[#This Row],[cutoff]]),DAY(m5_crossvalid[[#This Row],[cutoff]]))</f>
        <v>45808</v>
      </c>
      <c r="B176" s="7">
        <f>DATE(YEAR(m5_crossvalid[[#This Row],[ds]]),MONTH(m5_crossvalid[[#This Row],[ds]]),DAY(m5_crossvalid[[#This Row],[ds]]))</f>
        <v>45828</v>
      </c>
      <c r="C176">
        <v>3023</v>
      </c>
      <c r="D176" s="1">
        <v>45828.333333333336</v>
      </c>
      <c r="E176">
        <v>2953.8961617162722</v>
      </c>
      <c r="F176">
        <v>1528.3556760086312</v>
      </c>
      <c r="G176">
        <v>4343.0774310565121</v>
      </c>
      <c r="H176" s="1">
        <v>45808.333333333336</v>
      </c>
    </row>
    <row r="177" spans="1:8" x14ac:dyDescent="0.25">
      <c r="A177" s="7">
        <f>DATE(YEAR(m5_crossvalid[[#This Row],[cutoff]]),MONTH(m5_crossvalid[[#This Row],[cutoff]]),DAY(m5_crossvalid[[#This Row],[cutoff]]))</f>
        <v>45808</v>
      </c>
      <c r="B177" s="7">
        <f>DATE(YEAR(m5_crossvalid[[#This Row],[ds]]),MONTH(m5_crossvalid[[#This Row],[ds]]),DAY(m5_crossvalid[[#This Row],[ds]]))</f>
        <v>45829</v>
      </c>
      <c r="C177">
        <v>360</v>
      </c>
      <c r="D177" s="1">
        <v>45829.333333333336</v>
      </c>
      <c r="E177">
        <v>780.39003896414602</v>
      </c>
      <c r="F177">
        <v>-651.94772645626176</v>
      </c>
      <c r="G177">
        <v>2199.8152367872158</v>
      </c>
      <c r="H177" s="1">
        <v>45808.333333333336</v>
      </c>
    </row>
    <row r="178" spans="1:8" x14ac:dyDescent="0.25">
      <c r="A178" s="7">
        <f>DATE(YEAR(m5_crossvalid[[#This Row],[cutoff]]),MONTH(m5_crossvalid[[#This Row],[cutoff]]),DAY(m5_crossvalid[[#This Row],[cutoff]]))</f>
        <v>45808</v>
      </c>
      <c r="B178" s="7">
        <f>DATE(YEAR(m5_crossvalid[[#This Row],[ds]]),MONTH(m5_crossvalid[[#This Row],[ds]]),DAY(m5_crossvalid[[#This Row],[ds]]))</f>
        <v>45830</v>
      </c>
      <c r="C178">
        <v>129</v>
      </c>
      <c r="D178" s="1">
        <v>45830.333333333336</v>
      </c>
      <c r="E178">
        <v>439.74543398034098</v>
      </c>
      <c r="F178">
        <v>-960.97593975750783</v>
      </c>
      <c r="G178">
        <v>1922.3141559584005</v>
      </c>
      <c r="H178" s="1">
        <v>45808.333333333336</v>
      </c>
    </row>
    <row r="179" spans="1:8" x14ac:dyDescent="0.25">
      <c r="A179" s="7">
        <f>DATE(YEAR(m5_crossvalid[[#This Row],[cutoff]]),MONTH(m5_crossvalid[[#This Row],[cutoff]]),DAY(m5_crossvalid[[#This Row],[cutoff]]))</f>
        <v>45808</v>
      </c>
      <c r="B179" s="7">
        <f>DATE(YEAR(m5_crossvalid[[#This Row],[ds]]),MONTH(m5_crossvalid[[#This Row],[ds]]),DAY(m5_crossvalid[[#This Row],[ds]]))</f>
        <v>45831</v>
      </c>
      <c r="C179">
        <v>3291</v>
      </c>
      <c r="D179" s="1">
        <v>45831.333333333336</v>
      </c>
      <c r="E179">
        <v>3053.2990022825702</v>
      </c>
      <c r="F179">
        <v>1552.1494957303594</v>
      </c>
      <c r="G179">
        <v>4439.6193308775864</v>
      </c>
      <c r="H179" s="1">
        <v>45808.333333333336</v>
      </c>
    </row>
    <row r="180" spans="1:8" x14ac:dyDescent="0.25">
      <c r="A180" s="7">
        <f>DATE(YEAR(m5_crossvalid[[#This Row],[cutoff]]),MONTH(m5_crossvalid[[#This Row],[cutoff]]),DAY(m5_crossvalid[[#This Row],[cutoff]]))</f>
        <v>45808</v>
      </c>
      <c r="B180" s="7">
        <f>DATE(YEAR(m5_crossvalid[[#This Row],[ds]]),MONTH(m5_crossvalid[[#This Row],[ds]]),DAY(m5_crossvalid[[#This Row],[ds]]))</f>
        <v>45832</v>
      </c>
      <c r="C180">
        <v>3743</v>
      </c>
      <c r="D180" s="1">
        <v>45832.333333333336</v>
      </c>
      <c r="E180">
        <v>4164.0375639362856</v>
      </c>
      <c r="F180">
        <v>2610.7350352396566</v>
      </c>
      <c r="G180">
        <v>5534.7809843954274</v>
      </c>
      <c r="H180" s="1">
        <v>45808.333333333336</v>
      </c>
    </row>
    <row r="181" spans="1:8" x14ac:dyDescent="0.25">
      <c r="A181" s="7">
        <f>DATE(YEAR(m5_crossvalid[[#This Row],[cutoff]]),MONTH(m5_crossvalid[[#This Row],[cutoff]]),DAY(m5_crossvalid[[#This Row],[cutoff]]))</f>
        <v>45808</v>
      </c>
      <c r="B181" s="7">
        <f>DATE(YEAR(m5_crossvalid[[#This Row],[ds]]),MONTH(m5_crossvalid[[#This Row],[ds]]),DAY(m5_crossvalid[[#This Row],[ds]]))</f>
        <v>45833</v>
      </c>
      <c r="C181">
        <v>4576</v>
      </c>
      <c r="D181" s="1">
        <v>45833.333333333336</v>
      </c>
      <c r="E181">
        <v>4137.5078885474304</v>
      </c>
      <c r="F181">
        <v>2678.2033874123499</v>
      </c>
      <c r="G181">
        <v>5624.0387381397995</v>
      </c>
      <c r="H181" s="1">
        <v>45808.333333333336</v>
      </c>
    </row>
    <row r="182" spans="1:8" x14ac:dyDescent="0.25">
      <c r="A182" s="7">
        <f>DATE(YEAR(m5_crossvalid[[#This Row],[cutoff]]),MONTH(m5_crossvalid[[#This Row],[cutoff]]),DAY(m5_crossvalid[[#This Row],[cutoff]]))</f>
        <v>45808</v>
      </c>
      <c r="B182" s="7">
        <f>DATE(YEAR(m5_crossvalid[[#This Row],[ds]]),MONTH(m5_crossvalid[[#This Row],[ds]]),DAY(m5_crossvalid[[#This Row],[ds]]))</f>
        <v>45834</v>
      </c>
      <c r="C182">
        <v>6205</v>
      </c>
      <c r="D182" s="1">
        <v>45834.333333333336</v>
      </c>
      <c r="E182">
        <v>4102.6775970997205</v>
      </c>
      <c r="F182">
        <v>2551.8325988118963</v>
      </c>
      <c r="G182">
        <v>5503.1527824297036</v>
      </c>
      <c r="H182" s="1">
        <v>45808.333333333336</v>
      </c>
    </row>
    <row r="183" spans="1:8" x14ac:dyDescent="0.25">
      <c r="A183" s="7">
        <f>DATE(YEAR(m5_crossvalid[[#This Row],[cutoff]]),MONTH(m5_crossvalid[[#This Row],[cutoff]]),DAY(m5_crossvalid[[#This Row],[cutoff]]))</f>
        <v>45808</v>
      </c>
      <c r="B183" s="7">
        <f>DATE(YEAR(m5_crossvalid[[#This Row],[ds]]),MONTH(m5_crossvalid[[#This Row],[ds]]),DAY(m5_crossvalid[[#This Row],[ds]]))</f>
        <v>45835</v>
      </c>
      <c r="C183">
        <v>814</v>
      </c>
      <c r="D183" s="1">
        <v>45835.333333333336</v>
      </c>
      <c r="E183">
        <v>2698.5214330155545</v>
      </c>
      <c r="F183">
        <v>1276.1487877256743</v>
      </c>
      <c r="G183">
        <v>4157.8949811047269</v>
      </c>
      <c r="H183" s="1">
        <v>45808.333333333336</v>
      </c>
    </row>
    <row r="184" spans="1:8" x14ac:dyDescent="0.25">
      <c r="A184" s="7">
        <f>DATE(YEAR(m5_crossvalid[[#This Row],[cutoff]]),MONTH(m5_crossvalid[[#This Row],[cutoff]]),DAY(m5_crossvalid[[#This Row],[cutoff]]))</f>
        <v>45808</v>
      </c>
      <c r="B184" s="7">
        <f>DATE(YEAR(m5_crossvalid[[#This Row],[ds]]),MONTH(m5_crossvalid[[#This Row],[ds]]),DAY(m5_crossvalid[[#This Row],[ds]]))</f>
        <v>45836</v>
      </c>
      <c r="C184">
        <v>2326</v>
      </c>
      <c r="D184" s="1">
        <v>45836.333333333336</v>
      </c>
      <c r="E184">
        <v>2442.9822343646647</v>
      </c>
      <c r="F184">
        <v>999.98008843302023</v>
      </c>
      <c r="G184">
        <v>3798.3413045297571</v>
      </c>
      <c r="H184" s="1">
        <v>45808.333333333336</v>
      </c>
    </row>
    <row r="185" spans="1:8" x14ac:dyDescent="0.25">
      <c r="A185" s="7">
        <f>DATE(YEAR(m5_crossvalid[[#This Row],[cutoff]]),MONTH(m5_crossvalid[[#This Row],[cutoff]]),DAY(m5_crossvalid[[#This Row],[cutoff]]))</f>
        <v>45808</v>
      </c>
      <c r="B185" s="7">
        <f>DATE(YEAR(m5_crossvalid[[#This Row],[ds]]),MONTH(m5_crossvalid[[#This Row],[ds]]),DAY(m5_crossvalid[[#This Row],[ds]]))</f>
        <v>45837</v>
      </c>
      <c r="C185">
        <v>427</v>
      </c>
      <c r="D185" s="1">
        <v>45837.333333333336</v>
      </c>
      <c r="E185">
        <v>4641.9669694081331</v>
      </c>
      <c r="F185">
        <v>3141.6249113891536</v>
      </c>
      <c r="G185">
        <v>6120.0153676334676</v>
      </c>
      <c r="H185" s="1">
        <v>45808.333333333336</v>
      </c>
    </row>
    <row r="186" spans="1:8" x14ac:dyDescent="0.25">
      <c r="A186" s="7">
        <f>DATE(YEAR(m5_crossvalid[[#This Row],[cutoff]]),MONTH(m5_crossvalid[[#This Row],[cutoff]]),DAY(m5_crossvalid[[#This Row],[cutoff]]))</f>
        <v>45808</v>
      </c>
      <c r="B186" s="7">
        <f>DATE(YEAR(m5_crossvalid[[#This Row],[ds]]),MONTH(m5_crossvalid[[#This Row],[ds]]),DAY(m5_crossvalid[[#This Row],[ds]]))</f>
        <v>45838</v>
      </c>
      <c r="C186">
        <v>13624</v>
      </c>
      <c r="D186" s="1">
        <v>45838.333333333336</v>
      </c>
      <c r="E186">
        <v>9433.8297845816196</v>
      </c>
      <c r="F186">
        <v>8062.4680806090091</v>
      </c>
      <c r="G186">
        <v>10904.840213657544</v>
      </c>
      <c r="H186" s="1">
        <v>45808.333333333336</v>
      </c>
    </row>
    <row r="187" spans="1:8" x14ac:dyDescent="0.25">
      <c r="A187" s="7">
        <f>DATE(YEAR(m5_crossvalid[[#This Row],[cutoff]]),MONTH(m5_crossvalid[[#This Row],[cutoff]]),DAY(m5_crossvalid[[#This Row],[cutoff]]))</f>
        <v>45808</v>
      </c>
      <c r="B187" s="7">
        <f>DATE(YEAR(m5_crossvalid[[#This Row],[ds]]),MONTH(m5_crossvalid[[#This Row],[ds]]),DAY(m5_crossvalid[[#This Row],[ds]]))</f>
        <v>45839</v>
      </c>
      <c r="C187">
        <v>624</v>
      </c>
      <c r="D187" s="1">
        <v>45839.333333333336</v>
      </c>
      <c r="E187">
        <v>3093.3445459017239</v>
      </c>
      <c r="F187">
        <v>1686.5286368069837</v>
      </c>
      <c r="G187">
        <v>4739.2571599445</v>
      </c>
      <c r="H187" s="1">
        <v>45808.333333333336</v>
      </c>
    </row>
    <row r="188" spans="1:8" x14ac:dyDescent="0.25">
      <c r="A188" s="7">
        <f>DATE(YEAR(m5_crossvalid[[#This Row],[cutoff]]),MONTH(m5_crossvalid[[#This Row],[cutoff]]),DAY(m5_crossvalid[[#This Row],[cutoff]]))</f>
        <v>45838</v>
      </c>
      <c r="B188" s="7">
        <f>DATE(YEAR(m5_crossvalid[[#This Row],[ds]]),MONTH(m5_crossvalid[[#This Row],[ds]]),DAY(m5_crossvalid[[#This Row],[ds]]))</f>
        <v>45839</v>
      </c>
      <c r="C188">
        <v>624</v>
      </c>
      <c r="D188" s="1">
        <v>45839.333333333336</v>
      </c>
      <c r="E188">
        <v>3079.7045798350464</v>
      </c>
      <c r="F188">
        <v>1620.9417304621074</v>
      </c>
      <c r="G188">
        <v>4585.652124228609</v>
      </c>
      <c r="H188" s="1">
        <v>45838.333333333336</v>
      </c>
    </row>
    <row r="189" spans="1:8" x14ac:dyDescent="0.25">
      <c r="A189" s="7">
        <f>DATE(YEAR(m5_crossvalid[[#This Row],[cutoff]]),MONTH(m5_crossvalid[[#This Row],[cutoff]]),DAY(m5_crossvalid[[#This Row],[cutoff]]))</f>
        <v>45838</v>
      </c>
      <c r="B189" s="7">
        <f>DATE(YEAR(m5_crossvalid[[#This Row],[ds]]),MONTH(m5_crossvalid[[#This Row],[ds]]),DAY(m5_crossvalid[[#This Row],[ds]]))</f>
        <v>45840</v>
      </c>
      <c r="C189">
        <v>733</v>
      </c>
      <c r="D189" s="1">
        <v>45840.333333333336</v>
      </c>
      <c r="E189">
        <v>2423.1586849669029</v>
      </c>
      <c r="F189">
        <v>1006.9002390675315</v>
      </c>
      <c r="G189">
        <v>3833.924964425189</v>
      </c>
      <c r="H189" s="1">
        <v>45838.333333333336</v>
      </c>
    </row>
    <row r="190" spans="1:8" x14ac:dyDescent="0.25">
      <c r="A190" s="7">
        <f>DATE(YEAR(m5_crossvalid[[#This Row],[cutoff]]),MONTH(m5_crossvalid[[#This Row],[cutoff]]),DAY(m5_crossvalid[[#This Row],[cutoff]]))</f>
        <v>45838</v>
      </c>
      <c r="B190" s="7">
        <f>DATE(YEAR(m5_crossvalid[[#This Row],[ds]]),MONTH(m5_crossvalid[[#This Row],[ds]]),DAY(m5_crossvalid[[#This Row],[ds]]))</f>
        <v>45841</v>
      </c>
      <c r="C190">
        <v>1036</v>
      </c>
      <c r="D190" s="1">
        <v>45841.333333333336</v>
      </c>
      <c r="E190">
        <v>1806.7584597093498</v>
      </c>
      <c r="F190">
        <v>463.45250701621552</v>
      </c>
      <c r="G190">
        <v>3236.1491528837382</v>
      </c>
      <c r="H190" s="1">
        <v>45838.333333333336</v>
      </c>
    </row>
    <row r="191" spans="1:8" x14ac:dyDescent="0.25">
      <c r="A191" s="7">
        <f>DATE(YEAR(m5_crossvalid[[#This Row],[cutoff]]),MONTH(m5_crossvalid[[#This Row],[cutoff]]),DAY(m5_crossvalid[[#This Row],[cutoff]]))</f>
        <v>45838</v>
      </c>
      <c r="B191" s="7">
        <f>DATE(YEAR(m5_crossvalid[[#This Row],[ds]]),MONTH(m5_crossvalid[[#This Row],[ds]]),DAY(m5_crossvalid[[#This Row],[ds]]))</f>
        <v>45842</v>
      </c>
      <c r="C191">
        <v>1189</v>
      </c>
      <c r="D191" s="1">
        <v>45842.333333333336</v>
      </c>
      <c r="E191">
        <v>1362.9318583369909</v>
      </c>
      <c r="F191">
        <v>-61.968946519369439</v>
      </c>
      <c r="G191">
        <v>2830.6139675639884</v>
      </c>
      <c r="H191" s="1">
        <v>45838.333333333336</v>
      </c>
    </row>
    <row r="192" spans="1:8" x14ac:dyDescent="0.25">
      <c r="A192" s="7">
        <f>DATE(YEAR(m5_crossvalid[[#This Row],[cutoff]]),MONTH(m5_crossvalid[[#This Row],[cutoff]]),DAY(m5_crossvalid[[#This Row],[cutoff]]))</f>
        <v>45838</v>
      </c>
      <c r="B192" s="7">
        <f>DATE(YEAR(m5_crossvalid[[#This Row],[ds]]),MONTH(m5_crossvalid[[#This Row],[ds]]),DAY(m5_crossvalid[[#This Row],[ds]]))</f>
        <v>45843</v>
      </c>
      <c r="C192">
        <v>170</v>
      </c>
      <c r="D192" s="1">
        <v>45843.333333333336</v>
      </c>
      <c r="E192">
        <v>-892.37833237736095</v>
      </c>
      <c r="F192">
        <v>-2269.435887116897</v>
      </c>
      <c r="G192">
        <v>592.08371469663916</v>
      </c>
      <c r="H192" s="1">
        <v>45838.333333333336</v>
      </c>
    </row>
    <row r="193" spans="1:8" x14ac:dyDescent="0.25">
      <c r="A193" s="7">
        <f>DATE(YEAR(m5_crossvalid[[#This Row],[cutoff]]),MONTH(m5_crossvalid[[#This Row],[cutoff]]),DAY(m5_crossvalid[[#This Row],[cutoff]]))</f>
        <v>45838</v>
      </c>
      <c r="B193" s="7">
        <f>DATE(YEAR(m5_crossvalid[[#This Row],[ds]]),MONTH(m5_crossvalid[[#This Row],[ds]]),DAY(m5_crossvalid[[#This Row],[ds]]))</f>
        <v>45844</v>
      </c>
      <c r="C193">
        <v>30</v>
      </c>
      <c r="D193" s="1">
        <v>45844.333333333336</v>
      </c>
      <c r="E193">
        <v>-1226.7917650995937</v>
      </c>
      <c r="F193">
        <v>-2885.6386810338099</v>
      </c>
      <c r="G193">
        <v>204.74353191503872</v>
      </c>
      <c r="H193" s="1">
        <v>45838.333333333336</v>
      </c>
    </row>
    <row r="194" spans="1:8" x14ac:dyDescent="0.25">
      <c r="A194" s="7">
        <f>DATE(YEAR(m5_crossvalid[[#This Row],[cutoff]]),MONTH(m5_crossvalid[[#This Row],[cutoff]]),DAY(m5_crossvalid[[#This Row],[cutoff]]))</f>
        <v>45838</v>
      </c>
      <c r="B194" s="7">
        <f>DATE(YEAR(m5_crossvalid[[#This Row],[ds]]),MONTH(m5_crossvalid[[#This Row],[ds]]),DAY(m5_crossvalid[[#This Row],[ds]]))</f>
        <v>45845</v>
      </c>
      <c r="C194">
        <v>1218</v>
      </c>
      <c r="D194" s="1">
        <v>45845.333333333336</v>
      </c>
      <c r="E194">
        <v>1381.9642367284521</v>
      </c>
      <c r="F194">
        <v>-73.92294560353406</v>
      </c>
      <c r="G194">
        <v>2932.6521176703232</v>
      </c>
      <c r="H194" s="1">
        <v>45838.333333333336</v>
      </c>
    </row>
    <row r="195" spans="1:8" x14ac:dyDescent="0.25">
      <c r="A195" s="7">
        <f>DATE(YEAR(m5_crossvalid[[#This Row],[cutoff]]),MONTH(m5_crossvalid[[#This Row],[cutoff]]),DAY(m5_crossvalid[[#This Row],[cutoff]]))</f>
        <v>45838</v>
      </c>
      <c r="B195" s="7">
        <f>DATE(YEAR(m5_crossvalid[[#This Row],[ds]]),MONTH(m5_crossvalid[[#This Row],[ds]]),DAY(m5_crossvalid[[#This Row],[ds]]))</f>
        <v>45846</v>
      </c>
      <c r="C195">
        <v>1543</v>
      </c>
      <c r="D195" s="1">
        <v>45846.333333333336</v>
      </c>
      <c r="E195">
        <v>2332.8318290734965</v>
      </c>
      <c r="F195">
        <v>831.22792129034417</v>
      </c>
      <c r="G195">
        <v>3825.9237247466126</v>
      </c>
      <c r="H195" s="1">
        <v>45838.333333333336</v>
      </c>
    </row>
    <row r="196" spans="1:8" x14ac:dyDescent="0.25">
      <c r="A196" s="7">
        <f>DATE(YEAR(m5_crossvalid[[#This Row],[cutoff]]),MONTH(m5_crossvalid[[#This Row],[cutoff]]),DAY(m5_crossvalid[[#This Row],[cutoff]]))</f>
        <v>45838</v>
      </c>
      <c r="B196" s="7">
        <f>DATE(YEAR(m5_crossvalid[[#This Row],[ds]]),MONTH(m5_crossvalid[[#This Row],[ds]]),DAY(m5_crossvalid[[#This Row],[ds]]))</f>
        <v>45847</v>
      </c>
      <c r="C196">
        <v>2120</v>
      </c>
      <c r="D196" s="1">
        <v>45847.333333333336</v>
      </c>
      <c r="E196">
        <v>2199.3561853971232</v>
      </c>
      <c r="F196">
        <v>723.93123806545589</v>
      </c>
      <c r="G196">
        <v>3575.0890739983761</v>
      </c>
      <c r="H196" s="1">
        <v>45838.333333333336</v>
      </c>
    </row>
    <row r="197" spans="1:8" x14ac:dyDescent="0.25">
      <c r="A197" s="7">
        <f>DATE(YEAR(m5_crossvalid[[#This Row],[cutoff]]),MONTH(m5_crossvalid[[#This Row],[cutoff]]),DAY(m5_crossvalid[[#This Row],[cutoff]]))</f>
        <v>45838</v>
      </c>
      <c r="B197" s="7">
        <f>DATE(YEAR(m5_crossvalid[[#This Row],[ds]]),MONTH(m5_crossvalid[[#This Row],[ds]]),DAY(m5_crossvalid[[#This Row],[ds]]))</f>
        <v>45848</v>
      </c>
      <c r="C197">
        <v>2298</v>
      </c>
      <c r="D197" s="1">
        <v>45848.333333333336</v>
      </c>
      <c r="E197">
        <v>2046.8491067944142</v>
      </c>
      <c r="F197">
        <v>560.57282225094559</v>
      </c>
      <c r="G197">
        <v>3546.8152268007516</v>
      </c>
      <c r="H197" s="1">
        <v>45838.333333333336</v>
      </c>
    </row>
    <row r="198" spans="1:8" x14ac:dyDescent="0.25">
      <c r="A198" s="7">
        <f>DATE(YEAR(m5_crossvalid[[#This Row],[cutoff]]),MONTH(m5_crossvalid[[#This Row],[cutoff]]),DAY(m5_crossvalid[[#This Row],[cutoff]]))</f>
        <v>45838</v>
      </c>
      <c r="B198" s="7">
        <f>DATE(YEAR(m5_crossvalid[[#This Row],[ds]]),MONTH(m5_crossvalid[[#This Row],[ds]]),DAY(m5_crossvalid[[#This Row],[ds]]))</f>
        <v>45849</v>
      </c>
      <c r="C198">
        <v>2183</v>
      </c>
      <c r="D198" s="1">
        <v>45849.333333333336</v>
      </c>
      <c r="E198">
        <v>2013.3192043297031</v>
      </c>
      <c r="F198">
        <v>678.35284541345595</v>
      </c>
      <c r="G198">
        <v>3471.2614814771905</v>
      </c>
      <c r="H198" s="1">
        <v>45838.333333333336</v>
      </c>
    </row>
    <row r="199" spans="1:8" x14ac:dyDescent="0.25">
      <c r="A199" s="7">
        <f>DATE(YEAR(m5_crossvalid[[#This Row],[cutoff]]),MONTH(m5_crossvalid[[#This Row],[cutoff]]),DAY(m5_crossvalid[[#This Row],[cutoff]]))</f>
        <v>45838</v>
      </c>
      <c r="B199" s="7">
        <f>DATE(YEAR(m5_crossvalid[[#This Row],[ds]]),MONTH(m5_crossvalid[[#This Row],[ds]]),DAY(m5_crossvalid[[#This Row],[ds]]))</f>
        <v>45850</v>
      </c>
      <c r="C199">
        <v>462</v>
      </c>
      <c r="D199" s="1">
        <v>45850.333333333336</v>
      </c>
      <c r="E199">
        <v>-118.89397555300957</v>
      </c>
      <c r="F199">
        <v>-1572.0595983547935</v>
      </c>
      <c r="G199">
        <v>1306.0560317396844</v>
      </c>
      <c r="H199" s="1">
        <v>45838.333333333336</v>
      </c>
    </row>
    <row r="200" spans="1:8" x14ac:dyDescent="0.25">
      <c r="A200" s="7">
        <f>DATE(YEAR(m5_crossvalid[[#This Row],[cutoff]]),MONTH(m5_crossvalid[[#This Row],[cutoff]]),DAY(m5_crossvalid[[#This Row],[cutoff]]))</f>
        <v>45838</v>
      </c>
      <c r="B200" s="7">
        <f>DATE(YEAR(m5_crossvalid[[#This Row],[ds]]),MONTH(m5_crossvalid[[#This Row],[ds]]),DAY(m5_crossvalid[[#This Row],[ds]]))</f>
        <v>45851</v>
      </c>
      <c r="C200">
        <v>114</v>
      </c>
      <c r="D200" s="1">
        <v>45851.333333333336</v>
      </c>
      <c r="E200">
        <v>-523.17453843288149</v>
      </c>
      <c r="F200">
        <v>-1917.0016551249905</v>
      </c>
      <c r="G200">
        <v>968.74248414882413</v>
      </c>
      <c r="H200" s="1">
        <v>45838.333333333336</v>
      </c>
    </row>
    <row r="201" spans="1:8" x14ac:dyDescent="0.25">
      <c r="A201" s="7">
        <f>DATE(YEAR(m5_crossvalid[[#This Row],[cutoff]]),MONTH(m5_crossvalid[[#This Row],[cutoff]]),DAY(m5_crossvalid[[#This Row],[cutoff]]))</f>
        <v>45838</v>
      </c>
      <c r="B201" s="7">
        <f>DATE(YEAR(m5_crossvalid[[#This Row],[ds]]),MONTH(m5_crossvalid[[#This Row],[ds]]),DAY(m5_crossvalid[[#This Row],[ds]]))</f>
        <v>45852</v>
      </c>
      <c r="C201">
        <v>2356</v>
      </c>
      <c r="D201" s="1">
        <v>45852.333333333336</v>
      </c>
      <c r="E201">
        <v>2044.454245067931</v>
      </c>
      <c r="F201">
        <v>491.70032460253117</v>
      </c>
      <c r="G201">
        <v>3509.7288337315435</v>
      </c>
      <c r="H201" s="1">
        <v>45838.333333333336</v>
      </c>
    </row>
    <row r="202" spans="1:8" x14ac:dyDescent="0.25">
      <c r="A202" s="7">
        <f>DATE(YEAR(m5_crossvalid[[#This Row],[cutoff]]),MONTH(m5_crossvalid[[#This Row],[cutoff]]),DAY(m5_crossvalid[[#This Row],[cutoff]]))</f>
        <v>45838</v>
      </c>
      <c r="B202" s="7">
        <f>DATE(YEAR(m5_crossvalid[[#This Row],[ds]]),MONTH(m5_crossvalid[[#This Row],[ds]]),DAY(m5_crossvalid[[#This Row],[ds]]))</f>
        <v>45853</v>
      </c>
      <c r="C202">
        <v>2694</v>
      </c>
      <c r="D202" s="1">
        <v>45853.333333333336</v>
      </c>
      <c r="E202">
        <v>2376.03099101411</v>
      </c>
      <c r="F202">
        <v>976.54815204596298</v>
      </c>
      <c r="G202">
        <v>3841.6030002212287</v>
      </c>
      <c r="H202" s="1">
        <v>45838.333333333336</v>
      </c>
    </row>
    <row r="203" spans="1:8" x14ac:dyDescent="0.25">
      <c r="A203" s="7">
        <f>DATE(YEAR(m5_crossvalid[[#This Row],[cutoff]]),MONTH(m5_crossvalid[[#This Row],[cutoff]]),DAY(m5_crossvalid[[#This Row],[cutoff]]))</f>
        <v>45838</v>
      </c>
      <c r="B203" s="7">
        <f>DATE(YEAR(m5_crossvalid[[#This Row],[ds]]),MONTH(m5_crossvalid[[#This Row],[ds]]),DAY(m5_crossvalid[[#This Row],[ds]]))</f>
        <v>45854</v>
      </c>
      <c r="C203">
        <v>2796</v>
      </c>
      <c r="D203" s="1">
        <v>45854.333333333336</v>
      </c>
      <c r="E203">
        <v>2565.0432631916451</v>
      </c>
      <c r="F203">
        <v>1101.5036136315889</v>
      </c>
      <c r="G203">
        <v>3948.6759229996005</v>
      </c>
      <c r="H203" s="1">
        <v>45838.333333333336</v>
      </c>
    </row>
    <row r="204" spans="1:8" x14ac:dyDescent="0.25">
      <c r="A204" s="7">
        <f>DATE(YEAR(m5_crossvalid[[#This Row],[cutoff]]),MONTH(m5_crossvalid[[#This Row],[cutoff]]),DAY(m5_crossvalid[[#This Row],[cutoff]]))</f>
        <v>45838</v>
      </c>
      <c r="B204" s="7">
        <f>DATE(YEAR(m5_crossvalid[[#This Row],[ds]]),MONTH(m5_crossvalid[[#This Row],[ds]]),DAY(m5_crossvalid[[#This Row],[ds]]))</f>
        <v>45855</v>
      </c>
      <c r="C204">
        <v>2972</v>
      </c>
      <c r="D204" s="1">
        <v>45855.333333333336</v>
      </c>
      <c r="E204">
        <v>2724.3567587490566</v>
      </c>
      <c r="F204">
        <v>1348.3778129739712</v>
      </c>
      <c r="G204">
        <v>4172.5068164520299</v>
      </c>
      <c r="H204" s="1">
        <v>45838.333333333336</v>
      </c>
    </row>
    <row r="205" spans="1:8" x14ac:dyDescent="0.25">
      <c r="A205" s="7">
        <f>DATE(YEAR(m5_crossvalid[[#This Row],[cutoff]]),MONTH(m5_crossvalid[[#This Row],[cutoff]]),DAY(m5_crossvalid[[#This Row],[cutoff]]))</f>
        <v>45838</v>
      </c>
      <c r="B205" s="7">
        <f>DATE(YEAR(m5_crossvalid[[#This Row],[ds]]),MONTH(m5_crossvalid[[#This Row],[ds]]),DAY(m5_crossvalid[[#This Row],[ds]]))</f>
        <v>45856</v>
      </c>
      <c r="C205">
        <v>2891</v>
      </c>
      <c r="D205" s="1">
        <v>45856.333333333336</v>
      </c>
      <c r="E205">
        <v>2823.4408583992408</v>
      </c>
      <c r="F205">
        <v>1329.2742874590235</v>
      </c>
      <c r="G205">
        <v>4417.4575451111295</v>
      </c>
      <c r="H205" s="1">
        <v>45838.333333333336</v>
      </c>
    </row>
    <row r="206" spans="1:8" x14ac:dyDescent="0.25">
      <c r="A206" s="7">
        <f>DATE(YEAR(m5_crossvalid[[#This Row],[cutoff]]),MONTH(m5_crossvalid[[#This Row],[cutoff]]),DAY(m5_crossvalid[[#This Row],[cutoff]]))</f>
        <v>45838</v>
      </c>
      <c r="B206" s="7">
        <f>DATE(YEAR(m5_crossvalid[[#This Row],[ds]]),MONTH(m5_crossvalid[[#This Row],[ds]]),DAY(m5_crossvalid[[#This Row],[ds]]))</f>
        <v>45857</v>
      </c>
      <c r="C206">
        <v>521</v>
      </c>
      <c r="D206" s="1">
        <v>45857.333333333336</v>
      </c>
      <c r="E206">
        <v>634.45690539639395</v>
      </c>
      <c r="F206">
        <v>-929.35272917389807</v>
      </c>
      <c r="G206">
        <v>2099.530191181263</v>
      </c>
      <c r="H206" s="1">
        <v>45838.333333333336</v>
      </c>
    </row>
    <row r="207" spans="1:8" x14ac:dyDescent="0.25">
      <c r="A207" s="7">
        <f>DATE(YEAR(m5_crossvalid[[#This Row],[cutoff]]),MONTH(m5_crossvalid[[#This Row],[cutoff]]),DAY(m5_crossvalid[[#This Row],[cutoff]]))</f>
        <v>45838</v>
      </c>
      <c r="B207" s="7">
        <f>DATE(YEAR(m5_crossvalid[[#This Row],[ds]]),MONTH(m5_crossvalid[[#This Row],[ds]]),DAY(m5_crossvalid[[#This Row],[ds]]))</f>
        <v>45858</v>
      </c>
      <c r="C207">
        <v>189</v>
      </c>
      <c r="D207" s="1">
        <v>45858.333333333336</v>
      </c>
      <c r="E207">
        <v>125.66521485589965</v>
      </c>
      <c r="F207">
        <v>-1374.4092030504153</v>
      </c>
      <c r="G207">
        <v>1488.4500945997297</v>
      </c>
      <c r="H207" s="1">
        <v>45838.333333333336</v>
      </c>
    </row>
    <row r="208" spans="1:8" x14ac:dyDescent="0.25">
      <c r="A208" s="7">
        <f>DATE(YEAR(m5_crossvalid[[#This Row],[cutoff]]),MONTH(m5_crossvalid[[#This Row],[cutoff]]),DAY(m5_crossvalid[[#This Row],[cutoff]]))</f>
        <v>45838</v>
      </c>
      <c r="B208" s="7">
        <f>DATE(YEAR(m5_crossvalid[[#This Row],[ds]]),MONTH(m5_crossvalid[[#This Row],[ds]]),DAY(m5_crossvalid[[#This Row],[ds]]))</f>
        <v>45859</v>
      </c>
      <c r="C208">
        <v>2798</v>
      </c>
      <c r="D208" s="1">
        <v>45859.333333333336</v>
      </c>
      <c r="E208">
        <v>2687.677571112853</v>
      </c>
      <c r="F208">
        <v>1241.117912811399</v>
      </c>
      <c r="G208">
        <v>4080.8792640565921</v>
      </c>
      <c r="H208" s="1">
        <v>45838.333333333336</v>
      </c>
    </row>
    <row r="209" spans="1:8" x14ac:dyDescent="0.25">
      <c r="A209" s="7">
        <f>DATE(YEAR(m5_crossvalid[[#This Row],[cutoff]]),MONTH(m5_crossvalid[[#This Row],[cutoff]]),DAY(m5_crossvalid[[#This Row],[cutoff]]))</f>
        <v>45838</v>
      </c>
      <c r="B209" s="7">
        <f>DATE(YEAR(m5_crossvalid[[#This Row],[ds]]),MONTH(m5_crossvalid[[#This Row],[ds]]),DAY(m5_crossvalid[[#This Row],[ds]]))</f>
        <v>45860</v>
      </c>
      <c r="C209">
        <v>2894</v>
      </c>
      <c r="D209" s="1">
        <v>45860.333333333336</v>
      </c>
      <c r="E209">
        <v>3121.3047564454209</v>
      </c>
      <c r="F209">
        <v>1649.4148877497469</v>
      </c>
      <c r="G209">
        <v>4604.3494294173297</v>
      </c>
      <c r="H209" s="1">
        <v>45838.333333333336</v>
      </c>
    </row>
    <row r="210" spans="1:8" x14ac:dyDescent="0.25">
      <c r="A210" s="7">
        <f>DATE(YEAR(m5_crossvalid[[#This Row],[cutoff]]),MONTH(m5_crossvalid[[#This Row],[cutoff]]),DAY(m5_crossvalid[[#This Row],[cutoff]]))</f>
        <v>45838</v>
      </c>
      <c r="B210" s="7">
        <f>DATE(YEAR(m5_crossvalid[[#This Row],[ds]]),MONTH(m5_crossvalid[[#This Row],[ds]]),DAY(m5_crossvalid[[#This Row],[ds]]))</f>
        <v>45861</v>
      </c>
      <c r="C210">
        <v>3299</v>
      </c>
      <c r="D210" s="1">
        <v>45861.333333333336</v>
      </c>
      <c r="E210">
        <v>3389.8978328138492</v>
      </c>
      <c r="F210">
        <v>1973.5546680201387</v>
      </c>
      <c r="G210">
        <v>4769.2633263707285</v>
      </c>
      <c r="H210" s="1">
        <v>45838.333333333336</v>
      </c>
    </row>
    <row r="211" spans="1:8" x14ac:dyDescent="0.25">
      <c r="A211" s="7">
        <f>DATE(YEAR(m5_crossvalid[[#This Row],[cutoff]]),MONTH(m5_crossvalid[[#This Row],[cutoff]]),DAY(m5_crossvalid[[#This Row],[cutoff]]))</f>
        <v>45838</v>
      </c>
      <c r="B211" s="7">
        <f>DATE(YEAR(m5_crossvalid[[#This Row],[ds]]),MONTH(m5_crossvalid[[#This Row],[ds]]),DAY(m5_crossvalid[[#This Row],[ds]]))</f>
        <v>45862</v>
      </c>
      <c r="C211">
        <v>3785</v>
      </c>
      <c r="D211" s="1">
        <v>45862.333333333336</v>
      </c>
      <c r="E211">
        <v>3478.2344728533562</v>
      </c>
      <c r="F211">
        <v>1978.3514601148222</v>
      </c>
      <c r="G211">
        <v>4958.0918376328318</v>
      </c>
      <c r="H211" s="1">
        <v>45838.333333333336</v>
      </c>
    </row>
    <row r="212" spans="1:8" x14ac:dyDescent="0.25">
      <c r="A212" s="7">
        <f>DATE(YEAR(m5_crossvalid[[#This Row],[cutoff]]),MONTH(m5_crossvalid[[#This Row],[cutoff]]),DAY(m5_crossvalid[[#This Row],[cutoff]]))</f>
        <v>45838</v>
      </c>
      <c r="B212" s="7">
        <f>DATE(YEAR(m5_crossvalid[[#This Row],[ds]]),MONTH(m5_crossvalid[[#This Row],[ds]]),DAY(m5_crossvalid[[#This Row],[ds]]))</f>
        <v>45863</v>
      </c>
      <c r="C212">
        <v>3663</v>
      </c>
      <c r="D212" s="1">
        <v>45863.333333333336</v>
      </c>
      <c r="E212">
        <v>4194.3776309939922</v>
      </c>
      <c r="F212">
        <v>2828.8540560624033</v>
      </c>
      <c r="G212">
        <v>5700.8445678396329</v>
      </c>
      <c r="H212" s="1">
        <v>45838.333333333336</v>
      </c>
    </row>
    <row r="213" spans="1:8" x14ac:dyDescent="0.25">
      <c r="A213" s="7">
        <f>DATE(YEAR(m5_crossvalid[[#This Row],[cutoff]]),MONTH(m5_crossvalid[[#This Row],[cutoff]]),DAY(m5_crossvalid[[#This Row],[cutoff]]))</f>
        <v>45838</v>
      </c>
      <c r="B213" s="7">
        <f>DATE(YEAR(m5_crossvalid[[#This Row],[ds]]),MONTH(m5_crossvalid[[#This Row],[ds]]),DAY(m5_crossvalid[[#This Row],[ds]]))</f>
        <v>45864</v>
      </c>
      <c r="C213">
        <v>901</v>
      </c>
      <c r="D213" s="1">
        <v>45864.333333333336</v>
      </c>
      <c r="E213">
        <v>1844.8290507621143</v>
      </c>
      <c r="F213">
        <v>367.5674781796364</v>
      </c>
      <c r="G213">
        <v>3352.5622223920545</v>
      </c>
      <c r="H213" s="1">
        <v>45838.333333333336</v>
      </c>
    </row>
    <row r="214" spans="1:8" x14ac:dyDescent="0.25">
      <c r="A214" s="7">
        <f>DATE(YEAR(m5_crossvalid[[#This Row],[cutoff]]),MONTH(m5_crossvalid[[#This Row],[cutoff]]),DAY(m5_crossvalid[[#This Row],[cutoff]]))</f>
        <v>45838</v>
      </c>
      <c r="B214" s="7">
        <f>DATE(YEAR(m5_crossvalid[[#This Row],[ds]]),MONTH(m5_crossvalid[[#This Row],[ds]]),DAY(m5_crossvalid[[#This Row],[ds]]))</f>
        <v>45865</v>
      </c>
      <c r="C214">
        <v>262</v>
      </c>
      <c r="D214" s="1">
        <v>45865.333333333336</v>
      </c>
      <c r="E214">
        <v>1395.2962352049826</v>
      </c>
      <c r="F214">
        <v>-40.057151773807838</v>
      </c>
      <c r="G214">
        <v>2899.2560842668345</v>
      </c>
      <c r="H214" s="1">
        <v>45838.333333333336</v>
      </c>
    </row>
    <row r="215" spans="1:8" x14ac:dyDescent="0.25">
      <c r="A215" s="7">
        <f>DATE(YEAR(m5_crossvalid[[#This Row],[cutoff]]),MONTH(m5_crossvalid[[#This Row],[cutoff]]),DAY(m5_crossvalid[[#This Row],[cutoff]]))</f>
        <v>45838</v>
      </c>
      <c r="B215" s="7">
        <f>DATE(YEAR(m5_crossvalid[[#This Row],[ds]]),MONTH(m5_crossvalid[[#This Row],[ds]]),DAY(m5_crossvalid[[#This Row],[ds]]))</f>
        <v>45866</v>
      </c>
      <c r="C215">
        <v>4324</v>
      </c>
      <c r="D215" s="1">
        <v>45866.333333333336</v>
      </c>
      <c r="E215">
        <v>4250.4086432239419</v>
      </c>
      <c r="F215">
        <v>2721.2851174251009</v>
      </c>
      <c r="G215">
        <v>5788.8608923125539</v>
      </c>
      <c r="H215" s="1">
        <v>45838.333333333336</v>
      </c>
    </row>
    <row r="216" spans="1:8" x14ac:dyDescent="0.25">
      <c r="A216" s="7">
        <f>DATE(YEAR(m5_crossvalid[[#This Row],[cutoff]]),MONTH(m5_crossvalid[[#This Row],[cutoff]]),DAY(m5_crossvalid[[#This Row],[cutoff]]))</f>
        <v>45838</v>
      </c>
      <c r="B216" s="7">
        <f>DATE(YEAR(m5_crossvalid[[#This Row],[ds]]),MONTH(m5_crossvalid[[#This Row],[ds]]),DAY(m5_crossvalid[[#This Row],[ds]]))</f>
        <v>45867</v>
      </c>
      <c r="C216">
        <v>5336</v>
      </c>
      <c r="D216" s="1">
        <v>45867.333333333336</v>
      </c>
      <c r="E216">
        <v>5022.6812066037728</v>
      </c>
      <c r="F216">
        <v>3533.2816158265941</v>
      </c>
      <c r="G216">
        <v>6449.6735169280892</v>
      </c>
      <c r="H216" s="1">
        <v>45838.333333333336</v>
      </c>
    </row>
    <row r="217" spans="1:8" x14ac:dyDescent="0.25">
      <c r="A217" s="7">
        <f>DATE(YEAR(m5_crossvalid[[#This Row],[cutoff]]),MONTH(m5_crossvalid[[#This Row],[cutoff]]),DAY(m5_crossvalid[[#This Row],[cutoff]]))</f>
        <v>45838</v>
      </c>
      <c r="B217" s="7">
        <f>DATE(YEAR(m5_crossvalid[[#This Row],[ds]]),MONTH(m5_crossvalid[[#This Row],[ds]]),DAY(m5_crossvalid[[#This Row],[ds]]))</f>
        <v>45868</v>
      </c>
      <c r="C217">
        <v>8373</v>
      </c>
      <c r="D217" s="1">
        <v>45868.333333333336</v>
      </c>
      <c r="E217">
        <v>7561.4515835580642</v>
      </c>
      <c r="F217">
        <v>6118.9571587218998</v>
      </c>
      <c r="G217">
        <v>8984.9423262802466</v>
      </c>
      <c r="H217" s="1">
        <v>45838.333333333336</v>
      </c>
    </row>
    <row r="218" spans="1:8" x14ac:dyDescent="0.25">
      <c r="A218" s="7">
        <f>DATE(YEAR(m5_crossvalid[[#This Row],[cutoff]]),MONTH(m5_crossvalid[[#This Row],[cutoff]]),DAY(m5_crossvalid[[#This Row],[cutoff]]))</f>
        <v>45838</v>
      </c>
      <c r="B218" s="7">
        <f>DATE(YEAR(m5_crossvalid[[#This Row],[ds]]),MONTH(m5_crossvalid[[#This Row],[ds]]),DAY(m5_crossvalid[[#This Row],[ds]]))</f>
        <v>45869</v>
      </c>
      <c r="C218">
        <v>11889</v>
      </c>
      <c r="D218" s="1">
        <v>45869.333333333336</v>
      </c>
      <c r="E218">
        <v>9897.7941898339959</v>
      </c>
      <c r="F218">
        <v>8364.9640658439421</v>
      </c>
      <c r="G218">
        <v>11429.813243609035</v>
      </c>
      <c r="H218" s="1">
        <v>45838.333333333336</v>
      </c>
    </row>
    <row r="219" spans="1:8" x14ac:dyDescent="0.25">
      <c r="A219" s="7">
        <f>DATE(YEAR(m5_crossvalid[[#This Row],[cutoff]]),MONTH(m5_crossvalid[[#This Row],[cutoff]]),DAY(m5_crossvalid[[#This Row],[cutoff]]))</f>
        <v>45869</v>
      </c>
      <c r="B219" s="7">
        <f>DATE(YEAR(m5_crossvalid[[#This Row],[ds]]),MONTH(m5_crossvalid[[#This Row],[ds]]),DAY(m5_crossvalid[[#This Row],[ds]]))</f>
        <v>45870</v>
      </c>
      <c r="C219">
        <v>761</v>
      </c>
      <c r="D219" s="1">
        <v>45870.333333333336</v>
      </c>
      <c r="E219">
        <v>2813.4409813088942</v>
      </c>
      <c r="F219">
        <v>1330.7657664751268</v>
      </c>
      <c r="G219">
        <v>4300.0208522251633</v>
      </c>
      <c r="H219" s="1">
        <v>45869.333333333336</v>
      </c>
    </row>
    <row r="220" spans="1:8" x14ac:dyDescent="0.25">
      <c r="A220" s="7">
        <f>DATE(YEAR(m5_crossvalid[[#This Row],[cutoff]]),MONTH(m5_crossvalid[[#This Row],[cutoff]]),DAY(m5_crossvalid[[#This Row],[cutoff]]))</f>
        <v>45869</v>
      </c>
      <c r="B220" s="7">
        <f>DATE(YEAR(m5_crossvalid[[#This Row],[ds]]),MONTH(m5_crossvalid[[#This Row],[ds]]),DAY(m5_crossvalid[[#This Row],[ds]]))</f>
        <v>45871</v>
      </c>
      <c r="C220">
        <v>74</v>
      </c>
      <c r="D220" s="1">
        <v>45871.333333333336</v>
      </c>
      <c r="E220">
        <v>-229.79960549390762</v>
      </c>
      <c r="F220">
        <v>-1662.8001105177466</v>
      </c>
      <c r="G220">
        <v>1206.2020622166538</v>
      </c>
      <c r="H220" s="1">
        <v>45869.333333333336</v>
      </c>
    </row>
    <row r="221" spans="1:8" x14ac:dyDescent="0.25">
      <c r="A221" s="7">
        <f>DATE(YEAR(m5_crossvalid[[#This Row],[cutoff]]),MONTH(m5_crossvalid[[#This Row],[cutoff]]),DAY(m5_crossvalid[[#This Row],[cutoff]]))</f>
        <v>45869</v>
      </c>
      <c r="B221" s="7">
        <f>DATE(YEAR(m5_crossvalid[[#This Row],[ds]]),MONTH(m5_crossvalid[[#This Row],[ds]]),DAY(m5_crossvalid[[#This Row],[ds]]))</f>
        <v>45872</v>
      </c>
      <c r="C221">
        <v>28</v>
      </c>
      <c r="D221" s="1">
        <v>45872.333333333336</v>
      </c>
      <c r="E221">
        <v>-1149.4817426029754</v>
      </c>
      <c r="F221">
        <v>-2692.5250414027114</v>
      </c>
      <c r="G221">
        <v>311.29204043541546</v>
      </c>
      <c r="H221" s="1">
        <v>45869.333333333336</v>
      </c>
    </row>
    <row r="222" spans="1:8" x14ac:dyDescent="0.25">
      <c r="A222" s="7">
        <f>DATE(YEAR(m5_crossvalid[[#This Row],[cutoff]]),MONTH(m5_crossvalid[[#This Row],[cutoff]]),DAY(m5_crossvalid[[#This Row],[cutoff]]))</f>
        <v>45869</v>
      </c>
      <c r="B222" s="7">
        <f>DATE(YEAR(m5_crossvalid[[#This Row],[ds]]),MONTH(m5_crossvalid[[#This Row],[ds]]),DAY(m5_crossvalid[[#This Row],[ds]]))</f>
        <v>45873</v>
      </c>
      <c r="C222">
        <v>912</v>
      </c>
      <c r="D222" s="1">
        <v>45873.333333333336</v>
      </c>
      <c r="E222">
        <v>1222.0323100112626</v>
      </c>
      <c r="F222">
        <v>-298.81235330145716</v>
      </c>
      <c r="G222">
        <v>2687.4677369366314</v>
      </c>
      <c r="H222" s="1">
        <v>45869.333333333336</v>
      </c>
    </row>
    <row r="223" spans="1:8" x14ac:dyDescent="0.25">
      <c r="A223" s="7">
        <f>DATE(YEAR(m5_crossvalid[[#This Row],[cutoff]]),MONTH(m5_crossvalid[[#This Row],[cutoff]]),DAY(m5_crossvalid[[#This Row],[cutoff]]))</f>
        <v>45869</v>
      </c>
      <c r="B223" s="7">
        <f>DATE(YEAR(m5_crossvalid[[#This Row],[ds]]),MONTH(m5_crossvalid[[#This Row],[ds]]),DAY(m5_crossvalid[[#This Row],[ds]]))</f>
        <v>45874</v>
      </c>
      <c r="C223">
        <v>2022</v>
      </c>
      <c r="D223" s="1">
        <v>45874.333333333336</v>
      </c>
      <c r="E223">
        <v>1638.0659953483323</v>
      </c>
      <c r="F223">
        <v>170.62895611590341</v>
      </c>
      <c r="G223">
        <v>3062.8848506309778</v>
      </c>
      <c r="H223" s="1">
        <v>45869.333333333336</v>
      </c>
    </row>
    <row r="224" spans="1:8" x14ac:dyDescent="0.25">
      <c r="A224" s="7">
        <f>DATE(YEAR(m5_crossvalid[[#This Row],[cutoff]]),MONTH(m5_crossvalid[[#This Row],[cutoff]]),DAY(m5_crossvalid[[#This Row],[cutoff]]))</f>
        <v>45869</v>
      </c>
      <c r="B224" s="7">
        <f>DATE(YEAR(m5_crossvalid[[#This Row],[ds]]),MONTH(m5_crossvalid[[#This Row],[ds]]),DAY(m5_crossvalid[[#This Row],[ds]]))</f>
        <v>45875</v>
      </c>
      <c r="C224">
        <v>1344</v>
      </c>
      <c r="D224" s="1">
        <v>45875.333333333336</v>
      </c>
      <c r="E224">
        <v>1885.4359492945523</v>
      </c>
      <c r="F224">
        <v>283.80427949243744</v>
      </c>
      <c r="G224">
        <v>3276.9287851784943</v>
      </c>
      <c r="H224" s="1">
        <v>45869.333333333336</v>
      </c>
    </row>
    <row r="225" spans="1:8" x14ac:dyDescent="0.25">
      <c r="A225" s="7">
        <f>DATE(YEAR(m5_crossvalid[[#This Row],[cutoff]]),MONTH(m5_crossvalid[[#This Row],[cutoff]]),DAY(m5_crossvalid[[#This Row],[cutoff]]))</f>
        <v>45869</v>
      </c>
      <c r="B225" s="7">
        <f>DATE(YEAR(m5_crossvalid[[#This Row],[ds]]),MONTH(m5_crossvalid[[#This Row],[ds]]),DAY(m5_crossvalid[[#This Row],[ds]]))</f>
        <v>45876</v>
      </c>
      <c r="C225">
        <v>1585</v>
      </c>
      <c r="D225" s="1">
        <v>45876.333333333336</v>
      </c>
      <c r="E225">
        <v>1855.1589033922387</v>
      </c>
      <c r="F225">
        <v>358.48486869600566</v>
      </c>
      <c r="G225">
        <v>3305.5432933521242</v>
      </c>
      <c r="H225" s="1">
        <v>45869.333333333336</v>
      </c>
    </row>
    <row r="226" spans="1:8" x14ac:dyDescent="0.25">
      <c r="A226" s="7">
        <f>DATE(YEAR(m5_crossvalid[[#This Row],[cutoff]]),MONTH(m5_crossvalid[[#This Row],[cutoff]]),DAY(m5_crossvalid[[#This Row],[cutoff]]))</f>
        <v>45869</v>
      </c>
      <c r="B226" s="7">
        <f>DATE(YEAR(m5_crossvalid[[#This Row],[ds]]),MONTH(m5_crossvalid[[#This Row],[ds]]),DAY(m5_crossvalid[[#This Row],[ds]]))</f>
        <v>45877</v>
      </c>
      <c r="C226">
        <v>2032</v>
      </c>
      <c r="D226" s="1">
        <v>45877.333333333336</v>
      </c>
      <c r="E226">
        <v>2371.1291075170511</v>
      </c>
      <c r="F226">
        <v>956.61722293007028</v>
      </c>
      <c r="G226">
        <v>3774.4767437971718</v>
      </c>
      <c r="H226" s="1">
        <v>45869.333333333336</v>
      </c>
    </row>
    <row r="227" spans="1:8" x14ac:dyDescent="0.25">
      <c r="A227" s="7">
        <f>DATE(YEAR(m5_crossvalid[[#This Row],[cutoff]]),MONTH(m5_crossvalid[[#This Row],[cutoff]]),DAY(m5_crossvalid[[#This Row],[cutoff]]))</f>
        <v>45869</v>
      </c>
      <c r="B227" s="7">
        <f>DATE(YEAR(m5_crossvalid[[#This Row],[ds]]),MONTH(m5_crossvalid[[#This Row],[ds]]),DAY(m5_crossvalid[[#This Row],[ds]]))</f>
        <v>45878</v>
      </c>
      <c r="C227">
        <v>327</v>
      </c>
      <c r="D227" s="1">
        <v>45878.333333333336</v>
      </c>
      <c r="E227">
        <v>-78.516388731794905</v>
      </c>
      <c r="F227">
        <v>-1431.1166832772515</v>
      </c>
      <c r="G227">
        <v>1338.3405036200038</v>
      </c>
      <c r="H227" s="1">
        <v>45869.333333333336</v>
      </c>
    </row>
    <row r="228" spans="1:8" x14ac:dyDescent="0.25">
      <c r="A228" s="7">
        <f>DATE(YEAR(m5_crossvalid[[#This Row],[cutoff]]),MONTH(m5_crossvalid[[#This Row],[cutoff]]),DAY(m5_crossvalid[[#This Row],[cutoff]]))</f>
        <v>45869</v>
      </c>
      <c r="B228" s="7">
        <f>DATE(YEAR(m5_crossvalid[[#This Row],[ds]]),MONTH(m5_crossvalid[[#This Row],[ds]]),DAY(m5_crossvalid[[#This Row],[ds]]))</f>
        <v>45879</v>
      </c>
      <c r="C228">
        <v>78</v>
      </c>
      <c r="D228" s="1">
        <v>45879.333333333336</v>
      </c>
      <c r="E228">
        <v>-644.9421210776768</v>
      </c>
      <c r="F228">
        <v>-2163.896825962262</v>
      </c>
      <c r="G228">
        <v>898.78203109271476</v>
      </c>
      <c r="H228" s="1">
        <v>45869.333333333336</v>
      </c>
    </row>
    <row r="229" spans="1:8" x14ac:dyDescent="0.25">
      <c r="A229" s="7">
        <f>DATE(YEAR(m5_crossvalid[[#This Row],[cutoff]]),MONTH(m5_crossvalid[[#This Row],[cutoff]]),DAY(m5_crossvalid[[#This Row],[cutoff]]))</f>
        <v>45869</v>
      </c>
      <c r="B229" s="7">
        <f>DATE(YEAR(m5_crossvalid[[#This Row],[ds]]),MONTH(m5_crossvalid[[#This Row],[ds]]),DAY(m5_crossvalid[[#This Row],[ds]]))</f>
        <v>45880</v>
      </c>
      <c r="C229">
        <v>2043</v>
      </c>
      <c r="D229" s="1">
        <v>45880.333333333336</v>
      </c>
      <c r="E229">
        <v>1961.2851012721026</v>
      </c>
      <c r="F229">
        <v>466.61232449918015</v>
      </c>
      <c r="G229">
        <v>3418.5673748522941</v>
      </c>
      <c r="H229" s="1">
        <v>45869.333333333336</v>
      </c>
    </row>
    <row r="230" spans="1:8" x14ac:dyDescent="0.25">
      <c r="A230" s="7">
        <f>DATE(YEAR(m5_crossvalid[[#This Row],[cutoff]]),MONTH(m5_crossvalid[[#This Row],[cutoff]]),DAY(m5_crossvalid[[#This Row],[cutoff]]))</f>
        <v>45869</v>
      </c>
      <c r="B230" s="7">
        <f>DATE(YEAR(m5_crossvalid[[#This Row],[ds]]),MONTH(m5_crossvalid[[#This Row],[ds]]),DAY(m5_crossvalid[[#This Row],[ds]]))</f>
        <v>45881</v>
      </c>
      <c r="C230">
        <v>2431</v>
      </c>
      <c r="D230" s="1">
        <v>45881.333333333336</v>
      </c>
      <c r="E230">
        <v>2358.2365647857059</v>
      </c>
      <c r="F230">
        <v>923.55240431533548</v>
      </c>
      <c r="G230">
        <v>3776.6865322140461</v>
      </c>
      <c r="H230" s="1">
        <v>45869.333333333336</v>
      </c>
    </row>
    <row r="231" spans="1:8" x14ac:dyDescent="0.25">
      <c r="A231" s="7">
        <f>DATE(YEAR(m5_crossvalid[[#This Row],[cutoff]]),MONTH(m5_crossvalid[[#This Row],[cutoff]]),DAY(m5_crossvalid[[#This Row],[cutoff]]))</f>
        <v>45869</v>
      </c>
      <c r="B231" s="7">
        <f>DATE(YEAR(m5_crossvalid[[#This Row],[ds]]),MONTH(m5_crossvalid[[#This Row],[ds]]),DAY(m5_crossvalid[[#This Row],[ds]]))</f>
        <v>45882</v>
      </c>
      <c r="C231">
        <v>2484</v>
      </c>
      <c r="D231" s="1">
        <v>45882.333333333336</v>
      </c>
      <c r="E231">
        <v>2523.9969473580913</v>
      </c>
      <c r="F231">
        <v>1027.8966321073724</v>
      </c>
      <c r="G231">
        <v>4022.4805274925952</v>
      </c>
      <c r="H231" s="1">
        <v>45869.333333333336</v>
      </c>
    </row>
    <row r="232" spans="1:8" x14ac:dyDescent="0.25">
      <c r="A232" s="7">
        <f>DATE(YEAR(m5_crossvalid[[#This Row],[cutoff]]),MONTH(m5_crossvalid[[#This Row],[cutoff]]),DAY(m5_crossvalid[[#This Row],[cutoff]]))</f>
        <v>45869</v>
      </c>
      <c r="B232" s="7">
        <f>DATE(YEAR(m5_crossvalid[[#This Row],[ds]]),MONTH(m5_crossvalid[[#This Row],[ds]]),DAY(m5_crossvalid[[#This Row],[ds]]))</f>
        <v>45883</v>
      </c>
      <c r="C232">
        <v>2669</v>
      </c>
      <c r="D232" s="1">
        <v>45883.333333333336</v>
      </c>
      <c r="E232">
        <v>2562.7457685201875</v>
      </c>
      <c r="F232">
        <v>1137.6533347397506</v>
      </c>
      <c r="G232">
        <v>3880.6444782738272</v>
      </c>
      <c r="H232" s="1">
        <v>45869.333333333336</v>
      </c>
    </row>
    <row r="233" spans="1:8" x14ac:dyDescent="0.25">
      <c r="A233" s="7">
        <f>DATE(YEAR(m5_crossvalid[[#This Row],[cutoff]]),MONTH(m5_crossvalid[[#This Row],[cutoff]]),DAY(m5_crossvalid[[#This Row],[cutoff]]))</f>
        <v>45869</v>
      </c>
      <c r="B233" s="7">
        <f>DATE(YEAR(m5_crossvalid[[#This Row],[ds]]),MONTH(m5_crossvalid[[#This Row],[ds]]),DAY(m5_crossvalid[[#This Row],[ds]]))</f>
        <v>45884</v>
      </c>
      <c r="C233">
        <v>3160</v>
      </c>
      <c r="D233" s="1">
        <v>45884.333333333336</v>
      </c>
      <c r="E233">
        <v>2574.0472750719055</v>
      </c>
      <c r="F233">
        <v>1104.954565583756</v>
      </c>
      <c r="G233">
        <v>4185.1317354382691</v>
      </c>
      <c r="H233" s="1">
        <v>45869.333333333336</v>
      </c>
    </row>
    <row r="234" spans="1:8" x14ac:dyDescent="0.25">
      <c r="A234" s="7">
        <f>DATE(YEAR(m5_crossvalid[[#This Row],[cutoff]]),MONTH(m5_crossvalid[[#This Row],[cutoff]]),DAY(m5_crossvalid[[#This Row],[cutoff]]))</f>
        <v>45869</v>
      </c>
      <c r="B234" s="7">
        <f>DATE(YEAR(m5_crossvalid[[#This Row],[ds]]),MONTH(m5_crossvalid[[#This Row],[ds]]),DAY(m5_crossvalid[[#This Row],[ds]]))</f>
        <v>45885</v>
      </c>
      <c r="C234">
        <v>560</v>
      </c>
      <c r="D234" s="1">
        <v>45885.333333333336</v>
      </c>
      <c r="E234">
        <v>474.44814920133172</v>
      </c>
      <c r="F234">
        <v>-972.71919345133801</v>
      </c>
      <c r="G234">
        <v>1891.4199591971228</v>
      </c>
      <c r="H234" s="1">
        <v>45869.333333333336</v>
      </c>
    </row>
    <row r="235" spans="1:8" x14ac:dyDescent="0.25">
      <c r="A235" s="7">
        <f>DATE(YEAR(m5_crossvalid[[#This Row],[cutoff]]),MONTH(m5_crossvalid[[#This Row],[cutoff]]),DAY(m5_crossvalid[[#This Row],[cutoff]]))</f>
        <v>45869</v>
      </c>
      <c r="B235" s="7">
        <f>DATE(YEAR(m5_crossvalid[[#This Row],[ds]]),MONTH(m5_crossvalid[[#This Row],[ds]]),DAY(m5_crossvalid[[#This Row],[ds]]))</f>
        <v>45886</v>
      </c>
      <c r="C235">
        <v>166</v>
      </c>
      <c r="D235" s="1">
        <v>45886.333333333336</v>
      </c>
      <c r="E235">
        <v>130.21144889024481</v>
      </c>
      <c r="F235">
        <v>-1271.0236335434749</v>
      </c>
      <c r="G235">
        <v>1556.0520085285978</v>
      </c>
      <c r="H235" s="1">
        <v>45869.333333333336</v>
      </c>
    </row>
    <row r="236" spans="1:8" x14ac:dyDescent="0.25">
      <c r="A236" s="7">
        <f>DATE(YEAR(m5_crossvalid[[#This Row],[cutoff]]),MONTH(m5_crossvalid[[#This Row],[cutoff]]),DAY(m5_crossvalid[[#This Row],[cutoff]]))</f>
        <v>45869</v>
      </c>
      <c r="B236" s="7">
        <f>DATE(YEAR(m5_crossvalid[[#This Row],[ds]]),MONTH(m5_crossvalid[[#This Row],[ds]]),DAY(m5_crossvalid[[#This Row],[ds]]))</f>
        <v>45887</v>
      </c>
      <c r="C236">
        <v>3003</v>
      </c>
      <c r="D236" s="1">
        <v>45887.333333333336</v>
      </c>
      <c r="E236">
        <v>2746.6164262990974</v>
      </c>
      <c r="F236">
        <v>1344.6517199344598</v>
      </c>
      <c r="G236">
        <v>4352.48701218734</v>
      </c>
      <c r="H236" s="1">
        <v>45869.333333333336</v>
      </c>
    </row>
    <row r="237" spans="1:8" x14ac:dyDescent="0.25">
      <c r="A237" s="7">
        <f>DATE(YEAR(m5_crossvalid[[#This Row],[cutoff]]),MONTH(m5_crossvalid[[#This Row],[cutoff]]),DAY(m5_crossvalid[[#This Row],[cutoff]]))</f>
        <v>45869</v>
      </c>
      <c r="B237" s="7">
        <f>DATE(YEAR(m5_crossvalid[[#This Row],[ds]]),MONTH(m5_crossvalid[[#This Row],[ds]]),DAY(m5_crossvalid[[#This Row],[ds]]))</f>
        <v>45888</v>
      </c>
      <c r="C237">
        <v>3182</v>
      </c>
      <c r="D237" s="1">
        <v>45888.333333333336</v>
      </c>
      <c r="E237">
        <v>3037.5068445782936</v>
      </c>
      <c r="F237">
        <v>1596.993214176026</v>
      </c>
      <c r="G237">
        <v>4432.8978487313925</v>
      </c>
      <c r="H237" s="1">
        <v>45869.333333333336</v>
      </c>
    </row>
    <row r="238" spans="1:8" x14ac:dyDescent="0.25">
      <c r="A238" s="7">
        <f>DATE(YEAR(m5_crossvalid[[#This Row],[cutoff]]),MONTH(m5_crossvalid[[#This Row],[cutoff]]),DAY(m5_crossvalid[[#This Row],[cutoff]]))</f>
        <v>45869</v>
      </c>
      <c r="B238" s="7">
        <f>DATE(YEAR(m5_crossvalid[[#This Row],[ds]]),MONTH(m5_crossvalid[[#This Row],[ds]]),DAY(m5_crossvalid[[#This Row],[ds]]))</f>
        <v>45889</v>
      </c>
      <c r="C238">
        <v>3745</v>
      </c>
      <c r="D238" s="1">
        <v>45889.333333333336</v>
      </c>
      <c r="E238">
        <v>3151.0154295095695</v>
      </c>
      <c r="F238">
        <v>1701.3368698216802</v>
      </c>
      <c r="G238">
        <v>4574.6385708898397</v>
      </c>
      <c r="H238" s="1">
        <v>45869.333333333336</v>
      </c>
    </row>
    <row r="239" spans="1:8" x14ac:dyDescent="0.25">
      <c r="A239" s="7">
        <f>DATE(YEAR(m5_crossvalid[[#This Row],[cutoff]]),MONTH(m5_crossvalid[[#This Row],[cutoff]]),DAY(m5_crossvalid[[#This Row],[cutoff]]))</f>
        <v>45869</v>
      </c>
      <c r="B239" s="7">
        <f>DATE(YEAR(m5_crossvalid[[#This Row],[ds]]),MONTH(m5_crossvalid[[#This Row],[ds]]),DAY(m5_crossvalid[[#This Row],[ds]]))</f>
        <v>45890</v>
      </c>
      <c r="C239">
        <v>3754</v>
      </c>
      <c r="D239" s="1">
        <v>45890.333333333336</v>
      </c>
      <c r="E239">
        <v>3266.2753347187881</v>
      </c>
      <c r="F239">
        <v>1838.1161358833435</v>
      </c>
      <c r="G239">
        <v>4857.4640590571571</v>
      </c>
      <c r="H239" s="1">
        <v>45869.333333333336</v>
      </c>
    </row>
    <row r="240" spans="1:8" x14ac:dyDescent="0.25">
      <c r="A240" s="7">
        <f>DATE(YEAR(m5_crossvalid[[#This Row],[cutoff]]),MONTH(m5_crossvalid[[#This Row],[cutoff]]),DAY(m5_crossvalid[[#This Row],[cutoff]]))</f>
        <v>45869</v>
      </c>
      <c r="B240" s="7">
        <f>DATE(YEAR(m5_crossvalid[[#This Row],[ds]]),MONTH(m5_crossvalid[[#This Row],[ds]]),DAY(m5_crossvalid[[#This Row],[ds]]))</f>
        <v>45891</v>
      </c>
      <c r="C240">
        <v>3741</v>
      </c>
      <c r="D240" s="1">
        <v>45891.333333333336</v>
      </c>
      <c r="E240">
        <v>3393.7296319436437</v>
      </c>
      <c r="F240">
        <v>1951.9015078267546</v>
      </c>
      <c r="G240">
        <v>4878.9325466398404</v>
      </c>
      <c r="H240" s="1">
        <v>45869.333333333336</v>
      </c>
    </row>
    <row r="241" spans="1:8" x14ac:dyDescent="0.25">
      <c r="A241" s="7">
        <f>DATE(YEAR(m5_crossvalid[[#This Row],[cutoff]]),MONTH(m5_crossvalid[[#This Row],[cutoff]]),DAY(m5_crossvalid[[#This Row],[cutoff]]))</f>
        <v>45869</v>
      </c>
      <c r="B241" s="7">
        <f>DATE(YEAR(m5_crossvalid[[#This Row],[ds]]),MONTH(m5_crossvalid[[#This Row],[ds]]),DAY(m5_crossvalid[[#This Row],[ds]]))</f>
        <v>45892</v>
      </c>
      <c r="C241">
        <v>761</v>
      </c>
      <c r="D241" s="1">
        <v>45892.333333333336</v>
      </c>
      <c r="E241">
        <v>1294.1377916171837</v>
      </c>
      <c r="F241">
        <v>-86.782780155737967</v>
      </c>
      <c r="G241">
        <v>2812.9570691052054</v>
      </c>
      <c r="H241" s="1">
        <v>45869.333333333336</v>
      </c>
    </row>
    <row r="242" spans="1:8" x14ac:dyDescent="0.25">
      <c r="A242" s="7">
        <f>DATE(YEAR(m5_crossvalid[[#This Row],[cutoff]]),MONTH(m5_crossvalid[[#This Row],[cutoff]]),DAY(m5_crossvalid[[#This Row],[cutoff]]))</f>
        <v>45869</v>
      </c>
      <c r="B242" s="7">
        <f>DATE(YEAR(m5_crossvalid[[#This Row],[ds]]),MONTH(m5_crossvalid[[#This Row],[ds]]),DAY(m5_crossvalid[[#This Row],[ds]]))</f>
        <v>45893</v>
      </c>
      <c r="C242">
        <v>239</v>
      </c>
      <c r="D242" s="1">
        <v>45893.333333333336</v>
      </c>
      <c r="E242">
        <v>780.2933348934921</v>
      </c>
      <c r="F242">
        <v>-641.49812867123535</v>
      </c>
      <c r="G242">
        <v>2203.656421464862</v>
      </c>
      <c r="H242" s="1">
        <v>45869.333333333336</v>
      </c>
    </row>
    <row r="243" spans="1:8" x14ac:dyDescent="0.25">
      <c r="A243" s="7">
        <f>DATE(YEAR(m5_crossvalid[[#This Row],[cutoff]]),MONTH(m5_crossvalid[[#This Row],[cutoff]]),DAY(m5_crossvalid[[#This Row],[cutoff]]))</f>
        <v>45869</v>
      </c>
      <c r="B243" s="7">
        <f>DATE(YEAR(m5_crossvalid[[#This Row],[ds]]),MONTH(m5_crossvalid[[#This Row],[ds]]),DAY(m5_crossvalid[[#This Row],[ds]]))</f>
        <v>45894</v>
      </c>
      <c r="C243">
        <v>3838</v>
      </c>
      <c r="D243" s="1">
        <v>45894.333333333336</v>
      </c>
      <c r="E243">
        <v>4000.2253503372617</v>
      </c>
      <c r="F243">
        <v>2594.8079560273795</v>
      </c>
      <c r="G243">
        <v>5363.0641971002206</v>
      </c>
      <c r="H243" s="1">
        <v>45869.333333333336</v>
      </c>
    </row>
    <row r="244" spans="1:8" x14ac:dyDescent="0.25">
      <c r="A244" s="7">
        <f>DATE(YEAR(m5_crossvalid[[#This Row],[cutoff]]),MONTH(m5_crossvalid[[#This Row],[cutoff]]),DAY(m5_crossvalid[[#This Row],[cutoff]]))</f>
        <v>45869</v>
      </c>
      <c r="B244" s="7">
        <f>DATE(YEAR(m5_crossvalid[[#This Row],[ds]]),MONTH(m5_crossvalid[[#This Row],[ds]]),DAY(m5_crossvalid[[#This Row],[ds]]))</f>
        <v>45895</v>
      </c>
      <c r="C244">
        <v>5214</v>
      </c>
      <c r="D244" s="1">
        <v>45895.333333333336</v>
      </c>
      <c r="E244">
        <v>4235.0529793844034</v>
      </c>
      <c r="F244">
        <v>2707.5926537038072</v>
      </c>
      <c r="G244">
        <v>5769.9602042020761</v>
      </c>
      <c r="H244" s="1">
        <v>45869.333333333336</v>
      </c>
    </row>
    <row r="245" spans="1:8" x14ac:dyDescent="0.25">
      <c r="A245" s="7">
        <f>DATE(YEAR(m5_crossvalid[[#This Row],[cutoff]]),MONTH(m5_crossvalid[[#This Row],[cutoff]]),DAY(m5_crossvalid[[#This Row],[cutoff]]))</f>
        <v>45869</v>
      </c>
      <c r="B245" s="7">
        <f>DATE(YEAR(m5_crossvalid[[#This Row],[ds]]),MONTH(m5_crossvalid[[#This Row],[ds]]),DAY(m5_crossvalid[[#This Row],[ds]]))</f>
        <v>45896</v>
      </c>
      <c r="C245">
        <v>5989</v>
      </c>
      <c r="D245" s="1">
        <v>45896.333333333336</v>
      </c>
      <c r="E245">
        <v>4550.7488056327211</v>
      </c>
      <c r="F245">
        <v>3112.1611777959888</v>
      </c>
      <c r="G245">
        <v>5987.9238360670452</v>
      </c>
      <c r="H245" s="1">
        <v>45869.333333333336</v>
      </c>
    </row>
    <row r="246" spans="1:8" x14ac:dyDescent="0.25">
      <c r="A246" s="7">
        <f>DATE(YEAR(m5_crossvalid[[#This Row],[cutoff]]),MONTH(m5_crossvalid[[#This Row],[cutoff]]),DAY(m5_crossvalid[[#This Row],[cutoff]]))</f>
        <v>45869</v>
      </c>
      <c r="B246" s="7">
        <f>DATE(YEAR(m5_crossvalid[[#This Row],[ds]]),MONTH(m5_crossvalid[[#This Row],[ds]]),DAY(m5_crossvalid[[#This Row],[ds]]))</f>
        <v>45897</v>
      </c>
      <c r="C246">
        <v>7115</v>
      </c>
      <c r="D246" s="1">
        <v>45897.333333333336</v>
      </c>
      <c r="E246">
        <v>5013.3138804012615</v>
      </c>
      <c r="F246">
        <v>3639.769297874167</v>
      </c>
      <c r="G246">
        <v>6432.7262556946125</v>
      </c>
      <c r="H246" s="1">
        <v>45869.333333333336</v>
      </c>
    </row>
    <row r="247" spans="1:8" x14ac:dyDescent="0.25">
      <c r="A247" s="7">
        <f>DATE(YEAR(m5_crossvalid[[#This Row],[cutoff]]),MONTH(m5_crossvalid[[#This Row],[cutoff]]),DAY(m5_crossvalid[[#This Row],[cutoff]]))</f>
        <v>45869</v>
      </c>
      <c r="B247" s="7">
        <f>DATE(YEAR(m5_crossvalid[[#This Row],[ds]]),MONTH(m5_crossvalid[[#This Row],[ds]]),DAY(m5_crossvalid[[#This Row],[ds]]))</f>
        <v>45898</v>
      </c>
      <c r="C247">
        <v>9571</v>
      </c>
      <c r="D247" s="1">
        <v>45898.333333333336</v>
      </c>
      <c r="E247">
        <v>5376.980103741902</v>
      </c>
      <c r="F247">
        <v>3886.5179705797086</v>
      </c>
      <c r="G247">
        <v>6852.3422226803223</v>
      </c>
      <c r="H247" s="1">
        <v>45869.333333333336</v>
      </c>
    </row>
    <row r="248" spans="1:8" x14ac:dyDescent="0.25">
      <c r="A248" s="7">
        <f>DATE(YEAR(m5_crossvalid[[#This Row],[cutoff]]),MONTH(m5_crossvalid[[#This Row],[cutoff]]),DAY(m5_crossvalid[[#This Row],[cutoff]]))</f>
        <v>45869</v>
      </c>
      <c r="B248" s="7">
        <f>DATE(YEAR(m5_crossvalid[[#This Row],[ds]]),MONTH(m5_crossvalid[[#This Row],[ds]]),DAY(m5_crossvalid[[#This Row],[ds]]))</f>
        <v>45899</v>
      </c>
      <c r="C248">
        <v>5764</v>
      </c>
      <c r="D248" s="1">
        <v>45899.333333333336</v>
      </c>
      <c r="E248">
        <v>5390.8294806514768</v>
      </c>
      <c r="F248">
        <v>3907.4563532461561</v>
      </c>
      <c r="G248">
        <v>6749.0789813759548</v>
      </c>
      <c r="H248" s="1">
        <v>45869.333333333336</v>
      </c>
    </row>
    <row r="249" spans="1:8" x14ac:dyDescent="0.25">
      <c r="A249" s="7">
        <f>DATE(YEAR(m5_crossvalid[[#This Row],[cutoff]]),MONTH(m5_crossvalid[[#This Row],[cutoff]]),DAY(m5_crossvalid[[#This Row],[cutoff]]))</f>
        <v>45869</v>
      </c>
      <c r="B249" s="7">
        <f>DATE(YEAR(m5_crossvalid[[#This Row],[ds]]),MONTH(m5_crossvalid[[#This Row],[ds]]),DAY(m5_crossvalid[[#This Row],[ds]]))</f>
        <v>45900</v>
      </c>
      <c r="C249">
        <v>386</v>
      </c>
      <c r="D249" s="1">
        <v>45900.333333333336</v>
      </c>
      <c r="E249">
        <v>5338.4064110111067</v>
      </c>
      <c r="F249">
        <v>3829.9200953894483</v>
      </c>
      <c r="G249">
        <v>6820.6825643813663</v>
      </c>
      <c r="H249" s="1">
        <v>45869.333333333336</v>
      </c>
    </row>
    <row r="250" spans="1:8" x14ac:dyDescent="0.25">
      <c r="A250" s="7">
        <f>DATE(YEAR(m5_crossvalid[[#This Row],[cutoff]]),MONTH(m5_crossvalid[[#This Row],[cutoff]]),DAY(m5_crossvalid[[#This Row],[cutoff]]))</f>
        <v>45900</v>
      </c>
      <c r="B250" s="7">
        <f>DATE(YEAR(m5_crossvalid[[#This Row],[ds]]),MONTH(m5_crossvalid[[#This Row],[ds]]),DAY(m5_crossvalid[[#This Row],[ds]]))</f>
        <v>45901</v>
      </c>
      <c r="C250">
        <v>34</v>
      </c>
      <c r="D250" s="1">
        <v>45901.333333333336</v>
      </c>
      <c r="E250">
        <v>535.19977479299814</v>
      </c>
      <c r="F250">
        <v>-1066.9217828813328</v>
      </c>
      <c r="G250">
        <v>2069.8083594193408</v>
      </c>
      <c r="H250" s="1">
        <v>45900.333333333336</v>
      </c>
    </row>
    <row r="251" spans="1:8" x14ac:dyDescent="0.25">
      <c r="A251" s="7">
        <f>DATE(YEAR(m5_crossvalid[[#This Row],[cutoff]]),MONTH(m5_crossvalid[[#This Row],[cutoff]]),DAY(m5_crossvalid[[#This Row],[cutoff]]))</f>
        <v>45900</v>
      </c>
      <c r="B251" s="7">
        <f>DATE(YEAR(m5_crossvalid[[#This Row],[ds]]),MONTH(m5_crossvalid[[#This Row],[ds]]),DAY(m5_crossvalid[[#This Row],[ds]]))</f>
        <v>45902</v>
      </c>
      <c r="C251">
        <v>463</v>
      </c>
      <c r="D251" s="1">
        <v>45902.333333333336</v>
      </c>
      <c r="E251">
        <v>1848.6152435728914</v>
      </c>
      <c r="F251">
        <v>457.48764662836265</v>
      </c>
      <c r="G251">
        <v>3161.3643650210875</v>
      </c>
      <c r="H251" s="1">
        <v>45900.333333333336</v>
      </c>
    </row>
    <row r="252" spans="1:8" x14ac:dyDescent="0.25">
      <c r="A252" s="7">
        <f>DATE(YEAR(m5_crossvalid[[#This Row],[cutoff]]),MONTH(m5_crossvalid[[#This Row],[cutoff]]),DAY(m5_crossvalid[[#This Row],[cutoff]]))</f>
        <v>45900</v>
      </c>
      <c r="B252" s="7">
        <f>DATE(YEAR(m5_crossvalid[[#This Row],[ds]]),MONTH(m5_crossvalid[[#This Row],[ds]]),DAY(m5_crossvalid[[#This Row],[ds]]))</f>
        <v>45903</v>
      </c>
      <c r="C252">
        <v>734</v>
      </c>
      <c r="D252" s="1">
        <v>45903.333333333336</v>
      </c>
      <c r="E252">
        <v>1768.66068890667</v>
      </c>
      <c r="F252">
        <v>316.81273936067049</v>
      </c>
      <c r="G252">
        <v>3381.1830450437983</v>
      </c>
      <c r="H252" s="1">
        <v>45900.333333333336</v>
      </c>
    </row>
    <row r="253" spans="1:8" x14ac:dyDescent="0.25">
      <c r="A253" s="7">
        <f>DATE(YEAR(m5_crossvalid[[#This Row],[cutoff]]),MONTH(m5_crossvalid[[#This Row],[cutoff]]),DAY(m5_crossvalid[[#This Row],[cutoff]]))</f>
        <v>45900</v>
      </c>
      <c r="B253" s="7">
        <f>DATE(YEAR(m5_crossvalid[[#This Row],[ds]]),MONTH(m5_crossvalid[[#This Row],[ds]]),DAY(m5_crossvalid[[#This Row],[ds]]))</f>
        <v>45904</v>
      </c>
      <c r="C253">
        <v>973</v>
      </c>
      <c r="D253" s="1">
        <v>45904.333333333336</v>
      </c>
      <c r="E253">
        <v>1775.9260815745188</v>
      </c>
      <c r="F253">
        <v>377.73223137543613</v>
      </c>
      <c r="G253">
        <v>3173.6058010584547</v>
      </c>
      <c r="H253" s="1">
        <v>45900.333333333336</v>
      </c>
    </row>
    <row r="254" spans="1:8" x14ac:dyDescent="0.25">
      <c r="A254" s="7">
        <f>DATE(YEAR(m5_crossvalid[[#This Row],[cutoff]]),MONTH(m5_crossvalid[[#This Row],[cutoff]]),DAY(m5_crossvalid[[#This Row],[cutoff]]))</f>
        <v>45900</v>
      </c>
      <c r="B254" s="7">
        <f>DATE(YEAR(m5_crossvalid[[#This Row],[ds]]),MONTH(m5_crossvalid[[#This Row],[ds]]),DAY(m5_crossvalid[[#This Row],[ds]]))</f>
        <v>45905</v>
      </c>
      <c r="C254">
        <v>61</v>
      </c>
      <c r="D254" s="1">
        <v>45905.333333333336</v>
      </c>
      <c r="E254">
        <v>115.13888021689581</v>
      </c>
      <c r="F254">
        <v>-1367.3582863162662</v>
      </c>
      <c r="G254">
        <v>1552.7540481473575</v>
      </c>
      <c r="H254" s="1">
        <v>45900.333333333336</v>
      </c>
    </row>
    <row r="255" spans="1:8" x14ac:dyDescent="0.25">
      <c r="A255" s="7">
        <f>DATE(YEAR(m5_crossvalid[[#This Row],[cutoff]]),MONTH(m5_crossvalid[[#This Row],[cutoff]]),DAY(m5_crossvalid[[#This Row],[cutoff]]))</f>
        <v>45900</v>
      </c>
      <c r="B255" s="7">
        <f>DATE(YEAR(m5_crossvalid[[#This Row],[ds]]),MONTH(m5_crossvalid[[#This Row],[ds]]),DAY(m5_crossvalid[[#This Row],[ds]]))</f>
        <v>45906</v>
      </c>
      <c r="C255">
        <v>107</v>
      </c>
      <c r="D255" s="1">
        <v>45906.333333333336</v>
      </c>
      <c r="E255">
        <v>-409.1641800649395</v>
      </c>
      <c r="F255">
        <v>-1769.5388203483221</v>
      </c>
      <c r="G255">
        <v>1012.865733751788</v>
      </c>
      <c r="H255" s="1">
        <v>45900.333333333336</v>
      </c>
    </row>
    <row r="256" spans="1:8" x14ac:dyDescent="0.25">
      <c r="A256" s="7">
        <f>DATE(YEAR(m5_crossvalid[[#This Row],[cutoff]]),MONTH(m5_crossvalid[[#This Row],[cutoff]]),DAY(m5_crossvalid[[#This Row],[cutoff]]))</f>
        <v>45900</v>
      </c>
      <c r="B256" s="7">
        <f>DATE(YEAR(m5_crossvalid[[#This Row],[ds]]),MONTH(m5_crossvalid[[#This Row],[ds]]),DAY(m5_crossvalid[[#This Row],[ds]]))</f>
        <v>45907</v>
      </c>
      <c r="C256">
        <v>30</v>
      </c>
      <c r="D256" s="1">
        <v>45907.333333333336</v>
      </c>
      <c r="E256">
        <v>-1116.629663872181</v>
      </c>
      <c r="F256">
        <v>-2564.5900326107044</v>
      </c>
      <c r="G256">
        <v>334.79786695042083</v>
      </c>
      <c r="H256" s="1">
        <v>45900.333333333336</v>
      </c>
    </row>
    <row r="257" spans="1:8" x14ac:dyDescent="0.25">
      <c r="A257" s="7">
        <f>DATE(YEAR(m5_crossvalid[[#This Row],[cutoff]]),MONTH(m5_crossvalid[[#This Row],[cutoff]]),DAY(m5_crossvalid[[#This Row],[cutoff]]))</f>
        <v>45900</v>
      </c>
      <c r="B257" s="7">
        <f>DATE(YEAR(m5_crossvalid[[#This Row],[ds]]),MONTH(m5_crossvalid[[#This Row],[ds]]),DAY(m5_crossvalid[[#This Row],[ds]]))</f>
        <v>45908</v>
      </c>
      <c r="C257">
        <v>1382</v>
      </c>
      <c r="D257" s="1">
        <v>45908.333333333336</v>
      </c>
      <c r="E257">
        <v>1976.4394067081462</v>
      </c>
      <c r="F257">
        <v>452.93855856119308</v>
      </c>
      <c r="G257">
        <v>3500.721279915701</v>
      </c>
      <c r="H257" s="1">
        <v>45900.333333333336</v>
      </c>
    </row>
    <row r="258" spans="1:8" x14ac:dyDescent="0.25">
      <c r="A258" s="7">
        <f>DATE(YEAR(m5_crossvalid[[#This Row],[cutoff]]),MONTH(m5_crossvalid[[#This Row],[cutoff]]),DAY(m5_crossvalid[[#This Row],[cutoff]]))</f>
        <v>45900</v>
      </c>
      <c r="B258" s="7">
        <f>DATE(YEAR(m5_crossvalid[[#This Row],[ds]]),MONTH(m5_crossvalid[[#This Row],[ds]]),DAY(m5_crossvalid[[#This Row],[ds]]))</f>
        <v>45909</v>
      </c>
      <c r="C258">
        <v>1925</v>
      </c>
      <c r="D258" s="1">
        <v>45909.333333333336</v>
      </c>
      <c r="E258">
        <v>2097.1983204630374</v>
      </c>
      <c r="F258">
        <v>688.22537798340079</v>
      </c>
      <c r="G258">
        <v>3493.712104184106</v>
      </c>
      <c r="H258" s="1">
        <v>45900.333333333336</v>
      </c>
    </row>
    <row r="259" spans="1:8" x14ac:dyDescent="0.25">
      <c r="A259" s="7">
        <f>DATE(YEAR(m5_crossvalid[[#This Row],[cutoff]]),MONTH(m5_crossvalid[[#This Row],[cutoff]]),DAY(m5_crossvalid[[#This Row],[cutoff]]))</f>
        <v>45900</v>
      </c>
      <c r="B259" s="7">
        <f>DATE(YEAR(m5_crossvalid[[#This Row],[ds]]),MONTH(m5_crossvalid[[#This Row],[ds]]),DAY(m5_crossvalid[[#This Row],[ds]]))</f>
        <v>45910</v>
      </c>
      <c r="C259">
        <v>1988</v>
      </c>
      <c r="D259" s="1">
        <v>45910.333333333336</v>
      </c>
      <c r="E259">
        <v>2180.1837955539218</v>
      </c>
      <c r="F259">
        <v>765.54984591553387</v>
      </c>
      <c r="G259">
        <v>3647.1947786544201</v>
      </c>
      <c r="H259" s="1">
        <v>45900.333333333336</v>
      </c>
    </row>
    <row r="260" spans="1:8" x14ac:dyDescent="0.25">
      <c r="A260" s="7">
        <f>DATE(YEAR(m5_crossvalid[[#This Row],[cutoff]]),MONTH(m5_crossvalid[[#This Row],[cutoff]]),DAY(m5_crossvalid[[#This Row],[cutoff]]))</f>
        <v>45900</v>
      </c>
      <c r="B260" s="7">
        <f>DATE(YEAR(m5_crossvalid[[#This Row],[ds]]),MONTH(m5_crossvalid[[#This Row],[ds]]),DAY(m5_crossvalid[[#This Row],[ds]]))</f>
        <v>45911</v>
      </c>
      <c r="C260">
        <v>2414</v>
      </c>
      <c r="D260" s="1">
        <v>45911.333333333336</v>
      </c>
      <c r="E260">
        <v>2272.7944491886183</v>
      </c>
      <c r="F260">
        <v>828.07820268940736</v>
      </c>
      <c r="G260">
        <v>3828.7354572008735</v>
      </c>
      <c r="H260" s="1">
        <v>45900.333333333336</v>
      </c>
    </row>
    <row r="261" spans="1:8" x14ac:dyDescent="0.25">
      <c r="A261" s="7">
        <f>DATE(YEAR(m5_crossvalid[[#This Row],[cutoff]]),MONTH(m5_crossvalid[[#This Row],[cutoff]]),DAY(m5_crossvalid[[#This Row],[cutoff]]))</f>
        <v>45900</v>
      </c>
      <c r="B261" s="7">
        <f>DATE(YEAR(m5_crossvalid[[#This Row],[ds]]),MONTH(m5_crossvalid[[#This Row],[ds]]),DAY(m5_crossvalid[[#This Row],[ds]]))</f>
        <v>45912</v>
      </c>
      <c r="C261">
        <v>2644</v>
      </c>
      <c r="D261" s="1">
        <v>45912.333333333336</v>
      </c>
      <c r="E261">
        <v>2265.2885758017005</v>
      </c>
      <c r="F261">
        <v>816.03457772004174</v>
      </c>
      <c r="G261">
        <v>3623.6167763771937</v>
      </c>
      <c r="H261" s="1">
        <v>45900.333333333336</v>
      </c>
    </row>
    <row r="262" spans="1:8" x14ac:dyDescent="0.25">
      <c r="A262" s="7">
        <f>DATE(YEAR(m5_crossvalid[[#This Row],[cutoff]]),MONTH(m5_crossvalid[[#This Row],[cutoff]]),DAY(m5_crossvalid[[#This Row],[cutoff]]))</f>
        <v>45900</v>
      </c>
      <c r="B262" s="7">
        <f>DATE(YEAR(m5_crossvalid[[#This Row],[ds]]),MONTH(m5_crossvalid[[#This Row],[ds]]),DAY(m5_crossvalid[[#This Row],[ds]]))</f>
        <v>45913</v>
      </c>
      <c r="C262">
        <v>439</v>
      </c>
      <c r="D262" s="1">
        <v>45913.333333333336</v>
      </c>
      <c r="E262">
        <v>23.739735467416722</v>
      </c>
      <c r="F262">
        <v>-1415.3128714500167</v>
      </c>
      <c r="G262">
        <v>1481.7812122804228</v>
      </c>
      <c r="H262" s="1">
        <v>45900.333333333336</v>
      </c>
    </row>
    <row r="263" spans="1:8" x14ac:dyDescent="0.25">
      <c r="A263" s="7">
        <f>DATE(YEAR(m5_crossvalid[[#This Row],[cutoff]]),MONTH(m5_crossvalid[[#This Row],[cutoff]]),DAY(m5_crossvalid[[#This Row],[cutoff]]))</f>
        <v>45900</v>
      </c>
      <c r="B263" s="7">
        <f>DATE(YEAR(m5_crossvalid[[#This Row],[ds]]),MONTH(m5_crossvalid[[#This Row],[ds]]),DAY(m5_crossvalid[[#This Row],[ds]]))</f>
        <v>45914</v>
      </c>
      <c r="C263">
        <v>108</v>
      </c>
      <c r="D263" s="1">
        <v>45914.333333333336</v>
      </c>
      <c r="E263">
        <v>-491.28874547659188</v>
      </c>
      <c r="F263">
        <v>-1990.6304497993874</v>
      </c>
      <c r="G263">
        <v>1033.6337377247007</v>
      </c>
      <c r="H263" s="1">
        <v>45900.333333333336</v>
      </c>
    </row>
    <row r="264" spans="1:8" x14ac:dyDescent="0.25">
      <c r="A264" s="7">
        <f>DATE(YEAR(m5_crossvalid[[#This Row],[cutoff]]),MONTH(m5_crossvalid[[#This Row],[cutoff]]),DAY(m5_crossvalid[[#This Row],[cutoff]]))</f>
        <v>45900</v>
      </c>
      <c r="B264" s="7">
        <f>DATE(YEAR(m5_crossvalid[[#This Row],[ds]]),MONTH(m5_crossvalid[[#This Row],[ds]]),DAY(m5_crossvalid[[#This Row],[ds]]))</f>
        <v>45915</v>
      </c>
      <c r="C264">
        <v>19</v>
      </c>
      <c r="D264" s="1">
        <v>45915.333333333336</v>
      </c>
      <c r="E264">
        <v>416.43610237281428</v>
      </c>
      <c r="F264">
        <v>-999.26830507954776</v>
      </c>
      <c r="G264">
        <v>1861.0924945136405</v>
      </c>
      <c r="H264" s="1">
        <v>45900.333333333336</v>
      </c>
    </row>
    <row r="265" spans="1:8" x14ac:dyDescent="0.25">
      <c r="A265" s="7">
        <f>DATE(YEAR(m5_crossvalid[[#This Row],[cutoff]]),MONTH(m5_crossvalid[[#This Row],[cutoff]]),DAY(m5_crossvalid[[#This Row],[cutoff]]))</f>
        <v>45900</v>
      </c>
      <c r="B265" s="7">
        <f>DATE(YEAR(m5_crossvalid[[#This Row],[ds]]),MONTH(m5_crossvalid[[#This Row],[ds]]),DAY(m5_crossvalid[[#This Row],[ds]]))</f>
        <v>45916</v>
      </c>
      <c r="C265">
        <v>5</v>
      </c>
      <c r="D265" s="1">
        <v>45916.333333333336</v>
      </c>
      <c r="E265">
        <v>836.4680923059916</v>
      </c>
      <c r="F265">
        <v>-673.25702117234221</v>
      </c>
      <c r="G265">
        <v>2382.8003922057314</v>
      </c>
      <c r="H265" s="1">
        <v>45900.333333333336</v>
      </c>
    </row>
    <row r="266" spans="1:8" x14ac:dyDescent="0.25">
      <c r="A266" s="7">
        <f>DATE(YEAR(m5_crossvalid[[#This Row],[cutoff]]),MONTH(m5_crossvalid[[#This Row],[cutoff]]),DAY(m5_crossvalid[[#This Row],[cutoff]]))</f>
        <v>45900</v>
      </c>
      <c r="B266" s="7">
        <f>DATE(YEAR(m5_crossvalid[[#This Row],[ds]]),MONTH(m5_crossvalid[[#This Row],[ds]]),DAY(m5_crossvalid[[#This Row],[ds]]))</f>
        <v>45917</v>
      </c>
      <c r="C266">
        <v>2108</v>
      </c>
      <c r="D266" s="1">
        <v>45917.333333333336</v>
      </c>
      <c r="E266">
        <v>2758.5696879475213</v>
      </c>
      <c r="F266">
        <v>1263.111140523383</v>
      </c>
      <c r="G266">
        <v>4234.7210285482915</v>
      </c>
      <c r="H266" s="1">
        <v>45900.333333333336</v>
      </c>
    </row>
    <row r="267" spans="1:8" x14ac:dyDescent="0.25">
      <c r="A267" s="7">
        <f>DATE(YEAR(m5_crossvalid[[#This Row],[cutoff]]),MONTH(m5_crossvalid[[#This Row],[cutoff]]),DAY(m5_crossvalid[[#This Row],[cutoff]]))</f>
        <v>45900</v>
      </c>
      <c r="B267" s="7">
        <f>DATE(YEAR(m5_crossvalid[[#This Row],[ds]]),MONTH(m5_crossvalid[[#This Row],[ds]]),DAY(m5_crossvalid[[#This Row],[ds]]))</f>
        <v>45918</v>
      </c>
      <c r="C267">
        <v>3129</v>
      </c>
      <c r="D267" s="1">
        <v>45918.333333333336</v>
      </c>
      <c r="E267">
        <v>2813.0809176114326</v>
      </c>
      <c r="F267">
        <v>1425.1405767870829</v>
      </c>
      <c r="G267">
        <v>4272.5586888815787</v>
      </c>
      <c r="H267" s="1">
        <v>45900.333333333336</v>
      </c>
    </row>
    <row r="268" spans="1:8" x14ac:dyDescent="0.25">
      <c r="A268" s="7">
        <f>DATE(YEAR(m5_crossvalid[[#This Row],[cutoff]]),MONTH(m5_crossvalid[[#This Row],[cutoff]]),DAY(m5_crossvalid[[#This Row],[cutoff]]))</f>
        <v>45900</v>
      </c>
      <c r="B268" s="7">
        <f>DATE(YEAR(m5_crossvalid[[#This Row],[ds]]),MONTH(m5_crossvalid[[#This Row],[ds]]),DAY(m5_crossvalid[[#This Row],[ds]]))</f>
        <v>45919</v>
      </c>
      <c r="C268">
        <v>3027</v>
      </c>
      <c r="D268" s="1">
        <v>45919.333333333336</v>
      </c>
      <c r="E268">
        <v>2746.9028676677358</v>
      </c>
      <c r="F268">
        <v>1281.5595591121437</v>
      </c>
      <c r="G268">
        <v>4214.1904784540575</v>
      </c>
      <c r="H268" s="1">
        <v>45900.333333333336</v>
      </c>
    </row>
    <row r="269" spans="1:8" x14ac:dyDescent="0.25">
      <c r="A269" s="7">
        <f>DATE(YEAR(m5_crossvalid[[#This Row],[cutoff]]),MONTH(m5_crossvalid[[#This Row],[cutoff]]),DAY(m5_crossvalid[[#This Row],[cutoff]]))</f>
        <v>45900</v>
      </c>
      <c r="B269" s="7">
        <f>DATE(YEAR(m5_crossvalid[[#This Row],[ds]]),MONTH(m5_crossvalid[[#This Row],[ds]]),DAY(m5_crossvalid[[#This Row],[ds]]))</f>
        <v>45920</v>
      </c>
      <c r="C269">
        <v>525</v>
      </c>
      <c r="D269" s="1">
        <v>45920.333333333336</v>
      </c>
      <c r="E269">
        <v>546.17836452120514</v>
      </c>
      <c r="F269">
        <v>-873.09149703630067</v>
      </c>
      <c r="G269">
        <v>2091.8328344315109</v>
      </c>
      <c r="H269" s="1">
        <v>45900.333333333336</v>
      </c>
    </row>
    <row r="270" spans="1:8" x14ac:dyDescent="0.25">
      <c r="A270" s="7">
        <f>DATE(YEAR(m5_crossvalid[[#This Row],[cutoff]]),MONTH(m5_crossvalid[[#This Row],[cutoff]]),DAY(m5_crossvalid[[#This Row],[cutoff]]))</f>
        <v>45900</v>
      </c>
      <c r="B270" s="7">
        <f>DATE(YEAR(m5_crossvalid[[#This Row],[ds]]),MONTH(m5_crossvalid[[#This Row],[ds]]),DAY(m5_crossvalid[[#This Row],[ds]]))</f>
        <v>45921</v>
      </c>
      <c r="C270">
        <v>107</v>
      </c>
      <c r="D270" s="1">
        <v>45921.333333333336</v>
      </c>
      <c r="E270">
        <v>153.85806537209328</v>
      </c>
      <c r="F270">
        <v>-1289.9313558934916</v>
      </c>
      <c r="G270">
        <v>1603.745506188196</v>
      </c>
      <c r="H270" s="1">
        <v>45900.333333333336</v>
      </c>
    </row>
    <row r="271" spans="1:8" x14ac:dyDescent="0.25">
      <c r="A271" s="7">
        <f>DATE(YEAR(m5_crossvalid[[#This Row],[cutoff]]),MONTH(m5_crossvalid[[#This Row],[cutoff]]),DAY(m5_crossvalid[[#This Row],[cutoff]]))</f>
        <v>45900</v>
      </c>
      <c r="B271" s="7">
        <f>DATE(YEAR(m5_crossvalid[[#This Row],[ds]]),MONTH(m5_crossvalid[[#This Row],[ds]]),DAY(m5_crossvalid[[#This Row],[ds]]))</f>
        <v>45922</v>
      </c>
      <c r="C271">
        <v>2480</v>
      </c>
      <c r="D271" s="1">
        <v>45922.333333333336</v>
      </c>
      <c r="E271">
        <v>2851.5056409361673</v>
      </c>
      <c r="F271">
        <v>1409.5828796095661</v>
      </c>
      <c r="G271">
        <v>4241.9474262013327</v>
      </c>
      <c r="H271" s="1">
        <v>45900.333333333336</v>
      </c>
    </row>
    <row r="272" spans="1:8" x14ac:dyDescent="0.25">
      <c r="A272" s="7">
        <f>DATE(YEAR(m5_crossvalid[[#This Row],[cutoff]]),MONTH(m5_crossvalid[[#This Row],[cutoff]]),DAY(m5_crossvalid[[#This Row],[cutoff]]))</f>
        <v>45900</v>
      </c>
      <c r="B272" s="7">
        <f>DATE(YEAR(m5_crossvalid[[#This Row],[ds]]),MONTH(m5_crossvalid[[#This Row],[ds]]),DAY(m5_crossvalid[[#This Row],[ds]]))</f>
        <v>45923</v>
      </c>
      <c r="C272">
        <v>2893</v>
      </c>
      <c r="D272" s="1">
        <v>45923.333333333336</v>
      </c>
      <c r="E272">
        <v>3194.397170080143</v>
      </c>
      <c r="F272">
        <v>1628.481153890883</v>
      </c>
      <c r="G272">
        <v>4585.5704055648876</v>
      </c>
      <c r="H272" s="1">
        <v>45900.333333333336</v>
      </c>
    </row>
    <row r="273" spans="1:8" x14ac:dyDescent="0.25">
      <c r="A273" s="7">
        <f>DATE(YEAR(m5_crossvalid[[#This Row],[cutoff]]),MONTH(m5_crossvalid[[#This Row],[cutoff]]),DAY(m5_crossvalid[[#This Row],[cutoff]]))</f>
        <v>45900</v>
      </c>
      <c r="B273" s="7">
        <f>DATE(YEAR(m5_crossvalid[[#This Row],[ds]]),MONTH(m5_crossvalid[[#This Row],[ds]]),DAY(m5_crossvalid[[#This Row],[ds]]))</f>
        <v>45924</v>
      </c>
      <c r="C273">
        <v>3143</v>
      </c>
      <c r="D273" s="1">
        <v>45924.333333333336</v>
      </c>
      <c r="E273">
        <v>4063.8397638152023</v>
      </c>
      <c r="F273">
        <v>2631.8055892704629</v>
      </c>
      <c r="G273">
        <v>5536.7531620168611</v>
      </c>
      <c r="H273" s="1">
        <v>45900.333333333336</v>
      </c>
    </row>
    <row r="274" spans="1:8" x14ac:dyDescent="0.25">
      <c r="A274" s="7">
        <f>DATE(YEAR(m5_crossvalid[[#This Row],[cutoff]]),MONTH(m5_crossvalid[[#This Row],[cutoff]]),DAY(m5_crossvalid[[#This Row],[cutoff]]))</f>
        <v>45900</v>
      </c>
      <c r="B274" s="7">
        <f>DATE(YEAR(m5_crossvalid[[#This Row],[ds]]),MONTH(m5_crossvalid[[#This Row],[ds]]),DAY(m5_crossvalid[[#This Row],[ds]]))</f>
        <v>45925</v>
      </c>
      <c r="C274">
        <v>3361</v>
      </c>
      <c r="D274" s="1">
        <v>45925.333333333336</v>
      </c>
      <c r="E274">
        <v>4012.8486782580803</v>
      </c>
      <c r="F274">
        <v>2588.8832575304832</v>
      </c>
      <c r="G274">
        <v>5484.0998503083001</v>
      </c>
      <c r="H274" s="1">
        <v>45900.333333333336</v>
      </c>
    </row>
    <row r="275" spans="1:8" x14ac:dyDescent="0.25">
      <c r="A275" s="7">
        <f>DATE(YEAR(m5_crossvalid[[#This Row],[cutoff]]),MONTH(m5_crossvalid[[#This Row],[cutoff]]),DAY(m5_crossvalid[[#This Row],[cutoff]]))</f>
        <v>45900</v>
      </c>
      <c r="B275" s="7">
        <f>DATE(YEAR(m5_crossvalid[[#This Row],[ds]]),MONTH(m5_crossvalid[[#This Row],[ds]]),DAY(m5_crossvalid[[#This Row],[ds]]))</f>
        <v>45926</v>
      </c>
      <c r="C275">
        <v>3885</v>
      </c>
      <c r="D275" s="1">
        <v>45926.333333333336</v>
      </c>
      <c r="E275">
        <v>4069.6530992235093</v>
      </c>
      <c r="F275">
        <v>2658.1085429730874</v>
      </c>
      <c r="G275">
        <v>5569.0111383454205</v>
      </c>
      <c r="H275" s="1">
        <v>45900.333333333336</v>
      </c>
    </row>
    <row r="276" spans="1:8" x14ac:dyDescent="0.25">
      <c r="A276" s="7">
        <f>DATE(YEAR(m5_crossvalid[[#This Row],[cutoff]]),MONTH(m5_crossvalid[[#This Row],[cutoff]]),DAY(m5_crossvalid[[#This Row],[cutoff]]))</f>
        <v>45900</v>
      </c>
      <c r="B276" s="7">
        <f>DATE(YEAR(m5_crossvalid[[#This Row],[ds]]),MONTH(m5_crossvalid[[#This Row],[ds]]),DAY(m5_crossvalid[[#This Row],[ds]]))</f>
        <v>45927</v>
      </c>
      <c r="C276">
        <v>1024</v>
      </c>
      <c r="D276" s="1">
        <v>45927.333333333336</v>
      </c>
      <c r="E276">
        <v>2203.4892928320228</v>
      </c>
      <c r="F276">
        <v>742.21529382623703</v>
      </c>
      <c r="G276">
        <v>3672.4532471081516</v>
      </c>
      <c r="H276" s="1">
        <v>45900.333333333336</v>
      </c>
    </row>
    <row r="277" spans="1:8" x14ac:dyDescent="0.25">
      <c r="A277" s="7">
        <f>DATE(YEAR(m5_crossvalid[[#This Row],[cutoff]]),MONTH(m5_crossvalid[[#This Row],[cutoff]]),DAY(m5_crossvalid[[#This Row],[cutoff]]))</f>
        <v>45900</v>
      </c>
      <c r="B277" s="7">
        <f>DATE(YEAR(m5_crossvalid[[#This Row],[ds]]),MONTH(m5_crossvalid[[#This Row],[ds]]),DAY(m5_crossvalid[[#This Row],[ds]]))</f>
        <v>45928</v>
      </c>
      <c r="C277">
        <v>280</v>
      </c>
      <c r="D277" s="1">
        <v>45928.333333333336</v>
      </c>
      <c r="E277">
        <v>2158.5953079562355</v>
      </c>
      <c r="F277">
        <v>705.52163629773906</v>
      </c>
      <c r="G277">
        <v>3618.6222555751119</v>
      </c>
      <c r="H277" s="1">
        <v>45900.333333333336</v>
      </c>
    </row>
    <row r="278" spans="1:8" x14ac:dyDescent="0.25">
      <c r="A278" s="7">
        <f>DATE(YEAR(m5_crossvalid[[#This Row],[cutoff]]),MONTH(m5_crossvalid[[#This Row],[cutoff]]),DAY(m5_crossvalid[[#This Row],[cutoff]]))</f>
        <v>45900</v>
      </c>
      <c r="B278" s="7">
        <f>DATE(YEAR(m5_crossvalid[[#This Row],[ds]]),MONTH(m5_crossvalid[[#This Row],[ds]]),DAY(m5_crossvalid[[#This Row],[ds]]))</f>
        <v>45929</v>
      </c>
      <c r="C278">
        <v>8852</v>
      </c>
      <c r="D278" s="1">
        <v>45929.333333333336</v>
      </c>
      <c r="E278">
        <v>7167.9008845256358</v>
      </c>
      <c r="F278">
        <v>5659.7920253587381</v>
      </c>
      <c r="G278">
        <v>8746.3882420245573</v>
      </c>
      <c r="H278" s="1">
        <v>45900.333333333336</v>
      </c>
    </row>
    <row r="279" spans="1:8" x14ac:dyDescent="0.25">
      <c r="A279" s="7">
        <f>DATE(YEAR(m5_crossvalid[[#This Row],[cutoff]]),MONTH(m5_crossvalid[[#This Row],[cutoff]]),DAY(m5_crossvalid[[#This Row],[cutoff]]))</f>
        <v>45900</v>
      </c>
      <c r="B279" s="7">
        <f>DATE(YEAR(m5_crossvalid[[#This Row],[ds]]),MONTH(m5_crossvalid[[#This Row],[ds]]),DAY(m5_crossvalid[[#This Row],[ds]]))</f>
        <v>45930</v>
      </c>
      <c r="C279">
        <v>14458</v>
      </c>
      <c r="D279" s="1">
        <v>45930.333333333336</v>
      </c>
      <c r="E279">
        <v>9655.590766038471</v>
      </c>
      <c r="F279">
        <v>8159.2072773568198</v>
      </c>
      <c r="G279">
        <v>11128.551081239681</v>
      </c>
      <c r="H279" s="1">
        <v>45900.333333333336</v>
      </c>
    </row>
    <row r="280" spans="1:8" x14ac:dyDescent="0.25">
      <c r="A280" s="7">
        <f>DATE(YEAR(m5_crossvalid[[#This Row],[cutoff]]),MONTH(m5_crossvalid[[#This Row],[cutoff]]),DAY(m5_crossvalid[[#This Row],[cutoff]]))</f>
        <v>45900</v>
      </c>
      <c r="B280" s="7">
        <f>DATE(YEAR(m5_crossvalid[[#This Row],[ds]]),MONTH(m5_crossvalid[[#This Row],[ds]]),DAY(m5_crossvalid[[#This Row],[ds]]))</f>
        <v>45931</v>
      </c>
      <c r="C280">
        <v>639</v>
      </c>
      <c r="D280" s="1">
        <v>45931.333333333336</v>
      </c>
      <c r="E280">
        <v>2738.3663836572455</v>
      </c>
      <c r="F280">
        <v>1169.2786054242165</v>
      </c>
      <c r="G280">
        <v>4118.2475821866392</v>
      </c>
      <c r="H280" s="1">
        <v>45900.333333333336</v>
      </c>
    </row>
    <row r="281" spans="1:8" x14ac:dyDescent="0.25">
      <c r="A281" s="7">
        <f>DATE(YEAR(m5_crossvalid[[#This Row],[cutoff]]),MONTH(m5_crossvalid[[#This Row],[cutoff]]),DAY(m5_crossvalid[[#This Row],[cutoff]]))</f>
        <v>45930</v>
      </c>
      <c r="B281" s="7">
        <f>DATE(YEAR(m5_crossvalid[[#This Row],[ds]]),MONTH(m5_crossvalid[[#This Row],[ds]]),DAY(m5_crossvalid[[#This Row],[ds]]))</f>
        <v>45931</v>
      </c>
      <c r="C281">
        <v>639</v>
      </c>
      <c r="D281" s="1">
        <v>45931.333333333336</v>
      </c>
      <c r="E281">
        <v>2794.0678484726932</v>
      </c>
      <c r="F281">
        <v>1400.9556431598837</v>
      </c>
      <c r="G281">
        <v>4173.7917042467125</v>
      </c>
      <c r="H281" s="1">
        <v>45930.333333333336</v>
      </c>
    </row>
    <row r="282" spans="1:8" x14ac:dyDescent="0.25">
      <c r="A282" s="7">
        <f>DATE(YEAR(m5_crossvalid[[#This Row],[cutoff]]),MONTH(m5_crossvalid[[#This Row],[cutoff]]),DAY(m5_crossvalid[[#This Row],[cutoff]]))</f>
        <v>45930</v>
      </c>
      <c r="B282" s="7">
        <f>DATE(YEAR(m5_crossvalid[[#This Row],[ds]]),MONTH(m5_crossvalid[[#This Row],[ds]]),DAY(m5_crossvalid[[#This Row],[ds]]))</f>
        <v>45932</v>
      </c>
      <c r="C282">
        <v>823</v>
      </c>
      <c r="D282" s="1">
        <v>45932.333333333336</v>
      </c>
      <c r="E282">
        <v>2042.2089594449358</v>
      </c>
      <c r="F282">
        <v>663.02452180328328</v>
      </c>
      <c r="G282">
        <v>3454.7219824775352</v>
      </c>
      <c r="H282" s="1">
        <v>45930.333333333336</v>
      </c>
    </row>
    <row r="283" spans="1:8" x14ac:dyDescent="0.25">
      <c r="A283" s="7">
        <f>DATE(YEAR(m5_crossvalid[[#This Row],[cutoff]]),MONTH(m5_crossvalid[[#This Row],[cutoff]]),DAY(m5_crossvalid[[#This Row],[cutoff]]))</f>
        <v>45930</v>
      </c>
      <c r="B283" s="7">
        <f>DATE(YEAR(m5_crossvalid[[#This Row],[ds]]),MONTH(m5_crossvalid[[#This Row],[ds]]),DAY(m5_crossvalid[[#This Row],[ds]]))</f>
        <v>45933</v>
      </c>
      <c r="C283">
        <v>996</v>
      </c>
      <c r="D283" s="1">
        <v>45933.333333333336</v>
      </c>
      <c r="E283">
        <v>1619.825552074908</v>
      </c>
      <c r="F283">
        <v>231.01757964837853</v>
      </c>
      <c r="G283">
        <v>3046.9393115931757</v>
      </c>
      <c r="H283" s="1">
        <v>45930.333333333336</v>
      </c>
    </row>
    <row r="284" spans="1:8" x14ac:dyDescent="0.25">
      <c r="A284" s="7">
        <f>DATE(YEAR(m5_crossvalid[[#This Row],[cutoff]]),MONTH(m5_crossvalid[[#This Row],[cutoff]]),DAY(m5_crossvalid[[#This Row],[cutoff]]))</f>
        <v>45930</v>
      </c>
      <c r="B284" s="7">
        <f>DATE(YEAR(m5_crossvalid[[#This Row],[ds]]),MONTH(m5_crossvalid[[#This Row],[ds]]),DAY(m5_crossvalid[[#This Row],[ds]]))</f>
        <v>45934</v>
      </c>
      <c r="C284">
        <v>141</v>
      </c>
      <c r="D284" s="1">
        <v>45934.333333333336</v>
      </c>
      <c r="E284">
        <v>-740.7958672825639</v>
      </c>
      <c r="F284">
        <v>-2206.909431618134</v>
      </c>
      <c r="G284">
        <v>694.07567941323225</v>
      </c>
      <c r="H284" s="1">
        <v>45930.333333333336</v>
      </c>
    </row>
    <row r="285" spans="1:8" x14ac:dyDescent="0.25">
      <c r="A285" s="7">
        <f>DATE(YEAR(m5_crossvalid[[#This Row],[cutoff]]),MONTH(m5_crossvalid[[#This Row],[cutoff]]),DAY(m5_crossvalid[[#This Row],[cutoff]]))</f>
        <v>45930</v>
      </c>
      <c r="B285" s="7">
        <f>DATE(YEAR(m5_crossvalid[[#This Row],[ds]]),MONTH(m5_crossvalid[[#This Row],[ds]]),DAY(m5_crossvalid[[#This Row],[ds]]))</f>
        <v>45935</v>
      </c>
      <c r="C285">
        <v>38</v>
      </c>
      <c r="D285" s="1">
        <v>45935.333333333336</v>
      </c>
      <c r="E285">
        <v>-1100.4271512901228</v>
      </c>
      <c r="F285">
        <v>-2421.3505645971436</v>
      </c>
      <c r="G285">
        <v>310.9877097079758</v>
      </c>
      <c r="H285" s="1">
        <v>45930.333333333336</v>
      </c>
    </row>
    <row r="286" spans="1:8" x14ac:dyDescent="0.25">
      <c r="A286" s="7">
        <f>DATE(YEAR(m5_crossvalid[[#This Row],[cutoff]]),MONTH(m5_crossvalid[[#This Row],[cutoff]]),DAY(m5_crossvalid[[#This Row],[cutoff]]))</f>
        <v>45930</v>
      </c>
      <c r="B286" s="7">
        <f>DATE(YEAR(m5_crossvalid[[#This Row],[ds]]),MONTH(m5_crossvalid[[#This Row],[ds]]),DAY(m5_crossvalid[[#This Row],[ds]]))</f>
        <v>45936</v>
      </c>
      <c r="C286">
        <v>1044</v>
      </c>
      <c r="D286" s="1">
        <v>45936.333333333336</v>
      </c>
      <c r="E286">
        <v>1602.8720298563271</v>
      </c>
      <c r="F286">
        <v>105.60508467698045</v>
      </c>
      <c r="G286">
        <v>3055.4332579781531</v>
      </c>
      <c r="H286" s="1">
        <v>45930.333333333336</v>
      </c>
    </row>
    <row r="287" spans="1:8" x14ac:dyDescent="0.25">
      <c r="A287" s="7">
        <f>DATE(YEAR(m5_crossvalid[[#This Row],[cutoff]]),MONTH(m5_crossvalid[[#This Row],[cutoff]]),DAY(m5_crossvalid[[#This Row],[cutoff]]))</f>
        <v>45930</v>
      </c>
      <c r="B287" s="7">
        <f>DATE(YEAR(m5_crossvalid[[#This Row],[ds]]),MONTH(m5_crossvalid[[#This Row],[ds]]),DAY(m5_crossvalid[[#This Row],[ds]]))</f>
        <v>45937</v>
      </c>
      <c r="C287">
        <v>1351</v>
      </c>
      <c r="D287" s="1">
        <v>45937.333333333336</v>
      </c>
      <c r="E287">
        <v>1855.6365415106102</v>
      </c>
      <c r="F287">
        <v>443.43593742655457</v>
      </c>
      <c r="G287">
        <v>3359.459363026524</v>
      </c>
      <c r="H287" s="1">
        <v>45930.333333333336</v>
      </c>
    </row>
    <row r="288" spans="1:8" x14ac:dyDescent="0.25">
      <c r="A288" s="7">
        <f>DATE(YEAR(m5_crossvalid[[#This Row],[cutoff]]),MONTH(m5_crossvalid[[#This Row],[cutoff]]),DAY(m5_crossvalid[[#This Row],[cutoff]]))</f>
        <v>45930</v>
      </c>
      <c r="B288" s="7">
        <f>DATE(YEAR(m5_crossvalid[[#This Row],[ds]]),MONTH(m5_crossvalid[[#This Row],[ds]]),DAY(m5_crossvalid[[#This Row],[ds]]))</f>
        <v>45938</v>
      </c>
      <c r="C288">
        <v>1654</v>
      </c>
      <c r="D288" s="1">
        <v>45938.333333333336</v>
      </c>
      <c r="E288">
        <v>2499.5046028960601</v>
      </c>
      <c r="F288">
        <v>1104.1608304661145</v>
      </c>
      <c r="G288">
        <v>3913.7610095740556</v>
      </c>
      <c r="H288" s="1">
        <v>45930.333333333336</v>
      </c>
    </row>
    <row r="289" spans="1:8" x14ac:dyDescent="0.25">
      <c r="A289" s="7">
        <f>DATE(YEAR(m5_crossvalid[[#This Row],[cutoff]]),MONTH(m5_crossvalid[[#This Row],[cutoff]]),DAY(m5_crossvalid[[#This Row],[cutoff]]))</f>
        <v>45930</v>
      </c>
      <c r="B289" s="7">
        <f>DATE(YEAR(m5_crossvalid[[#This Row],[ds]]),MONTH(m5_crossvalid[[#This Row],[ds]]),DAY(m5_crossvalid[[#This Row],[ds]]))</f>
        <v>45939</v>
      </c>
      <c r="C289">
        <v>2108</v>
      </c>
      <c r="D289" s="1">
        <v>45939.333333333336</v>
      </c>
      <c r="E289">
        <v>2331.6125299014084</v>
      </c>
      <c r="F289">
        <v>923.02968480935021</v>
      </c>
      <c r="G289">
        <v>3804.1350332281495</v>
      </c>
      <c r="H289" s="1">
        <v>45930.333333333336</v>
      </c>
    </row>
    <row r="290" spans="1:8" x14ac:dyDescent="0.25">
      <c r="A290" s="7">
        <f>DATE(YEAR(m5_crossvalid[[#This Row],[cutoff]]),MONTH(m5_crossvalid[[#This Row],[cutoff]]),DAY(m5_crossvalid[[#This Row],[cutoff]]))</f>
        <v>45930</v>
      </c>
      <c r="B290" s="7">
        <f>DATE(YEAR(m5_crossvalid[[#This Row],[ds]]),MONTH(m5_crossvalid[[#This Row],[ds]]),DAY(m5_crossvalid[[#This Row],[ds]]))</f>
        <v>45940</v>
      </c>
      <c r="C290">
        <v>2215</v>
      </c>
      <c r="D290" s="1">
        <v>45940.333333333336</v>
      </c>
      <c r="E290">
        <v>2232.170324676631</v>
      </c>
      <c r="F290">
        <v>763.48201655987691</v>
      </c>
      <c r="G290">
        <v>3681.5525213969886</v>
      </c>
      <c r="H290" s="1">
        <v>45930.333333333336</v>
      </c>
    </row>
    <row r="291" spans="1:8" x14ac:dyDescent="0.25">
      <c r="A291" s="7">
        <f>DATE(YEAR(m5_crossvalid[[#This Row],[cutoff]]),MONTH(m5_crossvalid[[#This Row],[cutoff]]),DAY(m5_crossvalid[[#This Row],[cutoff]]))</f>
        <v>45930</v>
      </c>
      <c r="B291" s="7">
        <f>DATE(YEAR(m5_crossvalid[[#This Row],[ds]]),MONTH(m5_crossvalid[[#This Row],[ds]]),DAY(m5_crossvalid[[#This Row],[ds]]))</f>
        <v>45941</v>
      </c>
      <c r="C291">
        <v>380</v>
      </c>
      <c r="D291" s="1">
        <v>45941.333333333336</v>
      </c>
      <c r="E291">
        <v>64.027945918407568</v>
      </c>
      <c r="F291">
        <v>-1443.1835293770866</v>
      </c>
      <c r="G291">
        <v>1401.115929371013</v>
      </c>
      <c r="H291" s="1">
        <v>45930.333333333336</v>
      </c>
    </row>
    <row r="292" spans="1:8" x14ac:dyDescent="0.25">
      <c r="A292" s="7">
        <f>DATE(YEAR(m5_crossvalid[[#This Row],[cutoff]]),MONTH(m5_crossvalid[[#This Row],[cutoff]]),DAY(m5_crossvalid[[#This Row],[cutoff]]))</f>
        <v>45930</v>
      </c>
      <c r="B292" s="7">
        <f>DATE(YEAR(m5_crossvalid[[#This Row],[ds]]),MONTH(m5_crossvalid[[#This Row],[ds]]),DAY(m5_crossvalid[[#This Row],[ds]]))</f>
        <v>45942</v>
      </c>
      <c r="C292">
        <v>120</v>
      </c>
      <c r="D292" s="1">
        <v>45942.333333333336</v>
      </c>
      <c r="E292">
        <v>-353.33083785624285</v>
      </c>
      <c r="F292">
        <v>-1835.7052541442217</v>
      </c>
      <c r="G292">
        <v>1178.231029109387</v>
      </c>
      <c r="H292" s="1">
        <v>45930.333333333336</v>
      </c>
    </row>
    <row r="293" spans="1:8" x14ac:dyDescent="0.25">
      <c r="A293" s="7">
        <f>DATE(YEAR(m5_crossvalid[[#This Row],[cutoff]]),MONTH(m5_crossvalid[[#This Row],[cutoff]]),DAY(m5_crossvalid[[#This Row],[cutoff]]))</f>
        <v>45930</v>
      </c>
      <c r="B293" s="7">
        <f>DATE(YEAR(m5_crossvalid[[#This Row],[ds]]),MONTH(m5_crossvalid[[#This Row],[ds]]),DAY(m5_crossvalid[[#This Row],[ds]]))</f>
        <v>45943</v>
      </c>
      <c r="C293">
        <v>2406</v>
      </c>
      <c r="D293" s="1">
        <v>45943.333333333336</v>
      </c>
      <c r="E293">
        <v>2239.9547676740854</v>
      </c>
      <c r="F293">
        <v>709.1039043476593</v>
      </c>
      <c r="G293">
        <v>3715.3202061539009</v>
      </c>
      <c r="H293" s="1">
        <v>45930.333333333336</v>
      </c>
    </row>
    <row r="294" spans="1:8" x14ac:dyDescent="0.25">
      <c r="A294" s="7">
        <f>DATE(YEAR(m5_crossvalid[[#This Row],[cutoff]]),MONTH(m5_crossvalid[[#This Row],[cutoff]]),DAY(m5_crossvalid[[#This Row],[cutoff]]))</f>
        <v>45930</v>
      </c>
      <c r="B294" s="7">
        <f>DATE(YEAR(m5_crossvalid[[#This Row],[ds]]),MONTH(m5_crossvalid[[#This Row],[ds]]),DAY(m5_crossvalid[[#This Row],[ds]]))</f>
        <v>45944</v>
      </c>
      <c r="C294">
        <v>2958</v>
      </c>
      <c r="D294" s="1">
        <v>45944.333333333336</v>
      </c>
      <c r="E294">
        <v>2538.4789011408425</v>
      </c>
      <c r="F294">
        <v>1092.0828446308417</v>
      </c>
      <c r="G294">
        <v>3882.3278229497109</v>
      </c>
      <c r="H294" s="1">
        <v>45930.333333333336</v>
      </c>
    </row>
    <row r="295" spans="1:8" x14ac:dyDescent="0.25">
      <c r="A295" s="7">
        <f>DATE(YEAR(m5_crossvalid[[#This Row],[cutoff]]),MONTH(m5_crossvalid[[#This Row],[cutoff]]),DAY(m5_crossvalid[[#This Row],[cutoff]]))</f>
        <v>45930</v>
      </c>
      <c r="B295" s="7">
        <f>DATE(YEAR(m5_crossvalid[[#This Row],[ds]]),MONTH(m5_crossvalid[[#This Row],[ds]]),DAY(m5_crossvalid[[#This Row],[ds]]))</f>
        <v>45945</v>
      </c>
      <c r="C295">
        <v>3074</v>
      </c>
      <c r="D295" s="1">
        <v>45945.333333333336</v>
      </c>
      <c r="E295">
        <v>2661.6215199183498</v>
      </c>
      <c r="F295">
        <v>1220.6303396553806</v>
      </c>
      <c r="G295">
        <v>4090.2939024182497</v>
      </c>
      <c r="H295" s="1">
        <v>45930.333333333336</v>
      </c>
    </row>
    <row r="296" spans="1:8" x14ac:dyDescent="0.25">
      <c r="A296" s="7">
        <f>DATE(YEAR(m5_crossvalid[[#This Row],[cutoff]]),MONTH(m5_crossvalid[[#This Row],[cutoff]]),DAY(m5_crossvalid[[#This Row],[cutoff]]))</f>
        <v>45930</v>
      </c>
      <c r="B296" s="7">
        <f>DATE(YEAR(m5_crossvalid[[#This Row],[ds]]),MONTH(m5_crossvalid[[#This Row],[ds]]),DAY(m5_crossvalid[[#This Row],[ds]]))</f>
        <v>45946</v>
      </c>
      <c r="C296">
        <v>3505</v>
      </c>
      <c r="D296" s="1">
        <v>45946.333333333336</v>
      </c>
      <c r="E296">
        <v>2809.8781800431871</v>
      </c>
      <c r="F296">
        <v>1381.2468356678153</v>
      </c>
      <c r="G296">
        <v>4220.7036339095885</v>
      </c>
      <c r="H296" s="1">
        <v>45930.333333333336</v>
      </c>
    </row>
    <row r="297" spans="1:8" x14ac:dyDescent="0.25">
      <c r="A297" s="7">
        <f>DATE(YEAR(m5_crossvalid[[#This Row],[cutoff]]),MONTH(m5_crossvalid[[#This Row],[cutoff]]),DAY(m5_crossvalid[[#This Row],[cutoff]]))</f>
        <v>45930</v>
      </c>
      <c r="B297" s="7">
        <f>DATE(YEAR(m5_crossvalid[[#This Row],[ds]]),MONTH(m5_crossvalid[[#This Row],[ds]]),DAY(m5_crossvalid[[#This Row],[ds]]))</f>
        <v>45947</v>
      </c>
      <c r="C297">
        <v>3630</v>
      </c>
      <c r="D297" s="1">
        <v>45947.333333333336</v>
      </c>
      <c r="E297">
        <v>2899.7337300548215</v>
      </c>
      <c r="F297">
        <v>1373.7789978575536</v>
      </c>
      <c r="G297">
        <v>4326.1727068339515</v>
      </c>
      <c r="H297" s="1">
        <v>45930.333333333336</v>
      </c>
    </row>
    <row r="298" spans="1:8" x14ac:dyDescent="0.25">
      <c r="A298" s="7">
        <f>DATE(YEAR(m5_crossvalid[[#This Row],[cutoff]]),MONTH(m5_crossvalid[[#This Row],[cutoff]]),DAY(m5_crossvalid[[#This Row],[cutoff]]))</f>
        <v>45930</v>
      </c>
      <c r="B298" s="7">
        <f>DATE(YEAR(m5_crossvalid[[#This Row],[ds]]),MONTH(m5_crossvalid[[#This Row],[ds]]),DAY(m5_crossvalid[[#This Row],[ds]]))</f>
        <v>45948</v>
      </c>
      <c r="C298">
        <v>653</v>
      </c>
      <c r="D298" s="1">
        <v>45948.333333333336</v>
      </c>
      <c r="E298">
        <v>720.84929893771823</v>
      </c>
      <c r="F298">
        <v>-765.64867349497695</v>
      </c>
      <c r="G298">
        <v>2192.8014546537033</v>
      </c>
      <c r="H298" s="1">
        <v>45930.333333333336</v>
      </c>
    </row>
    <row r="299" spans="1:8" x14ac:dyDescent="0.25">
      <c r="A299" s="7">
        <f>DATE(YEAR(m5_crossvalid[[#This Row],[cutoff]]),MONTH(m5_crossvalid[[#This Row],[cutoff]]),DAY(m5_crossvalid[[#This Row],[cutoff]]))</f>
        <v>45930</v>
      </c>
      <c r="B299" s="7">
        <f>DATE(YEAR(m5_crossvalid[[#This Row],[ds]]),MONTH(m5_crossvalid[[#This Row],[ds]]),DAY(m5_crossvalid[[#This Row],[ds]]))</f>
        <v>45949</v>
      </c>
      <c r="C299">
        <v>180</v>
      </c>
      <c r="D299" s="1">
        <v>45949.333333333336</v>
      </c>
      <c r="E299">
        <v>192.2263108051684</v>
      </c>
      <c r="F299">
        <v>-1322.8079134928962</v>
      </c>
      <c r="G299">
        <v>1559.9264907563006</v>
      </c>
      <c r="H299" s="1">
        <v>45930.333333333336</v>
      </c>
    </row>
    <row r="300" spans="1:8" x14ac:dyDescent="0.25">
      <c r="A300" s="7">
        <f>DATE(YEAR(m5_crossvalid[[#This Row],[cutoff]]),MONTH(m5_crossvalid[[#This Row],[cutoff]]),DAY(m5_crossvalid[[#This Row],[cutoff]]))</f>
        <v>45930</v>
      </c>
      <c r="B300" s="7">
        <f>DATE(YEAR(m5_crossvalid[[#This Row],[ds]]),MONTH(m5_crossvalid[[#This Row],[ds]]),DAY(m5_crossvalid[[#This Row],[ds]]))</f>
        <v>45950</v>
      </c>
      <c r="C300">
        <v>250</v>
      </c>
      <c r="D300" s="1">
        <v>45950.333333333336</v>
      </c>
      <c r="E300">
        <v>981.69199742651904</v>
      </c>
      <c r="F300">
        <v>-490.88846797618328</v>
      </c>
      <c r="G300">
        <v>2496.5242590738694</v>
      </c>
      <c r="H300" s="1">
        <v>45930.333333333336</v>
      </c>
    </row>
    <row r="301" spans="1:8" x14ac:dyDescent="0.25">
      <c r="A301" s="7">
        <f>DATE(YEAR(m5_crossvalid[[#This Row],[cutoff]]),MONTH(m5_crossvalid[[#This Row],[cutoff]]),DAY(m5_crossvalid[[#This Row],[cutoff]]))</f>
        <v>45930</v>
      </c>
      <c r="B301" s="7">
        <f>DATE(YEAR(m5_crossvalid[[#This Row],[ds]]),MONTH(m5_crossvalid[[#This Row],[ds]]),DAY(m5_crossvalid[[#This Row],[ds]]))</f>
        <v>45951</v>
      </c>
      <c r="C301">
        <v>2797</v>
      </c>
      <c r="D301" s="1">
        <v>45951.333333333336</v>
      </c>
      <c r="E301">
        <v>3110.1922178222076</v>
      </c>
      <c r="F301">
        <v>1736.7712807056694</v>
      </c>
      <c r="G301">
        <v>4618.7707843605313</v>
      </c>
      <c r="H301" s="1">
        <v>45930.333333333336</v>
      </c>
    </row>
    <row r="302" spans="1:8" x14ac:dyDescent="0.25">
      <c r="A302" s="7">
        <f>DATE(YEAR(m5_crossvalid[[#This Row],[cutoff]]),MONTH(m5_crossvalid[[#This Row],[cutoff]]),DAY(m5_crossvalid[[#This Row],[cutoff]]))</f>
        <v>45930</v>
      </c>
      <c r="B302" s="7">
        <f>DATE(YEAR(m5_crossvalid[[#This Row],[ds]]),MONTH(m5_crossvalid[[#This Row],[ds]]),DAY(m5_crossvalid[[#This Row],[ds]]))</f>
        <v>45952</v>
      </c>
      <c r="C302">
        <v>3644</v>
      </c>
      <c r="D302" s="1">
        <v>45952.333333333336</v>
      </c>
      <c r="E302">
        <v>3339.254174967562</v>
      </c>
      <c r="F302">
        <v>1865.8908085879443</v>
      </c>
      <c r="G302">
        <v>4773.4889345344254</v>
      </c>
      <c r="H302" s="1">
        <v>45930.333333333336</v>
      </c>
    </row>
    <row r="303" spans="1:8" x14ac:dyDescent="0.25">
      <c r="A303" s="7">
        <f>DATE(YEAR(m5_crossvalid[[#This Row],[cutoff]]),MONTH(m5_crossvalid[[#This Row],[cutoff]]),DAY(m5_crossvalid[[#This Row],[cutoff]]))</f>
        <v>45930</v>
      </c>
      <c r="B303" s="7">
        <f>DATE(YEAR(m5_crossvalid[[#This Row],[ds]]),MONTH(m5_crossvalid[[#This Row],[ds]]),DAY(m5_crossvalid[[#This Row],[ds]]))</f>
        <v>45953</v>
      </c>
      <c r="C303">
        <v>4009</v>
      </c>
      <c r="D303" s="1">
        <v>45953.333333333336</v>
      </c>
      <c r="E303">
        <v>3475.9316397998891</v>
      </c>
      <c r="F303">
        <v>2021.7029159255405</v>
      </c>
      <c r="G303">
        <v>5014.0366369876028</v>
      </c>
      <c r="H303" s="1">
        <v>45930.333333333336</v>
      </c>
    </row>
    <row r="304" spans="1:8" x14ac:dyDescent="0.25">
      <c r="A304" s="7">
        <f>DATE(YEAR(m5_crossvalid[[#This Row],[cutoff]]),MONTH(m5_crossvalid[[#This Row],[cutoff]]),DAY(m5_crossvalid[[#This Row],[cutoff]]))</f>
        <v>45930</v>
      </c>
      <c r="B304" s="7">
        <f>DATE(YEAR(m5_crossvalid[[#This Row],[ds]]),MONTH(m5_crossvalid[[#This Row],[ds]]),DAY(m5_crossvalid[[#This Row],[ds]]))</f>
        <v>45954</v>
      </c>
      <c r="C304">
        <v>4008</v>
      </c>
      <c r="D304" s="1">
        <v>45954.333333333336</v>
      </c>
      <c r="E304">
        <v>3398.6574219255308</v>
      </c>
      <c r="F304">
        <v>1795.2037667770248</v>
      </c>
      <c r="G304">
        <v>4801.4768104742125</v>
      </c>
      <c r="H304" s="1">
        <v>45930.333333333336</v>
      </c>
    </row>
    <row r="305" spans="1:8" x14ac:dyDescent="0.25">
      <c r="A305" s="7">
        <f>DATE(YEAR(m5_crossvalid[[#This Row],[cutoff]]),MONTH(m5_crossvalid[[#This Row],[cutoff]]),DAY(m5_crossvalid[[#This Row],[cutoff]]))</f>
        <v>45930</v>
      </c>
      <c r="B305" s="7">
        <f>DATE(YEAR(m5_crossvalid[[#This Row],[ds]]),MONTH(m5_crossvalid[[#This Row],[ds]]),DAY(m5_crossvalid[[#This Row],[ds]]))</f>
        <v>45955</v>
      </c>
      <c r="C305">
        <v>971</v>
      </c>
      <c r="D305" s="1">
        <v>45955.333333333336</v>
      </c>
      <c r="E305">
        <v>1818.1427534886841</v>
      </c>
      <c r="F305">
        <v>327.06328314936979</v>
      </c>
      <c r="G305">
        <v>3214.4947643273049</v>
      </c>
      <c r="H305" s="1">
        <v>45930.333333333336</v>
      </c>
    </row>
    <row r="306" spans="1:8" x14ac:dyDescent="0.25">
      <c r="A306" s="7">
        <f>DATE(YEAR(m5_crossvalid[[#This Row],[cutoff]]),MONTH(m5_crossvalid[[#This Row],[cutoff]]),DAY(m5_crossvalid[[#This Row],[cutoff]]))</f>
        <v>45930</v>
      </c>
      <c r="B306" s="7">
        <f>DATE(YEAR(m5_crossvalid[[#This Row],[ds]]),MONTH(m5_crossvalid[[#This Row],[ds]]),DAY(m5_crossvalid[[#This Row],[ds]]))</f>
        <v>45956</v>
      </c>
      <c r="C306">
        <v>238</v>
      </c>
      <c r="D306" s="1">
        <v>45956.333333333336</v>
      </c>
      <c r="E306">
        <v>1282.4104944785304</v>
      </c>
      <c r="F306">
        <v>-178.41605481263622</v>
      </c>
      <c r="G306">
        <v>2877.7761263020825</v>
      </c>
      <c r="H306" s="1">
        <v>45930.333333333336</v>
      </c>
    </row>
    <row r="307" spans="1:8" x14ac:dyDescent="0.25">
      <c r="A307" s="7">
        <f>DATE(YEAR(m5_crossvalid[[#This Row],[cutoff]]),MONTH(m5_crossvalid[[#This Row],[cutoff]]),DAY(m5_crossvalid[[#This Row],[cutoff]]))</f>
        <v>45930</v>
      </c>
      <c r="B307" s="7">
        <f>DATE(YEAR(m5_crossvalid[[#This Row],[ds]]),MONTH(m5_crossvalid[[#This Row],[ds]]),DAY(m5_crossvalid[[#This Row],[ds]]))</f>
        <v>45957</v>
      </c>
      <c r="C307">
        <v>4219</v>
      </c>
      <c r="D307" s="1">
        <v>45957.333333333336</v>
      </c>
      <c r="E307">
        <v>4084.2285321401187</v>
      </c>
      <c r="F307">
        <v>2650.233038429813</v>
      </c>
      <c r="G307">
        <v>5452.3452094672011</v>
      </c>
      <c r="H307" s="1">
        <v>45930.333333333336</v>
      </c>
    </row>
    <row r="308" spans="1:8" x14ac:dyDescent="0.25">
      <c r="A308" s="7">
        <f>DATE(YEAR(m5_crossvalid[[#This Row],[cutoff]]),MONTH(m5_crossvalid[[#This Row],[cutoff]]),DAY(m5_crossvalid[[#This Row],[cutoff]]))</f>
        <v>45930</v>
      </c>
      <c r="B308" s="7">
        <f>DATE(YEAR(m5_crossvalid[[#This Row],[ds]]),MONTH(m5_crossvalid[[#This Row],[ds]]),DAY(m5_crossvalid[[#This Row],[ds]]))</f>
        <v>45958</v>
      </c>
      <c r="C308">
        <v>5659</v>
      </c>
      <c r="D308" s="1">
        <v>45958.333333333336</v>
      </c>
      <c r="E308">
        <v>4850.7621344598738</v>
      </c>
      <c r="F308">
        <v>3375.4374803256715</v>
      </c>
      <c r="G308">
        <v>6378.9723007702396</v>
      </c>
      <c r="H308" s="1">
        <v>45930.333333333336</v>
      </c>
    </row>
    <row r="309" spans="1:8" x14ac:dyDescent="0.25">
      <c r="A309" s="7">
        <f>DATE(YEAR(m5_crossvalid[[#This Row],[cutoff]]),MONTH(m5_crossvalid[[#This Row],[cutoff]]),DAY(m5_crossvalid[[#This Row],[cutoff]]))</f>
        <v>45930</v>
      </c>
      <c r="B309" s="7">
        <f>DATE(YEAR(m5_crossvalid[[#This Row],[ds]]),MONTH(m5_crossvalid[[#This Row],[ds]]),DAY(m5_crossvalid[[#This Row],[ds]]))</f>
        <v>45959</v>
      </c>
      <c r="C309">
        <v>6381</v>
      </c>
      <c r="D309" s="1">
        <v>45959.333333333336</v>
      </c>
      <c r="E309">
        <v>5341.6438680768497</v>
      </c>
      <c r="F309">
        <v>3943.8418390925058</v>
      </c>
      <c r="G309">
        <v>6871.3694740121373</v>
      </c>
      <c r="H309" s="1">
        <v>45930.333333333336</v>
      </c>
    </row>
    <row r="310" spans="1:8" x14ac:dyDescent="0.25">
      <c r="A310" s="7">
        <f>DATE(YEAR(m5_crossvalid[[#This Row],[cutoff]]),MONTH(m5_crossvalid[[#This Row],[cutoff]]),DAY(m5_crossvalid[[#This Row],[cutoff]]))</f>
        <v>45930</v>
      </c>
      <c r="B310" s="7">
        <f>DATE(YEAR(m5_crossvalid[[#This Row],[ds]]),MONTH(m5_crossvalid[[#This Row],[ds]]),DAY(m5_crossvalid[[#This Row],[ds]]))</f>
        <v>45960</v>
      </c>
      <c r="C310">
        <v>7936</v>
      </c>
      <c r="D310" s="1">
        <v>45960.333333333336</v>
      </c>
      <c r="E310">
        <v>7692.9299574825354</v>
      </c>
      <c r="F310">
        <v>6221.9217564302489</v>
      </c>
      <c r="G310">
        <v>9055.4303276609244</v>
      </c>
      <c r="H310" s="1">
        <v>45930.333333333336</v>
      </c>
    </row>
    <row r="311" spans="1:8" x14ac:dyDescent="0.25">
      <c r="A311" s="7">
        <f>DATE(YEAR(m5_crossvalid[[#This Row],[cutoff]]),MONTH(m5_crossvalid[[#This Row],[cutoff]]),DAY(m5_crossvalid[[#This Row],[cutoff]]))</f>
        <v>45930</v>
      </c>
      <c r="B311" s="7">
        <f>DATE(YEAR(m5_crossvalid[[#This Row],[ds]]),MONTH(m5_crossvalid[[#This Row],[ds]]),DAY(m5_crossvalid[[#This Row],[ds]]))</f>
        <v>45961</v>
      </c>
      <c r="C311">
        <v>13386</v>
      </c>
      <c r="D311" s="1">
        <v>45961.333333333336</v>
      </c>
      <c r="E311">
        <v>9678.5956350948309</v>
      </c>
      <c r="F311">
        <v>8227.5975402743243</v>
      </c>
      <c r="G311">
        <v>11017.824385153415</v>
      </c>
      <c r="H311" s="1">
        <v>45930.333333333336</v>
      </c>
    </row>
    <row r="312" spans="1:8" x14ac:dyDescent="0.25">
      <c r="A312" s="7">
        <f>DATE(YEAR(m5_crossvalid[[#This Row],[cutoff]]),MONTH(m5_crossvalid[[#This Row],[cutoff]]),DAY(m5_crossvalid[[#This Row],[cutoff]]))</f>
        <v>45961</v>
      </c>
      <c r="B312" s="7">
        <f>DATE(YEAR(m5_crossvalid[[#This Row],[ds]]),MONTH(m5_crossvalid[[#This Row],[ds]]),DAY(m5_crossvalid[[#This Row],[ds]]))</f>
        <v>45962</v>
      </c>
      <c r="C312">
        <v>104</v>
      </c>
      <c r="D312" s="1">
        <v>45962.333333333336</v>
      </c>
      <c r="E312">
        <v>174.25769208902921</v>
      </c>
      <c r="F312">
        <v>-1291.574359452246</v>
      </c>
      <c r="G312">
        <v>1619.0853946425605</v>
      </c>
      <c r="H312" s="1">
        <v>45961.333333333336</v>
      </c>
    </row>
    <row r="313" spans="1:8" x14ac:dyDescent="0.25">
      <c r="A313" s="7">
        <f>DATE(YEAR(m5_crossvalid[[#This Row],[cutoff]]),MONTH(m5_crossvalid[[#This Row],[cutoff]]),DAY(m5_crossvalid[[#This Row],[cutoff]]))</f>
        <v>45961</v>
      </c>
      <c r="B313" s="7">
        <f>DATE(YEAR(m5_crossvalid[[#This Row],[ds]]),MONTH(m5_crossvalid[[#This Row],[ds]]),DAY(m5_crossvalid[[#This Row],[ds]]))</f>
        <v>45963</v>
      </c>
      <c r="C313">
        <v>32</v>
      </c>
      <c r="D313" s="1">
        <v>45963.333333333336</v>
      </c>
      <c r="E313">
        <v>-1040.6460252074589</v>
      </c>
      <c r="F313">
        <v>-2508.830824689775</v>
      </c>
      <c r="G313">
        <v>494.40869117858881</v>
      </c>
      <c r="H313" s="1">
        <v>45961.333333333336</v>
      </c>
    </row>
    <row r="314" spans="1:8" x14ac:dyDescent="0.25">
      <c r="A314" s="7">
        <f>DATE(YEAR(m5_crossvalid[[#This Row],[cutoff]]),MONTH(m5_crossvalid[[#This Row],[cutoff]]),DAY(m5_crossvalid[[#This Row],[cutoff]]))</f>
        <v>45961</v>
      </c>
      <c r="B314" s="7">
        <f>DATE(YEAR(m5_crossvalid[[#This Row],[ds]]),MONTH(m5_crossvalid[[#This Row],[ds]]),DAY(m5_crossvalid[[#This Row],[ds]]))</f>
        <v>45964</v>
      </c>
      <c r="C314">
        <v>607</v>
      </c>
      <c r="D314" s="1">
        <v>45964.333333333336</v>
      </c>
      <c r="E314">
        <v>1367.9994250455711</v>
      </c>
      <c r="F314">
        <v>13.664835517051495</v>
      </c>
      <c r="G314">
        <v>2776.5030380831604</v>
      </c>
      <c r="H314" s="1">
        <v>45961.333333333336</v>
      </c>
    </row>
    <row r="315" spans="1:8" x14ac:dyDescent="0.25">
      <c r="A315" s="7">
        <f>DATE(YEAR(m5_crossvalid[[#This Row],[cutoff]]),MONTH(m5_crossvalid[[#This Row],[cutoff]]),DAY(m5_crossvalid[[#This Row],[cutoff]]))</f>
        <v>45961</v>
      </c>
      <c r="B315" s="7">
        <f>DATE(YEAR(m5_crossvalid[[#This Row],[ds]]),MONTH(m5_crossvalid[[#This Row],[ds]]),DAY(m5_crossvalid[[#This Row],[ds]]))</f>
        <v>45965</v>
      </c>
      <c r="C315">
        <v>821</v>
      </c>
      <c r="D315" s="1">
        <v>45965.333333333336</v>
      </c>
      <c r="E315">
        <v>1736.2006365949442</v>
      </c>
      <c r="F315">
        <v>298.42886823259067</v>
      </c>
      <c r="G315">
        <v>3209.8283637898871</v>
      </c>
      <c r="H315" s="1">
        <v>45961.333333333336</v>
      </c>
    </row>
    <row r="316" spans="1:8" x14ac:dyDescent="0.25">
      <c r="A316" s="7">
        <f>DATE(YEAR(m5_crossvalid[[#This Row],[cutoff]]),MONTH(m5_crossvalid[[#This Row],[cutoff]]),DAY(m5_crossvalid[[#This Row],[cutoff]]))</f>
        <v>45961</v>
      </c>
      <c r="B316" s="7">
        <f>DATE(YEAR(m5_crossvalid[[#This Row],[ds]]),MONTH(m5_crossvalid[[#This Row],[ds]]),DAY(m5_crossvalid[[#This Row],[ds]]))</f>
        <v>45966</v>
      </c>
      <c r="C316">
        <v>1032</v>
      </c>
      <c r="D316" s="1">
        <v>45966.333333333336</v>
      </c>
      <c r="E316">
        <v>1993.064885910183</v>
      </c>
      <c r="F316">
        <v>481.89643628188617</v>
      </c>
      <c r="G316">
        <v>3401.2432261220056</v>
      </c>
      <c r="H316" s="1">
        <v>45961.333333333336</v>
      </c>
    </row>
    <row r="317" spans="1:8" x14ac:dyDescent="0.25">
      <c r="A317" s="7">
        <f>DATE(YEAR(m5_crossvalid[[#This Row],[cutoff]]),MONTH(m5_crossvalid[[#This Row],[cutoff]]),DAY(m5_crossvalid[[#This Row],[cutoff]]))</f>
        <v>45961</v>
      </c>
      <c r="B317" s="7">
        <f>DATE(YEAR(m5_crossvalid[[#This Row],[ds]]),MONTH(m5_crossvalid[[#This Row],[ds]]),DAY(m5_crossvalid[[#This Row],[ds]]))</f>
        <v>45967</v>
      </c>
      <c r="C317">
        <v>1396</v>
      </c>
      <c r="D317" s="1">
        <v>45967.333333333336</v>
      </c>
      <c r="E317">
        <v>2076.2316382796394</v>
      </c>
      <c r="F317">
        <v>573.89748586094925</v>
      </c>
      <c r="G317">
        <v>3586.8047537566345</v>
      </c>
      <c r="H317" s="1">
        <v>45961.333333333336</v>
      </c>
    </row>
    <row r="318" spans="1:8" x14ac:dyDescent="0.25">
      <c r="A318" s="7">
        <f>DATE(YEAR(m5_crossvalid[[#This Row],[cutoff]]),MONTH(m5_crossvalid[[#This Row],[cutoff]]),DAY(m5_crossvalid[[#This Row],[cutoff]]))</f>
        <v>45961</v>
      </c>
      <c r="B318" s="7">
        <f>DATE(YEAR(m5_crossvalid[[#This Row],[ds]]),MONTH(m5_crossvalid[[#This Row],[ds]]),DAY(m5_crossvalid[[#This Row],[ds]]))</f>
        <v>45968</v>
      </c>
      <c r="C318">
        <v>1612</v>
      </c>
      <c r="D318" s="1">
        <v>45968.333333333336</v>
      </c>
      <c r="E318">
        <v>1891.6234471887915</v>
      </c>
      <c r="F318">
        <v>440.57746095041932</v>
      </c>
      <c r="G318">
        <v>3350.0297784351897</v>
      </c>
      <c r="H318" s="1">
        <v>45961.333333333336</v>
      </c>
    </row>
    <row r="319" spans="1:8" x14ac:dyDescent="0.25">
      <c r="A319" s="7">
        <f>DATE(YEAR(m5_crossvalid[[#This Row],[cutoff]]),MONTH(m5_crossvalid[[#This Row],[cutoff]]),DAY(m5_crossvalid[[#This Row],[cutoff]]))</f>
        <v>45961</v>
      </c>
      <c r="B319" s="7">
        <f>DATE(YEAR(m5_crossvalid[[#This Row],[ds]]),MONTH(m5_crossvalid[[#This Row],[ds]]),DAY(m5_crossvalid[[#This Row],[ds]]))</f>
        <v>45969</v>
      </c>
      <c r="C319">
        <v>206</v>
      </c>
      <c r="D319" s="1">
        <v>45969.333333333336</v>
      </c>
      <c r="E319">
        <v>149.35176923818744</v>
      </c>
      <c r="F319">
        <v>-1231.3132731185931</v>
      </c>
      <c r="G319">
        <v>1514.9902079013386</v>
      </c>
      <c r="H319" s="1">
        <v>45961.333333333336</v>
      </c>
    </row>
    <row r="320" spans="1:8" x14ac:dyDescent="0.25">
      <c r="A320" s="7">
        <f>DATE(YEAR(m5_crossvalid[[#This Row],[cutoff]]),MONTH(m5_crossvalid[[#This Row],[cutoff]]),DAY(m5_crossvalid[[#This Row],[cutoff]]))</f>
        <v>45961</v>
      </c>
      <c r="B320" s="7">
        <f>DATE(YEAR(m5_crossvalid[[#This Row],[ds]]),MONTH(m5_crossvalid[[#This Row],[ds]]),DAY(m5_crossvalid[[#This Row],[ds]]))</f>
        <v>45970</v>
      </c>
      <c r="C320">
        <v>95</v>
      </c>
      <c r="D320" s="1">
        <v>45970.333333333336</v>
      </c>
      <c r="E320">
        <v>-493.2701283644883</v>
      </c>
      <c r="F320">
        <v>-2059.5977658570409</v>
      </c>
      <c r="G320">
        <v>913.97726799895963</v>
      </c>
      <c r="H320" s="1">
        <v>45961.333333333336</v>
      </c>
    </row>
    <row r="321" spans="1:8" x14ac:dyDescent="0.25">
      <c r="A321" s="7">
        <f>DATE(YEAR(m5_crossvalid[[#This Row],[cutoff]]),MONTH(m5_crossvalid[[#This Row],[cutoff]]),DAY(m5_crossvalid[[#This Row],[cutoff]]))</f>
        <v>45961</v>
      </c>
      <c r="B321" s="7">
        <f>DATE(YEAR(m5_crossvalid[[#This Row],[ds]]),MONTH(m5_crossvalid[[#This Row],[ds]]),DAY(m5_crossvalid[[#This Row],[ds]]))</f>
        <v>45971</v>
      </c>
      <c r="C321">
        <v>1552</v>
      </c>
      <c r="D321" s="1">
        <v>45971.333333333336</v>
      </c>
      <c r="E321">
        <v>2087.4271356104214</v>
      </c>
      <c r="F321">
        <v>563.1297683207963</v>
      </c>
      <c r="G321">
        <v>3565.9561220183668</v>
      </c>
      <c r="H321" s="1">
        <v>45961.333333333336</v>
      </c>
    </row>
    <row r="322" spans="1:8" x14ac:dyDescent="0.25">
      <c r="A322" s="7">
        <f>DATE(YEAR(m5_crossvalid[[#This Row],[cutoff]]),MONTH(m5_crossvalid[[#This Row],[cutoff]]),DAY(m5_crossvalid[[#This Row],[cutoff]]))</f>
        <v>45961</v>
      </c>
      <c r="B322" s="7">
        <f>DATE(YEAR(m5_crossvalid[[#This Row],[ds]]),MONTH(m5_crossvalid[[#This Row],[ds]]),DAY(m5_crossvalid[[#This Row],[ds]]))</f>
        <v>45972</v>
      </c>
      <c r="C322">
        <v>1937</v>
      </c>
      <c r="D322" s="1">
        <v>45972.333333333336</v>
      </c>
      <c r="E322">
        <v>2506.0148438696824</v>
      </c>
      <c r="F322">
        <v>994.36678735776593</v>
      </c>
      <c r="G322">
        <v>4084.0698800526002</v>
      </c>
      <c r="H322" s="1">
        <v>45961.333333333336</v>
      </c>
    </row>
    <row r="323" spans="1:8" x14ac:dyDescent="0.25">
      <c r="A323" s="7">
        <f>DATE(YEAR(m5_crossvalid[[#This Row],[cutoff]]),MONTH(m5_crossvalid[[#This Row],[cutoff]]),DAY(m5_crossvalid[[#This Row],[cutoff]]))</f>
        <v>45961</v>
      </c>
      <c r="B323" s="7">
        <f>DATE(YEAR(m5_crossvalid[[#This Row],[ds]]),MONTH(m5_crossvalid[[#This Row],[ds]]),DAY(m5_crossvalid[[#This Row],[ds]]))</f>
        <v>45973</v>
      </c>
      <c r="C323">
        <v>2198</v>
      </c>
      <c r="D323" s="1">
        <v>45973.333333333336</v>
      </c>
      <c r="E323">
        <v>2654.5195549415948</v>
      </c>
      <c r="F323">
        <v>1213.4806483276984</v>
      </c>
      <c r="G323">
        <v>4012.8856307210758</v>
      </c>
      <c r="H323" s="1">
        <v>45961.333333333336</v>
      </c>
    </row>
    <row r="324" spans="1:8" x14ac:dyDescent="0.25">
      <c r="A324" s="7">
        <f>DATE(YEAR(m5_crossvalid[[#This Row],[cutoff]]),MONTH(m5_crossvalid[[#This Row],[cutoff]]),DAY(m5_crossvalid[[#This Row],[cutoff]]))</f>
        <v>45961</v>
      </c>
      <c r="B324" s="7">
        <f>DATE(YEAR(m5_crossvalid[[#This Row],[ds]]),MONTH(m5_crossvalid[[#This Row],[ds]]),DAY(m5_crossvalid[[#This Row],[ds]]))</f>
        <v>45974</v>
      </c>
      <c r="C324">
        <v>2401</v>
      </c>
      <c r="D324" s="1">
        <v>45974.333333333336</v>
      </c>
      <c r="E324">
        <v>2704.162327191435</v>
      </c>
      <c r="F324">
        <v>1134.6100721122395</v>
      </c>
      <c r="G324">
        <v>4130.0509939295016</v>
      </c>
      <c r="H324" s="1">
        <v>45961.333333333336</v>
      </c>
    </row>
    <row r="325" spans="1:8" x14ac:dyDescent="0.25">
      <c r="A325" s="7">
        <f>DATE(YEAR(m5_crossvalid[[#This Row],[cutoff]]),MONTH(m5_crossvalid[[#This Row],[cutoff]]),DAY(m5_crossvalid[[#This Row],[cutoff]]))</f>
        <v>45961</v>
      </c>
      <c r="B325" s="7">
        <f>DATE(YEAR(m5_crossvalid[[#This Row],[ds]]),MONTH(m5_crossvalid[[#This Row],[ds]]),DAY(m5_crossvalid[[#This Row],[ds]]))</f>
        <v>45975</v>
      </c>
      <c r="C325">
        <v>2547</v>
      </c>
      <c r="D325" s="1">
        <v>45975.333333333336</v>
      </c>
      <c r="E325">
        <v>2695.2533925240182</v>
      </c>
      <c r="F325">
        <v>1295.0326938220114</v>
      </c>
      <c r="G325">
        <v>4162.6628511681865</v>
      </c>
      <c r="H325" s="1">
        <v>45961.333333333336</v>
      </c>
    </row>
    <row r="326" spans="1:8" x14ac:dyDescent="0.25">
      <c r="A326" s="7">
        <f>DATE(YEAR(m5_crossvalid[[#This Row],[cutoff]]),MONTH(m5_crossvalid[[#This Row],[cutoff]]),DAY(m5_crossvalid[[#This Row],[cutoff]]))</f>
        <v>45961</v>
      </c>
      <c r="B326" s="7">
        <f>DATE(YEAR(m5_crossvalid[[#This Row],[ds]]),MONTH(m5_crossvalid[[#This Row],[ds]]),DAY(m5_crossvalid[[#This Row],[ds]]))</f>
        <v>45976</v>
      </c>
      <c r="C326">
        <v>773</v>
      </c>
      <c r="D326" s="1">
        <v>45976.333333333336</v>
      </c>
      <c r="E326">
        <v>510.42701860139914</v>
      </c>
      <c r="F326">
        <v>-972.67769481457071</v>
      </c>
      <c r="G326">
        <v>1919.4479433555648</v>
      </c>
      <c r="H326" s="1">
        <v>45961.333333333336</v>
      </c>
    </row>
    <row r="327" spans="1:8" x14ac:dyDescent="0.25">
      <c r="A327" s="7">
        <f>DATE(YEAR(m5_crossvalid[[#This Row],[cutoff]]),MONTH(m5_crossvalid[[#This Row],[cutoff]]),DAY(m5_crossvalid[[#This Row],[cutoff]]))</f>
        <v>45961</v>
      </c>
      <c r="B327" s="7">
        <f>DATE(YEAR(m5_crossvalid[[#This Row],[ds]]),MONTH(m5_crossvalid[[#This Row],[ds]]),DAY(m5_crossvalid[[#This Row],[ds]]))</f>
        <v>45977</v>
      </c>
      <c r="C327">
        <v>113</v>
      </c>
      <c r="D327" s="1">
        <v>45977.333333333336</v>
      </c>
      <c r="E327">
        <v>124.068346643528</v>
      </c>
      <c r="F327">
        <v>-1254.1116147519124</v>
      </c>
      <c r="G327">
        <v>1614.0150358532824</v>
      </c>
      <c r="H327" s="1">
        <v>45961.333333333336</v>
      </c>
    </row>
    <row r="328" spans="1:8" x14ac:dyDescent="0.25">
      <c r="A328" s="7">
        <f>DATE(YEAR(m5_crossvalid[[#This Row],[cutoff]]),MONTH(m5_crossvalid[[#This Row],[cutoff]]),DAY(m5_crossvalid[[#This Row],[cutoff]]))</f>
        <v>45961</v>
      </c>
      <c r="B328" s="7">
        <f>DATE(YEAR(m5_crossvalid[[#This Row],[ds]]),MONTH(m5_crossvalid[[#This Row],[ds]]),DAY(m5_crossvalid[[#This Row],[ds]]))</f>
        <v>45978</v>
      </c>
      <c r="C328">
        <v>2849</v>
      </c>
      <c r="D328" s="1">
        <v>45978.333333333336</v>
      </c>
      <c r="E328">
        <v>2759.81812690469</v>
      </c>
      <c r="F328">
        <v>1364.0012145675553</v>
      </c>
      <c r="G328">
        <v>4169.8115583704257</v>
      </c>
      <c r="H328" s="1">
        <v>45961.333333333336</v>
      </c>
    </row>
    <row r="329" spans="1:8" x14ac:dyDescent="0.25">
      <c r="A329" s="7">
        <f>DATE(YEAR(m5_crossvalid[[#This Row],[cutoff]]),MONTH(m5_crossvalid[[#This Row],[cutoff]]),DAY(m5_crossvalid[[#This Row],[cutoff]]))</f>
        <v>45961</v>
      </c>
      <c r="B329" s="7">
        <f>DATE(YEAR(m5_crossvalid[[#This Row],[ds]]),MONTH(m5_crossvalid[[#This Row],[ds]]),DAY(m5_crossvalid[[#This Row],[ds]]))</f>
        <v>45979</v>
      </c>
      <c r="C329">
        <v>3351</v>
      </c>
      <c r="D329" s="1">
        <v>45979.333333333336</v>
      </c>
      <c r="E329">
        <v>3068.2142408653694</v>
      </c>
      <c r="F329">
        <v>1565.5876678363038</v>
      </c>
      <c r="G329">
        <v>4550.818732239306</v>
      </c>
      <c r="H329" s="1">
        <v>45961.333333333336</v>
      </c>
    </row>
    <row r="330" spans="1:8" x14ac:dyDescent="0.25">
      <c r="A330" s="7">
        <f>DATE(YEAR(m5_crossvalid[[#This Row],[cutoff]]),MONTH(m5_crossvalid[[#This Row],[cutoff]]),DAY(m5_crossvalid[[#This Row],[cutoff]]))</f>
        <v>45961</v>
      </c>
      <c r="B330" s="7">
        <f>DATE(YEAR(m5_crossvalid[[#This Row],[ds]]),MONTH(m5_crossvalid[[#This Row],[ds]]),DAY(m5_crossvalid[[#This Row],[ds]]))</f>
        <v>45980</v>
      </c>
      <c r="C330">
        <v>3248</v>
      </c>
      <c r="D330" s="1">
        <v>45980.333333333336</v>
      </c>
      <c r="E330">
        <v>3106.5958405853044</v>
      </c>
      <c r="F330">
        <v>1722.0402878868551</v>
      </c>
      <c r="G330">
        <v>4504.1991219700103</v>
      </c>
      <c r="H330" s="1">
        <v>45961.333333333336</v>
      </c>
    </row>
    <row r="331" spans="1:8" x14ac:dyDescent="0.25">
      <c r="A331" s="7">
        <f>DATE(YEAR(m5_crossvalid[[#This Row],[cutoff]]),MONTH(m5_crossvalid[[#This Row],[cutoff]]),DAY(m5_crossvalid[[#This Row],[cutoff]]))</f>
        <v>45961</v>
      </c>
      <c r="B331" s="7">
        <f>DATE(YEAR(m5_crossvalid[[#This Row],[ds]]),MONTH(m5_crossvalid[[#This Row],[ds]]),DAY(m5_crossvalid[[#This Row],[ds]]))</f>
        <v>45981</v>
      </c>
      <c r="C331">
        <v>3581</v>
      </c>
      <c r="D331" s="1">
        <v>45981.333333333336</v>
      </c>
      <c r="E331">
        <v>3173.1874382604847</v>
      </c>
      <c r="F331">
        <v>1689.0601507169813</v>
      </c>
      <c r="G331">
        <v>4518.1931030170199</v>
      </c>
      <c r="H331" s="1">
        <v>45961.333333333336</v>
      </c>
    </row>
    <row r="332" spans="1:8" x14ac:dyDescent="0.25">
      <c r="A332" s="7">
        <f>DATE(YEAR(m5_crossvalid[[#This Row],[cutoff]]),MONTH(m5_crossvalid[[#This Row],[cutoff]]),DAY(m5_crossvalid[[#This Row],[cutoff]]))</f>
        <v>45961</v>
      </c>
      <c r="B332" s="7">
        <f>DATE(YEAR(m5_crossvalid[[#This Row],[ds]]),MONTH(m5_crossvalid[[#This Row],[ds]]),DAY(m5_crossvalid[[#This Row],[ds]]))</f>
        <v>45982</v>
      </c>
      <c r="C332">
        <v>3622</v>
      </c>
      <c r="D332" s="1">
        <v>45982.333333333336</v>
      </c>
      <c r="E332">
        <v>3274.5231882418066</v>
      </c>
      <c r="F332">
        <v>1800.6043482779501</v>
      </c>
      <c r="G332">
        <v>4764.0075449311262</v>
      </c>
      <c r="H332" s="1">
        <v>45961.333333333336</v>
      </c>
    </row>
    <row r="333" spans="1:8" x14ac:dyDescent="0.25">
      <c r="A333" s="7">
        <f>DATE(YEAR(m5_crossvalid[[#This Row],[cutoff]]),MONTH(m5_crossvalid[[#This Row],[cutoff]]),DAY(m5_crossvalid[[#This Row],[cutoff]]))</f>
        <v>45961</v>
      </c>
      <c r="B333" s="7">
        <f>DATE(YEAR(m5_crossvalid[[#This Row],[ds]]),MONTH(m5_crossvalid[[#This Row],[ds]]),DAY(m5_crossvalid[[#This Row],[ds]]))</f>
        <v>45983</v>
      </c>
      <c r="C333">
        <v>783</v>
      </c>
      <c r="D333" s="1">
        <v>45983.333333333336</v>
      </c>
      <c r="E333">
        <v>1139.8278589743802</v>
      </c>
      <c r="F333">
        <v>-280.23331289863989</v>
      </c>
      <c r="G333">
        <v>2710.6647165603085</v>
      </c>
      <c r="H333" s="1">
        <v>45961.333333333336</v>
      </c>
    </row>
    <row r="334" spans="1:8" x14ac:dyDescent="0.25">
      <c r="A334" s="7">
        <f>DATE(YEAR(m5_crossvalid[[#This Row],[cutoff]]),MONTH(m5_crossvalid[[#This Row],[cutoff]]),DAY(m5_crossvalid[[#This Row],[cutoff]]))</f>
        <v>45961</v>
      </c>
      <c r="B334" s="7">
        <f>DATE(YEAR(m5_crossvalid[[#This Row],[ds]]),MONTH(m5_crossvalid[[#This Row],[ds]]),DAY(m5_crossvalid[[#This Row],[ds]]))</f>
        <v>45984</v>
      </c>
      <c r="C334">
        <v>188</v>
      </c>
      <c r="D334" s="1">
        <v>45984.333333333336</v>
      </c>
      <c r="E334">
        <v>635.30943482710722</v>
      </c>
      <c r="F334">
        <v>-756.72559811623819</v>
      </c>
      <c r="G334">
        <v>2175.3579284346861</v>
      </c>
      <c r="H334" s="1">
        <v>45961.333333333336</v>
      </c>
    </row>
    <row r="335" spans="1:8" x14ac:dyDescent="0.25">
      <c r="A335" s="7">
        <f>DATE(YEAR(m5_crossvalid[[#This Row],[cutoff]]),MONTH(m5_crossvalid[[#This Row],[cutoff]]),DAY(m5_crossvalid[[#This Row],[cutoff]]))</f>
        <v>45961</v>
      </c>
      <c r="B335" s="7">
        <f>DATE(YEAR(m5_crossvalid[[#This Row],[ds]]),MONTH(m5_crossvalid[[#This Row],[ds]]),DAY(m5_crossvalid[[#This Row],[ds]]))</f>
        <v>45985</v>
      </c>
      <c r="C335">
        <v>3515</v>
      </c>
      <c r="D335" s="1">
        <v>45985.333333333336</v>
      </c>
      <c r="E335">
        <v>3844.9379730285509</v>
      </c>
      <c r="F335">
        <v>2432.0950548200353</v>
      </c>
      <c r="G335">
        <v>5303.5505934702551</v>
      </c>
      <c r="H335" s="1">
        <v>45961.333333333336</v>
      </c>
    </row>
    <row r="336" spans="1:8" x14ac:dyDescent="0.25">
      <c r="A336" s="7">
        <f>DATE(YEAR(m5_crossvalid[[#This Row],[cutoff]]),MONTH(m5_crossvalid[[#This Row],[cutoff]]),DAY(m5_crossvalid[[#This Row],[cutoff]]))</f>
        <v>45961</v>
      </c>
      <c r="B336" s="7">
        <f>DATE(YEAR(m5_crossvalid[[#This Row],[ds]]),MONTH(m5_crossvalid[[#This Row],[ds]]),DAY(m5_crossvalid[[#This Row],[ds]]))</f>
        <v>45986</v>
      </c>
      <c r="C336">
        <v>4824</v>
      </c>
      <c r="D336" s="1">
        <v>45986.333333333336</v>
      </c>
      <c r="E336">
        <v>4030.8861048926165</v>
      </c>
      <c r="F336">
        <v>2568.4420041997328</v>
      </c>
      <c r="G336">
        <v>5555.641508922411</v>
      </c>
      <c r="H336" s="1">
        <v>45961.333333333336</v>
      </c>
    </row>
    <row r="337" spans="1:8" x14ac:dyDescent="0.25">
      <c r="A337" s="7">
        <f>DATE(YEAR(m5_crossvalid[[#This Row],[cutoff]]),MONTH(m5_crossvalid[[#This Row],[cutoff]]),DAY(m5_crossvalid[[#This Row],[cutoff]]))</f>
        <v>45961</v>
      </c>
      <c r="B337" s="7">
        <f>DATE(YEAR(m5_crossvalid[[#This Row],[ds]]),MONTH(m5_crossvalid[[#This Row],[ds]]),DAY(m5_crossvalid[[#This Row],[ds]]))</f>
        <v>45987</v>
      </c>
      <c r="C337">
        <v>5463</v>
      </c>
      <c r="D337" s="1">
        <v>45987.333333333336</v>
      </c>
      <c r="E337">
        <v>4207.9338761121653</v>
      </c>
      <c r="F337">
        <v>2761.7011956589486</v>
      </c>
      <c r="G337">
        <v>5655.797738831674</v>
      </c>
      <c r="H337" s="1">
        <v>45961.333333333336</v>
      </c>
    </row>
    <row r="338" spans="1:8" x14ac:dyDescent="0.25">
      <c r="A338" s="7">
        <f>DATE(YEAR(m5_crossvalid[[#This Row],[cutoff]]),MONTH(m5_crossvalid[[#This Row],[cutoff]]),DAY(m5_crossvalid[[#This Row],[cutoff]]))</f>
        <v>45961</v>
      </c>
      <c r="B338" s="7">
        <f>DATE(YEAR(m5_crossvalid[[#This Row],[ds]]),MONTH(m5_crossvalid[[#This Row],[ds]]),DAY(m5_crossvalid[[#This Row],[ds]]))</f>
        <v>45988</v>
      </c>
      <c r="C338">
        <v>7236</v>
      </c>
      <c r="D338" s="1">
        <v>45988.333333333336</v>
      </c>
      <c r="E338">
        <v>4639.3188137944871</v>
      </c>
      <c r="F338">
        <v>3291.2007866950189</v>
      </c>
      <c r="G338">
        <v>6174.40857316458</v>
      </c>
      <c r="H338" s="1">
        <v>45961.333333333336</v>
      </c>
    </row>
    <row r="339" spans="1:8" x14ac:dyDescent="0.25">
      <c r="A339" s="7">
        <f>DATE(YEAR(m5_crossvalid[[#This Row],[cutoff]]),MONTH(m5_crossvalid[[#This Row],[cutoff]]),DAY(m5_crossvalid[[#This Row],[cutoff]]))</f>
        <v>45961</v>
      </c>
      <c r="B339" s="7">
        <f>DATE(YEAR(m5_crossvalid[[#This Row],[ds]]),MONTH(m5_crossvalid[[#This Row],[ds]]),DAY(m5_crossvalid[[#This Row],[ds]]))</f>
        <v>45989</v>
      </c>
      <c r="C339">
        <v>10013</v>
      </c>
      <c r="D339" s="1">
        <v>45989.333333333336</v>
      </c>
      <c r="E339">
        <v>5102.132380295192</v>
      </c>
      <c r="F339">
        <v>3595.9906880516482</v>
      </c>
      <c r="G339">
        <v>6548.0529728533447</v>
      </c>
      <c r="H339" s="1">
        <v>45961.333333333336</v>
      </c>
    </row>
    <row r="340" spans="1:8" x14ac:dyDescent="0.25">
      <c r="A340" s="7">
        <f>DATE(YEAR(m5_crossvalid[[#This Row],[cutoff]]),MONTH(m5_crossvalid[[#This Row],[cutoff]]),DAY(m5_crossvalid[[#This Row],[cutoff]]))</f>
        <v>45961</v>
      </c>
      <c r="B340" s="7">
        <f>DATE(YEAR(m5_crossvalid[[#This Row],[ds]]),MONTH(m5_crossvalid[[#This Row],[ds]]),DAY(m5_crossvalid[[#This Row],[ds]]))</f>
        <v>45990</v>
      </c>
      <c r="C340">
        <v>8210</v>
      </c>
      <c r="D340" s="1">
        <v>45990.333333333336</v>
      </c>
      <c r="E340">
        <v>5363.3416395198346</v>
      </c>
      <c r="F340">
        <v>3987.6962586608815</v>
      </c>
      <c r="G340">
        <v>6810.7694944046007</v>
      </c>
      <c r="H340" s="1">
        <v>45961.333333333336</v>
      </c>
    </row>
    <row r="341" spans="1:8" x14ac:dyDescent="0.25">
      <c r="A341" s="7">
        <f>DATE(YEAR(m5_crossvalid[[#This Row],[cutoff]]),MONTH(m5_crossvalid[[#This Row],[cutoff]]),DAY(m5_crossvalid[[#This Row],[cutoff]]))</f>
        <v>45961</v>
      </c>
      <c r="B341" s="7">
        <f>DATE(YEAR(m5_crossvalid[[#This Row],[ds]]),MONTH(m5_crossvalid[[#This Row],[ds]]),DAY(m5_crossvalid[[#This Row],[ds]]))</f>
        <v>45991</v>
      </c>
      <c r="C341">
        <v>3567</v>
      </c>
      <c r="D341" s="1">
        <v>45991.333333333336</v>
      </c>
      <c r="E341">
        <v>7171.9560755822204</v>
      </c>
      <c r="F341">
        <v>5631.7097051436285</v>
      </c>
      <c r="G341">
        <v>8558.6952204422596</v>
      </c>
      <c r="H341" s="1">
        <v>45961.333333333336</v>
      </c>
    </row>
    <row r="342" spans="1:8" x14ac:dyDescent="0.25">
      <c r="A342" s="7">
        <f>DATE(YEAR(m5_crossvalid[[#This Row],[cutoff]]),MONTH(m5_crossvalid[[#This Row],[cutoff]]),DAY(m5_crossvalid[[#This Row],[cutoff]]))</f>
        <v>45961</v>
      </c>
      <c r="B342" s="7">
        <f>DATE(YEAR(m5_crossvalid[[#This Row],[ds]]),MONTH(m5_crossvalid[[#This Row],[ds]]),DAY(m5_crossvalid[[#This Row],[ds]]))</f>
        <v>45992</v>
      </c>
      <c r="C342">
        <v>659</v>
      </c>
      <c r="D342" s="1">
        <v>45992.333333333336</v>
      </c>
      <c r="E342">
        <v>2388.6286671393418</v>
      </c>
      <c r="F342">
        <v>804.51006692698945</v>
      </c>
      <c r="G342">
        <v>3861.6997375538936</v>
      </c>
      <c r="H342" s="1">
        <v>45961.333333333336</v>
      </c>
    </row>
    <row r="343" spans="1:8" x14ac:dyDescent="0.25">
      <c r="A343" s="7">
        <f>DATE(YEAR(m5_crossvalid[[#This Row],[cutoff]]),MONTH(m5_crossvalid[[#This Row],[cutoff]]),DAY(m5_crossvalid[[#This Row],[cutoff]]))</f>
        <v>45991</v>
      </c>
      <c r="B343" s="7">
        <f>DATE(YEAR(m5_crossvalid[[#This Row],[ds]]),MONTH(m5_crossvalid[[#This Row],[ds]]),DAY(m5_crossvalid[[#This Row],[ds]]))</f>
        <v>45992</v>
      </c>
      <c r="C343">
        <v>659</v>
      </c>
      <c r="D343" s="1">
        <v>45992.333333333336</v>
      </c>
      <c r="E343">
        <v>2526.4972614909852</v>
      </c>
      <c r="F343">
        <v>1047.6468166456825</v>
      </c>
      <c r="G343">
        <v>4017.1862594024865</v>
      </c>
      <c r="H343" s="1">
        <v>45991.333333333336</v>
      </c>
    </row>
    <row r="344" spans="1:8" x14ac:dyDescent="0.25">
      <c r="A344" s="7">
        <f>DATE(YEAR(m5_crossvalid[[#This Row],[cutoff]]),MONTH(m5_crossvalid[[#This Row],[cutoff]]),DAY(m5_crossvalid[[#This Row],[cutoff]]))</f>
        <v>45991</v>
      </c>
      <c r="B344" s="7">
        <f>DATE(YEAR(m5_crossvalid[[#This Row],[ds]]),MONTH(m5_crossvalid[[#This Row],[ds]]),DAY(m5_crossvalid[[#This Row],[ds]]))</f>
        <v>45993</v>
      </c>
      <c r="C344">
        <v>963</v>
      </c>
      <c r="D344" s="1">
        <v>45993.333333333336</v>
      </c>
      <c r="E344">
        <v>2057.0951513654459</v>
      </c>
      <c r="F344">
        <v>662.98162349656582</v>
      </c>
      <c r="G344">
        <v>3564.057130087413</v>
      </c>
      <c r="H344" s="1">
        <v>45991.333333333336</v>
      </c>
    </row>
    <row r="345" spans="1:8" x14ac:dyDescent="0.25">
      <c r="A345" s="7">
        <f>DATE(YEAR(m5_crossvalid[[#This Row],[cutoff]]),MONTH(m5_crossvalid[[#This Row],[cutoff]]),DAY(m5_crossvalid[[#This Row],[cutoff]]))</f>
        <v>45991</v>
      </c>
      <c r="B345" s="7">
        <f>DATE(YEAR(m5_crossvalid[[#This Row],[ds]]),MONTH(m5_crossvalid[[#This Row],[ds]]),DAY(m5_crossvalid[[#This Row],[ds]]))</f>
        <v>45994</v>
      </c>
      <c r="C345">
        <v>1248</v>
      </c>
      <c r="D345" s="1">
        <v>45994.333333333336</v>
      </c>
      <c r="E345">
        <v>1771.3866044097244</v>
      </c>
      <c r="F345">
        <v>266.95240027658951</v>
      </c>
      <c r="G345">
        <v>3203.370057408787</v>
      </c>
      <c r="H345" s="1">
        <v>45991.333333333336</v>
      </c>
    </row>
    <row r="346" spans="1:8" x14ac:dyDescent="0.25">
      <c r="A346" s="7">
        <f>DATE(YEAR(m5_crossvalid[[#This Row],[cutoff]]),MONTH(m5_crossvalid[[#This Row],[cutoff]]),DAY(m5_crossvalid[[#This Row],[cutoff]]))</f>
        <v>45991</v>
      </c>
      <c r="B346" s="7">
        <f>DATE(YEAR(m5_crossvalid[[#This Row],[ds]]),MONTH(m5_crossvalid[[#This Row],[ds]]),DAY(m5_crossvalid[[#This Row],[ds]]))</f>
        <v>45995</v>
      </c>
      <c r="C346">
        <v>1462</v>
      </c>
      <c r="D346" s="1">
        <v>45995.333333333336</v>
      </c>
      <c r="E346">
        <v>1735.9453084705517</v>
      </c>
      <c r="F346">
        <v>278.68980737753668</v>
      </c>
      <c r="G346">
        <v>3142.384188418072</v>
      </c>
      <c r="H346" s="1">
        <v>45991.333333333336</v>
      </c>
    </row>
    <row r="347" spans="1:8" x14ac:dyDescent="0.25">
      <c r="A347" s="7">
        <f>DATE(YEAR(m5_crossvalid[[#This Row],[cutoff]]),MONTH(m5_crossvalid[[#This Row],[cutoff]]),DAY(m5_crossvalid[[#This Row],[cutoff]]))</f>
        <v>45991</v>
      </c>
      <c r="B347" s="7">
        <f>DATE(YEAR(m5_crossvalid[[#This Row],[ds]]),MONTH(m5_crossvalid[[#This Row],[ds]]),DAY(m5_crossvalid[[#This Row],[ds]]))</f>
        <v>45996</v>
      </c>
      <c r="C347">
        <v>1441</v>
      </c>
      <c r="D347" s="1">
        <v>45996.333333333336</v>
      </c>
      <c r="E347">
        <v>1888.6668070222058</v>
      </c>
      <c r="F347">
        <v>473.70044558753915</v>
      </c>
      <c r="G347">
        <v>3353.8110339613631</v>
      </c>
      <c r="H347" s="1">
        <v>45991.333333333336</v>
      </c>
    </row>
    <row r="348" spans="1:8" x14ac:dyDescent="0.25">
      <c r="A348" s="7">
        <f>DATE(YEAR(m5_crossvalid[[#This Row],[cutoff]]),MONTH(m5_crossvalid[[#This Row],[cutoff]]),DAY(m5_crossvalid[[#This Row],[cutoff]]))</f>
        <v>45991</v>
      </c>
      <c r="B348" s="7">
        <f>DATE(YEAR(m5_crossvalid[[#This Row],[ds]]),MONTH(m5_crossvalid[[#This Row],[ds]]),DAY(m5_crossvalid[[#This Row],[ds]]))</f>
        <v>45997</v>
      </c>
      <c r="C348">
        <v>380</v>
      </c>
      <c r="D348" s="1">
        <v>45997.333333333336</v>
      </c>
      <c r="E348">
        <v>-242.48613267503788</v>
      </c>
      <c r="F348">
        <v>-1658.6298119713201</v>
      </c>
      <c r="G348">
        <v>1222.2817727312752</v>
      </c>
      <c r="H348" s="1">
        <v>45991.333333333336</v>
      </c>
    </row>
    <row r="349" spans="1:8" x14ac:dyDescent="0.25">
      <c r="A349" s="7">
        <f>DATE(YEAR(m5_crossvalid[[#This Row],[cutoff]]),MONTH(m5_crossvalid[[#This Row],[cutoff]]),DAY(m5_crossvalid[[#This Row],[cutoff]]))</f>
        <v>45991</v>
      </c>
      <c r="B349" s="7">
        <f>DATE(YEAR(m5_crossvalid[[#This Row],[ds]]),MONTH(m5_crossvalid[[#This Row],[ds]]),DAY(m5_crossvalid[[#This Row],[ds]]))</f>
        <v>45998</v>
      </c>
      <c r="C349">
        <v>59</v>
      </c>
      <c r="D349" s="1">
        <v>45998.333333333336</v>
      </c>
      <c r="E349">
        <v>-834.35842550686039</v>
      </c>
      <c r="F349">
        <v>-2334.5857691161523</v>
      </c>
      <c r="G349">
        <v>525.25763500119058</v>
      </c>
      <c r="H349" s="1">
        <v>45991.333333333336</v>
      </c>
    </row>
    <row r="350" spans="1:8" x14ac:dyDescent="0.25">
      <c r="A350" s="7">
        <f>DATE(YEAR(m5_crossvalid[[#This Row],[cutoff]]),MONTH(m5_crossvalid[[#This Row],[cutoff]]),DAY(m5_crossvalid[[#This Row],[cutoff]]))</f>
        <v>45991</v>
      </c>
      <c r="B350" s="7">
        <f>DATE(YEAR(m5_crossvalid[[#This Row],[ds]]),MONTH(m5_crossvalid[[#This Row],[ds]]),DAY(m5_crossvalid[[#This Row],[ds]]))</f>
        <v>45999</v>
      </c>
      <c r="C350">
        <v>1698</v>
      </c>
      <c r="D350" s="1">
        <v>45999.333333333336</v>
      </c>
      <c r="E350">
        <v>2308.2784151924816</v>
      </c>
      <c r="F350">
        <v>881.27581282158985</v>
      </c>
      <c r="G350">
        <v>3784.0877319643405</v>
      </c>
      <c r="H350" s="1">
        <v>45991.333333333336</v>
      </c>
    </row>
    <row r="351" spans="1:8" x14ac:dyDescent="0.25">
      <c r="A351" s="7">
        <f>DATE(YEAR(m5_crossvalid[[#This Row],[cutoff]]),MONTH(m5_crossvalid[[#This Row],[cutoff]]),DAY(m5_crossvalid[[#This Row],[cutoff]]))</f>
        <v>45991</v>
      </c>
      <c r="B351" s="7">
        <f>DATE(YEAR(m5_crossvalid[[#This Row],[ds]]),MONTH(m5_crossvalid[[#This Row],[ds]]),DAY(m5_crossvalid[[#This Row],[ds]]))</f>
        <v>46000</v>
      </c>
      <c r="C351">
        <v>1924</v>
      </c>
      <c r="D351" s="1">
        <v>46000.333333333336</v>
      </c>
      <c r="E351">
        <v>2466.4216119107655</v>
      </c>
      <c r="F351">
        <v>1060.0939360249577</v>
      </c>
      <c r="G351">
        <v>3944.0805991061811</v>
      </c>
      <c r="H351" s="1">
        <v>45991.333333333336</v>
      </c>
    </row>
    <row r="352" spans="1:8" x14ac:dyDescent="0.25">
      <c r="A352" s="7">
        <f>DATE(YEAR(m5_crossvalid[[#This Row],[cutoff]]),MONTH(m5_crossvalid[[#This Row],[cutoff]]),DAY(m5_crossvalid[[#This Row],[cutoff]]))</f>
        <v>45991</v>
      </c>
      <c r="B352" s="7">
        <f>DATE(YEAR(m5_crossvalid[[#This Row],[ds]]),MONTH(m5_crossvalid[[#This Row],[ds]]),DAY(m5_crossvalid[[#This Row],[ds]]))</f>
        <v>46001</v>
      </c>
      <c r="C352">
        <v>2624</v>
      </c>
      <c r="D352" s="1">
        <v>46001.333333333336</v>
      </c>
      <c r="E352">
        <v>2528.5607126992754</v>
      </c>
      <c r="F352">
        <v>1062.4091665051894</v>
      </c>
      <c r="G352">
        <v>3938.3608774082709</v>
      </c>
      <c r="H352" s="1">
        <v>45991.333333333336</v>
      </c>
    </row>
    <row r="353" spans="1:8" x14ac:dyDescent="0.25">
      <c r="A353" s="7">
        <f>DATE(YEAR(m5_crossvalid[[#This Row],[cutoff]]),MONTH(m5_crossvalid[[#This Row],[cutoff]]),DAY(m5_crossvalid[[#This Row],[cutoff]]))</f>
        <v>45991</v>
      </c>
      <c r="B353" s="7">
        <f>DATE(YEAR(m5_crossvalid[[#This Row],[ds]]),MONTH(m5_crossvalid[[#This Row],[ds]]),DAY(m5_crossvalid[[#This Row],[ds]]))</f>
        <v>46002</v>
      </c>
      <c r="C353">
        <v>1853</v>
      </c>
      <c r="D353" s="1">
        <v>46002.333333333336</v>
      </c>
      <c r="E353">
        <v>2700.3928218662322</v>
      </c>
      <c r="F353">
        <v>1150.1051688586494</v>
      </c>
      <c r="G353">
        <v>4178.4808621088359</v>
      </c>
      <c r="H353" s="1">
        <v>45991.333333333336</v>
      </c>
    </row>
    <row r="354" spans="1:8" x14ac:dyDescent="0.25">
      <c r="A354" s="7">
        <f>DATE(YEAR(m5_crossvalid[[#This Row],[cutoff]]),MONTH(m5_crossvalid[[#This Row],[cutoff]]),DAY(m5_crossvalid[[#This Row],[cutoff]]))</f>
        <v>45991</v>
      </c>
      <c r="B354" s="7">
        <f>DATE(YEAR(m5_crossvalid[[#This Row],[ds]]),MONTH(m5_crossvalid[[#This Row],[ds]]),DAY(m5_crossvalid[[#This Row],[ds]]))</f>
        <v>46003</v>
      </c>
      <c r="C354">
        <v>3010</v>
      </c>
      <c r="D354" s="1">
        <v>46003.333333333336</v>
      </c>
      <c r="E354">
        <v>2822.8730863496403</v>
      </c>
      <c r="F354">
        <v>1268.0388674735143</v>
      </c>
      <c r="G354">
        <v>4231.5679775970793</v>
      </c>
      <c r="H354" s="1">
        <v>45991.333333333336</v>
      </c>
    </row>
    <row r="355" spans="1:8" x14ac:dyDescent="0.25">
      <c r="A355" s="7">
        <f>DATE(YEAR(m5_crossvalid[[#This Row],[cutoff]]),MONTH(m5_crossvalid[[#This Row],[cutoff]]),DAY(m5_crossvalid[[#This Row],[cutoff]]))</f>
        <v>45991</v>
      </c>
      <c r="B355" s="7">
        <f>DATE(YEAR(m5_crossvalid[[#This Row],[ds]]),MONTH(m5_crossvalid[[#This Row],[ds]]),DAY(m5_crossvalid[[#This Row],[ds]]))</f>
        <v>46004</v>
      </c>
      <c r="C355">
        <v>552</v>
      </c>
      <c r="D355" s="1">
        <v>46004.333333333336</v>
      </c>
      <c r="E355">
        <v>630.53130904109025</v>
      </c>
      <c r="F355">
        <v>-849.04839483145156</v>
      </c>
      <c r="G355">
        <v>2016.7911110046939</v>
      </c>
      <c r="H355" s="1">
        <v>45991.333333333336</v>
      </c>
    </row>
    <row r="356" spans="1:8" x14ac:dyDescent="0.25">
      <c r="A356" s="7">
        <f>DATE(YEAR(m5_crossvalid[[#This Row],[cutoff]]),MONTH(m5_crossvalid[[#This Row],[cutoff]]),DAY(m5_crossvalid[[#This Row],[cutoff]]))</f>
        <v>45991</v>
      </c>
      <c r="B356" s="7">
        <f>DATE(YEAR(m5_crossvalid[[#This Row],[ds]]),MONTH(m5_crossvalid[[#This Row],[ds]]),DAY(m5_crossvalid[[#This Row],[ds]]))</f>
        <v>46005</v>
      </c>
      <c r="C356">
        <v>162</v>
      </c>
      <c r="D356" s="1">
        <v>46005.333333333336</v>
      </c>
      <c r="E356">
        <v>140.38298801872861</v>
      </c>
      <c r="F356">
        <v>-1313.7293712515107</v>
      </c>
      <c r="G356">
        <v>1590.0787886516759</v>
      </c>
      <c r="H356" s="1">
        <v>45991.333333333336</v>
      </c>
    </row>
    <row r="357" spans="1:8" x14ac:dyDescent="0.25">
      <c r="A357" s="7">
        <f>DATE(YEAR(m5_crossvalid[[#This Row],[cutoff]]),MONTH(m5_crossvalid[[#This Row],[cutoff]]),DAY(m5_crossvalid[[#This Row],[cutoff]]))</f>
        <v>45991</v>
      </c>
      <c r="B357" s="7">
        <f>DATE(YEAR(m5_crossvalid[[#This Row],[ds]]),MONTH(m5_crossvalid[[#This Row],[ds]]),DAY(m5_crossvalid[[#This Row],[ds]]))</f>
        <v>46006</v>
      </c>
      <c r="C357">
        <v>2685</v>
      </c>
      <c r="D357" s="1">
        <v>46006.333333333336</v>
      </c>
      <c r="E357">
        <v>2787.9642944575153</v>
      </c>
      <c r="F357">
        <v>1389.483000599774</v>
      </c>
      <c r="G357">
        <v>4250.7406343340281</v>
      </c>
      <c r="H357" s="1">
        <v>45991.333333333336</v>
      </c>
    </row>
    <row r="358" spans="1:8" x14ac:dyDescent="0.25">
      <c r="A358" s="7">
        <f>DATE(YEAR(m5_crossvalid[[#This Row],[cutoff]]),MONTH(m5_crossvalid[[#This Row],[cutoff]]),DAY(m5_crossvalid[[#This Row],[cutoff]]))</f>
        <v>45991</v>
      </c>
      <c r="B358" s="7">
        <f>DATE(YEAR(m5_crossvalid[[#This Row],[ds]]),MONTH(m5_crossvalid[[#This Row],[ds]]),DAY(m5_crossvalid[[#This Row],[ds]]))</f>
        <v>46007</v>
      </c>
      <c r="C358">
        <v>3397</v>
      </c>
      <c r="D358" s="1">
        <v>46007.333333333336</v>
      </c>
      <c r="E358">
        <v>3271.7985575427883</v>
      </c>
      <c r="F358">
        <v>1790.6956833071458</v>
      </c>
      <c r="G358">
        <v>4711.0430378370475</v>
      </c>
      <c r="H358" s="1">
        <v>45991.333333333336</v>
      </c>
    </row>
    <row r="359" spans="1:8" x14ac:dyDescent="0.25">
      <c r="A359" s="7">
        <f>DATE(YEAR(m5_crossvalid[[#This Row],[cutoff]]),MONTH(m5_crossvalid[[#This Row],[cutoff]]),DAY(m5_crossvalid[[#This Row],[cutoff]]))</f>
        <v>45991</v>
      </c>
      <c r="B359" s="7">
        <f>DATE(YEAR(m5_crossvalid[[#This Row],[ds]]),MONTH(m5_crossvalid[[#This Row],[ds]]),DAY(m5_crossvalid[[#This Row],[ds]]))</f>
        <v>46008</v>
      </c>
      <c r="C359">
        <v>4029</v>
      </c>
      <c r="D359" s="1">
        <v>46008.333333333336</v>
      </c>
      <c r="E359">
        <v>3512.1762873189073</v>
      </c>
      <c r="F359">
        <v>2008.8105588800754</v>
      </c>
      <c r="G359">
        <v>5028.7662987597641</v>
      </c>
      <c r="H359" s="1">
        <v>45991.333333333336</v>
      </c>
    </row>
    <row r="360" spans="1:8" x14ac:dyDescent="0.25">
      <c r="A360" s="7">
        <f>DATE(YEAR(m5_crossvalid[[#This Row],[cutoff]]),MONTH(m5_crossvalid[[#This Row],[cutoff]]),DAY(m5_crossvalid[[#This Row],[cutoff]]))</f>
        <v>45991</v>
      </c>
      <c r="B360" s="7">
        <f>DATE(YEAR(m5_crossvalid[[#This Row],[ds]]),MONTH(m5_crossvalid[[#This Row],[ds]]),DAY(m5_crossvalid[[#This Row],[ds]]))</f>
        <v>46009</v>
      </c>
      <c r="C360">
        <v>3874</v>
      </c>
      <c r="D360" s="1">
        <v>46009.333333333336</v>
      </c>
      <c r="E360">
        <v>3661.1919806789701</v>
      </c>
      <c r="F360">
        <v>2194.6046812751269</v>
      </c>
      <c r="G360">
        <v>5126.5148873627095</v>
      </c>
      <c r="H360" s="1">
        <v>45991.333333333336</v>
      </c>
    </row>
    <row r="361" spans="1:8" x14ac:dyDescent="0.25">
      <c r="A361" s="7">
        <f>DATE(YEAR(m5_crossvalid[[#This Row],[cutoff]]),MONTH(m5_crossvalid[[#This Row],[cutoff]]),DAY(m5_crossvalid[[#This Row],[cutoff]]))</f>
        <v>45991</v>
      </c>
      <c r="B361" s="7">
        <f>DATE(YEAR(m5_crossvalid[[#This Row],[ds]]),MONTH(m5_crossvalid[[#This Row],[ds]]),DAY(m5_crossvalid[[#This Row],[ds]]))</f>
        <v>46010</v>
      </c>
      <c r="C361">
        <v>4261</v>
      </c>
      <c r="D361" s="1">
        <v>46010.333333333336</v>
      </c>
      <c r="E361">
        <v>3669.3073359691052</v>
      </c>
      <c r="F361">
        <v>2162.8980192647118</v>
      </c>
      <c r="G361">
        <v>5101.4416995077563</v>
      </c>
      <c r="H361" s="1">
        <v>45991.333333333336</v>
      </c>
    </row>
    <row r="362" spans="1:8" x14ac:dyDescent="0.25">
      <c r="A362" s="7">
        <f>DATE(YEAR(m5_crossvalid[[#This Row],[cutoff]]),MONTH(m5_crossvalid[[#This Row],[cutoff]]),DAY(m5_crossvalid[[#This Row],[cutoff]]))</f>
        <v>45991</v>
      </c>
      <c r="B362" s="7">
        <f>DATE(YEAR(m5_crossvalid[[#This Row],[ds]]),MONTH(m5_crossvalid[[#This Row],[ds]]),DAY(m5_crossvalid[[#This Row],[ds]]))</f>
        <v>46011</v>
      </c>
      <c r="C362">
        <v>999</v>
      </c>
      <c r="D362" s="1">
        <v>46011.333333333336</v>
      </c>
      <c r="E362">
        <v>1423.92825090425</v>
      </c>
      <c r="F362">
        <v>-2.7500669936330504</v>
      </c>
      <c r="G362">
        <v>2876.1731788929096</v>
      </c>
      <c r="H362" s="1">
        <v>45991.333333333336</v>
      </c>
    </row>
    <row r="363" spans="1:8" x14ac:dyDescent="0.25">
      <c r="A363" s="7">
        <f>DATE(YEAR(m5_crossvalid[[#This Row],[cutoff]]),MONTH(m5_crossvalid[[#This Row],[cutoff]]),DAY(m5_crossvalid[[#This Row],[cutoff]]))</f>
        <v>45991</v>
      </c>
      <c r="B363" s="7">
        <f>DATE(YEAR(m5_crossvalid[[#This Row],[ds]]),MONTH(m5_crossvalid[[#This Row],[ds]]),DAY(m5_crossvalid[[#This Row],[ds]]))</f>
        <v>46012</v>
      </c>
      <c r="C363">
        <v>251</v>
      </c>
      <c r="D363" s="1">
        <v>46012.333333333336</v>
      </c>
      <c r="E363">
        <v>985.73622929198177</v>
      </c>
      <c r="F363">
        <v>-490.25058648607393</v>
      </c>
      <c r="G363">
        <v>2348.9521010631333</v>
      </c>
      <c r="H363" s="1">
        <v>45991.333333333336</v>
      </c>
    </row>
    <row r="364" spans="1:8" x14ac:dyDescent="0.25">
      <c r="A364" s="7">
        <f>DATE(YEAR(m5_crossvalid[[#This Row],[cutoff]]),MONTH(m5_crossvalid[[#This Row],[cutoff]]),DAY(m5_crossvalid[[#This Row],[cutoff]]))</f>
        <v>45991</v>
      </c>
      <c r="B364" s="7">
        <f>DATE(YEAR(m5_crossvalid[[#This Row],[ds]]),MONTH(m5_crossvalid[[#This Row],[ds]]),DAY(m5_crossvalid[[#This Row],[ds]]))</f>
        <v>46013</v>
      </c>
      <c r="C364">
        <v>4791</v>
      </c>
      <c r="D364" s="1">
        <v>46013.333333333336</v>
      </c>
      <c r="E364">
        <v>3687.7638737983734</v>
      </c>
      <c r="F364">
        <v>2193.8868350294788</v>
      </c>
      <c r="G364">
        <v>5055.8720315251094</v>
      </c>
      <c r="H364" s="1">
        <v>45991.333333333336</v>
      </c>
    </row>
    <row r="365" spans="1:8" x14ac:dyDescent="0.25">
      <c r="A365" s="7">
        <f>DATE(YEAR(m5_crossvalid[[#This Row],[cutoff]]),MONTH(m5_crossvalid[[#This Row],[cutoff]]),DAY(m5_crossvalid[[#This Row],[cutoff]]))</f>
        <v>45991</v>
      </c>
      <c r="B365" s="7">
        <f>DATE(YEAR(m5_crossvalid[[#This Row],[ds]]),MONTH(m5_crossvalid[[#This Row],[ds]]),DAY(m5_crossvalid[[#This Row],[ds]]))</f>
        <v>46014</v>
      </c>
      <c r="C365">
        <v>5802</v>
      </c>
      <c r="D365" s="1">
        <v>46014.333333333336</v>
      </c>
      <c r="E365">
        <v>4093.890608169203</v>
      </c>
      <c r="F365">
        <v>2645.7772045030351</v>
      </c>
      <c r="G365">
        <v>5563.2689195081721</v>
      </c>
      <c r="H365" s="1">
        <v>45991.333333333336</v>
      </c>
    </row>
    <row r="366" spans="1:8" x14ac:dyDescent="0.25">
      <c r="A366" s="7">
        <f>DATE(YEAR(m5_crossvalid[[#This Row],[cutoff]]),MONTH(m5_crossvalid[[#This Row],[cutoff]]),DAY(m5_crossvalid[[#This Row],[cutoff]]))</f>
        <v>45991</v>
      </c>
      <c r="B366" s="7">
        <f>DATE(YEAR(m5_crossvalid[[#This Row],[ds]]),MONTH(m5_crossvalid[[#This Row],[ds]]),DAY(m5_crossvalid[[#This Row],[ds]]))</f>
        <v>46015</v>
      </c>
      <c r="C366">
        <v>6117</v>
      </c>
      <c r="D366" s="1">
        <v>46015.333333333336</v>
      </c>
      <c r="E366">
        <v>4111.2235564960356</v>
      </c>
      <c r="F366">
        <v>2574.5045477132257</v>
      </c>
      <c r="G366">
        <v>5689.7624198605472</v>
      </c>
      <c r="H366" s="1">
        <v>45991.333333333336</v>
      </c>
    </row>
    <row r="367" spans="1:8" x14ac:dyDescent="0.25">
      <c r="A367" s="7">
        <f>DATE(YEAR(m5_crossvalid[[#This Row],[cutoff]]),MONTH(m5_crossvalid[[#This Row],[cutoff]]),DAY(m5_crossvalid[[#This Row],[cutoff]]))</f>
        <v>45991</v>
      </c>
      <c r="B367" s="7">
        <f>DATE(YEAR(m5_crossvalid[[#This Row],[ds]]),MONTH(m5_crossvalid[[#This Row],[ds]]),DAY(m5_crossvalid[[#This Row],[ds]]))</f>
        <v>46016</v>
      </c>
      <c r="C367">
        <v>400</v>
      </c>
      <c r="D367" s="1">
        <v>46016.333333333336</v>
      </c>
      <c r="E367">
        <v>898.09306894227166</v>
      </c>
      <c r="F367">
        <v>-602.52546395087256</v>
      </c>
      <c r="G367">
        <v>2320.3595204660583</v>
      </c>
      <c r="H367" s="1">
        <v>45991.333333333336</v>
      </c>
    </row>
    <row r="368" spans="1:8" x14ac:dyDescent="0.25">
      <c r="A368" s="7">
        <f>DATE(YEAR(m5_crossvalid[[#This Row],[cutoff]]),MONTH(m5_crossvalid[[#This Row],[cutoff]]),DAY(m5_crossvalid[[#This Row],[cutoff]]))</f>
        <v>45991</v>
      </c>
      <c r="B368" s="7">
        <f>DATE(YEAR(m5_crossvalid[[#This Row],[ds]]),MONTH(m5_crossvalid[[#This Row],[ds]]),DAY(m5_crossvalid[[#This Row],[ds]]))</f>
        <v>46017</v>
      </c>
      <c r="C368">
        <v>6559</v>
      </c>
      <c r="D368" s="1">
        <v>46017.333333333336</v>
      </c>
      <c r="E368">
        <v>4807.7752229089783</v>
      </c>
      <c r="F368">
        <v>3310.9180662107951</v>
      </c>
      <c r="G368">
        <v>6169.9412945235272</v>
      </c>
      <c r="H368" s="1">
        <v>45991.333333333336</v>
      </c>
    </row>
    <row r="369" spans="1:8" x14ac:dyDescent="0.25">
      <c r="A369" s="7">
        <f>DATE(YEAR(m5_crossvalid[[#This Row],[cutoff]]),MONTH(m5_crossvalid[[#This Row],[cutoff]]),DAY(m5_crossvalid[[#This Row],[cutoff]]))</f>
        <v>45991</v>
      </c>
      <c r="B369" s="7">
        <f>DATE(YEAR(m5_crossvalid[[#This Row],[ds]]),MONTH(m5_crossvalid[[#This Row],[ds]]),DAY(m5_crossvalid[[#This Row],[ds]]))</f>
        <v>46018</v>
      </c>
      <c r="C369">
        <v>1928</v>
      </c>
      <c r="D369" s="1">
        <v>46018.333333333336</v>
      </c>
      <c r="E369">
        <v>2794.172234818237</v>
      </c>
      <c r="F369">
        <v>1202.454122586119</v>
      </c>
      <c r="G369">
        <v>4234.9875903970387</v>
      </c>
      <c r="H369" s="1">
        <v>45991.333333333336</v>
      </c>
    </row>
    <row r="370" spans="1:8" x14ac:dyDescent="0.25">
      <c r="A370" s="7">
        <f>DATE(YEAR(m5_crossvalid[[#This Row],[cutoff]]),MONTH(m5_crossvalid[[#This Row],[cutoff]]),DAY(m5_crossvalid[[#This Row],[cutoff]]))</f>
        <v>45991</v>
      </c>
      <c r="B370" s="7">
        <f>DATE(YEAR(m5_crossvalid[[#This Row],[ds]]),MONTH(m5_crossvalid[[#This Row],[ds]]),DAY(m5_crossvalid[[#This Row],[ds]]))</f>
        <v>46019</v>
      </c>
      <c r="C370">
        <v>428</v>
      </c>
      <c r="D370" s="1">
        <v>46019.333333333336</v>
      </c>
      <c r="E370">
        <v>2691.4879808550313</v>
      </c>
      <c r="F370">
        <v>1274.7641437787897</v>
      </c>
      <c r="G370">
        <v>4214.8503480321269</v>
      </c>
      <c r="H370" s="1">
        <v>45991.333333333336</v>
      </c>
    </row>
    <row r="371" spans="1:8" x14ac:dyDescent="0.25">
      <c r="A371" s="7">
        <f>DATE(YEAR(m5_crossvalid[[#This Row],[cutoff]]),MONTH(m5_crossvalid[[#This Row],[cutoff]]),DAY(m5_crossvalid[[#This Row],[cutoff]]))</f>
        <v>45991</v>
      </c>
      <c r="B371" s="7">
        <f>DATE(YEAR(m5_crossvalid[[#This Row],[ds]]),MONTH(m5_crossvalid[[#This Row],[ds]]),DAY(m5_crossvalid[[#This Row],[ds]]))</f>
        <v>46020</v>
      </c>
      <c r="C371">
        <v>7441</v>
      </c>
      <c r="D371" s="1">
        <v>46020.333333333336</v>
      </c>
      <c r="E371">
        <v>5567.8157909060847</v>
      </c>
      <c r="F371">
        <v>4109.8767853184127</v>
      </c>
      <c r="G371">
        <v>7075.6275778913605</v>
      </c>
      <c r="H371" s="1">
        <v>45991.333333333336</v>
      </c>
    </row>
    <row r="372" spans="1:8" x14ac:dyDescent="0.25">
      <c r="A372" s="7">
        <f>DATE(YEAR(m5_crossvalid[[#This Row],[cutoff]]),MONTH(m5_crossvalid[[#This Row],[cutoff]]),DAY(m5_crossvalid[[#This Row],[cutoff]]))</f>
        <v>45991</v>
      </c>
      <c r="B372" s="7">
        <f>DATE(YEAR(m5_crossvalid[[#This Row],[ds]]),MONTH(m5_crossvalid[[#This Row],[ds]]),DAY(m5_crossvalid[[#This Row],[ds]]))</f>
        <v>46021</v>
      </c>
      <c r="C372">
        <v>10603</v>
      </c>
      <c r="D372" s="1">
        <v>46021.333333333336</v>
      </c>
      <c r="E372">
        <v>8161.3615064300193</v>
      </c>
      <c r="F372">
        <v>6691.3635939244714</v>
      </c>
      <c r="G372">
        <v>9677.1446152846129</v>
      </c>
      <c r="H372" s="1">
        <v>45991.333333333336</v>
      </c>
    </row>
    <row r="373" spans="1:8" x14ac:dyDescent="0.25">
      <c r="A373" s="7">
        <f>DATE(YEAR(m5_crossvalid[[#This Row],[cutoff]]),MONTH(m5_crossvalid[[#This Row],[cutoff]]),DAY(m5_crossvalid[[#This Row],[cutoff]]))</f>
        <v>45991</v>
      </c>
      <c r="B373" s="7">
        <f>DATE(YEAR(m5_crossvalid[[#This Row],[ds]]),MONTH(m5_crossvalid[[#This Row],[ds]]),DAY(m5_crossvalid[[#This Row],[ds]]))</f>
        <v>46022</v>
      </c>
      <c r="C373">
        <v>15370</v>
      </c>
      <c r="D373" s="1">
        <v>46022.333333333336</v>
      </c>
      <c r="E373">
        <v>10088.807387508041</v>
      </c>
      <c r="F373">
        <v>8613.4024265836815</v>
      </c>
      <c r="G373">
        <v>11532.570826232415</v>
      </c>
      <c r="H373" s="1">
        <v>45991.333333333336</v>
      </c>
    </row>
    <row r="374" spans="1:8" x14ac:dyDescent="0.25">
      <c r="A374" s="7">
        <f>DATE(YEAR(m5_crossvalid[[#This Row],[cutoff]]),MONTH(m5_crossvalid[[#This Row],[cutoff]]),DAY(m5_crossvalid[[#This Row],[cutoff]]))</f>
        <v>46022</v>
      </c>
      <c r="B374" s="7">
        <f>DATE(YEAR(m5_crossvalid[[#This Row],[ds]]),MONTH(m5_crossvalid[[#This Row],[ds]]),DAY(m5_crossvalid[[#This Row],[ds]]))</f>
        <v>46023</v>
      </c>
      <c r="C374">
        <v>2584</v>
      </c>
      <c r="D374" s="1">
        <v>46023.333333333336</v>
      </c>
      <c r="E374">
        <v>1131.5222143801295</v>
      </c>
      <c r="F374">
        <v>-261.96101919821695</v>
      </c>
      <c r="G374">
        <v>2640.1348347741296</v>
      </c>
      <c r="H374" s="1">
        <v>46022.333333333336</v>
      </c>
    </row>
    <row r="375" spans="1:8" x14ac:dyDescent="0.25">
      <c r="A375" s="7">
        <f>DATE(YEAR(m5_crossvalid[[#This Row],[cutoff]]),MONTH(m5_crossvalid[[#This Row],[cutoff]]),DAY(m5_crossvalid[[#This Row],[cutoff]]))</f>
        <v>46022</v>
      </c>
      <c r="B375" s="7">
        <f>DATE(YEAR(m5_crossvalid[[#This Row],[ds]]),MONTH(m5_crossvalid[[#This Row],[ds]]),DAY(m5_crossvalid[[#This Row],[ds]]))</f>
        <v>46024</v>
      </c>
      <c r="C375">
        <v>1536</v>
      </c>
      <c r="D375" s="1">
        <v>46024.333333333336</v>
      </c>
      <c r="E375">
        <v>2166.6301330893793</v>
      </c>
      <c r="F375">
        <v>778.67147494520441</v>
      </c>
      <c r="G375">
        <v>3621.0402993122534</v>
      </c>
      <c r="H375" s="1">
        <v>46022.333333333336</v>
      </c>
    </row>
    <row r="376" spans="1:8" x14ac:dyDescent="0.25">
      <c r="A376" s="7">
        <f>DATE(YEAR(m5_crossvalid[[#This Row],[cutoff]]),MONTH(m5_crossvalid[[#This Row],[cutoff]]),DAY(m5_crossvalid[[#This Row],[cutoff]]))</f>
        <v>46022</v>
      </c>
      <c r="B376" s="7">
        <f>DATE(YEAR(m5_crossvalid[[#This Row],[ds]]),MONTH(m5_crossvalid[[#This Row],[ds]]),DAY(m5_crossvalid[[#This Row],[ds]]))</f>
        <v>46025</v>
      </c>
      <c r="C376">
        <v>80</v>
      </c>
      <c r="D376" s="1">
        <v>46025.333333333336</v>
      </c>
      <c r="E376">
        <v>-379.9426343015466</v>
      </c>
      <c r="F376">
        <v>-1893.9929651532068</v>
      </c>
      <c r="G376">
        <v>1060.3691320207238</v>
      </c>
      <c r="H376" s="1">
        <v>46022.333333333336</v>
      </c>
    </row>
    <row r="377" spans="1:8" x14ac:dyDescent="0.25">
      <c r="A377" s="7">
        <f>DATE(YEAR(m5_crossvalid[[#This Row],[cutoff]]),MONTH(m5_crossvalid[[#This Row],[cutoff]]),DAY(m5_crossvalid[[#This Row],[cutoff]]))</f>
        <v>46022</v>
      </c>
      <c r="B377" s="7">
        <f>DATE(YEAR(m5_crossvalid[[#This Row],[ds]]),MONTH(m5_crossvalid[[#This Row],[ds]]),DAY(m5_crossvalid[[#This Row],[ds]]))</f>
        <v>46026</v>
      </c>
      <c r="C377">
        <v>17</v>
      </c>
      <c r="D377" s="1">
        <v>46026.333333333336</v>
      </c>
      <c r="E377">
        <v>-940.65095020403987</v>
      </c>
      <c r="F377">
        <v>-2374.9879291891266</v>
      </c>
      <c r="G377">
        <v>583.18241126859812</v>
      </c>
      <c r="H377" s="1">
        <v>46022.333333333336</v>
      </c>
    </row>
    <row r="378" spans="1:8" x14ac:dyDescent="0.25">
      <c r="A378" s="7">
        <f>DATE(YEAR(m5_crossvalid[[#This Row],[cutoff]]),MONTH(m5_crossvalid[[#This Row],[cutoff]]),DAY(m5_crossvalid[[#This Row],[cutoff]]))</f>
        <v>46022</v>
      </c>
      <c r="B378" s="7">
        <f>DATE(YEAR(m5_crossvalid[[#This Row],[ds]]),MONTH(m5_crossvalid[[#This Row],[ds]]),DAY(m5_crossvalid[[#This Row],[ds]]))</f>
        <v>46027</v>
      </c>
      <c r="C378">
        <v>340</v>
      </c>
      <c r="D378" s="1">
        <v>46027.333333333336</v>
      </c>
      <c r="E378">
        <v>1721.7201527105985</v>
      </c>
      <c r="F378">
        <v>213.68520675285654</v>
      </c>
      <c r="G378">
        <v>3294.0384968105222</v>
      </c>
      <c r="H378" s="1">
        <v>46022.333333333336</v>
      </c>
    </row>
    <row r="379" spans="1:8" x14ac:dyDescent="0.25">
      <c r="A379" s="7">
        <f>DATE(YEAR(m5_crossvalid[[#This Row],[cutoff]]),MONTH(m5_crossvalid[[#This Row],[cutoff]]),DAY(m5_crossvalid[[#This Row],[cutoff]]))</f>
        <v>46022</v>
      </c>
      <c r="B379" s="7">
        <f>DATE(YEAR(m5_crossvalid[[#This Row],[ds]]),MONTH(m5_crossvalid[[#This Row],[ds]]),DAY(m5_crossvalid[[#This Row],[ds]]))</f>
        <v>46028</v>
      </c>
      <c r="C379">
        <v>485</v>
      </c>
      <c r="D379" s="1">
        <v>46028.333333333336</v>
      </c>
      <c r="E379">
        <v>1992.1739374726865</v>
      </c>
      <c r="F379">
        <v>590.90087821861698</v>
      </c>
      <c r="G379">
        <v>3412.2589991878876</v>
      </c>
      <c r="H379" s="1">
        <v>46022.333333333336</v>
      </c>
    </row>
    <row r="380" spans="1:8" x14ac:dyDescent="0.25">
      <c r="A380" s="7">
        <f>DATE(YEAR(m5_crossvalid[[#This Row],[cutoff]]),MONTH(m5_crossvalid[[#This Row],[cutoff]]),DAY(m5_crossvalid[[#This Row],[cutoff]]))</f>
        <v>46022</v>
      </c>
      <c r="B380" s="7">
        <f>DATE(YEAR(m5_crossvalid[[#This Row],[ds]]),MONTH(m5_crossvalid[[#This Row],[ds]]),DAY(m5_crossvalid[[#This Row],[ds]]))</f>
        <v>46029</v>
      </c>
      <c r="C380">
        <v>532</v>
      </c>
      <c r="D380" s="1">
        <v>46029.333333333336</v>
      </c>
      <c r="E380">
        <v>1839.5731959673594</v>
      </c>
      <c r="F380">
        <v>325.02985674153115</v>
      </c>
      <c r="G380">
        <v>3301.9556738134147</v>
      </c>
      <c r="H380" s="1">
        <v>46022.333333333336</v>
      </c>
    </row>
    <row r="381" spans="1:8" x14ac:dyDescent="0.25">
      <c r="A381" s="7">
        <f>DATE(YEAR(m5_crossvalid[[#This Row],[cutoff]]),MONTH(m5_crossvalid[[#This Row],[cutoff]]),DAY(m5_crossvalid[[#This Row],[cutoff]]))</f>
        <v>46022</v>
      </c>
      <c r="B381" s="7">
        <f>DATE(YEAR(m5_crossvalid[[#This Row],[ds]]),MONTH(m5_crossvalid[[#This Row],[ds]]),DAY(m5_crossvalid[[#This Row],[ds]]))</f>
        <v>46030</v>
      </c>
      <c r="C381">
        <v>659</v>
      </c>
      <c r="D381" s="1">
        <v>46030.333333333336</v>
      </c>
      <c r="E381">
        <v>2298.5867483999473</v>
      </c>
      <c r="F381">
        <v>789.3944752209934</v>
      </c>
      <c r="G381">
        <v>3752.538845428568</v>
      </c>
      <c r="H381" s="1">
        <v>46022.333333333336</v>
      </c>
    </row>
    <row r="382" spans="1:8" x14ac:dyDescent="0.25">
      <c r="A382" s="7">
        <f>DATE(YEAR(m5_crossvalid[[#This Row],[cutoff]]),MONTH(m5_crossvalid[[#This Row],[cutoff]]),DAY(m5_crossvalid[[#This Row],[cutoff]]))</f>
        <v>46022</v>
      </c>
      <c r="B382" s="7">
        <f>DATE(YEAR(m5_crossvalid[[#This Row],[ds]]),MONTH(m5_crossvalid[[#This Row],[ds]]),DAY(m5_crossvalid[[#This Row],[ds]]))</f>
        <v>46031</v>
      </c>
      <c r="C382">
        <v>787</v>
      </c>
      <c r="D382" s="1">
        <v>46031.333333333336</v>
      </c>
      <c r="E382">
        <v>2108.1162480567305</v>
      </c>
      <c r="F382">
        <v>699.638952823507</v>
      </c>
      <c r="G382">
        <v>3433.5541462741612</v>
      </c>
      <c r="H382" s="1">
        <v>46022.333333333336</v>
      </c>
    </row>
    <row r="383" spans="1:8" x14ac:dyDescent="0.25">
      <c r="A383" s="7">
        <f>DATE(YEAR(m5_crossvalid[[#This Row],[cutoff]]),MONTH(m5_crossvalid[[#This Row],[cutoff]]),DAY(m5_crossvalid[[#This Row],[cutoff]]))</f>
        <v>46022</v>
      </c>
      <c r="B383" s="7">
        <f>DATE(YEAR(m5_crossvalid[[#This Row],[ds]]),MONTH(m5_crossvalid[[#This Row],[ds]]),DAY(m5_crossvalid[[#This Row],[ds]]))</f>
        <v>46032</v>
      </c>
      <c r="C383">
        <v>137</v>
      </c>
      <c r="D383" s="1">
        <v>46032.333333333336</v>
      </c>
      <c r="E383">
        <v>-219.06929884618194</v>
      </c>
      <c r="F383">
        <v>-1613.0488981776259</v>
      </c>
      <c r="G383">
        <v>1333.8138745144363</v>
      </c>
      <c r="H383" s="1">
        <v>46022.333333333336</v>
      </c>
    </row>
    <row r="384" spans="1:8" x14ac:dyDescent="0.25">
      <c r="A384" s="7">
        <f>DATE(YEAR(m5_crossvalid[[#This Row],[cutoff]]),MONTH(m5_crossvalid[[#This Row],[cutoff]]),DAY(m5_crossvalid[[#This Row],[cutoff]]))</f>
        <v>46022</v>
      </c>
      <c r="B384" s="7">
        <f>DATE(YEAR(m5_crossvalid[[#This Row],[ds]]),MONTH(m5_crossvalid[[#This Row],[ds]]),DAY(m5_crossvalid[[#This Row],[ds]]))</f>
        <v>46033</v>
      </c>
      <c r="C384">
        <v>44</v>
      </c>
      <c r="D384" s="1">
        <v>46033.333333333336</v>
      </c>
      <c r="E384">
        <v>-726.19598304217743</v>
      </c>
      <c r="F384">
        <v>-2241.4349379863861</v>
      </c>
      <c r="G384">
        <v>738.66877329239946</v>
      </c>
      <c r="H384" s="1">
        <v>46022.333333333336</v>
      </c>
    </row>
    <row r="385" spans="1:8" x14ac:dyDescent="0.25">
      <c r="A385" s="7">
        <f>DATE(YEAR(m5_crossvalid[[#This Row],[cutoff]]),MONTH(m5_crossvalid[[#This Row],[cutoff]]),DAY(m5_crossvalid[[#This Row],[cutoff]]))</f>
        <v>46022</v>
      </c>
      <c r="B385" s="7">
        <f>DATE(YEAR(m5_crossvalid[[#This Row],[ds]]),MONTH(m5_crossvalid[[#This Row],[ds]]),DAY(m5_crossvalid[[#This Row],[ds]]))</f>
        <v>46034</v>
      </c>
      <c r="C385">
        <v>779</v>
      </c>
      <c r="D385" s="1">
        <v>46034.333333333336</v>
      </c>
      <c r="E385">
        <v>1850.0708492186723</v>
      </c>
      <c r="F385">
        <v>435.24739091906969</v>
      </c>
      <c r="G385">
        <v>3370.1982594333294</v>
      </c>
      <c r="H385" s="1">
        <v>46022.333333333336</v>
      </c>
    </row>
    <row r="386" spans="1:8" x14ac:dyDescent="0.25">
      <c r="A386" s="7">
        <f>DATE(YEAR(m5_crossvalid[[#This Row],[cutoff]]),MONTH(m5_crossvalid[[#This Row],[cutoff]]),DAY(m5_crossvalid[[#This Row],[cutoff]]))</f>
        <v>46022</v>
      </c>
      <c r="B386" s="7">
        <f>DATE(YEAR(m5_crossvalid[[#This Row],[ds]]),MONTH(m5_crossvalid[[#This Row],[ds]]),DAY(m5_crossvalid[[#This Row],[ds]]))</f>
        <v>46035</v>
      </c>
      <c r="C386">
        <v>1113</v>
      </c>
      <c r="D386" s="1">
        <v>46035.333333333336</v>
      </c>
      <c r="E386">
        <v>2136.2470857840781</v>
      </c>
      <c r="F386">
        <v>666.13174961273876</v>
      </c>
      <c r="G386">
        <v>3748.8321511216736</v>
      </c>
      <c r="H386" s="1">
        <v>46022.333333333336</v>
      </c>
    </row>
    <row r="387" spans="1:8" x14ac:dyDescent="0.25">
      <c r="A387" s="7">
        <f>DATE(YEAR(m5_crossvalid[[#This Row],[cutoff]]),MONTH(m5_crossvalid[[#This Row],[cutoff]]),DAY(m5_crossvalid[[#This Row],[cutoff]]))</f>
        <v>46022</v>
      </c>
      <c r="B387" s="7">
        <f>DATE(YEAR(m5_crossvalid[[#This Row],[ds]]),MONTH(m5_crossvalid[[#This Row],[ds]]),DAY(m5_crossvalid[[#This Row],[ds]]))</f>
        <v>46036</v>
      </c>
      <c r="C387">
        <v>1419</v>
      </c>
      <c r="D387" s="1">
        <v>46036.333333333336</v>
      </c>
      <c r="E387">
        <v>2229.8803217182381</v>
      </c>
      <c r="F387">
        <v>817.18956098342164</v>
      </c>
      <c r="G387">
        <v>3590.304924686061</v>
      </c>
      <c r="H387" s="1">
        <v>46022.333333333336</v>
      </c>
    </row>
    <row r="388" spans="1:8" x14ac:dyDescent="0.25">
      <c r="A388" s="7">
        <f>DATE(YEAR(m5_crossvalid[[#This Row],[cutoff]]),MONTH(m5_crossvalid[[#This Row],[cutoff]]),DAY(m5_crossvalid[[#This Row],[cutoff]]))</f>
        <v>46022</v>
      </c>
      <c r="B388" s="7">
        <f>DATE(YEAR(m5_crossvalid[[#This Row],[ds]]),MONTH(m5_crossvalid[[#This Row],[ds]]),DAY(m5_crossvalid[[#This Row],[ds]]))</f>
        <v>46037</v>
      </c>
      <c r="C388">
        <v>1874</v>
      </c>
      <c r="D388" s="1">
        <v>46037.333333333336</v>
      </c>
      <c r="E388">
        <v>2319.4561998578356</v>
      </c>
      <c r="F388">
        <v>819.80864572048597</v>
      </c>
      <c r="G388">
        <v>3762.3223621486823</v>
      </c>
      <c r="H388" s="1">
        <v>46022.333333333336</v>
      </c>
    </row>
    <row r="389" spans="1:8" x14ac:dyDescent="0.25">
      <c r="A389" s="7">
        <f>DATE(YEAR(m5_crossvalid[[#This Row],[cutoff]]),MONTH(m5_crossvalid[[#This Row],[cutoff]]),DAY(m5_crossvalid[[#This Row],[cutoff]]))</f>
        <v>46022</v>
      </c>
      <c r="B389" s="7">
        <f>DATE(YEAR(m5_crossvalid[[#This Row],[ds]]),MONTH(m5_crossvalid[[#This Row],[ds]]),DAY(m5_crossvalid[[#This Row],[ds]]))</f>
        <v>46038</v>
      </c>
      <c r="C389">
        <v>2020</v>
      </c>
      <c r="D389" s="1">
        <v>46038.333333333336</v>
      </c>
      <c r="E389">
        <v>2461.2433605843403</v>
      </c>
      <c r="F389">
        <v>985.69390286551129</v>
      </c>
      <c r="G389">
        <v>3904.9165370023752</v>
      </c>
      <c r="H389" s="1">
        <v>46022.333333333336</v>
      </c>
    </row>
    <row r="390" spans="1:8" x14ac:dyDescent="0.25">
      <c r="A390" s="7">
        <f>DATE(YEAR(m5_crossvalid[[#This Row],[cutoff]]),MONTH(m5_crossvalid[[#This Row],[cutoff]]),DAY(m5_crossvalid[[#This Row],[cutoff]]))</f>
        <v>46022</v>
      </c>
      <c r="B390" s="7">
        <f>DATE(YEAR(m5_crossvalid[[#This Row],[ds]]),MONTH(m5_crossvalid[[#This Row],[ds]]),DAY(m5_crossvalid[[#This Row],[ds]]))</f>
        <v>46039</v>
      </c>
      <c r="C390">
        <v>451</v>
      </c>
      <c r="D390" s="1">
        <v>46039.333333333336</v>
      </c>
      <c r="E390">
        <v>261.47427332311554</v>
      </c>
      <c r="F390">
        <v>-1328.1105153448789</v>
      </c>
      <c r="G390">
        <v>1718.9291960740757</v>
      </c>
      <c r="H390" s="1">
        <v>46022.333333333336</v>
      </c>
    </row>
    <row r="391" spans="1:8" x14ac:dyDescent="0.25">
      <c r="A391" s="7">
        <f>DATE(YEAR(m5_crossvalid[[#This Row],[cutoff]]),MONTH(m5_crossvalid[[#This Row],[cutoff]]),DAY(m5_crossvalid[[#This Row],[cutoff]]))</f>
        <v>46022</v>
      </c>
      <c r="B391" s="7">
        <f>DATE(YEAR(m5_crossvalid[[#This Row],[ds]]),MONTH(m5_crossvalid[[#This Row],[ds]]),DAY(m5_crossvalid[[#This Row],[ds]]))</f>
        <v>46040</v>
      </c>
      <c r="C391">
        <v>76</v>
      </c>
      <c r="D391" s="1">
        <v>46040.333333333336</v>
      </c>
      <c r="E391">
        <v>-282.38456006045362</v>
      </c>
      <c r="F391">
        <v>-1736.0065551336154</v>
      </c>
      <c r="G391">
        <v>1275.1661794190002</v>
      </c>
      <c r="H391" s="1">
        <v>46022.333333333336</v>
      </c>
    </row>
    <row r="392" spans="1:8" x14ac:dyDescent="0.25">
      <c r="A392" s="7">
        <f>DATE(YEAR(m5_crossvalid[[#This Row],[cutoff]]),MONTH(m5_crossvalid[[#This Row],[cutoff]]),DAY(m5_crossvalid[[#This Row],[cutoff]]))</f>
        <v>46022</v>
      </c>
      <c r="B392" s="7">
        <f>DATE(YEAR(m5_crossvalid[[#This Row],[ds]]),MONTH(m5_crossvalid[[#This Row],[ds]]),DAY(m5_crossvalid[[#This Row],[ds]]))</f>
        <v>46041</v>
      </c>
      <c r="C392">
        <v>1963</v>
      </c>
      <c r="D392" s="1">
        <v>46041.333333333336</v>
      </c>
      <c r="E392">
        <v>2260.816493730712</v>
      </c>
      <c r="F392">
        <v>806.84630703126891</v>
      </c>
      <c r="G392">
        <v>3649.4731460673993</v>
      </c>
      <c r="H392" s="1">
        <v>46022.333333333336</v>
      </c>
    </row>
    <row r="393" spans="1:8" x14ac:dyDescent="0.25">
      <c r="A393" s="7">
        <f>DATE(YEAR(m5_crossvalid[[#This Row],[cutoff]]),MONTH(m5_crossvalid[[#This Row],[cutoff]]),DAY(m5_crossvalid[[#This Row],[cutoff]]))</f>
        <v>46022</v>
      </c>
      <c r="B393" s="7">
        <f>DATE(YEAR(m5_crossvalid[[#This Row],[ds]]),MONTH(m5_crossvalid[[#This Row],[ds]]),DAY(m5_crossvalid[[#This Row],[ds]]))</f>
        <v>46042</v>
      </c>
      <c r="C393">
        <v>2481</v>
      </c>
      <c r="D393" s="1">
        <v>46042.333333333336</v>
      </c>
      <c r="E393">
        <v>2640.3731576970849</v>
      </c>
      <c r="F393">
        <v>1113.4262685433073</v>
      </c>
      <c r="G393">
        <v>4072.1531108612367</v>
      </c>
      <c r="H393" s="1">
        <v>46022.333333333336</v>
      </c>
    </row>
    <row r="394" spans="1:8" x14ac:dyDescent="0.25">
      <c r="A394" s="7">
        <f>DATE(YEAR(m5_crossvalid[[#This Row],[cutoff]]),MONTH(m5_crossvalid[[#This Row],[cutoff]]),DAY(m5_crossvalid[[#This Row],[cutoff]]))</f>
        <v>46022</v>
      </c>
      <c r="B394" s="7">
        <f>DATE(YEAR(m5_crossvalid[[#This Row],[ds]]),MONTH(m5_crossvalid[[#This Row],[ds]]),DAY(m5_crossvalid[[#This Row],[ds]]))</f>
        <v>46043</v>
      </c>
      <c r="C394">
        <v>2679</v>
      </c>
      <c r="D394" s="1">
        <v>46043.333333333336</v>
      </c>
      <c r="E394">
        <v>2912.6803073465012</v>
      </c>
      <c r="F394">
        <v>1426.2494381257511</v>
      </c>
      <c r="G394">
        <v>4421.2730986797997</v>
      </c>
      <c r="H394" s="1">
        <v>46022.333333333336</v>
      </c>
    </row>
    <row r="395" spans="1:8" x14ac:dyDescent="0.25">
      <c r="A395" s="7">
        <f>DATE(YEAR(m5_crossvalid[[#This Row],[cutoff]]),MONTH(m5_crossvalid[[#This Row],[cutoff]]),DAY(m5_crossvalid[[#This Row],[cutoff]]))</f>
        <v>46022</v>
      </c>
      <c r="B395" s="7">
        <f>DATE(YEAR(m5_crossvalid[[#This Row],[ds]]),MONTH(m5_crossvalid[[#This Row],[ds]]),DAY(m5_crossvalid[[#This Row],[ds]]))</f>
        <v>46044</v>
      </c>
      <c r="C395">
        <v>2830</v>
      </c>
      <c r="D395" s="1">
        <v>46044.333333333336</v>
      </c>
      <c r="E395">
        <v>3109.9902405074399</v>
      </c>
      <c r="F395">
        <v>1574.7831244799841</v>
      </c>
      <c r="G395">
        <v>4589.2257299926387</v>
      </c>
      <c r="H395" s="1">
        <v>46022.333333333336</v>
      </c>
    </row>
    <row r="396" spans="1:8" x14ac:dyDescent="0.25">
      <c r="A396" s="7">
        <f>DATE(YEAR(m5_crossvalid[[#This Row],[cutoff]]),MONTH(m5_crossvalid[[#This Row],[cutoff]]),DAY(m5_crossvalid[[#This Row],[cutoff]]))</f>
        <v>46022</v>
      </c>
      <c r="B396" s="7">
        <f>DATE(YEAR(m5_crossvalid[[#This Row],[ds]]),MONTH(m5_crossvalid[[#This Row],[ds]]),DAY(m5_crossvalid[[#This Row],[ds]]))</f>
        <v>46045</v>
      </c>
      <c r="C396">
        <v>3000</v>
      </c>
      <c r="D396" s="1">
        <v>46045.333333333336</v>
      </c>
      <c r="E396">
        <v>3185.6623232832308</v>
      </c>
      <c r="F396">
        <v>1707.8586946834216</v>
      </c>
      <c r="G396">
        <v>4688.5415347371409</v>
      </c>
      <c r="H396" s="1">
        <v>46022.333333333336</v>
      </c>
    </row>
    <row r="397" spans="1:8" x14ac:dyDescent="0.25">
      <c r="A397" s="7">
        <f>DATE(YEAR(m5_crossvalid[[#This Row],[cutoff]]),MONTH(m5_crossvalid[[#This Row],[cutoff]]),DAY(m5_crossvalid[[#This Row],[cutoff]]))</f>
        <v>46022</v>
      </c>
      <c r="B397" s="7">
        <f>DATE(YEAR(m5_crossvalid[[#This Row],[ds]]),MONTH(m5_crossvalid[[#This Row],[ds]]),DAY(m5_crossvalid[[#This Row],[ds]]))</f>
        <v>46046</v>
      </c>
      <c r="C397">
        <v>902</v>
      </c>
      <c r="D397" s="1">
        <v>46046.333333333336</v>
      </c>
      <c r="E397">
        <v>819.53135195156619</v>
      </c>
      <c r="F397">
        <v>-549.75256590693516</v>
      </c>
      <c r="G397">
        <v>2274.3691820522799</v>
      </c>
      <c r="H397" s="1">
        <v>46022.333333333336</v>
      </c>
    </row>
    <row r="398" spans="1:8" x14ac:dyDescent="0.25">
      <c r="A398" s="7">
        <f>DATE(YEAR(m5_crossvalid[[#This Row],[cutoff]]),MONTH(m5_crossvalid[[#This Row],[cutoff]]),DAY(m5_crossvalid[[#This Row],[cutoff]]))</f>
        <v>46022</v>
      </c>
      <c r="B398" s="7">
        <f>DATE(YEAR(m5_crossvalid[[#This Row],[ds]]),MONTH(m5_crossvalid[[#This Row],[ds]]),DAY(m5_crossvalid[[#This Row],[ds]]))</f>
        <v>46047</v>
      </c>
      <c r="C398">
        <v>150</v>
      </c>
      <c r="D398" s="1">
        <v>46047.333333333336</v>
      </c>
      <c r="E398">
        <v>991.16397602836264</v>
      </c>
      <c r="F398">
        <v>-485.61173517985037</v>
      </c>
      <c r="G398">
        <v>2324.6835032683362</v>
      </c>
      <c r="H398" s="1">
        <v>46022.333333333336</v>
      </c>
    </row>
    <row r="399" spans="1:8" x14ac:dyDescent="0.25">
      <c r="A399" s="7">
        <f>DATE(YEAR(m5_crossvalid[[#This Row],[cutoff]]),MONTH(m5_crossvalid[[#This Row],[cutoff]]),DAY(m5_crossvalid[[#This Row],[cutoff]]))</f>
        <v>46022</v>
      </c>
      <c r="B399" s="7">
        <f>DATE(YEAR(m5_crossvalid[[#This Row],[ds]]),MONTH(m5_crossvalid[[#This Row],[ds]]),DAY(m5_crossvalid[[#This Row],[ds]]))</f>
        <v>46048</v>
      </c>
      <c r="C399">
        <v>3603</v>
      </c>
      <c r="D399" s="1">
        <v>46048.333333333336</v>
      </c>
      <c r="E399">
        <v>3727.6896654789462</v>
      </c>
      <c r="F399">
        <v>2364.8740834480736</v>
      </c>
      <c r="G399">
        <v>5095.4346818990962</v>
      </c>
      <c r="H399" s="1">
        <v>46022.333333333336</v>
      </c>
    </row>
    <row r="400" spans="1:8" x14ac:dyDescent="0.25">
      <c r="A400" s="7">
        <f>DATE(YEAR(m5_crossvalid[[#This Row],[cutoff]]),MONTH(m5_crossvalid[[#This Row],[cutoff]]),DAY(m5_crossvalid[[#This Row],[cutoff]]))</f>
        <v>46022</v>
      </c>
      <c r="B400" s="7">
        <f>DATE(YEAR(m5_crossvalid[[#This Row],[ds]]),MONTH(m5_crossvalid[[#This Row],[ds]]),DAY(m5_crossvalid[[#This Row],[ds]]))</f>
        <v>46049</v>
      </c>
      <c r="C400">
        <v>4548</v>
      </c>
      <c r="D400" s="1">
        <v>46049.333333333336</v>
      </c>
      <c r="E400">
        <v>4505.049669130487</v>
      </c>
      <c r="F400">
        <v>3137.7946076542071</v>
      </c>
      <c r="G400">
        <v>5850.8274519874476</v>
      </c>
      <c r="H400" s="1">
        <v>46022.333333333336</v>
      </c>
    </row>
    <row r="401" spans="1:8" x14ac:dyDescent="0.25">
      <c r="A401" s="7">
        <f>DATE(YEAR(m5_crossvalid[[#This Row],[cutoff]]),MONTH(m5_crossvalid[[#This Row],[cutoff]]),DAY(m5_crossvalid[[#This Row],[cutoff]]))</f>
        <v>46022</v>
      </c>
      <c r="B401" s="7">
        <f>DATE(YEAR(m5_crossvalid[[#This Row],[ds]]),MONTH(m5_crossvalid[[#This Row],[ds]]),DAY(m5_crossvalid[[#This Row],[ds]]))</f>
        <v>46050</v>
      </c>
      <c r="C401">
        <v>5313</v>
      </c>
      <c r="D401" s="1">
        <v>46050.333333333336</v>
      </c>
      <c r="E401">
        <v>5137.2524747073612</v>
      </c>
      <c r="F401">
        <v>3566.8659316812259</v>
      </c>
      <c r="G401">
        <v>6526.6383463178299</v>
      </c>
      <c r="H401" s="1">
        <v>46022.333333333336</v>
      </c>
    </row>
    <row r="402" spans="1:8" x14ac:dyDescent="0.25">
      <c r="A402" s="7">
        <f>DATE(YEAR(m5_crossvalid[[#This Row],[cutoff]]),MONTH(m5_crossvalid[[#This Row],[cutoff]]),DAY(m5_crossvalid[[#This Row],[cutoff]]))</f>
        <v>46022</v>
      </c>
      <c r="B402" s="7">
        <f>DATE(YEAR(m5_crossvalid[[#This Row],[ds]]),MONTH(m5_crossvalid[[#This Row],[ds]]),DAY(m5_crossvalid[[#This Row],[ds]]))</f>
        <v>46051</v>
      </c>
      <c r="C402">
        <v>7326</v>
      </c>
      <c r="D402" s="1">
        <v>46051.333333333336</v>
      </c>
      <c r="E402">
        <v>5393.8100802678218</v>
      </c>
      <c r="F402">
        <v>3954.2027184712888</v>
      </c>
      <c r="G402">
        <v>6970.431540543449</v>
      </c>
      <c r="H402" s="1">
        <v>46022.333333333336</v>
      </c>
    </row>
    <row r="403" spans="1:8" x14ac:dyDescent="0.25">
      <c r="A403" s="7">
        <f>DATE(YEAR(m5_crossvalid[[#This Row],[cutoff]]),MONTH(m5_crossvalid[[#This Row],[cutoff]]),DAY(m5_crossvalid[[#This Row],[cutoff]]))</f>
        <v>46022</v>
      </c>
      <c r="B403" s="7">
        <f>DATE(YEAR(m5_crossvalid[[#This Row],[ds]]),MONTH(m5_crossvalid[[#This Row],[ds]]),DAY(m5_crossvalid[[#This Row],[ds]]))</f>
        <v>46052</v>
      </c>
      <c r="C403">
        <v>10276</v>
      </c>
      <c r="D403" s="1">
        <v>46052.333333333336</v>
      </c>
      <c r="E403">
        <v>7546.0225493743619</v>
      </c>
      <c r="F403">
        <v>5949.6286925754848</v>
      </c>
      <c r="G403">
        <v>9001.1822985313956</v>
      </c>
      <c r="H403" s="1">
        <v>46022.333333333336</v>
      </c>
    </row>
    <row r="404" spans="1:8" x14ac:dyDescent="0.25">
      <c r="A404" s="7">
        <f>DATE(YEAR(m5_crossvalid[[#This Row],[cutoff]]),MONTH(m5_crossvalid[[#This Row],[cutoff]]),DAY(m5_crossvalid[[#This Row],[cutoff]]))</f>
        <v>46022</v>
      </c>
      <c r="B404" s="7">
        <f>DATE(YEAR(m5_crossvalid[[#This Row],[ds]]),MONTH(m5_crossvalid[[#This Row],[ds]]),DAY(m5_crossvalid[[#This Row],[ds]]))</f>
        <v>46053</v>
      </c>
      <c r="C404">
        <v>7991</v>
      </c>
      <c r="D404" s="1">
        <v>46053.333333333336</v>
      </c>
      <c r="E404">
        <v>7089.0152417787594</v>
      </c>
      <c r="F404">
        <v>5666.5017393521348</v>
      </c>
      <c r="G404">
        <v>8570.3751362197036</v>
      </c>
      <c r="H404" s="1">
        <v>46022.333333333336</v>
      </c>
    </row>
    <row r="405" spans="1:8" x14ac:dyDescent="0.25">
      <c r="A405" s="7">
        <f>DATE(YEAR(m5_crossvalid[[#This Row],[cutoff]]),MONTH(m5_crossvalid[[#This Row],[cutoff]]),DAY(m5_crossvalid[[#This Row],[cutoff]]))</f>
        <v>46053</v>
      </c>
      <c r="B405" s="7">
        <f>DATE(YEAR(m5_crossvalid[[#This Row],[ds]]),MONTH(m5_crossvalid[[#This Row],[ds]]),DAY(m5_crossvalid[[#This Row],[ds]]))</f>
        <v>46054</v>
      </c>
      <c r="C405">
        <v>26</v>
      </c>
      <c r="D405" s="1">
        <v>46054.333333333336</v>
      </c>
      <c r="E405">
        <v>-2614.541363640194</v>
      </c>
      <c r="F405">
        <v>-4085.0545231332767</v>
      </c>
      <c r="G405">
        <v>-1122.5516214433653</v>
      </c>
      <c r="H405" s="1">
        <v>46053.333333333336</v>
      </c>
    </row>
    <row r="406" spans="1:8" x14ac:dyDescent="0.25">
      <c r="A406" s="7">
        <f>DATE(YEAR(m5_crossvalid[[#This Row],[cutoff]]),MONTH(m5_crossvalid[[#This Row],[cutoff]]),DAY(m5_crossvalid[[#This Row],[cutoff]]))</f>
        <v>46053</v>
      </c>
      <c r="B406" s="7">
        <f>DATE(YEAR(m5_crossvalid[[#This Row],[ds]]),MONTH(m5_crossvalid[[#This Row],[ds]]),DAY(m5_crossvalid[[#This Row],[ds]]))</f>
        <v>46055</v>
      </c>
      <c r="C406">
        <v>134</v>
      </c>
      <c r="D406" s="1">
        <v>46055.333333333336</v>
      </c>
      <c r="E406">
        <v>-559.57438261305879</v>
      </c>
      <c r="F406">
        <v>-1985.5344363294835</v>
      </c>
      <c r="G406">
        <v>855.22462661333896</v>
      </c>
      <c r="H406" s="1">
        <v>46053.333333333336</v>
      </c>
    </row>
    <row r="407" spans="1:8" x14ac:dyDescent="0.25">
      <c r="A407" s="7">
        <f>DATE(YEAR(m5_crossvalid[[#This Row],[cutoff]]),MONTH(m5_crossvalid[[#This Row],[cutoff]]),DAY(m5_crossvalid[[#This Row],[cutoff]]))</f>
        <v>46053</v>
      </c>
      <c r="B407" s="7">
        <f>DATE(YEAR(m5_crossvalid[[#This Row],[ds]]),MONTH(m5_crossvalid[[#This Row],[ds]]),DAY(m5_crossvalid[[#This Row],[ds]]))</f>
        <v>46056</v>
      </c>
      <c r="C407">
        <v>521</v>
      </c>
      <c r="D407" s="1">
        <v>46056.333333333336</v>
      </c>
      <c r="E407">
        <v>-153.96008033069529</v>
      </c>
      <c r="F407">
        <v>-1569.2868382953779</v>
      </c>
      <c r="G407">
        <v>1283.8092764440785</v>
      </c>
      <c r="H407" s="1">
        <v>46053.333333333336</v>
      </c>
    </row>
    <row r="408" spans="1:8" x14ac:dyDescent="0.25">
      <c r="A408" s="7">
        <f>DATE(YEAR(m5_crossvalid[[#This Row],[cutoff]]),MONTH(m5_crossvalid[[#This Row],[cutoff]]),DAY(m5_crossvalid[[#This Row],[cutoff]]))</f>
        <v>46053</v>
      </c>
      <c r="B408" s="7">
        <f>DATE(YEAR(m5_crossvalid[[#This Row],[ds]]),MONTH(m5_crossvalid[[#This Row],[ds]]),DAY(m5_crossvalid[[#This Row],[ds]]))</f>
        <v>46057</v>
      </c>
      <c r="C408">
        <v>696</v>
      </c>
      <c r="D408" s="1">
        <v>46057.333333333336</v>
      </c>
      <c r="E408">
        <v>1855.4453861157569</v>
      </c>
      <c r="F408">
        <v>348.30832273542575</v>
      </c>
      <c r="G408">
        <v>3314.3300248829855</v>
      </c>
      <c r="H408" s="1">
        <v>46053.333333333336</v>
      </c>
    </row>
    <row r="409" spans="1:8" x14ac:dyDescent="0.25">
      <c r="A409" s="7">
        <f>DATE(YEAR(m5_crossvalid[[#This Row],[cutoff]]),MONTH(m5_crossvalid[[#This Row],[cutoff]]),DAY(m5_crossvalid[[#This Row],[cutoff]]))</f>
        <v>46053</v>
      </c>
      <c r="B409" s="7">
        <f>DATE(YEAR(m5_crossvalid[[#This Row],[ds]]),MONTH(m5_crossvalid[[#This Row],[ds]]),DAY(m5_crossvalid[[#This Row],[ds]]))</f>
        <v>46058</v>
      </c>
      <c r="C409">
        <v>1038</v>
      </c>
      <c r="D409" s="1">
        <v>46058.333333333336</v>
      </c>
      <c r="E409">
        <v>2002.1276260646621</v>
      </c>
      <c r="F409">
        <v>443.88409719043386</v>
      </c>
      <c r="G409">
        <v>3401.3720956072075</v>
      </c>
      <c r="H409" s="1">
        <v>46053.333333333336</v>
      </c>
    </row>
    <row r="410" spans="1:8" x14ac:dyDescent="0.25">
      <c r="A410" s="7">
        <f>DATE(YEAR(m5_crossvalid[[#This Row],[cutoff]]),MONTH(m5_crossvalid[[#This Row],[cutoff]]),DAY(m5_crossvalid[[#This Row],[cutoff]]))</f>
        <v>46053</v>
      </c>
      <c r="B410" s="7">
        <f>DATE(YEAR(m5_crossvalid[[#This Row],[ds]]),MONTH(m5_crossvalid[[#This Row],[ds]]),DAY(m5_crossvalid[[#This Row],[ds]]))</f>
        <v>46059</v>
      </c>
      <c r="C410">
        <v>1414</v>
      </c>
      <c r="D410" s="1">
        <v>46059.333333333336</v>
      </c>
      <c r="E410">
        <v>1923.6445685464828</v>
      </c>
      <c r="F410">
        <v>365.72025921905623</v>
      </c>
      <c r="G410">
        <v>3447.7681135303978</v>
      </c>
      <c r="H410" s="1">
        <v>46053.333333333336</v>
      </c>
    </row>
    <row r="411" spans="1:8" x14ac:dyDescent="0.25">
      <c r="A411" s="7">
        <f>DATE(YEAR(m5_crossvalid[[#This Row],[cutoff]]),MONTH(m5_crossvalid[[#This Row],[cutoff]]),DAY(m5_crossvalid[[#This Row],[cutoff]]))</f>
        <v>46053</v>
      </c>
      <c r="B411" s="7">
        <f>DATE(YEAR(m5_crossvalid[[#This Row],[ds]]),MONTH(m5_crossvalid[[#This Row],[ds]]),DAY(m5_crossvalid[[#This Row],[ds]]))</f>
        <v>46060</v>
      </c>
      <c r="C411">
        <v>286</v>
      </c>
      <c r="D411" s="1">
        <v>46060.333333333336</v>
      </c>
      <c r="E411">
        <v>-587.3980566250284</v>
      </c>
      <c r="F411">
        <v>-2007.3380282667351</v>
      </c>
      <c r="G411">
        <v>852.51855257334194</v>
      </c>
      <c r="H411" s="1">
        <v>46053.333333333336</v>
      </c>
    </row>
    <row r="412" spans="1:8" x14ac:dyDescent="0.25">
      <c r="A412" s="7">
        <f>DATE(YEAR(m5_crossvalid[[#This Row],[cutoff]]),MONTH(m5_crossvalid[[#This Row],[cutoff]]),DAY(m5_crossvalid[[#This Row],[cutoff]]))</f>
        <v>46053</v>
      </c>
      <c r="B412" s="7">
        <f>DATE(YEAR(m5_crossvalid[[#This Row],[ds]]),MONTH(m5_crossvalid[[#This Row],[ds]]),DAY(m5_crossvalid[[#This Row],[ds]]))</f>
        <v>46061</v>
      </c>
      <c r="C412">
        <v>82</v>
      </c>
      <c r="D412" s="1">
        <v>46061.333333333336</v>
      </c>
      <c r="E412">
        <v>-609.40149839008109</v>
      </c>
      <c r="F412">
        <v>-1992.0902722518833</v>
      </c>
      <c r="G412">
        <v>938.2330030440844</v>
      </c>
      <c r="H412" s="1">
        <v>46053.333333333336</v>
      </c>
    </row>
    <row r="413" spans="1:8" x14ac:dyDescent="0.25">
      <c r="A413" s="7">
        <f>DATE(YEAR(m5_crossvalid[[#This Row],[cutoff]]),MONTH(m5_crossvalid[[#This Row],[cutoff]]),DAY(m5_crossvalid[[#This Row],[cutoff]]))</f>
        <v>46053</v>
      </c>
      <c r="B413" s="7">
        <f>DATE(YEAR(m5_crossvalid[[#This Row],[ds]]),MONTH(m5_crossvalid[[#This Row],[ds]]),DAY(m5_crossvalid[[#This Row],[ds]]))</f>
        <v>46062</v>
      </c>
      <c r="C413">
        <v>1902</v>
      </c>
      <c r="D413" s="1">
        <v>46062.333333333336</v>
      </c>
      <c r="E413">
        <v>1905.5762772548239</v>
      </c>
      <c r="F413">
        <v>405.55937084339951</v>
      </c>
      <c r="G413">
        <v>3439.9042439994701</v>
      </c>
      <c r="H413" s="1">
        <v>46053.333333333336</v>
      </c>
    </row>
    <row r="414" spans="1:8" x14ac:dyDescent="0.25">
      <c r="A414" s="7">
        <f>DATE(YEAR(m5_crossvalid[[#This Row],[cutoff]]),MONTH(m5_crossvalid[[#This Row],[cutoff]]),DAY(m5_crossvalid[[#This Row],[cutoff]]))</f>
        <v>46053</v>
      </c>
      <c r="B414" s="7">
        <f>DATE(YEAR(m5_crossvalid[[#This Row],[ds]]),MONTH(m5_crossvalid[[#This Row],[ds]]),DAY(m5_crossvalid[[#This Row],[ds]]))</f>
        <v>46063</v>
      </c>
      <c r="C414">
        <v>2288</v>
      </c>
      <c r="D414" s="1">
        <v>46063.333333333336</v>
      </c>
      <c r="E414">
        <v>2313.8641484183668</v>
      </c>
      <c r="F414">
        <v>825.81215788670693</v>
      </c>
      <c r="G414">
        <v>3727.0836729117823</v>
      </c>
      <c r="H414" s="1">
        <v>46053.333333333336</v>
      </c>
    </row>
    <row r="415" spans="1:8" x14ac:dyDescent="0.25">
      <c r="A415" s="7">
        <f>DATE(YEAR(m5_crossvalid[[#This Row],[cutoff]]),MONTH(m5_crossvalid[[#This Row],[cutoff]]),DAY(m5_crossvalid[[#This Row],[cutoff]]))</f>
        <v>46053</v>
      </c>
      <c r="B415" s="7">
        <f>DATE(YEAR(m5_crossvalid[[#This Row],[ds]]),MONTH(m5_crossvalid[[#This Row],[ds]]),DAY(m5_crossvalid[[#This Row],[ds]]))</f>
        <v>46064</v>
      </c>
      <c r="C415">
        <v>2663</v>
      </c>
      <c r="D415" s="1">
        <v>46064.333333333336</v>
      </c>
      <c r="E415">
        <v>2493.4165875495105</v>
      </c>
      <c r="F415">
        <v>1041.6910369425452</v>
      </c>
      <c r="G415">
        <v>3895.3934117152235</v>
      </c>
      <c r="H415" s="1">
        <v>46053.333333333336</v>
      </c>
    </row>
    <row r="416" spans="1:8" x14ac:dyDescent="0.25">
      <c r="A416" s="7">
        <f>DATE(YEAR(m5_crossvalid[[#This Row],[cutoff]]),MONTH(m5_crossvalid[[#This Row],[cutoff]]),DAY(m5_crossvalid[[#This Row],[cutoff]]))</f>
        <v>46053</v>
      </c>
      <c r="B416" s="7">
        <f>DATE(YEAR(m5_crossvalid[[#This Row],[ds]]),MONTH(m5_crossvalid[[#This Row],[ds]]),DAY(m5_crossvalid[[#This Row],[ds]]))</f>
        <v>46065</v>
      </c>
      <c r="C416">
        <v>3108</v>
      </c>
      <c r="D416" s="1">
        <v>46065.333333333336</v>
      </c>
      <c r="E416">
        <v>2519.4891859246941</v>
      </c>
      <c r="F416">
        <v>1050.8107047031408</v>
      </c>
      <c r="G416">
        <v>4058.7935537082481</v>
      </c>
      <c r="H416" s="1">
        <v>46053.333333333336</v>
      </c>
    </row>
    <row r="417" spans="1:8" x14ac:dyDescent="0.25">
      <c r="A417" s="7">
        <f>DATE(YEAR(m5_crossvalid[[#This Row],[cutoff]]),MONTH(m5_crossvalid[[#This Row],[cutoff]]),DAY(m5_crossvalid[[#This Row],[cutoff]]))</f>
        <v>46053</v>
      </c>
      <c r="B417" s="7">
        <f>DATE(YEAR(m5_crossvalid[[#This Row],[ds]]),MONTH(m5_crossvalid[[#This Row],[ds]]),DAY(m5_crossvalid[[#This Row],[ds]]))</f>
        <v>46066</v>
      </c>
      <c r="C417">
        <v>3172</v>
      </c>
      <c r="D417" s="1">
        <v>46066.333333333336</v>
      </c>
      <c r="E417">
        <v>2501.6505450256336</v>
      </c>
      <c r="F417">
        <v>972.24951655682537</v>
      </c>
      <c r="G417">
        <v>3992.9711960125715</v>
      </c>
      <c r="H417" s="1">
        <v>46053.333333333336</v>
      </c>
    </row>
    <row r="418" spans="1:8" x14ac:dyDescent="0.25">
      <c r="A418" s="7">
        <f>DATE(YEAR(m5_crossvalid[[#This Row],[cutoff]]),MONTH(m5_crossvalid[[#This Row],[cutoff]]),DAY(m5_crossvalid[[#This Row],[cutoff]]))</f>
        <v>46053</v>
      </c>
      <c r="B418" s="7">
        <f>DATE(YEAR(m5_crossvalid[[#This Row],[ds]]),MONTH(m5_crossvalid[[#This Row],[ds]]),DAY(m5_crossvalid[[#This Row],[ds]]))</f>
        <v>46067</v>
      </c>
      <c r="C418">
        <v>913</v>
      </c>
      <c r="D418" s="1">
        <v>46067.333333333336</v>
      </c>
      <c r="E418">
        <v>259.40000664153422</v>
      </c>
      <c r="F418">
        <v>-1214.727393587734</v>
      </c>
      <c r="G418">
        <v>1735.2715688855124</v>
      </c>
      <c r="H418" s="1">
        <v>46053.333333333336</v>
      </c>
    </row>
    <row r="419" spans="1:8" x14ac:dyDescent="0.25">
      <c r="A419" s="7">
        <f>DATE(YEAR(m5_crossvalid[[#This Row],[cutoff]]),MONTH(m5_crossvalid[[#This Row],[cutoff]]),DAY(m5_crossvalid[[#This Row],[cutoff]]))</f>
        <v>46053</v>
      </c>
      <c r="B419" s="7">
        <f>DATE(YEAR(m5_crossvalid[[#This Row],[ds]]),MONTH(m5_crossvalid[[#This Row],[ds]]),DAY(m5_crossvalid[[#This Row],[ds]]))</f>
        <v>46068</v>
      </c>
      <c r="C419">
        <v>208</v>
      </c>
      <c r="D419" s="1">
        <v>46068.333333333336</v>
      </c>
      <c r="E419">
        <v>-168.33845309187382</v>
      </c>
      <c r="F419">
        <v>-1716.2493166037793</v>
      </c>
      <c r="G419">
        <v>1331.1223180929085</v>
      </c>
      <c r="H419" s="1">
        <v>46053.333333333336</v>
      </c>
    </row>
    <row r="420" spans="1:8" x14ac:dyDescent="0.25">
      <c r="A420" s="7">
        <f>DATE(YEAR(m5_crossvalid[[#This Row],[cutoff]]),MONTH(m5_crossvalid[[#This Row],[cutoff]]),DAY(m5_crossvalid[[#This Row],[cutoff]]))</f>
        <v>46053</v>
      </c>
      <c r="B420" s="7">
        <f>DATE(YEAR(m5_crossvalid[[#This Row],[ds]]),MONTH(m5_crossvalid[[#This Row],[ds]]),DAY(m5_crossvalid[[#This Row],[ds]]))</f>
        <v>46069</v>
      </c>
      <c r="C420">
        <v>1728</v>
      </c>
      <c r="D420" s="1">
        <v>46069.333333333336</v>
      </c>
      <c r="E420">
        <v>2502.9541656407437</v>
      </c>
      <c r="F420">
        <v>1046.2206066815158</v>
      </c>
      <c r="G420">
        <v>3988.2283214722338</v>
      </c>
      <c r="H420" s="1">
        <v>46053.333333333336</v>
      </c>
    </row>
    <row r="421" spans="1:8" x14ac:dyDescent="0.25">
      <c r="A421" s="7">
        <f>DATE(YEAR(m5_crossvalid[[#This Row],[cutoff]]),MONTH(m5_crossvalid[[#This Row],[cutoff]]),DAY(m5_crossvalid[[#This Row],[cutoff]]))</f>
        <v>46053</v>
      </c>
      <c r="B421" s="7">
        <f>DATE(YEAR(m5_crossvalid[[#This Row],[ds]]),MONTH(m5_crossvalid[[#This Row],[ds]]),DAY(m5_crossvalid[[#This Row],[ds]]))</f>
        <v>46070</v>
      </c>
      <c r="C421">
        <v>27</v>
      </c>
      <c r="D421" s="1">
        <v>46070.333333333336</v>
      </c>
      <c r="E421">
        <v>761.96644787478112</v>
      </c>
      <c r="F421">
        <v>-705.56956171647471</v>
      </c>
      <c r="G421">
        <v>2350.5207630914706</v>
      </c>
      <c r="H421" s="1">
        <v>46053.333333333336</v>
      </c>
    </row>
    <row r="422" spans="1:8" x14ac:dyDescent="0.25">
      <c r="A422" s="7">
        <f>DATE(YEAR(m5_crossvalid[[#This Row],[cutoff]]),MONTH(m5_crossvalid[[#This Row],[cutoff]]),DAY(m5_crossvalid[[#This Row],[cutoff]]))</f>
        <v>46053</v>
      </c>
      <c r="B422" s="7">
        <f>DATE(YEAR(m5_crossvalid[[#This Row],[ds]]),MONTH(m5_crossvalid[[#This Row],[ds]]),DAY(m5_crossvalid[[#This Row],[ds]]))</f>
        <v>46071</v>
      </c>
      <c r="C422">
        <v>21</v>
      </c>
      <c r="D422" s="1">
        <v>46071.333333333336</v>
      </c>
      <c r="E422">
        <v>823.61333759144759</v>
      </c>
      <c r="F422">
        <v>-579.96420271684758</v>
      </c>
      <c r="G422">
        <v>2203.4071972385268</v>
      </c>
      <c r="H422" s="1">
        <v>46053.333333333336</v>
      </c>
    </row>
    <row r="423" spans="1:8" x14ac:dyDescent="0.25">
      <c r="A423" s="7">
        <f>DATE(YEAR(m5_crossvalid[[#This Row],[cutoff]]),MONTH(m5_crossvalid[[#This Row],[cutoff]]),DAY(m5_crossvalid[[#This Row],[cutoff]]))</f>
        <v>46053</v>
      </c>
      <c r="B423" s="7">
        <f>DATE(YEAR(m5_crossvalid[[#This Row],[ds]]),MONTH(m5_crossvalid[[#This Row],[ds]]),DAY(m5_crossvalid[[#This Row],[ds]]))</f>
        <v>46072</v>
      </c>
      <c r="C423">
        <v>1000</v>
      </c>
      <c r="D423" s="1">
        <v>46072.333333333336</v>
      </c>
      <c r="E423">
        <v>2933.2665516566117</v>
      </c>
      <c r="F423">
        <v>1445.2392068562499</v>
      </c>
      <c r="G423">
        <v>4540.5331541079895</v>
      </c>
      <c r="H423" s="1">
        <v>46053.333333333336</v>
      </c>
    </row>
    <row r="424" spans="1:8" x14ac:dyDescent="0.25">
      <c r="A424" s="7">
        <f>DATE(YEAR(m5_crossvalid[[#This Row],[cutoff]]),MONTH(m5_crossvalid[[#This Row],[cutoff]]),DAY(m5_crossvalid[[#This Row],[cutoff]]))</f>
        <v>46053</v>
      </c>
      <c r="B424" s="7">
        <f>DATE(YEAR(m5_crossvalid[[#This Row],[ds]]),MONTH(m5_crossvalid[[#This Row],[ds]]),DAY(m5_crossvalid[[#This Row],[ds]]))</f>
        <v>46073</v>
      </c>
      <c r="C424">
        <v>1555</v>
      </c>
      <c r="D424" s="1">
        <v>46073.333333333336</v>
      </c>
      <c r="E424">
        <v>3033.9889538842463</v>
      </c>
      <c r="F424">
        <v>1554.1182433972992</v>
      </c>
      <c r="G424">
        <v>4443.0402734138179</v>
      </c>
      <c r="H424" s="1">
        <v>46053.333333333336</v>
      </c>
    </row>
    <row r="425" spans="1:8" x14ac:dyDescent="0.25">
      <c r="A425" s="7">
        <f>DATE(YEAR(m5_crossvalid[[#This Row],[cutoff]]),MONTH(m5_crossvalid[[#This Row],[cutoff]]),DAY(m5_crossvalid[[#This Row],[cutoff]]))</f>
        <v>46053</v>
      </c>
      <c r="B425" s="7">
        <f>DATE(YEAR(m5_crossvalid[[#This Row],[ds]]),MONTH(m5_crossvalid[[#This Row],[ds]]),DAY(m5_crossvalid[[#This Row],[ds]]))</f>
        <v>46074</v>
      </c>
      <c r="C425">
        <v>492</v>
      </c>
      <c r="D425" s="1">
        <v>46074.333333333336</v>
      </c>
      <c r="E425">
        <v>923.14822648836525</v>
      </c>
      <c r="F425">
        <v>-589.7571988250495</v>
      </c>
      <c r="G425">
        <v>2247.2489932739441</v>
      </c>
      <c r="H425" s="1">
        <v>46053.333333333336</v>
      </c>
    </row>
    <row r="426" spans="1:8" x14ac:dyDescent="0.25">
      <c r="A426" s="7">
        <f>DATE(YEAR(m5_crossvalid[[#This Row],[cutoff]]),MONTH(m5_crossvalid[[#This Row],[cutoff]]),DAY(m5_crossvalid[[#This Row],[cutoff]]))</f>
        <v>46053</v>
      </c>
      <c r="B426" s="7">
        <f>DATE(YEAR(m5_crossvalid[[#This Row],[ds]]),MONTH(m5_crossvalid[[#This Row],[ds]]),DAY(m5_crossvalid[[#This Row],[ds]]))</f>
        <v>46075</v>
      </c>
      <c r="C426">
        <v>159</v>
      </c>
      <c r="D426" s="1">
        <v>46075.333333333336</v>
      </c>
      <c r="E426">
        <v>1254.547364936858</v>
      </c>
      <c r="F426">
        <v>-182.11154384853174</v>
      </c>
      <c r="G426">
        <v>2830.031688927721</v>
      </c>
      <c r="H426" s="1">
        <v>46053.333333333336</v>
      </c>
    </row>
    <row r="427" spans="1:8" x14ac:dyDescent="0.25">
      <c r="A427" s="7">
        <f>DATE(YEAR(m5_crossvalid[[#This Row],[cutoff]]),MONTH(m5_crossvalid[[#This Row],[cutoff]]),DAY(m5_crossvalid[[#This Row],[cutoff]]))</f>
        <v>46053</v>
      </c>
      <c r="B427" s="7">
        <f>DATE(YEAR(m5_crossvalid[[#This Row],[ds]]),MONTH(m5_crossvalid[[#This Row],[ds]]),DAY(m5_crossvalid[[#This Row],[ds]]))</f>
        <v>46076</v>
      </c>
      <c r="C427">
        <v>2313</v>
      </c>
      <c r="D427" s="1">
        <v>46076.333333333336</v>
      </c>
      <c r="E427">
        <v>3755.1145276670841</v>
      </c>
      <c r="F427">
        <v>2388.3919884149445</v>
      </c>
      <c r="G427">
        <v>5242.952723565485</v>
      </c>
      <c r="H427" s="1">
        <v>46053.333333333336</v>
      </c>
    </row>
    <row r="428" spans="1:8" x14ac:dyDescent="0.25">
      <c r="A428" s="7">
        <f>DATE(YEAR(m5_crossvalid[[#This Row],[cutoff]]),MONTH(m5_crossvalid[[#This Row],[cutoff]]),DAY(m5_crossvalid[[#This Row],[cutoff]]))</f>
        <v>46053</v>
      </c>
      <c r="B428" s="7">
        <f>DATE(YEAR(m5_crossvalid[[#This Row],[ds]]),MONTH(m5_crossvalid[[#This Row],[ds]]),DAY(m5_crossvalid[[#This Row],[ds]]))</f>
        <v>46077</v>
      </c>
      <c r="C428">
        <v>3081</v>
      </c>
      <c r="D428" s="1">
        <v>46077.333333333336</v>
      </c>
      <c r="E428">
        <v>3955.4516920588294</v>
      </c>
      <c r="F428">
        <v>2554.6452977154513</v>
      </c>
      <c r="G428">
        <v>5396.9385602457405</v>
      </c>
      <c r="H428" s="1">
        <v>46053.333333333336</v>
      </c>
    </row>
    <row r="429" spans="1:8" x14ac:dyDescent="0.25">
      <c r="A429" s="7">
        <f>DATE(YEAR(m5_crossvalid[[#This Row],[cutoff]]),MONTH(m5_crossvalid[[#This Row],[cutoff]]),DAY(m5_crossvalid[[#This Row],[cutoff]]))</f>
        <v>46053</v>
      </c>
      <c r="B429" s="7">
        <f>DATE(YEAR(m5_crossvalid[[#This Row],[ds]]),MONTH(m5_crossvalid[[#This Row],[ds]]),DAY(m5_crossvalid[[#This Row],[ds]]))</f>
        <v>46078</v>
      </c>
      <c r="C429">
        <v>4066</v>
      </c>
      <c r="D429" s="1">
        <v>46078.333333333336</v>
      </c>
      <c r="E429">
        <v>4075.4721832105929</v>
      </c>
      <c r="F429">
        <v>2560.9067131230486</v>
      </c>
      <c r="G429">
        <v>5504.8159881759693</v>
      </c>
      <c r="H429" s="1">
        <v>46053.333333333336</v>
      </c>
    </row>
    <row r="430" spans="1:8" x14ac:dyDescent="0.25">
      <c r="A430" s="7">
        <f>DATE(YEAR(m5_crossvalid[[#This Row],[cutoff]]),MONTH(m5_crossvalid[[#This Row],[cutoff]]),DAY(m5_crossvalid[[#This Row],[cutoff]]))</f>
        <v>46053</v>
      </c>
      <c r="B430" s="7">
        <f>DATE(YEAR(m5_crossvalid[[#This Row],[ds]]),MONTH(m5_crossvalid[[#This Row],[ds]]),DAY(m5_crossvalid[[#This Row],[ds]]))</f>
        <v>46079</v>
      </c>
      <c r="C430">
        <v>5569</v>
      </c>
      <c r="D430" s="1">
        <v>46079.333333333336</v>
      </c>
      <c r="E430">
        <v>4419.0156919590663</v>
      </c>
      <c r="F430">
        <v>2956.7806054576113</v>
      </c>
      <c r="G430">
        <v>5883.6229287686228</v>
      </c>
      <c r="H430" s="1">
        <v>46053.333333333336</v>
      </c>
    </row>
    <row r="431" spans="1:8" x14ac:dyDescent="0.25">
      <c r="A431" s="7">
        <f>DATE(YEAR(m5_crossvalid[[#This Row],[cutoff]]),MONTH(m5_crossvalid[[#This Row],[cutoff]]),DAY(m5_crossvalid[[#This Row],[cutoff]]))</f>
        <v>46053</v>
      </c>
      <c r="B431" s="7">
        <f>DATE(YEAR(m5_crossvalid[[#This Row],[ds]]),MONTH(m5_crossvalid[[#This Row],[ds]]),DAY(m5_crossvalid[[#This Row],[ds]]))</f>
        <v>46080</v>
      </c>
      <c r="C431">
        <v>8803</v>
      </c>
      <c r="D431" s="1">
        <v>46080.333333333336</v>
      </c>
      <c r="E431">
        <v>7423.2301236446147</v>
      </c>
      <c r="F431">
        <v>5969.8454237541837</v>
      </c>
      <c r="G431">
        <v>8977.5901869480022</v>
      </c>
      <c r="H431" s="1">
        <v>46053.333333333336</v>
      </c>
    </row>
    <row r="432" spans="1:8" x14ac:dyDescent="0.25">
      <c r="A432" s="7">
        <f>DATE(YEAR(m5_crossvalid[[#This Row],[cutoff]]),MONTH(m5_crossvalid[[#This Row],[cutoff]]),DAY(m5_crossvalid[[#This Row],[cutoff]]))</f>
        <v>46053</v>
      </c>
      <c r="B432" s="7">
        <f>DATE(YEAR(m5_crossvalid[[#This Row],[ds]]),MONTH(m5_crossvalid[[#This Row],[ds]]),DAY(m5_crossvalid[[#This Row],[ds]]))</f>
        <v>46081</v>
      </c>
      <c r="C432">
        <v>9425</v>
      </c>
      <c r="D432" s="1">
        <v>46081.333333333336</v>
      </c>
      <c r="E432">
        <v>8104.579644029448</v>
      </c>
      <c r="F432">
        <v>6736.9206241516213</v>
      </c>
      <c r="G432">
        <v>9647.1992052641181</v>
      </c>
      <c r="H432" s="1">
        <v>46053.333333333336</v>
      </c>
    </row>
    <row r="433" spans="1:8" x14ac:dyDescent="0.25">
      <c r="A433" s="7">
        <f>DATE(YEAR(m5_crossvalid[[#This Row],[cutoff]]),MONTH(m5_crossvalid[[#This Row],[cutoff]]),DAY(m5_crossvalid[[#This Row],[cutoff]]))</f>
        <v>46053</v>
      </c>
      <c r="B433" s="7">
        <f>DATE(YEAR(m5_crossvalid[[#This Row],[ds]]),MONTH(m5_crossvalid[[#This Row],[ds]]),DAY(m5_crossvalid[[#This Row],[ds]]))</f>
        <v>46082</v>
      </c>
      <c r="C433">
        <v>40</v>
      </c>
      <c r="D433" s="1">
        <v>46082.333333333336</v>
      </c>
      <c r="E433">
        <v>868.52819627526173</v>
      </c>
      <c r="F433">
        <v>-633.20860616705522</v>
      </c>
      <c r="G433">
        <v>2438.0375588310135</v>
      </c>
      <c r="H433" s="1">
        <v>46053.333333333336</v>
      </c>
    </row>
    <row r="434" spans="1:8" x14ac:dyDescent="0.25">
      <c r="A434" s="7">
        <f>DATE(YEAR(m5_crossvalid[[#This Row],[cutoff]]),MONTH(m5_crossvalid[[#This Row],[cutoff]]),DAY(m5_crossvalid[[#This Row],[cutoff]]))</f>
        <v>46053</v>
      </c>
      <c r="B434" s="7">
        <f>DATE(YEAR(m5_crossvalid[[#This Row],[ds]]),MONTH(m5_crossvalid[[#This Row],[ds]]),DAY(m5_crossvalid[[#This Row],[ds]]))</f>
        <v>46083</v>
      </c>
      <c r="C434">
        <v>617</v>
      </c>
      <c r="D434" s="1">
        <v>46083.333333333336</v>
      </c>
      <c r="E434">
        <v>2899.3137299978507</v>
      </c>
      <c r="F434">
        <v>1540.3310147993345</v>
      </c>
      <c r="G434">
        <v>4301.8395055362835</v>
      </c>
      <c r="H434" s="1">
        <v>46053.333333333336</v>
      </c>
    </row>
    <row r="435" spans="1:8" x14ac:dyDescent="0.25">
      <c r="A435" s="7">
        <f>DATE(YEAR(m5_crossvalid[[#This Row],[cutoff]]),MONTH(m5_crossvalid[[#This Row],[cutoff]]),DAY(m5_crossvalid[[#This Row],[cutoff]]))</f>
        <v>46053</v>
      </c>
      <c r="B435" s="7">
        <f>DATE(YEAR(m5_crossvalid[[#This Row],[ds]]),MONTH(m5_crossvalid[[#This Row],[ds]]),DAY(m5_crossvalid[[#This Row],[ds]]))</f>
        <v>46084</v>
      </c>
      <c r="C435">
        <v>799</v>
      </c>
      <c r="D435" s="1">
        <v>46084.333333333336</v>
      </c>
      <c r="E435">
        <v>2574.629757697136</v>
      </c>
      <c r="F435">
        <v>997.73531963521953</v>
      </c>
      <c r="G435">
        <v>3944.4750529212183</v>
      </c>
      <c r="H435" s="1">
        <v>46053.333333333336</v>
      </c>
    </row>
    <row r="436" spans="1:8" x14ac:dyDescent="0.25">
      <c r="A436" s="7">
        <f>DATE(YEAR(m5_crossvalid[[#This Row],[cutoff]]),MONTH(m5_crossvalid[[#This Row],[cutoff]]),DAY(m5_crossvalid[[#This Row],[cutoff]]))</f>
        <v>46081</v>
      </c>
      <c r="B436" s="7">
        <f>DATE(YEAR(m5_crossvalid[[#This Row],[ds]]),MONTH(m5_crossvalid[[#This Row],[ds]]),DAY(m5_crossvalid[[#This Row],[ds]]))</f>
        <v>46082</v>
      </c>
      <c r="C436">
        <v>40</v>
      </c>
      <c r="D436" s="1">
        <v>46082.333333333336</v>
      </c>
      <c r="E436">
        <v>972.20966718138652</v>
      </c>
      <c r="F436">
        <v>-555.24899345753136</v>
      </c>
      <c r="G436">
        <v>2433.5003126029269</v>
      </c>
      <c r="H436" s="1">
        <v>46081.333333333336</v>
      </c>
    </row>
    <row r="437" spans="1:8" x14ac:dyDescent="0.25">
      <c r="A437" s="7">
        <f>DATE(YEAR(m5_crossvalid[[#This Row],[cutoff]]),MONTH(m5_crossvalid[[#This Row],[cutoff]]),DAY(m5_crossvalid[[#This Row],[cutoff]]))</f>
        <v>46081</v>
      </c>
      <c r="B437" s="7">
        <f>DATE(YEAR(m5_crossvalid[[#This Row],[ds]]),MONTH(m5_crossvalid[[#This Row],[ds]]),DAY(m5_crossvalid[[#This Row],[ds]]))</f>
        <v>46083</v>
      </c>
      <c r="C437">
        <v>617</v>
      </c>
      <c r="D437" s="1">
        <v>46083.333333333336</v>
      </c>
      <c r="E437">
        <v>2915.7677049820859</v>
      </c>
      <c r="F437">
        <v>1499.4010008552557</v>
      </c>
      <c r="G437">
        <v>4393.8723200627564</v>
      </c>
      <c r="H437" s="1">
        <v>46081.333333333336</v>
      </c>
    </row>
    <row r="438" spans="1:8" x14ac:dyDescent="0.25">
      <c r="A438" s="7">
        <f>DATE(YEAR(m5_crossvalid[[#This Row],[cutoff]]),MONTH(m5_crossvalid[[#This Row],[cutoff]]),DAY(m5_crossvalid[[#This Row],[cutoff]]))</f>
        <v>46081</v>
      </c>
      <c r="B438" s="7">
        <f>DATE(YEAR(m5_crossvalid[[#This Row],[ds]]),MONTH(m5_crossvalid[[#This Row],[ds]]),DAY(m5_crossvalid[[#This Row],[ds]]))</f>
        <v>46084</v>
      </c>
      <c r="C438">
        <v>799</v>
      </c>
      <c r="D438" s="1">
        <v>46084.333333333336</v>
      </c>
      <c r="E438">
        <v>2569.0355573087354</v>
      </c>
      <c r="F438">
        <v>1038.1337859092143</v>
      </c>
      <c r="G438">
        <v>4161.9412331289568</v>
      </c>
      <c r="H438" s="1">
        <v>46081.333333333336</v>
      </c>
    </row>
    <row r="439" spans="1:8" x14ac:dyDescent="0.25">
      <c r="A439" s="7">
        <f>DATE(YEAR(m5_crossvalid[[#This Row],[cutoff]]),MONTH(m5_crossvalid[[#This Row],[cutoff]]),DAY(m5_crossvalid[[#This Row],[cutoff]]))</f>
        <v>46081</v>
      </c>
      <c r="B439" s="7">
        <f>DATE(YEAR(m5_crossvalid[[#This Row],[ds]]),MONTH(m5_crossvalid[[#This Row],[ds]]),DAY(m5_crossvalid[[#This Row],[ds]]))</f>
        <v>46085</v>
      </c>
      <c r="C439">
        <v>995</v>
      </c>
      <c r="D439" s="1">
        <v>46085.333333333336</v>
      </c>
      <c r="E439">
        <v>1978.6558620603157</v>
      </c>
      <c r="F439">
        <v>434.9858830617776</v>
      </c>
      <c r="G439">
        <v>3394.9938154577731</v>
      </c>
      <c r="H439" s="1">
        <v>46081.333333333336</v>
      </c>
    </row>
    <row r="440" spans="1:8" x14ac:dyDescent="0.25">
      <c r="A440" s="7">
        <f>DATE(YEAR(m5_crossvalid[[#This Row],[cutoff]]),MONTH(m5_crossvalid[[#This Row],[cutoff]]),DAY(m5_crossvalid[[#This Row],[cutoff]]))</f>
        <v>46081</v>
      </c>
      <c r="B440" s="7">
        <f>DATE(YEAR(m5_crossvalid[[#This Row],[ds]]),MONTH(m5_crossvalid[[#This Row],[ds]]),DAY(m5_crossvalid[[#This Row],[ds]]))</f>
        <v>46086</v>
      </c>
      <c r="C440">
        <v>1314</v>
      </c>
      <c r="D440" s="1">
        <v>46086.333333333336</v>
      </c>
      <c r="E440">
        <v>1725.9372830791326</v>
      </c>
      <c r="F440">
        <v>235.97334257539023</v>
      </c>
      <c r="G440">
        <v>3188.2269064975117</v>
      </c>
      <c r="H440" s="1">
        <v>46081.333333333336</v>
      </c>
    </row>
    <row r="441" spans="1:8" x14ac:dyDescent="0.25">
      <c r="A441" s="7">
        <f>DATE(YEAR(m5_crossvalid[[#This Row],[cutoff]]),MONTH(m5_crossvalid[[#This Row],[cutoff]]),DAY(m5_crossvalid[[#This Row],[cutoff]]))</f>
        <v>46081</v>
      </c>
      <c r="B441" s="7">
        <f>DATE(YEAR(m5_crossvalid[[#This Row],[ds]]),MONTH(m5_crossvalid[[#This Row],[ds]]),DAY(m5_crossvalid[[#This Row],[ds]]))</f>
        <v>46087</v>
      </c>
      <c r="C441">
        <v>1617</v>
      </c>
      <c r="D441" s="1">
        <v>46087.333333333336</v>
      </c>
      <c r="E441">
        <v>1831.817401869577</v>
      </c>
      <c r="F441">
        <v>427.52526264347591</v>
      </c>
      <c r="G441">
        <v>3287.7218116062272</v>
      </c>
      <c r="H441" s="1">
        <v>46081.333333333336</v>
      </c>
    </row>
    <row r="442" spans="1:8" x14ac:dyDescent="0.25">
      <c r="A442" s="7">
        <f>DATE(YEAR(m5_crossvalid[[#This Row],[cutoff]]),MONTH(m5_crossvalid[[#This Row],[cutoff]]),DAY(m5_crossvalid[[#This Row],[cutoff]]))</f>
        <v>46081</v>
      </c>
      <c r="B442" s="7">
        <f>DATE(YEAR(m5_crossvalid[[#This Row],[ds]]),MONTH(m5_crossvalid[[#This Row],[ds]]),DAY(m5_crossvalid[[#This Row],[ds]]))</f>
        <v>46088</v>
      </c>
      <c r="C442">
        <v>220</v>
      </c>
      <c r="D442" s="1">
        <v>46088.333333333336</v>
      </c>
      <c r="E442">
        <v>-1923.912500407821</v>
      </c>
      <c r="F442">
        <v>-3401.272206954769</v>
      </c>
      <c r="G442">
        <v>-504.8937455882367</v>
      </c>
      <c r="H442" s="1">
        <v>46081.333333333336</v>
      </c>
    </row>
    <row r="443" spans="1:8" x14ac:dyDescent="0.25">
      <c r="A443" s="7">
        <f>DATE(YEAR(m5_crossvalid[[#This Row],[cutoff]]),MONTH(m5_crossvalid[[#This Row],[cutoff]]),DAY(m5_crossvalid[[#This Row],[cutoff]]))</f>
        <v>46081</v>
      </c>
      <c r="B443" s="7">
        <f>DATE(YEAR(m5_crossvalid[[#This Row],[ds]]),MONTH(m5_crossvalid[[#This Row],[ds]]),DAY(m5_crossvalid[[#This Row],[ds]]))</f>
        <v>46089</v>
      </c>
      <c r="C443">
        <v>43</v>
      </c>
      <c r="D443" s="1">
        <v>46089.333333333336</v>
      </c>
      <c r="E443">
        <v>-16.451177066044693</v>
      </c>
      <c r="F443">
        <v>-1448.9595831680526</v>
      </c>
      <c r="G443">
        <v>1456.4547855814558</v>
      </c>
      <c r="H443" s="1">
        <v>46081.333333333336</v>
      </c>
    </row>
    <row r="444" spans="1:8" x14ac:dyDescent="0.25">
      <c r="A444" s="7">
        <f>DATE(YEAR(m5_crossvalid[[#This Row],[cutoff]]),MONTH(m5_crossvalid[[#This Row],[cutoff]]),DAY(m5_crossvalid[[#This Row],[cutoff]]))</f>
        <v>46081</v>
      </c>
      <c r="B444" s="7">
        <f>DATE(YEAR(m5_crossvalid[[#This Row],[ds]]),MONTH(m5_crossvalid[[#This Row],[ds]]),DAY(m5_crossvalid[[#This Row],[ds]]))</f>
        <v>46090</v>
      </c>
      <c r="C444">
        <v>1766</v>
      </c>
      <c r="D444" s="1">
        <v>46090.333333333336</v>
      </c>
      <c r="E444">
        <v>2380.7893680204024</v>
      </c>
      <c r="F444">
        <v>910.09022369702132</v>
      </c>
      <c r="G444">
        <v>3728.7659793782777</v>
      </c>
      <c r="H444" s="1">
        <v>46081.333333333336</v>
      </c>
    </row>
    <row r="445" spans="1:8" x14ac:dyDescent="0.25">
      <c r="A445" s="7">
        <f>DATE(YEAR(m5_crossvalid[[#This Row],[cutoff]]),MONTH(m5_crossvalid[[#This Row],[cutoff]]),DAY(m5_crossvalid[[#This Row],[cutoff]]))</f>
        <v>46081</v>
      </c>
      <c r="B445" s="7">
        <f>DATE(YEAR(m5_crossvalid[[#This Row],[ds]]),MONTH(m5_crossvalid[[#This Row],[ds]]),DAY(m5_crossvalid[[#This Row],[ds]]))</f>
        <v>46091</v>
      </c>
      <c r="C445">
        <v>2170</v>
      </c>
      <c r="D445" s="1">
        <v>46091.333333333336</v>
      </c>
      <c r="E445">
        <v>2536.3450358712926</v>
      </c>
      <c r="F445">
        <v>1170.3763900628164</v>
      </c>
      <c r="G445">
        <v>4031.2775735596356</v>
      </c>
      <c r="H445" s="1">
        <v>46081.333333333336</v>
      </c>
    </row>
    <row r="446" spans="1:8" x14ac:dyDescent="0.25">
      <c r="A446" s="7">
        <f>DATE(YEAR(m5_crossvalid[[#This Row],[cutoff]]),MONTH(m5_crossvalid[[#This Row],[cutoff]]),DAY(m5_crossvalid[[#This Row],[cutoff]]))</f>
        <v>46081</v>
      </c>
      <c r="B446" s="7">
        <f>DATE(YEAR(m5_crossvalid[[#This Row],[ds]]),MONTH(m5_crossvalid[[#This Row],[ds]]),DAY(m5_crossvalid[[#This Row],[ds]]))</f>
        <v>46092</v>
      </c>
      <c r="C446">
        <v>2907</v>
      </c>
      <c r="D446" s="1">
        <v>46092.333333333336</v>
      </c>
      <c r="E446">
        <v>2577.0505589220575</v>
      </c>
      <c r="F446">
        <v>1110.355236771449</v>
      </c>
      <c r="G446">
        <v>3996.1773978805777</v>
      </c>
      <c r="H446" s="1">
        <v>46081.333333333336</v>
      </c>
    </row>
    <row r="447" spans="1:8" x14ac:dyDescent="0.25">
      <c r="A447" s="7">
        <f>DATE(YEAR(m5_crossvalid[[#This Row],[cutoff]]),MONTH(m5_crossvalid[[#This Row],[cutoff]]),DAY(m5_crossvalid[[#This Row],[cutoff]]))</f>
        <v>46081</v>
      </c>
      <c r="B447" s="7">
        <f>DATE(YEAR(m5_crossvalid[[#This Row],[ds]]),MONTH(m5_crossvalid[[#This Row],[ds]]),DAY(m5_crossvalid[[#This Row],[ds]]))</f>
        <v>46093</v>
      </c>
      <c r="C447">
        <v>3020</v>
      </c>
      <c r="D447" s="1">
        <v>46093.333333333336</v>
      </c>
      <c r="E447">
        <v>2687.753566214627</v>
      </c>
      <c r="F447">
        <v>1241.445383649655</v>
      </c>
      <c r="G447">
        <v>4058.5169237599457</v>
      </c>
      <c r="H447" s="1">
        <v>46081.333333333336</v>
      </c>
    </row>
    <row r="448" spans="1:8" x14ac:dyDescent="0.25">
      <c r="A448" s="7">
        <f>DATE(YEAR(m5_crossvalid[[#This Row],[cutoff]]),MONTH(m5_crossvalid[[#This Row],[cutoff]]),DAY(m5_crossvalid[[#This Row],[cutoff]]))</f>
        <v>46081</v>
      </c>
      <c r="B448" s="7">
        <f>DATE(YEAR(m5_crossvalid[[#This Row],[ds]]),MONTH(m5_crossvalid[[#This Row],[ds]]),DAY(m5_crossvalid[[#This Row],[ds]]))</f>
        <v>46094</v>
      </c>
      <c r="C448">
        <v>3551</v>
      </c>
      <c r="D448" s="1">
        <v>46094.333333333336</v>
      </c>
      <c r="E448">
        <v>2833.9226898030051</v>
      </c>
      <c r="F448">
        <v>1330.4304912856328</v>
      </c>
      <c r="G448">
        <v>4249.8076167169966</v>
      </c>
      <c r="H448" s="1">
        <v>46081.333333333336</v>
      </c>
    </row>
    <row r="449" spans="1:8" x14ac:dyDescent="0.25">
      <c r="A449" s="7">
        <f>DATE(YEAR(m5_crossvalid[[#This Row],[cutoff]]),MONTH(m5_crossvalid[[#This Row],[cutoff]]),DAY(m5_crossvalid[[#This Row],[cutoff]]))</f>
        <v>46081</v>
      </c>
      <c r="B449" s="7">
        <f>DATE(YEAR(m5_crossvalid[[#This Row],[ds]]),MONTH(m5_crossvalid[[#This Row],[ds]]),DAY(m5_crossvalid[[#This Row],[ds]]))</f>
        <v>46095</v>
      </c>
      <c r="C449">
        <v>1088</v>
      </c>
      <c r="D449" s="1">
        <v>46095.333333333336</v>
      </c>
      <c r="E449">
        <v>639.52523002702037</v>
      </c>
      <c r="F449">
        <v>-856.44240248477513</v>
      </c>
      <c r="G449">
        <v>2125.5267477614261</v>
      </c>
      <c r="H449" s="1">
        <v>46081.333333333336</v>
      </c>
    </row>
    <row r="450" spans="1:8" x14ac:dyDescent="0.25">
      <c r="A450" s="7">
        <f>DATE(YEAR(m5_crossvalid[[#This Row],[cutoff]]),MONTH(m5_crossvalid[[#This Row],[cutoff]]),DAY(m5_crossvalid[[#This Row],[cutoff]]))</f>
        <v>46081</v>
      </c>
      <c r="B450" s="7">
        <f>DATE(YEAR(m5_crossvalid[[#This Row],[ds]]),MONTH(m5_crossvalid[[#This Row],[ds]]),DAY(m5_crossvalid[[#This Row],[ds]]))</f>
        <v>46096</v>
      </c>
      <c r="C450">
        <v>228</v>
      </c>
      <c r="D450" s="1">
        <v>46096.333333333336</v>
      </c>
      <c r="E450">
        <v>106.06316961947459</v>
      </c>
      <c r="F450">
        <v>-1405.2367721832659</v>
      </c>
      <c r="G450">
        <v>1544.2173410809719</v>
      </c>
      <c r="H450" s="1">
        <v>46081.333333333336</v>
      </c>
    </row>
    <row r="451" spans="1:8" x14ac:dyDescent="0.25">
      <c r="A451" s="7">
        <f>DATE(YEAR(m5_crossvalid[[#This Row],[cutoff]]),MONTH(m5_crossvalid[[#This Row],[cutoff]]),DAY(m5_crossvalid[[#This Row],[cutoff]]))</f>
        <v>46081</v>
      </c>
      <c r="B451" s="7">
        <f>DATE(YEAR(m5_crossvalid[[#This Row],[ds]]),MONTH(m5_crossvalid[[#This Row],[ds]]),DAY(m5_crossvalid[[#This Row],[ds]]))</f>
        <v>46097</v>
      </c>
      <c r="C451">
        <v>3950</v>
      </c>
      <c r="D451" s="1">
        <v>46097.333333333336</v>
      </c>
      <c r="E451">
        <v>2662.6762208128644</v>
      </c>
      <c r="F451">
        <v>1242.247844752837</v>
      </c>
      <c r="G451">
        <v>4136.8586036993656</v>
      </c>
      <c r="H451" s="1">
        <v>46081.333333333336</v>
      </c>
    </row>
    <row r="452" spans="1:8" x14ac:dyDescent="0.25">
      <c r="A452" s="7">
        <f>DATE(YEAR(m5_crossvalid[[#This Row],[cutoff]]),MONTH(m5_crossvalid[[#This Row],[cutoff]]),DAY(m5_crossvalid[[#This Row],[cutoff]]))</f>
        <v>46081</v>
      </c>
      <c r="B452" s="7">
        <f>DATE(YEAR(m5_crossvalid[[#This Row],[ds]]),MONTH(m5_crossvalid[[#This Row],[ds]]),DAY(m5_crossvalid[[#This Row],[ds]]))</f>
        <v>46098</v>
      </c>
      <c r="C452">
        <v>5807</v>
      </c>
      <c r="D452" s="1">
        <v>46098.333333333336</v>
      </c>
      <c r="E452">
        <v>3099.7583013120784</v>
      </c>
      <c r="F452">
        <v>1712.6520175466737</v>
      </c>
      <c r="G452">
        <v>4574.4183707128404</v>
      </c>
      <c r="H452" s="1">
        <v>46081.333333333336</v>
      </c>
    </row>
    <row r="453" spans="1:8" x14ac:dyDescent="0.25">
      <c r="A453" s="7">
        <f>DATE(YEAR(m5_crossvalid[[#This Row],[cutoff]]),MONTH(m5_crossvalid[[#This Row],[cutoff]]),DAY(m5_crossvalid[[#This Row],[cutoff]]))</f>
        <v>46081</v>
      </c>
      <c r="B453" s="7">
        <f>DATE(YEAR(m5_crossvalid[[#This Row],[ds]]),MONTH(m5_crossvalid[[#This Row],[ds]]),DAY(m5_crossvalid[[#This Row],[ds]]))</f>
        <v>46099</v>
      </c>
      <c r="C453">
        <v>5295</v>
      </c>
      <c r="D453" s="1">
        <v>46099.333333333336</v>
      </c>
      <c r="E453">
        <v>3346.716696806795</v>
      </c>
      <c r="F453">
        <v>1974.4857646424591</v>
      </c>
      <c r="G453">
        <v>4841.1204306713571</v>
      </c>
      <c r="H453" s="1">
        <v>46081.333333333336</v>
      </c>
    </row>
    <row r="454" spans="1:8" x14ac:dyDescent="0.25">
      <c r="A454" s="7">
        <f>DATE(YEAR(m5_crossvalid[[#This Row],[cutoff]]),MONTH(m5_crossvalid[[#This Row],[cutoff]]),DAY(m5_crossvalid[[#This Row],[cutoff]]))</f>
        <v>46081</v>
      </c>
      <c r="B454" s="7">
        <f>DATE(YEAR(m5_crossvalid[[#This Row],[ds]]),MONTH(m5_crossvalid[[#This Row],[ds]]),DAY(m5_crossvalid[[#This Row],[ds]]))</f>
        <v>46100</v>
      </c>
      <c r="C454">
        <v>3557</v>
      </c>
      <c r="D454" s="1">
        <v>46100.333333333336</v>
      </c>
      <c r="E454">
        <v>3461.5024187280287</v>
      </c>
      <c r="F454">
        <v>1947.9028481485793</v>
      </c>
      <c r="G454">
        <v>4900.5038091733686</v>
      </c>
      <c r="H454" s="1">
        <v>46081.333333333336</v>
      </c>
    </row>
    <row r="455" spans="1:8" x14ac:dyDescent="0.25">
      <c r="A455" s="7">
        <f>DATE(YEAR(m5_crossvalid[[#This Row],[cutoff]]),MONTH(m5_crossvalid[[#This Row],[cutoff]]),DAY(m5_crossvalid[[#This Row],[cutoff]]))</f>
        <v>46081</v>
      </c>
      <c r="B455" s="7">
        <f>DATE(YEAR(m5_crossvalid[[#This Row],[ds]]),MONTH(m5_crossvalid[[#This Row],[ds]]),DAY(m5_crossvalid[[#This Row],[ds]]))</f>
        <v>46101</v>
      </c>
      <c r="C455">
        <v>61</v>
      </c>
      <c r="D455" s="1">
        <v>46101.333333333336</v>
      </c>
      <c r="E455">
        <v>-598.54666536511286</v>
      </c>
      <c r="F455">
        <v>-2081.1933054363908</v>
      </c>
      <c r="G455">
        <v>837.88525146597647</v>
      </c>
      <c r="H455" s="1">
        <v>46081.333333333336</v>
      </c>
    </row>
    <row r="456" spans="1:8" x14ac:dyDescent="0.25">
      <c r="A456" s="7">
        <f>DATE(YEAR(m5_crossvalid[[#This Row],[cutoff]]),MONTH(m5_crossvalid[[#This Row],[cutoff]]),DAY(m5_crossvalid[[#This Row],[cutoff]]))</f>
        <v>46081</v>
      </c>
      <c r="B456" s="7">
        <f>DATE(YEAR(m5_crossvalid[[#This Row],[ds]]),MONTH(m5_crossvalid[[#This Row],[ds]]),DAY(m5_crossvalid[[#This Row],[ds]]))</f>
        <v>46102</v>
      </c>
      <c r="C456">
        <v>3</v>
      </c>
      <c r="D456" s="1">
        <v>46102.333333333336</v>
      </c>
      <c r="E456">
        <v>-1923.1905591551358</v>
      </c>
      <c r="F456">
        <v>-3279.3790575447956</v>
      </c>
      <c r="G456">
        <v>-439.9119703286666</v>
      </c>
      <c r="H456" s="1">
        <v>46081.333333333336</v>
      </c>
    </row>
    <row r="457" spans="1:8" x14ac:dyDescent="0.25">
      <c r="A457" s="7">
        <f>DATE(YEAR(m5_crossvalid[[#This Row],[cutoff]]),MONTH(m5_crossvalid[[#This Row],[cutoff]]),DAY(m5_crossvalid[[#This Row],[cutoff]]))</f>
        <v>46081</v>
      </c>
      <c r="B457" s="7">
        <f>DATE(YEAR(m5_crossvalid[[#This Row],[ds]]),MONTH(m5_crossvalid[[#This Row],[ds]]),DAY(m5_crossvalid[[#This Row],[ds]]))</f>
        <v>46103</v>
      </c>
      <c r="C457">
        <v>6</v>
      </c>
      <c r="D457" s="1">
        <v>46103.333333333336</v>
      </c>
      <c r="E457">
        <v>-4532.9911316312446</v>
      </c>
      <c r="F457">
        <v>-5890.1104844954043</v>
      </c>
      <c r="G457">
        <v>-3054.0367278933418</v>
      </c>
      <c r="H457" s="1">
        <v>46081.333333333336</v>
      </c>
    </row>
    <row r="458" spans="1:8" x14ac:dyDescent="0.25">
      <c r="A458" s="7">
        <f>DATE(YEAR(m5_crossvalid[[#This Row],[cutoff]]),MONTH(m5_crossvalid[[#This Row],[cutoff]]),DAY(m5_crossvalid[[#This Row],[cutoff]]))</f>
        <v>46081</v>
      </c>
      <c r="B458" s="7">
        <f>DATE(YEAR(m5_crossvalid[[#This Row],[ds]]),MONTH(m5_crossvalid[[#This Row],[ds]]),DAY(m5_crossvalid[[#This Row],[ds]]))</f>
        <v>46104</v>
      </c>
      <c r="C458">
        <v>23</v>
      </c>
      <c r="D458" s="1">
        <v>46104.333333333336</v>
      </c>
      <c r="E458">
        <v>-1389.0435963252794</v>
      </c>
      <c r="F458">
        <v>-2838.3064248175247</v>
      </c>
      <c r="G458">
        <v>51.883806063343798</v>
      </c>
      <c r="H458" s="1">
        <v>46081.333333333336</v>
      </c>
    </row>
    <row r="459" spans="1:8" x14ac:dyDescent="0.25">
      <c r="A459" s="7">
        <f>DATE(YEAR(m5_crossvalid[[#This Row],[cutoff]]),MONTH(m5_crossvalid[[#This Row],[cutoff]]),DAY(m5_crossvalid[[#This Row],[cutoff]]))</f>
        <v>46081</v>
      </c>
      <c r="B459" s="7">
        <f>DATE(YEAR(m5_crossvalid[[#This Row],[ds]]),MONTH(m5_crossvalid[[#This Row],[ds]]),DAY(m5_crossvalid[[#This Row],[ds]]))</f>
        <v>46105</v>
      </c>
      <c r="C459">
        <v>974</v>
      </c>
      <c r="D459" s="1">
        <v>46105.333333333336</v>
      </c>
      <c r="E459">
        <v>2052.1591842108737</v>
      </c>
      <c r="F459">
        <v>520.91620055054705</v>
      </c>
      <c r="G459">
        <v>3578.0402858387938</v>
      </c>
      <c r="H459" s="1">
        <v>46081.333333333336</v>
      </c>
    </row>
    <row r="460" spans="1:8" x14ac:dyDescent="0.25">
      <c r="A460" s="7">
        <f>DATE(YEAR(m5_crossvalid[[#This Row],[cutoff]]),MONTH(m5_crossvalid[[#This Row],[cutoff]]),DAY(m5_crossvalid[[#This Row],[cutoff]]))</f>
        <v>46081</v>
      </c>
      <c r="B460" s="7">
        <f>DATE(YEAR(m5_crossvalid[[#This Row],[ds]]),MONTH(m5_crossvalid[[#This Row],[ds]]),DAY(m5_crossvalid[[#This Row],[ds]]))</f>
        <v>46106</v>
      </c>
      <c r="C460">
        <v>1752</v>
      </c>
      <c r="D460" s="1">
        <v>46106.333333333336</v>
      </c>
      <c r="E460">
        <v>2847.1961589856933</v>
      </c>
      <c r="F460">
        <v>1328.7153835885147</v>
      </c>
      <c r="G460">
        <v>4427.098075181676</v>
      </c>
      <c r="H460" s="1">
        <v>46081.333333333336</v>
      </c>
    </row>
    <row r="461" spans="1:8" x14ac:dyDescent="0.25">
      <c r="A461" s="7">
        <f>DATE(YEAR(m5_crossvalid[[#This Row],[cutoff]]),MONTH(m5_crossvalid[[#This Row],[cutoff]]),DAY(m5_crossvalid[[#This Row],[cutoff]]))</f>
        <v>46081</v>
      </c>
      <c r="B461" s="7">
        <f>DATE(YEAR(m5_crossvalid[[#This Row],[ds]]),MONTH(m5_crossvalid[[#This Row],[ds]]),DAY(m5_crossvalid[[#This Row],[ds]]))</f>
        <v>46107</v>
      </c>
      <c r="C461">
        <v>2884</v>
      </c>
      <c r="D461" s="1">
        <v>46107.333333333336</v>
      </c>
      <c r="E461">
        <v>3751.5479969464568</v>
      </c>
      <c r="F461">
        <v>2224.8837421073595</v>
      </c>
      <c r="G461">
        <v>5289.2368048603548</v>
      </c>
      <c r="H461" s="1">
        <v>46081.333333333336</v>
      </c>
    </row>
    <row r="462" spans="1:8" x14ac:dyDescent="0.25">
      <c r="A462" s="7">
        <f>DATE(YEAR(m5_crossvalid[[#This Row],[cutoff]]),MONTH(m5_crossvalid[[#This Row],[cutoff]]),DAY(m5_crossvalid[[#This Row],[cutoff]]))</f>
        <v>46081</v>
      </c>
      <c r="B462" s="7">
        <f>DATE(YEAR(m5_crossvalid[[#This Row],[ds]]),MONTH(m5_crossvalid[[#This Row],[ds]]),DAY(m5_crossvalid[[#This Row],[ds]]))</f>
        <v>46108</v>
      </c>
      <c r="C462">
        <v>3597</v>
      </c>
      <c r="D462" s="1">
        <v>46108.333333333336</v>
      </c>
      <c r="E462">
        <v>1917.7603347848876</v>
      </c>
      <c r="F462">
        <v>417.14454884263762</v>
      </c>
      <c r="G462">
        <v>3485.5536737020198</v>
      </c>
      <c r="H462" s="1">
        <v>46081.333333333336</v>
      </c>
    </row>
    <row r="463" spans="1:8" x14ac:dyDescent="0.25">
      <c r="A463" s="7">
        <f>DATE(YEAR(m5_crossvalid[[#This Row],[cutoff]]),MONTH(m5_crossvalid[[#This Row],[cutoff]]),DAY(m5_crossvalid[[#This Row],[cutoff]]))</f>
        <v>46081</v>
      </c>
      <c r="B463" s="7">
        <f>DATE(YEAR(m5_crossvalid[[#This Row],[ds]]),MONTH(m5_crossvalid[[#This Row],[ds]]),DAY(m5_crossvalid[[#This Row],[ds]]))</f>
        <v>46109</v>
      </c>
      <c r="C463">
        <v>1207</v>
      </c>
      <c r="D463" s="1">
        <v>46109.333333333336</v>
      </c>
      <c r="E463">
        <v>889.9824493718088</v>
      </c>
      <c r="F463">
        <v>-625.28620214493571</v>
      </c>
      <c r="G463">
        <v>2311.0111914211957</v>
      </c>
      <c r="H463" s="1">
        <v>46081.333333333336</v>
      </c>
    </row>
    <row r="464" spans="1:8" x14ac:dyDescent="0.25">
      <c r="A464" s="7">
        <f>DATE(YEAR(m5_crossvalid[[#This Row],[cutoff]]),MONTH(m5_crossvalid[[#This Row],[cutoff]]),DAY(m5_crossvalid[[#This Row],[cutoff]]))</f>
        <v>46081</v>
      </c>
      <c r="B464" s="7">
        <f>DATE(YEAR(m5_crossvalid[[#This Row],[ds]]),MONTH(m5_crossvalid[[#This Row],[ds]]),DAY(m5_crossvalid[[#This Row],[ds]]))</f>
        <v>46110</v>
      </c>
      <c r="C464">
        <v>183</v>
      </c>
      <c r="D464" s="1">
        <v>46110.333333333336</v>
      </c>
      <c r="E464">
        <v>-251.94940489406235</v>
      </c>
      <c r="F464">
        <v>-1781.3577798095982</v>
      </c>
      <c r="G464">
        <v>1268.4408645067426</v>
      </c>
      <c r="H464" s="1">
        <v>46081.333333333336</v>
      </c>
    </row>
    <row r="465" spans="1:8" x14ac:dyDescent="0.25">
      <c r="A465" s="7">
        <f>DATE(YEAR(m5_crossvalid[[#This Row],[cutoff]]),MONTH(m5_crossvalid[[#This Row],[cutoff]]),DAY(m5_crossvalid[[#This Row],[cutoff]]))</f>
        <v>46081</v>
      </c>
      <c r="B465" s="7">
        <f>DATE(YEAR(m5_crossvalid[[#This Row],[ds]]),MONTH(m5_crossvalid[[#This Row],[ds]]),DAY(m5_crossvalid[[#This Row],[ds]]))</f>
        <v>46111</v>
      </c>
      <c r="C465">
        <v>4959</v>
      </c>
      <c r="D465" s="1">
        <v>46111.333333333336</v>
      </c>
      <c r="E465">
        <v>6388.2171233284316</v>
      </c>
      <c r="F465">
        <v>4977.3350409683344</v>
      </c>
      <c r="G465">
        <v>7892.826133104023</v>
      </c>
      <c r="H465" s="1">
        <v>46081.333333333336</v>
      </c>
    </row>
    <row r="466" spans="1:8" x14ac:dyDescent="0.25">
      <c r="A466" s="7">
        <f>DATE(YEAR(m5_crossvalid[[#This Row],[cutoff]]),MONTH(m5_crossvalid[[#This Row],[cutoff]]),DAY(m5_crossvalid[[#This Row],[cutoff]]))</f>
        <v>46081</v>
      </c>
      <c r="B466" s="7">
        <f>DATE(YEAR(m5_crossvalid[[#This Row],[ds]]),MONTH(m5_crossvalid[[#This Row],[ds]]),DAY(m5_crossvalid[[#This Row],[ds]]))</f>
        <v>46112</v>
      </c>
      <c r="C466">
        <v>13213</v>
      </c>
      <c r="D466" s="1">
        <v>46112.333333333336</v>
      </c>
      <c r="E466">
        <v>10691.724901289001</v>
      </c>
      <c r="F466">
        <v>9204.9290731520068</v>
      </c>
      <c r="G466">
        <v>12114.456427666386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4555-BB26-425F-840E-3F25AAD3D695}">
  <dimension ref="A1:H466"/>
  <sheetViews>
    <sheetView topLeftCell="A424" workbookViewId="0">
      <selection activeCell="B2" sqref="A2:B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DATE(YEAR(m6_crossvalid[[#This Row],[cutoff]]),MONTH(m6_crossvalid[[#This Row],[cutoff]]),DAY(m6_crossvalid[[#This Row],[cutoff]]))</f>
        <v>45657</v>
      </c>
      <c r="B2" s="7">
        <f>DATE(YEAR(m6_crossvalid[[#This Row],[ds]]),MONTH(m6_crossvalid[[#This Row],[ds]]),DAY(m6_crossvalid[[#This Row],[ds]]))</f>
        <v>45658</v>
      </c>
      <c r="C2">
        <v>89.999999999999972</v>
      </c>
      <c r="D2" s="1">
        <v>45658.333333333336</v>
      </c>
      <c r="E2">
        <v>94.20733820850829</v>
      </c>
      <c r="F2">
        <v>47.2189638281613</v>
      </c>
      <c r="G2">
        <v>176.91565603368622</v>
      </c>
      <c r="H2" s="1">
        <v>45657.333333333336</v>
      </c>
    </row>
    <row r="3" spans="1:8" x14ac:dyDescent="0.25">
      <c r="A3" s="7">
        <f>DATE(YEAR(m6_crossvalid[[#This Row],[cutoff]]),MONTH(m6_crossvalid[[#This Row],[cutoff]]),DAY(m6_crossvalid[[#This Row],[cutoff]]))</f>
        <v>45657</v>
      </c>
      <c r="B3" s="7">
        <f>DATE(YEAR(m6_crossvalid[[#This Row],[ds]]),MONTH(m6_crossvalid[[#This Row],[ds]]),DAY(m6_crossvalid[[#This Row],[ds]]))</f>
        <v>45659</v>
      </c>
      <c r="C3">
        <v>541.00000000000011</v>
      </c>
      <c r="D3" s="1">
        <v>45659.333333333336</v>
      </c>
      <c r="E3">
        <v>556.4981370881585</v>
      </c>
      <c r="F3">
        <v>292.52065379879201</v>
      </c>
      <c r="G3">
        <v>1047.0006251860195</v>
      </c>
      <c r="H3" s="1">
        <v>45657.333333333336</v>
      </c>
    </row>
    <row r="4" spans="1:8" x14ac:dyDescent="0.25">
      <c r="A4" s="7">
        <f>DATE(YEAR(m6_crossvalid[[#This Row],[cutoff]]),MONTH(m6_crossvalid[[#This Row],[cutoff]]),DAY(m6_crossvalid[[#This Row],[cutoff]]))</f>
        <v>45657</v>
      </c>
      <c r="B4" s="7">
        <f>DATE(YEAR(m6_crossvalid[[#This Row],[ds]]),MONTH(m6_crossvalid[[#This Row],[ds]]),DAY(m6_crossvalid[[#This Row],[ds]]))</f>
        <v>45660</v>
      </c>
      <c r="C4">
        <v>563.00000000000023</v>
      </c>
      <c r="D4" s="1">
        <v>45660.333333333336</v>
      </c>
      <c r="E4">
        <v>648.60185594946324</v>
      </c>
      <c r="F4">
        <v>336.52728695554708</v>
      </c>
      <c r="G4">
        <v>1240.3833180496135</v>
      </c>
      <c r="H4" s="1">
        <v>45657.333333333336</v>
      </c>
    </row>
    <row r="5" spans="1:8" x14ac:dyDescent="0.25">
      <c r="A5" s="7">
        <f>DATE(YEAR(m6_crossvalid[[#This Row],[cutoff]]),MONTH(m6_crossvalid[[#This Row],[cutoff]]),DAY(m6_crossvalid[[#This Row],[cutoff]]))</f>
        <v>45657</v>
      </c>
      <c r="B5" s="7">
        <f>DATE(YEAR(m6_crossvalid[[#This Row],[ds]]),MONTH(m6_crossvalid[[#This Row],[ds]]),DAY(m6_crossvalid[[#This Row],[ds]]))</f>
        <v>45661</v>
      </c>
      <c r="C5">
        <v>42</v>
      </c>
      <c r="D5" s="1">
        <v>45661.333333333336</v>
      </c>
      <c r="E5">
        <v>111.76285566853039</v>
      </c>
      <c r="F5">
        <v>57.969200598020954</v>
      </c>
      <c r="G5">
        <v>206.87528419422151</v>
      </c>
      <c r="H5" s="1">
        <v>45657.333333333336</v>
      </c>
    </row>
    <row r="6" spans="1:8" x14ac:dyDescent="0.25">
      <c r="A6" s="7">
        <f>DATE(YEAR(m6_crossvalid[[#This Row],[cutoff]]),MONTH(m6_crossvalid[[#This Row],[cutoff]]),DAY(m6_crossvalid[[#This Row],[cutoff]]))</f>
        <v>45657</v>
      </c>
      <c r="B6" s="7">
        <f>DATE(YEAR(m6_crossvalid[[#This Row],[ds]]),MONTH(m6_crossvalid[[#This Row],[ds]]),DAY(m6_crossvalid[[#This Row],[ds]]))</f>
        <v>45662</v>
      </c>
      <c r="C6">
        <v>22</v>
      </c>
      <c r="D6" s="1">
        <v>45662.333333333336</v>
      </c>
      <c r="E6">
        <v>49.338061047709544</v>
      </c>
      <c r="F6">
        <v>24.709047854388874</v>
      </c>
      <c r="G6">
        <v>97.22251146043385</v>
      </c>
      <c r="H6" s="1">
        <v>45657.333333333336</v>
      </c>
    </row>
    <row r="7" spans="1:8" x14ac:dyDescent="0.25">
      <c r="A7" s="7">
        <f>DATE(YEAR(m6_crossvalid[[#This Row],[cutoff]]),MONTH(m6_crossvalid[[#This Row],[cutoff]]),DAY(m6_crossvalid[[#This Row],[cutoff]]))</f>
        <v>45657</v>
      </c>
      <c r="B7" s="7">
        <f>DATE(YEAR(m6_crossvalid[[#This Row],[ds]]),MONTH(m6_crossvalid[[#This Row],[ds]]),DAY(m6_crossvalid[[#This Row],[ds]]))</f>
        <v>45663</v>
      </c>
      <c r="C7">
        <v>533.00000000000011</v>
      </c>
      <c r="D7" s="1">
        <v>45663.333333333336</v>
      </c>
      <c r="E7">
        <v>606.12688045965683</v>
      </c>
      <c r="F7">
        <v>298.25699432016944</v>
      </c>
      <c r="G7">
        <v>1174.9300924272516</v>
      </c>
      <c r="H7" s="1">
        <v>45657.333333333336</v>
      </c>
    </row>
    <row r="8" spans="1:8" x14ac:dyDescent="0.25">
      <c r="A8" s="7">
        <f>DATE(YEAR(m6_crossvalid[[#This Row],[cutoff]]),MONTH(m6_crossvalid[[#This Row],[cutoff]]),DAY(m6_crossvalid[[#This Row],[cutoff]]))</f>
        <v>45657</v>
      </c>
      <c r="B8" s="7">
        <f>DATE(YEAR(m6_crossvalid[[#This Row],[ds]]),MONTH(m6_crossvalid[[#This Row],[ds]]),DAY(m6_crossvalid[[#This Row],[ds]]))</f>
        <v>45664</v>
      </c>
      <c r="C8">
        <v>712</v>
      </c>
      <c r="D8" s="1">
        <v>45664.333333333336</v>
      </c>
      <c r="E8">
        <v>705.62481939229235</v>
      </c>
      <c r="F8">
        <v>357.57484533421422</v>
      </c>
      <c r="G8">
        <v>1369.8855031082301</v>
      </c>
      <c r="H8" s="1">
        <v>45657.333333333336</v>
      </c>
    </row>
    <row r="9" spans="1:8" x14ac:dyDescent="0.25">
      <c r="A9" s="7">
        <f>DATE(YEAR(m6_crossvalid[[#This Row],[cutoff]]),MONTH(m6_crossvalid[[#This Row],[cutoff]]),DAY(m6_crossvalid[[#This Row],[cutoff]]))</f>
        <v>45657</v>
      </c>
      <c r="B9" s="7">
        <f>DATE(YEAR(m6_crossvalid[[#This Row],[ds]]),MONTH(m6_crossvalid[[#This Row],[ds]]),DAY(m6_crossvalid[[#This Row],[ds]]))</f>
        <v>45665</v>
      </c>
      <c r="C9">
        <v>903.99999999999966</v>
      </c>
      <c r="D9" s="1">
        <v>45665.333333333336</v>
      </c>
      <c r="E9">
        <v>1299.665373640521</v>
      </c>
      <c r="F9">
        <v>703.47926335886348</v>
      </c>
      <c r="G9">
        <v>2543.5275942990734</v>
      </c>
      <c r="H9" s="1">
        <v>45657.333333333336</v>
      </c>
    </row>
    <row r="10" spans="1:8" x14ac:dyDescent="0.25">
      <c r="A10" s="7">
        <f>DATE(YEAR(m6_crossvalid[[#This Row],[cutoff]]),MONTH(m6_crossvalid[[#This Row],[cutoff]]),DAY(m6_crossvalid[[#This Row],[cutoff]]))</f>
        <v>45657</v>
      </c>
      <c r="B10" s="7">
        <f>DATE(YEAR(m6_crossvalid[[#This Row],[ds]]),MONTH(m6_crossvalid[[#This Row],[ds]]),DAY(m6_crossvalid[[#This Row],[ds]]))</f>
        <v>45666</v>
      </c>
      <c r="C10">
        <v>1135.0000000000005</v>
      </c>
      <c r="D10" s="1">
        <v>45666.333333333336</v>
      </c>
      <c r="E10">
        <v>1317.196749936845</v>
      </c>
      <c r="F10">
        <v>690.25535066673046</v>
      </c>
      <c r="G10">
        <v>2485.5831749284403</v>
      </c>
      <c r="H10" s="1">
        <v>45657.333333333336</v>
      </c>
    </row>
    <row r="11" spans="1:8" x14ac:dyDescent="0.25">
      <c r="A11" s="7">
        <f>DATE(YEAR(m6_crossvalid[[#This Row],[cutoff]]),MONTH(m6_crossvalid[[#This Row],[cutoff]]),DAY(m6_crossvalid[[#This Row],[cutoff]]))</f>
        <v>45657</v>
      </c>
      <c r="B11" s="7">
        <f>DATE(YEAR(m6_crossvalid[[#This Row],[ds]]),MONTH(m6_crossvalid[[#This Row],[ds]]),DAY(m6_crossvalid[[#This Row],[ds]]))</f>
        <v>45667</v>
      </c>
      <c r="C11">
        <v>1270.0000000000002</v>
      </c>
      <c r="D11" s="1">
        <v>45667.333333333336</v>
      </c>
      <c r="E11">
        <v>1210.1681602776432</v>
      </c>
      <c r="F11">
        <v>640.96959300090066</v>
      </c>
      <c r="G11">
        <v>2221.6234178883269</v>
      </c>
      <c r="H11" s="1">
        <v>45657.333333333336</v>
      </c>
    </row>
    <row r="12" spans="1:8" x14ac:dyDescent="0.25">
      <c r="A12" s="7">
        <f>DATE(YEAR(m6_crossvalid[[#This Row],[cutoff]]),MONTH(m6_crossvalid[[#This Row],[cutoff]]),DAY(m6_crossvalid[[#This Row],[cutoff]]))</f>
        <v>45657</v>
      </c>
      <c r="B12" s="7">
        <f>DATE(YEAR(m6_crossvalid[[#This Row],[ds]]),MONTH(m6_crossvalid[[#This Row],[ds]]),DAY(m6_crossvalid[[#This Row],[ds]]))</f>
        <v>45668</v>
      </c>
      <c r="C12">
        <v>202.99999999999994</v>
      </c>
      <c r="D12" s="1">
        <v>45668.333333333336</v>
      </c>
      <c r="E12">
        <v>225.01140891696966</v>
      </c>
      <c r="F12">
        <v>116.78137139610679</v>
      </c>
      <c r="G12">
        <v>424.68114826091625</v>
      </c>
      <c r="H12" s="1">
        <v>45657.333333333336</v>
      </c>
    </row>
    <row r="13" spans="1:8" x14ac:dyDescent="0.25">
      <c r="A13" s="7">
        <f>DATE(YEAR(m6_crossvalid[[#This Row],[cutoff]]),MONTH(m6_crossvalid[[#This Row],[cutoff]]),DAY(m6_crossvalid[[#This Row],[cutoff]]))</f>
        <v>45657</v>
      </c>
      <c r="B13" s="7">
        <f>DATE(YEAR(m6_crossvalid[[#This Row],[ds]]),MONTH(m6_crossvalid[[#This Row],[ds]]),DAY(m6_crossvalid[[#This Row],[ds]]))</f>
        <v>45669</v>
      </c>
      <c r="C13">
        <v>41.000000000000007</v>
      </c>
      <c r="D13" s="1">
        <v>45669.333333333336</v>
      </c>
      <c r="E13">
        <v>104.35912527676587</v>
      </c>
      <c r="F13">
        <v>54.601167863245024</v>
      </c>
      <c r="G13">
        <v>205.77990894811819</v>
      </c>
      <c r="H13" s="1">
        <v>45657.333333333336</v>
      </c>
    </row>
    <row r="14" spans="1:8" x14ac:dyDescent="0.25">
      <c r="A14" s="7">
        <f>DATE(YEAR(m6_crossvalid[[#This Row],[cutoff]]),MONTH(m6_crossvalid[[#This Row],[cutoff]]),DAY(m6_crossvalid[[#This Row],[cutoff]]))</f>
        <v>45657</v>
      </c>
      <c r="B14" s="7">
        <f>DATE(YEAR(m6_crossvalid[[#This Row],[ds]]),MONTH(m6_crossvalid[[#This Row],[ds]]),DAY(m6_crossvalid[[#This Row],[ds]]))</f>
        <v>45670</v>
      </c>
      <c r="C14">
        <v>1312.9999999999995</v>
      </c>
      <c r="D14" s="1">
        <v>45670.333333333336</v>
      </c>
      <c r="E14">
        <v>1363.221379103318</v>
      </c>
      <c r="F14">
        <v>681.443366745861</v>
      </c>
      <c r="G14">
        <v>2564.9372203925777</v>
      </c>
      <c r="H14" s="1">
        <v>45657.333333333336</v>
      </c>
    </row>
    <row r="15" spans="1:8" x14ac:dyDescent="0.25">
      <c r="A15" s="7">
        <f>DATE(YEAR(m6_crossvalid[[#This Row],[cutoff]]),MONTH(m6_crossvalid[[#This Row],[cutoff]]),DAY(m6_crossvalid[[#This Row],[cutoff]]))</f>
        <v>45657</v>
      </c>
      <c r="B15" s="7">
        <f>DATE(YEAR(m6_crossvalid[[#This Row],[ds]]),MONTH(m6_crossvalid[[#This Row],[ds]]),DAY(m6_crossvalid[[#This Row],[ds]]))</f>
        <v>45671</v>
      </c>
      <c r="C15">
        <v>1609.0000000000005</v>
      </c>
      <c r="D15" s="1">
        <v>45671.333333333336</v>
      </c>
      <c r="E15">
        <v>1796.5615193463645</v>
      </c>
      <c r="F15">
        <v>947.85795953999229</v>
      </c>
      <c r="G15">
        <v>3528.9432385177683</v>
      </c>
      <c r="H15" s="1">
        <v>45657.333333333336</v>
      </c>
    </row>
    <row r="16" spans="1:8" x14ac:dyDescent="0.25">
      <c r="A16" s="7">
        <f>DATE(YEAR(m6_crossvalid[[#This Row],[cutoff]]),MONTH(m6_crossvalid[[#This Row],[cutoff]]),DAY(m6_crossvalid[[#This Row],[cutoff]]))</f>
        <v>45657</v>
      </c>
      <c r="B16" s="7">
        <f>DATE(YEAR(m6_crossvalid[[#This Row],[ds]]),MONTH(m6_crossvalid[[#This Row],[ds]]),DAY(m6_crossvalid[[#This Row],[ds]]))</f>
        <v>45672</v>
      </c>
      <c r="C16">
        <v>2010.0000000000002</v>
      </c>
      <c r="D16" s="1">
        <v>45672.333333333336</v>
      </c>
      <c r="E16">
        <v>2006.3182980494335</v>
      </c>
      <c r="F16">
        <v>1026.2902467425727</v>
      </c>
      <c r="G16">
        <v>3728.4363810728973</v>
      </c>
      <c r="H16" s="1">
        <v>45657.333333333336</v>
      </c>
    </row>
    <row r="17" spans="1:8" x14ac:dyDescent="0.25">
      <c r="A17" s="7">
        <f>DATE(YEAR(m6_crossvalid[[#This Row],[cutoff]]),MONTH(m6_crossvalid[[#This Row],[cutoff]]),DAY(m6_crossvalid[[#This Row],[cutoff]]))</f>
        <v>45657</v>
      </c>
      <c r="B17" s="7">
        <f>DATE(YEAR(m6_crossvalid[[#This Row],[ds]]),MONTH(m6_crossvalid[[#This Row],[ds]]),DAY(m6_crossvalid[[#This Row],[ds]]))</f>
        <v>45673</v>
      </c>
      <c r="C17">
        <v>2206.0000000000009</v>
      </c>
      <c r="D17" s="1">
        <v>45673.333333333336</v>
      </c>
      <c r="E17">
        <v>2292.3749697032022</v>
      </c>
      <c r="F17">
        <v>1201.0447832997959</v>
      </c>
      <c r="G17">
        <v>4293.6762191241196</v>
      </c>
      <c r="H17" s="1">
        <v>45657.333333333336</v>
      </c>
    </row>
    <row r="18" spans="1:8" x14ac:dyDescent="0.25">
      <c r="A18" s="7">
        <f>DATE(YEAR(m6_crossvalid[[#This Row],[cutoff]]),MONTH(m6_crossvalid[[#This Row],[cutoff]]),DAY(m6_crossvalid[[#This Row],[cutoff]]))</f>
        <v>45657</v>
      </c>
      <c r="B18" s="7">
        <f>DATE(YEAR(m6_crossvalid[[#This Row],[ds]]),MONTH(m6_crossvalid[[#This Row],[ds]]),DAY(m6_crossvalid[[#This Row],[ds]]))</f>
        <v>45674</v>
      </c>
      <c r="C18">
        <v>2290.9999999999991</v>
      </c>
      <c r="D18" s="1">
        <v>45674.333333333336</v>
      </c>
      <c r="E18">
        <v>2217.4348196316082</v>
      </c>
      <c r="F18">
        <v>1114.4763356560154</v>
      </c>
      <c r="G18">
        <v>4177.6992988309476</v>
      </c>
      <c r="H18" s="1">
        <v>45657.333333333336</v>
      </c>
    </row>
    <row r="19" spans="1:8" x14ac:dyDescent="0.25">
      <c r="A19" s="7">
        <f>DATE(YEAR(m6_crossvalid[[#This Row],[cutoff]]),MONTH(m6_crossvalid[[#This Row],[cutoff]]),DAY(m6_crossvalid[[#This Row],[cutoff]]))</f>
        <v>45657</v>
      </c>
      <c r="B19" s="7">
        <f>DATE(YEAR(m6_crossvalid[[#This Row],[ds]]),MONTH(m6_crossvalid[[#This Row],[ds]]),DAY(m6_crossvalid[[#This Row],[ds]]))</f>
        <v>45675</v>
      </c>
      <c r="C19">
        <v>401</v>
      </c>
      <c r="D19" s="1">
        <v>45675.333333333336</v>
      </c>
      <c r="E19">
        <v>410.65684435783254</v>
      </c>
      <c r="F19">
        <v>210.48066473411617</v>
      </c>
      <c r="G19">
        <v>782.20443057467378</v>
      </c>
      <c r="H19" s="1">
        <v>45657.333333333336</v>
      </c>
    </row>
    <row r="20" spans="1:8" x14ac:dyDescent="0.25">
      <c r="A20" s="7">
        <f>DATE(YEAR(m6_crossvalid[[#This Row],[cutoff]]),MONTH(m6_crossvalid[[#This Row],[cutoff]]),DAY(m6_crossvalid[[#This Row],[cutoff]]))</f>
        <v>45657</v>
      </c>
      <c r="B20" s="7">
        <f>DATE(YEAR(m6_crossvalid[[#This Row],[ds]]),MONTH(m6_crossvalid[[#This Row],[ds]]),DAY(m6_crossvalid[[#This Row],[ds]]))</f>
        <v>45676</v>
      </c>
      <c r="C20">
        <v>128.99999999999997</v>
      </c>
      <c r="D20" s="1">
        <v>45676.333333333336</v>
      </c>
      <c r="E20">
        <v>187.78500621797784</v>
      </c>
      <c r="F20">
        <v>95.733033030631134</v>
      </c>
      <c r="G20">
        <v>350.96869002981452</v>
      </c>
      <c r="H20" s="1">
        <v>45657.333333333336</v>
      </c>
    </row>
    <row r="21" spans="1:8" x14ac:dyDescent="0.25">
      <c r="A21" s="7">
        <f>DATE(YEAR(m6_crossvalid[[#This Row],[cutoff]]),MONTH(m6_crossvalid[[#This Row],[cutoff]]),DAY(m6_crossvalid[[#This Row],[cutoff]]))</f>
        <v>45657</v>
      </c>
      <c r="B21" s="7">
        <f>DATE(YEAR(m6_crossvalid[[#This Row],[ds]]),MONTH(m6_crossvalid[[#This Row],[ds]]),DAY(m6_crossvalid[[#This Row],[ds]]))</f>
        <v>45677</v>
      </c>
      <c r="C21">
        <v>2384.9999999999995</v>
      </c>
      <c r="D21" s="1">
        <v>45677.333333333336</v>
      </c>
      <c r="E21">
        <v>2463.5424658733514</v>
      </c>
      <c r="F21">
        <v>1336.8781796941612</v>
      </c>
      <c r="G21">
        <v>4887.9386794412585</v>
      </c>
      <c r="H21" s="1">
        <v>45657.333333333336</v>
      </c>
    </row>
    <row r="22" spans="1:8" x14ac:dyDescent="0.25">
      <c r="A22" s="7">
        <f>DATE(YEAR(m6_crossvalid[[#This Row],[cutoff]]),MONTH(m6_crossvalid[[#This Row],[cutoff]]),DAY(m6_crossvalid[[#This Row],[cutoff]]))</f>
        <v>45657</v>
      </c>
      <c r="B22" s="7">
        <f>DATE(YEAR(m6_crossvalid[[#This Row],[ds]]),MONTH(m6_crossvalid[[#This Row],[ds]]),DAY(m6_crossvalid[[#This Row],[ds]]))</f>
        <v>45678</v>
      </c>
      <c r="C22">
        <v>3051.0000000000005</v>
      </c>
      <c r="D22" s="1">
        <v>45678.333333333336</v>
      </c>
      <c r="E22">
        <v>3320.3740173781148</v>
      </c>
      <c r="F22">
        <v>1690.870898449688</v>
      </c>
      <c r="G22">
        <v>6414.5635929165674</v>
      </c>
      <c r="H22" s="1">
        <v>45657.333333333336</v>
      </c>
    </row>
    <row r="23" spans="1:8" x14ac:dyDescent="0.25">
      <c r="A23" s="7">
        <f>DATE(YEAR(m6_crossvalid[[#This Row],[cutoff]]),MONTH(m6_crossvalid[[#This Row],[cutoff]]),DAY(m6_crossvalid[[#This Row],[cutoff]]))</f>
        <v>45657</v>
      </c>
      <c r="B23" s="7">
        <f>DATE(YEAR(m6_crossvalid[[#This Row],[ds]]),MONTH(m6_crossvalid[[#This Row],[ds]]),DAY(m6_crossvalid[[#This Row],[ds]]))</f>
        <v>45679</v>
      </c>
      <c r="C23">
        <v>2878.0000000000005</v>
      </c>
      <c r="D23" s="1">
        <v>45679.333333333336</v>
      </c>
      <c r="E23">
        <v>3675.016601011821</v>
      </c>
      <c r="F23">
        <v>1861.7585899965891</v>
      </c>
      <c r="G23">
        <v>7129.7553137608757</v>
      </c>
      <c r="H23" s="1">
        <v>45657.333333333336</v>
      </c>
    </row>
    <row r="24" spans="1:8" x14ac:dyDescent="0.25">
      <c r="A24" s="7">
        <f>DATE(YEAR(m6_crossvalid[[#This Row],[cutoff]]),MONTH(m6_crossvalid[[#This Row],[cutoff]]),DAY(m6_crossvalid[[#This Row],[cutoff]]))</f>
        <v>45657</v>
      </c>
      <c r="B24" s="7">
        <f>DATE(YEAR(m6_crossvalid[[#This Row],[ds]]),MONTH(m6_crossvalid[[#This Row],[ds]]),DAY(m6_crossvalid[[#This Row],[ds]]))</f>
        <v>45680</v>
      </c>
      <c r="C24">
        <v>4853.0000000000045</v>
      </c>
      <c r="D24" s="1">
        <v>45680.333333333336</v>
      </c>
      <c r="E24">
        <v>3893.4717334822035</v>
      </c>
      <c r="F24">
        <v>2016.1787340146466</v>
      </c>
      <c r="G24">
        <v>7493.719915293188</v>
      </c>
      <c r="H24" s="1">
        <v>45657.333333333336</v>
      </c>
    </row>
    <row r="25" spans="1:8" x14ac:dyDescent="0.25">
      <c r="A25" s="7">
        <f>DATE(YEAR(m6_crossvalid[[#This Row],[cutoff]]),MONTH(m6_crossvalid[[#This Row],[cutoff]]),DAY(m6_crossvalid[[#This Row],[cutoff]]))</f>
        <v>45657</v>
      </c>
      <c r="B25" s="7">
        <f>DATE(YEAR(m6_crossvalid[[#This Row],[ds]]),MONTH(m6_crossvalid[[#This Row],[ds]]),DAY(m6_crossvalid[[#This Row],[ds]]))</f>
        <v>45681</v>
      </c>
      <c r="C25">
        <v>5201.9999999999991</v>
      </c>
      <c r="D25" s="1">
        <v>45681.333333333336</v>
      </c>
      <c r="E25">
        <v>3316.7008711512935</v>
      </c>
      <c r="F25">
        <v>1749.8002776387148</v>
      </c>
      <c r="G25">
        <v>6261.2478214633629</v>
      </c>
      <c r="H25" s="1">
        <v>45657.333333333336</v>
      </c>
    </row>
    <row r="26" spans="1:8" x14ac:dyDescent="0.25">
      <c r="A26" s="7">
        <f>DATE(YEAR(m6_crossvalid[[#This Row],[cutoff]]),MONTH(m6_crossvalid[[#This Row],[cutoff]]),DAY(m6_crossvalid[[#This Row],[cutoff]]))</f>
        <v>45657</v>
      </c>
      <c r="B26" s="7">
        <f>DATE(YEAR(m6_crossvalid[[#This Row],[ds]]),MONTH(m6_crossvalid[[#This Row],[ds]]),DAY(m6_crossvalid[[#This Row],[ds]]))</f>
        <v>45682</v>
      </c>
      <c r="C26">
        <v>1624</v>
      </c>
      <c r="D26" s="1">
        <v>45682.333333333336</v>
      </c>
      <c r="E26">
        <v>980.18025066347525</v>
      </c>
      <c r="F26">
        <v>517.80263639175712</v>
      </c>
      <c r="G26">
        <v>1974.4330051693105</v>
      </c>
      <c r="H26" s="1">
        <v>45657.333333333336</v>
      </c>
    </row>
    <row r="27" spans="1:8" x14ac:dyDescent="0.25">
      <c r="A27" s="7">
        <f>DATE(YEAR(m6_crossvalid[[#This Row],[cutoff]]),MONTH(m6_crossvalid[[#This Row],[cutoff]]),DAY(m6_crossvalid[[#This Row],[cutoff]]))</f>
        <v>45657</v>
      </c>
      <c r="B27" s="7">
        <f>DATE(YEAR(m6_crossvalid[[#This Row],[ds]]),MONTH(m6_crossvalid[[#This Row],[ds]]),DAY(m6_crossvalid[[#This Row],[ds]]))</f>
        <v>45683</v>
      </c>
      <c r="C27">
        <v>453.99999999999994</v>
      </c>
      <c r="D27" s="1">
        <v>45683.333333333336</v>
      </c>
      <c r="E27">
        <v>425.02653985731263</v>
      </c>
      <c r="F27">
        <v>222.81607089385753</v>
      </c>
      <c r="G27">
        <v>809.97355389998359</v>
      </c>
      <c r="H27" s="1">
        <v>45657.333333333336</v>
      </c>
    </row>
    <row r="28" spans="1:8" x14ac:dyDescent="0.25">
      <c r="A28" s="7">
        <f>DATE(YEAR(m6_crossvalid[[#This Row],[cutoff]]),MONTH(m6_crossvalid[[#This Row],[cutoff]]),DAY(m6_crossvalid[[#This Row],[cutoff]]))</f>
        <v>45657</v>
      </c>
      <c r="B28" s="7">
        <f>DATE(YEAR(m6_crossvalid[[#This Row],[ds]]),MONTH(m6_crossvalid[[#This Row],[ds]]),DAY(m6_crossvalid[[#This Row],[ds]]))</f>
        <v>45684</v>
      </c>
      <c r="C28">
        <v>5597.9999999999991</v>
      </c>
      <c r="D28" s="1">
        <v>45684.333333333336</v>
      </c>
      <c r="E28">
        <v>5628.0295939162843</v>
      </c>
      <c r="F28">
        <v>2909.2652626498966</v>
      </c>
      <c r="G28">
        <v>11094.155884320508</v>
      </c>
      <c r="H28" s="1">
        <v>45657.333333333336</v>
      </c>
    </row>
    <row r="29" spans="1:8" x14ac:dyDescent="0.25">
      <c r="A29" s="7">
        <f>DATE(YEAR(m6_crossvalid[[#This Row],[cutoff]]),MONTH(m6_crossvalid[[#This Row],[cutoff]]),DAY(m6_crossvalid[[#This Row],[cutoff]]))</f>
        <v>45657</v>
      </c>
      <c r="B29" s="7">
        <f>DATE(YEAR(m6_crossvalid[[#This Row],[ds]]),MONTH(m6_crossvalid[[#This Row],[ds]]),DAY(m6_crossvalid[[#This Row],[ds]]))</f>
        <v>45685</v>
      </c>
      <c r="C29">
        <v>5264</v>
      </c>
      <c r="D29" s="1">
        <v>45685.333333333336</v>
      </c>
      <c r="E29">
        <v>7736.7586420640928</v>
      </c>
      <c r="F29">
        <v>3858.1978035796833</v>
      </c>
      <c r="G29">
        <v>14850.841334520444</v>
      </c>
      <c r="H29" s="1">
        <v>45657.333333333336</v>
      </c>
    </row>
    <row r="30" spans="1:8" x14ac:dyDescent="0.25">
      <c r="A30" s="7">
        <f>DATE(YEAR(m6_crossvalid[[#This Row],[cutoff]]),MONTH(m6_crossvalid[[#This Row],[cutoff]]),DAY(m6_crossvalid[[#This Row],[cutoff]]))</f>
        <v>45657</v>
      </c>
      <c r="B30" s="7">
        <f>DATE(YEAR(m6_crossvalid[[#This Row],[ds]]),MONTH(m6_crossvalid[[#This Row],[ds]]),DAY(m6_crossvalid[[#This Row],[ds]]))</f>
        <v>45686</v>
      </c>
      <c r="C30">
        <v>309.99999999999994</v>
      </c>
      <c r="D30" s="1">
        <v>45686.333333333336</v>
      </c>
      <c r="E30">
        <v>126.45261349822117</v>
      </c>
      <c r="F30">
        <v>66.631618034325953</v>
      </c>
      <c r="G30">
        <v>244.19310507010914</v>
      </c>
      <c r="H30" s="1">
        <v>45657.333333333336</v>
      </c>
    </row>
    <row r="31" spans="1:8" x14ac:dyDescent="0.25">
      <c r="A31" s="7">
        <f>DATE(YEAR(m6_crossvalid[[#This Row],[cutoff]]),MONTH(m6_crossvalid[[#This Row],[cutoff]]),DAY(m6_crossvalid[[#This Row],[cutoff]]))</f>
        <v>45657</v>
      </c>
      <c r="B31" s="7">
        <f>DATE(YEAR(m6_crossvalid[[#This Row],[ds]]),MONTH(m6_crossvalid[[#This Row],[ds]]),DAY(m6_crossvalid[[#This Row],[ds]]))</f>
        <v>45687</v>
      </c>
      <c r="C31">
        <v>254.99999999999994</v>
      </c>
      <c r="D31" s="1">
        <v>45687.333333333336</v>
      </c>
      <c r="E31">
        <v>219.48894033853821</v>
      </c>
      <c r="F31">
        <v>113.78693145893321</v>
      </c>
      <c r="G31">
        <v>431.55096611982674</v>
      </c>
      <c r="H31" s="1">
        <v>45657.333333333336</v>
      </c>
    </row>
    <row r="32" spans="1:8" x14ac:dyDescent="0.25">
      <c r="A32" s="7">
        <f>DATE(YEAR(m6_crossvalid[[#This Row],[cutoff]]),MONTH(m6_crossvalid[[#This Row],[cutoff]]),DAY(m6_crossvalid[[#This Row],[cutoff]]))</f>
        <v>45657</v>
      </c>
      <c r="B32" s="7">
        <f>DATE(YEAR(m6_crossvalid[[#This Row],[ds]]),MONTH(m6_crossvalid[[#This Row],[ds]]),DAY(m6_crossvalid[[#This Row],[ds]]))</f>
        <v>45688</v>
      </c>
      <c r="C32">
        <v>6040.9999999999991</v>
      </c>
      <c r="D32" s="1">
        <v>45688.333333333336</v>
      </c>
      <c r="E32">
        <v>14597.542799160574</v>
      </c>
      <c r="F32">
        <v>7789.1567980942691</v>
      </c>
      <c r="G32">
        <v>27578.308571921545</v>
      </c>
      <c r="H32" s="1">
        <v>45657.333333333336</v>
      </c>
    </row>
    <row r="33" spans="1:8" x14ac:dyDescent="0.25">
      <c r="A33" s="7">
        <f>DATE(YEAR(m6_crossvalid[[#This Row],[cutoff]]),MONTH(m6_crossvalid[[#This Row],[cutoff]]),DAY(m6_crossvalid[[#This Row],[cutoff]]))</f>
        <v>45688</v>
      </c>
      <c r="B33" s="7">
        <f>DATE(YEAR(m6_crossvalid[[#This Row],[ds]]),MONTH(m6_crossvalid[[#This Row],[ds]]),DAY(m6_crossvalid[[#This Row],[ds]]))</f>
        <v>45689</v>
      </c>
      <c r="C33">
        <v>47.000000000000007</v>
      </c>
      <c r="D33" s="1">
        <v>45689.333333333336</v>
      </c>
      <c r="E33">
        <v>15.446010992329548</v>
      </c>
      <c r="F33">
        <v>7.3723001081427793</v>
      </c>
      <c r="G33">
        <v>29.039475551255851</v>
      </c>
      <c r="H33" s="1">
        <v>45688.333333333336</v>
      </c>
    </row>
    <row r="34" spans="1:8" x14ac:dyDescent="0.25">
      <c r="A34" s="7">
        <f>DATE(YEAR(m6_crossvalid[[#This Row],[cutoff]]),MONTH(m6_crossvalid[[#This Row],[cutoff]]),DAY(m6_crossvalid[[#This Row],[cutoff]]))</f>
        <v>45688</v>
      </c>
      <c r="B34" s="7">
        <f>DATE(YEAR(m6_crossvalid[[#This Row],[ds]]),MONTH(m6_crossvalid[[#This Row],[ds]]),DAY(m6_crossvalid[[#This Row],[ds]]))</f>
        <v>45690</v>
      </c>
      <c r="C34">
        <v>14</v>
      </c>
      <c r="D34" s="1">
        <v>45690.333333333336</v>
      </c>
      <c r="E34">
        <v>39.556535224669751</v>
      </c>
      <c r="F34">
        <v>20.928194485907806</v>
      </c>
      <c r="G34">
        <v>81.46319727726906</v>
      </c>
      <c r="H34" s="1">
        <v>45688.333333333336</v>
      </c>
    </row>
    <row r="35" spans="1:8" x14ac:dyDescent="0.25">
      <c r="A35" s="7">
        <f>DATE(YEAR(m6_crossvalid[[#This Row],[cutoff]]),MONTH(m6_crossvalid[[#This Row],[cutoff]]),DAY(m6_crossvalid[[#This Row],[cutoff]]))</f>
        <v>45688</v>
      </c>
      <c r="B35" s="7">
        <f>DATE(YEAR(m6_crossvalid[[#This Row],[ds]]),MONTH(m6_crossvalid[[#This Row],[ds]]),DAY(m6_crossvalid[[#This Row],[ds]]))</f>
        <v>45691</v>
      </c>
      <c r="C35">
        <v>453.99999999999994</v>
      </c>
      <c r="D35" s="1">
        <v>45691.333333333336</v>
      </c>
      <c r="E35">
        <v>695.74020770377638</v>
      </c>
      <c r="F35">
        <v>357.377276340349</v>
      </c>
      <c r="G35">
        <v>1373.2972313584567</v>
      </c>
      <c r="H35" s="1">
        <v>45688.333333333336</v>
      </c>
    </row>
    <row r="36" spans="1:8" x14ac:dyDescent="0.25">
      <c r="A36" s="7">
        <f>DATE(YEAR(m6_crossvalid[[#This Row],[cutoff]]),MONTH(m6_crossvalid[[#This Row],[cutoff]]),DAY(m6_crossvalid[[#This Row],[cutoff]]))</f>
        <v>45688</v>
      </c>
      <c r="B36" s="7">
        <f>DATE(YEAR(m6_crossvalid[[#This Row],[ds]]),MONTH(m6_crossvalid[[#This Row],[ds]]),DAY(m6_crossvalid[[#This Row],[ds]]))</f>
        <v>45692</v>
      </c>
      <c r="C36">
        <v>626.00000000000011</v>
      </c>
      <c r="D36" s="1">
        <v>45692.333333333336</v>
      </c>
      <c r="E36">
        <v>931.25262813002871</v>
      </c>
      <c r="F36">
        <v>497.04101682457338</v>
      </c>
      <c r="G36">
        <v>1725.6647400909721</v>
      </c>
      <c r="H36" s="1">
        <v>45688.333333333336</v>
      </c>
    </row>
    <row r="37" spans="1:8" x14ac:dyDescent="0.25">
      <c r="A37" s="7">
        <f>DATE(YEAR(m6_crossvalid[[#This Row],[cutoff]]),MONTH(m6_crossvalid[[#This Row],[cutoff]]),DAY(m6_crossvalid[[#This Row],[cutoff]]))</f>
        <v>45688</v>
      </c>
      <c r="B37" s="7">
        <f>DATE(YEAR(m6_crossvalid[[#This Row],[ds]]),MONTH(m6_crossvalid[[#This Row],[ds]]),DAY(m6_crossvalid[[#This Row],[ds]]))</f>
        <v>45693</v>
      </c>
      <c r="C37">
        <v>885.99999999999977</v>
      </c>
      <c r="D37" s="1">
        <v>45693.333333333336</v>
      </c>
      <c r="E37">
        <v>1062.6172936677694</v>
      </c>
      <c r="F37">
        <v>549.18542633868958</v>
      </c>
      <c r="G37">
        <v>2136.291681101693</v>
      </c>
      <c r="H37" s="1">
        <v>45688.333333333336</v>
      </c>
    </row>
    <row r="38" spans="1:8" x14ac:dyDescent="0.25">
      <c r="A38" s="7">
        <f>DATE(YEAR(m6_crossvalid[[#This Row],[cutoff]]),MONTH(m6_crossvalid[[#This Row],[cutoff]]),DAY(m6_crossvalid[[#This Row],[cutoff]]))</f>
        <v>45688</v>
      </c>
      <c r="B38" s="7">
        <f>DATE(YEAR(m6_crossvalid[[#This Row],[ds]]),MONTH(m6_crossvalid[[#This Row],[ds]]),DAY(m6_crossvalid[[#This Row],[ds]]))</f>
        <v>45694</v>
      </c>
      <c r="C38">
        <v>1159</v>
      </c>
      <c r="D38" s="1">
        <v>45694.333333333336</v>
      </c>
      <c r="E38">
        <v>1119.8747371341049</v>
      </c>
      <c r="F38">
        <v>590.04586094960041</v>
      </c>
      <c r="G38">
        <v>2178.178642252155</v>
      </c>
      <c r="H38" s="1">
        <v>45688.333333333336</v>
      </c>
    </row>
    <row r="39" spans="1:8" x14ac:dyDescent="0.25">
      <c r="A39" s="7">
        <f>DATE(YEAR(m6_crossvalid[[#This Row],[cutoff]]),MONTH(m6_crossvalid[[#This Row],[cutoff]]),DAY(m6_crossvalid[[#This Row],[cutoff]]))</f>
        <v>45688</v>
      </c>
      <c r="B39" s="7">
        <f>DATE(YEAR(m6_crossvalid[[#This Row],[ds]]),MONTH(m6_crossvalid[[#This Row],[ds]]),DAY(m6_crossvalid[[#This Row],[ds]]))</f>
        <v>45695</v>
      </c>
      <c r="C39">
        <v>1342.0000000000002</v>
      </c>
      <c r="D39" s="1">
        <v>45695.333333333336</v>
      </c>
      <c r="E39">
        <v>903.16826010703005</v>
      </c>
      <c r="F39">
        <v>480.1124733087762</v>
      </c>
      <c r="G39">
        <v>1706.690653884828</v>
      </c>
      <c r="H39" s="1">
        <v>45688.333333333336</v>
      </c>
    </row>
    <row r="40" spans="1:8" x14ac:dyDescent="0.25">
      <c r="A40" s="7">
        <f>DATE(YEAR(m6_crossvalid[[#This Row],[cutoff]]),MONTH(m6_crossvalid[[#This Row],[cutoff]]),DAY(m6_crossvalid[[#This Row],[cutoff]]))</f>
        <v>45688</v>
      </c>
      <c r="B40" s="7">
        <f>DATE(YEAR(m6_crossvalid[[#This Row],[ds]]),MONTH(m6_crossvalid[[#This Row],[ds]]),DAY(m6_crossvalid[[#This Row],[ds]]))</f>
        <v>45696</v>
      </c>
      <c r="C40">
        <v>301</v>
      </c>
      <c r="D40" s="1">
        <v>45696.333333333336</v>
      </c>
      <c r="E40">
        <v>256.58324482444323</v>
      </c>
      <c r="F40">
        <v>137.57949599355359</v>
      </c>
      <c r="G40">
        <v>478.91697959414466</v>
      </c>
      <c r="H40" s="1">
        <v>45688.333333333336</v>
      </c>
    </row>
    <row r="41" spans="1:8" x14ac:dyDescent="0.25">
      <c r="A41" s="7">
        <f>DATE(YEAR(m6_crossvalid[[#This Row],[cutoff]]),MONTH(m6_crossvalid[[#This Row],[cutoff]]),DAY(m6_crossvalid[[#This Row],[cutoff]]))</f>
        <v>45688</v>
      </c>
      <c r="B41" s="7">
        <f>DATE(YEAR(m6_crossvalid[[#This Row],[ds]]),MONTH(m6_crossvalid[[#This Row],[ds]]),DAY(m6_crossvalid[[#This Row],[ds]]))</f>
        <v>45697</v>
      </c>
      <c r="C41">
        <v>54.000000000000014</v>
      </c>
      <c r="D41" s="1">
        <v>45697.333333333336</v>
      </c>
      <c r="E41">
        <v>101.05155019006989</v>
      </c>
      <c r="F41">
        <v>51.91507164119902</v>
      </c>
      <c r="G41">
        <v>195.73508648230398</v>
      </c>
      <c r="H41" s="1">
        <v>45688.333333333336</v>
      </c>
    </row>
    <row r="42" spans="1:8" x14ac:dyDescent="0.25">
      <c r="A42" s="7">
        <f>DATE(YEAR(m6_crossvalid[[#This Row],[cutoff]]),MONTH(m6_crossvalid[[#This Row],[cutoff]]),DAY(m6_crossvalid[[#This Row],[cutoff]]))</f>
        <v>45688</v>
      </c>
      <c r="B42" s="7">
        <f>DATE(YEAR(m6_crossvalid[[#This Row],[ds]]),MONTH(m6_crossvalid[[#This Row],[ds]]),DAY(m6_crossvalid[[#This Row],[ds]]))</f>
        <v>45698</v>
      </c>
      <c r="C42">
        <v>1576.9999999999995</v>
      </c>
      <c r="D42" s="1">
        <v>45698.333333333336</v>
      </c>
      <c r="E42">
        <v>1271.6201675493869</v>
      </c>
      <c r="F42">
        <v>652.96554435015764</v>
      </c>
      <c r="G42">
        <v>2451.0040046785448</v>
      </c>
      <c r="H42" s="1">
        <v>45688.333333333336</v>
      </c>
    </row>
    <row r="43" spans="1:8" x14ac:dyDescent="0.25">
      <c r="A43" s="7">
        <f>DATE(YEAR(m6_crossvalid[[#This Row],[cutoff]]),MONTH(m6_crossvalid[[#This Row],[cutoff]]),DAY(m6_crossvalid[[#This Row],[cutoff]]))</f>
        <v>45688</v>
      </c>
      <c r="B43" s="7">
        <f>DATE(YEAR(m6_crossvalid[[#This Row],[ds]]),MONTH(m6_crossvalid[[#This Row],[ds]]),DAY(m6_crossvalid[[#This Row],[ds]]))</f>
        <v>45699</v>
      </c>
      <c r="C43">
        <v>555</v>
      </c>
      <c r="D43" s="1">
        <v>45699.333333333336</v>
      </c>
      <c r="E43">
        <v>199.27249613432497</v>
      </c>
      <c r="F43">
        <v>106.2160121121029</v>
      </c>
      <c r="G43">
        <v>383.71842410582047</v>
      </c>
      <c r="H43" s="1">
        <v>45688.333333333336</v>
      </c>
    </row>
    <row r="44" spans="1:8" x14ac:dyDescent="0.25">
      <c r="A44" s="7">
        <f>DATE(YEAR(m6_crossvalid[[#This Row],[cutoff]]),MONTH(m6_crossvalid[[#This Row],[cutoff]]),DAY(m6_crossvalid[[#This Row],[cutoff]]))</f>
        <v>45688</v>
      </c>
      <c r="B44" s="7">
        <f>DATE(YEAR(m6_crossvalid[[#This Row],[ds]]),MONTH(m6_crossvalid[[#This Row],[ds]]),DAY(m6_crossvalid[[#This Row],[ds]]))</f>
        <v>45700</v>
      </c>
      <c r="C44">
        <v>1822.9999999999993</v>
      </c>
      <c r="D44" s="1">
        <v>45700.333333333336</v>
      </c>
      <c r="E44">
        <v>1969.1161423116002</v>
      </c>
      <c r="F44">
        <v>1009.8415142539849</v>
      </c>
      <c r="G44">
        <v>3753.6431534615886</v>
      </c>
      <c r="H44" s="1">
        <v>45688.333333333336</v>
      </c>
    </row>
    <row r="45" spans="1:8" x14ac:dyDescent="0.25">
      <c r="A45" s="7">
        <f>DATE(YEAR(m6_crossvalid[[#This Row],[cutoff]]),MONTH(m6_crossvalid[[#This Row],[cutoff]]),DAY(m6_crossvalid[[#This Row],[cutoff]]))</f>
        <v>45688</v>
      </c>
      <c r="B45" s="7">
        <f>DATE(YEAR(m6_crossvalid[[#This Row],[ds]]),MONTH(m6_crossvalid[[#This Row],[ds]]),DAY(m6_crossvalid[[#This Row],[ds]]))</f>
        <v>45701</v>
      </c>
      <c r="C45">
        <v>2210</v>
      </c>
      <c r="D45" s="1">
        <v>45701.333333333336</v>
      </c>
      <c r="E45">
        <v>2193.7249515751146</v>
      </c>
      <c r="F45">
        <v>1164.5066389938663</v>
      </c>
      <c r="G45">
        <v>4320.6285903078924</v>
      </c>
      <c r="H45" s="1">
        <v>45688.333333333336</v>
      </c>
    </row>
    <row r="46" spans="1:8" x14ac:dyDescent="0.25">
      <c r="A46" s="7">
        <f>DATE(YEAR(m6_crossvalid[[#This Row],[cutoff]]),MONTH(m6_crossvalid[[#This Row],[cutoff]]),DAY(m6_crossvalid[[#This Row],[cutoff]]))</f>
        <v>45688</v>
      </c>
      <c r="B46" s="7">
        <f>DATE(YEAR(m6_crossvalid[[#This Row],[ds]]),MONTH(m6_crossvalid[[#This Row],[ds]]),DAY(m6_crossvalid[[#This Row],[ds]]))</f>
        <v>45702</v>
      </c>
      <c r="C46">
        <v>2308.0000000000009</v>
      </c>
      <c r="D46" s="1">
        <v>45702.333333333336</v>
      </c>
      <c r="E46">
        <v>1974.6664870082684</v>
      </c>
      <c r="F46">
        <v>1003.089835304095</v>
      </c>
      <c r="G46">
        <v>3686.8050074386256</v>
      </c>
      <c r="H46" s="1">
        <v>45688.333333333336</v>
      </c>
    </row>
    <row r="47" spans="1:8" x14ac:dyDescent="0.25">
      <c r="A47" s="7">
        <f>DATE(YEAR(m6_crossvalid[[#This Row],[cutoff]]),MONTH(m6_crossvalid[[#This Row],[cutoff]]),DAY(m6_crossvalid[[#This Row],[cutoff]]))</f>
        <v>45688</v>
      </c>
      <c r="B47" s="7">
        <f>DATE(YEAR(m6_crossvalid[[#This Row],[ds]]),MONTH(m6_crossvalid[[#This Row],[ds]]),DAY(m6_crossvalid[[#This Row],[ds]]))</f>
        <v>45703</v>
      </c>
      <c r="C47">
        <v>484.99999999999994</v>
      </c>
      <c r="D47" s="1">
        <v>45703.333333333336</v>
      </c>
      <c r="E47">
        <v>337.87137049384262</v>
      </c>
      <c r="F47">
        <v>185.29537728591018</v>
      </c>
      <c r="G47">
        <v>678.99146246048815</v>
      </c>
      <c r="H47" s="1">
        <v>45688.333333333336</v>
      </c>
    </row>
    <row r="48" spans="1:8" x14ac:dyDescent="0.25">
      <c r="A48" s="7">
        <f>DATE(YEAR(m6_crossvalid[[#This Row],[cutoff]]),MONTH(m6_crossvalid[[#This Row],[cutoff]]),DAY(m6_crossvalid[[#This Row],[cutoff]]))</f>
        <v>45688</v>
      </c>
      <c r="B48" s="7">
        <f>DATE(YEAR(m6_crossvalid[[#This Row],[ds]]),MONTH(m6_crossvalid[[#This Row],[ds]]),DAY(m6_crossvalid[[#This Row],[ds]]))</f>
        <v>45704</v>
      </c>
      <c r="C48">
        <v>118.00000000000003</v>
      </c>
      <c r="D48" s="1">
        <v>45704.333333333336</v>
      </c>
      <c r="E48">
        <v>143.77431190809665</v>
      </c>
      <c r="F48">
        <v>74.600437696035613</v>
      </c>
      <c r="G48">
        <v>278.36289257013692</v>
      </c>
      <c r="H48" s="1">
        <v>45688.333333333336</v>
      </c>
    </row>
    <row r="49" spans="1:8" x14ac:dyDescent="0.25">
      <c r="A49" s="7">
        <f>DATE(YEAR(m6_crossvalid[[#This Row],[cutoff]]),MONTH(m6_crossvalid[[#This Row],[cutoff]]),DAY(m6_crossvalid[[#This Row],[cutoff]]))</f>
        <v>45688</v>
      </c>
      <c r="B49" s="7">
        <f>DATE(YEAR(m6_crossvalid[[#This Row],[ds]]),MONTH(m6_crossvalid[[#This Row],[ds]]),DAY(m6_crossvalid[[#This Row],[ds]]))</f>
        <v>45705</v>
      </c>
      <c r="C49">
        <v>2481.9999999999991</v>
      </c>
      <c r="D49" s="1">
        <v>45705.333333333336</v>
      </c>
      <c r="E49">
        <v>1829.5688324265816</v>
      </c>
      <c r="F49">
        <v>959.5408742608214</v>
      </c>
      <c r="G49">
        <v>3687.495791649877</v>
      </c>
      <c r="H49" s="1">
        <v>45688.333333333336</v>
      </c>
    </row>
    <row r="50" spans="1:8" x14ac:dyDescent="0.25">
      <c r="A50" s="7">
        <f>DATE(YEAR(m6_crossvalid[[#This Row],[cutoff]]),MONTH(m6_crossvalid[[#This Row],[cutoff]]),DAY(m6_crossvalid[[#This Row],[cutoff]]))</f>
        <v>45688</v>
      </c>
      <c r="B50" s="7">
        <f>DATE(YEAR(m6_crossvalid[[#This Row],[ds]]),MONTH(m6_crossvalid[[#This Row],[ds]]),DAY(m6_crossvalid[[#This Row],[ds]]))</f>
        <v>45706</v>
      </c>
      <c r="C50">
        <v>2913</v>
      </c>
      <c r="D50" s="1">
        <v>45706.333333333336</v>
      </c>
      <c r="E50">
        <v>2427.0645855516113</v>
      </c>
      <c r="F50">
        <v>1267.884596191167</v>
      </c>
      <c r="G50">
        <v>4594.6168848831985</v>
      </c>
      <c r="H50" s="1">
        <v>45688.333333333336</v>
      </c>
    </row>
    <row r="51" spans="1:8" x14ac:dyDescent="0.25">
      <c r="A51" s="7">
        <f>DATE(YEAR(m6_crossvalid[[#This Row],[cutoff]]),MONTH(m6_crossvalid[[#This Row],[cutoff]]),DAY(m6_crossvalid[[#This Row],[cutoff]]))</f>
        <v>45688</v>
      </c>
      <c r="B51" s="7">
        <f>DATE(YEAR(m6_crossvalid[[#This Row],[ds]]),MONTH(m6_crossvalid[[#This Row],[ds]]),DAY(m6_crossvalid[[#This Row],[ds]]))</f>
        <v>45707</v>
      </c>
      <c r="C51">
        <v>3105.9999999999995</v>
      </c>
      <c r="D51" s="1">
        <v>45707.333333333336</v>
      </c>
      <c r="E51">
        <v>2783.7553108133834</v>
      </c>
      <c r="F51">
        <v>1480.7956016622122</v>
      </c>
      <c r="G51">
        <v>5484.5876544806924</v>
      </c>
      <c r="H51" s="1">
        <v>45688.333333333336</v>
      </c>
    </row>
    <row r="52" spans="1:8" x14ac:dyDescent="0.25">
      <c r="A52" s="7">
        <f>DATE(YEAR(m6_crossvalid[[#This Row],[cutoff]]),MONTH(m6_crossvalid[[#This Row],[cutoff]]),DAY(m6_crossvalid[[#This Row],[cutoff]]))</f>
        <v>45688</v>
      </c>
      <c r="B52" s="7">
        <f>DATE(YEAR(m6_crossvalid[[#This Row],[ds]]),MONTH(m6_crossvalid[[#This Row],[ds]]),DAY(m6_crossvalid[[#This Row],[ds]]))</f>
        <v>45708</v>
      </c>
      <c r="C52">
        <v>3103.9999999999977</v>
      </c>
      <c r="D52" s="1">
        <v>45708.333333333336</v>
      </c>
      <c r="E52">
        <v>3199.5223709032302</v>
      </c>
      <c r="F52">
        <v>1638.5883148628691</v>
      </c>
      <c r="G52">
        <v>6123.0987362687247</v>
      </c>
      <c r="H52" s="1">
        <v>45688.333333333336</v>
      </c>
    </row>
    <row r="53" spans="1:8" x14ac:dyDescent="0.25">
      <c r="A53" s="7">
        <f>DATE(YEAR(m6_crossvalid[[#This Row],[cutoff]]),MONTH(m6_crossvalid[[#This Row],[cutoff]]),DAY(m6_crossvalid[[#This Row],[cutoff]]))</f>
        <v>45688</v>
      </c>
      <c r="B53" s="7">
        <f>DATE(YEAR(m6_crossvalid[[#This Row],[ds]]),MONTH(m6_crossvalid[[#This Row],[ds]]),DAY(m6_crossvalid[[#This Row],[ds]]))</f>
        <v>45709</v>
      </c>
      <c r="C53">
        <v>3308.9999999999977</v>
      </c>
      <c r="D53" s="1">
        <v>45709.333333333336</v>
      </c>
      <c r="E53">
        <v>2974.6027302304069</v>
      </c>
      <c r="F53">
        <v>1542.8309650089775</v>
      </c>
      <c r="G53">
        <v>5764.1453289416322</v>
      </c>
      <c r="H53" s="1">
        <v>45688.333333333336</v>
      </c>
    </row>
    <row r="54" spans="1:8" x14ac:dyDescent="0.25">
      <c r="A54" s="7">
        <f>DATE(YEAR(m6_crossvalid[[#This Row],[cutoff]]),MONTH(m6_crossvalid[[#This Row],[cutoff]]),DAY(m6_crossvalid[[#This Row],[cutoff]]))</f>
        <v>45688</v>
      </c>
      <c r="B54" s="7">
        <f>DATE(YEAR(m6_crossvalid[[#This Row],[ds]]),MONTH(m6_crossvalid[[#This Row],[ds]]),DAY(m6_crossvalid[[#This Row],[ds]]))</f>
        <v>45710</v>
      </c>
      <c r="C54">
        <v>731.99999999999989</v>
      </c>
      <c r="D54" s="1">
        <v>45710.333333333336</v>
      </c>
      <c r="E54">
        <v>906.06070293245432</v>
      </c>
      <c r="F54">
        <v>480.31187520176286</v>
      </c>
      <c r="G54">
        <v>1780.6732307647869</v>
      </c>
      <c r="H54" s="1">
        <v>45688.333333333336</v>
      </c>
    </row>
    <row r="55" spans="1:8" x14ac:dyDescent="0.25">
      <c r="A55" s="7">
        <f>DATE(YEAR(m6_crossvalid[[#This Row],[cutoff]]),MONTH(m6_crossvalid[[#This Row],[cutoff]]),DAY(m6_crossvalid[[#This Row],[cutoff]]))</f>
        <v>45688</v>
      </c>
      <c r="B55" s="7">
        <f>DATE(YEAR(m6_crossvalid[[#This Row],[ds]]),MONTH(m6_crossvalid[[#This Row],[ds]]),DAY(m6_crossvalid[[#This Row],[ds]]))</f>
        <v>45711</v>
      </c>
      <c r="C55">
        <v>201.99999999999997</v>
      </c>
      <c r="D55" s="1">
        <v>45711.333333333336</v>
      </c>
      <c r="E55">
        <v>358.57147263589275</v>
      </c>
      <c r="F55">
        <v>186.17383878518049</v>
      </c>
      <c r="G55">
        <v>680.09854964038459</v>
      </c>
      <c r="H55" s="1">
        <v>45688.333333333336</v>
      </c>
    </row>
    <row r="56" spans="1:8" x14ac:dyDescent="0.25">
      <c r="A56" s="7">
        <f>DATE(YEAR(m6_crossvalid[[#This Row],[cutoff]]),MONTH(m6_crossvalid[[#This Row],[cutoff]]),DAY(m6_crossvalid[[#This Row],[cutoff]]))</f>
        <v>45688</v>
      </c>
      <c r="B56" s="7">
        <f>DATE(YEAR(m6_crossvalid[[#This Row],[ds]]),MONTH(m6_crossvalid[[#This Row],[ds]]),DAY(m6_crossvalid[[#This Row],[ds]]))</f>
        <v>45712</v>
      </c>
      <c r="C56">
        <v>3544.9999999999995</v>
      </c>
      <c r="D56" s="1">
        <v>45712.333333333336</v>
      </c>
      <c r="E56">
        <v>4125.0633788723098</v>
      </c>
      <c r="F56">
        <v>2162.6581231775094</v>
      </c>
      <c r="G56">
        <v>7973.4069517716025</v>
      </c>
      <c r="H56" s="1">
        <v>45688.333333333336</v>
      </c>
    </row>
    <row r="57" spans="1:8" x14ac:dyDescent="0.25">
      <c r="A57" s="7">
        <f>DATE(YEAR(m6_crossvalid[[#This Row],[cutoff]]),MONTH(m6_crossvalid[[#This Row],[cutoff]]),DAY(m6_crossvalid[[#This Row],[cutoff]]))</f>
        <v>45688</v>
      </c>
      <c r="B57" s="7">
        <f>DATE(YEAR(m6_crossvalid[[#This Row],[ds]]),MONTH(m6_crossvalid[[#This Row],[ds]]),DAY(m6_crossvalid[[#This Row],[ds]]))</f>
        <v>45713</v>
      </c>
      <c r="C57">
        <v>4867.9999999999964</v>
      </c>
      <c r="D57" s="1">
        <v>45713.333333333336</v>
      </c>
      <c r="E57">
        <v>5176.5760624911754</v>
      </c>
      <c r="F57">
        <v>2744.1247024017734</v>
      </c>
      <c r="G57">
        <v>9709.1654239848231</v>
      </c>
      <c r="H57" s="1">
        <v>45688.333333333336</v>
      </c>
    </row>
    <row r="58" spans="1:8" x14ac:dyDescent="0.25">
      <c r="A58" s="7">
        <f>DATE(YEAR(m6_crossvalid[[#This Row],[cutoff]]),MONTH(m6_crossvalid[[#This Row],[cutoff]]),DAY(m6_crossvalid[[#This Row],[cutoff]]))</f>
        <v>45688</v>
      </c>
      <c r="B58" s="7">
        <f>DATE(YEAR(m6_crossvalid[[#This Row],[ds]]),MONTH(m6_crossvalid[[#This Row],[ds]]),DAY(m6_crossvalid[[#This Row],[ds]]))</f>
        <v>45714</v>
      </c>
      <c r="C58">
        <v>6187.0000000000055</v>
      </c>
      <c r="D58" s="1">
        <v>45714.333333333336</v>
      </c>
      <c r="E58">
        <v>6055.0925249868014</v>
      </c>
      <c r="F58">
        <v>3168.0200123628524</v>
      </c>
      <c r="G58">
        <v>11292.976691686476</v>
      </c>
      <c r="H58" s="1">
        <v>45688.333333333336</v>
      </c>
    </row>
    <row r="59" spans="1:8" x14ac:dyDescent="0.25">
      <c r="A59" s="7">
        <f>DATE(YEAR(m6_crossvalid[[#This Row],[cutoff]]),MONTH(m6_crossvalid[[#This Row],[cutoff]]),DAY(m6_crossvalid[[#This Row],[cutoff]]))</f>
        <v>45688</v>
      </c>
      <c r="B59" s="7">
        <f>DATE(YEAR(m6_crossvalid[[#This Row],[ds]]),MONTH(m6_crossvalid[[#This Row],[ds]]),DAY(m6_crossvalid[[#This Row],[ds]]))</f>
        <v>45715</v>
      </c>
      <c r="C59">
        <v>8082.0000000000036</v>
      </c>
      <c r="D59" s="1">
        <v>45715.333333333336</v>
      </c>
      <c r="E59">
        <v>14126.087023051923</v>
      </c>
      <c r="F59">
        <v>7154.4274456786743</v>
      </c>
      <c r="G59">
        <v>26324.797042941569</v>
      </c>
      <c r="H59" s="1">
        <v>45688.333333333336</v>
      </c>
    </row>
    <row r="60" spans="1:8" x14ac:dyDescent="0.25">
      <c r="A60" s="7">
        <f>DATE(YEAR(m6_crossvalid[[#This Row],[cutoff]]),MONTH(m6_crossvalid[[#This Row],[cutoff]]),DAY(m6_crossvalid[[#This Row],[cutoff]]))</f>
        <v>45688</v>
      </c>
      <c r="B60" s="7">
        <f>DATE(YEAR(m6_crossvalid[[#This Row],[ds]]),MONTH(m6_crossvalid[[#This Row],[ds]]),DAY(m6_crossvalid[[#This Row],[ds]]))</f>
        <v>45716</v>
      </c>
      <c r="C60">
        <v>14838.000000000013</v>
      </c>
      <c r="D60" s="1">
        <v>45716.333333333336</v>
      </c>
      <c r="E60">
        <v>20656.813601559788</v>
      </c>
      <c r="F60">
        <v>11047.768858152116</v>
      </c>
      <c r="G60">
        <v>41016.953330589844</v>
      </c>
      <c r="H60" s="1">
        <v>45688.333333333336</v>
      </c>
    </row>
    <row r="61" spans="1:8" x14ac:dyDescent="0.25">
      <c r="A61" s="7">
        <f>DATE(YEAR(m6_crossvalid[[#This Row],[cutoff]]),MONTH(m6_crossvalid[[#This Row],[cutoff]]),DAY(m6_crossvalid[[#This Row],[cutoff]]))</f>
        <v>45688</v>
      </c>
      <c r="B61" s="7">
        <f>DATE(YEAR(m6_crossvalid[[#This Row],[ds]]),MONTH(m6_crossvalid[[#This Row],[ds]]),DAY(m6_crossvalid[[#This Row],[ds]]))</f>
        <v>45717</v>
      </c>
      <c r="C61">
        <v>73.999999999999972</v>
      </c>
      <c r="D61" s="1">
        <v>45717.333333333336</v>
      </c>
      <c r="E61">
        <v>266.40260261720829</v>
      </c>
      <c r="F61">
        <v>134.54416861430784</v>
      </c>
      <c r="G61">
        <v>500.56730659407117</v>
      </c>
      <c r="H61" s="1">
        <v>45688.333333333336</v>
      </c>
    </row>
    <row r="62" spans="1:8" x14ac:dyDescent="0.25">
      <c r="A62" s="7">
        <f>DATE(YEAR(m6_crossvalid[[#This Row],[cutoff]]),MONTH(m6_crossvalid[[#This Row],[cutoff]]),DAY(m6_crossvalid[[#This Row],[cutoff]]))</f>
        <v>45688</v>
      </c>
      <c r="B62" s="7">
        <f>DATE(YEAR(m6_crossvalid[[#This Row],[ds]]),MONTH(m6_crossvalid[[#This Row],[ds]]),DAY(m6_crossvalid[[#This Row],[ds]]))</f>
        <v>45718</v>
      </c>
      <c r="C62">
        <v>26.999999999999996</v>
      </c>
      <c r="D62" s="1">
        <v>45718.333333333336</v>
      </c>
      <c r="E62">
        <v>73.533233804296444</v>
      </c>
      <c r="F62">
        <v>38.851130075406687</v>
      </c>
      <c r="G62">
        <v>142.71489842731665</v>
      </c>
      <c r="H62" s="1">
        <v>45688.333333333336</v>
      </c>
    </row>
    <row r="63" spans="1:8" x14ac:dyDescent="0.25">
      <c r="A63" s="7">
        <f>DATE(YEAR(m6_crossvalid[[#This Row],[cutoff]]),MONTH(m6_crossvalid[[#This Row],[cutoff]]),DAY(m6_crossvalid[[#This Row],[cutoff]]))</f>
        <v>45688</v>
      </c>
      <c r="B63" s="7">
        <f>DATE(YEAR(m6_crossvalid[[#This Row],[ds]]),MONTH(m6_crossvalid[[#This Row],[ds]]),DAY(m6_crossvalid[[#This Row],[ds]]))</f>
        <v>45719</v>
      </c>
      <c r="C63">
        <v>378</v>
      </c>
      <c r="D63" s="1">
        <v>45719.333333333336</v>
      </c>
      <c r="E63">
        <v>984.18859485577923</v>
      </c>
      <c r="F63">
        <v>512.52168651261775</v>
      </c>
      <c r="G63">
        <v>1888.987254572234</v>
      </c>
      <c r="H63" s="1">
        <v>45688.333333333336</v>
      </c>
    </row>
    <row r="64" spans="1:8" x14ac:dyDescent="0.25">
      <c r="A64" s="7">
        <f>DATE(YEAR(m6_crossvalid[[#This Row],[cutoff]]),MONTH(m6_crossvalid[[#This Row],[cutoff]]),DAY(m6_crossvalid[[#This Row],[cutoff]]))</f>
        <v>45716</v>
      </c>
      <c r="B64" s="7">
        <f>DATE(YEAR(m6_crossvalid[[#This Row],[ds]]),MONTH(m6_crossvalid[[#This Row],[ds]]),DAY(m6_crossvalid[[#This Row],[ds]]))</f>
        <v>45717</v>
      </c>
      <c r="C64">
        <v>73.999999999999972</v>
      </c>
      <c r="D64" s="1">
        <v>45717.333333333336</v>
      </c>
      <c r="E64">
        <v>269.56905887099441</v>
      </c>
      <c r="F64">
        <v>133.16448556648186</v>
      </c>
      <c r="G64">
        <v>516.37765083473073</v>
      </c>
      <c r="H64" s="1">
        <v>45716.333333333336</v>
      </c>
    </row>
    <row r="65" spans="1:8" x14ac:dyDescent="0.25">
      <c r="A65" s="7">
        <f>DATE(YEAR(m6_crossvalid[[#This Row],[cutoff]]),MONTH(m6_crossvalid[[#This Row],[cutoff]]),DAY(m6_crossvalid[[#This Row],[cutoff]]))</f>
        <v>45716</v>
      </c>
      <c r="B65" s="7">
        <f>DATE(YEAR(m6_crossvalid[[#This Row],[ds]]),MONTH(m6_crossvalid[[#This Row],[ds]]),DAY(m6_crossvalid[[#This Row],[ds]]))</f>
        <v>45718</v>
      </c>
      <c r="C65">
        <v>26.999999999999996</v>
      </c>
      <c r="D65" s="1">
        <v>45718.333333333336</v>
      </c>
      <c r="E65">
        <v>70.868278835121956</v>
      </c>
      <c r="F65">
        <v>37.232903493033767</v>
      </c>
      <c r="G65">
        <v>135.23056001558317</v>
      </c>
      <c r="H65" s="1">
        <v>45716.333333333336</v>
      </c>
    </row>
    <row r="66" spans="1:8" x14ac:dyDescent="0.25">
      <c r="A66" s="7">
        <f>DATE(YEAR(m6_crossvalid[[#This Row],[cutoff]]),MONTH(m6_crossvalid[[#This Row],[cutoff]]),DAY(m6_crossvalid[[#This Row],[cutoff]]))</f>
        <v>45716</v>
      </c>
      <c r="B66" s="7">
        <f>DATE(YEAR(m6_crossvalid[[#This Row],[ds]]),MONTH(m6_crossvalid[[#This Row],[ds]]),DAY(m6_crossvalid[[#This Row],[ds]]))</f>
        <v>45719</v>
      </c>
      <c r="C66">
        <v>378</v>
      </c>
      <c r="D66" s="1">
        <v>45719.333333333336</v>
      </c>
      <c r="E66">
        <v>1001.494032015741</v>
      </c>
      <c r="F66">
        <v>519.77695457762036</v>
      </c>
      <c r="G66">
        <v>1918.4037665078633</v>
      </c>
      <c r="H66" s="1">
        <v>45716.333333333336</v>
      </c>
    </row>
    <row r="67" spans="1:8" x14ac:dyDescent="0.25">
      <c r="A67" s="7">
        <f>DATE(YEAR(m6_crossvalid[[#This Row],[cutoff]]),MONTH(m6_crossvalid[[#This Row],[cutoff]]),DAY(m6_crossvalid[[#This Row],[cutoff]]))</f>
        <v>45716</v>
      </c>
      <c r="B67" s="7">
        <f>DATE(YEAR(m6_crossvalid[[#This Row],[ds]]),MONTH(m6_crossvalid[[#This Row],[ds]]),DAY(m6_crossvalid[[#This Row],[ds]]))</f>
        <v>45720</v>
      </c>
      <c r="C67">
        <v>665.99999999999977</v>
      </c>
      <c r="D67" s="1">
        <v>45720.333333333336</v>
      </c>
      <c r="E67">
        <v>982.67702618436374</v>
      </c>
      <c r="F67">
        <v>543.22868157048674</v>
      </c>
      <c r="G67">
        <v>1845.506939940647</v>
      </c>
      <c r="H67" s="1">
        <v>45716.333333333336</v>
      </c>
    </row>
    <row r="68" spans="1:8" x14ac:dyDescent="0.25">
      <c r="A68" s="7">
        <f>DATE(YEAR(m6_crossvalid[[#This Row],[cutoff]]),MONTH(m6_crossvalid[[#This Row],[cutoff]]),DAY(m6_crossvalid[[#This Row],[cutoff]]))</f>
        <v>45716</v>
      </c>
      <c r="B68" s="7">
        <f>DATE(YEAR(m6_crossvalid[[#This Row],[ds]]),MONTH(m6_crossvalid[[#This Row],[ds]]),DAY(m6_crossvalid[[#This Row],[ds]]))</f>
        <v>45721</v>
      </c>
      <c r="C68">
        <v>793.00000000000034</v>
      </c>
      <c r="D68" s="1">
        <v>45721.333333333336</v>
      </c>
      <c r="E68">
        <v>949.00207766113738</v>
      </c>
      <c r="F68">
        <v>484.26846480772451</v>
      </c>
      <c r="G68">
        <v>1801.8929388656504</v>
      </c>
      <c r="H68" s="1">
        <v>45716.333333333336</v>
      </c>
    </row>
    <row r="69" spans="1:8" x14ac:dyDescent="0.25">
      <c r="A69" s="7">
        <f>DATE(YEAR(m6_crossvalid[[#This Row],[cutoff]]),MONTH(m6_crossvalid[[#This Row],[cutoff]]),DAY(m6_crossvalid[[#This Row],[cutoff]]))</f>
        <v>45716</v>
      </c>
      <c r="B69" s="7">
        <f>DATE(YEAR(m6_crossvalid[[#This Row],[ds]]),MONTH(m6_crossvalid[[#This Row],[ds]]),DAY(m6_crossvalid[[#This Row],[ds]]))</f>
        <v>45722</v>
      </c>
      <c r="C69">
        <v>1426</v>
      </c>
      <c r="D69" s="1">
        <v>45722.333333333336</v>
      </c>
      <c r="E69">
        <v>1076.4283977475727</v>
      </c>
      <c r="F69">
        <v>572.19928321567772</v>
      </c>
      <c r="G69">
        <v>2036.4466452931117</v>
      </c>
      <c r="H69" s="1">
        <v>45716.333333333336</v>
      </c>
    </row>
    <row r="70" spans="1:8" x14ac:dyDescent="0.25">
      <c r="A70" s="7">
        <f>DATE(YEAR(m6_crossvalid[[#This Row],[cutoff]]),MONTH(m6_crossvalid[[#This Row],[cutoff]]),DAY(m6_crossvalid[[#This Row],[cutoff]]))</f>
        <v>45716</v>
      </c>
      <c r="B70" s="7">
        <f>DATE(YEAR(m6_crossvalid[[#This Row],[ds]]),MONTH(m6_crossvalid[[#This Row],[ds]]),DAY(m6_crossvalid[[#This Row],[ds]]))</f>
        <v>45723</v>
      </c>
      <c r="C70">
        <v>1673.9999999999998</v>
      </c>
      <c r="D70" s="1">
        <v>45723.333333333336</v>
      </c>
      <c r="E70">
        <v>1079.0121444687329</v>
      </c>
      <c r="F70">
        <v>564.9948453485124</v>
      </c>
      <c r="G70">
        <v>2059.7967074621733</v>
      </c>
      <c r="H70" s="1">
        <v>45716.333333333336</v>
      </c>
    </row>
    <row r="71" spans="1:8" x14ac:dyDescent="0.25">
      <c r="A71" s="7">
        <f>DATE(YEAR(m6_crossvalid[[#This Row],[cutoff]]),MONTH(m6_crossvalid[[#This Row],[cutoff]]),DAY(m6_crossvalid[[#This Row],[cutoff]]))</f>
        <v>45716</v>
      </c>
      <c r="B71" s="7">
        <f>DATE(YEAR(m6_crossvalid[[#This Row],[ds]]),MONTH(m6_crossvalid[[#This Row],[ds]]),DAY(m6_crossvalid[[#This Row],[ds]]))</f>
        <v>45724</v>
      </c>
      <c r="C71">
        <v>309.99999999999994</v>
      </c>
      <c r="D71" s="1">
        <v>45724.333333333336</v>
      </c>
      <c r="E71">
        <v>368.69291081183729</v>
      </c>
      <c r="F71">
        <v>196.76710592309135</v>
      </c>
      <c r="G71">
        <v>688.71601401147575</v>
      </c>
      <c r="H71" s="1">
        <v>45716.333333333336</v>
      </c>
    </row>
    <row r="72" spans="1:8" x14ac:dyDescent="0.25">
      <c r="A72" s="7">
        <f>DATE(YEAR(m6_crossvalid[[#This Row],[cutoff]]),MONTH(m6_crossvalid[[#This Row],[cutoff]]),DAY(m6_crossvalid[[#This Row],[cutoff]]))</f>
        <v>45716</v>
      </c>
      <c r="B72" s="7">
        <f>DATE(YEAR(m6_crossvalid[[#This Row],[ds]]),MONTH(m6_crossvalid[[#This Row],[ds]]),DAY(m6_crossvalid[[#This Row],[ds]]))</f>
        <v>45725</v>
      </c>
      <c r="C72">
        <v>109.00000000000004</v>
      </c>
      <c r="D72" s="1">
        <v>45725.333333333336</v>
      </c>
      <c r="E72">
        <v>143.11527797920974</v>
      </c>
      <c r="F72">
        <v>74.863592274902544</v>
      </c>
      <c r="G72">
        <v>265.08402574394933</v>
      </c>
      <c r="H72" s="1">
        <v>45716.333333333336</v>
      </c>
    </row>
    <row r="73" spans="1:8" x14ac:dyDescent="0.25">
      <c r="A73" s="7">
        <f>DATE(YEAR(m6_crossvalid[[#This Row],[cutoff]]),MONTH(m6_crossvalid[[#This Row],[cutoff]]),DAY(m6_crossvalid[[#This Row],[cutoff]]))</f>
        <v>45716</v>
      </c>
      <c r="B73" s="7">
        <f>DATE(YEAR(m6_crossvalid[[#This Row],[ds]]),MONTH(m6_crossvalid[[#This Row],[ds]]),DAY(m6_crossvalid[[#This Row],[ds]]))</f>
        <v>45726</v>
      </c>
      <c r="C73">
        <v>1899.9999999999993</v>
      </c>
      <c r="D73" s="1">
        <v>45726.333333333336</v>
      </c>
      <c r="E73">
        <v>1604.166595694408</v>
      </c>
      <c r="F73">
        <v>839.1847226345717</v>
      </c>
      <c r="G73">
        <v>3103.6694974552088</v>
      </c>
      <c r="H73" s="1">
        <v>45716.333333333336</v>
      </c>
    </row>
    <row r="74" spans="1:8" x14ac:dyDescent="0.25">
      <c r="A74" s="7">
        <f>DATE(YEAR(m6_crossvalid[[#This Row],[cutoff]]),MONTH(m6_crossvalid[[#This Row],[cutoff]]),DAY(m6_crossvalid[[#This Row],[cutoff]]))</f>
        <v>45716</v>
      </c>
      <c r="B74" s="7">
        <f>DATE(YEAR(m6_crossvalid[[#This Row],[ds]]),MONTH(m6_crossvalid[[#This Row],[ds]]),DAY(m6_crossvalid[[#This Row],[ds]]))</f>
        <v>45727</v>
      </c>
      <c r="C74">
        <v>2294.0000000000005</v>
      </c>
      <c r="D74" s="1">
        <v>45727.333333333336</v>
      </c>
      <c r="E74">
        <v>1899.146907943586</v>
      </c>
      <c r="F74">
        <v>990.36791014877087</v>
      </c>
      <c r="G74">
        <v>3480.2447439981661</v>
      </c>
      <c r="H74" s="1">
        <v>45716.333333333336</v>
      </c>
    </row>
    <row r="75" spans="1:8" x14ac:dyDescent="0.25">
      <c r="A75" s="7">
        <f>DATE(YEAR(m6_crossvalid[[#This Row],[cutoff]]),MONTH(m6_crossvalid[[#This Row],[cutoff]]),DAY(m6_crossvalid[[#This Row],[cutoff]]))</f>
        <v>45716</v>
      </c>
      <c r="B75" s="7">
        <f>DATE(YEAR(m6_crossvalid[[#This Row],[ds]]),MONTH(m6_crossvalid[[#This Row],[ds]]),DAY(m6_crossvalid[[#This Row],[ds]]))</f>
        <v>45728</v>
      </c>
      <c r="C75">
        <v>2575.9999999999995</v>
      </c>
      <c r="D75" s="1">
        <v>45728.333333333336</v>
      </c>
      <c r="E75">
        <v>2057.0272460265128</v>
      </c>
      <c r="F75">
        <v>1061.5765744025375</v>
      </c>
      <c r="G75">
        <v>3854.192409016593</v>
      </c>
      <c r="H75" s="1">
        <v>45716.333333333336</v>
      </c>
    </row>
    <row r="76" spans="1:8" x14ac:dyDescent="0.25">
      <c r="A76" s="7">
        <f>DATE(YEAR(m6_crossvalid[[#This Row],[cutoff]]),MONTH(m6_crossvalid[[#This Row],[cutoff]]),DAY(m6_crossvalid[[#This Row],[cutoff]]))</f>
        <v>45716</v>
      </c>
      <c r="B76" s="7">
        <f>DATE(YEAR(m6_crossvalid[[#This Row],[ds]]),MONTH(m6_crossvalid[[#This Row],[ds]]),DAY(m6_crossvalid[[#This Row],[ds]]))</f>
        <v>45729</v>
      </c>
      <c r="C76">
        <v>2235.0000000000005</v>
      </c>
      <c r="D76" s="1">
        <v>45729.333333333336</v>
      </c>
      <c r="E76">
        <v>2402.4926866128608</v>
      </c>
      <c r="F76">
        <v>1244.8687565942582</v>
      </c>
      <c r="G76">
        <v>4587.4988012844851</v>
      </c>
      <c r="H76" s="1">
        <v>45716.333333333336</v>
      </c>
    </row>
    <row r="77" spans="1:8" x14ac:dyDescent="0.25">
      <c r="A77" s="7">
        <f>DATE(YEAR(m6_crossvalid[[#This Row],[cutoff]]),MONTH(m6_crossvalid[[#This Row],[cutoff]]),DAY(m6_crossvalid[[#This Row],[cutoff]]))</f>
        <v>45716</v>
      </c>
      <c r="B77" s="7">
        <f>DATE(YEAR(m6_crossvalid[[#This Row],[ds]]),MONTH(m6_crossvalid[[#This Row],[ds]]),DAY(m6_crossvalid[[#This Row],[ds]]))</f>
        <v>45730</v>
      </c>
      <c r="C77">
        <v>3817.9999999999991</v>
      </c>
      <c r="D77" s="1">
        <v>45730.333333333336</v>
      </c>
      <c r="E77">
        <v>2362.6279205732121</v>
      </c>
      <c r="F77">
        <v>1263.3854130561617</v>
      </c>
      <c r="G77">
        <v>4680.7710105555698</v>
      </c>
      <c r="H77" s="1">
        <v>45716.333333333336</v>
      </c>
    </row>
    <row r="78" spans="1:8" x14ac:dyDescent="0.25">
      <c r="A78" s="7">
        <f>DATE(YEAR(m6_crossvalid[[#This Row],[cutoff]]),MONTH(m6_crossvalid[[#This Row],[cutoff]]),DAY(m6_crossvalid[[#This Row],[cutoff]]))</f>
        <v>45716</v>
      </c>
      <c r="B78" s="7">
        <f>DATE(YEAR(m6_crossvalid[[#This Row],[ds]]),MONTH(m6_crossvalid[[#This Row],[ds]]),DAY(m6_crossvalid[[#This Row],[ds]]))</f>
        <v>45731</v>
      </c>
      <c r="C78">
        <v>927.00000000000011</v>
      </c>
      <c r="D78" s="1">
        <v>45731.333333333336</v>
      </c>
      <c r="E78">
        <v>424.1170113912371</v>
      </c>
      <c r="F78">
        <v>226.96914865672167</v>
      </c>
      <c r="G78">
        <v>824.88262156152484</v>
      </c>
      <c r="H78" s="1">
        <v>45716.333333333336</v>
      </c>
    </row>
    <row r="79" spans="1:8" x14ac:dyDescent="0.25">
      <c r="A79" s="7">
        <f>DATE(YEAR(m6_crossvalid[[#This Row],[cutoff]]),MONTH(m6_crossvalid[[#This Row],[cutoff]]),DAY(m6_crossvalid[[#This Row],[cutoff]]))</f>
        <v>45716</v>
      </c>
      <c r="B79" s="7">
        <f>DATE(YEAR(m6_crossvalid[[#This Row],[ds]]),MONTH(m6_crossvalid[[#This Row],[ds]]),DAY(m6_crossvalid[[#This Row],[ds]]))</f>
        <v>45732</v>
      </c>
      <c r="C79">
        <v>262.99999999999994</v>
      </c>
      <c r="D79" s="1">
        <v>45732.333333333336</v>
      </c>
      <c r="E79">
        <v>172.8029904965947</v>
      </c>
      <c r="F79">
        <v>88.504907164838244</v>
      </c>
      <c r="G79">
        <v>342.20556966780731</v>
      </c>
      <c r="H79" s="1">
        <v>45716.333333333336</v>
      </c>
    </row>
    <row r="80" spans="1:8" x14ac:dyDescent="0.25">
      <c r="A80" s="7">
        <f>DATE(YEAR(m6_crossvalid[[#This Row],[cutoff]]),MONTH(m6_crossvalid[[#This Row],[cutoff]]),DAY(m6_crossvalid[[#This Row],[cutoff]]))</f>
        <v>45716</v>
      </c>
      <c r="B80" s="7">
        <f>DATE(YEAR(m6_crossvalid[[#This Row],[ds]]),MONTH(m6_crossvalid[[#This Row],[ds]]),DAY(m6_crossvalid[[#This Row],[ds]]))</f>
        <v>45733</v>
      </c>
      <c r="C80">
        <v>4812</v>
      </c>
      <c r="D80" s="1">
        <v>45733.333333333336</v>
      </c>
      <c r="E80">
        <v>2112.8859882720817</v>
      </c>
      <c r="F80">
        <v>1124.0460820988665</v>
      </c>
      <c r="G80">
        <v>4000.8327986728409</v>
      </c>
      <c r="H80" s="1">
        <v>45716.333333333336</v>
      </c>
    </row>
    <row r="81" spans="1:8" x14ac:dyDescent="0.25">
      <c r="A81" s="7">
        <f>DATE(YEAR(m6_crossvalid[[#This Row],[cutoff]]),MONTH(m6_crossvalid[[#This Row],[cutoff]]),DAY(m6_crossvalid[[#This Row],[cutoff]]))</f>
        <v>45716</v>
      </c>
      <c r="B81" s="7">
        <f>DATE(YEAR(m6_crossvalid[[#This Row],[ds]]),MONTH(m6_crossvalid[[#This Row],[ds]]),DAY(m6_crossvalid[[#This Row],[ds]]))</f>
        <v>45734</v>
      </c>
      <c r="C81">
        <v>1459.0000000000002</v>
      </c>
      <c r="D81" s="1">
        <v>45734.333333333336</v>
      </c>
      <c r="E81">
        <v>330.24352769787612</v>
      </c>
      <c r="F81">
        <v>172.02309558658146</v>
      </c>
      <c r="G81">
        <v>638.35468628542219</v>
      </c>
      <c r="H81" s="1">
        <v>45716.333333333336</v>
      </c>
    </row>
    <row r="82" spans="1:8" x14ac:dyDescent="0.25">
      <c r="A82" s="7">
        <f>DATE(YEAR(m6_crossvalid[[#This Row],[cutoff]]),MONTH(m6_crossvalid[[#This Row],[cutoff]]),DAY(m6_crossvalid[[#This Row],[cutoff]]))</f>
        <v>45716</v>
      </c>
      <c r="B82" s="7">
        <f>DATE(YEAR(m6_crossvalid[[#This Row],[ds]]),MONTH(m6_crossvalid[[#This Row],[ds]]),DAY(m6_crossvalid[[#This Row],[ds]]))</f>
        <v>45735</v>
      </c>
      <c r="C82">
        <v>3508.0000000000027</v>
      </c>
      <c r="D82" s="1">
        <v>45735.333333333336</v>
      </c>
      <c r="E82">
        <v>2980.2904194780926</v>
      </c>
      <c r="F82">
        <v>1512.9438377207696</v>
      </c>
      <c r="G82">
        <v>5702.6054289159074</v>
      </c>
      <c r="H82" s="1">
        <v>45716.333333333336</v>
      </c>
    </row>
    <row r="83" spans="1:8" x14ac:dyDescent="0.25">
      <c r="A83" s="7">
        <f>DATE(YEAR(m6_crossvalid[[#This Row],[cutoff]]),MONTH(m6_crossvalid[[#This Row],[cutoff]]),DAY(m6_crossvalid[[#This Row],[cutoff]]))</f>
        <v>45716</v>
      </c>
      <c r="B83" s="7">
        <f>DATE(YEAR(m6_crossvalid[[#This Row],[ds]]),MONTH(m6_crossvalid[[#This Row],[ds]]),DAY(m6_crossvalid[[#This Row],[ds]]))</f>
        <v>45736</v>
      </c>
      <c r="C83">
        <v>3947.0000000000018</v>
      </c>
      <c r="D83" s="1">
        <v>45736.333333333336</v>
      </c>
      <c r="E83">
        <v>3357.8275689058223</v>
      </c>
      <c r="F83">
        <v>1734.4420524078503</v>
      </c>
      <c r="G83">
        <v>6590.324856014915</v>
      </c>
      <c r="H83" s="1">
        <v>45716.333333333336</v>
      </c>
    </row>
    <row r="84" spans="1:8" x14ac:dyDescent="0.25">
      <c r="A84" s="7">
        <f>DATE(YEAR(m6_crossvalid[[#This Row],[cutoff]]),MONTH(m6_crossvalid[[#This Row],[cutoff]]),DAY(m6_crossvalid[[#This Row],[cutoff]]))</f>
        <v>45716</v>
      </c>
      <c r="B84" s="7">
        <f>DATE(YEAR(m6_crossvalid[[#This Row],[ds]]),MONTH(m6_crossvalid[[#This Row],[ds]]),DAY(m6_crossvalid[[#This Row],[ds]]))</f>
        <v>45737</v>
      </c>
      <c r="C84">
        <v>4279.9999999999982</v>
      </c>
      <c r="D84" s="1">
        <v>45737.333333333336</v>
      </c>
      <c r="E84">
        <v>3148.1185882291938</v>
      </c>
      <c r="F84">
        <v>1624.0226830363463</v>
      </c>
      <c r="G84">
        <v>5680.5594315266062</v>
      </c>
      <c r="H84" s="1">
        <v>45716.333333333336</v>
      </c>
    </row>
    <row r="85" spans="1:8" x14ac:dyDescent="0.25">
      <c r="A85" s="7">
        <f>DATE(YEAR(m6_crossvalid[[#This Row],[cutoff]]),MONTH(m6_crossvalid[[#This Row],[cutoff]]),DAY(m6_crossvalid[[#This Row],[cutoff]]))</f>
        <v>45716</v>
      </c>
      <c r="B85" s="7">
        <f>DATE(YEAR(m6_crossvalid[[#This Row],[ds]]),MONTH(m6_crossvalid[[#This Row],[ds]]),DAY(m6_crossvalid[[#This Row],[ds]]))</f>
        <v>45738</v>
      </c>
      <c r="C85">
        <v>1076</v>
      </c>
      <c r="D85" s="1">
        <v>45738.333333333336</v>
      </c>
      <c r="E85">
        <v>555.59428057519904</v>
      </c>
      <c r="F85">
        <v>294.04257877834317</v>
      </c>
      <c r="G85">
        <v>1051.3407101858345</v>
      </c>
      <c r="H85" s="1">
        <v>45716.333333333336</v>
      </c>
    </row>
    <row r="86" spans="1:8" x14ac:dyDescent="0.25">
      <c r="A86" s="7">
        <f>DATE(YEAR(m6_crossvalid[[#This Row],[cutoff]]),MONTH(m6_crossvalid[[#This Row],[cutoff]]),DAY(m6_crossvalid[[#This Row],[cutoff]]))</f>
        <v>45716</v>
      </c>
      <c r="B86" s="7">
        <f>DATE(YEAR(m6_crossvalid[[#This Row],[ds]]),MONTH(m6_crossvalid[[#This Row],[ds]]),DAY(m6_crossvalid[[#This Row],[ds]]))</f>
        <v>45739</v>
      </c>
      <c r="C86">
        <v>301</v>
      </c>
      <c r="D86" s="1">
        <v>45739.333333333336</v>
      </c>
      <c r="E86">
        <v>229.45512804193882</v>
      </c>
      <c r="F86">
        <v>125.68012963016284</v>
      </c>
      <c r="G86">
        <v>456.16008153273935</v>
      </c>
      <c r="H86" s="1">
        <v>45716.333333333336</v>
      </c>
    </row>
    <row r="87" spans="1:8" x14ac:dyDescent="0.25">
      <c r="A87" s="7">
        <f>DATE(YEAR(m6_crossvalid[[#This Row],[cutoff]]),MONTH(m6_crossvalid[[#This Row],[cutoff]]),DAY(m6_crossvalid[[#This Row],[cutoff]]))</f>
        <v>45716</v>
      </c>
      <c r="B87" s="7">
        <f>DATE(YEAR(m6_crossvalid[[#This Row],[ds]]),MONTH(m6_crossvalid[[#This Row],[ds]]),DAY(m6_crossvalid[[#This Row],[ds]]))</f>
        <v>45740</v>
      </c>
      <c r="C87">
        <v>4292</v>
      </c>
      <c r="D87" s="1">
        <v>45740.333333333336</v>
      </c>
      <c r="E87">
        <v>2804.7871360989311</v>
      </c>
      <c r="F87">
        <v>1490.0471331375852</v>
      </c>
      <c r="G87">
        <v>5333.1156067683614</v>
      </c>
      <c r="H87" s="1">
        <v>45716.333333333336</v>
      </c>
    </row>
    <row r="88" spans="1:8" x14ac:dyDescent="0.25">
      <c r="A88" s="7">
        <f>DATE(YEAR(m6_crossvalid[[#This Row],[cutoff]]),MONTH(m6_crossvalid[[#This Row],[cutoff]]),DAY(m6_crossvalid[[#This Row],[cutoff]]))</f>
        <v>45716</v>
      </c>
      <c r="B88" s="7">
        <f>DATE(YEAR(m6_crossvalid[[#This Row],[ds]]),MONTH(m6_crossvalid[[#This Row],[ds]]),DAY(m6_crossvalid[[#This Row],[ds]]))</f>
        <v>45741</v>
      </c>
      <c r="C88">
        <v>5571.0000000000009</v>
      </c>
      <c r="D88" s="1">
        <v>45741.333333333336</v>
      </c>
      <c r="E88">
        <v>5981.7294412053025</v>
      </c>
      <c r="F88">
        <v>3070.4519310688033</v>
      </c>
      <c r="G88">
        <v>11519.319911907161</v>
      </c>
      <c r="H88" s="1">
        <v>45716.333333333336</v>
      </c>
    </row>
    <row r="89" spans="1:8" x14ac:dyDescent="0.25">
      <c r="A89" s="7">
        <f>DATE(YEAR(m6_crossvalid[[#This Row],[cutoff]]),MONTH(m6_crossvalid[[#This Row],[cutoff]]),DAY(m6_crossvalid[[#This Row],[cutoff]]))</f>
        <v>45716</v>
      </c>
      <c r="B89" s="7">
        <f>DATE(YEAR(m6_crossvalid[[#This Row],[ds]]),MONTH(m6_crossvalid[[#This Row],[ds]]),DAY(m6_crossvalid[[#This Row],[ds]]))</f>
        <v>45742</v>
      </c>
      <c r="C89">
        <v>6351.9999999999945</v>
      </c>
      <c r="D89" s="1">
        <v>45742.333333333336</v>
      </c>
      <c r="E89">
        <v>5991.6887809297987</v>
      </c>
      <c r="F89">
        <v>3162.1775485776707</v>
      </c>
      <c r="G89">
        <v>11247.544680483148</v>
      </c>
      <c r="H89" s="1">
        <v>45716.333333333336</v>
      </c>
    </row>
    <row r="90" spans="1:8" x14ac:dyDescent="0.25">
      <c r="A90" s="7">
        <f>DATE(YEAR(m6_crossvalid[[#This Row],[cutoff]]),MONTH(m6_crossvalid[[#This Row],[cutoff]]),DAY(m6_crossvalid[[#This Row],[cutoff]]))</f>
        <v>45716</v>
      </c>
      <c r="B90" s="7">
        <f>DATE(YEAR(m6_crossvalid[[#This Row],[ds]]),MONTH(m6_crossvalid[[#This Row],[ds]]),DAY(m6_crossvalid[[#This Row],[ds]]))</f>
        <v>45743</v>
      </c>
      <c r="C90">
        <v>8835.9999999999982</v>
      </c>
      <c r="D90" s="1">
        <v>45743.333333333336</v>
      </c>
      <c r="E90">
        <v>6179.9153773348862</v>
      </c>
      <c r="F90">
        <v>3339.4939423731239</v>
      </c>
      <c r="G90">
        <v>11959.687638750665</v>
      </c>
      <c r="H90" s="1">
        <v>45716.333333333336</v>
      </c>
    </row>
    <row r="91" spans="1:8" x14ac:dyDescent="0.25">
      <c r="A91" s="7">
        <f>DATE(YEAR(m6_crossvalid[[#This Row],[cutoff]]),MONTH(m6_crossvalid[[#This Row],[cutoff]]),DAY(m6_crossvalid[[#This Row],[cutoff]]))</f>
        <v>45716</v>
      </c>
      <c r="B91" s="7">
        <f>DATE(YEAR(m6_crossvalid[[#This Row],[ds]]),MONTH(m6_crossvalid[[#This Row],[ds]]),DAY(m6_crossvalid[[#This Row],[ds]]))</f>
        <v>45744</v>
      </c>
      <c r="C91">
        <v>9716.9999999999982</v>
      </c>
      <c r="D91" s="1">
        <v>45744.333333333336</v>
      </c>
      <c r="E91">
        <v>5684.8761307155983</v>
      </c>
      <c r="F91">
        <v>3016.9131038086143</v>
      </c>
      <c r="G91">
        <v>10214.146717965343</v>
      </c>
      <c r="H91" s="1">
        <v>45716.333333333336</v>
      </c>
    </row>
    <row r="92" spans="1:8" x14ac:dyDescent="0.25">
      <c r="A92" s="7">
        <f>DATE(YEAR(m6_crossvalid[[#This Row],[cutoff]]),MONTH(m6_crossvalid[[#This Row],[cutoff]]),DAY(m6_crossvalid[[#This Row],[cutoff]]))</f>
        <v>45716</v>
      </c>
      <c r="B92" s="7">
        <f>DATE(YEAR(m6_crossvalid[[#This Row],[ds]]),MONTH(m6_crossvalid[[#This Row],[ds]]),DAY(m6_crossvalid[[#This Row],[ds]]))</f>
        <v>45745</v>
      </c>
      <c r="C92">
        <v>3248.9999999999973</v>
      </c>
      <c r="D92" s="1">
        <v>45745.333333333336</v>
      </c>
      <c r="E92">
        <v>1065.9717667055231</v>
      </c>
      <c r="F92">
        <v>559.44333544734286</v>
      </c>
      <c r="G92">
        <v>2017.8409100699082</v>
      </c>
      <c r="H92" s="1">
        <v>45716.333333333336</v>
      </c>
    </row>
    <row r="93" spans="1:8" x14ac:dyDescent="0.25">
      <c r="A93" s="7">
        <f>DATE(YEAR(m6_crossvalid[[#This Row],[cutoff]]),MONTH(m6_crossvalid[[#This Row],[cutoff]]),DAY(m6_crossvalid[[#This Row],[cutoff]]))</f>
        <v>45716</v>
      </c>
      <c r="B93" s="7">
        <f>DATE(YEAR(m6_crossvalid[[#This Row],[ds]]),MONTH(m6_crossvalid[[#This Row],[ds]]),DAY(m6_crossvalid[[#This Row],[ds]]))</f>
        <v>45746</v>
      </c>
      <c r="C93">
        <v>197.99999999999997</v>
      </c>
      <c r="D93" s="1">
        <v>45746.333333333336</v>
      </c>
      <c r="E93">
        <v>880.80313001916636</v>
      </c>
      <c r="F93">
        <v>462.90272510259916</v>
      </c>
      <c r="G93">
        <v>1670.0923264763599</v>
      </c>
      <c r="H93" s="1">
        <v>45716.333333333336</v>
      </c>
    </row>
    <row r="94" spans="1:8" x14ac:dyDescent="0.25">
      <c r="A94" s="7">
        <f>DATE(YEAR(m6_crossvalid[[#This Row],[cutoff]]),MONTH(m6_crossvalid[[#This Row],[cutoff]]),DAY(m6_crossvalid[[#This Row],[cutoff]]))</f>
        <v>45716</v>
      </c>
      <c r="B94" s="7">
        <f>DATE(YEAR(m6_crossvalid[[#This Row],[ds]]),MONTH(m6_crossvalid[[#This Row],[ds]]),DAY(m6_crossvalid[[#This Row],[ds]]))</f>
        <v>45747</v>
      </c>
      <c r="C94">
        <v>53.000000000000007</v>
      </c>
      <c r="D94" s="1">
        <v>45747.333333333336</v>
      </c>
      <c r="E94">
        <v>161.79823669598494</v>
      </c>
      <c r="F94">
        <v>85.165349822070141</v>
      </c>
      <c r="G94">
        <v>296.61541414673115</v>
      </c>
      <c r="H94" s="1">
        <v>45716.333333333336</v>
      </c>
    </row>
    <row r="95" spans="1:8" x14ac:dyDescent="0.25">
      <c r="A95" s="7">
        <f>DATE(YEAR(m6_crossvalid[[#This Row],[cutoff]]),MONTH(m6_crossvalid[[#This Row],[cutoff]]),DAY(m6_crossvalid[[#This Row],[cutoff]]))</f>
        <v>45747</v>
      </c>
      <c r="B95" s="7">
        <f>DATE(YEAR(m6_crossvalid[[#This Row],[ds]]),MONTH(m6_crossvalid[[#This Row],[ds]]),DAY(m6_crossvalid[[#This Row],[ds]]))</f>
        <v>45748</v>
      </c>
      <c r="C95">
        <v>2.0000000000000004</v>
      </c>
      <c r="D95" s="1">
        <v>45748.333333333336</v>
      </c>
      <c r="E95">
        <v>1.4466739783058897</v>
      </c>
      <c r="F95">
        <v>0.31373786415074123</v>
      </c>
      <c r="G95">
        <v>3.785937066074375</v>
      </c>
      <c r="H95" s="1">
        <v>45747.333333333336</v>
      </c>
    </row>
    <row r="96" spans="1:8" x14ac:dyDescent="0.25">
      <c r="A96" s="7">
        <f>DATE(YEAR(m6_crossvalid[[#This Row],[cutoff]]),MONTH(m6_crossvalid[[#This Row],[cutoff]]),DAY(m6_crossvalid[[#This Row],[cutoff]]))</f>
        <v>45747</v>
      </c>
      <c r="B96" s="7">
        <f>DATE(YEAR(m6_crossvalid[[#This Row],[ds]]),MONTH(m6_crossvalid[[#This Row],[ds]]),DAY(m6_crossvalid[[#This Row],[ds]]))</f>
        <v>45749</v>
      </c>
      <c r="C96">
        <v>104.99999999999997</v>
      </c>
      <c r="D96" s="1">
        <v>45749.333333333336</v>
      </c>
      <c r="E96">
        <v>119.86192376171499</v>
      </c>
      <c r="F96">
        <v>64.683109364739011</v>
      </c>
      <c r="G96">
        <v>240.48369176543548</v>
      </c>
      <c r="H96" s="1">
        <v>45747.333333333336</v>
      </c>
    </row>
    <row r="97" spans="1:8" x14ac:dyDescent="0.25">
      <c r="A97" s="7">
        <f>DATE(YEAR(m6_crossvalid[[#This Row],[cutoff]]),MONTH(m6_crossvalid[[#This Row],[cutoff]]),DAY(m6_crossvalid[[#This Row],[cutoff]]))</f>
        <v>45747</v>
      </c>
      <c r="B97" s="7">
        <f>DATE(YEAR(m6_crossvalid[[#This Row],[ds]]),MONTH(m6_crossvalid[[#This Row],[ds]]),DAY(m6_crossvalid[[#This Row],[ds]]))</f>
        <v>45750</v>
      </c>
      <c r="C97">
        <v>284.00000000000006</v>
      </c>
      <c r="D97" s="1">
        <v>45750.333333333336</v>
      </c>
      <c r="E97">
        <v>415.18223692423754</v>
      </c>
      <c r="F97">
        <v>217.29144798932288</v>
      </c>
      <c r="G97">
        <v>784.88328209359361</v>
      </c>
      <c r="H97" s="1">
        <v>45747.333333333336</v>
      </c>
    </row>
    <row r="98" spans="1:8" x14ac:dyDescent="0.25">
      <c r="A98" s="7">
        <f>DATE(YEAR(m6_crossvalid[[#This Row],[cutoff]]),MONTH(m6_crossvalid[[#This Row],[cutoff]]),DAY(m6_crossvalid[[#This Row],[cutoff]]))</f>
        <v>45747</v>
      </c>
      <c r="B98" s="7">
        <f>DATE(YEAR(m6_crossvalid[[#This Row],[ds]]),MONTH(m6_crossvalid[[#This Row],[ds]]),DAY(m6_crossvalid[[#This Row],[ds]]))</f>
        <v>45751</v>
      </c>
      <c r="C98">
        <v>403.00000000000017</v>
      </c>
      <c r="D98" s="1">
        <v>45751.333333333336</v>
      </c>
      <c r="E98">
        <v>425.6003346015849</v>
      </c>
      <c r="F98">
        <v>220.61554871953226</v>
      </c>
      <c r="G98">
        <v>819.84706571807476</v>
      </c>
      <c r="H98" s="1">
        <v>45747.333333333336</v>
      </c>
    </row>
    <row r="99" spans="1:8" x14ac:dyDescent="0.25">
      <c r="A99" s="7">
        <f>DATE(YEAR(m6_crossvalid[[#This Row],[cutoff]]),MONTH(m6_crossvalid[[#This Row],[cutoff]]),DAY(m6_crossvalid[[#This Row],[cutoff]]))</f>
        <v>45747</v>
      </c>
      <c r="B99" s="7">
        <f>DATE(YEAR(m6_crossvalid[[#This Row],[ds]]),MONTH(m6_crossvalid[[#This Row],[ds]]),DAY(m6_crossvalid[[#This Row],[ds]]))</f>
        <v>45752</v>
      </c>
      <c r="C99">
        <v>47.000000000000007</v>
      </c>
      <c r="D99" s="1">
        <v>45752.333333333336</v>
      </c>
      <c r="E99">
        <v>72.374359374138564</v>
      </c>
      <c r="F99">
        <v>37.176390252830316</v>
      </c>
      <c r="G99">
        <v>141.39290852721294</v>
      </c>
      <c r="H99" s="1">
        <v>45747.333333333336</v>
      </c>
    </row>
    <row r="100" spans="1:8" x14ac:dyDescent="0.25">
      <c r="A100" s="7">
        <f>DATE(YEAR(m6_crossvalid[[#This Row],[cutoff]]),MONTH(m6_crossvalid[[#This Row],[cutoff]]),DAY(m6_crossvalid[[#This Row],[cutoff]]))</f>
        <v>45747</v>
      </c>
      <c r="B100" s="7">
        <f>DATE(YEAR(m6_crossvalid[[#This Row],[ds]]),MONTH(m6_crossvalid[[#This Row],[ds]]),DAY(m6_crossvalid[[#This Row],[ds]]))</f>
        <v>45753</v>
      </c>
      <c r="C100">
        <v>11</v>
      </c>
      <c r="D100" s="1">
        <v>45753.333333333336</v>
      </c>
      <c r="E100">
        <v>46.680507581034313</v>
      </c>
      <c r="F100">
        <v>24.029824555460852</v>
      </c>
      <c r="G100">
        <v>92.25835758527748</v>
      </c>
      <c r="H100" s="1">
        <v>45747.333333333336</v>
      </c>
    </row>
    <row r="101" spans="1:8" x14ac:dyDescent="0.25">
      <c r="A101" s="7">
        <f>DATE(YEAR(m6_crossvalid[[#This Row],[cutoff]]),MONTH(m6_crossvalid[[#This Row],[cutoff]]),DAY(m6_crossvalid[[#This Row],[cutoff]]))</f>
        <v>45747</v>
      </c>
      <c r="B101" s="7">
        <f>DATE(YEAR(m6_crossvalid[[#This Row],[ds]]),MONTH(m6_crossvalid[[#This Row],[ds]]),DAY(m6_crossvalid[[#This Row],[ds]]))</f>
        <v>45754</v>
      </c>
      <c r="C101">
        <v>477.00000000000023</v>
      </c>
      <c r="D101" s="1">
        <v>45754.333333333336</v>
      </c>
      <c r="E101">
        <v>728.21137808548895</v>
      </c>
      <c r="F101">
        <v>399.41700987397729</v>
      </c>
      <c r="G101">
        <v>1460.3008829258513</v>
      </c>
      <c r="H101" s="1">
        <v>45747.333333333336</v>
      </c>
    </row>
    <row r="102" spans="1:8" x14ac:dyDescent="0.25">
      <c r="A102" s="7">
        <f>DATE(YEAR(m6_crossvalid[[#This Row],[cutoff]]),MONTH(m6_crossvalid[[#This Row],[cutoff]]),DAY(m6_crossvalid[[#This Row],[cutoff]]))</f>
        <v>45747</v>
      </c>
      <c r="B102" s="7">
        <f>DATE(YEAR(m6_crossvalid[[#This Row],[ds]]),MONTH(m6_crossvalid[[#This Row],[ds]]),DAY(m6_crossvalid[[#This Row],[ds]]))</f>
        <v>45755</v>
      </c>
      <c r="C102">
        <v>775.00000000000023</v>
      </c>
      <c r="D102" s="1">
        <v>45755.333333333336</v>
      </c>
      <c r="E102">
        <v>1737.141081003361</v>
      </c>
      <c r="F102">
        <v>892.85313384318408</v>
      </c>
      <c r="G102">
        <v>3474.2040568171574</v>
      </c>
      <c r="H102" s="1">
        <v>45747.333333333336</v>
      </c>
    </row>
    <row r="103" spans="1:8" x14ac:dyDescent="0.25">
      <c r="A103" s="7">
        <f>DATE(YEAR(m6_crossvalid[[#This Row],[cutoff]]),MONTH(m6_crossvalid[[#This Row],[cutoff]]),DAY(m6_crossvalid[[#This Row],[cutoff]]))</f>
        <v>45747</v>
      </c>
      <c r="B103" s="7">
        <f>DATE(YEAR(m6_crossvalid[[#This Row],[ds]]),MONTH(m6_crossvalid[[#This Row],[ds]]),DAY(m6_crossvalid[[#This Row],[ds]]))</f>
        <v>45756</v>
      </c>
      <c r="C103">
        <v>1016</v>
      </c>
      <c r="D103" s="1">
        <v>45756.333333333336</v>
      </c>
      <c r="E103">
        <v>2369.0640440245747</v>
      </c>
      <c r="F103">
        <v>1302.5087971416506</v>
      </c>
      <c r="G103">
        <v>4571.2161532204063</v>
      </c>
      <c r="H103" s="1">
        <v>45747.333333333336</v>
      </c>
    </row>
    <row r="104" spans="1:8" x14ac:dyDescent="0.25">
      <c r="A104" s="7">
        <f>DATE(YEAR(m6_crossvalid[[#This Row],[cutoff]]),MONTH(m6_crossvalid[[#This Row],[cutoff]]),DAY(m6_crossvalid[[#This Row],[cutoff]]))</f>
        <v>45747</v>
      </c>
      <c r="B104" s="7">
        <f>DATE(YEAR(m6_crossvalid[[#This Row],[ds]]),MONTH(m6_crossvalid[[#This Row],[ds]]),DAY(m6_crossvalid[[#This Row],[ds]]))</f>
        <v>45757</v>
      </c>
      <c r="C104">
        <v>1421.9999999999998</v>
      </c>
      <c r="D104" s="1">
        <v>45757.333333333336</v>
      </c>
      <c r="E104">
        <v>2357.4727338748626</v>
      </c>
      <c r="F104">
        <v>1232.0600883580291</v>
      </c>
      <c r="G104">
        <v>4548.2503599870297</v>
      </c>
      <c r="H104" s="1">
        <v>45747.333333333336</v>
      </c>
    </row>
    <row r="105" spans="1:8" x14ac:dyDescent="0.25">
      <c r="A105" s="7">
        <f>DATE(YEAR(m6_crossvalid[[#This Row],[cutoff]]),MONTH(m6_crossvalid[[#This Row],[cutoff]]),DAY(m6_crossvalid[[#This Row],[cutoff]]))</f>
        <v>45747</v>
      </c>
      <c r="B105" s="7">
        <f>DATE(YEAR(m6_crossvalid[[#This Row],[ds]]),MONTH(m6_crossvalid[[#This Row],[ds]]),DAY(m6_crossvalid[[#This Row],[ds]]))</f>
        <v>45758</v>
      </c>
      <c r="C105">
        <v>1564.9999999999998</v>
      </c>
      <c r="D105" s="1">
        <v>45758.333333333336</v>
      </c>
      <c r="E105">
        <v>2082.8220630957007</v>
      </c>
      <c r="F105">
        <v>1042.964822297477</v>
      </c>
      <c r="G105">
        <v>4258.3387102154102</v>
      </c>
      <c r="H105" s="1">
        <v>45747.333333333336</v>
      </c>
    </row>
    <row r="106" spans="1:8" x14ac:dyDescent="0.25">
      <c r="A106" s="7">
        <f>DATE(YEAR(m6_crossvalid[[#This Row],[cutoff]]),MONTH(m6_crossvalid[[#This Row],[cutoff]]),DAY(m6_crossvalid[[#This Row],[cutoff]]))</f>
        <v>45747</v>
      </c>
      <c r="B106" s="7">
        <f>DATE(YEAR(m6_crossvalid[[#This Row],[ds]]),MONTH(m6_crossvalid[[#This Row],[ds]]),DAY(m6_crossvalid[[#This Row],[ds]]))</f>
        <v>45759</v>
      </c>
      <c r="C106">
        <v>276</v>
      </c>
      <c r="D106" s="1">
        <v>45759.333333333336</v>
      </c>
      <c r="E106">
        <v>372.13625137037553</v>
      </c>
      <c r="F106">
        <v>188.79093669411185</v>
      </c>
      <c r="G106">
        <v>712.9086256092304</v>
      </c>
      <c r="H106" s="1">
        <v>45747.333333333336</v>
      </c>
    </row>
    <row r="107" spans="1:8" x14ac:dyDescent="0.25">
      <c r="A107" s="7">
        <f>DATE(YEAR(m6_crossvalid[[#This Row],[cutoff]]),MONTH(m6_crossvalid[[#This Row],[cutoff]]),DAY(m6_crossvalid[[#This Row],[cutoff]]))</f>
        <v>45747</v>
      </c>
      <c r="B107" s="7">
        <f>DATE(YEAR(m6_crossvalid[[#This Row],[ds]]),MONTH(m6_crossvalid[[#This Row],[ds]]),DAY(m6_crossvalid[[#This Row],[ds]]))</f>
        <v>45760</v>
      </c>
      <c r="C107">
        <v>55.000000000000021</v>
      </c>
      <c r="D107" s="1">
        <v>45760.333333333336</v>
      </c>
      <c r="E107">
        <v>162.89919202651672</v>
      </c>
      <c r="F107">
        <v>81.860355113451092</v>
      </c>
      <c r="G107">
        <v>320.45135064918861</v>
      </c>
      <c r="H107" s="1">
        <v>45747.333333333336</v>
      </c>
    </row>
    <row r="108" spans="1:8" x14ac:dyDescent="0.25">
      <c r="A108" s="7">
        <f>DATE(YEAR(m6_crossvalid[[#This Row],[cutoff]]),MONTH(m6_crossvalid[[#This Row],[cutoff]]),DAY(m6_crossvalid[[#This Row],[cutoff]]))</f>
        <v>45747</v>
      </c>
      <c r="B108" s="7">
        <f>DATE(YEAR(m6_crossvalid[[#This Row],[ds]]),MONTH(m6_crossvalid[[#This Row],[ds]]),DAY(m6_crossvalid[[#This Row],[ds]]))</f>
        <v>45761</v>
      </c>
      <c r="C108">
        <v>1634.0000000000002</v>
      </c>
      <c r="D108" s="1">
        <v>45761.333333333336</v>
      </c>
      <c r="E108">
        <v>2218.8951907534602</v>
      </c>
      <c r="F108">
        <v>1155.1327062399089</v>
      </c>
      <c r="G108">
        <v>4207.8392170311281</v>
      </c>
      <c r="H108" s="1">
        <v>45747.333333333336</v>
      </c>
    </row>
    <row r="109" spans="1:8" x14ac:dyDescent="0.25">
      <c r="A109" s="7">
        <f>DATE(YEAR(m6_crossvalid[[#This Row],[cutoff]]),MONTH(m6_crossvalid[[#This Row],[cutoff]]),DAY(m6_crossvalid[[#This Row],[cutoff]]))</f>
        <v>45747</v>
      </c>
      <c r="B109" s="7">
        <f>DATE(YEAR(m6_crossvalid[[#This Row],[ds]]),MONTH(m6_crossvalid[[#This Row],[ds]]),DAY(m6_crossvalid[[#This Row],[ds]]))</f>
        <v>45762</v>
      </c>
      <c r="C109">
        <v>1965</v>
      </c>
      <c r="D109" s="1">
        <v>45762.333333333336</v>
      </c>
      <c r="E109">
        <v>2963.9049733292545</v>
      </c>
      <c r="F109">
        <v>1589.3371106309219</v>
      </c>
      <c r="G109">
        <v>5761.5154930849385</v>
      </c>
      <c r="H109" s="1">
        <v>45747.333333333336</v>
      </c>
    </row>
    <row r="110" spans="1:8" x14ac:dyDescent="0.25">
      <c r="A110" s="7">
        <f>DATE(YEAR(m6_crossvalid[[#This Row],[cutoff]]),MONTH(m6_crossvalid[[#This Row],[cutoff]]),DAY(m6_crossvalid[[#This Row],[cutoff]]))</f>
        <v>45747</v>
      </c>
      <c r="B110" s="7">
        <f>DATE(YEAR(m6_crossvalid[[#This Row],[ds]]),MONTH(m6_crossvalid[[#This Row],[ds]]),DAY(m6_crossvalid[[#This Row],[ds]]))</f>
        <v>45763</v>
      </c>
      <c r="C110">
        <v>2361</v>
      </c>
      <c r="D110" s="1">
        <v>45763.333333333336</v>
      </c>
      <c r="E110">
        <v>3176.8870001800301</v>
      </c>
      <c r="F110">
        <v>1659.3445503744256</v>
      </c>
      <c r="G110">
        <v>6157.1135050347484</v>
      </c>
      <c r="H110" s="1">
        <v>45747.333333333336</v>
      </c>
    </row>
    <row r="111" spans="1:8" x14ac:dyDescent="0.25">
      <c r="A111" s="7">
        <f>DATE(YEAR(m6_crossvalid[[#This Row],[cutoff]]),MONTH(m6_crossvalid[[#This Row],[cutoff]]),DAY(m6_crossvalid[[#This Row],[cutoff]]))</f>
        <v>45747</v>
      </c>
      <c r="B111" s="7">
        <f>DATE(YEAR(m6_crossvalid[[#This Row],[ds]]),MONTH(m6_crossvalid[[#This Row],[ds]]),DAY(m6_crossvalid[[#This Row],[ds]]))</f>
        <v>45764</v>
      </c>
      <c r="C111">
        <v>2761.0000000000014</v>
      </c>
      <c r="D111" s="1">
        <v>45764.333333333336</v>
      </c>
      <c r="E111">
        <v>3427.6775316709754</v>
      </c>
      <c r="F111">
        <v>1768.6194447775067</v>
      </c>
      <c r="G111">
        <v>6464.99197882309</v>
      </c>
      <c r="H111" s="1">
        <v>45747.333333333336</v>
      </c>
    </row>
    <row r="112" spans="1:8" x14ac:dyDescent="0.25">
      <c r="A112" s="7">
        <f>DATE(YEAR(m6_crossvalid[[#This Row],[cutoff]]),MONTH(m6_crossvalid[[#This Row],[cutoff]]),DAY(m6_crossvalid[[#This Row],[cutoff]]))</f>
        <v>45747</v>
      </c>
      <c r="B112" s="7">
        <f>DATE(YEAR(m6_crossvalid[[#This Row],[ds]]),MONTH(m6_crossvalid[[#This Row],[ds]]),DAY(m6_crossvalid[[#This Row],[ds]]))</f>
        <v>45765</v>
      </c>
      <c r="C112">
        <v>2721</v>
      </c>
      <c r="D112" s="1">
        <v>45765.333333333336</v>
      </c>
      <c r="E112">
        <v>3131.2735870808615</v>
      </c>
      <c r="F112">
        <v>1642.884364771422</v>
      </c>
      <c r="G112">
        <v>6039.7268698456674</v>
      </c>
      <c r="H112" s="1">
        <v>45747.333333333336</v>
      </c>
    </row>
    <row r="113" spans="1:8" x14ac:dyDescent="0.25">
      <c r="A113" s="7">
        <f>DATE(YEAR(m6_crossvalid[[#This Row],[cutoff]]),MONTH(m6_crossvalid[[#This Row],[cutoff]]),DAY(m6_crossvalid[[#This Row],[cutoff]]))</f>
        <v>45747</v>
      </c>
      <c r="B113" s="7">
        <f>DATE(YEAR(m6_crossvalid[[#This Row],[ds]]),MONTH(m6_crossvalid[[#This Row],[ds]]),DAY(m6_crossvalid[[#This Row],[ds]]))</f>
        <v>45766</v>
      </c>
      <c r="C113">
        <v>419.99999999999989</v>
      </c>
      <c r="D113" s="1">
        <v>45766.333333333336</v>
      </c>
      <c r="E113">
        <v>541.97467737471845</v>
      </c>
      <c r="F113">
        <v>283.12528264748011</v>
      </c>
      <c r="G113">
        <v>1072.2384906025145</v>
      </c>
      <c r="H113" s="1">
        <v>45747.333333333336</v>
      </c>
    </row>
    <row r="114" spans="1:8" x14ac:dyDescent="0.25">
      <c r="A114" s="7">
        <f>DATE(YEAR(m6_crossvalid[[#This Row],[cutoff]]),MONTH(m6_crossvalid[[#This Row],[cutoff]]),DAY(m6_crossvalid[[#This Row],[cutoff]]))</f>
        <v>45747</v>
      </c>
      <c r="B114" s="7">
        <f>DATE(YEAR(m6_crossvalid[[#This Row],[ds]]),MONTH(m6_crossvalid[[#This Row],[ds]]),DAY(m6_crossvalid[[#This Row],[ds]]))</f>
        <v>45767</v>
      </c>
      <c r="C114">
        <v>166.00000000000006</v>
      </c>
      <c r="D114" s="1">
        <v>45767.333333333336</v>
      </c>
      <c r="E114">
        <v>221.17796302133382</v>
      </c>
      <c r="F114">
        <v>111.59032794772762</v>
      </c>
      <c r="G114">
        <v>420.80034857269442</v>
      </c>
      <c r="H114" s="1">
        <v>45747.333333333336</v>
      </c>
    </row>
    <row r="115" spans="1:8" x14ac:dyDescent="0.25">
      <c r="A115" s="7">
        <f>DATE(YEAR(m6_crossvalid[[#This Row],[cutoff]]),MONTH(m6_crossvalid[[#This Row],[cutoff]]),DAY(m6_crossvalid[[#This Row],[cutoff]]))</f>
        <v>45747</v>
      </c>
      <c r="B115" s="7">
        <f>DATE(YEAR(m6_crossvalid[[#This Row],[ds]]),MONTH(m6_crossvalid[[#This Row],[ds]]),DAY(m6_crossvalid[[#This Row],[ds]]))</f>
        <v>45768</v>
      </c>
      <c r="C115">
        <v>2715.0000000000009</v>
      </c>
      <c r="D115" s="1">
        <v>45768.333333333336</v>
      </c>
      <c r="E115">
        <v>2824.4740232207464</v>
      </c>
      <c r="F115">
        <v>1441.3635988267854</v>
      </c>
      <c r="G115">
        <v>5417.4763456127675</v>
      </c>
      <c r="H115" s="1">
        <v>45747.333333333336</v>
      </c>
    </row>
    <row r="116" spans="1:8" x14ac:dyDescent="0.25">
      <c r="A116" s="7">
        <f>DATE(YEAR(m6_crossvalid[[#This Row],[cutoff]]),MONTH(m6_crossvalid[[#This Row],[cutoff]]),DAY(m6_crossvalid[[#This Row],[cutoff]]))</f>
        <v>45747</v>
      </c>
      <c r="B116" s="7">
        <f>DATE(YEAR(m6_crossvalid[[#This Row],[ds]]),MONTH(m6_crossvalid[[#This Row],[ds]]),DAY(m6_crossvalid[[#This Row],[ds]]))</f>
        <v>45769</v>
      </c>
      <c r="C116">
        <v>3161.9999999999982</v>
      </c>
      <c r="D116" s="1">
        <v>45769.333333333336</v>
      </c>
      <c r="E116">
        <v>3649.0555233290274</v>
      </c>
      <c r="F116">
        <v>2013.6989083217361</v>
      </c>
      <c r="G116">
        <v>7192.8912703415044</v>
      </c>
      <c r="H116" s="1">
        <v>45747.333333333336</v>
      </c>
    </row>
    <row r="117" spans="1:8" x14ac:dyDescent="0.25">
      <c r="A117" s="7">
        <f>DATE(YEAR(m6_crossvalid[[#This Row],[cutoff]]),MONTH(m6_crossvalid[[#This Row],[cutoff]]),DAY(m6_crossvalid[[#This Row],[cutoff]]))</f>
        <v>45747</v>
      </c>
      <c r="B117" s="7">
        <f>DATE(YEAR(m6_crossvalid[[#This Row],[ds]]),MONTH(m6_crossvalid[[#This Row],[ds]]),DAY(m6_crossvalid[[#This Row],[ds]]))</f>
        <v>45770</v>
      </c>
      <c r="C117">
        <v>3603.9999999999982</v>
      </c>
      <c r="D117" s="1">
        <v>45770.333333333336</v>
      </c>
      <c r="E117">
        <v>3811.0512104461859</v>
      </c>
      <c r="F117">
        <v>2007.96488561104</v>
      </c>
      <c r="G117">
        <v>6891.7853558923171</v>
      </c>
      <c r="H117" s="1">
        <v>45747.333333333336</v>
      </c>
    </row>
    <row r="118" spans="1:8" x14ac:dyDescent="0.25">
      <c r="A118" s="7">
        <f>DATE(YEAR(m6_crossvalid[[#This Row],[cutoff]]),MONTH(m6_crossvalid[[#This Row],[cutoff]]),DAY(m6_crossvalid[[#This Row],[cutoff]]))</f>
        <v>45747</v>
      </c>
      <c r="B118" s="7">
        <f>DATE(YEAR(m6_crossvalid[[#This Row],[ds]]),MONTH(m6_crossvalid[[#This Row],[ds]]),DAY(m6_crossvalid[[#This Row],[ds]]))</f>
        <v>45771</v>
      </c>
      <c r="C118">
        <v>3831</v>
      </c>
      <c r="D118" s="1">
        <v>45771.333333333336</v>
      </c>
      <c r="E118">
        <v>7260.309247658417</v>
      </c>
      <c r="F118">
        <v>3843.6726543731188</v>
      </c>
      <c r="G118">
        <v>14046.83047719376</v>
      </c>
      <c r="H118" s="1">
        <v>45747.333333333336</v>
      </c>
    </row>
    <row r="119" spans="1:8" x14ac:dyDescent="0.25">
      <c r="A119" s="7">
        <f>DATE(YEAR(m6_crossvalid[[#This Row],[cutoff]]),MONTH(m6_crossvalid[[#This Row],[cutoff]]),DAY(m6_crossvalid[[#This Row],[cutoff]]))</f>
        <v>45747</v>
      </c>
      <c r="B119" s="7">
        <f>DATE(YEAR(m6_crossvalid[[#This Row],[ds]]),MONTH(m6_crossvalid[[#This Row],[ds]]),DAY(m6_crossvalid[[#This Row],[ds]]))</f>
        <v>45772</v>
      </c>
      <c r="C119">
        <v>4600</v>
      </c>
      <c r="D119" s="1">
        <v>45772.333333333336</v>
      </c>
      <c r="E119">
        <v>5910.2050806048355</v>
      </c>
      <c r="F119">
        <v>3098.2154534271071</v>
      </c>
      <c r="G119">
        <v>11429.440449180451</v>
      </c>
      <c r="H119" s="1">
        <v>45747.333333333336</v>
      </c>
    </row>
    <row r="120" spans="1:8" x14ac:dyDescent="0.25">
      <c r="A120" s="7">
        <f>DATE(YEAR(m6_crossvalid[[#This Row],[cutoff]]),MONTH(m6_crossvalid[[#This Row],[cutoff]]),DAY(m6_crossvalid[[#This Row],[cutoff]]))</f>
        <v>45747</v>
      </c>
      <c r="B120" s="7">
        <f>DATE(YEAR(m6_crossvalid[[#This Row],[ds]]),MONTH(m6_crossvalid[[#This Row],[ds]]),DAY(m6_crossvalid[[#This Row],[ds]]))</f>
        <v>45773</v>
      </c>
      <c r="C120">
        <v>1014</v>
      </c>
      <c r="D120" s="1">
        <v>45773.333333333336</v>
      </c>
      <c r="E120">
        <v>892.5825745554796</v>
      </c>
      <c r="F120">
        <v>456.97138233839217</v>
      </c>
      <c r="G120">
        <v>1737.9104306387542</v>
      </c>
      <c r="H120" s="1">
        <v>45747.333333333336</v>
      </c>
    </row>
    <row r="121" spans="1:8" x14ac:dyDescent="0.25">
      <c r="A121" s="7">
        <f>DATE(YEAR(m6_crossvalid[[#This Row],[cutoff]]),MONTH(m6_crossvalid[[#This Row],[cutoff]]),DAY(m6_crossvalid[[#This Row],[cutoff]]))</f>
        <v>45747</v>
      </c>
      <c r="B121" s="7">
        <f>DATE(YEAR(m6_crossvalid[[#This Row],[ds]]),MONTH(m6_crossvalid[[#This Row],[ds]]),DAY(m6_crossvalid[[#This Row],[ds]]))</f>
        <v>45774</v>
      </c>
      <c r="C121">
        <v>197.99999999999997</v>
      </c>
      <c r="D121" s="1">
        <v>45774.333333333336</v>
      </c>
      <c r="E121">
        <v>330.89160574211991</v>
      </c>
      <c r="F121">
        <v>168.07490868942955</v>
      </c>
      <c r="G121">
        <v>627.94253770504019</v>
      </c>
      <c r="H121" s="1">
        <v>45747.333333333336</v>
      </c>
    </row>
    <row r="122" spans="1:8" x14ac:dyDescent="0.25">
      <c r="A122" s="7">
        <f>DATE(YEAR(m6_crossvalid[[#This Row],[cutoff]]),MONTH(m6_crossvalid[[#This Row],[cutoff]]),DAY(m6_crossvalid[[#This Row],[cutoff]]))</f>
        <v>45747</v>
      </c>
      <c r="B122" s="7">
        <f>DATE(YEAR(m6_crossvalid[[#This Row],[ds]]),MONTH(m6_crossvalid[[#This Row],[ds]]),DAY(m6_crossvalid[[#This Row],[ds]]))</f>
        <v>45775</v>
      </c>
      <c r="C122">
        <v>5133.0000000000009</v>
      </c>
      <c r="D122" s="1">
        <v>45775.333333333336</v>
      </c>
      <c r="E122">
        <v>4151.9105937632594</v>
      </c>
      <c r="F122">
        <v>2136.2799888030854</v>
      </c>
      <c r="G122">
        <v>7850.8102444575188</v>
      </c>
      <c r="H122" s="1">
        <v>45747.333333333336</v>
      </c>
    </row>
    <row r="123" spans="1:8" x14ac:dyDescent="0.25">
      <c r="A123" s="7">
        <f>DATE(YEAR(m6_crossvalid[[#This Row],[cutoff]]),MONTH(m6_crossvalid[[#This Row],[cutoff]]),DAY(m6_crossvalid[[#This Row],[cutoff]]))</f>
        <v>45747</v>
      </c>
      <c r="B123" s="7">
        <f>DATE(YEAR(m6_crossvalid[[#This Row],[ds]]),MONTH(m6_crossvalid[[#This Row],[ds]]),DAY(m6_crossvalid[[#This Row],[ds]]))</f>
        <v>45776</v>
      </c>
      <c r="C123">
        <v>7913.0000000000027</v>
      </c>
      <c r="D123" s="1">
        <v>45776.333333333336</v>
      </c>
      <c r="E123">
        <v>9949.0658337390796</v>
      </c>
      <c r="F123">
        <v>5202.2937529620194</v>
      </c>
      <c r="G123">
        <v>18509.420124454613</v>
      </c>
      <c r="H123" s="1">
        <v>45747.333333333336</v>
      </c>
    </row>
    <row r="124" spans="1:8" x14ac:dyDescent="0.25">
      <c r="A124" s="7">
        <f>DATE(YEAR(m6_crossvalid[[#This Row],[cutoff]]),MONTH(m6_crossvalid[[#This Row],[cutoff]]),DAY(m6_crossvalid[[#This Row],[cutoff]]))</f>
        <v>45747</v>
      </c>
      <c r="B124" s="7">
        <f>DATE(YEAR(m6_crossvalid[[#This Row],[ds]]),MONTH(m6_crossvalid[[#This Row],[ds]]),DAY(m6_crossvalid[[#This Row],[ds]]))</f>
        <v>45777</v>
      </c>
      <c r="C124">
        <v>14564.000000000011</v>
      </c>
      <c r="D124" s="1">
        <v>45777.333333333336</v>
      </c>
      <c r="E124">
        <v>16380.331761091713</v>
      </c>
      <c r="F124">
        <v>8320.0169771860328</v>
      </c>
      <c r="G124">
        <v>30942.291996326396</v>
      </c>
      <c r="H124" s="1">
        <v>45747.333333333336</v>
      </c>
    </row>
    <row r="125" spans="1:8" x14ac:dyDescent="0.25">
      <c r="A125" s="7">
        <f>DATE(YEAR(m6_crossvalid[[#This Row],[cutoff]]),MONTH(m6_crossvalid[[#This Row],[cutoff]]),DAY(m6_crossvalid[[#This Row],[cutoff]]))</f>
        <v>45747</v>
      </c>
      <c r="B125" s="7">
        <f>DATE(YEAR(m6_crossvalid[[#This Row],[ds]]),MONTH(m6_crossvalid[[#This Row],[ds]]),DAY(m6_crossvalid[[#This Row],[ds]]))</f>
        <v>45778</v>
      </c>
      <c r="C125">
        <v>23.999999999999996</v>
      </c>
      <c r="D125" s="1">
        <v>45778.333333333336</v>
      </c>
      <c r="E125">
        <v>162.91923425367494</v>
      </c>
      <c r="F125">
        <v>85.159608028179647</v>
      </c>
      <c r="G125">
        <v>313.00881334255916</v>
      </c>
      <c r="H125" s="1">
        <v>45747.333333333336</v>
      </c>
    </row>
    <row r="126" spans="1:8" x14ac:dyDescent="0.25">
      <c r="A126" s="7">
        <f>DATE(YEAR(m6_crossvalid[[#This Row],[cutoff]]),MONTH(m6_crossvalid[[#This Row],[cutoff]]),DAY(m6_crossvalid[[#This Row],[cutoff]]))</f>
        <v>45777</v>
      </c>
      <c r="B126" s="7">
        <f>DATE(YEAR(m6_crossvalid[[#This Row],[ds]]),MONTH(m6_crossvalid[[#This Row],[ds]]),DAY(m6_crossvalid[[#This Row],[ds]]))</f>
        <v>45778</v>
      </c>
      <c r="C126">
        <v>23.999999999999996</v>
      </c>
      <c r="D126" s="1">
        <v>45778.333333333336</v>
      </c>
      <c r="E126">
        <v>158.80614086190135</v>
      </c>
      <c r="F126">
        <v>82.645183103211878</v>
      </c>
      <c r="G126">
        <v>299.42500753439361</v>
      </c>
      <c r="H126" s="1">
        <v>45777.333333333336</v>
      </c>
    </row>
    <row r="127" spans="1:8" x14ac:dyDescent="0.25">
      <c r="A127" s="7">
        <f>DATE(YEAR(m6_crossvalid[[#This Row],[cutoff]]),MONTH(m6_crossvalid[[#This Row],[cutoff]]),DAY(m6_crossvalid[[#This Row],[cutoff]]))</f>
        <v>45777</v>
      </c>
      <c r="B127" s="7">
        <f>DATE(YEAR(m6_crossvalid[[#This Row],[ds]]),MONTH(m6_crossvalid[[#This Row],[ds]]),DAY(m6_crossvalid[[#This Row],[ds]]))</f>
        <v>45779</v>
      </c>
      <c r="C127">
        <v>749.99999999999977</v>
      </c>
      <c r="D127" s="1">
        <v>45779.333333333336</v>
      </c>
      <c r="E127">
        <v>732.95765057040512</v>
      </c>
      <c r="F127">
        <v>397.73813275018449</v>
      </c>
      <c r="G127">
        <v>1442.9001603464576</v>
      </c>
      <c r="H127" s="1">
        <v>45777.333333333336</v>
      </c>
    </row>
    <row r="128" spans="1:8" x14ac:dyDescent="0.25">
      <c r="A128" s="7">
        <f>DATE(YEAR(m6_crossvalid[[#This Row],[cutoff]]),MONTH(m6_crossvalid[[#This Row],[cutoff]]),DAY(m6_crossvalid[[#This Row],[cutoff]]))</f>
        <v>45777</v>
      </c>
      <c r="B128" s="7">
        <f>DATE(YEAR(m6_crossvalid[[#This Row],[ds]]),MONTH(m6_crossvalid[[#This Row],[ds]]),DAY(m6_crossvalid[[#This Row],[ds]]))</f>
        <v>45780</v>
      </c>
      <c r="C128">
        <v>70</v>
      </c>
      <c r="D128" s="1">
        <v>45780.333333333336</v>
      </c>
      <c r="E128">
        <v>139.49710956578269</v>
      </c>
      <c r="F128">
        <v>76.611876199576969</v>
      </c>
      <c r="G128">
        <v>269.12167682759423</v>
      </c>
      <c r="H128" s="1">
        <v>45777.333333333336</v>
      </c>
    </row>
    <row r="129" spans="1:8" x14ac:dyDescent="0.25">
      <c r="A129" s="7">
        <f>DATE(YEAR(m6_crossvalid[[#This Row],[cutoff]]),MONTH(m6_crossvalid[[#This Row],[cutoff]]),DAY(m6_crossvalid[[#This Row],[cutoff]]))</f>
        <v>45777</v>
      </c>
      <c r="B129" s="7">
        <f>DATE(YEAR(m6_crossvalid[[#This Row],[ds]]),MONTH(m6_crossvalid[[#This Row],[ds]]),DAY(m6_crossvalid[[#This Row],[ds]]))</f>
        <v>45781</v>
      </c>
      <c r="C129">
        <v>31</v>
      </c>
      <c r="D129" s="1">
        <v>45781.333333333336</v>
      </c>
      <c r="E129">
        <v>41.495596068800424</v>
      </c>
      <c r="F129">
        <v>20.676105657799241</v>
      </c>
      <c r="G129">
        <v>81.278961666752807</v>
      </c>
      <c r="H129" s="1">
        <v>45777.333333333336</v>
      </c>
    </row>
    <row r="130" spans="1:8" x14ac:dyDescent="0.25">
      <c r="A130" s="7">
        <f>DATE(YEAR(m6_crossvalid[[#This Row],[cutoff]]),MONTH(m6_crossvalid[[#This Row],[cutoff]]),DAY(m6_crossvalid[[#This Row],[cutoff]]))</f>
        <v>45777</v>
      </c>
      <c r="B130" s="7">
        <f>DATE(YEAR(m6_crossvalid[[#This Row],[ds]]),MONTH(m6_crossvalid[[#This Row],[ds]]),DAY(m6_crossvalid[[#This Row],[ds]]))</f>
        <v>45782</v>
      </c>
      <c r="C130">
        <v>1025.9999999999995</v>
      </c>
      <c r="D130" s="1">
        <v>45782.333333333336</v>
      </c>
      <c r="E130">
        <v>473.83226462163242</v>
      </c>
      <c r="F130">
        <v>242.60879139508273</v>
      </c>
      <c r="G130">
        <v>891.12006108142236</v>
      </c>
      <c r="H130" s="1">
        <v>45777.333333333336</v>
      </c>
    </row>
    <row r="131" spans="1:8" x14ac:dyDescent="0.25">
      <c r="A131" s="7">
        <f>DATE(YEAR(m6_crossvalid[[#This Row],[cutoff]]),MONTH(m6_crossvalid[[#This Row],[cutoff]]),DAY(m6_crossvalid[[#This Row],[cutoff]]))</f>
        <v>45777</v>
      </c>
      <c r="B131" s="7">
        <f>DATE(YEAR(m6_crossvalid[[#This Row],[ds]]),MONTH(m6_crossvalid[[#This Row],[ds]]),DAY(m6_crossvalid[[#This Row],[ds]]))</f>
        <v>45783</v>
      </c>
      <c r="C131">
        <v>939.99999999999966</v>
      </c>
      <c r="D131" s="1">
        <v>45783.333333333336</v>
      </c>
      <c r="E131">
        <v>617.61031412314787</v>
      </c>
      <c r="F131">
        <v>319.43513368624184</v>
      </c>
      <c r="G131">
        <v>1166.8881405217226</v>
      </c>
      <c r="H131" s="1">
        <v>45777.333333333336</v>
      </c>
    </row>
    <row r="132" spans="1:8" x14ac:dyDescent="0.25">
      <c r="A132" s="7">
        <f>DATE(YEAR(m6_crossvalid[[#This Row],[cutoff]]),MONTH(m6_crossvalid[[#This Row],[cutoff]]),DAY(m6_crossvalid[[#This Row],[cutoff]]))</f>
        <v>45777</v>
      </c>
      <c r="B132" s="7">
        <f>DATE(YEAR(m6_crossvalid[[#This Row],[ds]]),MONTH(m6_crossvalid[[#This Row],[ds]]),DAY(m6_crossvalid[[#This Row],[ds]]))</f>
        <v>45784</v>
      </c>
      <c r="C132">
        <v>1225.0000000000005</v>
      </c>
      <c r="D132" s="1">
        <v>45784.333333333336</v>
      </c>
      <c r="E132">
        <v>715.3356926836567</v>
      </c>
      <c r="F132">
        <v>371.29497002162441</v>
      </c>
      <c r="G132">
        <v>1408.8753104228249</v>
      </c>
      <c r="H132" s="1">
        <v>45777.333333333336</v>
      </c>
    </row>
    <row r="133" spans="1:8" x14ac:dyDescent="0.25">
      <c r="A133" s="7">
        <f>DATE(YEAR(m6_crossvalid[[#This Row],[cutoff]]),MONTH(m6_crossvalid[[#This Row],[cutoff]]),DAY(m6_crossvalid[[#This Row],[cutoff]]))</f>
        <v>45777</v>
      </c>
      <c r="B133" s="7">
        <f>DATE(YEAR(m6_crossvalid[[#This Row],[ds]]),MONTH(m6_crossvalid[[#This Row],[ds]]),DAY(m6_crossvalid[[#This Row],[ds]]))</f>
        <v>45785</v>
      </c>
      <c r="C133">
        <v>1538.0000000000002</v>
      </c>
      <c r="D133" s="1">
        <v>45785.333333333336</v>
      </c>
      <c r="E133">
        <v>1544.2832275527624</v>
      </c>
      <c r="F133">
        <v>828.50488215868677</v>
      </c>
      <c r="G133">
        <v>2998.7754000434943</v>
      </c>
      <c r="H133" s="1">
        <v>45777.333333333336</v>
      </c>
    </row>
    <row r="134" spans="1:8" x14ac:dyDescent="0.25">
      <c r="A134" s="7">
        <f>DATE(YEAR(m6_crossvalid[[#This Row],[cutoff]]),MONTH(m6_crossvalid[[#This Row],[cutoff]]),DAY(m6_crossvalid[[#This Row],[cutoff]]))</f>
        <v>45777</v>
      </c>
      <c r="B134" s="7">
        <f>DATE(YEAR(m6_crossvalid[[#This Row],[ds]]),MONTH(m6_crossvalid[[#This Row],[ds]]),DAY(m6_crossvalid[[#This Row],[ds]]))</f>
        <v>45786</v>
      </c>
      <c r="C134">
        <v>1799.0000000000005</v>
      </c>
      <c r="D134" s="1">
        <v>45786.333333333336</v>
      </c>
      <c r="E134">
        <v>1359.8739140527387</v>
      </c>
      <c r="F134">
        <v>709.91179608330299</v>
      </c>
      <c r="G134">
        <v>2537.9934880843412</v>
      </c>
      <c r="H134" s="1">
        <v>45777.333333333336</v>
      </c>
    </row>
    <row r="135" spans="1:8" x14ac:dyDescent="0.25">
      <c r="A135" s="7">
        <f>DATE(YEAR(m6_crossvalid[[#This Row],[cutoff]]),MONTH(m6_crossvalid[[#This Row],[cutoff]]),DAY(m6_crossvalid[[#This Row],[cutoff]]))</f>
        <v>45777</v>
      </c>
      <c r="B135" s="7">
        <f>DATE(YEAR(m6_crossvalid[[#This Row],[ds]]),MONTH(m6_crossvalid[[#This Row],[ds]]),DAY(m6_crossvalid[[#This Row],[ds]]))</f>
        <v>45787</v>
      </c>
      <c r="C135">
        <v>415</v>
      </c>
      <c r="D135" s="1">
        <v>45787.333333333336</v>
      </c>
      <c r="E135">
        <v>212.18904510931981</v>
      </c>
      <c r="F135">
        <v>107.62236546741558</v>
      </c>
      <c r="G135">
        <v>402.94335240035264</v>
      </c>
      <c r="H135" s="1">
        <v>45777.333333333336</v>
      </c>
    </row>
    <row r="136" spans="1:8" x14ac:dyDescent="0.25">
      <c r="A136" s="7">
        <f>DATE(YEAR(m6_crossvalid[[#This Row],[cutoff]]),MONTH(m6_crossvalid[[#This Row],[cutoff]]),DAY(m6_crossvalid[[#This Row],[cutoff]]))</f>
        <v>45777</v>
      </c>
      <c r="B136" s="7">
        <f>DATE(YEAR(m6_crossvalid[[#This Row],[ds]]),MONTH(m6_crossvalid[[#This Row],[ds]]),DAY(m6_crossvalid[[#This Row],[ds]]))</f>
        <v>45788</v>
      </c>
      <c r="C136">
        <v>169.00000000000006</v>
      </c>
      <c r="D136" s="1">
        <v>45788.333333333336</v>
      </c>
      <c r="E136">
        <v>78.053105778029277</v>
      </c>
      <c r="F136">
        <v>40.717167900990006</v>
      </c>
      <c r="G136">
        <v>145.77574058861771</v>
      </c>
      <c r="H136" s="1">
        <v>45777.333333333336</v>
      </c>
    </row>
    <row r="137" spans="1:8" x14ac:dyDescent="0.25">
      <c r="A137" s="7">
        <f>DATE(YEAR(m6_crossvalid[[#This Row],[cutoff]]),MONTH(m6_crossvalid[[#This Row],[cutoff]]),DAY(m6_crossvalid[[#This Row],[cutoff]]))</f>
        <v>45777</v>
      </c>
      <c r="B137" s="7">
        <f>DATE(YEAR(m6_crossvalid[[#This Row],[ds]]),MONTH(m6_crossvalid[[#This Row],[ds]]),DAY(m6_crossvalid[[#This Row],[ds]]))</f>
        <v>45789</v>
      </c>
      <c r="C137">
        <v>185.00000000000009</v>
      </c>
      <c r="D137" s="1">
        <v>45789.333333333336</v>
      </c>
      <c r="E137">
        <v>127.03702717451139</v>
      </c>
      <c r="F137">
        <v>67.049005360223248</v>
      </c>
      <c r="G137">
        <v>243.23238782491504</v>
      </c>
      <c r="H137" s="1">
        <v>45777.333333333336</v>
      </c>
    </row>
    <row r="138" spans="1:8" x14ac:dyDescent="0.25">
      <c r="A138" s="7">
        <f>DATE(YEAR(m6_crossvalid[[#This Row],[cutoff]]),MONTH(m6_crossvalid[[#This Row],[cutoff]]),DAY(m6_crossvalid[[#This Row],[cutoff]]))</f>
        <v>45777</v>
      </c>
      <c r="B138" s="7">
        <f>DATE(YEAR(m6_crossvalid[[#This Row],[ds]]),MONTH(m6_crossvalid[[#This Row],[ds]]),DAY(m6_crossvalid[[#This Row],[ds]]))</f>
        <v>45790</v>
      </c>
      <c r="C138">
        <v>2011.0000000000005</v>
      </c>
      <c r="D138" s="1">
        <v>45790.333333333336</v>
      </c>
      <c r="E138">
        <v>1404.2206781443522</v>
      </c>
      <c r="F138">
        <v>704.62297765651499</v>
      </c>
      <c r="G138">
        <v>2717.3175732326881</v>
      </c>
      <c r="H138" s="1">
        <v>45777.333333333336</v>
      </c>
    </row>
    <row r="139" spans="1:8" x14ac:dyDescent="0.25">
      <c r="A139" s="7">
        <f>DATE(YEAR(m6_crossvalid[[#This Row],[cutoff]]),MONTH(m6_crossvalid[[#This Row],[cutoff]]),DAY(m6_crossvalid[[#This Row],[cutoff]]))</f>
        <v>45777</v>
      </c>
      <c r="B139" s="7">
        <f>DATE(YEAR(m6_crossvalid[[#This Row],[ds]]),MONTH(m6_crossvalid[[#This Row],[ds]]),DAY(m6_crossvalid[[#This Row],[ds]]))</f>
        <v>45791</v>
      </c>
      <c r="C139">
        <v>2630.0000000000009</v>
      </c>
      <c r="D139" s="1">
        <v>45791.333333333336</v>
      </c>
      <c r="E139">
        <v>1672.6135025446454</v>
      </c>
      <c r="F139">
        <v>838.8194551041563</v>
      </c>
      <c r="G139">
        <v>3332.8055847234305</v>
      </c>
      <c r="H139" s="1">
        <v>45777.333333333336</v>
      </c>
    </row>
    <row r="140" spans="1:8" x14ac:dyDescent="0.25">
      <c r="A140" s="7">
        <f>DATE(YEAR(m6_crossvalid[[#This Row],[cutoff]]),MONTH(m6_crossvalid[[#This Row],[cutoff]]),DAY(m6_crossvalid[[#This Row],[cutoff]]))</f>
        <v>45777</v>
      </c>
      <c r="B140" s="7">
        <f>DATE(YEAR(m6_crossvalid[[#This Row],[ds]]),MONTH(m6_crossvalid[[#This Row],[ds]]),DAY(m6_crossvalid[[#This Row],[ds]]))</f>
        <v>45792</v>
      </c>
      <c r="C140">
        <v>2984.9999999999973</v>
      </c>
      <c r="D140" s="1">
        <v>45792.333333333336</v>
      </c>
      <c r="E140">
        <v>1978.7563632929182</v>
      </c>
      <c r="F140">
        <v>1002.5411689959507</v>
      </c>
      <c r="G140">
        <v>3776.0470483670265</v>
      </c>
      <c r="H140" s="1">
        <v>45777.333333333336</v>
      </c>
    </row>
    <row r="141" spans="1:8" x14ac:dyDescent="0.25">
      <c r="A141" s="7">
        <f>DATE(YEAR(m6_crossvalid[[#This Row],[cutoff]]),MONTH(m6_crossvalid[[#This Row],[cutoff]]),DAY(m6_crossvalid[[#This Row],[cutoff]]))</f>
        <v>45777</v>
      </c>
      <c r="B141" s="7">
        <f>DATE(YEAR(m6_crossvalid[[#This Row],[ds]]),MONTH(m6_crossvalid[[#This Row],[ds]]),DAY(m6_crossvalid[[#This Row],[ds]]))</f>
        <v>45793</v>
      </c>
      <c r="C141">
        <v>3081.0000000000018</v>
      </c>
      <c r="D141" s="1">
        <v>45793.333333333336</v>
      </c>
      <c r="E141">
        <v>1892.5139981016096</v>
      </c>
      <c r="F141">
        <v>1039.7507158486017</v>
      </c>
      <c r="G141">
        <v>3583.4750249348153</v>
      </c>
      <c r="H141" s="1">
        <v>45777.333333333336</v>
      </c>
    </row>
    <row r="142" spans="1:8" x14ac:dyDescent="0.25">
      <c r="A142" s="7">
        <f>DATE(YEAR(m6_crossvalid[[#This Row],[cutoff]]),MONTH(m6_crossvalid[[#This Row],[cutoff]]),DAY(m6_crossvalid[[#This Row],[cutoff]]))</f>
        <v>45777</v>
      </c>
      <c r="B142" s="7">
        <f>DATE(YEAR(m6_crossvalid[[#This Row],[ds]]),MONTH(m6_crossvalid[[#This Row],[ds]]),DAY(m6_crossvalid[[#This Row],[ds]]))</f>
        <v>45794</v>
      </c>
      <c r="C142">
        <v>609.00000000000023</v>
      </c>
      <c r="D142" s="1">
        <v>45794.333333333336</v>
      </c>
      <c r="E142">
        <v>328.46618941734442</v>
      </c>
      <c r="F142">
        <v>172.12040216022584</v>
      </c>
      <c r="G142">
        <v>632.11802447712182</v>
      </c>
      <c r="H142" s="1">
        <v>45777.333333333336</v>
      </c>
    </row>
    <row r="143" spans="1:8" x14ac:dyDescent="0.25">
      <c r="A143" s="7">
        <f>DATE(YEAR(m6_crossvalid[[#This Row],[cutoff]]),MONTH(m6_crossvalid[[#This Row],[cutoff]]),DAY(m6_crossvalid[[#This Row],[cutoff]]))</f>
        <v>45777</v>
      </c>
      <c r="B143" s="7">
        <f>DATE(YEAR(m6_crossvalid[[#This Row],[ds]]),MONTH(m6_crossvalid[[#This Row],[ds]]),DAY(m6_crossvalid[[#This Row],[ds]]))</f>
        <v>45795</v>
      </c>
      <c r="C143">
        <v>185.00000000000009</v>
      </c>
      <c r="D143" s="1">
        <v>45795.333333333336</v>
      </c>
      <c r="E143">
        <v>131.43476051774059</v>
      </c>
      <c r="F143">
        <v>68.955535177534642</v>
      </c>
      <c r="G143">
        <v>243.67722849985941</v>
      </c>
      <c r="H143" s="1">
        <v>45777.333333333336</v>
      </c>
    </row>
    <row r="144" spans="1:8" x14ac:dyDescent="0.25">
      <c r="A144" s="7">
        <f>DATE(YEAR(m6_crossvalid[[#This Row],[cutoff]]),MONTH(m6_crossvalid[[#This Row],[cutoff]]),DAY(m6_crossvalid[[#This Row],[cutoff]]))</f>
        <v>45777</v>
      </c>
      <c r="B144" s="7">
        <f>DATE(YEAR(m6_crossvalid[[#This Row],[ds]]),MONTH(m6_crossvalid[[#This Row],[ds]]),DAY(m6_crossvalid[[#This Row],[ds]]))</f>
        <v>45796</v>
      </c>
      <c r="C144">
        <v>2925.9999999999991</v>
      </c>
      <c r="D144" s="1">
        <v>45796.333333333336</v>
      </c>
      <c r="E144">
        <v>1729.1006783660819</v>
      </c>
      <c r="F144">
        <v>878.0563494566178</v>
      </c>
      <c r="G144">
        <v>3318.7595407457848</v>
      </c>
      <c r="H144" s="1">
        <v>45777.333333333336</v>
      </c>
    </row>
    <row r="145" spans="1:8" x14ac:dyDescent="0.25">
      <c r="A145" s="7">
        <f>DATE(YEAR(m6_crossvalid[[#This Row],[cutoff]]),MONTH(m6_crossvalid[[#This Row],[cutoff]]),DAY(m6_crossvalid[[#This Row],[cutoff]]))</f>
        <v>45777</v>
      </c>
      <c r="B145" s="7">
        <f>DATE(YEAR(m6_crossvalid[[#This Row],[ds]]),MONTH(m6_crossvalid[[#This Row],[ds]]),DAY(m6_crossvalid[[#This Row],[ds]]))</f>
        <v>45797</v>
      </c>
      <c r="C145">
        <v>3212.9999999999995</v>
      </c>
      <c r="D145" s="1">
        <v>45797.333333333336</v>
      </c>
      <c r="E145">
        <v>2320.5550163292901</v>
      </c>
      <c r="F145">
        <v>1159.3185151965413</v>
      </c>
      <c r="G145">
        <v>4618.2403857811332</v>
      </c>
      <c r="H145" s="1">
        <v>45777.333333333336</v>
      </c>
    </row>
    <row r="146" spans="1:8" x14ac:dyDescent="0.25">
      <c r="A146" s="7">
        <f>DATE(YEAR(m6_crossvalid[[#This Row],[cutoff]]),MONTH(m6_crossvalid[[#This Row],[cutoff]]),DAY(m6_crossvalid[[#This Row],[cutoff]]))</f>
        <v>45777</v>
      </c>
      <c r="B146" s="7">
        <f>DATE(YEAR(m6_crossvalid[[#This Row],[ds]]),MONTH(m6_crossvalid[[#This Row],[ds]]),DAY(m6_crossvalid[[#This Row],[ds]]))</f>
        <v>45798</v>
      </c>
      <c r="C146">
        <v>3565.9999999999973</v>
      </c>
      <c r="D146" s="1">
        <v>45798.333333333336</v>
      </c>
      <c r="E146">
        <v>2624.6912598804456</v>
      </c>
      <c r="F146">
        <v>1400.4399749849636</v>
      </c>
      <c r="G146">
        <v>5142.7303736690101</v>
      </c>
      <c r="H146" s="1">
        <v>45777.333333333336</v>
      </c>
    </row>
    <row r="147" spans="1:8" x14ac:dyDescent="0.25">
      <c r="A147" s="7">
        <f>DATE(YEAR(m6_crossvalid[[#This Row],[cutoff]]),MONTH(m6_crossvalid[[#This Row],[cutoff]]),DAY(m6_crossvalid[[#This Row],[cutoff]]))</f>
        <v>45777</v>
      </c>
      <c r="B147" s="7">
        <f>DATE(YEAR(m6_crossvalid[[#This Row],[ds]]),MONTH(m6_crossvalid[[#This Row],[ds]]),DAY(m6_crossvalid[[#This Row],[ds]]))</f>
        <v>45799</v>
      </c>
      <c r="C147">
        <v>3706</v>
      </c>
      <c r="D147" s="1">
        <v>45799.333333333336</v>
      </c>
      <c r="E147">
        <v>3000.4495054701911</v>
      </c>
      <c r="F147">
        <v>1576.9906657368292</v>
      </c>
      <c r="G147">
        <v>5702.7892685894913</v>
      </c>
      <c r="H147" s="1">
        <v>45777.333333333336</v>
      </c>
    </row>
    <row r="148" spans="1:8" x14ac:dyDescent="0.25">
      <c r="A148" s="7">
        <f>DATE(YEAR(m6_crossvalid[[#This Row],[cutoff]]),MONTH(m6_crossvalid[[#This Row],[cutoff]]),DAY(m6_crossvalid[[#This Row],[cutoff]]))</f>
        <v>45777</v>
      </c>
      <c r="B148" s="7">
        <f>DATE(YEAR(m6_crossvalid[[#This Row],[ds]]),MONTH(m6_crossvalid[[#This Row],[ds]]),DAY(m6_crossvalid[[#This Row],[ds]]))</f>
        <v>45800</v>
      </c>
      <c r="C148">
        <v>3919.9999999999968</v>
      </c>
      <c r="D148" s="1">
        <v>45800.333333333336</v>
      </c>
      <c r="E148">
        <v>2818.1021796887612</v>
      </c>
      <c r="F148">
        <v>1502.7265809278301</v>
      </c>
      <c r="G148">
        <v>5526.1796828642</v>
      </c>
      <c r="H148" s="1">
        <v>45777.333333333336</v>
      </c>
    </row>
    <row r="149" spans="1:8" x14ac:dyDescent="0.25">
      <c r="A149" s="7">
        <f>DATE(YEAR(m6_crossvalid[[#This Row],[cutoff]]),MONTH(m6_crossvalid[[#This Row],[cutoff]]),DAY(m6_crossvalid[[#This Row],[cutoff]]))</f>
        <v>45777</v>
      </c>
      <c r="B149" s="7">
        <f>DATE(YEAR(m6_crossvalid[[#This Row],[ds]]),MONTH(m6_crossvalid[[#This Row],[ds]]),DAY(m6_crossvalid[[#This Row],[ds]]))</f>
        <v>45801</v>
      </c>
      <c r="C149">
        <v>857.00000000000011</v>
      </c>
      <c r="D149" s="1">
        <v>45801.333333333336</v>
      </c>
      <c r="E149">
        <v>472.04457651178336</v>
      </c>
      <c r="F149">
        <v>264.35147129076489</v>
      </c>
      <c r="G149">
        <v>873.26297377963499</v>
      </c>
      <c r="H149" s="1">
        <v>45777.333333333336</v>
      </c>
    </row>
    <row r="150" spans="1:8" x14ac:dyDescent="0.25">
      <c r="A150" s="7">
        <f>DATE(YEAR(m6_crossvalid[[#This Row],[cutoff]]),MONTH(m6_crossvalid[[#This Row],[cutoff]]),DAY(m6_crossvalid[[#This Row],[cutoff]]))</f>
        <v>45777</v>
      </c>
      <c r="B150" s="7">
        <f>DATE(YEAR(m6_crossvalid[[#This Row],[ds]]),MONTH(m6_crossvalid[[#This Row],[ds]]),DAY(m6_crossvalid[[#This Row],[ds]]))</f>
        <v>45802</v>
      </c>
      <c r="C150">
        <v>215.00000000000006</v>
      </c>
      <c r="D150" s="1">
        <v>45802.333333333336</v>
      </c>
      <c r="E150">
        <v>322.60603319924314</v>
      </c>
      <c r="F150">
        <v>166.91754762917293</v>
      </c>
      <c r="G150">
        <v>631.73267907253785</v>
      </c>
      <c r="H150" s="1">
        <v>45777.333333333336</v>
      </c>
    </row>
    <row r="151" spans="1:8" x14ac:dyDescent="0.25">
      <c r="A151" s="7">
        <f>DATE(YEAR(m6_crossvalid[[#This Row],[cutoff]]),MONTH(m6_crossvalid[[#This Row],[cutoff]]),DAY(m6_crossvalid[[#This Row],[cutoff]]))</f>
        <v>45777</v>
      </c>
      <c r="B151" s="7">
        <f>DATE(YEAR(m6_crossvalid[[#This Row],[ds]]),MONTH(m6_crossvalid[[#This Row],[ds]]),DAY(m6_crossvalid[[#This Row],[ds]]))</f>
        <v>45803</v>
      </c>
      <c r="C151">
        <v>4297</v>
      </c>
      <c r="D151" s="1">
        <v>45803.333333333336</v>
      </c>
      <c r="E151">
        <v>3729.7517944057577</v>
      </c>
      <c r="F151">
        <v>2019.0517716433164</v>
      </c>
      <c r="G151">
        <v>7091.6385366853019</v>
      </c>
      <c r="H151" s="1">
        <v>45777.333333333336</v>
      </c>
    </row>
    <row r="152" spans="1:8" x14ac:dyDescent="0.25">
      <c r="A152" s="7">
        <f>DATE(YEAR(m6_crossvalid[[#This Row],[cutoff]]),MONTH(m6_crossvalid[[#This Row],[cutoff]]),DAY(m6_crossvalid[[#This Row],[cutoff]]))</f>
        <v>45777</v>
      </c>
      <c r="B152" s="7">
        <f>DATE(YEAR(m6_crossvalid[[#This Row],[ds]]),MONTH(m6_crossvalid[[#This Row],[ds]]),DAY(m6_crossvalid[[#This Row],[ds]]))</f>
        <v>45804</v>
      </c>
      <c r="C152">
        <v>5188.0000000000036</v>
      </c>
      <c r="D152" s="1">
        <v>45804.333333333336</v>
      </c>
      <c r="E152">
        <v>4459.7704302125449</v>
      </c>
      <c r="F152">
        <v>2332.2890060116838</v>
      </c>
      <c r="G152">
        <v>8167.8608620363057</v>
      </c>
      <c r="H152" s="1">
        <v>45777.333333333336</v>
      </c>
    </row>
    <row r="153" spans="1:8" x14ac:dyDescent="0.25">
      <c r="A153" s="7">
        <f>DATE(YEAR(m6_crossvalid[[#This Row],[cutoff]]),MONTH(m6_crossvalid[[#This Row],[cutoff]]),DAY(m6_crossvalid[[#This Row],[cutoff]]))</f>
        <v>45777</v>
      </c>
      <c r="B153" s="7">
        <f>DATE(YEAR(m6_crossvalid[[#This Row],[ds]]),MONTH(m6_crossvalid[[#This Row],[ds]]),DAY(m6_crossvalid[[#This Row],[ds]]))</f>
        <v>45805</v>
      </c>
      <c r="C153">
        <v>5701.0000000000045</v>
      </c>
      <c r="D153" s="1">
        <v>45805.333333333336</v>
      </c>
      <c r="E153">
        <v>4780.5084170660994</v>
      </c>
      <c r="F153">
        <v>2368.3578951147838</v>
      </c>
      <c r="G153">
        <v>8975.3447304310757</v>
      </c>
      <c r="H153" s="1">
        <v>45777.333333333336</v>
      </c>
    </row>
    <row r="154" spans="1:8" x14ac:dyDescent="0.25">
      <c r="A154" s="7">
        <f>DATE(YEAR(m6_crossvalid[[#This Row],[cutoff]]),MONTH(m6_crossvalid[[#This Row],[cutoff]]),DAY(m6_crossvalid[[#This Row],[cutoff]]))</f>
        <v>45777</v>
      </c>
      <c r="B154" s="7">
        <f>DATE(YEAR(m6_crossvalid[[#This Row],[ds]]),MONTH(m6_crossvalid[[#This Row],[ds]]),DAY(m6_crossvalid[[#This Row],[ds]]))</f>
        <v>45806</v>
      </c>
      <c r="C154">
        <v>8102.9999999999936</v>
      </c>
      <c r="D154" s="1">
        <v>45806.333333333336</v>
      </c>
      <c r="E154">
        <v>5557.5743167363507</v>
      </c>
      <c r="F154">
        <v>2998.7536853510233</v>
      </c>
      <c r="G154">
        <v>10109.065292564545</v>
      </c>
      <c r="H154" s="1">
        <v>45777.333333333336</v>
      </c>
    </row>
    <row r="155" spans="1:8" x14ac:dyDescent="0.25">
      <c r="A155" s="7">
        <f>DATE(YEAR(m6_crossvalid[[#This Row],[cutoff]]),MONTH(m6_crossvalid[[#This Row],[cutoff]]),DAY(m6_crossvalid[[#This Row],[cutoff]]))</f>
        <v>45777</v>
      </c>
      <c r="B155" s="7">
        <f>DATE(YEAR(m6_crossvalid[[#This Row],[ds]]),MONTH(m6_crossvalid[[#This Row],[ds]]),DAY(m6_crossvalid[[#This Row],[ds]]))</f>
        <v>45807</v>
      </c>
      <c r="C155">
        <v>8920.0000000000036</v>
      </c>
      <c r="D155" s="1">
        <v>45807.333333333336</v>
      </c>
      <c r="E155">
        <v>9775.2234875625818</v>
      </c>
      <c r="F155">
        <v>4939.2125441056205</v>
      </c>
      <c r="G155">
        <v>18558.519107463897</v>
      </c>
      <c r="H155" s="1">
        <v>45777.333333333336</v>
      </c>
    </row>
    <row r="156" spans="1:8" x14ac:dyDescent="0.25">
      <c r="A156" s="7">
        <f>DATE(YEAR(m6_crossvalid[[#This Row],[cutoff]]),MONTH(m6_crossvalid[[#This Row],[cutoff]]),DAY(m6_crossvalid[[#This Row],[cutoff]]))</f>
        <v>45777</v>
      </c>
      <c r="B156" s="7">
        <f>DATE(YEAR(m6_crossvalid[[#This Row],[ds]]),MONTH(m6_crossvalid[[#This Row],[ds]]),DAY(m6_crossvalid[[#This Row],[ds]]))</f>
        <v>45808</v>
      </c>
      <c r="C156">
        <v>4108.0000000000018</v>
      </c>
      <c r="D156" s="1">
        <v>45808.333333333336</v>
      </c>
      <c r="E156">
        <v>2472.1460796563206</v>
      </c>
      <c r="F156">
        <v>1306.9695068740371</v>
      </c>
      <c r="G156">
        <v>4761.2664337264414</v>
      </c>
      <c r="H156" s="1">
        <v>45777.333333333336</v>
      </c>
    </row>
    <row r="157" spans="1:8" x14ac:dyDescent="0.25">
      <c r="A157" s="7">
        <f>DATE(YEAR(m6_crossvalid[[#This Row],[cutoff]]),MONTH(m6_crossvalid[[#This Row],[cutoff]]),DAY(m6_crossvalid[[#This Row],[cutoff]]))</f>
        <v>45808</v>
      </c>
      <c r="B157" s="7">
        <f>DATE(YEAR(m6_crossvalid[[#This Row],[ds]]),MONTH(m6_crossvalid[[#This Row],[ds]]),DAY(m6_crossvalid[[#This Row],[ds]]))</f>
        <v>45809</v>
      </c>
      <c r="C157">
        <v>75</v>
      </c>
      <c r="D157" s="1">
        <v>45809.333333333336</v>
      </c>
      <c r="E157">
        <v>64.95104673570539</v>
      </c>
      <c r="F157">
        <v>33.457317298884057</v>
      </c>
      <c r="G157">
        <v>127.24744783859049</v>
      </c>
      <c r="H157" s="1">
        <v>45808.333333333336</v>
      </c>
    </row>
    <row r="158" spans="1:8" x14ac:dyDescent="0.25">
      <c r="A158" s="7">
        <f>DATE(YEAR(m6_crossvalid[[#This Row],[cutoff]]),MONTH(m6_crossvalid[[#This Row],[cutoff]]),DAY(m6_crossvalid[[#This Row],[cutoff]]))</f>
        <v>45808</v>
      </c>
      <c r="B158" s="7">
        <f>DATE(YEAR(m6_crossvalid[[#This Row],[ds]]),MONTH(m6_crossvalid[[#This Row],[ds]]),DAY(m6_crossvalid[[#This Row],[ds]]))</f>
        <v>45810</v>
      </c>
      <c r="C158">
        <v>3</v>
      </c>
      <c r="D158" s="1">
        <v>45810.333333333336</v>
      </c>
      <c r="E158">
        <v>63.261647251229519</v>
      </c>
      <c r="F158">
        <v>31.974872505682185</v>
      </c>
      <c r="G158">
        <v>121.69777888715861</v>
      </c>
      <c r="H158" s="1">
        <v>45808.333333333336</v>
      </c>
    </row>
    <row r="159" spans="1:8" x14ac:dyDescent="0.25">
      <c r="A159" s="7">
        <f>DATE(YEAR(m6_crossvalid[[#This Row],[cutoff]]),MONTH(m6_crossvalid[[#This Row],[cutoff]]),DAY(m6_crossvalid[[#This Row],[cutoff]]))</f>
        <v>45808</v>
      </c>
      <c r="B159" s="7">
        <f>DATE(YEAR(m6_crossvalid[[#This Row],[ds]]),MONTH(m6_crossvalid[[#This Row],[ds]]),DAY(m6_crossvalid[[#This Row],[ds]]))</f>
        <v>45811</v>
      </c>
      <c r="C159">
        <v>578.00000000000023</v>
      </c>
      <c r="D159" s="1">
        <v>45811.333333333336</v>
      </c>
      <c r="E159">
        <v>775.08266418145888</v>
      </c>
      <c r="F159">
        <v>401.33633393638951</v>
      </c>
      <c r="G159">
        <v>1569.0924546947949</v>
      </c>
      <c r="H159" s="1">
        <v>45808.333333333336</v>
      </c>
    </row>
    <row r="160" spans="1:8" x14ac:dyDescent="0.25">
      <c r="A160" s="7">
        <f>DATE(YEAR(m6_crossvalid[[#This Row],[cutoff]]),MONTH(m6_crossvalid[[#This Row],[cutoff]]),DAY(m6_crossvalid[[#This Row],[cutoff]]))</f>
        <v>45808</v>
      </c>
      <c r="B160" s="7">
        <f>DATE(YEAR(m6_crossvalid[[#This Row],[ds]]),MONTH(m6_crossvalid[[#This Row],[ds]]),DAY(m6_crossvalid[[#This Row],[ds]]))</f>
        <v>45812</v>
      </c>
      <c r="C160">
        <v>842</v>
      </c>
      <c r="D160" s="1">
        <v>45812.333333333336</v>
      </c>
      <c r="E160">
        <v>700.87738026555235</v>
      </c>
      <c r="F160">
        <v>368.81850439150872</v>
      </c>
      <c r="G160">
        <v>1300.2069957732772</v>
      </c>
      <c r="H160" s="1">
        <v>45808.333333333336</v>
      </c>
    </row>
    <row r="161" spans="1:8" x14ac:dyDescent="0.25">
      <c r="A161" s="7">
        <f>DATE(YEAR(m6_crossvalid[[#This Row],[cutoff]]),MONTH(m6_crossvalid[[#This Row],[cutoff]]),DAY(m6_crossvalid[[#This Row],[cutoff]]))</f>
        <v>45808</v>
      </c>
      <c r="B161" s="7">
        <f>DATE(YEAR(m6_crossvalid[[#This Row],[ds]]),MONTH(m6_crossvalid[[#This Row],[ds]]),DAY(m6_crossvalid[[#This Row],[ds]]))</f>
        <v>45813</v>
      </c>
      <c r="C161">
        <v>1102.0000000000005</v>
      </c>
      <c r="D161" s="1">
        <v>45813.333333333336</v>
      </c>
      <c r="E161">
        <v>731.17624846138472</v>
      </c>
      <c r="F161">
        <v>383.14310383528885</v>
      </c>
      <c r="G161">
        <v>1421.7730165379626</v>
      </c>
      <c r="H161" s="1">
        <v>45808.333333333336</v>
      </c>
    </row>
    <row r="162" spans="1:8" x14ac:dyDescent="0.25">
      <c r="A162" s="7">
        <f>DATE(YEAR(m6_crossvalid[[#This Row],[cutoff]]),MONTH(m6_crossvalid[[#This Row],[cutoff]]),DAY(m6_crossvalid[[#This Row],[cutoff]]))</f>
        <v>45808</v>
      </c>
      <c r="B162" s="7">
        <f>DATE(YEAR(m6_crossvalid[[#This Row],[ds]]),MONTH(m6_crossvalid[[#This Row],[ds]]),DAY(m6_crossvalid[[#This Row],[ds]]))</f>
        <v>45814</v>
      </c>
      <c r="C162">
        <v>1097.9999999999998</v>
      </c>
      <c r="D162" s="1">
        <v>45814.333333333336</v>
      </c>
      <c r="E162">
        <v>4.8847840773618438</v>
      </c>
      <c r="F162">
        <v>2.0833349538281589</v>
      </c>
      <c r="G162">
        <v>10.992006396342726</v>
      </c>
      <c r="H162" s="1">
        <v>45808.333333333336</v>
      </c>
    </row>
    <row r="163" spans="1:8" x14ac:dyDescent="0.25">
      <c r="A163" s="7">
        <f>DATE(YEAR(m6_crossvalid[[#This Row],[cutoff]]),MONTH(m6_crossvalid[[#This Row],[cutoff]]),DAY(m6_crossvalid[[#This Row],[cutoff]]))</f>
        <v>45808</v>
      </c>
      <c r="B163" s="7">
        <f>DATE(YEAR(m6_crossvalid[[#This Row],[ds]]),MONTH(m6_crossvalid[[#This Row],[ds]]),DAY(m6_crossvalid[[#This Row],[ds]]))</f>
        <v>45815</v>
      </c>
      <c r="C163">
        <v>16.999999999999996</v>
      </c>
      <c r="D163" s="1">
        <v>45815.333333333336</v>
      </c>
      <c r="E163">
        <v>106.67872073563024</v>
      </c>
      <c r="F163">
        <v>56.198965698646376</v>
      </c>
      <c r="G163">
        <v>197.70704925077075</v>
      </c>
      <c r="H163" s="1">
        <v>45808.333333333336</v>
      </c>
    </row>
    <row r="164" spans="1:8" x14ac:dyDescent="0.25">
      <c r="A164" s="7">
        <f>DATE(YEAR(m6_crossvalid[[#This Row],[cutoff]]),MONTH(m6_crossvalid[[#This Row],[cutoff]]),DAY(m6_crossvalid[[#This Row],[cutoff]]))</f>
        <v>45808</v>
      </c>
      <c r="B164" s="7">
        <f>DATE(YEAR(m6_crossvalid[[#This Row],[ds]]),MONTH(m6_crossvalid[[#This Row],[ds]]),DAY(m6_crossvalid[[#This Row],[ds]]))</f>
        <v>45816</v>
      </c>
      <c r="C164">
        <v>2.0000000000000004</v>
      </c>
      <c r="D164" s="1">
        <v>45816.333333333336</v>
      </c>
      <c r="E164">
        <v>72.534261664821614</v>
      </c>
      <c r="F164">
        <v>37.76197416289925</v>
      </c>
      <c r="G164">
        <v>142.63504614303582</v>
      </c>
      <c r="H164" s="1">
        <v>45808.333333333336</v>
      </c>
    </row>
    <row r="165" spans="1:8" x14ac:dyDescent="0.25">
      <c r="A165" s="7">
        <f>DATE(YEAR(m6_crossvalid[[#This Row],[cutoff]]),MONTH(m6_crossvalid[[#This Row],[cutoff]]),DAY(m6_crossvalid[[#This Row],[cutoff]]))</f>
        <v>45808</v>
      </c>
      <c r="B165" s="7">
        <f>DATE(YEAR(m6_crossvalid[[#This Row],[ds]]),MONTH(m6_crossvalid[[#This Row],[ds]]),DAY(m6_crossvalid[[#This Row],[ds]]))</f>
        <v>45817</v>
      </c>
      <c r="C165">
        <v>715.99999999999989</v>
      </c>
      <c r="D165" s="1">
        <v>45817.333333333336</v>
      </c>
      <c r="E165">
        <v>1036.1157629566528</v>
      </c>
      <c r="F165">
        <v>534.06825257373293</v>
      </c>
      <c r="G165">
        <v>1996.9350978796094</v>
      </c>
      <c r="H165" s="1">
        <v>45808.333333333336</v>
      </c>
    </row>
    <row r="166" spans="1:8" x14ac:dyDescent="0.25">
      <c r="A166" s="7">
        <f>DATE(YEAR(m6_crossvalid[[#This Row],[cutoff]]),MONTH(m6_crossvalid[[#This Row],[cutoff]]),DAY(m6_crossvalid[[#This Row],[cutoff]]))</f>
        <v>45808</v>
      </c>
      <c r="B166" s="7">
        <f>DATE(YEAR(m6_crossvalid[[#This Row],[ds]]),MONTH(m6_crossvalid[[#This Row],[ds]]),DAY(m6_crossvalid[[#This Row],[ds]]))</f>
        <v>45818</v>
      </c>
      <c r="C166">
        <v>1128.9999999999995</v>
      </c>
      <c r="D166" s="1">
        <v>45818.333333333336</v>
      </c>
      <c r="E166">
        <v>1176.2400812933306</v>
      </c>
      <c r="F166">
        <v>635.22627754128166</v>
      </c>
      <c r="G166">
        <v>2216.6267786756216</v>
      </c>
      <c r="H166" s="1">
        <v>45808.333333333336</v>
      </c>
    </row>
    <row r="167" spans="1:8" x14ac:dyDescent="0.25">
      <c r="A167" s="7">
        <f>DATE(YEAR(m6_crossvalid[[#This Row],[cutoff]]),MONTH(m6_crossvalid[[#This Row],[cutoff]]),DAY(m6_crossvalid[[#This Row],[cutoff]]))</f>
        <v>45808</v>
      </c>
      <c r="B167" s="7">
        <f>DATE(YEAR(m6_crossvalid[[#This Row],[ds]]),MONTH(m6_crossvalid[[#This Row],[ds]]),DAY(m6_crossvalid[[#This Row],[ds]]))</f>
        <v>45819</v>
      </c>
      <c r="C167">
        <v>1387.0000000000005</v>
      </c>
      <c r="D167" s="1">
        <v>45819.333333333336</v>
      </c>
      <c r="E167">
        <v>1207.8202331886196</v>
      </c>
      <c r="F167">
        <v>650.96022165182796</v>
      </c>
      <c r="G167">
        <v>2301.0174255374436</v>
      </c>
      <c r="H167" s="1">
        <v>45808.333333333336</v>
      </c>
    </row>
    <row r="168" spans="1:8" x14ac:dyDescent="0.25">
      <c r="A168" s="7">
        <f>DATE(YEAR(m6_crossvalid[[#This Row],[cutoff]]),MONTH(m6_crossvalid[[#This Row],[cutoff]]),DAY(m6_crossvalid[[#This Row],[cutoff]]))</f>
        <v>45808</v>
      </c>
      <c r="B168" s="7">
        <f>DATE(YEAR(m6_crossvalid[[#This Row],[ds]]),MONTH(m6_crossvalid[[#This Row],[ds]]),DAY(m6_crossvalid[[#This Row],[ds]]))</f>
        <v>45820</v>
      </c>
      <c r="C168">
        <v>1689.0000000000005</v>
      </c>
      <c r="D168" s="1">
        <v>45820.333333333336</v>
      </c>
      <c r="E168">
        <v>1597.7947946755721</v>
      </c>
      <c r="F168">
        <v>858.78303769601689</v>
      </c>
      <c r="G168">
        <v>3015.1485118597702</v>
      </c>
      <c r="H168" s="1">
        <v>45808.333333333336</v>
      </c>
    </row>
    <row r="169" spans="1:8" x14ac:dyDescent="0.25">
      <c r="A169" s="7">
        <f>DATE(YEAR(m6_crossvalid[[#This Row],[cutoff]]),MONTH(m6_crossvalid[[#This Row],[cutoff]]),DAY(m6_crossvalid[[#This Row],[cutoff]]))</f>
        <v>45808</v>
      </c>
      <c r="B169" s="7">
        <f>DATE(YEAR(m6_crossvalid[[#This Row],[ds]]),MONTH(m6_crossvalid[[#This Row],[ds]]),DAY(m6_crossvalid[[#This Row],[ds]]))</f>
        <v>45821</v>
      </c>
      <c r="C169">
        <v>1883.0000000000002</v>
      </c>
      <c r="D169" s="1">
        <v>45821.333333333336</v>
      </c>
      <c r="E169">
        <v>1424.4638181023649</v>
      </c>
      <c r="F169">
        <v>765.13264650791098</v>
      </c>
      <c r="G169">
        <v>2745.0243281827156</v>
      </c>
      <c r="H169" s="1">
        <v>45808.333333333336</v>
      </c>
    </row>
    <row r="170" spans="1:8" x14ac:dyDescent="0.25">
      <c r="A170" s="7">
        <f>DATE(YEAR(m6_crossvalid[[#This Row],[cutoff]]),MONTH(m6_crossvalid[[#This Row],[cutoff]]),DAY(m6_crossvalid[[#This Row],[cutoff]]))</f>
        <v>45808</v>
      </c>
      <c r="B170" s="7">
        <f>DATE(YEAR(m6_crossvalid[[#This Row],[ds]]),MONTH(m6_crossvalid[[#This Row],[ds]]),DAY(m6_crossvalid[[#This Row],[ds]]))</f>
        <v>45822</v>
      </c>
      <c r="C170">
        <v>279.99999999999989</v>
      </c>
      <c r="D170" s="1">
        <v>45822.333333333336</v>
      </c>
      <c r="E170">
        <v>315.51021094812859</v>
      </c>
      <c r="F170">
        <v>165.15782403772059</v>
      </c>
      <c r="G170">
        <v>600.35883312887938</v>
      </c>
      <c r="H170" s="1">
        <v>45808.333333333336</v>
      </c>
    </row>
    <row r="171" spans="1:8" x14ac:dyDescent="0.25">
      <c r="A171" s="7">
        <f>DATE(YEAR(m6_crossvalid[[#This Row],[cutoff]]),MONTH(m6_crossvalid[[#This Row],[cutoff]]),DAY(m6_crossvalid[[#This Row],[cutoff]]))</f>
        <v>45808</v>
      </c>
      <c r="B171" s="7">
        <f>DATE(YEAR(m6_crossvalid[[#This Row],[ds]]),MONTH(m6_crossvalid[[#This Row],[ds]]),DAY(m6_crossvalid[[#This Row],[ds]]))</f>
        <v>45823</v>
      </c>
      <c r="C171">
        <v>71</v>
      </c>
      <c r="D171" s="1">
        <v>45823.333333333336</v>
      </c>
      <c r="E171">
        <v>131.95212224431015</v>
      </c>
      <c r="F171">
        <v>68.991278148007424</v>
      </c>
      <c r="G171">
        <v>250.86394572133452</v>
      </c>
      <c r="H171" s="1">
        <v>45808.333333333336</v>
      </c>
    </row>
    <row r="172" spans="1:8" x14ac:dyDescent="0.25">
      <c r="A172" s="7">
        <f>DATE(YEAR(m6_crossvalid[[#This Row],[cutoff]]),MONTH(m6_crossvalid[[#This Row],[cutoff]]),DAY(m6_crossvalid[[#This Row],[cutoff]]))</f>
        <v>45808</v>
      </c>
      <c r="B172" s="7">
        <f>DATE(YEAR(m6_crossvalid[[#This Row],[ds]]),MONTH(m6_crossvalid[[#This Row],[ds]]),DAY(m6_crossvalid[[#This Row],[ds]]))</f>
        <v>45824</v>
      </c>
      <c r="C172">
        <v>1851.9999999999998</v>
      </c>
      <c r="D172" s="1">
        <v>45824.333333333336</v>
      </c>
      <c r="E172">
        <v>1756.6942508821905</v>
      </c>
      <c r="F172">
        <v>892.22131570567421</v>
      </c>
      <c r="G172">
        <v>3424.6927455681111</v>
      </c>
      <c r="H172" s="1">
        <v>45808.333333333336</v>
      </c>
    </row>
    <row r="173" spans="1:8" x14ac:dyDescent="0.25">
      <c r="A173" s="7">
        <f>DATE(YEAR(m6_crossvalid[[#This Row],[cutoff]]),MONTH(m6_crossvalid[[#This Row],[cutoff]]),DAY(m6_crossvalid[[#This Row],[cutoff]]))</f>
        <v>45808</v>
      </c>
      <c r="B173" s="7">
        <f>DATE(YEAR(m6_crossvalid[[#This Row],[ds]]),MONTH(m6_crossvalid[[#This Row],[ds]]),DAY(m6_crossvalid[[#This Row],[ds]]))</f>
        <v>45825</v>
      </c>
      <c r="C173">
        <v>2251.0000000000009</v>
      </c>
      <c r="D173" s="1">
        <v>45825.333333333336</v>
      </c>
      <c r="E173">
        <v>2281.4184810640181</v>
      </c>
      <c r="F173">
        <v>1219.7116301699557</v>
      </c>
      <c r="G173">
        <v>4320.0173599430182</v>
      </c>
      <c r="H173" s="1">
        <v>45808.333333333336</v>
      </c>
    </row>
    <row r="174" spans="1:8" x14ac:dyDescent="0.25">
      <c r="A174" s="7">
        <f>DATE(YEAR(m6_crossvalid[[#This Row],[cutoff]]),MONTH(m6_crossvalid[[#This Row],[cutoff]]),DAY(m6_crossvalid[[#This Row],[cutoff]]))</f>
        <v>45808</v>
      </c>
      <c r="B174" s="7">
        <f>DATE(YEAR(m6_crossvalid[[#This Row],[ds]]),MONTH(m6_crossvalid[[#This Row],[ds]]),DAY(m6_crossvalid[[#This Row],[ds]]))</f>
        <v>45826</v>
      </c>
      <c r="C174">
        <v>2551.9999999999995</v>
      </c>
      <c r="D174" s="1">
        <v>45826.333333333336</v>
      </c>
      <c r="E174">
        <v>2522.711663491501</v>
      </c>
      <c r="F174">
        <v>1269.8507168383767</v>
      </c>
      <c r="G174">
        <v>4728.6342895864746</v>
      </c>
      <c r="H174" s="1">
        <v>45808.333333333336</v>
      </c>
    </row>
    <row r="175" spans="1:8" x14ac:dyDescent="0.25">
      <c r="A175" s="7">
        <f>DATE(YEAR(m6_crossvalid[[#This Row],[cutoff]]),MONTH(m6_crossvalid[[#This Row],[cutoff]]),DAY(m6_crossvalid[[#This Row],[cutoff]]))</f>
        <v>45808</v>
      </c>
      <c r="B175" s="7">
        <f>DATE(YEAR(m6_crossvalid[[#This Row],[ds]]),MONTH(m6_crossvalid[[#This Row],[ds]]),DAY(m6_crossvalid[[#This Row],[ds]]))</f>
        <v>45827</v>
      </c>
      <c r="C175">
        <v>2813.0000000000005</v>
      </c>
      <c r="D175" s="1">
        <v>45827.333333333336</v>
      </c>
      <c r="E175">
        <v>2846.2977400000777</v>
      </c>
      <c r="F175">
        <v>1486.3359849456374</v>
      </c>
      <c r="G175">
        <v>5645.6105389196337</v>
      </c>
      <c r="H175" s="1">
        <v>45808.333333333336</v>
      </c>
    </row>
    <row r="176" spans="1:8" x14ac:dyDescent="0.25">
      <c r="A176" s="7">
        <f>DATE(YEAR(m6_crossvalid[[#This Row],[cutoff]]),MONTH(m6_crossvalid[[#This Row],[cutoff]]),DAY(m6_crossvalid[[#This Row],[cutoff]]))</f>
        <v>45808</v>
      </c>
      <c r="B176" s="7">
        <f>DATE(YEAR(m6_crossvalid[[#This Row],[ds]]),MONTH(m6_crossvalid[[#This Row],[ds]]),DAY(m6_crossvalid[[#This Row],[ds]]))</f>
        <v>45828</v>
      </c>
      <c r="C176">
        <v>3023.0000000000018</v>
      </c>
      <c r="D176" s="1">
        <v>45828.333333333336</v>
      </c>
      <c r="E176">
        <v>2805.0233217389327</v>
      </c>
      <c r="F176">
        <v>1466.5501046592392</v>
      </c>
      <c r="G176">
        <v>5309.7310121868049</v>
      </c>
      <c r="H176" s="1">
        <v>45808.333333333336</v>
      </c>
    </row>
    <row r="177" spans="1:8" x14ac:dyDescent="0.25">
      <c r="A177" s="7">
        <f>DATE(YEAR(m6_crossvalid[[#This Row],[cutoff]]),MONTH(m6_crossvalid[[#This Row],[cutoff]]),DAY(m6_crossvalid[[#This Row],[cutoff]]))</f>
        <v>45808</v>
      </c>
      <c r="B177" s="7">
        <f>DATE(YEAR(m6_crossvalid[[#This Row],[ds]]),MONTH(m6_crossvalid[[#This Row],[ds]]),DAY(m6_crossvalid[[#This Row],[ds]]))</f>
        <v>45829</v>
      </c>
      <c r="C177">
        <v>359.99999999999983</v>
      </c>
      <c r="D177" s="1">
        <v>45829.333333333336</v>
      </c>
      <c r="E177">
        <v>512.87780066807966</v>
      </c>
      <c r="F177">
        <v>261.39701045936113</v>
      </c>
      <c r="G177">
        <v>973.229205929523</v>
      </c>
      <c r="H177" s="1">
        <v>45808.333333333336</v>
      </c>
    </row>
    <row r="178" spans="1:8" x14ac:dyDescent="0.25">
      <c r="A178" s="7">
        <f>DATE(YEAR(m6_crossvalid[[#This Row],[cutoff]]),MONTH(m6_crossvalid[[#This Row],[cutoff]]),DAY(m6_crossvalid[[#This Row],[cutoff]]))</f>
        <v>45808</v>
      </c>
      <c r="B178" s="7">
        <f>DATE(YEAR(m6_crossvalid[[#This Row],[ds]]),MONTH(m6_crossvalid[[#This Row],[ds]]),DAY(m6_crossvalid[[#This Row],[ds]]))</f>
        <v>45830</v>
      </c>
      <c r="C178">
        <v>128.99999999999997</v>
      </c>
      <c r="D178" s="1">
        <v>45830.333333333336</v>
      </c>
      <c r="E178">
        <v>209.7601382922891</v>
      </c>
      <c r="F178">
        <v>107.64383617051092</v>
      </c>
      <c r="G178">
        <v>400.30171542532673</v>
      </c>
      <c r="H178" s="1">
        <v>45808.333333333336</v>
      </c>
    </row>
    <row r="179" spans="1:8" x14ac:dyDescent="0.25">
      <c r="A179" s="7">
        <f>DATE(YEAR(m6_crossvalid[[#This Row],[cutoff]]),MONTH(m6_crossvalid[[#This Row],[cutoff]]),DAY(m6_crossvalid[[#This Row],[cutoff]]))</f>
        <v>45808</v>
      </c>
      <c r="B179" s="7">
        <f>DATE(YEAR(m6_crossvalid[[#This Row],[ds]]),MONTH(m6_crossvalid[[#This Row],[ds]]),DAY(m6_crossvalid[[#This Row],[ds]]))</f>
        <v>45831</v>
      </c>
      <c r="C179">
        <v>3291.0000000000005</v>
      </c>
      <c r="D179" s="1">
        <v>45831.333333333336</v>
      </c>
      <c r="E179">
        <v>2708.1661359650798</v>
      </c>
      <c r="F179">
        <v>1554.1490342278421</v>
      </c>
      <c r="G179">
        <v>5116.8516545106522</v>
      </c>
      <c r="H179" s="1">
        <v>45808.333333333336</v>
      </c>
    </row>
    <row r="180" spans="1:8" x14ac:dyDescent="0.25">
      <c r="A180" s="7">
        <f>DATE(YEAR(m6_crossvalid[[#This Row],[cutoff]]),MONTH(m6_crossvalid[[#This Row],[cutoff]]),DAY(m6_crossvalid[[#This Row],[cutoff]]))</f>
        <v>45808</v>
      </c>
      <c r="B180" s="7">
        <f>DATE(YEAR(m6_crossvalid[[#This Row],[ds]]),MONTH(m6_crossvalid[[#This Row],[ds]]),DAY(m6_crossvalid[[#This Row],[ds]]))</f>
        <v>45832</v>
      </c>
      <c r="C180">
        <v>3743.0000000000023</v>
      </c>
      <c r="D180" s="1">
        <v>45832.333333333336</v>
      </c>
      <c r="E180">
        <v>6190.4451743036543</v>
      </c>
      <c r="F180">
        <v>3243.099243367787</v>
      </c>
      <c r="G180">
        <v>11839.602369390928</v>
      </c>
      <c r="H180" s="1">
        <v>45808.333333333336</v>
      </c>
    </row>
    <row r="181" spans="1:8" x14ac:dyDescent="0.25">
      <c r="A181" s="7">
        <f>DATE(YEAR(m6_crossvalid[[#This Row],[cutoff]]),MONTH(m6_crossvalid[[#This Row],[cutoff]]),DAY(m6_crossvalid[[#This Row],[cutoff]]))</f>
        <v>45808</v>
      </c>
      <c r="B181" s="7">
        <f>DATE(YEAR(m6_crossvalid[[#This Row],[ds]]),MONTH(m6_crossvalid[[#This Row],[ds]]),DAY(m6_crossvalid[[#This Row],[ds]]))</f>
        <v>45833</v>
      </c>
      <c r="C181">
        <v>4575.9999999999991</v>
      </c>
      <c r="D181" s="1">
        <v>45833.333333333336</v>
      </c>
      <c r="E181">
        <v>6130.5403655335549</v>
      </c>
      <c r="F181">
        <v>3067.853537370846</v>
      </c>
      <c r="G181">
        <v>11015.874273901773</v>
      </c>
      <c r="H181" s="1">
        <v>45808.333333333336</v>
      </c>
    </row>
    <row r="182" spans="1:8" x14ac:dyDescent="0.25">
      <c r="A182" s="7">
        <f>DATE(YEAR(m6_crossvalid[[#This Row],[cutoff]]),MONTH(m6_crossvalid[[#This Row],[cutoff]]),DAY(m6_crossvalid[[#This Row],[cutoff]]))</f>
        <v>45808</v>
      </c>
      <c r="B182" s="7">
        <f>DATE(YEAR(m6_crossvalid[[#This Row],[ds]]),MONTH(m6_crossvalid[[#This Row],[ds]]),DAY(m6_crossvalid[[#This Row],[ds]]))</f>
        <v>45834</v>
      </c>
      <c r="C182">
        <v>6204.9999999999964</v>
      </c>
      <c r="D182" s="1">
        <v>45834.333333333336</v>
      </c>
      <c r="E182">
        <v>6102.242828714343</v>
      </c>
      <c r="F182">
        <v>3155.3226935551479</v>
      </c>
      <c r="G182">
        <v>11935.521422457827</v>
      </c>
      <c r="H182" s="1">
        <v>45808.333333333336</v>
      </c>
    </row>
    <row r="183" spans="1:8" x14ac:dyDescent="0.25">
      <c r="A183" s="7">
        <f>DATE(YEAR(m6_crossvalid[[#This Row],[cutoff]]),MONTH(m6_crossvalid[[#This Row],[cutoff]]),DAY(m6_crossvalid[[#This Row],[cutoff]]))</f>
        <v>45808</v>
      </c>
      <c r="B183" s="7">
        <f>DATE(YEAR(m6_crossvalid[[#This Row],[ds]]),MONTH(m6_crossvalid[[#This Row],[ds]]),DAY(m6_crossvalid[[#This Row],[ds]]))</f>
        <v>45835</v>
      </c>
      <c r="C183">
        <v>814.00000000000011</v>
      </c>
      <c r="D183" s="1">
        <v>45835.333333333336</v>
      </c>
      <c r="E183">
        <v>668.10839349306195</v>
      </c>
      <c r="F183">
        <v>339.3657479788867</v>
      </c>
      <c r="G183">
        <v>1198.6856717384467</v>
      </c>
      <c r="H183" s="1">
        <v>45808.333333333336</v>
      </c>
    </row>
    <row r="184" spans="1:8" x14ac:dyDescent="0.25">
      <c r="A184" s="7">
        <f>DATE(YEAR(m6_crossvalid[[#This Row],[cutoff]]),MONTH(m6_crossvalid[[#This Row],[cutoff]]),DAY(m6_crossvalid[[#This Row],[cutoff]]))</f>
        <v>45808</v>
      </c>
      <c r="B184" s="7">
        <f>DATE(YEAR(m6_crossvalid[[#This Row],[ds]]),MONTH(m6_crossvalid[[#This Row],[ds]]),DAY(m6_crossvalid[[#This Row],[ds]]))</f>
        <v>45836</v>
      </c>
      <c r="C184">
        <v>2326.0000000000009</v>
      </c>
      <c r="D184" s="1">
        <v>45836.333333333336</v>
      </c>
      <c r="E184">
        <v>982.93575912920676</v>
      </c>
      <c r="F184">
        <v>527.57593264751983</v>
      </c>
      <c r="G184">
        <v>1931.1269744849437</v>
      </c>
      <c r="H184" s="1">
        <v>45808.333333333336</v>
      </c>
    </row>
    <row r="185" spans="1:8" x14ac:dyDescent="0.25">
      <c r="A185" s="7">
        <f>DATE(YEAR(m6_crossvalid[[#This Row],[cutoff]]),MONTH(m6_crossvalid[[#This Row],[cutoff]]),DAY(m6_crossvalid[[#This Row],[cutoff]]))</f>
        <v>45808</v>
      </c>
      <c r="B185" s="7">
        <f>DATE(YEAR(m6_crossvalid[[#This Row],[ds]]),MONTH(m6_crossvalid[[#This Row],[ds]]),DAY(m6_crossvalid[[#This Row],[ds]]))</f>
        <v>45837</v>
      </c>
      <c r="C185">
        <v>426.99999999999989</v>
      </c>
      <c r="D185" s="1">
        <v>45837.333333333336</v>
      </c>
      <c r="E185">
        <v>750.56343586997536</v>
      </c>
      <c r="F185">
        <v>380.30277768468136</v>
      </c>
      <c r="G185">
        <v>1444.2311159665701</v>
      </c>
      <c r="H185" s="1">
        <v>45808.333333333336</v>
      </c>
    </row>
    <row r="186" spans="1:8" x14ac:dyDescent="0.25">
      <c r="A186" s="7">
        <f>DATE(YEAR(m6_crossvalid[[#This Row],[cutoff]]),MONTH(m6_crossvalid[[#This Row],[cutoff]]),DAY(m6_crossvalid[[#This Row],[cutoff]]))</f>
        <v>45808</v>
      </c>
      <c r="B186" s="7">
        <f>DATE(YEAR(m6_crossvalid[[#This Row],[ds]]),MONTH(m6_crossvalid[[#This Row],[ds]]),DAY(m6_crossvalid[[#This Row],[ds]]))</f>
        <v>45838</v>
      </c>
      <c r="C186">
        <v>13623.999999999989</v>
      </c>
      <c r="D186" s="1">
        <v>45838.333333333336</v>
      </c>
      <c r="E186">
        <v>15041.906036195907</v>
      </c>
      <c r="F186">
        <v>7703.6419978508038</v>
      </c>
      <c r="G186">
        <v>28065.120736023691</v>
      </c>
      <c r="H186" s="1">
        <v>45808.333333333336</v>
      </c>
    </row>
    <row r="187" spans="1:8" x14ac:dyDescent="0.25">
      <c r="A187" s="7">
        <f>DATE(YEAR(m6_crossvalid[[#This Row],[cutoff]]),MONTH(m6_crossvalid[[#This Row],[cutoff]]),DAY(m6_crossvalid[[#This Row],[cutoff]]))</f>
        <v>45808</v>
      </c>
      <c r="B187" s="7">
        <f>DATE(YEAR(m6_crossvalid[[#This Row],[ds]]),MONTH(m6_crossvalid[[#This Row],[ds]]),DAY(m6_crossvalid[[#This Row],[ds]]))</f>
        <v>45839</v>
      </c>
      <c r="C187">
        <v>623.99999999999977</v>
      </c>
      <c r="D187" s="1">
        <v>45839.333333333336</v>
      </c>
      <c r="E187">
        <v>1300.1128267110882</v>
      </c>
      <c r="F187">
        <v>680.0521933215548</v>
      </c>
      <c r="G187">
        <v>2310.0434069920984</v>
      </c>
      <c r="H187" s="1">
        <v>45808.333333333336</v>
      </c>
    </row>
    <row r="188" spans="1:8" x14ac:dyDescent="0.25">
      <c r="A188" s="7">
        <f>DATE(YEAR(m6_crossvalid[[#This Row],[cutoff]]),MONTH(m6_crossvalid[[#This Row],[cutoff]]),DAY(m6_crossvalid[[#This Row],[cutoff]]))</f>
        <v>45838</v>
      </c>
      <c r="B188" s="7">
        <f>DATE(YEAR(m6_crossvalid[[#This Row],[ds]]),MONTH(m6_crossvalid[[#This Row],[ds]]),DAY(m6_crossvalid[[#This Row],[ds]]))</f>
        <v>45839</v>
      </c>
      <c r="C188">
        <v>623.99999999999977</v>
      </c>
      <c r="D188" s="1">
        <v>45839.333333333336</v>
      </c>
      <c r="E188">
        <v>1299.0491354804988</v>
      </c>
      <c r="F188">
        <v>626.92602718085948</v>
      </c>
      <c r="G188">
        <v>2429.8189854978664</v>
      </c>
      <c r="H188" s="1">
        <v>45838.333333333336</v>
      </c>
    </row>
    <row r="189" spans="1:8" x14ac:dyDescent="0.25">
      <c r="A189" s="7">
        <f>DATE(YEAR(m6_crossvalid[[#This Row],[cutoff]]),MONTH(m6_crossvalid[[#This Row],[cutoff]]),DAY(m6_crossvalid[[#This Row],[cutoff]]))</f>
        <v>45838</v>
      </c>
      <c r="B189" s="7">
        <f>DATE(YEAR(m6_crossvalid[[#This Row],[ds]]),MONTH(m6_crossvalid[[#This Row],[ds]]),DAY(m6_crossvalid[[#This Row],[ds]]))</f>
        <v>45840</v>
      </c>
      <c r="C189">
        <v>732.99999999999966</v>
      </c>
      <c r="D189" s="1">
        <v>45840.333333333336</v>
      </c>
      <c r="E189">
        <v>818.07098640576658</v>
      </c>
      <c r="F189">
        <v>419.99856090017443</v>
      </c>
      <c r="G189">
        <v>1649.1071478570129</v>
      </c>
      <c r="H189" s="1">
        <v>45838.333333333336</v>
      </c>
    </row>
    <row r="190" spans="1:8" x14ac:dyDescent="0.25">
      <c r="A190" s="7">
        <f>DATE(YEAR(m6_crossvalid[[#This Row],[cutoff]]),MONTH(m6_crossvalid[[#This Row],[cutoff]]),DAY(m6_crossvalid[[#This Row],[cutoff]]))</f>
        <v>45838</v>
      </c>
      <c r="B190" s="7">
        <f>DATE(YEAR(m6_crossvalid[[#This Row],[ds]]),MONTH(m6_crossvalid[[#This Row],[ds]]),DAY(m6_crossvalid[[#This Row],[ds]]))</f>
        <v>45841</v>
      </c>
      <c r="C190">
        <v>1036.0000000000002</v>
      </c>
      <c r="D190" s="1">
        <v>45841.333333333336</v>
      </c>
      <c r="E190">
        <v>1098.0801840801037</v>
      </c>
      <c r="F190">
        <v>559.97384405647585</v>
      </c>
      <c r="G190">
        <v>2174.9165276917793</v>
      </c>
      <c r="H190" s="1">
        <v>45838.333333333336</v>
      </c>
    </row>
    <row r="191" spans="1:8" x14ac:dyDescent="0.25">
      <c r="A191" s="7">
        <f>DATE(YEAR(m6_crossvalid[[#This Row],[cutoff]]),MONTH(m6_crossvalid[[#This Row],[cutoff]]),DAY(m6_crossvalid[[#This Row],[cutoff]]))</f>
        <v>45838</v>
      </c>
      <c r="B191" s="7">
        <f>DATE(YEAR(m6_crossvalid[[#This Row],[ds]]),MONTH(m6_crossvalid[[#This Row],[ds]]),DAY(m6_crossvalid[[#This Row],[ds]]))</f>
        <v>45842</v>
      </c>
      <c r="C191">
        <v>1188.9999999999995</v>
      </c>
      <c r="D191" s="1">
        <v>45842.333333333336</v>
      </c>
      <c r="E191">
        <v>855.2369253259111</v>
      </c>
      <c r="F191">
        <v>429.09426013622868</v>
      </c>
      <c r="G191">
        <v>1769.4209044607176</v>
      </c>
      <c r="H191" s="1">
        <v>45838.333333333336</v>
      </c>
    </row>
    <row r="192" spans="1:8" x14ac:dyDescent="0.25">
      <c r="A192" s="7">
        <f>DATE(YEAR(m6_crossvalid[[#This Row],[cutoff]]),MONTH(m6_crossvalid[[#This Row],[cutoff]]),DAY(m6_crossvalid[[#This Row],[cutoff]]))</f>
        <v>45838</v>
      </c>
      <c r="B192" s="7">
        <f>DATE(YEAR(m6_crossvalid[[#This Row],[ds]]),MONTH(m6_crossvalid[[#This Row],[ds]]),DAY(m6_crossvalid[[#This Row],[ds]]))</f>
        <v>45843</v>
      </c>
      <c r="C192">
        <v>170.00000000000009</v>
      </c>
      <c r="D192" s="1">
        <v>45843.333333333336</v>
      </c>
      <c r="E192">
        <v>130.5615766333768</v>
      </c>
      <c r="F192">
        <v>62.031391906696456</v>
      </c>
      <c r="G192">
        <v>245.68655486936606</v>
      </c>
      <c r="H192" s="1">
        <v>45838.333333333336</v>
      </c>
    </row>
    <row r="193" spans="1:8" x14ac:dyDescent="0.25">
      <c r="A193" s="7">
        <f>DATE(YEAR(m6_crossvalid[[#This Row],[cutoff]]),MONTH(m6_crossvalid[[#This Row],[cutoff]]),DAY(m6_crossvalid[[#This Row],[cutoff]]))</f>
        <v>45838</v>
      </c>
      <c r="B193" s="7">
        <f>DATE(YEAR(m6_crossvalid[[#This Row],[ds]]),MONTH(m6_crossvalid[[#This Row],[ds]]),DAY(m6_crossvalid[[#This Row],[ds]]))</f>
        <v>45844</v>
      </c>
      <c r="C193">
        <v>30</v>
      </c>
      <c r="D193" s="1">
        <v>45844.333333333336</v>
      </c>
      <c r="E193">
        <v>50.386421501378329</v>
      </c>
      <c r="F193">
        <v>25.805175136297521</v>
      </c>
      <c r="G193">
        <v>95.521462164743014</v>
      </c>
      <c r="H193" s="1">
        <v>45838.333333333336</v>
      </c>
    </row>
    <row r="194" spans="1:8" x14ac:dyDescent="0.25">
      <c r="A194" s="7">
        <f>DATE(YEAR(m6_crossvalid[[#This Row],[cutoff]]),MONTH(m6_crossvalid[[#This Row],[cutoff]]),DAY(m6_crossvalid[[#This Row],[cutoff]]))</f>
        <v>45838</v>
      </c>
      <c r="B194" s="7">
        <f>DATE(YEAR(m6_crossvalid[[#This Row],[ds]]),MONTH(m6_crossvalid[[#This Row],[ds]]),DAY(m6_crossvalid[[#This Row],[ds]]))</f>
        <v>45845</v>
      </c>
      <c r="C194">
        <v>1217.9999999999995</v>
      </c>
      <c r="D194" s="1">
        <v>45845.333333333336</v>
      </c>
      <c r="E194">
        <v>681.26011703519737</v>
      </c>
      <c r="F194">
        <v>357.67941247673645</v>
      </c>
      <c r="G194">
        <v>1294.1555176817037</v>
      </c>
      <c r="H194" s="1">
        <v>45838.333333333336</v>
      </c>
    </row>
    <row r="195" spans="1:8" x14ac:dyDescent="0.25">
      <c r="A195" s="7">
        <f>DATE(YEAR(m6_crossvalid[[#This Row],[cutoff]]),MONTH(m6_crossvalid[[#This Row],[cutoff]]),DAY(m6_crossvalid[[#This Row],[cutoff]]))</f>
        <v>45838</v>
      </c>
      <c r="B195" s="7">
        <f>DATE(YEAR(m6_crossvalid[[#This Row],[ds]]),MONTH(m6_crossvalid[[#This Row],[ds]]),DAY(m6_crossvalid[[#This Row],[ds]]))</f>
        <v>45846</v>
      </c>
      <c r="C195">
        <v>1543.0000000000005</v>
      </c>
      <c r="D195" s="1">
        <v>45846.333333333336</v>
      </c>
      <c r="E195">
        <v>1689.9950631419426</v>
      </c>
      <c r="F195">
        <v>865.86420155952419</v>
      </c>
      <c r="G195">
        <v>3287.5995536615073</v>
      </c>
      <c r="H195" s="1">
        <v>45838.333333333336</v>
      </c>
    </row>
    <row r="196" spans="1:8" x14ac:dyDescent="0.25">
      <c r="A196" s="7">
        <f>DATE(YEAR(m6_crossvalid[[#This Row],[cutoff]]),MONTH(m6_crossvalid[[#This Row],[cutoff]]),DAY(m6_crossvalid[[#This Row],[cutoff]]))</f>
        <v>45838</v>
      </c>
      <c r="B196" s="7">
        <f>DATE(YEAR(m6_crossvalid[[#This Row],[ds]]),MONTH(m6_crossvalid[[#This Row],[ds]]),DAY(m6_crossvalid[[#This Row],[ds]]))</f>
        <v>45847</v>
      </c>
      <c r="C196">
        <v>2119.9999999999995</v>
      </c>
      <c r="D196" s="1">
        <v>45847.333333333336</v>
      </c>
      <c r="E196">
        <v>1713.0417377902186</v>
      </c>
      <c r="F196">
        <v>855.2916364475974</v>
      </c>
      <c r="G196">
        <v>3352.996363079782</v>
      </c>
      <c r="H196" s="1">
        <v>45838.333333333336</v>
      </c>
    </row>
    <row r="197" spans="1:8" x14ac:dyDescent="0.25">
      <c r="A197" s="7">
        <f>DATE(YEAR(m6_crossvalid[[#This Row],[cutoff]]),MONTH(m6_crossvalid[[#This Row],[cutoff]]),DAY(m6_crossvalid[[#This Row],[cutoff]]))</f>
        <v>45838</v>
      </c>
      <c r="B197" s="7">
        <f>DATE(YEAR(m6_crossvalid[[#This Row],[ds]]),MONTH(m6_crossvalid[[#This Row],[ds]]),DAY(m6_crossvalid[[#This Row],[ds]]))</f>
        <v>45848</v>
      </c>
      <c r="C197">
        <v>2298</v>
      </c>
      <c r="D197" s="1">
        <v>45848.333333333336</v>
      </c>
      <c r="E197">
        <v>1677.0541013372365</v>
      </c>
      <c r="F197">
        <v>865.25746856042076</v>
      </c>
      <c r="G197">
        <v>3281.373143990189</v>
      </c>
      <c r="H197" s="1">
        <v>45838.333333333336</v>
      </c>
    </row>
    <row r="198" spans="1:8" x14ac:dyDescent="0.25">
      <c r="A198" s="7">
        <f>DATE(YEAR(m6_crossvalid[[#This Row],[cutoff]]),MONTH(m6_crossvalid[[#This Row],[cutoff]]),DAY(m6_crossvalid[[#This Row],[cutoff]]))</f>
        <v>45838</v>
      </c>
      <c r="B198" s="7">
        <f>DATE(YEAR(m6_crossvalid[[#This Row],[ds]]),MONTH(m6_crossvalid[[#This Row],[ds]]),DAY(m6_crossvalid[[#This Row],[ds]]))</f>
        <v>45849</v>
      </c>
      <c r="C198">
        <v>2183.0000000000005</v>
      </c>
      <c r="D198" s="1">
        <v>45849.333333333336</v>
      </c>
      <c r="E198">
        <v>1530.8799075354846</v>
      </c>
      <c r="F198">
        <v>760.06269438226843</v>
      </c>
      <c r="G198">
        <v>3005.4651871242991</v>
      </c>
      <c r="H198" s="1">
        <v>45838.333333333336</v>
      </c>
    </row>
    <row r="199" spans="1:8" x14ac:dyDescent="0.25">
      <c r="A199" s="7">
        <f>DATE(YEAR(m6_crossvalid[[#This Row],[cutoff]]),MONTH(m6_crossvalid[[#This Row],[cutoff]]),DAY(m6_crossvalid[[#This Row],[cutoff]]))</f>
        <v>45838</v>
      </c>
      <c r="B199" s="7">
        <f>DATE(YEAR(m6_crossvalid[[#This Row],[ds]]),MONTH(m6_crossvalid[[#This Row],[ds]]),DAY(m6_crossvalid[[#This Row],[ds]]))</f>
        <v>45850</v>
      </c>
      <c r="C199">
        <v>462</v>
      </c>
      <c r="D199" s="1">
        <v>45850.333333333336</v>
      </c>
      <c r="E199">
        <v>259.8683468388021</v>
      </c>
      <c r="F199">
        <v>132.71766423234646</v>
      </c>
      <c r="G199">
        <v>487.3281619778154</v>
      </c>
      <c r="H199" s="1">
        <v>45838.333333333336</v>
      </c>
    </row>
    <row r="200" spans="1:8" x14ac:dyDescent="0.25">
      <c r="A200" s="7">
        <f>DATE(YEAR(m6_crossvalid[[#This Row],[cutoff]]),MONTH(m6_crossvalid[[#This Row],[cutoff]]),DAY(m6_crossvalid[[#This Row],[cutoff]]))</f>
        <v>45838</v>
      </c>
      <c r="B200" s="7">
        <f>DATE(YEAR(m6_crossvalid[[#This Row],[ds]]),MONTH(m6_crossvalid[[#This Row],[ds]]),DAY(m6_crossvalid[[#This Row],[ds]]))</f>
        <v>45851</v>
      </c>
      <c r="C200">
        <v>114.00000000000001</v>
      </c>
      <c r="D200" s="1">
        <v>45851.333333333336</v>
      </c>
      <c r="E200">
        <v>106.73495527536043</v>
      </c>
      <c r="F200">
        <v>55.281182040083891</v>
      </c>
      <c r="G200">
        <v>206.34888332665918</v>
      </c>
      <c r="H200" s="1">
        <v>45838.333333333336</v>
      </c>
    </row>
    <row r="201" spans="1:8" x14ac:dyDescent="0.25">
      <c r="A201" s="7">
        <f>DATE(YEAR(m6_crossvalid[[#This Row],[cutoff]]),MONTH(m6_crossvalid[[#This Row],[cutoff]]),DAY(m6_crossvalid[[#This Row],[cutoff]]))</f>
        <v>45838</v>
      </c>
      <c r="B201" s="7">
        <f>DATE(YEAR(m6_crossvalid[[#This Row],[ds]]),MONTH(m6_crossvalid[[#This Row],[ds]]),DAY(m6_crossvalid[[#This Row],[ds]]))</f>
        <v>45852</v>
      </c>
      <c r="C201">
        <v>2356.0000000000009</v>
      </c>
      <c r="D201" s="1">
        <v>45852.333333333336</v>
      </c>
      <c r="E201">
        <v>1493.7930495764472</v>
      </c>
      <c r="F201">
        <v>754.74351311854616</v>
      </c>
      <c r="G201">
        <v>2915.5944939340511</v>
      </c>
      <c r="H201" s="1">
        <v>45838.333333333336</v>
      </c>
    </row>
    <row r="202" spans="1:8" x14ac:dyDescent="0.25">
      <c r="A202" s="7">
        <f>DATE(YEAR(m6_crossvalid[[#This Row],[cutoff]]),MONTH(m6_crossvalid[[#This Row],[cutoff]]),DAY(m6_crossvalid[[#This Row],[cutoff]]))</f>
        <v>45838</v>
      </c>
      <c r="B202" s="7">
        <f>DATE(YEAR(m6_crossvalid[[#This Row],[ds]]),MONTH(m6_crossvalid[[#This Row],[ds]]),DAY(m6_crossvalid[[#This Row],[ds]]))</f>
        <v>45853</v>
      </c>
      <c r="C202">
        <v>2693.9999999999991</v>
      </c>
      <c r="D202" s="1">
        <v>45853.333333333336</v>
      </c>
      <c r="E202">
        <v>2096.4969291302341</v>
      </c>
      <c r="F202">
        <v>1065.5591297440383</v>
      </c>
      <c r="G202">
        <v>4145.233195607746</v>
      </c>
      <c r="H202" s="1">
        <v>45838.333333333336</v>
      </c>
    </row>
    <row r="203" spans="1:8" x14ac:dyDescent="0.25">
      <c r="A203" s="7">
        <f>DATE(YEAR(m6_crossvalid[[#This Row],[cutoff]]),MONTH(m6_crossvalid[[#This Row],[cutoff]]),DAY(m6_crossvalid[[#This Row],[cutoff]]))</f>
        <v>45838</v>
      </c>
      <c r="B203" s="7">
        <f>DATE(YEAR(m6_crossvalid[[#This Row],[ds]]),MONTH(m6_crossvalid[[#This Row],[ds]]),DAY(m6_crossvalid[[#This Row],[ds]]))</f>
        <v>45854</v>
      </c>
      <c r="C203">
        <v>2795.9999999999991</v>
      </c>
      <c r="D203" s="1">
        <v>45854.333333333336</v>
      </c>
      <c r="E203">
        <v>2341.7162290047027</v>
      </c>
      <c r="F203">
        <v>1184.6751691789179</v>
      </c>
      <c r="G203">
        <v>4530.0435914211675</v>
      </c>
      <c r="H203" s="1">
        <v>45838.333333333336</v>
      </c>
    </row>
    <row r="204" spans="1:8" x14ac:dyDescent="0.25">
      <c r="A204" s="7">
        <f>DATE(YEAR(m6_crossvalid[[#This Row],[cutoff]]),MONTH(m6_crossvalid[[#This Row],[cutoff]]),DAY(m6_crossvalid[[#This Row],[cutoff]]))</f>
        <v>45838</v>
      </c>
      <c r="B204" s="7">
        <f>DATE(YEAR(m6_crossvalid[[#This Row],[ds]]),MONTH(m6_crossvalid[[#This Row],[ds]]),DAY(m6_crossvalid[[#This Row],[ds]]))</f>
        <v>45855</v>
      </c>
      <c r="C204">
        <v>2971.9999999999991</v>
      </c>
      <c r="D204" s="1">
        <v>45855.333333333336</v>
      </c>
      <c r="E204">
        <v>2532.6009021608606</v>
      </c>
      <c r="F204">
        <v>1255.9402524896946</v>
      </c>
      <c r="G204">
        <v>4950.9153549336243</v>
      </c>
      <c r="H204" s="1">
        <v>45838.333333333336</v>
      </c>
    </row>
    <row r="205" spans="1:8" x14ac:dyDescent="0.25">
      <c r="A205" s="7">
        <f>DATE(YEAR(m6_crossvalid[[#This Row],[cutoff]]),MONTH(m6_crossvalid[[#This Row],[cutoff]]),DAY(m6_crossvalid[[#This Row],[cutoff]]))</f>
        <v>45838</v>
      </c>
      <c r="B205" s="7">
        <f>DATE(YEAR(m6_crossvalid[[#This Row],[ds]]),MONTH(m6_crossvalid[[#This Row],[ds]]),DAY(m6_crossvalid[[#This Row],[ds]]))</f>
        <v>45856</v>
      </c>
      <c r="C205">
        <v>2891.0000000000009</v>
      </c>
      <c r="D205" s="1">
        <v>45856.333333333336</v>
      </c>
      <c r="E205">
        <v>2464.4156492036982</v>
      </c>
      <c r="F205">
        <v>1272.3344588289654</v>
      </c>
      <c r="G205">
        <v>4794.0020676425902</v>
      </c>
      <c r="H205" s="1">
        <v>45838.333333333336</v>
      </c>
    </row>
    <row r="206" spans="1:8" x14ac:dyDescent="0.25">
      <c r="A206" s="7">
        <f>DATE(YEAR(m6_crossvalid[[#This Row],[cutoff]]),MONTH(m6_crossvalid[[#This Row],[cutoff]]),DAY(m6_crossvalid[[#This Row],[cutoff]]))</f>
        <v>45838</v>
      </c>
      <c r="B206" s="7">
        <f>DATE(YEAR(m6_crossvalid[[#This Row],[ds]]),MONTH(m6_crossvalid[[#This Row],[ds]]),DAY(m6_crossvalid[[#This Row],[ds]]))</f>
        <v>45857</v>
      </c>
      <c r="C206">
        <v>521.00000000000023</v>
      </c>
      <c r="D206" s="1">
        <v>45857.333333333336</v>
      </c>
      <c r="E206">
        <v>423.48658155670398</v>
      </c>
      <c r="F206">
        <v>217.15700277439933</v>
      </c>
      <c r="G206">
        <v>828.46911035194319</v>
      </c>
      <c r="H206" s="1">
        <v>45838.333333333336</v>
      </c>
    </row>
    <row r="207" spans="1:8" x14ac:dyDescent="0.25">
      <c r="A207" s="7">
        <f>DATE(YEAR(m6_crossvalid[[#This Row],[cutoff]]),MONTH(m6_crossvalid[[#This Row],[cutoff]]),DAY(m6_crossvalid[[#This Row],[cutoff]]))</f>
        <v>45838</v>
      </c>
      <c r="B207" s="7">
        <f>DATE(YEAR(m6_crossvalid[[#This Row],[ds]]),MONTH(m6_crossvalid[[#This Row],[ds]]),DAY(m6_crossvalid[[#This Row],[ds]]))</f>
        <v>45858</v>
      </c>
      <c r="C207">
        <v>189</v>
      </c>
      <c r="D207" s="1">
        <v>45858.333333333336</v>
      </c>
      <c r="E207">
        <v>170.00821106486458</v>
      </c>
      <c r="F207">
        <v>86.753379415342309</v>
      </c>
      <c r="G207">
        <v>331.59010917787259</v>
      </c>
      <c r="H207" s="1">
        <v>45838.333333333336</v>
      </c>
    </row>
    <row r="208" spans="1:8" x14ac:dyDescent="0.25">
      <c r="A208" s="7">
        <f>DATE(YEAR(m6_crossvalid[[#This Row],[cutoff]]),MONTH(m6_crossvalid[[#This Row],[cutoff]]),DAY(m6_crossvalid[[#This Row],[cutoff]]))</f>
        <v>45838</v>
      </c>
      <c r="B208" s="7">
        <f>DATE(YEAR(m6_crossvalid[[#This Row],[ds]]),MONTH(m6_crossvalid[[#This Row],[ds]]),DAY(m6_crossvalid[[#This Row],[ds]]))</f>
        <v>45859</v>
      </c>
      <c r="C208">
        <v>2798.0000000000014</v>
      </c>
      <c r="D208" s="1">
        <v>45859.333333333336</v>
      </c>
      <c r="E208">
        <v>2308.7486134337287</v>
      </c>
      <c r="F208">
        <v>1219.5109182657056</v>
      </c>
      <c r="G208">
        <v>4476.8421183225919</v>
      </c>
      <c r="H208" s="1">
        <v>45838.333333333336</v>
      </c>
    </row>
    <row r="209" spans="1:8" x14ac:dyDescent="0.25">
      <c r="A209" s="7">
        <f>DATE(YEAR(m6_crossvalid[[#This Row],[cutoff]]),MONTH(m6_crossvalid[[#This Row],[cutoff]]),DAY(m6_crossvalid[[#This Row],[cutoff]]))</f>
        <v>45838</v>
      </c>
      <c r="B209" s="7">
        <f>DATE(YEAR(m6_crossvalid[[#This Row],[ds]]),MONTH(m6_crossvalid[[#This Row],[ds]]),DAY(m6_crossvalid[[#This Row],[ds]]))</f>
        <v>45860</v>
      </c>
      <c r="C209">
        <v>2893.9999999999986</v>
      </c>
      <c r="D209" s="1">
        <v>45860.333333333336</v>
      </c>
      <c r="E209">
        <v>3205.6982559399789</v>
      </c>
      <c r="F209">
        <v>1619.5926473945658</v>
      </c>
      <c r="G209">
        <v>6191.5599035990226</v>
      </c>
      <c r="H209" s="1">
        <v>45838.333333333336</v>
      </c>
    </row>
    <row r="210" spans="1:8" x14ac:dyDescent="0.25">
      <c r="A210" s="7">
        <f>DATE(YEAR(m6_crossvalid[[#This Row],[cutoff]]),MONTH(m6_crossvalid[[#This Row],[cutoff]]),DAY(m6_crossvalid[[#This Row],[cutoff]]))</f>
        <v>45838</v>
      </c>
      <c r="B210" s="7">
        <f>DATE(YEAR(m6_crossvalid[[#This Row],[ds]]),MONTH(m6_crossvalid[[#This Row],[ds]]),DAY(m6_crossvalid[[#This Row],[ds]]))</f>
        <v>45861</v>
      </c>
      <c r="C210">
        <v>3299</v>
      </c>
      <c r="D210" s="1">
        <v>45861.333333333336</v>
      </c>
      <c r="E210">
        <v>3549.1045106793281</v>
      </c>
      <c r="F210">
        <v>1841.4869517564284</v>
      </c>
      <c r="G210">
        <v>7048.3100734190602</v>
      </c>
      <c r="H210" s="1">
        <v>45838.333333333336</v>
      </c>
    </row>
    <row r="211" spans="1:8" x14ac:dyDescent="0.25">
      <c r="A211" s="7">
        <f>DATE(YEAR(m6_crossvalid[[#This Row],[cutoff]]),MONTH(m6_crossvalid[[#This Row],[cutoff]]),DAY(m6_crossvalid[[#This Row],[cutoff]]))</f>
        <v>45838</v>
      </c>
      <c r="B211" s="7">
        <f>DATE(YEAR(m6_crossvalid[[#This Row],[ds]]),MONTH(m6_crossvalid[[#This Row],[ds]]),DAY(m6_crossvalid[[#This Row],[ds]]))</f>
        <v>45862</v>
      </c>
      <c r="C211">
        <v>3785</v>
      </c>
      <c r="D211" s="1">
        <v>45862.333333333336</v>
      </c>
      <c r="E211">
        <v>3688.5845520001758</v>
      </c>
      <c r="F211">
        <v>1913.2939011086978</v>
      </c>
      <c r="G211">
        <v>7726.8198107289136</v>
      </c>
      <c r="H211" s="1">
        <v>45838.333333333336</v>
      </c>
    </row>
    <row r="212" spans="1:8" x14ac:dyDescent="0.25">
      <c r="A212" s="7">
        <f>DATE(YEAR(m6_crossvalid[[#This Row],[cutoff]]),MONTH(m6_crossvalid[[#This Row],[cutoff]]),DAY(m6_crossvalid[[#This Row],[cutoff]]))</f>
        <v>45838</v>
      </c>
      <c r="B212" s="7">
        <f>DATE(YEAR(m6_crossvalid[[#This Row],[ds]]),MONTH(m6_crossvalid[[#This Row],[ds]]),DAY(m6_crossvalid[[#This Row],[ds]]))</f>
        <v>45863</v>
      </c>
      <c r="C212">
        <v>3662.9999999999991</v>
      </c>
      <c r="D212" s="1">
        <v>45863.333333333336</v>
      </c>
      <c r="E212">
        <v>6304.8744126198626</v>
      </c>
      <c r="F212">
        <v>3123.6426757795048</v>
      </c>
      <c r="G212">
        <v>12819.903582526886</v>
      </c>
      <c r="H212" s="1">
        <v>45838.333333333336</v>
      </c>
    </row>
    <row r="213" spans="1:8" x14ac:dyDescent="0.25">
      <c r="A213" s="7">
        <f>DATE(YEAR(m6_crossvalid[[#This Row],[cutoff]]),MONTH(m6_crossvalid[[#This Row],[cutoff]]),DAY(m6_crossvalid[[#This Row],[cutoff]]))</f>
        <v>45838</v>
      </c>
      <c r="B213" s="7">
        <f>DATE(YEAR(m6_crossvalid[[#This Row],[ds]]),MONTH(m6_crossvalid[[#This Row],[ds]]),DAY(m6_crossvalid[[#This Row],[ds]]))</f>
        <v>45864</v>
      </c>
      <c r="C213">
        <v>901.00000000000034</v>
      </c>
      <c r="D213" s="1">
        <v>45864.333333333336</v>
      </c>
      <c r="E213">
        <v>965.16321193676129</v>
      </c>
      <c r="F213">
        <v>489.09622604032745</v>
      </c>
      <c r="G213">
        <v>1913.4344071599105</v>
      </c>
      <c r="H213" s="1">
        <v>45838.333333333336</v>
      </c>
    </row>
    <row r="214" spans="1:8" x14ac:dyDescent="0.25">
      <c r="A214" s="7">
        <f>DATE(YEAR(m6_crossvalid[[#This Row],[cutoff]]),MONTH(m6_crossvalid[[#This Row],[cutoff]]),DAY(m6_crossvalid[[#This Row],[cutoff]]))</f>
        <v>45838</v>
      </c>
      <c r="B214" s="7">
        <f>DATE(YEAR(m6_crossvalid[[#This Row],[ds]]),MONTH(m6_crossvalid[[#This Row],[ds]]),DAY(m6_crossvalid[[#This Row],[ds]]))</f>
        <v>45865</v>
      </c>
      <c r="C214">
        <v>262.00000000000006</v>
      </c>
      <c r="D214" s="1">
        <v>45865.333333333336</v>
      </c>
      <c r="E214">
        <v>351.94170312281955</v>
      </c>
      <c r="F214">
        <v>184.56563615158186</v>
      </c>
      <c r="G214">
        <v>717.05384070430762</v>
      </c>
      <c r="H214" s="1">
        <v>45838.333333333336</v>
      </c>
    </row>
    <row r="215" spans="1:8" x14ac:dyDescent="0.25">
      <c r="A215" s="7">
        <f>DATE(YEAR(m6_crossvalid[[#This Row],[cutoff]]),MONTH(m6_crossvalid[[#This Row],[cutoff]]),DAY(m6_crossvalid[[#This Row],[cutoff]]))</f>
        <v>45838</v>
      </c>
      <c r="B215" s="7">
        <f>DATE(YEAR(m6_crossvalid[[#This Row],[ds]]),MONTH(m6_crossvalid[[#This Row],[ds]]),DAY(m6_crossvalid[[#This Row],[ds]]))</f>
        <v>45866</v>
      </c>
      <c r="C215">
        <v>4323.9999999999991</v>
      </c>
      <c r="D215" s="1">
        <v>45866.333333333336</v>
      </c>
      <c r="E215">
        <v>4574.6664312647854</v>
      </c>
      <c r="F215">
        <v>2265.0417334913068</v>
      </c>
      <c r="G215">
        <v>9136.1769567953506</v>
      </c>
      <c r="H215" s="1">
        <v>45838.333333333336</v>
      </c>
    </row>
    <row r="216" spans="1:8" x14ac:dyDescent="0.25">
      <c r="A216" s="7">
        <f>DATE(YEAR(m6_crossvalid[[#This Row],[cutoff]]),MONTH(m6_crossvalid[[#This Row],[cutoff]]),DAY(m6_crossvalid[[#This Row],[cutoff]]))</f>
        <v>45838</v>
      </c>
      <c r="B216" s="7">
        <f>DATE(YEAR(m6_crossvalid[[#This Row],[ds]]),MONTH(m6_crossvalid[[#This Row],[ds]]),DAY(m6_crossvalid[[#This Row],[ds]]))</f>
        <v>45867</v>
      </c>
      <c r="C216">
        <v>5335.9999999999955</v>
      </c>
      <c r="D216" s="1">
        <v>45867.333333333336</v>
      </c>
      <c r="E216">
        <v>6433.1364614436625</v>
      </c>
      <c r="F216">
        <v>3219.2926911779446</v>
      </c>
      <c r="G216">
        <v>13018.572893610948</v>
      </c>
      <c r="H216" s="1">
        <v>45838.333333333336</v>
      </c>
    </row>
    <row r="217" spans="1:8" x14ac:dyDescent="0.25">
      <c r="A217" s="7">
        <f>DATE(YEAR(m6_crossvalid[[#This Row],[cutoff]]),MONTH(m6_crossvalid[[#This Row],[cutoff]]),DAY(m6_crossvalid[[#This Row],[cutoff]]))</f>
        <v>45838</v>
      </c>
      <c r="B217" s="7">
        <f>DATE(YEAR(m6_crossvalid[[#This Row],[ds]]),MONTH(m6_crossvalid[[#This Row],[ds]]),DAY(m6_crossvalid[[#This Row],[ds]]))</f>
        <v>45868</v>
      </c>
      <c r="C217">
        <v>8372.9999999999982</v>
      </c>
      <c r="D217" s="1">
        <v>45868.333333333336</v>
      </c>
      <c r="E217">
        <v>12974.923723012405</v>
      </c>
      <c r="F217">
        <v>6558.5315999329296</v>
      </c>
      <c r="G217">
        <v>25992.791727489446</v>
      </c>
      <c r="H217" s="1">
        <v>45838.333333333336</v>
      </c>
    </row>
    <row r="218" spans="1:8" x14ac:dyDescent="0.25">
      <c r="A218" s="7">
        <f>DATE(YEAR(m6_crossvalid[[#This Row],[cutoff]]),MONTH(m6_crossvalid[[#This Row],[cutoff]]),DAY(m6_crossvalid[[#This Row],[cutoff]]))</f>
        <v>45838</v>
      </c>
      <c r="B218" s="7">
        <f>DATE(YEAR(m6_crossvalid[[#This Row],[ds]]),MONTH(m6_crossvalid[[#This Row],[ds]]),DAY(m6_crossvalid[[#This Row],[ds]]))</f>
        <v>45869</v>
      </c>
      <c r="C218">
        <v>11888.999999999989</v>
      </c>
      <c r="D218" s="1">
        <v>45869.333333333336</v>
      </c>
      <c r="E218">
        <v>21619.544740756988</v>
      </c>
      <c r="F218">
        <v>10507.795003659707</v>
      </c>
      <c r="G218">
        <v>45429.741767862979</v>
      </c>
      <c r="H218" s="1">
        <v>45838.333333333336</v>
      </c>
    </row>
    <row r="219" spans="1:8" x14ac:dyDescent="0.25">
      <c r="A219" s="7">
        <f>DATE(YEAR(m6_crossvalid[[#This Row],[cutoff]]),MONTH(m6_crossvalid[[#This Row],[cutoff]]),DAY(m6_crossvalid[[#This Row],[cutoff]]))</f>
        <v>45869</v>
      </c>
      <c r="B219" s="7">
        <f>DATE(YEAR(m6_crossvalid[[#This Row],[ds]]),MONTH(m6_crossvalid[[#This Row],[ds]]),DAY(m6_crossvalid[[#This Row],[ds]]))</f>
        <v>45870</v>
      </c>
      <c r="C219">
        <v>761.00000000000023</v>
      </c>
      <c r="D219" s="1">
        <v>45870.333333333336</v>
      </c>
      <c r="E219">
        <v>1232.3464382717248</v>
      </c>
      <c r="F219">
        <v>679.39031488632872</v>
      </c>
      <c r="G219">
        <v>2530.6082029682889</v>
      </c>
      <c r="H219" s="1">
        <v>45869.333333333336</v>
      </c>
    </row>
    <row r="220" spans="1:8" x14ac:dyDescent="0.25">
      <c r="A220" s="7">
        <f>DATE(YEAR(m6_crossvalid[[#This Row],[cutoff]]),MONTH(m6_crossvalid[[#This Row],[cutoff]]),DAY(m6_crossvalid[[#This Row],[cutoff]]))</f>
        <v>45869</v>
      </c>
      <c r="B220" s="7">
        <f>DATE(YEAR(m6_crossvalid[[#This Row],[ds]]),MONTH(m6_crossvalid[[#This Row],[ds]]),DAY(m6_crossvalid[[#This Row],[ds]]))</f>
        <v>45871</v>
      </c>
      <c r="C220">
        <v>73.999999999999972</v>
      </c>
      <c r="D220" s="1">
        <v>45871.333333333336</v>
      </c>
      <c r="E220">
        <v>119.96451221956551</v>
      </c>
      <c r="F220">
        <v>60.846966160321642</v>
      </c>
      <c r="G220">
        <v>237.64421979436264</v>
      </c>
      <c r="H220" s="1">
        <v>45869.333333333336</v>
      </c>
    </row>
    <row r="221" spans="1:8" x14ac:dyDescent="0.25">
      <c r="A221" s="7">
        <f>DATE(YEAR(m6_crossvalid[[#This Row],[cutoff]]),MONTH(m6_crossvalid[[#This Row],[cutoff]]),DAY(m6_crossvalid[[#This Row],[cutoff]]))</f>
        <v>45869</v>
      </c>
      <c r="B221" s="7">
        <f>DATE(YEAR(m6_crossvalid[[#This Row],[ds]]),MONTH(m6_crossvalid[[#This Row],[ds]]),DAY(m6_crossvalid[[#This Row],[ds]]))</f>
        <v>45872</v>
      </c>
      <c r="C221">
        <v>28.000000000000004</v>
      </c>
      <c r="D221" s="1">
        <v>45872.333333333336</v>
      </c>
      <c r="E221">
        <v>60.188301073925871</v>
      </c>
      <c r="F221">
        <v>30.20716700486679</v>
      </c>
      <c r="G221">
        <v>119.01309976956941</v>
      </c>
      <c r="H221" s="1">
        <v>45869.333333333336</v>
      </c>
    </row>
    <row r="222" spans="1:8" x14ac:dyDescent="0.25">
      <c r="A222" s="7">
        <f>DATE(YEAR(m6_crossvalid[[#This Row],[cutoff]]),MONTH(m6_crossvalid[[#This Row],[cutoff]]),DAY(m6_crossvalid[[#This Row],[cutoff]]))</f>
        <v>45869</v>
      </c>
      <c r="B222" s="7">
        <f>DATE(YEAR(m6_crossvalid[[#This Row],[ds]]),MONTH(m6_crossvalid[[#This Row],[ds]]),DAY(m6_crossvalid[[#This Row],[ds]]))</f>
        <v>45873</v>
      </c>
      <c r="C222">
        <v>911.99999999999966</v>
      </c>
      <c r="D222" s="1">
        <v>45873.333333333336</v>
      </c>
      <c r="E222">
        <v>680.13188777240032</v>
      </c>
      <c r="F222">
        <v>353.47612470852204</v>
      </c>
      <c r="G222">
        <v>1297.4071719754079</v>
      </c>
      <c r="H222" s="1">
        <v>45869.333333333336</v>
      </c>
    </row>
    <row r="223" spans="1:8" x14ac:dyDescent="0.25">
      <c r="A223" s="7">
        <f>DATE(YEAR(m6_crossvalid[[#This Row],[cutoff]]),MONTH(m6_crossvalid[[#This Row],[cutoff]]),DAY(m6_crossvalid[[#This Row],[cutoff]]))</f>
        <v>45869</v>
      </c>
      <c r="B223" s="7">
        <f>DATE(YEAR(m6_crossvalid[[#This Row],[ds]]),MONTH(m6_crossvalid[[#This Row],[ds]]),DAY(m6_crossvalid[[#This Row],[ds]]))</f>
        <v>45874</v>
      </c>
      <c r="C223">
        <v>2022.0000000000007</v>
      </c>
      <c r="D223" s="1">
        <v>45874.333333333336</v>
      </c>
      <c r="E223">
        <v>860.86620626058004</v>
      </c>
      <c r="F223">
        <v>449.11131953579911</v>
      </c>
      <c r="G223">
        <v>1720.7139085729659</v>
      </c>
      <c r="H223" s="1">
        <v>45869.333333333336</v>
      </c>
    </row>
    <row r="224" spans="1:8" x14ac:dyDescent="0.25">
      <c r="A224" s="7">
        <f>DATE(YEAR(m6_crossvalid[[#This Row],[cutoff]]),MONTH(m6_crossvalid[[#This Row],[cutoff]]),DAY(m6_crossvalid[[#This Row],[cutoff]]))</f>
        <v>45869</v>
      </c>
      <c r="B224" s="7">
        <f>DATE(YEAR(m6_crossvalid[[#This Row],[ds]]),MONTH(m6_crossvalid[[#This Row],[ds]]),DAY(m6_crossvalid[[#This Row],[ds]]))</f>
        <v>45875</v>
      </c>
      <c r="C224">
        <v>1344.0000000000002</v>
      </c>
      <c r="D224" s="1">
        <v>45875.333333333336</v>
      </c>
      <c r="E224">
        <v>970.84802260654055</v>
      </c>
      <c r="F224">
        <v>488.79051927194968</v>
      </c>
      <c r="G224">
        <v>1948.4276369779573</v>
      </c>
      <c r="H224" s="1">
        <v>45869.333333333336</v>
      </c>
    </row>
    <row r="225" spans="1:8" x14ac:dyDescent="0.25">
      <c r="A225" s="7">
        <f>DATE(YEAR(m6_crossvalid[[#This Row],[cutoff]]),MONTH(m6_crossvalid[[#This Row],[cutoff]]),DAY(m6_crossvalid[[#This Row],[cutoff]]))</f>
        <v>45869</v>
      </c>
      <c r="B225" s="7">
        <f>DATE(YEAR(m6_crossvalid[[#This Row],[ds]]),MONTH(m6_crossvalid[[#This Row],[ds]]),DAY(m6_crossvalid[[#This Row],[ds]]))</f>
        <v>45876</v>
      </c>
      <c r="C225">
        <v>1584.9999999999995</v>
      </c>
      <c r="D225" s="1">
        <v>45876.333333333336</v>
      </c>
      <c r="E225">
        <v>1068.2802136084845</v>
      </c>
      <c r="F225">
        <v>560.33068868420514</v>
      </c>
      <c r="G225">
        <v>2232.8382648252937</v>
      </c>
      <c r="H225" s="1">
        <v>45869.333333333336</v>
      </c>
    </row>
    <row r="226" spans="1:8" x14ac:dyDescent="0.25">
      <c r="A226" s="7">
        <f>DATE(YEAR(m6_crossvalid[[#This Row],[cutoff]]),MONTH(m6_crossvalid[[#This Row],[cutoff]]),DAY(m6_crossvalid[[#This Row],[cutoff]]))</f>
        <v>45869</v>
      </c>
      <c r="B226" s="7">
        <f>DATE(YEAR(m6_crossvalid[[#This Row],[ds]]),MONTH(m6_crossvalid[[#This Row],[ds]]),DAY(m6_crossvalid[[#This Row],[ds]]))</f>
        <v>45877</v>
      </c>
      <c r="C226">
        <v>2032.0000000000007</v>
      </c>
      <c r="D226" s="1">
        <v>45877.333333333336</v>
      </c>
      <c r="E226">
        <v>1923.505397124376</v>
      </c>
      <c r="F226">
        <v>988.52510894813747</v>
      </c>
      <c r="G226">
        <v>3769.0319206180261</v>
      </c>
      <c r="H226" s="1">
        <v>45869.333333333336</v>
      </c>
    </row>
    <row r="227" spans="1:8" x14ac:dyDescent="0.25">
      <c r="A227" s="7">
        <f>DATE(YEAR(m6_crossvalid[[#This Row],[cutoff]]),MONTH(m6_crossvalid[[#This Row],[cutoff]]),DAY(m6_crossvalid[[#This Row],[cutoff]]))</f>
        <v>45869</v>
      </c>
      <c r="B227" s="7">
        <f>DATE(YEAR(m6_crossvalid[[#This Row],[ds]]),MONTH(m6_crossvalid[[#This Row],[ds]]),DAY(m6_crossvalid[[#This Row],[ds]]))</f>
        <v>45878</v>
      </c>
      <c r="C227">
        <v>327.00000000000011</v>
      </c>
      <c r="D227" s="1">
        <v>45878.333333333336</v>
      </c>
      <c r="E227">
        <v>298.91468369136152</v>
      </c>
      <c r="F227">
        <v>152.25973200965834</v>
      </c>
      <c r="G227">
        <v>577.02735142657036</v>
      </c>
      <c r="H227" s="1">
        <v>45869.333333333336</v>
      </c>
    </row>
    <row r="228" spans="1:8" x14ac:dyDescent="0.25">
      <c r="A228" s="7">
        <f>DATE(YEAR(m6_crossvalid[[#This Row],[cutoff]]),MONTH(m6_crossvalid[[#This Row],[cutoff]]),DAY(m6_crossvalid[[#This Row],[cutoff]]))</f>
        <v>45869</v>
      </c>
      <c r="B228" s="7">
        <f>DATE(YEAR(m6_crossvalid[[#This Row],[ds]]),MONTH(m6_crossvalid[[#This Row],[ds]]),DAY(m6_crossvalid[[#This Row],[ds]]))</f>
        <v>45879</v>
      </c>
      <c r="C228">
        <v>78</v>
      </c>
      <c r="D228" s="1">
        <v>45879.333333333336</v>
      </c>
      <c r="E228">
        <v>105.46673436949068</v>
      </c>
      <c r="F228">
        <v>48.062595746914333</v>
      </c>
      <c r="G228">
        <v>209.34696809902238</v>
      </c>
      <c r="H228" s="1">
        <v>45869.333333333336</v>
      </c>
    </row>
    <row r="229" spans="1:8" x14ac:dyDescent="0.25">
      <c r="A229" s="7">
        <f>DATE(YEAR(m6_crossvalid[[#This Row],[cutoff]]),MONTH(m6_crossvalid[[#This Row],[cutoff]]),DAY(m6_crossvalid[[#This Row],[cutoff]]))</f>
        <v>45869</v>
      </c>
      <c r="B229" s="7">
        <f>DATE(YEAR(m6_crossvalid[[#This Row],[ds]]),MONTH(m6_crossvalid[[#This Row],[ds]]),DAY(m6_crossvalid[[#This Row],[ds]]))</f>
        <v>45880</v>
      </c>
      <c r="C229">
        <v>2043.0000000000002</v>
      </c>
      <c r="D229" s="1">
        <v>45880.333333333336</v>
      </c>
      <c r="E229">
        <v>1343.7606807882382</v>
      </c>
      <c r="F229">
        <v>683.77535244310604</v>
      </c>
      <c r="G229">
        <v>2559.413774589681</v>
      </c>
      <c r="H229" s="1">
        <v>45869.333333333336</v>
      </c>
    </row>
    <row r="230" spans="1:8" x14ac:dyDescent="0.25">
      <c r="A230" s="7">
        <f>DATE(YEAR(m6_crossvalid[[#This Row],[cutoff]]),MONTH(m6_crossvalid[[#This Row],[cutoff]]),DAY(m6_crossvalid[[#This Row],[cutoff]]))</f>
        <v>45869</v>
      </c>
      <c r="B230" s="7">
        <f>DATE(YEAR(m6_crossvalid[[#This Row],[ds]]),MONTH(m6_crossvalid[[#This Row],[ds]]),DAY(m6_crossvalid[[#This Row],[ds]]))</f>
        <v>45881</v>
      </c>
      <c r="C230">
        <v>2431.0000000000009</v>
      </c>
      <c r="D230" s="1">
        <v>45881.333333333336</v>
      </c>
      <c r="E230">
        <v>1835.0090516357111</v>
      </c>
      <c r="F230">
        <v>949.33468929908713</v>
      </c>
      <c r="G230">
        <v>3650.4418942822681</v>
      </c>
      <c r="H230" s="1">
        <v>45869.333333333336</v>
      </c>
    </row>
    <row r="231" spans="1:8" x14ac:dyDescent="0.25">
      <c r="A231" s="7">
        <f>DATE(YEAR(m6_crossvalid[[#This Row],[cutoff]]),MONTH(m6_crossvalid[[#This Row],[cutoff]]),DAY(m6_crossvalid[[#This Row],[cutoff]]))</f>
        <v>45869</v>
      </c>
      <c r="B231" s="7">
        <f>DATE(YEAR(m6_crossvalid[[#This Row],[ds]]),MONTH(m6_crossvalid[[#This Row],[ds]]),DAY(m6_crossvalid[[#This Row],[ds]]))</f>
        <v>45882</v>
      </c>
      <c r="C231">
        <v>2484.0000000000009</v>
      </c>
      <c r="D231" s="1">
        <v>45882.333333333336</v>
      </c>
      <c r="E231">
        <v>2166.0782497335977</v>
      </c>
      <c r="F231">
        <v>1141.4134665226979</v>
      </c>
      <c r="G231">
        <v>4269.0478419564415</v>
      </c>
      <c r="H231" s="1">
        <v>45869.333333333336</v>
      </c>
    </row>
    <row r="232" spans="1:8" x14ac:dyDescent="0.25">
      <c r="A232" s="7">
        <f>DATE(YEAR(m6_crossvalid[[#This Row],[cutoff]]),MONTH(m6_crossvalid[[#This Row],[cutoff]]),DAY(m6_crossvalid[[#This Row],[cutoff]]))</f>
        <v>45869</v>
      </c>
      <c r="B232" s="7">
        <f>DATE(YEAR(m6_crossvalid[[#This Row],[ds]]),MONTH(m6_crossvalid[[#This Row],[ds]]),DAY(m6_crossvalid[[#This Row],[ds]]))</f>
        <v>45883</v>
      </c>
      <c r="C232">
        <v>2669.0000000000009</v>
      </c>
      <c r="D232" s="1">
        <v>45883.333333333336</v>
      </c>
      <c r="E232">
        <v>2504.8620150126139</v>
      </c>
      <c r="F232">
        <v>1326.5048992471388</v>
      </c>
      <c r="G232">
        <v>5003.734545327884</v>
      </c>
      <c r="H232" s="1">
        <v>45869.333333333336</v>
      </c>
    </row>
    <row r="233" spans="1:8" x14ac:dyDescent="0.25">
      <c r="A233" s="7">
        <f>DATE(YEAR(m6_crossvalid[[#This Row],[cutoff]]),MONTH(m6_crossvalid[[#This Row],[cutoff]]),DAY(m6_crossvalid[[#This Row],[cutoff]]))</f>
        <v>45869</v>
      </c>
      <c r="B233" s="7">
        <f>DATE(YEAR(m6_crossvalid[[#This Row],[ds]]),MONTH(m6_crossvalid[[#This Row],[ds]]),DAY(m6_crossvalid[[#This Row],[ds]]))</f>
        <v>45884</v>
      </c>
      <c r="C233">
        <v>3160.0000000000009</v>
      </c>
      <c r="D233" s="1">
        <v>45884.333333333336</v>
      </c>
      <c r="E233">
        <v>2528.096199349352</v>
      </c>
      <c r="F233">
        <v>1295.8526158364709</v>
      </c>
      <c r="G233">
        <v>5157.7860319782403</v>
      </c>
      <c r="H233" s="1">
        <v>45869.333333333336</v>
      </c>
    </row>
    <row r="234" spans="1:8" x14ac:dyDescent="0.25">
      <c r="A234" s="7">
        <f>DATE(YEAR(m6_crossvalid[[#This Row],[cutoff]]),MONTH(m6_crossvalid[[#This Row],[cutoff]]),DAY(m6_crossvalid[[#This Row],[cutoff]]))</f>
        <v>45869</v>
      </c>
      <c r="B234" s="7">
        <f>DATE(YEAR(m6_crossvalid[[#This Row],[ds]]),MONTH(m6_crossvalid[[#This Row],[ds]]),DAY(m6_crossvalid[[#This Row],[ds]]))</f>
        <v>45885</v>
      </c>
      <c r="C234">
        <v>559.99999999999977</v>
      </c>
      <c r="D234" s="1">
        <v>45885.333333333336</v>
      </c>
      <c r="E234">
        <v>431.35792502242026</v>
      </c>
      <c r="F234">
        <v>224.72331673702266</v>
      </c>
      <c r="G234">
        <v>865.69979443622583</v>
      </c>
      <c r="H234" s="1">
        <v>45869.333333333336</v>
      </c>
    </row>
    <row r="235" spans="1:8" x14ac:dyDescent="0.25">
      <c r="A235" s="7">
        <f>DATE(YEAR(m6_crossvalid[[#This Row],[cutoff]]),MONTH(m6_crossvalid[[#This Row],[cutoff]]),DAY(m6_crossvalid[[#This Row],[cutoff]]))</f>
        <v>45869</v>
      </c>
      <c r="B235" s="7">
        <f>DATE(YEAR(m6_crossvalid[[#This Row],[ds]]),MONTH(m6_crossvalid[[#This Row],[ds]]),DAY(m6_crossvalid[[#This Row],[ds]]))</f>
        <v>45886</v>
      </c>
      <c r="C235">
        <v>166.00000000000006</v>
      </c>
      <c r="D235" s="1">
        <v>45886.333333333336</v>
      </c>
      <c r="E235">
        <v>164.73590093254717</v>
      </c>
      <c r="F235">
        <v>79.566077025683327</v>
      </c>
      <c r="G235">
        <v>318.52025531192271</v>
      </c>
      <c r="H235" s="1">
        <v>45869.333333333336</v>
      </c>
    </row>
    <row r="236" spans="1:8" x14ac:dyDescent="0.25">
      <c r="A236" s="7">
        <f>DATE(YEAR(m6_crossvalid[[#This Row],[cutoff]]),MONTH(m6_crossvalid[[#This Row],[cutoff]]),DAY(m6_crossvalid[[#This Row],[cutoff]]))</f>
        <v>45869</v>
      </c>
      <c r="B236" s="7">
        <f>DATE(YEAR(m6_crossvalid[[#This Row],[ds]]),MONTH(m6_crossvalid[[#This Row],[ds]]),DAY(m6_crossvalid[[#This Row],[ds]]))</f>
        <v>45887</v>
      </c>
      <c r="C236">
        <v>3003.0000000000023</v>
      </c>
      <c r="D236" s="1">
        <v>45887.333333333336</v>
      </c>
      <c r="E236">
        <v>2159.3365202352425</v>
      </c>
      <c r="F236">
        <v>1133.3665992968233</v>
      </c>
      <c r="G236">
        <v>4268.9001206373177</v>
      </c>
      <c r="H236" s="1">
        <v>45869.333333333336</v>
      </c>
    </row>
    <row r="237" spans="1:8" x14ac:dyDescent="0.25">
      <c r="A237" s="7">
        <f>DATE(YEAR(m6_crossvalid[[#This Row],[cutoff]]),MONTH(m6_crossvalid[[#This Row],[cutoff]]),DAY(m6_crossvalid[[#This Row],[cutoff]]))</f>
        <v>45869</v>
      </c>
      <c r="B237" s="7">
        <f>DATE(YEAR(m6_crossvalid[[#This Row],[ds]]),MONTH(m6_crossvalid[[#This Row],[ds]]),DAY(m6_crossvalid[[#This Row],[ds]]))</f>
        <v>45888</v>
      </c>
      <c r="C237">
        <v>3181.9999999999973</v>
      </c>
      <c r="D237" s="1">
        <v>45888.333333333336</v>
      </c>
      <c r="E237">
        <v>2902.0605605155183</v>
      </c>
      <c r="F237">
        <v>1476.5696675586801</v>
      </c>
      <c r="G237">
        <v>5472.3384013653385</v>
      </c>
      <c r="H237" s="1">
        <v>45869.333333333336</v>
      </c>
    </row>
    <row r="238" spans="1:8" x14ac:dyDescent="0.25">
      <c r="A238" s="7">
        <f>DATE(YEAR(m6_crossvalid[[#This Row],[cutoff]]),MONTH(m6_crossvalid[[#This Row],[cutoff]]),DAY(m6_crossvalid[[#This Row],[cutoff]]))</f>
        <v>45869</v>
      </c>
      <c r="B238" s="7">
        <f>DATE(YEAR(m6_crossvalid[[#This Row],[ds]]),MONTH(m6_crossvalid[[#This Row],[ds]]),DAY(m6_crossvalid[[#This Row],[ds]]))</f>
        <v>45889</v>
      </c>
      <c r="C238">
        <v>3744.9999999999968</v>
      </c>
      <c r="D238" s="1">
        <v>45889.333333333336</v>
      </c>
      <c r="E238">
        <v>3298.6237573756202</v>
      </c>
      <c r="F238">
        <v>1679.2764011421139</v>
      </c>
      <c r="G238">
        <v>6205.358731610625</v>
      </c>
      <c r="H238" s="1">
        <v>45869.333333333336</v>
      </c>
    </row>
    <row r="239" spans="1:8" x14ac:dyDescent="0.25">
      <c r="A239" s="7">
        <f>DATE(YEAR(m6_crossvalid[[#This Row],[cutoff]]),MONTH(m6_crossvalid[[#This Row],[cutoff]]),DAY(m6_crossvalid[[#This Row],[cutoff]]))</f>
        <v>45869</v>
      </c>
      <c r="B239" s="7">
        <f>DATE(YEAR(m6_crossvalid[[#This Row],[ds]]),MONTH(m6_crossvalid[[#This Row],[ds]]),DAY(m6_crossvalid[[#This Row],[ds]]))</f>
        <v>45890</v>
      </c>
      <c r="C239">
        <v>3753.9999999999991</v>
      </c>
      <c r="D239" s="1">
        <v>45890.333333333336</v>
      </c>
      <c r="E239">
        <v>3697.582317762749</v>
      </c>
      <c r="F239">
        <v>1966.6617797166421</v>
      </c>
      <c r="G239">
        <v>7229.1752373211148</v>
      </c>
      <c r="H239" s="1">
        <v>45869.333333333336</v>
      </c>
    </row>
    <row r="240" spans="1:8" x14ac:dyDescent="0.25">
      <c r="A240" s="7">
        <f>DATE(YEAR(m6_crossvalid[[#This Row],[cutoff]]),MONTH(m6_crossvalid[[#This Row],[cutoff]]),DAY(m6_crossvalid[[#This Row],[cutoff]]))</f>
        <v>45869</v>
      </c>
      <c r="B240" s="7">
        <f>DATE(YEAR(m6_crossvalid[[#This Row],[ds]]),MONTH(m6_crossvalid[[#This Row],[ds]]),DAY(m6_crossvalid[[#This Row],[ds]]))</f>
        <v>45891</v>
      </c>
      <c r="C240">
        <v>3740.9999999999991</v>
      </c>
      <c r="D240" s="1">
        <v>45891.333333333336</v>
      </c>
      <c r="E240">
        <v>3658.7821245777131</v>
      </c>
      <c r="F240">
        <v>1835.3576197924629</v>
      </c>
      <c r="G240">
        <v>6997.5566428796647</v>
      </c>
      <c r="H240" s="1">
        <v>45869.333333333336</v>
      </c>
    </row>
    <row r="241" spans="1:8" x14ac:dyDescent="0.25">
      <c r="A241" s="7">
        <f>DATE(YEAR(m6_crossvalid[[#This Row],[cutoff]]),MONTH(m6_crossvalid[[#This Row],[cutoff]]),DAY(m6_crossvalid[[#This Row],[cutoff]]))</f>
        <v>45869</v>
      </c>
      <c r="B241" s="7">
        <f>DATE(YEAR(m6_crossvalid[[#This Row],[ds]]),MONTH(m6_crossvalid[[#This Row],[ds]]),DAY(m6_crossvalid[[#This Row],[ds]]))</f>
        <v>45892</v>
      </c>
      <c r="C241">
        <v>761.00000000000023</v>
      </c>
      <c r="D241" s="1">
        <v>45892.333333333336</v>
      </c>
      <c r="E241">
        <v>605.22805218662972</v>
      </c>
      <c r="F241">
        <v>308.42194035454747</v>
      </c>
      <c r="G241">
        <v>1167.2394255597735</v>
      </c>
      <c r="H241" s="1">
        <v>45869.333333333336</v>
      </c>
    </row>
    <row r="242" spans="1:8" x14ac:dyDescent="0.25">
      <c r="A242" s="7">
        <f>DATE(YEAR(m6_crossvalid[[#This Row],[cutoff]]),MONTH(m6_crossvalid[[#This Row],[cutoff]]),DAY(m6_crossvalid[[#This Row],[cutoff]]))</f>
        <v>45869</v>
      </c>
      <c r="B242" s="7">
        <f>DATE(YEAR(m6_crossvalid[[#This Row],[ds]]),MONTH(m6_crossvalid[[#This Row],[ds]]),DAY(m6_crossvalid[[#This Row],[ds]]))</f>
        <v>45893</v>
      </c>
      <c r="C242">
        <v>238.99999999999997</v>
      </c>
      <c r="D242" s="1">
        <v>45893.333333333336</v>
      </c>
      <c r="E242">
        <v>215.51807077139742</v>
      </c>
      <c r="F242">
        <v>111.45862419525216</v>
      </c>
      <c r="G242">
        <v>426.1884938284</v>
      </c>
      <c r="H242" s="1">
        <v>45869.333333333336</v>
      </c>
    </row>
    <row r="243" spans="1:8" x14ac:dyDescent="0.25">
      <c r="A243" s="7">
        <f>DATE(YEAR(m6_crossvalid[[#This Row],[cutoff]]),MONTH(m6_crossvalid[[#This Row],[cutoff]]),DAY(m6_crossvalid[[#This Row],[cutoff]]))</f>
        <v>45869</v>
      </c>
      <c r="B243" s="7">
        <f>DATE(YEAR(m6_crossvalid[[#This Row],[ds]]),MONTH(m6_crossvalid[[#This Row],[ds]]),DAY(m6_crossvalid[[#This Row],[ds]]))</f>
        <v>45894</v>
      </c>
      <c r="C243">
        <v>3838</v>
      </c>
      <c r="D243" s="1">
        <v>45894.333333333336</v>
      </c>
      <c r="E243">
        <v>4824.9466148469055</v>
      </c>
      <c r="F243">
        <v>2510.0417878450667</v>
      </c>
      <c r="G243">
        <v>9325.2483735920378</v>
      </c>
      <c r="H243" s="1">
        <v>45869.333333333336</v>
      </c>
    </row>
    <row r="244" spans="1:8" x14ac:dyDescent="0.25">
      <c r="A244" s="7">
        <f>DATE(YEAR(m6_crossvalid[[#This Row],[cutoff]]),MONTH(m6_crossvalid[[#This Row],[cutoff]]),DAY(m6_crossvalid[[#This Row],[cutoff]]))</f>
        <v>45869</v>
      </c>
      <c r="B244" s="7">
        <f>DATE(YEAR(m6_crossvalid[[#This Row],[ds]]),MONTH(m6_crossvalid[[#This Row],[ds]]),DAY(m6_crossvalid[[#This Row],[ds]]))</f>
        <v>45895</v>
      </c>
      <c r="C244">
        <v>5214.0000000000018</v>
      </c>
      <c r="D244" s="1">
        <v>45895.333333333336</v>
      </c>
      <c r="E244">
        <v>5759.3450095633843</v>
      </c>
      <c r="F244">
        <v>3058.0920049214351</v>
      </c>
      <c r="G244">
        <v>11833.174958419891</v>
      </c>
      <c r="H244" s="1">
        <v>45869.333333333336</v>
      </c>
    </row>
    <row r="245" spans="1:8" x14ac:dyDescent="0.25">
      <c r="A245" s="7">
        <f>DATE(YEAR(m6_crossvalid[[#This Row],[cutoff]]),MONTH(m6_crossvalid[[#This Row],[cutoff]]),DAY(m6_crossvalid[[#This Row],[cutoff]]))</f>
        <v>45869</v>
      </c>
      <c r="B245" s="7">
        <f>DATE(YEAR(m6_crossvalid[[#This Row],[ds]]),MONTH(m6_crossvalid[[#This Row],[ds]]),DAY(m6_crossvalid[[#This Row],[ds]]))</f>
        <v>45896</v>
      </c>
      <c r="C245">
        <v>5989.0000000000009</v>
      </c>
      <c r="D245" s="1">
        <v>45896.333333333336</v>
      </c>
      <c r="E245">
        <v>6045.3026836358931</v>
      </c>
      <c r="F245">
        <v>3068.119721684493</v>
      </c>
      <c r="G245">
        <v>11911.598937847337</v>
      </c>
      <c r="H245" s="1">
        <v>45869.333333333336</v>
      </c>
    </row>
    <row r="246" spans="1:8" x14ac:dyDescent="0.25">
      <c r="A246" s="7">
        <f>DATE(YEAR(m6_crossvalid[[#This Row],[cutoff]]),MONTH(m6_crossvalid[[#This Row],[cutoff]]),DAY(m6_crossvalid[[#This Row],[cutoff]]))</f>
        <v>45869</v>
      </c>
      <c r="B246" s="7">
        <f>DATE(YEAR(m6_crossvalid[[#This Row],[ds]]),MONTH(m6_crossvalid[[#This Row],[ds]]),DAY(m6_crossvalid[[#This Row],[ds]]))</f>
        <v>45897</v>
      </c>
      <c r="C246">
        <v>7114.9999999999991</v>
      </c>
      <c r="D246" s="1">
        <v>45897.333333333336</v>
      </c>
      <c r="E246">
        <v>6651.6519607816444</v>
      </c>
      <c r="F246">
        <v>3272.3884895872584</v>
      </c>
      <c r="G246">
        <v>13133.516579761126</v>
      </c>
      <c r="H246" s="1">
        <v>45869.333333333336</v>
      </c>
    </row>
    <row r="247" spans="1:8" x14ac:dyDescent="0.25">
      <c r="A247" s="7">
        <f>DATE(YEAR(m6_crossvalid[[#This Row],[cutoff]]),MONTH(m6_crossvalid[[#This Row],[cutoff]]),DAY(m6_crossvalid[[#This Row],[cutoff]]))</f>
        <v>45869</v>
      </c>
      <c r="B247" s="7">
        <f>DATE(YEAR(m6_crossvalid[[#This Row],[ds]]),MONTH(m6_crossvalid[[#This Row],[ds]]),DAY(m6_crossvalid[[#This Row],[ds]]))</f>
        <v>45898</v>
      </c>
      <c r="C247">
        <v>9571.0000000000073</v>
      </c>
      <c r="D247" s="1">
        <v>45898.333333333336</v>
      </c>
      <c r="E247">
        <v>6715.8147890519322</v>
      </c>
      <c r="F247">
        <v>3194.1760122452665</v>
      </c>
      <c r="G247">
        <v>13120.809233903527</v>
      </c>
      <c r="H247" s="1">
        <v>45869.333333333336</v>
      </c>
    </row>
    <row r="248" spans="1:8" x14ac:dyDescent="0.25">
      <c r="A248" s="7">
        <f>DATE(YEAR(m6_crossvalid[[#This Row],[cutoff]]),MONTH(m6_crossvalid[[#This Row],[cutoff]]),DAY(m6_crossvalid[[#This Row],[cutoff]]))</f>
        <v>45869</v>
      </c>
      <c r="B248" s="7">
        <f>DATE(YEAR(m6_crossvalid[[#This Row],[ds]]),MONTH(m6_crossvalid[[#This Row],[ds]]),DAY(m6_crossvalid[[#This Row],[ds]]))</f>
        <v>45899</v>
      </c>
      <c r="C248">
        <v>5764</v>
      </c>
      <c r="D248" s="1">
        <v>45899.333333333336</v>
      </c>
      <c r="E248">
        <v>1970.3100052637074</v>
      </c>
      <c r="F248">
        <v>1028.1260335803004</v>
      </c>
      <c r="G248">
        <v>3862.8552799026106</v>
      </c>
      <c r="H248" s="1">
        <v>45869.333333333336</v>
      </c>
    </row>
    <row r="249" spans="1:8" x14ac:dyDescent="0.25">
      <c r="A249" s="7">
        <f>DATE(YEAR(m6_crossvalid[[#This Row],[cutoff]]),MONTH(m6_crossvalid[[#This Row],[cutoff]]),DAY(m6_crossvalid[[#This Row],[cutoff]]))</f>
        <v>45869</v>
      </c>
      <c r="B249" s="7">
        <f>DATE(YEAR(m6_crossvalid[[#This Row],[ds]]),MONTH(m6_crossvalid[[#This Row],[ds]]),DAY(m6_crossvalid[[#This Row],[ds]]))</f>
        <v>45900</v>
      </c>
      <c r="C249">
        <v>386.00000000000006</v>
      </c>
      <c r="D249" s="1">
        <v>45900.333333333336</v>
      </c>
      <c r="E249">
        <v>123.21839840438936</v>
      </c>
      <c r="F249">
        <v>61.766616608991448</v>
      </c>
      <c r="G249">
        <v>240.98095808498132</v>
      </c>
      <c r="H249" s="1">
        <v>45869.333333333336</v>
      </c>
    </row>
    <row r="250" spans="1:8" x14ac:dyDescent="0.25">
      <c r="A250" s="7">
        <f>DATE(YEAR(m6_crossvalid[[#This Row],[cutoff]]),MONTH(m6_crossvalid[[#This Row],[cutoff]]),DAY(m6_crossvalid[[#This Row],[cutoff]]))</f>
        <v>45900</v>
      </c>
      <c r="B250" s="7">
        <f>DATE(YEAR(m6_crossvalid[[#This Row],[ds]]),MONTH(m6_crossvalid[[#This Row],[ds]]),DAY(m6_crossvalid[[#This Row],[ds]]))</f>
        <v>45901</v>
      </c>
      <c r="C250">
        <v>33.999999999999993</v>
      </c>
      <c r="D250" s="1">
        <v>45901.333333333336</v>
      </c>
      <c r="E250">
        <v>99.970273838272348</v>
      </c>
      <c r="F250">
        <v>49.701193288556119</v>
      </c>
      <c r="G250">
        <v>185.33021423791527</v>
      </c>
      <c r="H250" s="1">
        <v>45900.333333333336</v>
      </c>
    </row>
    <row r="251" spans="1:8" x14ac:dyDescent="0.25">
      <c r="A251" s="7">
        <f>DATE(YEAR(m6_crossvalid[[#This Row],[cutoff]]),MONTH(m6_crossvalid[[#This Row],[cutoff]]),DAY(m6_crossvalid[[#This Row],[cutoff]]))</f>
        <v>45900</v>
      </c>
      <c r="B251" s="7">
        <f>DATE(YEAR(m6_crossvalid[[#This Row],[ds]]),MONTH(m6_crossvalid[[#This Row],[ds]]),DAY(m6_crossvalid[[#This Row],[ds]]))</f>
        <v>45902</v>
      </c>
      <c r="C251">
        <v>463</v>
      </c>
      <c r="D251" s="1">
        <v>45902.333333333336</v>
      </c>
      <c r="E251">
        <v>632.62694768292988</v>
      </c>
      <c r="F251">
        <v>306.13298148406159</v>
      </c>
      <c r="G251">
        <v>1245.5335272452155</v>
      </c>
      <c r="H251" s="1">
        <v>45900.333333333336</v>
      </c>
    </row>
    <row r="252" spans="1:8" x14ac:dyDescent="0.25">
      <c r="A252" s="7">
        <f>DATE(YEAR(m6_crossvalid[[#This Row],[cutoff]]),MONTH(m6_crossvalid[[#This Row],[cutoff]]),DAY(m6_crossvalid[[#This Row],[cutoff]]))</f>
        <v>45900</v>
      </c>
      <c r="B252" s="7">
        <f>DATE(YEAR(m6_crossvalid[[#This Row],[ds]]),MONTH(m6_crossvalid[[#This Row],[ds]]),DAY(m6_crossvalid[[#This Row],[ds]]))</f>
        <v>45903</v>
      </c>
      <c r="C252">
        <v>733.99999999999989</v>
      </c>
      <c r="D252" s="1">
        <v>45903.333333333336</v>
      </c>
      <c r="E252">
        <v>931.54105079124861</v>
      </c>
      <c r="F252">
        <v>463.8565357430557</v>
      </c>
      <c r="G252">
        <v>1763.0005804444472</v>
      </c>
      <c r="H252" s="1">
        <v>45900.333333333336</v>
      </c>
    </row>
    <row r="253" spans="1:8" x14ac:dyDescent="0.25">
      <c r="A253" s="7">
        <f>DATE(YEAR(m6_crossvalid[[#This Row],[cutoff]]),MONTH(m6_crossvalid[[#This Row],[cutoff]]),DAY(m6_crossvalid[[#This Row],[cutoff]]))</f>
        <v>45900</v>
      </c>
      <c r="B253" s="7">
        <f>DATE(YEAR(m6_crossvalid[[#This Row],[ds]]),MONTH(m6_crossvalid[[#This Row],[ds]]),DAY(m6_crossvalid[[#This Row],[ds]]))</f>
        <v>45904</v>
      </c>
      <c r="C253">
        <v>973</v>
      </c>
      <c r="D253" s="1">
        <v>45904.333333333336</v>
      </c>
      <c r="E253">
        <v>915.39965332443933</v>
      </c>
      <c r="F253">
        <v>454.4570636591173</v>
      </c>
      <c r="G253">
        <v>1791.9079152767192</v>
      </c>
      <c r="H253" s="1">
        <v>45900.333333333336</v>
      </c>
    </row>
    <row r="254" spans="1:8" x14ac:dyDescent="0.25">
      <c r="A254" s="7">
        <f>DATE(YEAR(m6_crossvalid[[#This Row],[cutoff]]),MONTH(m6_crossvalid[[#This Row],[cutoff]]),DAY(m6_crossvalid[[#This Row],[cutoff]]))</f>
        <v>45900</v>
      </c>
      <c r="B254" s="7">
        <f>DATE(YEAR(m6_crossvalid[[#This Row],[ds]]),MONTH(m6_crossvalid[[#This Row],[ds]]),DAY(m6_crossvalid[[#This Row],[ds]]))</f>
        <v>45905</v>
      </c>
      <c r="C254">
        <v>61.000000000000007</v>
      </c>
      <c r="D254" s="1">
        <v>45905.333333333336</v>
      </c>
      <c r="E254">
        <v>103.71849622093023</v>
      </c>
      <c r="F254">
        <v>52.497002746508358</v>
      </c>
      <c r="G254">
        <v>199.20309153294457</v>
      </c>
      <c r="H254" s="1">
        <v>45900.333333333336</v>
      </c>
    </row>
    <row r="255" spans="1:8" x14ac:dyDescent="0.25">
      <c r="A255" s="7">
        <f>DATE(YEAR(m6_crossvalid[[#This Row],[cutoff]]),MONTH(m6_crossvalid[[#This Row],[cutoff]]),DAY(m6_crossvalid[[#This Row],[cutoff]]))</f>
        <v>45900</v>
      </c>
      <c r="B255" s="7">
        <f>DATE(YEAR(m6_crossvalid[[#This Row],[ds]]),MONTH(m6_crossvalid[[#This Row],[ds]]),DAY(m6_crossvalid[[#This Row],[ds]]))</f>
        <v>45906</v>
      </c>
      <c r="C255">
        <v>107.00000000000003</v>
      </c>
      <c r="D255" s="1">
        <v>45906.333333333336</v>
      </c>
      <c r="E255">
        <v>152.36519945175613</v>
      </c>
      <c r="F255">
        <v>74.765473837537229</v>
      </c>
      <c r="G255">
        <v>290.17435474647078</v>
      </c>
      <c r="H255" s="1">
        <v>45900.333333333336</v>
      </c>
    </row>
    <row r="256" spans="1:8" x14ac:dyDescent="0.25">
      <c r="A256" s="7">
        <f>DATE(YEAR(m6_crossvalid[[#This Row],[cutoff]]),MONTH(m6_crossvalid[[#This Row],[cutoff]]),DAY(m6_crossvalid[[#This Row],[cutoff]]))</f>
        <v>45900</v>
      </c>
      <c r="B256" s="7">
        <f>DATE(YEAR(m6_crossvalid[[#This Row],[ds]]),MONTH(m6_crossvalid[[#This Row],[ds]]),DAY(m6_crossvalid[[#This Row],[ds]]))</f>
        <v>45907</v>
      </c>
      <c r="C256">
        <v>30</v>
      </c>
      <c r="D256" s="1">
        <v>45907.333333333336</v>
      </c>
      <c r="E256">
        <v>55.6368362501183</v>
      </c>
      <c r="F256">
        <v>27.061955944970794</v>
      </c>
      <c r="G256">
        <v>107.32680901704774</v>
      </c>
      <c r="H256" s="1">
        <v>45900.333333333336</v>
      </c>
    </row>
    <row r="257" spans="1:8" x14ac:dyDescent="0.25">
      <c r="A257" s="7">
        <f>DATE(YEAR(m6_crossvalid[[#This Row],[cutoff]]),MONTH(m6_crossvalid[[#This Row],[cutoff]]),DAY(m6_crossvalid[[#This Row],[cutoff]]))</f>
        <v>45900</v>
      </c>
      <c r="B257" s="7">
        <f>DATE(YEAR(m6_crossvalid[[#This Row],[ds]]),MONTH(m6_crossvalid[[#This Row],[ds]]),DAY(m6_crossvalid[[#This Row],[ds]]))</f>
        <v>45908</v>
      </c>
      <c r="C257">
        <v>1382.0000000000005</v>
      </c>
      <c r="D257" s="1">
        <v>45908.333333333336</v>
      </c>
      <c r="E257">
        <v>1293.0716900867133</v>
      </c>
      <c r="F257">
        <v>674.24385036102444</v>
      </c>
      <c r="G257">
        <v>2462.8276652799141</v>
      </c>
      <c r="H257" s="1">
        <v>45900.333333333336</v>
      </c>
    </row>
    <row r="258" spans="1:8" x14ac:dyDescent="0.25">
      <c r="A258" s="7">
        <f>DATE(YEAR(m6_crossvalid[[#This Row],[cutoff]]),MONTH(m6_crossvalid[[#This Row],[cutoff]]),DAY(m6_crossvalid[[#This Row],[cutoff]]))</f>
        <v>45900</v>
      </c>
      <c r="B258" s="7">
        <f>DATE(YEAR(m6_crossvalid[[#This Row],[ds]]),MONTH(m6_crossvalid[[#This Row],[ds]]),DAY(m6_crossvalid[[#This Row],[ds]]))</f>
        <v>45909</v>
      </c>
      <c r="C258">
        <v>1925.0000000000007</v>
      </c>
      <c r="D258" s="1">
        <v>45909.333333333336</v>
      </c>
      <c r="E258">
        <v>1523.2938024314562</v>
      </c>
      <c r="F258">
        <v>772.04649210129844</v>
      </c>
      <c r="G258">
        <v>2910.2614188641282</v>
      </c>
      <c r="H258" s="1">
        <v>45900.333333333336</v>
      </c>
    </row>
    <row r="259" spans="1:8" x14ac:dyDescent="0.25">
      <c r="A259" s="7">
        <f>DATE(YEAR(m6_crossvalid[[#This Row],[cutoff]]),MONTH(m6_crossvalid[[#This Row],[cutoff]]),DAY(m6_crossvalid[[#This Row],[cutoff]]))</f>
        <v>45900</v>
      </c>
      <c r="B259" s="7">
        <f>DATE(YEAR(m6_crossvalid[[#This Row],[ds]]),MONTH(m6_crossvalid[[#This Row],[ds]]),DAY(m6_crossvalid[[#This Row],[ds]]))</f>
        <v>45910</v>
      </c>
      <c r="C259">
        <v>1988.0000000000005</v>
      </c>
      <c r="D259" s="1">
        <v>45910.333333333336</v>
      </c>
      <c r="E259">
        <v>1542.797102289712</v>
      </c>
      <c r="F259">
        <v>804.88558126500186</v>
      </c>
      <c r="G259">
        <v>3015.523765203513</v>
      </c>
      <c r="H259" s="1">
        <v>45900.333333333336</v>
      </c>
    </row>
    <row r="260" spans="1:8" x14ac:dyDescent="0.25">
      <c r="A260" s="7">
        <f>DATE(YEAR(m6_crossvalid[[#This Row],[cutoff]]),MONTH(m6_crossvalid[[#This Row],[cutoff]]),DAY(m6_crossvalid[[#This Row],[cutoff]]))</f>
        <v>45900</v>
      </c>
      <c r="B260" s="7">
        <f>DATE(YEAR(m6_crossvalid[[#This Row],[ds]]),MONTH(m6_crossvalid[[#This Row],[ds]]),DAY(m6_crossvalid[[#This Row],[ds]]))</f>
        <v>45911</v>
      </c>
      <c r="C260">
        <v>2413.9999999999991</v>
      </c>
      <c r="D260" s="1">
        <v>45911.333333333336</v>
      </c>
      <c r="E260">
        <v>1650.6451533672036</v>
      </c>
      <c r="F260">
        <v>811.74834341345058</v>
      </c>
      <c r="G260">
        <v>3019.3038900844299</v>
      </c>
      <c r="H260" s="1">
        <v>45900.333333333336</v>
      </c>
    </row>
    <row r="261" spans="1:8" x14ac:dyDescent="0.25">
      <c r="A261" s="7">
        <f>DATE(YEAR(m6_crossvalid[[#This Row],[cutoff]]),MONTH(m6_crossvalid[[#This Row],[cutoff]]),DAY(m6_crossvalid[[#This Row],[cutoff]]))</f>
        <v>45900</v>
      </c>
      <c r="B261" s="7">
        <f>DATE(YEAR(m6_crossvalid[[#This Row],[ds]]),MONTH(m6_crossvalid[[#This Row],[ds]]),DAY(m6_crossvalid[[#This Row],[ds]]))</f>
        <v>45912</v>
      </c>
      <c r="C261">
        <v>2644.0000000000005</v>
      </c>
      <c r="D261" s="1">
        <v>45912.333333333336</v>
      </c>
      <c r="E261">
        <v>1674.0687557865688</v>
      </c>
      <c r="F261">
        <v>831.65364475296792</v>
      </c>
      <c r="G261">
        <v>3293.0150698665439</v>
      </c>
      <c r="H261" s="1">
        <v>45900.333333333336</v>
      </c>
    </row>
    <row r="262" spans="1:8" x14ac:dyDescent="0.25">
      <c r="A262" s="7">
        <f>DATE(YEAR(m6_crossvalid[[#This Row],[cutoff]]),MONTH(m6_crossvalid[[#This Row],[cutoff]]),DAY(m6_crossvalid[[#This Row],[cutoff]]))</f>
        <v>45900</v>
      </c>
      <c r="B262" s="7">
        <f>DATE(YEAR(m6_crossvalid[[#This Row],[ds]]),MONTH(m6_crossvalid[[#This Row],[ds]]),DAY(m6_crossvalid[[#This Row],[ds]]))</f>
        <v>45913</v>
      </c>
      <c r="C262">
        <v>438.99999999999983</v>
      </c>
      <c r="D262" s="1">
        <v>45913.333333333336</v>
      </c>
      <c r="E262">
        <v>301.51523519692898</v>
      </c>
      <c r="F262">
        <v>161.03613937623203</v>
      </c>
      <c r="G262">
        <v>570.052619447918</v>
      </c>
      <c r="H262" s="1">
        <v>45900.333333333336</v>
      </c>
    </row>
    <row r="263" spans="1:8" x14ac:dyDescent="0.25">
      <c r="A263" s="7">
        <f>DATE(YEAR(m6_crossvalid[[#This Row],[cutoff]]),MONTH(m6_crossvalid[[#This Row],[cutoff]]),DAY(m6_crossvalid[[#This Row],[cutoff]]))</f>
        <v>45900</v>
      </c>
      <c r="B263" s="7">
        <f>DATE(YEAR(m6_crossvalid[[#This Row],[ds]]),MONTH(m6_crossvalid[[#This Row],[ds]]),DAY(m6_crossvalid[[#This Row],[ds]]))</f>
        <v>45914</v>
      </c>
      <c r="C263">
        <v>107.99999999999997</v>
      </c>
      <c r="D263" s="1">
        <v>45914.333333333336</v>
      </c>
      <c r="E263">
        <v>119.4008722528052</v>
      </c>
      <c r="F263">
        <v>57.375824453117474</v>
      </c>
      <c r="G263">
        <v>226.7619445237352</v>
      </c>
      <c r="H263" s="1">
        <v>45900.333333333336</v>
      </c>
    </row>
    <row r="264" spans="1:8" x14ac:dyDescent="0.25">
      <c r="A264" s="7">
        <f>DATE(YEAR(m6_crossvalid[[#This Row],[cutoff]]),MONTH(m6_crossvalid[[#This Row],[cutoff]]),DAY(m6_crossvalid[[#This Row],[cutoff]]))</f>
        <v>45900</v>
      </c>
      <c r="B264" s="7">
        <f>DATE(YEAR(m6_crossvalid[[#This Row],[ds]]),MONTH(m6_crossvalid[[#This Row],[ds]]),DAY(m6_crossvalid[[#This Row],[ds]]))</f>
        <v>45915</v>
      </c>
      <c r="C264">
        <v>18.999999999999996</v>
      </c>
      <c r="D264" s="1">
        <v>45915.333333333336</v>
      </c>
      <c r="E264">
        <v>185.53365061404762</v>
      </c>
      <c r="F264">
        <v>94.691597330123287</v>
      </c>
      <c r="G264">
        <v>348.04572696294855</v>
      </c>
      <c r="H264" s="1">
        <v>45900.333333333336</v>
      </c>
    </row>
    <row r="265" spans="1:8" x14ac:dyDescent="0.25">
      <c r="A265" s="7">
        <f>DATE(YEAR(m6_crossvalid[[#This Row],[cutoff]]),MONTH(m6_crossvalid[[#This Row],[cutoff]]),DAY(m6_crossvalid[[#This Row],[cutoff]]))</f>
        <v>45900</v>
      </c>
      <c r="B265" s="7">
        <f>DATE(YEAR(m6_crossvalid[[#This Row],[ds]]),MONTH(m6_crossvalid[[#This Row],[ds]]),DAY(m6_crossvalid[[#This Row],[ds]]))</f>
        <v>45916</v>
      </c>
      <c r="C265">
        <v>5</v>
      </c>
      <c r="D265" s="1">
        <v>45916.333333333336</v>
      </c>
      <c r="E265">
        <v>242.80815602732196</v>
      </c>
      <c r="F265">
        <v>123.20682826695251</v>
      </c>
      <c r="G265">
        <v>480.57703926374745</v>
      </c>
      <c r="H265" s="1">
        <v>45900.333333333336</v>
      </c>
    </row>
    <row r="266" spans="1:8" x14ac:dyDescent="0.25">
      <c r="A266" s="7">
        <f>DATE(YEAR(m6_crossvalid[[#This Row],[cutoff]]),MONTH(m6_crossvalid[[#This Row],[cutoff]]),DAY(m6_crossvalid[[#This Row],[cutoff]]))</f>
        <v>45900</v>
      </c>
      <c r="B266" s="7">
        <f>DATE(YEAR(m6_crossvalid[[#This Row],[ds]]),MONTH(m6_crossvalid[[#This Row],[ds]]),DAY(m6_crossvalid[[#This Row],[ds]]))</f>
        <v>45917</v>
      </c>
      <c r="C266">
        <v>2107.9999999999991</v>
      </c>
      <c r="D266" s="1">
        <v>45917.333333333336</v>
      </c>
      <c r="E266">
        <v>2231.4040669951301</v>
      </c>
      <c r="F266">
        <v>1179.269190330715</v>
      </c>
      <c r="G266">
        <v>4332.4003656716004</v>
      </c>
      <c r="H266" s="1">
        <v>45900.333333333336</v>
      </c>
    </row>
    <row r="267" spans="1:8" x14ac:dyDescent="0.25">
      <c r="A267" s="7">
        <f>DATE(YEAR(m6_crossvalid[[#This Row],[cutoff]]),MONTH(m6_crossvalid[[#This Row],[cutoff]]),DAY(m6_crossvalid[[#This Row],[cutoff]]))</f>
        <v>45900</v>
      </c>
      <c r="B267" s="7">
        <f>DATE(YEAR(m6_crossvalid[[#This Row],[ds]]),MONTH(m6_crossvalid[[#This Row],[ds]]),DAY(m6_crossvalid[[#This Row],[ds]]))</f>
        <v>45918</v>
      </c>
      <c r="C267">
        <v>3129</v>
      </c>
      <c r="D267" s="1">
        <v>45918.333333333336</v>
      </c>
      <c r="E267">
        <v>2414.9578690537514</v>
      </c>
      <c r="F267">
        <v>1288.1117491393879</v>
      </c>
      <c r="G267">
        <v>4891.2720070086189</v>
      </c>
      <c r="H267" s="1">
        <v>45900.333333333336</v>
      </c>
    </row>
    <row r="268" spans="1:8" x14ac:dyDescent="0.25">
      <c r="A268" s="7">
        <f>DATE(YEAR(m6_crossvalid[[#This Row],[cutoff]]),MONTH(m6_crossvalid[[#This Row],[cutoff]]),DAY(m6_crossvalid[[#This Row],[cutoff]]))</f>
        <v>45900</v>
      </c>
      <c r="B268" s="7">
        <f>DATE(YEAR(m6_crossvalid[[#This Row],[ds]]),MONTH(m6_crossvalid[[#This Row],[ds]]),DAY(m6_crossvalid[[#This Row],[ds]]))</f>
        <v>45919</v>
      </c>
      <c r="C268">
        <v>3026.9999999999995</v>
      </c>
      <c r="D268" s="1">
        <v>45919.333333333336</v>
      </c>
      <c r="E268">
        <v>2399.8974850005507</v>
      </c>
      <c r="F268">
        <v>1210.7727060048587</v>
      </c>
      <c r="G268">
        <v>4658.452571188569</v>
      </c>
      <c r="H268" s="1">
        <v>45900.333333333336</v>
      </c>
    </row>
    <row r="269" spans="1:8" x14ac:dyDescent="0.25">
      <c r="A269" s="7">
        <f>DATE(YEAR(m6_crossvalid[[#This Row],[cutoff]]),MONTH(m6_crossvalid[[#This Row],[cutoff]]),DAY(m6_crossvalid[[#This Row],[cutoff]]))</f>
        <v>45900</v>
      </c>
      <c r="B269" s="7">
        <f>DATE(YEAR(m6_crossvalid[[#This Row],[ds]]),MONTH(m6_crossvalid[[#This Row],[ds]]),DAY(m6_crossvalid[[#This Row],[ds]]))</f>
        <v>45920</v>
      </c>
      <c r="C269">
        <v>525.00000000000011</v>
      </c>
      <c r="D269" s="1">
        <v>45920.333333333336</v>
      </c>
      <c r="E269">
        <v>424.81647744998679</v>
      </c>
      <c r="F269">
        <v>214.27961355647452</v>
      </c>
      <c r="G269">
        <v>866.41144827451899</v>
      </c>
      <c r="H269" s="1">
        <v>45900.333333333336</v>
      </c>
    </row>
    <row r="270" spans="1:8" x14ac:dyDescent="0.25">
      <c r="A270" s="7">
        <f>DATE(YEAR(m6_crossvalid[[#This Row],[cutoff]]),MONTH(m6_crossvalid[[#This Row],[cutoff]]),DAY(m6_crossvalid[[#This Row],[cutoff]]))</f>
        <v>45900</v>
      </c>
      <c r="B270" s="7">
        <f>DATE(YEAR(m6_crossvalid[[#This Row],[ds]]),MONTH(m6_crossvalid[[#This Row],[ds]]),DAY(m6_crossvalid[[#This Row],[ds]]))</f>
        <v>45921</v>
      </c>
      <c r="C270">
        <v>107.00000000000003</v>
      </c>
      <c r="D270" s="1">
        <v>45921.333333333336</v>
      </c>
      <c r="E270">
        <v>168.34250239939666</v>
      </c>
      <c r="F270">
        <v>86.318387059602955</v>
      </c>
      <c r="G270">
        <v>320.52964143942938</v>
      </c>
      <c r="H270" s="1">
        <v>45900.333333333336</v>
      </c>
    </row>
    <row r="271" spans="1:8" x14ac:dyDescent="0.25">
      <c r="A271" s="7">
        <f>DATE(YEAR(m6_crossvalid[[#This Row],[cutoff]]),MONTH(m6_crossvalid[[#This Row],[cutoff]]),DAY(m6_crossvalid[[#This Row],[cutoff]]))</f>
        <v>45900</v>
      </c>
      <c r="B271" s="7">
        <f>DATE(YEAR(m6_crossvalid[[#This Row],[ds]]),MONTH(m6_crossvalid[[#This Row],[ds]]),DAY(m6_crossvalid[[#This Row],[ds]]))</f>
        <v>45922</v>
      </c>
      <c r="C271">
        <v>2480.0000000000005</v>
      </c>
      <c r="D271" s="1">
        <v>45922.333333333336</v>
      </c>
      <c r="E271">
        <v>2221.2502279230798</v>
      </c>
      <c r="F271">
        <v>1148.5874563688399</v>
      </c>
      <c r="G271">
        <v>4595.7595698076757</v>
      </c>
      <c r="H271" s="1">
        <v>45900.333333333336</v>
      </c>
    </row>
    <row r="272" spans="1:8" x14ac:dyDescent="0.25">
      <c r="A272" s="7">
        <f>DATE(YEAR(m6_crossvalid[[#This Row],[cutoff]]),MONTH(m6_crossvalid[[#This Row],[cutoff]]),DAY(m6_crossvalid[[#This Row],[cutoff]]))</f>
        <v>45900</v>
      </c>
      <c r="B272" s="7">
        <f>DATE(YEAR(m6_crossvalid[[#This Row],[ds]]),MONTH(m6_crossvalid[[#This Row],[ds]]),DAY(m6_crossvalid[[#This Row],[ds]]))</f>
        <v>45923</v>
      </c>
      <c r="C272">
        <v>2893.0000000000005</v>
      </c>
      <c r="D272" s="1">
        <v>45923.333333333336</v>
      </c>
      <c r="E272">
        <v>2809.0584067549999</v>
      </c>
      <c r="F272">
        <v>1409.2096507006215</v>
      </c>
      <c r="G272">
        <v>5472.8088398706122</v>
      </c>
      <c r="H272" s="1">
        <v>45900.333333333336</v>
      </c>
    </row>
    <row r="273" spans="1:8" x14ac:dyDescent="0.25">
      <c r="A273" s="7">
        <f>DATE(YEAR(m6_crossvalid[[#This Row],[cutoff]]),MONTH(m6_crossvalid[[#This Row],[cutoff]]),DAY(m6_crossvalid[[#This Row],[cutoff]]))</f>
        <v>45900</v>
      </c>
      <c r="B273" s="7">
        <f>DATE(YEAR(m6_crossvalid[[#This Row],[ds]]),MONTH(m6_crossvalid[[#This Row],[ds]]),DAY(m6_crossvalid[[#This Row],[ds]]))</f>
        <v>45924</v>
      </c>
      <c r="C273">
        <v>3142.9999999999977</v>
      </c>
      <c r="D273" s="1">
        <v>45924.333333333336</v>
      </c>
      <c r="E273">
        <v>5330.2946581995266</v>
      </c>
      <c r="F273">
        <v>2758.4842860189528</v>
      </c>
      <c r="G273">
        <v>10547.759010423448</v>
      </c>
      <c r="H273" s="1">
        <v>45900.333333333336</v>
      </c>
    </row>
    <row r="274" spans="1:8" x14ac:dyDescent="0.25">
      <c r="A274" s="7">
        <f>DATE(YEAR(m6_crossvalid[[#This Row],[cutoff]]),MONTH(m6_crossvalid[[#This Row],[cutoff]]),DAY(m6_crossvalid[[#This Row],[cutoff]]))</f>
        <v>45900</v>
      </c>
      <c r="B274" s="7">
        <f>DATE(YEAR(m6_crossvalid[[#This Row],[ds]]),MONTH(m6_crossvalid[[#This Row],[ds]]),DAY(m6_crossvalid[[#This Row],[ds]]))</f>
        <v>45925</v>
      </c>
      <c r="C274">
        <v>3361.0000000000014</v>
      </c>
      <c r="D274" s="1">
        <v>45925.333333333336</v>
      </c>
      <c r="E274">
        <v>5215.3512710727118</v>
      </c>
      <c r="F274">
        <v>2719.7050549510195</v>
      </c>
      <c r="G274">
        <v>10148.53021585954</v>
      </c>
      <c r="H274" s="1">
        <v>45900.333333333336</v>
      </c>
    </row>
    <row r="275" spans="1:8" x14ac:dyDescent="0.25">
      <c r="A275" s="7">
        <f>DATE(YEAR(m6_crossvalid[[#This Row],[cutoff]]),MONTH(m6_crossvalid[[#This Row],[cutoff]]),DAY(m6_crossvalid[[#This Row],[cutoff]]))</f>
        <v>45900</v>
      </c>
      <c r="B275" s="7">
        <f>DATE(YEAR(m6_crossvalid[[#This Row],[ds]]),MONTH(m6_crossvalid[[#This Row],[ds]]),DAY(m6_crossvalid[[#This Row],[ds]]))</f>
        <v>45926</v>
      </c>
      <c r="C275">
        <v>3884.9999999999977</v>
      </c>
      <c r="D275" s="1">
        <v>45926.333333333336</v>
      </c>
      <c r="E275">
        <v>4802.4656937429882</v>
      </c>
      <c r="F275">
        <v>2489.4847842678737</v>
      </c>
      <c r="G275">
        <v>9355.1800713265493</v>
      </c>
      <c r="H275" s="1">
        <v>45900.333333333336</v>
      </c>
    </row>
    <row r="276" spans="1:8" x14ac:dyDescent="0.25">
      <c r="A276" s="7">
        <f>DATE(YEAR(m6_crossvalid[[#This Row],[cutoff]]),MONTH(m6_crossvalid[[#This Row],[cutoff]]),DAY(m6_crossvalid[[#This Row],[cutoff]]))</f>
        <v>45900</v>
      </c>
      <c r="B276" s="7">
        <f>DATE(YEAR(m6_crossvalid[[#This Row],[ds]]),MONTH(m6_crossvalid[[#This Row],[ds]]),DAY(m6_crossvalid[[#This Row],[ds]]))</f>
        <v>45927</v>
      </c>
      <c r="C276">
        <v>1024.0000000000005</v>
      </c>
      <c r="D276" s="1">
        <v>45927.333333333336</v>
      </c>
      <c r="E276">
        <v>835.30321634027803</v>
      </c>
      <c r="F276">
        <v>420.11017344815002</v>
      </c>
      <c r="G276">
        <v>1588.7253636858491</v>
      </c>
      <c r="H276" s="1">
        <v>45900.333333333336</v>
      </c>
    </row>
    <row r="277" spans="1:8" x14ac:dyDescent="0.25">
      <c r="A277" s="7">
        <f>DATE(YEAR(m6_crossvalid[[#This Row],[cutoff]]),MONTH(m6_crossvalid[[#This Row],[cutoff]]),DAY(m6_crossvalid[[#This Row],[cutoff]]))</f>
        <v>45900</v>
      </c>
      <c r="B277" s="7">
        <f>DATE(YEAR(m6_crossvalid[[#This Row],[ds]]),MONTH(m6_crossvalid[[#This Row],[ds]]),DAY(m6_crossvalid[[#This Row],[ds]]))</f>
        <v>45928</v>
      </c>
      <c r="C277">
        <v>279.99999999999989</v>
      </c>
      <c r="D277" s="1">
        <v>45928.333333333336</v>
      </c>
      <c r="E277">
        <v>341.87774997958098</v>
      </c>
      <c r="F277">
        <v>181.8426081325066</v>
      </c>
      <c r="G277">
        <v>696.64458366990505</v>
      </c>
      <c r="H277" s="1">
        <v>45900.333333333336</v>
      </c>
    </row>
    <row r="278" spans="1:8" x14ac:dyDescent="0.25">
      <c r="A278" s="7">
        <f>DATE(YEAR(m6_crossvalid[[#This Row],[cutoff]]),MONTH(m6_crossvalid[[#This Row],[cutoff]]),DAY(m6_crossvalid[[#This Row],[cutoff]]))</f>
        <v>45900</v>
      </c>
      <c r="B278" s="7">
        <f>DATE(YEAR(m6_crossvalid[[#This Row],[ds]]),MONTH(m6_crossvalid[[#This Row],[ds]]),DAY(m6_crossvalid[[#This Row],[ds]]))</f>
        <v>45929</v>
      </c>
      <c r="C278">
        <v>8852.0000000000018</v>
      </c>
      <c r="D278" s="1">
        <v>45929.333333333336</v>
      </c>
      <c r="E278">
        <v>8490.6698753572764</v>
      </c>
      <c r="F278">
        <v>4398.5107663781455</v>
      </c>
      <c r="G278">
        <v>17338.489888934018</v>
      </c>
      <c r="H278" s="1">
        <v>45900.333333333336</v>
      </c>
    </row>
    <row r="279" spans="1:8" x14ac:dyDescent="0.25">
      <c r="A279" s="7">
        <f>DATE(YEAR(m6_crossvalid[[#This Row],[cutoff]]),MONTH(m6_crossvalid[[#This Row],[cutoff]]),DAY(m6_crossvalid[[#This Row],[cutoff]]))</f>
        <v>45900</v>
      </c>
      <c r="B279" s="7">
        <f>DATE(YEAR(m6_crossvalid[[#This Row],[ds]]),MONTH(m6_crossvalid[[#This Row],[ds]]),DAY(m6_crossvalid[[#This Row],[ds]]))</f>
        <v>45930</v>
      </c>
      <c r="C279">
        <v>14458</v>
      </c>
      <c r="D279" s="1">
        <v>45930.333333333336</v>
      </c>
      <c r="E279">
        <v>17261.06820799569</v>
      </c>
      <c r="F279">
        <v>9005.4033172813324</v>
      </c>
      <c r="G279">
        <v>33912.426024987413</v>
      </c>
      <c r="H279" s="1">
        <v>45900.333333333336</v>
      </c>
    </row>
    <row r="280" spans="1:8" x14ac:dyDescent="0.25">
      <c r="A280" s="7">
        <f>DATE(YEAR(m6_crossvalid[[#This Row],[cutoff]]),MONTH(m6_crossvalid[[#This Row],[cutoff]]),DAY(m6_crossvalid[[#This Row],[cutoff]]))</f>
        <v>45900</v>
      </c>
      <c r="B280" s="7">
        <f>DATE(YEAR(m6_crossvalid[[#This Row],[ds]]),MONTH(m6_crossvalid[[#This Row],[ds]]),DAY(m6_crossvalid[[#This Row],[ds]]))</f>
        <v>45931</v>
      </c>
      <c r="C280">
        <v>638.99999999999989</v>
      </c>
      <c r="D280" s="1">
        <v>45931.333333333336</v>
      </c>
      <c r="E280">
        <v>1136.7989722698753</v>
      </c>
      <c r="F280">
        <v>598.82393028116519</v>
      </c>
      <c r="G280">
        <v>2302.5662100700624</v>
      </c>
      <c r="H280" s="1">
        <v>45900.333333333336</v>
      </c>
    </row>
    <row r="281" spans="1:8" x14ac:dyDescent="0.25">
      <c r="A281" s="7">
        <f>DATE(YEAR(m6_crossvalid[[#This Row],[cutoff]]),MONTH(m6_crossvalid[[#This Row],[cutoff]]),DAY(m6_crossvalid[[#This Row],[cutoff]]))</f>
        <v>45930</v>
      </c>
      <c r="B281" s="7">
        <f>DATE(YEAR(m6_crossvalid[[#This Row],[ds]]),MONTH(m6_crossvalid[[#This Row],[ds]]),DAY(m6_crossvalid[[#This Row],[ds]]))</f>
        <v>45931</v>
      </c>
      <c r="C281">
        <v>638.99999999999989</v>
      </c>
      <c r="D281" s="1">
        <v>45931.333333333336</v>
      </c>
      <c r="E281">
        <v>1089.2162466162963</v>
      </c>
      <c r="F281">
        <v>525.42096321859901</v>
      </c>
      <c r="G281">
        <v>2289.4486340020981</v>
      </c>
      <c r="H281" s="1">
        <v>45930.333333333336</v>
      </c>
    </row>
    <row r="282" spans="1:8" x14ac:dyDescent="0.25">
      <c r="A282" s="7">
        <f>DATE(YEAR(m6_crossvalid[[#This Row],[cutoff]]),MONTH(m6_crossvalid[[#This Row],[cutoff]]),DAY(m6_crossvalid[[#This Row],[cutoff]]))</f>
        <v>45930</v>
      </c>
      <c r="B282" s="7">
        <f>DATE(YEAR(m6_crossvalid[[#This Row],[ds]]),MONTH(m6_crossvalid[[#This Row],[ds]]),DAY(m6_crossvalid[[#This Row],[ds]]))</f>
        <v>45932</v>
      </c>
      <c r="C282">
        <v>823.00000000000034</v>
      </c>
      <c r="D282" s="1">
        <v>45932.333333333336</v>
      </c>
      <c r="E282">
        <v>672.62454127786293</v>
      </c>
      <c r="F282">
        <v>347.97175907692042</v>
      </c>
      <c r="G282">
        <v>1383.1127004900009</v>
      </c>
      <c r="H282" s="1">
        <v>45930.333333333336</v>
      </c>
    </row>
    <row r="283" spans="1:8" x14ac:dyDescent="0.25">
      <c r="A283" s="7">
        <f>DATE(YEAR(m6_crossvalid[[#This Row],[cutoff]]),MONTH(m6_crossvalid[[#This Row],[cutoff]]),DAY(m6_crossvalid[[#This Row],[cutoff]]))</f>
        <v>45930</v>
      </c>
      <c r="B283" s="7">
        <f>DATE(YEAR(m6_crossvalid[[#This Row],[ds]]),MONTH(m6_crossvalid[[#This Row],[ds]]),DAY(m6_crossvalid[[#This Row],[ds]]))</f>
        <v>45933</v>
      </c>
      <c r="C283">
        <v>995.99999999999989</v>
      </c>
      <c r="D283" s="1">
        <v>45933.333333333336</v>
      </c>
      <c r="E283">
        <v>872.96986024435989</v>
      </c>
      <c r="F283">
        <v>443.74931140823401</v>
      </c>
      <c r="G283">
        <v>1693.1705560045023</v>
      </c>
      <c r="H283" s="1">
        <v>45930.333333333336</v>
      </c>
    </row>
    <row r="284" spans="1:8" x14ac:dyDescent="0.25">
      <c r="A284" s="7">
        <f>DATE(YEAR(m6_crossvalid[[#This Row],[cutoff]]),MONTH(m6_crossvalid[[#This Row],[cutoff]]),DAY(m6_crossvalid[[#This Row],[cutoff]]))</f>
        <v>45930</v>
      </c>
      <c r="B284" s="7">
        <f>DATE(YEAR(m6_crossvalid[[#This Row],[ds]]),MONTH(m6_crossvalid[[#This Row],[ds]]),DAY(m6_crossvalid[[#This Row],[ds]]))</f>
        <v>45934</v>
      </c>
      <c r="C284">
        <v>141.00000000000003</v>
      </c>
      <c r="D284" s="1">
        <v>45934.333333333336</v>
      </c>
      <c r="E284">
        <v>132.65844717645726</v>
      </c>
      <c r="F284">
        <v>66.336433141565053</v>
      </c>
      <c r="G284">
        <v>263.38616419305862</v>
      </c>
      <c r="H284" s="1">
        <v>45930.333333333336</v>
      </c>
    </row>
    <row r="285" spans="1:8" x14ac:dyDescent="0.25">
      <c r="A285" s="7">
        <f>DATE(YEAR(m6_crossvalid[[#This Row],[cutoff]]),MONTH(m6_crossvalid[[#This Row],[cutoff]]),DAY(m6_crossvalid[[#This Row],[cutoff]]))</f>
        <v>45930</v>
      </c>
      <c r="B285" s="7">
        <f>DATE(YEAR(m6_crossvalid[[#This Row],[ds]]),MONTH(m6_crossvalid[[#This Row],[ds]]),DAY(m6_crossvalid[[#This Row],[ds]]))</f>
        <v>45935</v>
      </c>
      <c r="C285">
        <v>37.999999999999993</v>
      </c>
      <c r="D285" s="1">
        <v>45935.333333333336</v>
      </c>
      <c r="E285">
        <v>49.835241548254302</v>
      </c>
      <c r="F285">
        <v>25.298274373557952</v>
      </c>
      <c r="G285">
        <v>100.54601471863614</v>
      </c>
      <c r="H285" s="1">
        <v>45930.333333333336</v>
      </c>
    </row>
    <row r="286" spans="1:8" x14ac:dyDescent="0.25">
      <c r="A286" s="7">
        <f>DATE(YEAR(m6_crossvalid[[#This Row],[cutoff]]),MONTH(m6_crossvalid[[#This Row],[cutoff]]),DAY(m6_crossvalid[[#This Row],[cutoff]]))</f>
        <v>45930</v>
      </c>
      <c r="B286" s="7">
        <f>DATE(YEAR(m6_crossvalid[[#This Row],[ds]]),MONTH(m6_crossvalid[[#This Row],[ds]]),DAY(m6_crossvalid[[#This Row],[ds]]))</f>
        <v>45936</v>
      </c>
      <c r="C286">
        <v>1044</v>
      </c>
      <c r="D286" s="1">
        <v>45936.333333333336</v>
      </c>
      <c r="E286">
        <v>693.24036372168518</v>
      </c>
      <c r="F286">
        <v>348.9062152215206</v>
      </c>
      <c r="G286">
        <v>1375.2655824276155</v>
      </c>
      <c r="H286" s="1">
        <v>45930.333333333336</v>
      </c>
    </row>
    <row r="287" spans="1:8" x14ac:dyDescent="0.25">
      <c r="A287" s="7">
        <f>DATE(YEAR(m6_crossvalid[[#This Row],[cutoff]]),MONTH(m6_crossvalid[[#This Row],[cutoff]]),DAY(m6_crossvalid[[#This Row],[cutoff]]))</f>
        <v>45930</v>
      </c>
      <c r="B287" s="7">
        <f>DATE(YEAR(m6_crossvalid[[#This Row],[ds]]),MONTH(m6_crossvalid[[#This Row],[ds]]),DAY(m6_crossvalid[[#This Row],[ds]]))</f>
        <v>45937</v>
      </c>
      <c r="C287">
        <v>1351.0000000000005</v>
      </c>
      <c r="D287" s="1">
        <v>45937.333333333336</v>
      </c>
      <c r="E287">
        <v>918.95755225144069</v>
      </c>
      <c r="F287">
        <v>463.89083969838941</v>
      </c>
      <c r="G287">
        <v>1772.5584734966733</v>
      </c>
      <c r="H287" s="1">
        <v>45930.333333333336</v>
      </c>
    </row>
    <row r="288" spans="1:8" x14ac:dyDescent="0.25">
      <c r="A288" s="7">
        <f>DATE(YEAR(m6_crossvalid[[#This Row],[cutoff]]),MONTH(m6_crossvalid[[#This Row],[cutoff]]),DAY(m6_crossvalid[[#This Row],[cutoff]]))</f>
        <v>45930</v>
      </c>
      <c r="B288" s="7">
        <f>DATE(YEAR(m6_crossvalid[[#This Row],[ds]]),MONTH(m6_crossvalid[[#This Row],[ds]]),DAY(m6_crossvalid[[#This Row],[ds]]))</f>
        <v>45938</v>
      </c>
      <c r="C288">
        <v>1654.0000000000002</v>
      </c>
      <c r="D288" s="1">
        <v>45938.333333333336</v>
      </c>
      <c r="E288">
        <v>1924.7603645573586</v>
      </c>
      <c r="F288">
        <v>926.07438950864832</v>
      </c>
      <c r="G288">
        <v>3758.6176473001738</v>
      </c>
      <c r="H288" s="1">
        <v>45930.333333333336</v>
      </c>
    </row>
    <row r="289" spans="1:8" x14ac:dyDescent="0.25">
      <c r="A289" s="7">
        <f>DATE(YEAR(m6_crossvalid[[#This Row],[cutoff]]),MONTH(m6_crossvalid[[#This Row],[cutoff]]),DAY(m6_crossvalid[[#This Row],[cutoff]]))</f>
        <v>45930</v>
      </c>
      <c r="B289" s="7">
        <f>DATE(YEAR(m6_crossvalid[[#This Row],[ds]]),MONTH(m6_crossvalid[[#This Row],[ds]]),DAY(m6_crossvalid[[#This Row],[ds]]))</f>
        <v>45939</v>
      </c>
      <c r="C289">
        <v>2107.9999999999991</v>
      </c>
      <c r="D289" s="1">
        <v>45939.333333333336</v>
      </c>
      <c r="E289">
        <v>1907.7228487147729</v>
      </c>
      <c r="F289">
        <v>927.47421373456461</v>
      </c>
      <c r="G289">
        <v>3784.5322116372295</v>
      </c>
      <c r="H289" s="1">
        <v>45930.333333333336</v>
      </c>
    </row>
    <row r="290" spans="1:8" x14ac:dyDescent="0.25">
      <c r="A290" s="7">
        <f>DATE(YEAR(m6_crossvalid[[#This Row],[cutoff]]),MONTH(m6_crossvalid[[#This Row],[cutoff]]),DAY(m6_crossvalid[[#This Row],[cutoff]]))</f>
        <v>45930</v>
      </c>
      <c r="B290" s="7">
        <f>DATE(YEAR(m6_crossvalid[[#This Row],[ds]]),MONTH(m6_crossvalid[[#This Row],[ds]]),DAY(m6_crossvalid[[#This Row],[ds]]))</f>
        <v>45940</v>
      </c>
      <c r="C290">
        <v>2215.0000000000005</v>
      </c>
      <c r="D290" s="1">
        <v>45940.333333333336</v>
      </c>
      <c r="E290">
        <v>1719.575679467252</v>
      </c>
      <c r="F290">
        <v>835.90318177889219</v>
      </c>
      <c r="G290">
        <v>3476.0978591409116</v>
      </c>
      <c r="H290" s="1">
        <v>45930.333333333336</v>
      </c>
    </row>
    <row r="291" spans="1:8" x14ac:dyDescent="0.25">
      <c r="A291" s="7">
        <f>DATE(YEAR(m6_crossvalid[[#This Row],[cutoff]]),MONTH(m6_crossvalid[[#This Row],[cutoff]]),DAY(m6_crossvalid[[#This Row],[cutoff]]))</f>
        <v>45930</v>
      </c>
      <c r="B291" s="7">
        <f>DATE(YEAR(m6_crossvalid[[#This Row],[ds]]),MONTH(m6_crossvalid[[#This Row],[ds]]),DAY(m6_crossvalid[[#This Row],[ds]]))</f>
        <v>45941</v>
      </c>
      <c r="C291">
        <v>380.00000000000011</v>
      </c>
      <c r="D291" s="1">
        <v>45941.333333333336</v>
      </c>
      <c r="E291">
        <v>290.33587836316968</v>
      </c>
      <c r="F291">
        <v>154.26656390723772</v>
      </c>
      <c r="G291">
        <v>570.65526175663581</v>
      </c>
      <c r="H291" s="1">
        <v>45930.333333333336</v>
      </c>
    </row>
    <row r="292" spans="1:8" x14ac:dyDescent="0.25">
      <c r="A292" s="7">
        <f>DATE(YEAR(m6_crossvalid[[#This Row],[cutoff]]),MONTH(m6_crossvalid[[#This Row],[cutoff]]),DAY(m6_crossvalid[[#This Row],[cutoff]]))</f>
        <v>45930</v>
      </c>
      <c r="B292" s="7">
        <f>DATE(YEAR(m6_crossvalid[[#This Row],[ds]]),MONTH(m6_crossvalid[[#This Row],[ds]]),DAY(m6_crossvalid[[#This Row],[ds]]))</f>
        <v>45942</v>
      </c>
      <c r="C292">
        <v>120.00000000000003</v>
      </c>
      <c r="D292" s="1">
        <v>45942.333333333336</v>
      </c>
      <c r="E292">
        <v>115.0428635544355</v>
      </c>
      <c r="F292">
        <v>58.667403973505209</v>
      </c>
      <c r="G292">
        <v>232.63210196558833</v>
      </c>
      <c r="H292" s="1">
        <v>45930.333333333336</v>
      </c>
    </row>
    <row r="293" spans="1:8" x14ac:dyDescent="0.25">
      <c r="A293" s="7">
        <f>DATE(YEAR(m6_crossvalid[[#This Row],[cutoff]]),MONTH(m6_crossvalid[[#This Row],[cutoff]]),DAY(m6_crossvalid[[#This Row],[cutoff]]))</f>
        <v>45930</v>
      </c>
      <c r="B293" s="7">
        <f>DATE(YEAR(m6_crossvalid[[#This Row],[ds]]),MONTH(m6_crossvalid[[#This Row],[ds]]),DAY(m6_crossvalid[[#This Row],[ds]]))</f>
        <v>45943</v>
      </c>
      <c r="C293">
        <v>2406</v>
      </c>
      <c r="D293" s="1">
        <v>45943.333333333336</v>
      </c>
      <c r="E293">
        <v>1607.3550089168316</v>
      </c>
      <c r="F293">
        <v>806.0195257193709</v>
      </c>
      <c r="G293">
        <v>3225.7919054214381</v>
      </c>
      <c r="H293" s="1">
        <v>45930.333333333336</v>
      </c>
    </row>
    <row r="294" spans="1:8" x14ac:dyDescent="0.25">
      <c r="A294" s="7">
        <f>DATE(YEAR(m6_crossvalid[[#This Row],[cutoff]]),MONTH(m6_crossvalid[[#This Row],[cutoff]]),DAY(m6_crossvalid[[#This Row],[cutoff]]))</f>
        <v>45930</v>
      </c>
      <c r="B294" s="7">
        <f>DATE(YEAR(m6_crossvalid[[#This Row],[ds]]),MONTH(m6_crossvalid[[#This Row],[ds]]),DAY(m6_crossvalid[[#This Row],[ds]]))</f>
        <v>45944</v>
      </c>
      <c r="C294">
        <v>2958.0000000000005</v>
      </c>
      <c r="D294" s="1">
        <v>45944.333333333336</v>
      </c>
      <c r="E294">
        <v>2181.1307358668396</v>
      </c>
      <c r="F294">
        <v>1112.2013826979896</v>
      </c>
      <c r="G294">
        <v>4131.5897186579641</v>
      </c>
      <c r="H294" s="1">
        <v>45930.333333333336</v>
      </c>
    </row>
    <row r="295" spans="1:8" x14ac:dyDescent="0.25">
      <c r="A295" s="7">
        <f>DATE(YEAR(m6_crossvalid[[#This Row],[cutoff]]),MONTH(m6_crossvalid[[#This Row],[cutoff]]),DAY(m6_crossvalid[[#This Row],[cutoff]]))</f>
        <v>45930</v>
      </c>
      <c r="B295" s="7">
        <f>DATE(YEAR(m6_crossvalid[[#This Row],[ds]]),MONTH(m6_crossvalid[[#This Row],[ds]]),DAY(m6_crossvalid[[#This Row],[ds]]))</f>
        <v>45945</v>
      </c>
      <c r="C295">
        <v>3074.0000000000023</v>
      </c>
      <c r="D295" s="1">
        <v>45945.333333333336</v>
      </c>
      <c r="E295">
        <v>2450.949675610424</v>
      </c>
      <c r="F295">
        <v>1180.3355759620263</v>
      </c>
      <c r="G295">
        <v>4846.2856606657733</v>
      </c>
      <c r="H295" s="1">
        <v>45930.333333333336</v>
      </c>
    </row>
    <row r="296" spans="1:8" x14ac:dyDescent="0.25">
      <c r="A296" s="7">
        <f>DATE(YEAR(m6_crossvalid[[#This Row],[cutoff]]),MONTH(m6_crossvalid[[#This Row],[cutoff]]),DAY(m6_crossvalid[[#This Row],[cutoff]]))</f>
        <v>45930</v>
      </c>
      <c r="B296" s="7">
        <f>DATE(YEAR(m6_crossvalid[[#This Row],[ds]]),MONTH(m6_crossvalid[[#This Row],[ds]]),DAY(m6_crossvalid[[#This Row],[ds]]))</f>
        <v>45946</v>
      </c>
      <c r="C296">
        <v>3505</v>
      </c>
      <c r="D296" s="1">
        <v>45946.333333333336</v>
      </c>
      <c r="E296">
        <v>2634.6168437349247</v>
      </c>
      <c r="F296">
        <v>1321.0003883503707</v>
      </c>
      <c r="G296">
        <v>5191.9691913071829</v>
      </c>
      <c r="H296" s="1">
        <v>45930.333333333336</v>
      </c>
    </row>
    <row r="297" spans="1:8" x14ac:dyDescent="0.25">
      <c r="A297" s="7">
        <f>DATE(YEAR(m6_crossvalid[[#This Row],[cutoff]]),MONTH(m6_crossvalid[[#This Row],[cutoff]]),DAY(m6_crossvalid[[#This Row],[cutoff]]))</f>
        <v>45930</v>
      </c>
      <c r="B297" s="7">
        <f>DATE(YEAR(m6_crossvalid[[#This Row],[ds]]),MONTH(m6_crossvalid[[#This Row],[ds]]),DAY(m6_crossvalid[[#This Row],[ds]]))</f>
        <v>45947</v>
      </c>
      <c r="C297">
        <v>3629.9999999999982</v>
      </c>
      <c r="D297" s="1">
        <v>45947.333333333336</v>
      </c>
      <c r="E297">
        <v>2545.2573536903105</v>
      </c>
      <c r="F297">
        <v>1316.372114762233</v>
      </c>
      <c r="G297">
        <v>4972.5897440411027</v>
      </c>
      <c r="H297" s="1">
        <v>45930.333333333336</v>
      </c>
    </row>
    <row r="298" spans="1:8" x14ac:dyDescent="0.25">
      <c r="A298" s="7">
        <f>DATE(YEAR(m6_crossvalid[[#This Row],[cutoff]]),MONTH(m6_crossvalid[[#This Row],[cutoff]]),DAY(m6_crossvalid[[#This Row],[cutoff]]))</f>
        <v>45930</v>
      </c>
      <c r="B298" s="7">
        <f>DATE(YEAR(m6_crossvalid[[#This Row],[ds]]),MONTH(m6_crossvalid[[#This Row],[ds]]),DAY(m6_crossvalid[[#This Row],[ds]]))</f>
        <v>45948</v>
      </c>
      <c r="C298">
        <v>653.00000000000011</v>
      </c>
      <c r="D298" s="1">
        <v>45948.333333333336</v>
      </c>
      <c r="E298">
        <v>442.13498186352825</v>
      </c>
      <c r="F298">
        <v>220.73220894867842</v>
      </c>
      <c r="G298">
        <v>890.95078951334642</v>
      </c>
      <c r="H298" s="1">
        <v>45930.333333333336</v>
      </c>
    </row>
    <row r="299" spans="1:8" x14ac:dyDescent="0.25">
      <c r="A299" s="7">
        <f>DATE(YEAR(m6_crossvalid[[#This Row],[cutoff]]),MONTH(m6_crossvalid[[#This Row],[cutoff]]),DAY(m6_crossvalid[[#This Row],[cutoff]]))</f>
        <v>45930</v>
      </c>
      <c r="B299" s="7">
        <f>DATE(YEAR(m6_crossvalid[[#This Row],[ds]]),MONTH(m6_crossvalid[[#This Row],[ds]]),DAY(m6_crossvalid[[#This Row],[ds]]))</f>
        <v>45949</v>
      </c>
      <c r="C299">
        <v>180.00000000000006</v>
      </c>
      <c r="D299" s="1">
        <v>45949.333333333336</v>
      </c>
      <c r="E299">
        <v>173.1039938162906</v>
      </c>
      <c r="F299">
        <v>83.281445953766436</v>
      </c>
      <c r="G299">
        <v>342.39721310534935</v>
      </c>
      <c r="H299" s="1">
        <v>45930.333333333336</v>
      </c>
    </row>
    <row r="300" spans="1:8" x14ac:dyDescent="0.25">
      <c r="A300" s="7">
        <f>DATE(YEAR(m6_crossvalid[[#This Row],[cutoff]]),MONTH(m6_crossvalid[[#This Row],[cutoff]]),DAY(m6_crossvalid[[#This Row],[cutoff]]))</f>
        <v>45930</v>
      </c>
      <c r="B300" s="7">
        <f>DATE(YEAR(m6_crossvalid[[#This Row],[ds]]),MONTH(m6_crossvalid[[#This Row],[ds]]),DAY(m6_crossvalid[[#This Row],[ds]]))</f>
        <v>45950</v>
      </c>
      <c r="C300">
        <v>249.99999999999989</v>
      </c>
      <c r="D300" s="1">
        <v>45950.333333333336</v>
      </c>
      <c r="E300">
        <v>239.45151959409563</v>
      </c>
      <c r="F300">
        <v>123.67631803954421</v>
      </c>
      <c r="G300">
        <v>468.89907654627308</v>
      </c>
      <c r="H300" s="1">
        <v>45930.333333333336</v>
      </c>
    </row>
    <row r="301" spans="1:8" x14ac:dyDescent="0.25">
      <c r="A301" s="7">
        <f>DATE(YEAR(m6_crossvalid[[#This Row],[cutoff]]),MONTH(m6_crossvalid[[#This Row],[cutoff]]),DAY(m6_crossvalid[[#This Row],[cutoff]]))</f>
        <v>45930</v>
      </c>
      <c r="B301" s="7">
        <f>DATE(YEAR(m6_crossvalid[[#This Row],[ds]]),MONTH(m6_crossvalid[[#This Row],[ds]]),DAY(m6_crossvalid[[#This Row],[ds]]))</f>
        <v>45951</v>
      </c>
      <c r="C301">
        <v>2796.9999999999991</v>
      </c>
      <c r="D301" s="1">
        <v>45951.333333333336</v>
      </c>
      <c r="E301">
        <v>3137.422790664355</v>
      </c>
      <c r="F301">
        <v>1569.1229040725796</v>
      </c>
      <c r="G301">
        <v>5984.4032640037067</v>
      </c>
      <c r="H301" s="1">
        <v>45930.333333333336</v>
      </c>
    </row>
    <row r="302" spans="1:8" x14ac:dyDescent="0.25">
      <c r="A302" s="7">
        <f>DATE(YEAR(m6_crossvalid[[#This Row],[cutoff]]),MONTH(m6_crossvalid[[#This Row],[cutoff]]),DAY(m6_crossvalid[[#This Row],[cutoff]]))</f>
        <v>45930</v>
      </c>
      <c r="B302" s="7">
        <f>DATE(YEAR(m6_crossvalid[[#This Row],[ds]]),MONTH(m6_crossvalid[[#This Row],[ds]]),DAY(m6_crossvalid[[#This Row],[ds]]))</f>
        <v>45952</v>
      </c>
      <c r="C302">
        <v>3643.9999999999977</v>
      </c>
      <c r="D302" s="1">
        <v>45952.333333333336</v>
      </c>
      <c r="E302">
        <v>3502.426269400898</v>
      </c>
      <c r="F302">
        <v>1842.1748627617371</v>
      </c>
      <c r="G302">
        <v>6683.4237323487296</v>
      </c>
      <c r="H302" s="1">
        <v>45930.333333333336</v>
      </c>
    </row>
    <row r="303" spans="1:8" x14ac:dyDescent="0.25">
      <c r="A303" s="7">
        <f>DATE(YEAR(m6_crossvalid[[#This Row],[cutoff]]),MONTH(m6_crossvalid[[#This Row],[cutoff]]),DAY(m6_crossvalid[[#This Row],[cutoff]]))</f>
        <v>45930</v>
      </c>
      <c r="B303" s="7">
        <f>DATE(YEAR(m6_crossvalid[[#This Row],[ds]]),MONTH(m6_crossvalid[[#This Row],[ds]]),DAY(m6_crossvalid[[#This Row],[ds]]))</f>
        <v>45953</v>
      </c>
      <c r="C303">
        <v>4008.9999999999977</v>
      </c>
      <c r="D303" s="1">
        <v>45953.333333333336</v>
      </c>
      <c r="E303">
        <v>3658.1551739928727</v>
      </c>
      <c r="F303">
        <v>1880.0561661285988</v>
      </c>
      <c r="G303">
        <v>6949.838701635329</v>
      </c>
      <c r="H303" s="1">
        <v>45930.333333333336</v>
      </c>
    </row>
    <row r="304" spans="1:8" x14ac:dyDescent="0.25">
      <c r="A304" s="7">
        <f>DATE(YEAR(m6_crossvalid[[#This Row],[cutoff]]),MONTH(m6_crossvalid[[#This Row],[cutoff]]),DAY(m6_crossvalid[[#This Row],[cutoff]]))</f>
        <v>45930</v>
      </c>
      <c r="B304" s="7">
        <f>DATE(YEAR(m6_crossvalid[[#This Row],[ds]]),MONTH(m6_crossvalid[[#This Row],[ds]]),DAY(m6_crossvalid[[#This Row],[ds]]))</f>
        <v>45954</v>
      </c>
      <c r="C304">
        <v>4008.0000000000032</v>
      </c>
      <c r="D304" s="1">
        <v>45954.333333333336</v>
      </c>
      <c r="E304">
        <v>3267.6284519799665</v>
      </c>
      <c r="F304">
        <v>1629.1462060805366</v>
      </c>
      <c r="G304">
        <v>6304.9371371509433</v>
      </c>
      <c r="H304" s="1">
        <v>45930.333333333336</v>
      </c>
    </row>
    <row r="305" spans="1:8" x14ac:dyDescent="0.25">
      <c r="A305" s="7">
        <f>DATE(YEAR(m6_crossvalid[[#This Row],[cutoff]]),MONTH(m6_crossvalid[[#This Row],[cutoff]]),DAY(m6_crossvalid[[#This Row],[cutoff]]))</f>
        <v>45930</v>
      </c>
      <c r="B305" s="7">
        <f>DATE(YEAR(m6_crossvalid[[#This Row],[ds]]),MONTH(m6_crossvalid[[#This Row],[ds]]),DAY(m6_crossvalid[[#This Row],[ds]]))</f>
        <v>45955</v>
      </c>
      <c r="C305">
        <v>971</v>
      </c>
      <c r="D305" s="1">
        <v>45955.333333333336</v>
      </c>
      <c r="E305">
        <v>944.78772816469939</v>
      </c>
      <c r="F305">
        <v>471.18199987051406</v>
      </c>
      <c r="G305">
        <v>1914.4055344848614</v>
      </c>
      <c r="H305" s="1">
        <v>45930.333333333336</v>
      </c>
    </row>
    <row r="306" spans="1:8" x14ac:dyDescent="0.25">
      <c r="A306" s="7">
        <f>DATE(YEAR(m6_crossvalid[[#This Row],[cutoff]]),MONTH(m6_crossvalid[[#This Row],[cutoff]]),DAY(m6_crossvalid[[#This Row],[cutoff]]))</f>
        <v>45930</v>
      </c>
      <c r="B306" s="7">
        <f>DATE(YEAR(m6_crossvalid[[#This Row],[ds]]),MONTH(m6_crossvalid[[#This Row],[ds]]),DAY(m6_crossvalid[[#This Row],[ds]]))</f>
        <v>45956</v>
      </c>
      <c r="C306">
        <v>238.00000000000009</v>
      </c>
      <c r="D306" s="1">
        <v>45956.333333333336</v>
      </c>
      <c r="E306">
        <v>329.54637720324109</v>
      </c>
      <c r="F306">
        <v>162.33232639786266</v>
      </c>
      <c r="G306">
        <v>628.15426788674313</v>
      </c>
      <c r="H306" s="1">
        <v>45930.333333333336</v>
      </c>
    </row>
    <row r="307" spans="1:8" x14ac:dyDescent="0.25">
      <c r="A307" s="7">
        <f>DATE(YEAR(m6_crossvalid[[#This Row],[cutoff]]),MONTH(m6_crossvalid[[#This Row],[cutoff]]),DAY(m6_crossvalid[[#This Row],[cutoff]]))</f>
        <v>45930</v>
      </c>
      <c r="B307" s="7">
        <f>DATE(YEAR(m6_crossvalid[[#This Row],[ds]]),MONTH(m6_crossvalid[[#This Row],[ds]]),DAY(m6_crossvalid[[#This Row],[ds]]))</f>
        <v>45957</v>
      </c>
      <c r="C307">
        <v>4219.0000000000018</v>
      </c>
      <c r="D307" s="1">
        <v>45957.333333333336</v>
      </c>
      <c r="E307">
        <v>4186.7853281609978</v>
      </c>
      <c r="F307">
        <v>2223.2255735415793</v>
      </c>
      <c r="G307">
        <v>8052.1089932562609</v>
      </c>
      <c r="H307" s="1">
        <v>45930.333333333336</v>
      </c>
    </row>
    <row r="308" spans="1:8" x14ac:dyDescent="0.25">
      <c r="A308" s="7">
        <f>DATE(YEAR(m6_crossvalid[[#This Row],[cutoff]]),MONTH(m6_crossvalid[[#This Row],[cutoff]]),DAY(m6_crossvalid[[#This Row],[cutoff]]))</f>
        <v>45930</v>
      </c>
      <c r="B308" s="7">
        <f>DATE(YEAR(m6_crossvalid[[#This Row],[ds]]),MONTH(m6_crossvalid[[#This Row],[ds]]),DAY(m6_crossvalid[[#This Row],[ds]]))</f>
        <v>45958</v>
      </c>
      <c r="C308">
        <v>5658.9999999999973</v>
      </c>
      <c r="D308" s="1">
        <v>45958.333333333336</v>
      </c>
      <c r="E308">
        <v>5637.9177854543841</v>
      </c>
      <c r="F308">
        <v>2733.1677746304799</v>
      </c>
      <c r="G308">
        <v>10798.621536484032</v>
      </c>
      <c r="H308" s="1">
        <v>45930.333333333336</v>
      </c>
    </row>
    <row r="309" spans="1:8" x14ac:dyDescent="0.25">
      <c r="A309" s="7">
        <f>DATE(YEAR(m6_crossvalid[[#This Row],[cutoff]]),MONTH(m6_crossvalid[[#This Row],[cutoff]]),DAY(m6_crossvalid[[#This Row],[cutoff]]))</f>
        <v>45930</v>
      </c>
      <c r="B309" s="7">
        <f>DATE(YEAR(m6_crossvalid[[#This Row],[ds]]),MONTH(m6_crossvalid[[#This Row],[ds]]),DAY(m6_crossvalid[[#This Row],[ds]]))</f>
        <v>45959</v>
      </c>
      <c r="C309">
        <v>6381.0000000000036</v>
      </c>
      <c r="D309" s="1">
        <v>45959.333333333336</v>
      </c>
      <c r="E309">
        <v>6567.6079345410699</v>
      </c>
      <c r="F309">
        <v>3246.6605993585163</v>
      </c>
      <c r="G309">
        <v>13143.311721319002</v>
      </c>
      <c r="H309" s="1">
        <v>45930.333333333336</v>
      </c>
    </row>
    <row r="310" spans="1:8" x14ac:dyDescent="0.25">
      <c r="A310" s="7">
        <f>DATE(YEAR(m6_crossvalid[[#This Row],[cutoff]]),MONTH(m6_crossvalid[[#This Row],[cutoff]]),DAY(m6_crossvalid[[#This Row],[cutoff]]))</f>
        <v>45930</v>
      </c>
      <c r="B310" s="7">
        <f>DATE(YEAR(m6_crossvalid[[#This Row],[ds]]),MONTH(m6_crossvalid[[#This Row],[ds]]),DAY(m6_crossvalid[[#This Row],[ds]]))</f>
        <v>45960</v>
      </c>
      <c r="C310">
        <v>7936.0000000000027</v>
      </c>
      <c r="D310" s="1">
        <v>45960.333333333336</v>
      </c>
      <c r="E310">
        <v>12849.348153590679</v>
      </c>
      <c r="F310">
        <v>6288.454679961882</v>
      </c>
      <c r="G310">
        <v>26551.518946144322</v>
      </c>
      <c r="H310" s="1">
        <v>45930.333333333336</v>
      </c>
    </row>
    <row r="311" spans="1:8" x14ac:dyDescent="0.25">
      <c r="A311" s="7">
        <f>DATE(YEAR(m6_crossvalid[[#This Row],[cutoff]]),MONTH(m6_crossvalid[[#This Row],[cutoff]]),DAY(m6_crossvalid[[#This Row],[cutoff]]))</f>
        <v>45930</v>
      </c>
      <c r="B311" s="7">
        <f>DATE(YEAR(m6_crossvalid[[#This Row],[ds]]),MONTH(m6_crossvalid[[#This Row],[ds]]),DAY(m6_crossvalid[[#This Row],[ds]]))</f>
        <v>45961</v>
      </c>
      <c r="C311">
        <v>13385.999999999996</v>
      </c>
      <c r="D311" s="1">
        <v>45961.333333333336</v>
      </c>
      <c r="E311">
        <v>17878.898340955027</v>
      </c>
      <c r="F311">
        <v>8853.0630689491773</v>
      </c>
      <c r="G311">
        <v>36876.397491493299</v>
      </c>
      <c r="H311" s="1">
        <v>45930.333333333336</v>
      </c>
    </row>
    <row r="312" spans="1:8" x14ac:dyDescent="0.25">
      <c r="A312" s="7">
        <f>DATE(YEAR(m6_crossvalid[[#This Row],[cutoff]]),MONTH(m6_crossvalid[[#This Row],[cutoff]]),DAY(m6_crossvalid[[#This Row],[cutoff]]))</f>
        <v>45961</v>
      </c>
      <c r="B312" s="7">
        <f>DATE(YEAR(m6_crossvalid[[#This Row],[ds]]),MONTH(m6_crossvalid[[#This Row],[ds]]),DAY(m6_crossvalid[[#This Row],[ds]]))</f>
        <v>45962</v>
      </c>
      <c r="C312">
        <v>103.99999999999997</v>
      </c>
      <c r="D312" s="1">
        <v>45962.333333333336</v>
      </c>
      <c r="E312">
        <v>169.59434532778542</v>
      </c>
      <c r="F312">
        <v>85.179079409123474</v>
      </c>
      <c r="G312">
        <v>336.19559607970109</v>
      </c>
      <c r="H312" s="1">
        <v>45961.333333333336</v>
      </c>
    </row>
    <row r="313" spans="1:8" x14ac:dyDescent="0.25">
      <c r="A313" s="7">
        <f>DATE(YEAR(m6_crossvalid[[#This Row],[cutoff]]),MONTH(m6_crossvalid[[#This Row],[cutoff]]),DAY(m6_crossvalid[[#This Row],[cutoff]]))</f>
        <v>45961</v>
      </c>
      <c r="B313" s="7">
        <f>DATE(YEAR(m6_crossvalid[[#This Row],[ds]]),MONTH(m6_crossvalid[[#This Row],[ds]]),DAY(m6_crossvalid[[#This Row],[ds]]))</f>
        <v>45963</v>
      </c>
      <c r="C313">
        <v>32</v>
      </c>
      <c r="D313" s="1">
        <v>45963.333333333336</v>
      </c>
      <c r="E313">
        <v>36.075745059092704</v>
      </c>
      <c r="F313">
        <v>17.769763128826234</v>
      </c>
      <c r="G313">
        <v>67.104078803033119</v>
      </c>
      <c r="H313" s="1">
        <v>45961.333333333336</v>
      </c>
    </row>
    <row r="314" spans="1:8" x14ac:dyDescent="0.25">
      <c r="A314" s="7">
        <f>DATE(YEAR(m6_crossvalid[[#This Row],[cutoff]]),MONTH(m6_crossvalid[[#This Row],[cutoff]]),DAY(m6_crossvalid[[#This Row],[cutoff]]))</f>
        <v>45961</v>
      </c>
      <c r="B314" s="7">
        <f>DATE(YEAR(m6_crossvalid[[#This Row],[ds]]),MONTH(m6_crossvalid[[#This Row],[ds]]),DAY(m6_crossvalid[[#This Row],[ds]]))</f>
        <v>45964</v>
      </c>
      <c r="C314">
        <v>607.00000000000011</v>
      </c>
      <c r="D314" s="1">
        <v>45964.333333333336</v>
      </c>
      <c r="E314">
        <v>671.31642701769158</v>
      </c>
      <c r="F314">
        <v>329.90716677901463</v>
      </c>
      <c r="G314">
        <v>1319.0766221532988</v>
      </c>
      <c r="H314" s="1">
        <v>45961.333333333336</v>
      </c>
    </row>
    <row r="315" spans="1:8" x14ac:dyDescent="0.25">
      <c r="A315" s="7">
        <f>DATE(YEAR(m6_crossvalid[[#This Row],[cutoff]]),MONTH(m6_crossvalid[[#This Row],[cutoff]]),DAY(m6_crossvalid[[#This Row],[cutoff]]))</f>
        <v>45961</v>
      </c>
      <c r="B315" s="7">
        <f>DATE(YEAR(m6_crossvalid[[#This Row],[ds]]),MONTH(m6_crossvalid[[#This Row],[ds]]),DAY(m6_crossvalid[[#This Row],[ds]]))</f>
        <v>45965</v>
      </c>
      <c r="C315">
        <v>820.99999999999977</v>
      </c>
      <c r="D315" s="1">
        <v>45965.333333333336</v>
      </c>
      <c r="E315">
        <v>813.94506770924443</v>
      </c>
      <c r="F315">
        <v>386.20326882723316</v>
      </c>
      <c r="G315">
        <v>1521.4056481820617</v>
      </c>
      <c r="H315" s="1">
        <v>45961.333333333336</v>
      </c>
    </row>
    <row r="316" spans="1:8" x14ac:dyDescent="0.25">
      <c r="A316" s="7">
        <f>DATE(YEAR(m6_crossvalid[[#This Row],[cutoff]]),MONTH(m6_crossvalid[[#This Row],[cutoff]]),DAY(m6_crossvalid[[#This Row],[cutoff]]))</f>
        <v>45961</v>
      </c>
      <c r="B316" s="7">
        <f>DATE(YEAR(m6_crossvalid[[#This Row],[ds]]),MONTH(m6_crossvalid[[#This Row],[ds]]),DAY(m6_crossvalid[[#This Row],[ds]]))</f>
        <v>45966</v>
      </c>
      <c r="C316">
        <v>1032</v>
      </c>
      <c r="D316" s="1">
        <v>45966.333333333336</v>
      </c>
      <c r="E316">
        <v>918.64262999600055</v>
      </c>
      <c r="F316">
        <v>494.09622589792622</v>
      </c>
      <c r="G316">
        <v>1812.9703023571406</v>
      </c>
      <c r="H316" s="1">
        <v>45961.333333333336</v>
      </c>
    </row>
    <row r="317" spans="1:8" x14ac:dyDescent="0.25">
      <c r="A317" s="7">
        <f>DATE(YEAR(m6_crossvalid[[#This Row],[cutoff]]),MONTH(m6_crossvalid[[#This Row],[cutoff]]),DAY(m6_crossvalid[[#This Row],[cutoff]]))</f>
        <v>45961</v>
      </c>
      <c r="B317" s="7">
        <f>DATE(YEAR(m6_crossvalid[[#This Row],[ds]]),MONTH(m6_crossvalid[[#This Row],[ds]]),DAY(m6_crossvalid[[#This Row],[ds]]))</f>
        <v>45967</v>
      </c>
      <c r="C317">
        <v>1396</v>
      </c>
      <c r="D317" s="1">
        <v>45967.333333333336</v>
      </c>
      <c r="E317">
        <v>1027.121477049353</v>
      </c>
      <c r="F317">
        <v>522.18549626371771</v>
      </c>
      <c r="G317">
        <v>2000.8363390880054</v>
      </c>
      <c r="H317" s="1">
        <v>45961.333333333336</v>
      </c>
    </row>
    <row r="318" spans="1:8" x14ac:dyDescent="0.25">
      <c r="A318" s="7">
        <f>DATE(YEAR(m6_crossvalid[[#This Row],[cutoff]]),MONTH(m6_crossvalid[[#This Row],[cutoff]]),DAY(m6_crossvalid[[#This Row],[cutoff]]))</f>
        <v>45961</v>
      </c>
      <c r="B318" s="7">
        <f>DATE(YEAR(m6_crossvalid[[#This Row],[ds]]),MONTH(m6_crossvalid[[#This Row],[ds]]),DAY(m6_crossvalid[[#This Row],[ds]]))</f>
        <v>45968</v>
      </c>
      <c r="C318">
        <v>1612.0000000000005</v>
      </c>
      <c r="D318" s="1">
        <v>45968.333333333336</v>
      </c>
      <c r="E318">
        <v>973.76971534697952</v>
      </c>
      <c r="F318">
        <v>495.86210433963424</v>
      </c>
      <c r="G318">
        <v>1840.6355144798642</v>
      </c>
      <c r="H318" s="1">
        <v>45961.333333333336</v>
      </c>
    </row>
    <row r="319" spans="1:8" x14ac:dyDescent="0.25">
      <c r="A319" s="7">
        <f>DATE(YEAR(m6_crossvalid[[#This Row],[cutoff]]),MONTH(m6_crossvalid[[#This Row],[cutoff]]),DAY(m6_crossvalid[[#This Row],[cutoff]]))</f>
        <v>45961</v>
      </c>
      <c r="B319" s="7">
        <f>DATE(YEAR(m6_crossvalid[[#This Row],[ds]]),MONTH(m6_crossvalid[[#This Row],[ds]]),DAY(m6_crossvalid[[#This Row],[ds]]))</f>
        <v>45969</v>
      </c>
      <c r="C319">
        <v>205.99999999999994</v>
      </c>
      <c r="D319" s="1">
        <v>45969.333333333336</v>
      </c>
      <c r="E319">
        <v>302.03479568484192</v>
      </c>
      <c r="F319">
        <v>150.3506445897934</v>
      </c>
      <c r="G319">
        <v>609.28993450805922</v>
      </c>
      <c r="H319" s="1">
        <v>45961.333333333336</v>
      </c>
    </row>
    <row r="320" spans="1:8" x14ac:dyDescent="0.25">
      <c r="A320" s="7">
        <f>DATE(YEAR(m6_crossvalid[[#This Row],[cutoff]]),MONTH(m6_crossvalid[[#This Row],[cutoff]]),DAY(m6_crossvalid[[#This Row],[cutoff]]))</f>
        <v>45961</v>
      </c>
      <c r="B320" s="7">
        <f>DATE(YEAR(m6_crossvalid[[#This Row],[ds]]),MONTH(m6_crossvalid[[#This Row],[ds]]),DAY(m6_crossvalid[[#This Row],[ds]]))</f>
        <v>45970</v>
      </c>
      <c r="C320">
        <v>94.999999999999986</v>
      </c>
      <c r="D320" s="1">
        <v>45970.333333333336</v>
      </c>
      <c r="E320">
        <v>103.54982125711417</v>
      </c>
      <c r="F320">
        <v>50.803330422544093</v>
      </c>
      <c r="G320">
        <v>198.37798323122061</v>
      </c>
      <c r="H320" s="1">
        <v>45961.333333333336</v>
      </c>
    </row>
    <row r="321" spans="1:8" x14ac:dyDescent="0.25">
      <c r="A321" s="7">
        <f>DATE(YEAR(m6_crossvalid[[#This Row],[cutoff]]),MONTH(m6_crossvalid[[#This Row],[cutoff]]),DAY(m6_crossvalid[[#This Row],[cutoff]]))</f>
        <v>45961</v>
      </c>
      <c r="B321" s="7">
        <f>DATE(YEAR(m6_crossvalid[[#This Row],[ds]]),MONTH(m6_crossvalid[[#This Row],[ds]]),DAY(m6_crossvalid[[#This Row],[ds]]))</f>
        <v>45971</v>
      </c>
      <c r="C321">
        <v>1551.9999999999998</v>
      </c>
      <c r="D321" s="1">
        <v>45971.333333333336</v>
      </c>
      <c r="E321">
        <v>1303.1713704831864</v>
      </c>
      <c r="F321">
        <v>680.84894500654207</v>
      </c>
      <c r="G321">
        <v>2614.0009563873432</v>
      </c>
      <c r="H321" s="1">
        <v>45961.333333333336</v>
      </c>
    </row>
    <row r="322" spans="1:8" x14ac:dyDescent="0.25">
      <c r="A322" s="7">
        <f>DATE(YEAR(m6_crossvalid[[#This Row],[cutoff]]),MONTH(m6_crossvalid[[#This Row],[cutoff]]),DAY(m6_crossvalid[[#This Row],[cutoff]]))</f>
        <v>45961</v>
      </c>
      <c r="B322" s="7">
        <f>DATE(YEAR(m6_crossvalid[[#This Row],[ds]]),MONTH(m6_crossvalid[[#This Row],[ds]]),DAY(m6_crossvalid[[#This Row],[ds]]))</f>
        <v>45972</v>
      </c>
      <c r="C322">
        <v>1937.0000000000005</v>
      </c>
      <c r="D322" s="1">
        <v>45972.333333333336</v>
      </c>
      <c r="E322">
        <v>1717.0614108428977</v>
      </c>
      <c r="F322">
        <v>934.76754066603337</v>
      </c>
      <c r="G322">
        <v>3587.5743449431588</v>
      </c>
      <c r="H322" s="1">
        <v>45961.333333333336</v>
      </c>
    </row>
    <row r="323" spans="1:8" x14ac:dyDescent="0.25">
      <c r="A323" s="7">
        <f>DATE(YEAR(m6_crossvalid[[#This Row],[cutoff]]),MONTH(m6_crossvalid[[#This Row],[cutoff]]),DAY(m6_crossvalid[[#This Row],[cutoff]]))</f>
        <v>45961</v>
      </c>
      <c r="B323" s="7">
        <f>DATE(YEAR(m6_crossvalid[[#This Row],[ds]]),MONTH(m6_crossvalid[[#This Row],[ds]]),DAY(m6_crossvalid[[#This Row],[ds]]))</f>
        <v>45973</v>
      </c>
      <c r="C323">
        <v>2198</v>
      </c>
      <c r="D323" s="1">
        <v>45973.333333333336</v>
      </c>
      <c r="E323">
        <v>2006.8608289967094</v>
      </c>
      <c r="F323">
        <v>1002.2569334418423</v>
      </c>
      <c r="G323">
        <v>4081.274410399898</v>
      </c>
      <c r="H323" s="1">
        <v>45961.333333333336</v>
      </c>
    </row>
    <row r="324" spans="1:8" x14ac:dyDescent="0.25">
      <c r="A324" s="7">
        <f>DATE(YEAR(m6_crossvalid[[#This Row],[cutoff]]),MONTH(m6_crossvalid[[#This Row],[cutoff]]),DAY(m6_crossvalid[[#This Row],[cutoff]]))</f>
        <v>45961</v>
      </c>
      <c r="B324" s="7">
        <f>DATE(YEAR(m6_crossvalid[[#This Row],[ds]]),MONTH(m6_crossvalid[[#This Row],[ds]]),DAY(m6_crossvalid[[#This Row],[ds]]))</f>
        <v>45974</v>
      </c>
      <c r="C324">
        <v>2401.0000000000005</v>
      </c>
      <c r="D324" s="1">
        <v>45974.333333333336</v>
      </c>
      <c r="E324">
        <v>2293.1196809796083</v>
      </c>
      <c r="F324">
        <v>1176.4116538295916</v>
      </c>
      <c r="G324">
        <v>4643.4428141467479</v>
      </c>
      <c r="H324" s="1">
        <v>45961.333333333336</v>
      </c>
    </row>
    <row r="325" spans="1:8" x14ac:dyDescent="0.25">
      <c r="A325" s="7">
        <f>DATE(YEAR(m6_crossvalid[[#This Row],[cutoff]]),MONTH(m6_crossvalid[[#This Row],[cutoff]]),DAY(m6_crossvalid[[#This Row],[cutoff]]))</f>
        <v>45961</v>
      </c>
      <c r="B325" s="7">
        <f>DATE(YEAR(m6_crossvalid[[#This Row],[ds]]),MONTH(m6_crossvalid[[#This Row],[ds]]),DAY(m6_crossvalid[[#This Row],[ds]]))</f>
        <v>45975</v>
      </c>
      <c r="C325">
        <v>2547</v>
      </c>
      <c r="D325" s="1">
        <v>45975.333333333336</v>
      </c>
      <c r="E325">
        <v>2272.6418045578394</v>
      </c>
      <c r="F325">
        <v>1149.6714880370662</v>
      </c>
      <c r="G325">
        <v>4311.1807107521681</v>
      </c>
      <c r="H325" s="1">
        <v>45961.333333333336</v>
      </c>
    </row>
    <row r="326" spans="1:8" x14ac:dyDescent="0.25">
      <c r="A326" s="7">
        <f>DATE(YEAR(m6_crossvalid[[#This Row],[cutoff]]),MONTH(m6_crossvalid[[#This Row],[cutoff]]),DAY(m6_crossvalid[[#This Row],[cutoff]]))</f>
        <v>45961</v>
      </c>
      <c r="B326" s="7">
        <f>DATE(YEAR(m6_crossvalid[[#This Row],[ds]]),MONTH(m6_crossvalid[[#This Row],[ds]]),DAY(m6_crossvalid[[#This Row],[ds]]))</f>
        <v>45976</v>
      </c>
      <c r="C326">
        <v>773.00000000000023</v>
      </c>
      <c r="D326" s="1">
        <v>45976.333333333336</v>
      </c>
      <c r="E326">
        <v>385.67758917631113</v>
      </c>
      <c r="F326">
        <v>196.09564637790939</v>
      </c>
      <c r="G326">
        <v>732.518828183496</v>
      </c>
      <c r="H326" s="1">
        <v>45961.333333333336</v>
      </c>
    </row>
    <row r="327" spans="1:8" x14ac:dyDescent="0.25">
      <c r="A327" s="7">
        <f>DATE(YEAR(m6_crossvalid[[#This Row],[cutoff]]),MONTH(m6_crossvalid[[#This Row],[cutoff]]),DAY(m6_crossvalid[[#This Row],[cutoff]]))</f>
        <v>45961</v>
      </c>
      <c r="B327" s="7">
        <f>DATE(YEAR(m6_crossvalid[[#This Row],[ds]]),MONTH(m6_crossvalid[[#This Row],[ds]]),DAY(m6_crossvalid[[#This Row],[ds]]))</f>
        <v>45977</v>
      </c>
      <c r="C327">
        <v>113.00000000000003</v>
      </c>
      <c r="D327" s="1">
        <v>45977.333333333336</v>
      </c>
      <c r="E327">
        <v>143.46562868531441</v>
      </c>
      <c r="F327">
        <v>72.10423403332733</v>
      </c>
      <c r="G327">
        <v>296.12513030714979</v>
      </c>
      <c r="H327" s="1">
        <v>45961.333333333336</v>
      </c>
    </row>
    <row r="328" spans="1:8" x14ac:dyDescent="0.25">
      <c r="A328" s="7">
        <f>DATE(YEAR(m6_crossvalid[[#This Row],[cutoff]]),MONTH(m6_crossvalid[[#This Row],[cutoff]]),DAY(m6_crossvalid[[#This Row],[cutoff]]))</f>
        <v>45961</v>
      </c>
      <c r="B328" s="7">
        <f>DATE(YEAR(m6_crossvalid[[#This Row],[ds]]),MONTH(m6_crossvalid[[#This Row],[ds]]),DAY(m6_crossvalid[[#This Row],[ds]]))</f>
        <v>45978</v>
      </c>
      <c r="C328">
        <v>2848.9999999999986</v>
      </c>
      <c r="D328" s="1">
        <v>45978.333333333336</v>
      </c>
      <c r="E328">
        <v>1889.6407225783807</v>
      </c>
      <c r="F328">
        <v>948.49634098816239</v>
      </c>
      <c r="G328">
        <v>3917.5410532039691</v>
      </c>
      <c r="H328" s="1">
        <v>45961.333333333336</v>
      </c>
    </row>
    <row r="329" spans="1:8" x14ac:dyDescent="0.25">
      <c r="A329" s="7">
        <f>DATE(YEAR(m6_crossvalid[[#This Row],[cutoff]]),MONTH(m6_crossvalid[[#This Row],[cutoff]]),DAY(m6_crossvalid[[#This Row],[cutoff]]))</f>
        <v>45961</v>
      </c>
      <c r="B329" s="7">
        <f>DATE(YEAR(m6_crossvalid[[#This Row],[ds]]),MONTH(m6_crossvalid[[#This Row],[ds]]),DAY(m6_crossvalid[[#This Row],[ds]]))</f>
        <v>45979</v>
      </c>
      <c r="C329">
        <v>3351.0000000000027</v>
      </c>
      <c r="D329" s="1">
        <v>45979.333333333336</v>
      </c>
      <c r="E329">
        <v>2491.7256307936109</v>
      </c>
      <c r="F329">
        <v>1270.0936797460686</v>
      </c>
      <c r="G329">
        <v>4841.0531652773616</v>
      </c>
      <c r="H329" s="1">
        <v>45961.333333333336</v>
      </c>
    </row>
    <row r="330" spans="1:8" x14ac:dyDescent="0.25">
      <c r="A330" s="7">
        <f>DATE(YEAR(m6_crossvalid[[#This Row],[cutoff]]),MONTH(m6_crossvalid[[#This Row],[cutoff]]),DAY(m6_crossvalid[[#This Row],[cutoff]]))</f>
        <v>45961</v>
      </c>
      <c r="B330" s="7">
        <f>DATE(YEAR(m6_crossvalid[[#This Row],[ds]]),MONTH(m6_crossvalid[[#This Row],[ds]]),DAY(m6_crossvalid[[#This Row],[ds]]))</f>
        <v>45980</v>
      </c>
      <c r="C330">
        <v>3248.0000000000009</v>
      </c>
      <c r="D330" s="1">
        <v>45980.333333333336</v>
      </c>
      <c r="E330">
        <v>2829.3666889904966</v>
      </c>
      <c r="F330">
        <v>1407.7575011066169</v>
      </c>
      <c r="G330">
        <v>5770.2451351969539</v>
      </c>
      <c r="H330" s="1">
        <v>45961.333333333336</v>
      </c>
    </row>
    <row r="331" spans="1:8" x14ac:dyDescent="0.25">
      <c r="A331" s="7">
        <f>DATE(YEAR(m6_crossvalid[[#This Row],[cutoff]]),MONTH(m6_crossvalid[[#This Row],[cutoff]]),DAY(m6_crossvalid[[#This Row],[cutoff]]))</f>
        <v>45961</v>
      </c>
      <c r="B331" s="7">
        <f>DATE(YEAR(m6_crossvalid[[#This Row],[ds]]),MONTH(m6_crossvalid[[#This Row],[ds]]),DAY(m6_crossvalid[[#This Row],[ds]]))</f>
        <v>45981</v>
      </c>
      <c r="C331">
        <v>3581.0000000000023</v>
      </c>
      <c r="D331" s="1">
        <v>45981.333333333336</v>
      </c>
      <c r="E331">
        <v>3146.6803476882965</v>
      </c>
      <c r="F331">
        <v>1590.6910965685634</v>
      </c>
      <c r="G331">
        <v>6097.3014241608689</v>
      </c>
      <c r="H331" s="1">
        <v>45961.333333333336</v>
      </c>
    </row>
    <row r="332" spans="1:8" x14ac:dyDescent="0.25">
      <c r="A332" s="7">
        <f>DATE(YEAR(m6_crossvalid[[#This Row],[cutoff]]),MONTH(m6_crossvalid[[#This Row],[cutoff]]),DAY(m6_crossvalid[[#This Row],[cutoff]]))</f>
        <v>45961</v>
      </c>
      <c r="B332" s="7">
        <f>DATE(YEAR(m6_crossvalid[[#This Row],[ds]]),MONTH(m6_crossvalid[[#This Row],[ds]]),DAY(m6_crossvalid[[#This Row],[ds]]))</f>
        <v>45982</v>
      </c>
      <c r="C332">
        <v>3621.9999999999973</v>
      </c>
      <c r="D332" s="1">
        <v>45982.333333333336</v>
      </c>
      <c r="E332">
        <v>3082.2587178372437</v>
      </c>
      <c r="F332">
        <v>1580.3417538637455</v>
      </c>
      <c r="G332">
        <v>5939.7675245721939</v>
      </c>
      <c r="H332" s="1">
        <v>45961.333333333336</v>
      </c>
    </row>
    <row r="333" spans="1:8" x14ac:dyDescent="0.25">
      <c r="A333" s="7">
        <f>DATE(YEAR(m6_crossvalid[[#This Row],[cutoff]]),MONTH(m6_crossvalid[[#This Row],[cutoff]]),DAY(m6_crossvalid[[#This Row],[cutoff]]))</f>
        <v>45961</v>
      </c>
      <c r="B333" s="7">
        <f>DATE(YEAR(m6_crossvalid[[#This Row],[ds]]),MONTH(m6_crossvalid[[#This Row],[ds]]),DAY(m6_crossvalid[[#This Row],[ds]]))</f>
        <v>45983</v>
      </c>
      <c r="C333">
        <v>782.99999999999977</v>
      </c>
      <c r="D333" s="1">
        <v>45983.333333333336</v>
      </c>
      <c r="E333">
        <v>515.3206299290556</v>
      </c>
      <c r="F333">
        <v>251.88461744073771</v>
      </c>
      <c r="G333">
        <v>1028.5995242769675</v>
      </c>
      <c r="H333" s="1">
        <v>45961.333333333336</v>
      </c>
    </row>
    <row r="334" spans="1:8" x14ac:dyDescent="0.25">
      <c r="A334" s="7">
        <f>DATE(YEAR(m6_crossvalid[[#This Row],[cutoff]]),MONTH(m6_crossvalid[[#This Row],[cutoff]]),DAY(m6_crossvalid[[#This Row],[cutoff]]))</f>
        <v>45961</v>
      </c>
      <c r="B334" s="7">
        <f>DATE(YEAR(m6_crossvalid[[#This Row],[ds]]),MONTH(m6_crossvalid[[#This Row],[ds]]),DAY(m6_crossvalid[[#This Row],[ds]]))</f>
        <v>45984</v>
      </c>
      <c r="C334">
        <v>188.00000000000003</v>
      </c>
      <c r="D334" s="1">
        <v>45984.333333333336</v>
      </c>
      <c r="E334">
        <v>181.9959306425593</v>
      </c>
      <c r="F334">
        <v>86.296910290166949</v>
      </c>
      <c r="G334">
        <v>328.16188775344733</v>
      </c>
      <c r="H334" s="1">
        <v>45961.333333333336</v>
      </c>
    </row>
    <row r="335" spans="1:8" x14ac:dyDescent="0.25">
      <c r="A335" s="7">
        <f>DATE(YEAR(m6_crossvalid[[#This Row],[cutoff]]),MONTH(m6_crossvalid[[#This Row],[cutoff]]),DAY(m6_crossvalid[[#This Row],[cutoff]]))</f>
        <v>45961</v>
      </c>
      <c r="B335" s="7">
        <f>DATE(YEAR(m6_crossvalid[[#This Row],[ds]]),MONTH(m6_crossvalid[[#This Row],[ds]]),DAY(m6_crossvalid[[#This Row],[ds]]))</f>
        <v>45985</v>
      </c>
      <c r="C335">
        <v>3515.0000000000032</v>
      </c>
      <c r="D335" s="1">
        <v>45985.333333333336</v>
      </c>
      <c r="E335">
        <v>4057.9749774362517</v>
      </c>
      <c r="F335">
        <v>1992.7669457129637</v>
      </c>
      <c r="G335">
        <v>8006.341567731436</v>
      </c>
      <c r="H335" s="1">
        <v>45961.333333333336</v>
      </c>
    </row>
    <row r="336" spans="1:8" x14ac:dyDescent="0.25">
      <c r="A336" s="7">
        <f>DATE(YEAR(m6_crossvalid[[#This Row],[cutoff]]),MONTH(m6_crossvalid[[#This Row],[cutoff]]),DAY(m6_crossvalid[[#This Row],[cutoff]]))</f>
        <v>45961</v>
      </c>
      <c r="B336" s="7">
        <f>DATE(YEAR(m6_crossvalid[[#This Row],[ds]]),MONTH(m6_crossvalid[[#This Row],[ds]]),DAY(m6_crossvalid[[#This Row],[ds]]))</f>
        <v>45986</v>
      </c>
      <c r="C336">
        <v>4824.0000000000018</v>
      </c>
      <c r="D336" s="1">
        <v>45986.333333333336</v>
      </c>
      <c r="E336">
        <v>4726.8821298459352</v>
      </c>
      <c r="F336">
        <v>2401.7026745273765</v>
      </c>
      <c r="G336">
        <v>8796.7669566296772</v>
      </c>
      <c r="H336" s="1">
        <v>45961.333333333336</v>
      </c>
    </row>
    <row r="337" spans="1:8" x14ac:dyDescent="0.25">
      <c r="A337" s="7">
        <f>DATE(YEAR(m6_crossvalid[[#This Row],[cutoff]]),MONTH(m6_crossvalid[[#This Row],[cutoff]]),DAY(m6_crossvalid[[#This Row],[cutoff]]))</f>
        <v>45961</v>
      </c>
      <c r="B337" s="7">
        <f>DATE(YEAR(m6_crossvalid[[#This Row],[ds]]),MONTH(m6_crossvalid[[#This Row],[ds]]),DAY(m6_crossvalid[[#This Row],[ds]]))</f>
        <v>45987</v>
      </c>
      <c r="C337">
        <v>5462.9999999999973</v>
      </c>
      <c r="D337" s="1">
        <v>45987.333333333336</v>
      </c>
      <c r="E337">
        <v>4895.7884426414503</v>
      </c>
      <c r="F337">
        <v>2478.6577298801444</v>
      </c>
      <c r="G337">
        <v>9819.3958537466915</v>
      </c>
      <c r="H337" s="1">
        <v>45961.333333333336</v>
      </c>
    </row>
    <row r="338" spans="1:8" x14ac:dyDescent="0.25">
      <c r="A338" s="7">
        <f>DATE(YEAR(m6_crossvalid[[#This Row],[cutoff]]),MONTH(m6_crossvalid[[#This Row],[cutoff]]),DAY(m6_crossvalid[[#This Row],[cutoff]]))</f>
        <v>45961</v>
      </c>
      <c r="B338" s="7">
        <f>DATE(YEAR(m6_crossvalid[[#This Row],[ds]]),MONTH(m6_crossvalid[[#This Row],[ds]]),DAY(m6_crossvalid[[#This Row],[ds]]))</f>
        <v>45988</v>
      </c>
      <c r="C338">
        <v>7236.0000000000036</v>
      </c>
      <c r="D338" s="1">
        <v>45988.333333333336</v>
      </c>
      <c r="E338">
        <v>5326.1019070563189</v>
      </c>
      <c r="F338">
        <v>2760.09555486518</v>
      </c>
      <c r="G338">
        <v>10551.102692848313</v>
      </c>
      <c r="H338" s="1">
        <v>45961.333333333336</v>
      </c>
    </row>
    <row r="339" spans="1:8" x14ac:dyDescent="0.25">
      <c r="A339" s="7">
        <f>DATE(YEAR(m6_crossvalid[[#This Row],[cutoff]]),MONTH(m6_crossvalid[[#This Row],[cutoff]]),DAY(m6_crossvalid[[#This Row],[cutoff]]))</f>
        <v>45961</v>
      </c>
      <c r="B339" s="7">
        <f>DATE(YEAR(m6_crossvalid[[#This Row],[ds]]),MONTH(m6_crossvalid[[#This Row],[ds]]),DAY(m6_crossvalid[[#This Row],[ds]]))</f>
        <v>45989</v>
      </c>
      <c r="C339">
        <v>10013.000000000009</v>
      </c>
      <c r="D339" s="1">
        <v>45989.333333333336</v>
      </c>
      <c r="E339">
        <v>5422.0294203957619</v>
      </c>
      <c r="F339">
        <v>2674.7769226584073</v>
      </c>
      <c r="G339">
        <v>10711.073025451746</v>
      </c>
      <c r="H339" s="1">
        <v>45961.333333333336</v>
      </c>
    </row>
    <row r="340" spans="1:8" x14ac:dyDescent="0.25">
      <c r="A340" s="7">
        <f>DATE(YEAR(m6_crossvalid[[#This Row],[cutoff]]),MONTH(m6_crossvalid[[#This Row],[cutoff]]),DAY(m6_crossvalid[[#This Row],[cutoff]]))</f>
        <v>45961</v>
      </c>
      <c r="B340" s="7">
        <f>DATE(YEAR(m6_crossvalid[[#This Row],[ds]]),MONTH(m6_crossvalid[[#This Row],[ds]]),DAY(m6_crossvalid[[#This Row],[ds]]))</f>
        <v>45990</v>
      </c>
      <c r="C340">
        <v>8210.0000000000036</v>
      </c>
      <c r="D340" s="1">
        <v>45990.333333333336</v>
      </c>
      <c r="E340">
        <v>1734.8821738262664</v>
      </c>
      <c r="F340">
        <v>853.95291578509227</v>
      </c>
      <c r="G340">
        <v>3247.4881764674824</v>
      </c>
      <c r="H340" s="1">
        <v>45961.333333333336</v>
      </c>
    </row>
    <row r="341" spans="1:8" x14ac:dyDescent="0.25">
      <c r="A341" s="7">
        <f>DATE(YEAR(m6_crossvalid[[#This Row],[cutoff]]),MONTH(m6_crossvalid[[#This Row],[cutoff]]),DAY(m6_crossvalid[[#This Row],[cutoff]]))</f>
        <v>45961</v>
      </c>
      <c r="B341" s="7">
        <f>DATE(YEAR(m6_crossvalid[[#This Row],[ds]]),MONTH(m6_crossvalid[[#This Row],[ds]]),DAY(m6_crossvalid[[#This Row],[ds]]))</f>
        <v>45991</v>
      </c>
      <c r="C341">
        <v>3567.0000000000014</v>
      </c>
      <c r="D341" s="1">
        <v>45991.333333333336</v>
      </c>
      <c r="E341">
        <v>1013.3465282016518</v>
      </c>
      <c r="F341">
        <v>506.17765276168808</v>
      </c>
      <c r="G341">
        <v>1956.0669189575367</v>
      </c>
      <c r="H341" s="1">
        <v>45961.333333333336</v>
      </c>
    </row>
    <row r="342" spans="1:8" x14ac:dyDescent="0.25">
      <c r="A342" s="7">
        <f>DATE(YEAR(m6_crossvalid[[#This Row],[cutoff]]),MONTH(m6_crossvalid[[#This Row],[cutoff]]),DAY(m6_crossvalid[[#This Row],[cutoff]]))</f>
        <v>45961</v>
      </c>
      <c r="B342" s="7">
        <f>DATE(YEAR(m6_crossvalid[[#This Row],[ds]]),MONTH(m6_crossvalid[[#This Row],[ds]]),DAY(m6_crossvalid[[#This Row],[ds]]))</f>
        <v>45992</v>
      </c>
      <c r="C342">
        <v>658.99999999999989</v>
      </c>
      <c r="D342" s="1">
        <v>45992.333333333336</v>
      </c>
      <c r="E342">
        <v>786.39857993613361</v>
      </c>
      <c r="F342">
        <v>400.60361634991318</v>
      </c>
      <c r="G342">
        <v>1529.3716449007084</v>
      </c>
      <c r="H342" s="1">
        <v>45961.333333333336</v>
      </c>
    </row>
    <row r="343" spans="1:8" x14ac:dyDescent="0.25">
      <c r="A343" s="7">
        <f>DATE(YEAR(m6_crossvalid[[#This Row],[cutoff]]),MONTH(m6_crossvalid[[#This Row],[cutoff]]),DAY(m6_crossvalid[[#This Row],[cutoff]]))</f>
        <v>45991</v>
      </c>
      <c r="B343" s="7">
        <f>DATE(YEAR(m6_crossvalid[[#This Row],[ds]]),MONTH(m6_crossvalid[[#This Row],[ds]]),DAY(m6_crossvalid[[#This Row],[ds]]))</f>
        <v>45992</v>
      </c>
      <c r="C343">
        <v>658.99999999999989</v>
      </c>
      <c r="D343" s="1">
        <v>45992.333333333336</v>
      </c>
      <c r="E343">
        <v>858.26595026019652</v>
      </c>
      <c r="F343">
        <v>442.38798204196257</v>
      </c>
      <c r="G343">
        <v>1667.9259768932077</v>
      </c>
      <c r="H343" s="1">
        <v>45991.333333333336</v>
      </c>
    </row>
    <row r="344" spans="1:8" x14ac:dyDescent="0.25">
      <c r="A344" s="7">
        <f>DATE(YEAR(m6_crossvalid[[#This Row],[cutoff]]),MONTH(m6_crossvalid[[#This Row],[cutoff]]),DAY(m6_crossvalid[[#This Row],[cutoff]]))</f>
        <v>45991</v>
      </c>
      <c r="B344" s="7">
        <f>DATE(YEAR(m6_crossvalid[[#This Row],[ds]]),MONTH(m6_crossvalid[[#This Row],[ds]]),DAY(m6_crossvalid[[#This Row],[ds]]))</f>
        <v>45993</v>
      </c>
      <c r="C344">
        <v>963</v>
      </c>
      <c r="D344" s="1">
        <v>45993.333333333336</v>
      </c>
      <c r="E344">
        <v>636.02431488674006</v>
      </c>
      <c r="F344">
        <v>327.6310414872035</v>
      </c>
      <c r="G344">
        <v>1251.9809143297091</v>
      </c>
      <c r="H344" s="1">
        <v>45991.333333333336</v>
      </c>
    </row>
    <row r="345" spans="1:8" x14ac:dyDescent="0.25">
      <c r="A345" s="7">
        <f>DATE(YEAR(m6_crossvalid[[#This Row],[cutoff]]),MONTH(m6_crossvalid[[#This Row],[cutoff]]),DAY(m6_crossvalid[[#This Row],[cutoff]]))</f>
        <v>45991</v>
      </c>
      <c r="B345" s="7">
        <f>DATE(YEAR(m6_crossvalid[[#This Row],[ds]]),MONTH(m6_crossvalid[[#This Row],[ds]]),DAY(m6_crossvalid[[#This Row],[ds]]))</f>
        <v>45994</v>
      </c>
      <c r="C345">
        <v>1248</v>
      </c>
      <c r="D345" s="1">
        <v>45994.333333333336</v>
      </c>
      <c r="E345">
        <v>933.48844478767921</v>
      </c>
      <c r="F345">
        <v>491.35938227629686</v>
      </c>
      <c r="G345">
        <v>1791.5603461879684</v>
      </c>
      <c r="H345" s="1">
        <v>45991.333333333336</v>
      </c>
    </row>
    <row r="346" spans="1:8" x14ac:dyDescent="0.25">
      <c r="A346" s="7">
        <f>DATE(YEAR(m6_crossvalid[[#This Row],[cutoff]]),MONTH(m6_crossvalid[[#This Row],[cutoff]]),DAY(m6_crossvalid[[#This Row],[cutoff]]))</f>
        <v>45991</v>
      </c>
      <c r="B346" s="7">
        <f>DATE(YEAR(m6_crossvalid[[#This Row],[ds]]),MONTH(m6_crossvalid[[#This Row],[ds]]),DAY(m6_crossvalid[[#This Row],[ds]]))</f>
        <v>45995</v>
      </c>
      <c r="C346">
        <v>1462</v>
      </c>
      <c r="D346" s="1">
        <v>45995.333333333336</v>
      </c>
      <c r="E346">
        <v>916.4832293077535</v>
      </c>
      <c r="F346">
        <v>498.29670063486122</v>
      </c>
      <c r="G346">
        <v>1873.3780818892506</v>
      </c>
      <c r="H346" s="1">
        <v>45991.333333333336</v>
      </c>
    </row>
    <row r="347" spans="1:8" x14ac:dyDescent="0.25">
      <c r="A347" s="7">
        <f>DATE(YEAR(m6_crossvalid[[#This Row],[cutoff]]),MONTH(m6_crossvalid[[#This Row],[cutoff]]),DAY(m6_crossvalid[[#This Row],[cutoff]]))</f>
        <v>45991</v>
      </c>
      <c r="B347" s="7">
        <f>DATE(YEAR(m6_crossvalid[[#This Row],[ds]]),MONTH(m6_crossvalid[[#This Row],[ds]]),DAY(m6_crossvalid[[#This Row],[ds]]))</f>
        <v>45996</v>
      </c>
      <c r="C347">
        <v>1441.0000000000005</v>
      </c>
      <c r="D347" s="1">
        <v>45996.333333333336</v>
      </c>
      <c r="E347">
        <v>903.06054520029238</v>
      </c>
      <c r="F347">
        <v>458.06274183322711</v>
      </c>
      <c r="G347">
        <v>1760.6586815009498</v>
      </c>
      <c r="H347" s="1">
        <v>45991.333333333336</v>
      </c>
    </row>
    <row r="348" spans="1:8" x14ac:dyDescent="0.25">
      <c r="A348" s="7">
        <f>DATE(YEAR(m6_crossvalid[[#This Row],[cutoff]]),MONTH(m6_crossvalid[[#This Row],[cutoff]]),DAY(m6_crossvalid[[#This Row],[cutoff]]))</f>
        <v>45991</v>
      </c>
      <c r="B348" s="7">
        <f>DATE(YEAR(m6_crossvalid[[#This Row],[ds]]),MONTH(m6_crossvalid[[#This Row],[ds]]),DAY(m6_crossvalid[[#This Row],[ds]]))</f>
        <v>45997</v>
      </c>
      <c r="C348">
        <v>380.00000000000011</v>
      </c>
      <c r="D348" s="1">
        <v>45997.333333333336</v>
      </c>
      <c r="E348">
        <v>163.21011088975183</v>
      </c>
      <c r="F348">
        <v>84.464178928700861</v>
      </c>
      <c r="G348">
        <v>324.54837570939674</v>
      </c>
      <c r="H348" s="1">
        <v>45991.333333333336</v>
      </c>
    </row>
    <row r="349" spans="1:8" x14ac:dyDescent="0.25">
      <c r="A349" s="7">
        <f>DATE(YEAR(m6_crossvalid[[#This Row],[cutoff]]),MONTH(m6_crossvalid[[#This Row],[cutoff]]),DAY(m6_crossvalid[[#This Row],[cutoff]]))</f>
        <v>45991</v>
      </c>
      <c r="B349" s="7">
        <f>DATE(YEAR(m6_crossvalid[[#This Row],[ds]]),MONTH(m6_crossvalid[[#This Row],[ds]]),DAY(m6_crossvalid[[#This Row],[ds]]))</f>
        <v>45998</v>
      </c>
      <c r="C349">
        <v>58.999999999999986</v>
      </c>
      <c r="D349" s="1">
        <v>45998.333333333336</v>
      </c>
      <c r="E349">
        <v>62.490098597961968</v>
      </c>
      <c r="F349">
        <v>31.059775820567566</v>
      </c>
      <c r="G349">
        <v>128.21342314797772</v>
      </c>
      <c r="H349" s="1">
        <v>45991.333333333336</v>
      </c>
    </row>
    <row r="350" spans="1:8" x14ac:dyDescent="0.25">
      <c r="A350" s="7">
        <f>DATE(YEAR(m6_crossvalid[[#This Row],[cutoff]]),MONTH(m6_crossvalid[[#This Row],[cutoff]]),DAY(m6_crossvalid[[#This Row],[cutoff]]))</f>
        <v>45991</v>
      </c>
      <c r="B350" s="7">
        <f>DATE(YEAR(m6_crossvalid[[#This Row],[ds]]),MONTH(m6_crossvalid[[#This Row],[ds]]),DAY(m6_crossvalid[[#This Row],[ds]]))</f>
        <v>45999</v>
      </c>
      <c r="C350">
        <v>1698.0000000000007</v>
      </c>
      <c r="D350" s="1">
        <v>45999.333333333336</v>
      </c>
      <c r="E350">
        <v>1554.8465462212034</v>
      </c>
      <c r="F350">
        <v>784.48341512906939</v>
      </c>
      <c r="G350">
        <v>2982.8504242786298</v>
      </c>
      <c r="H350" s="1">
        <v>45991.333333333336</v>
      </c>
    </row>
    <row r="351" spans="1:8" x14ac:dyDescent="0.25">
      <c r="A351" s="7">
        <f>DATE(YEAR(m6_crossvalid[[#This Row],[cutoff]]),MONTH(m6_crossvalid[[#This Row],[cutoff]]),DAY(m6_crossvalid[[#This Row],[cutoff]]))</f>
        <v>45991</v>
      </c>
      <c r="B351" s="7">
        <f>DATE(YEAR(m6_crossvalid[[#This Row],[ds]]),MONTH(m6_crossvalid[[#This Row],[ds]]),DAY(m6_crossvalid[[#This Row],[ds]]))</f>
        <v>46000</v>
      </c>
      <c r="C351">
        <v>1923.9999999999993</v>
      </c>
      <c r="D351" s="1">
        <v>46000.333333333336</v>
      </c>
      <c r="E351">
        <v>1887.1515839300666</v>
      </c>
      <c r="F351">
        <v>955.00876496260173</v>
      </c>
      <c r="G351">
        <v>3723.2372120171503</v>
      </c>
      <c r="H351" s="1">
        <v>45991.333333333336</v>
      </c>
    </row>
    <row r="352" spans="1:8" x14ac:dyDescent="0.25">
      <c r="A352" s="7">
        <f>DATE(YEAR(m6_crossvalid[[#This Row],[cutoff]]),MONTH(m6_crossvalid[[#This Row],[cutoff]]),DAY(m6_crossvalid[[#This Row],[cutoff]]))</f>
        <v>45991</v>
      </c>
      <c r="B352" s="7">
        <f>DATE(YEAR(m6_crossvalid[[#This Row],[ds]]),MONTH(m6_crossvalid[[#This Row],[ds]]),DAY(m6_crossvalid[[#This Row],[ds]]))</f>
        <v>46001</v>
      </c>
      <c r="C352">
        <v>2624</v>
      </c>
      <c r="D352" s="1">
        <v>46001.333333333336</v>
      </c>
      <c r="E352">
        <v>1998.3585378384073</v>
      </c>
      <c r="F352">
        <v>1050.1189348351877</v>
      </c>
      <c r="G352">
        <v>4002.8560358466698</v>
      </c>
      <c r="H352" s="1">
        <v>45991.333333333336</v>
      </c>
    </row>
    <row r="353" spans="1:8" x14ac:dyDescent="0.25">
      <c r="A353" s="7">
        <f>DATE(YEAR(m6_crossvalid[[#This Row],[cutoff]]),MONTH(m6_crossvalid[[#This Row],[cutoff]]),DAY(m6_crossvalid[[#This Row],[cutoff]]))</f>
        <v>45991</v>
      </c>
      <c r="B353" s="7">
        <f>DATE(YEAR(m6_crossvalid[[#This Row],[ds]]),MONTH(m6_crossvalid[[#This Row],[ds]]),DAY(m6_crossvalid[[#This Row],[ds]]))</f>
        <v>46002</v>
      </c>
      <c r="C353">
        <v>1852.9999999999998</v>
      </c>
      <c r="D353" s="1">
        <v>46002.333333333336</v>
      </c>
      <c r="E353">
        <v>2205.4899696663356</v>
      </c>
      <c r="F353">
        <v>1092.1147494385289</v>
      </c>
      <c r="G353">
        <v>4174.2450485846848</v>
      </c>
      <c r="H353" s="1">
        <v>45991.333333333336</v>
      </c>
    </row>
    <row r="354" spans="1:8" x14ac:dyDescent="0.25">
      <c r="A354" s="7">
        <f>DATE(YEAR(m6_crossvalid[[#This Row],[cutoff]]),MONTH(m6_crossvalid[[#This Row],[cutoff]]),DAY(m6_crossvalid[[#This Row],[cutoff]]))</f>
        <v>45991</v>
      </c>
      <c r="B354" s="7">
        <f>DATE(YEAR(m6_crossvalid[[#This Row],[ds]]),MONTH(m6_crossvalid[[#This Row],[ds]]),DAY(m6_crossvalid[[#This Row],[ds]]))</f>
        <v>46003</v>
      </c>
      <c r="C354">
        <v>3010.0000000000005</v>
      </c>
      <c r="D354" s="1">
        <v>46003.333333333336</v>
      </c>
      <c r="E354">
        <v>2297.8919319833994</v>
      </c>
      <c r="F354">
        <v>1141.5077938490529</v>
      </c>
      <c r="G354">
        <v>4425.9547048747809</v>
      </c>
      <c r="H354" s="1">
        <v>45991.333333333336</v>
      </c>
    </row>
    <row r="355" spans="1:8" x14ac:dyDescent="0.25">
      <c r="A355" s="7">
        <f>DATE(YEAR(m6_crossvalid[[#This Row],[cutoff]]),MONTH(m6_crossvalid[[#This Row],[cutoff]]),DAY(m6_crossvalid[[#This Row],[cutoff]]))</f>
        <v>45991</v>
      </c>
      <c r="B355" s="7">
        <f>DATE(YEAR(m6_crossvalid[[#This Row],[ds]]),MONTH(m6_crossvalid[[#This Row],[ds]]),DAY(m6_crossvalid[[#This Row],[ds]]))</f>
        <v>46004</v>
      </c>
      <c r="C355">
        <v>552.00000000000011</v>
      </c>
      <c r="D355" s="1">
        <v>46004.333333333336</v>
      </c>
      <c r="E355">
        <v>427.37593897760269</v>
      </c>
      <c r="F355">
        <v>225.63905948715035</v>
      </c>
      <c r="G355">
        <v>841.06916583389136</v>
      </c>
      <c r="H355" s="1">
        <v>45991.333333333336</v>
      </c>
    </row>
    <row r="356" spans="1:8" x14ac:dyDescent="0.25">
      <c r="A356" s="7">
        <f>DATE(YEAR(m6_crossvalid[[#This Row],[cutoff]]),MONTH(m6_crossvalid[[#This Row],[cutoff]]),DAY(m6_crossvalid[[#This Row],[cutoff]]))</f>
        <v>45991</v>
      </c>
      <c r="B356" s="7">
        <f>DATE(YEAR(m6_crossvalid[[#This Row],[ds]]),MONTH(m6_crossvalid[[#This Row],[ds]]),DAY(m6_crossvalid[[#This Row],[ds]]))</f>
        <v>46005</v>
      </c>
      <c r="C356">
        <v>162</v>
      </c>
      <c r="D356" s="1">
        <v>46005.333333333336</v>
      </c>
      <c r="E356">
        <v>170.80227860924373</v>
      </c>
      <c r="F356">
        <v>84.144807888329495</v>
      </c>
      <c r="G356">
        <v>324.65677900816428</v>
      </c>
      <c r="H356" s="1">
        <v>45991.333333333336</v>
      </c>
    </row>
    <row r="357" spans="1:8" x14ac:dyDescent="0.25">
      <c r="A357" s="7">
        <f>DATE(YEAR(m6_crossvalid[[#This Row],[cutoff]]),MONTH(m6_crossvalid[[#This Row],[cutoff]]),DAY(m6_crossvalid[[#This Row],[cutoff]]))</f>
        <v>45991</v>
      </c>
      <c r="B357" s="7">
        <f>DATE(YEAR(m6_crossvalid[[#This Row],[ds]]),MONTH(m6_crossvalid[[#This Row],[ds]]),DAY(m6_crossvalid[[#This Row],[ds]]))</f>
        <v>46006</v>
      </c>
      <c r="C357">
        <v>2685.0000000000005</v>
      </c>
      <c r="D357" s="1">
        <v>46006.333333333336</v>
      </c>
      <c r="E357">
        <v>2317.3189738578649</v>
      </c>
      <c r="F357">
        <v>1180.6269839578536</v>
      </c>
      <c r="G357">
        <v>4699.5879107692263</v>
      </c>
      <c r="H357" s="1">
        <v>45991.333333333336</v>
      </c>
    </row>
    <row r="358" spans="1:8" x14ac:dyDescent="0.25">
      <c r="A358" s="7">
        <f>DATE(YEAR(m6_crossvalid[[#This Row],[cutoff]]),MONTH(m6_crossvalid[[#This Row],[cutoff]]),DAY(m6_crossvalid[[#This Row],[cutoff]]))</f>
        <v>45991</v>
      </c>
      <c r="B358" s="7">
        <f>DATE(YEAR(m6_crossvalid[[#This Row],[ds]]),MONTH(m6_crossvalid[[#This Row],[ds]]),DAY(m6_crossvalid[[#This Row],[ds]]))</f>
        <v>46007</v>
      </c>
      <c r="C358">
        <v>3397.0000000000018</v>
      </c>
      <c r="D358" s="1">
        <v>46007.333333333336</v>
      </c>
      <c r="E358">
        <v>3047.7285060623499</v>
      </c>
      <c r="F358">
        <v>1574.3472548114589</v>
      </c>
      <c r="G358">
        <v>5844.1096953718989</v>
      </c>
      <c r="H358" s="1">
        <v>45991.333333333336</v>
      </c>
    </row>
    <row r="359" spans="1:8" x14ac:dyDescent="0.25">
      <c r="A359" s="7">
        <f>DATE(YEAR(m6_crossvalid[[#This Row],[cutoff]]),MONTH(m6_crossvalid[[#This Row],[cutoff]]),DAY(m6_crossvalid[[#This Row],[cutoff]]))</f>
        <v>45991</v>
      </c>
      <c r="B359" s="7">
        <f>DATE(YEAR(m6_crossvalid[[#This Row],[ds]]),MONTH(m6_crossvalid[[#This Row],[ds]]),DAY(m6_crossvalid[[#This Row],[ds]]))</f>
        <v>46008</v>
      </c>
      <c r="C359">
        <v>4028.9999999999991</v>
      </c>
      <c r="D359" s="1">
        <v>46008.333333333336</v>
      </c>
      <c r="E359">
        <v>3411.5308713434565</v>
      </c>
      <c r="F359">
        <v>1789.4642962310784</v>
      </c>
      <c r="G359">
        <v>6908.2796974389648</v>
      </c>
      <c r="H359" s="1">
        <v>45991.333333333336</v>
      </c>
    </row>
    <row r="360" spans="1:8" x14ac:dyDescent="0.25">
      <c r="A360" s="7">
        <f>DATE(YEAR(m6_crossvalid[[#This Row],[cutoff]]),MONTH(m6_crossvalid[[#This Row],[cutoff]]),DAY(m6_crossvalid[[#This Row],[cutoff]]))</f>
        <v>45991</v>
      </c>
      <c r="B360" s="7">
        <f>DATE(YEAR(m6_crossvalid[[#This Row],[ds]]),MONTH(m6_crossvalid[[#This Row],[ds]]),DAY(m6_crossvalid[[#This Row],[ds]]))</f>
        <v>46009</v>
      </c>
      <c r="C360">
        <v>3874.0000000000018</v>
      </c>
      <c r="D360" s="1">
        <v>46009.333333333336</v>
      </c>
      <c r="E360">
        <v>3783.070848713196</v>
      </c>
      <c r="F360">
        <v>2003.0521861881123</v>
      </c>
      <c r="G360">
        <v>7339.0236655688259</v>
      </c>
      <c r="H360" s="1">
        <v>45991.333333333336</v>
      </c>
    </row>
    <row r="361" spans="1:8" x14ac:dyDescent="0.25">
      <c r="A361" s="7">
        <f>DATE(YEAR(m6_crossvalid[[#This Row],[cutoff]]),MONTH(m6_crossvalid[[#This Row],[cutoff]]),DAY(m6_crossvalid[[#This Row],[cutoff]]))</f>
        <v>45991</v>
      </c>
      <c r="B361" s="7">
        <f>DATE(YEAR(m6_crossvalid[[#This Row],[ds]]),MONTH(m6_crossvalid[[#This Row],[ds]]),DAY(m6_crossvalid[[#This Row],[ds]]))</f>
        <v>46010</v>
      </c>
      <c r="C361">
        <v>4261</v>
      </c>
      <c r="D361" s="1">
        <v>46010.333333333336</v>
      </c>
      <c r="E361">
        <v>3791.7215452312375</v>
      </c>
      <c r="F361">
        <v>1965.1587786158154</v>
      </c>
      <c r="G361">
        <v>7387.5493768130618</v>
      </c>
      <c r="H361" s="1">
        <v>45991.333333333336</v>
      </c>
    </row>
    <row r="362" spans="1:8" x14ac:dyDescent="0.25">
      <c r="A362" s="7">
        <f>DATE(YEAR(m6_crossvalid[[#This Row],[cutoff]]),MONTH(m6_crossvalid[[#This Row],[cutoff]]),DAY(m6_crossvalid[[#This Row],[cutoff]]))</f>
        <v>45991</v>
      </c>
      <c r="B362" s="7">
        <f>DATE(YEAR(m6_crossvalid[[#This Row],[ds]]),MONTH(m6_crossvalid[[#This Row],[ds]]),DAY(m6_crossvalid[[#This Row],[ds]]))</f>
        <v>46011</v>
      </c>
      <c r="C362">
        <v>998.99999999999977</v>
      </c>
      <c r="D362" s="1">
        <v>46011.333333333336</v>
      </c>
      <c r="E362">
        <v>670.18156141144516</v>
      </c>
      <c r="F362">
        <v>345.59131247169518</v>
      </c>
      <c r="G362">
        <v>1372.77169531241</v>
      </c>
      <c r="H362" s="1">
        <v>45991.333333333336</v>
      </c>
    </row>
    <row r="363" spans="1:8" x14ac:dyDescent="0.25">
      <c r="A363" s="7">
        <f>DATE(YEAR(m6_crossvalid[[#This Row],[cutoff]]),MONTH(m6_crossvalid[[#This Row],[cutoff]]),DAY(m6_crossvalid[[#This Row],[cutoff]]))</f>
        <v>45991</v>
      </c>
      <c r="B363" s="7">
        <f>DATE(YEAR(m6_crossvalid[[#This Row],[ds]]),MONTH(m6_crossvalid[[#This Row],[ds]]),DAY(m6_crossvalid[[#This Row],[ds]]))</f>
        <v>46012</v>
      </c>
      <c r="C363">
        <v>251.00000000000003</v>
      </c>
      <c r="D363" s="1">
        <v>46012.333333333336</v>
      </c>
      <c r="E363">
        <v>257.19954113742727</v>
      </c>
      <c r="F363">
        <v>132.3333191366674</v>
      </c>
      <c r="G363">
        <v>506.26339851582958</v>
      </c>
      <c r="H363" s="1">
        <v>45991.333333333336</v>
      </c>
    </row>
    <row r="364" spans="1:8" x14ac:dyDescent="0.25">
      <c r="A364" s="7">
        <f>DATE(YEAR(m6_crossvalid[[#This Row],[cutoff]]),MONTH(m6_crossvalid[[#This Row],[cutoff]]),DAY(m6_crossvalid[[#This Row],[cutoff]]))</f>
        <v>45991</v>
      </c>
      <c r="B364" s="7">
        <f>DATE(YEAR(m6_crossvalid[[#This Row],[ds]]),MONTH(m6_crossvalid[[#This Row],[ds]]),DAY(m6_crossvalid[[#This Row],[ds]]))</f>
        <v>46013</v>
      </c>
      <c r="C364">
        <v>4790.9999999999964</v>
      </c>
      <c r="D364" s="1">
        <v>46013.333333333336</v>
      </c>
      <c r="E364">
        <v>3347.3452556797047</v>
      </c>
      <c r="F364">
        <v>1692.3544654843622</v>
      </c>
      <c r="G364">
        <v>6605.8066529403086</v>
      </c>
      <c r="H364" s="1">
        <v>45991.333333333336</v>
      </c>
    </row>
    <row r="365" spans="1:8" x14ac:dyDescent="0.25">
      <c r="A365" s="7">
        <f>DATE(YEAR(m6_crossvalid[[#This Row],[cutoff]]),MONTH(m6_crossvalid[[#This Row],[cutoff]]),DAY(m6_crossvalid[[#This Row],[cutoff]]))</f>
        <v>45991</v>
      </c>
      <c r="B365" s="7">
        <f>DATE(YEAR(m6_crossvalid[[#This Row],[ds]]),MONTH(m6_crossvalid[[#This Row],[ds]]),DAY(m6_crossvalid[[#This Row],[ds]]))</f>
        <v>46014</v>
      </c>
      <c r="C365">
        <v>5801.9999999999964</v>
      </c>
      <c r="D365" s="1">
        <v>46014.333333333336</v>
      </c>
      <c r="E365">
        <v>4107.3209744630458</v>
      </c>
      <c r="F365">
        <v>2050.3585197833891</v>
      </c>
      <c r="G365">
        <v>7996.0593288763475</v>
      </c>
      <c r="H365" s="1">
        <v>45991.333333333336</v>
      </c>
    </row>
    <row r="366" spans="1:8" x14ac:dyDescent="0.25">
      <c r="A366" s="7">
        <f>DATE(YEAR(m6_crossvalid[[#This Row],[cutoff]]),MONTH(m6_crossvalid[[#This Row],[cutoff]]),DAY(m6_crossvalid[[#This Row],[cutoff]]))</f>
        <v>45991</v>
      </c>
      <c r="B366" s="7">
        <f>DATE(YEAR(m6_crossvalid[[#This Row],[ds]]),MONTH(m6_crossvalid[[#This Row],[ds]]),DAY(m6_crossvalid[[#This Row],[ds]]))</f>
        <v>46015</v>
      </c>
      <c r="C366">
        <v>6117</v>
      </c>
      <c r="D366" s="1">
        <v>46015.333333333336</v>
      </c>
      <c r="E366">
        <v>4072.756533177253</v>
      </c>
      <c r="F366">
        <v>2140.9572344210465</v>
      </c>
      <c r="G366">
        <v>8002.8886238262075</v>
      </c>
      <c r="H366" s="1">
        <v>45991.333333333336</v>
      </c>
    </row>
    <row r="367" spans="1:8" x14ac:dyDescent="0.25">
      <c r="A367" s="7">
        <f>DATE(YEAR(m6_crossvalid[[#This Row],[cutoff]]),MONTH(m6_crossvalid[[#This Row],[cutoff]]),DAY(m6_crossvalid[[#This Row],[cutoff]]))</f>
        <v>45991</v>
      </c>
      <c r="B367" s="7">
        <f>DATE(YEAR(m6_crossvalid[[#This Row],[ds]]),MONTH(m6_crossvalid[[#This Row],[ds]]),DAY(m6_crossvalid[[#This Row],[ds]]))</f>
        <v>46016</v>
      </c>
      <c r="C367">
        <v>400.00000000000006</v>
      </c>
      <c r="D367" s="1">
        <v>46016.333333333336</v>
      </c>
      <c r="E367">
        <v>347.33457893960923</v>
      </c>
      <c r="F367">
        <v>176.91786616493584</v>
      </c>
      <c r="G367">
        <v>699.70937321860788</v>
      </c>
      <c r="H367" s="1">
        <v>45991.333333333336</v>
      </c>
    </row>
    <row r="368" spans="1:8" x14ac:dyDescent="0.25">
      <c r="A368" s="7">
        <f>DATE(YEAR(m6_crossvalid[[#This Row],[cutoff]]),MONTH(m6_crossvalid[[#This Row],[cutoff]]),DAY(m6_crossvalid[[#This Row],[cutoff]]))</f>
        <v>45991</v>
      </c>
      <c r="B368" s="7">
        <f>DATE(YEAR(m6_crossvalid[[#This Row],[ds]]),MONTH(m6_crossvalid[[#This Row],[ds]]),DAY(m6_crossvalid[[#This Row],[ds]]))</f>
        <v>46017</v>
      </c>
      <c r="C368">
        <v>6559.0000000000045</v>
      </c>
      <c r="D368" s="1">
        <v>46017.333333333336</v>
      </c>
      <c r="E368">
        <v>6180.4005031576316</v>
      </c>
      <c r="F368">
        <v>3132.9854058502615</v>
      </c>
      <c r="G368">
        <v>12489.310020841927</v>
      </c>
      <c r="H368" s="1">
        <v>45991.333333333336</v>
      </c>
    </row>
    <row r="369" spans="1:8" x14ac:dyDescent="0.25">
      <c r="A369" s="7">
        <f>DATE(YEAR(m6_crossvalid[[#This Row],[cutoff]]),MONTH(m6_crossvalid[[#This Row],[cutoff]]),DAY(m6_crossvalid[[#This Row],[cutoff]]))</f>
        <v>45991</v>
      </c>
      <c r="B369" s="7">
        <f>DATE(YEAR(m6_crossvalid[[#This Row],[ds]]),MONTH(m6_crossvalid[[#This Row],[ds]]),DAY(m6_crossvalid[[#This Row],[ds]]))</f>
        <v>46018</v>
      </c>
      <c r="C369">
        <v>1928</v>
      </c>
      <c r="D369" s="1">
        <v>46018.333333333336</v>
      </c>
      <c r="E369">
        <v>999.62236030930762</v>
      </c>
      <c r="F369">
        <v>534.56084665890012</v>
      </c>
      <c r="G369">
        <v>2075.6311374401753</v>
      </c>
      <c r="H369" s="1">
        <v>45991.333333333336</v>
      </c>
    </row>
    <row r="370" spans="1:8" x14ac:dyDescent="0.25">
      <c r="A370" s="7">
        <f>DATE(YEAR(m6_crossvalid[[#This Row],[cutoff]]),MONTH(m6_crossvalid[[#This Row],[cutoff]]),DAY(m6_crossvalid[[#This Row],[cutoff]]))</f>
        <v>45991</v>
      </c>
      <c r="B370" s="7">
        <f>DATE(YEAR(m6_crossvalid[[#This Row],[ds]]),MONTH(m6_crossvalid[[#This Row],[ds]]),DAY(m6_crossvalid[[#This Row],[ds]]))</f>
        <v>46019</v>
      </c>
      <c r="C370">
        <v>428</v>
      </c>
      <c r="D370" s="1">
        <v>46019.333333333336</v>
      </c>
      <c r="E370">
        <v>375.12339353246273</v>
      </c>
      <c r="F370">
        <v>190.821951861793</v>
      </c>
      <c r="G370">
        <v>744.94563688145411</v>
      </c>
      <c r="H370" s="1">
        <v>45991.333333333336</v>
      </c>
    </row>
    <row r="371" spans="1:8" x14ac:dyDescent="0.25">
      <c r="A371" s="7">
        <f>DATE(YEAR(m6_crossvalid[[#This Row],[cutoff]]),MONTH(m6_crossvalid[[#This Row],[cutoff]]),DAY(m6_crossvalid[[#This Row],[cutoff]]))</f>
        <v>45991</v>
      </c>
      <c r="B371" s="7">
        <f>DATE(YEAR(m6_crossvalid[[#This Row],[ds]]),MONTH(m6_crossvalid[[#This Row],[ds]]),DAY(m6_crossvalid[[#This Row],[ds]]))</f>
        <v>46020</v>
      </c>
      <c r="C371">
        <v>7441.0000000000018</v>
      </c>
      <c r="D371" s="1">
        <v>46020.333333333336</v>
      </c>
      <c r="E371">
        <v>4891.483902915963</v>
      </c>
      <c r="F371">
        <v>2556.2631424019028</v>
      </c>
      <c r="G371">
        <v>10175.002839304143</v>
      </c>
      <c r="H371" s="1">
        <v>45991.333333333336</v>
      </c>
    </row>
    <row r="372" spans="1:8" x14ac:dyDescent="0.25">
      <c r="A372" s="7">
        <f>DATE(YEAR(m6_crossvalid[[#This Row],[cutoff]]),MONTH(m6_crossvalid[[#This Row],[cutoff]]),DAY(m6_crossvalid[[#This Row],[cutoff]]))</f>
        <v>45991</v>
      </c>
      <c r="B372" s="7">
        <f>DATE(YEAR(m6_crossvalid[[#This Row],[ds]]),MONTH(m6_crossvalid[[#This Row],[ds]]),DAY(m6_crossvalid[[#This Row],[ds]]))</f>
        <v>46021</v>
      </c>
      <c r="C372">
        <v>10603</v>
      </c>
      <c r="D372" s="1">
        <v>46021.333333333336</v>
      </c>
      <c r="E372">
        <v>11176.992604849602</v>
      </c>
      <c r="F372">
        <v>5320.4704640202126</v>
      </c>
      <c r="G372">
        <v>21337.042572888717</v>
      </c>
      <c r="H372" s="1">
        <v>45991.333333333336</v>
      </c>
    </row>
    <row r="373" spans="1:8" x14ac:dyDescent="0.25">
      <c r="A373" s="7">
        <f>DATE(YEAR(m6_crossvalid[[#This Row],[cutoff]]),MONTH(m6_crossvalid[[#This Row],[cutoff]]),DAY(m6_crossvalid[[#This Row],[cutoff]]))</f>
        <v>45991</v>
      </c>
      <c r="B373" s="7">
        <f>DATE(YEAR(m6_crossvalid[[#This Row],[ds]]),MONTH(m6_crossvalid[[#This Row],[ds]]),DAY(m6_crossvalid[[#This Row],[ds]]))</f>
        <v>46022</v>
      </c>
      <c r="C373">
        <v>15369.999999999991</v>
      </c>
      <c r="D373" s="1">
        <v>46022.333333333336</v>
      </c>
      <c r="E373">
        <v>16784.380906937397</v>
      </c>
      <c r="F373">
        <v>8469.435999297033</v>
      </c>
      <c r="G373">
        <v>31673.071523659535</v>
      </c>
      <c r="H373" s="1">
        <v>45991.333333333336</v>
      </c>
    </row>
    <row r="374" spans="1:8" x14ac:dyDescent="0.25">
      <c r="A374" s="7">
        <f>DATE(YEAR(m6_crossvalid[[#This Row],[cutoff]]),MONTH(m6_crossvalid[[#This Row],[cutoff]]),DAY(m6_crossvalid[[#This Row],[cutoff]]))</f>
        <v>46022</v>
      </c>
      <c r="B374" s="7">
        <f>DATE(YEAR(m6_crossvalid[[#This Row],[ds]]),MONTH(m6_crossvalid[[#This Row],[ds]]),DAY(m6_crossvalid[[#This Row],[ds]]))</f>
        <v>46023</v>
      </c>
      <c r="C374">
        <v>2584.0000000000005</v>
      </c>
      <c r="D374" s="1">
        <v>46023.333333333336</v>
      </c>
      <c r="E374">
        <v>98.42506764682156</v>
      </c>
      <c r="F374">
        <v>48.567731357305938</v>
      </c>
      <c r="G374">
        <v>197.49764660595682</v>
      </c>
      <c r="H374" s="1">
        <v>46022.333333333336</v>
      </c>
    </row>
    <row r="375" spans="1:8" x14ac:dyDescent="0.25">
      <c r="A375" s="7">
        <f>DATE(YEAR(m6_crossvalid[[#This Row],[cutoff]]),MONTH(m6_crossvalid[[#This Row],[cutoff]]),DAY(m6_crossvalid[[#This Row],[cutoff]]))</f>
        <v>46022</v>
      </c>
      <c r="B375" s="7">
        <f>DATE(YEAR(m6_crossvalid[[#This Row],[ds]]),MONTH(m6_crossvalid[[#This Row],[ds]]),DAY(m6_crossvalid[[#This Row],[ds]]))</f>
        <v>46024</v>
      </c>
      <c r="C375">
        <v>1536.0000000000005</v>
      </c>
      <c r="D375" s="1">
        <v>46024.333333333336</v>
      </c>
      <c r="E375">
        <v>526.7434171206005</v>
      </c>
      <c r="F375">
        <v>259.39110603823309</v>
      </c>
      <c r="G375">
        <v>1058.5307627913933</v>
      </c>
      <c r="H375" s="1">
        <v>46022.333333333336</v>
      </c>
    </row>
    <row r="376" spans="1:8" x14ac:dyDescent="0.25">
      <c r="A376" s="7">
        <f>DATE(YEAR(m6_crossvalid[[#This Row],[cutoff]]),MONTH(m6_crossvalid[[#This Row],[cutoff]]),DAY(m6_crossvalid[[#This Row],[cutoff]]))</f>
        <v>46022</v>
      </c>
      <c r="B376" s="7">
        <f>DATE(YEAR(m6_crossvalid[[#This Row],[ds]]),MONTH(m6_crossvalid[[#This Row],[ds]]),DAY(m6_crossvalid[[#This Row],[ds]]))</f>
        <v>46025</v>
      </c>
      <c r="C376">
        <v>80.000000000000028</v>
      </c>
      <c r="D376" s="1">
        <v>46025.333333333336</v>
      </c>
      <c r="E376">
        <v>119.92795947335377</v>
      </c>
      <c r="F376">
        <v>62.156666140318066</v>
      </c>
      <c r="G376">
        <v>248.80935474325011</v>
      </c>
      <c r="H376" s="1">
        <v>46022.333333333336</v>
      </c>
    </row>
    <row r="377" spans="1:8" x14ac:dyDescent="0.25">
      <c r="A377" s="7">
        <f>DATE(YEAR(m6_crossvalid[[#This Row],[cutoff]]),MONTH(m6_crossvalid[[#This Row],[cutoff]]),DAY(m6_crossvalid[[#This Row],[cutoff]]))</f>
        <v>46022</v>
      </c>
      <c r="B377" s="7">
        <f>DATE(YEAR(m6_crossvalid[[#This Row],[ds]]),MONTH(m6_crossvalid[[#This Row],[ds]]),DAY(m6_crossvalid[[#This Row],[ds]]))</f>
        <v>46026</v>
      </c>
      <c r="C377">
        <v>16.999999999999996</v>
      </c>
      <c r="D377" s="1">
        <v>46026.333333333336</v>
      </c>
      <c r="E377">
        <v>39.608995571387219</v>
      </c>
      <c r="F377">
        <v>20.014846975383087</v>
      </c>
      <c r="G377">
        <v>80.496957325807415</v>
      </c>
      <c r="H377" s="1">
        <v>46022.333333333336</v>
      </c>
    </row>
    <row r="378" spans="1:8" x14ac:dyDescent="0.25">
      <c r="A378" s="7">
        <f>DATE(YEAR(m6_crossvalid[[#This Row],[cutoff]]),MONTH(m6_crossvalid[[#This Row],[cutoff]]),DAY(m6_crossvalid[[#This Row],[cutoff]]))</f>
        <v>46022</v>
      </c>
      <c r="B378" s="7">
        <f>DATE(YEAR(m6_crossvalid[[#This Row],[ds]]),MONTH(m6_crossvalid[[#This Row],[ds]]),DAY(m6_crossvalid[[#This Row],[ds]]))</f>
        <v>46027</v>
      </c>
      <c r="C378">
        <v>340.00000000000006</v>
      </c>
      <c r="D378" s="1">
        <v>46027.333333333336</v>
      </c>
      <c r="E378">
        <v>522.06895025381834</v>
      </c>
      <c r="F378">
        <v>262.54467647333882</v>
      </c>
      <c r="G378">
        <v>1020.3806118051193</v>
      </c>
      <c r="H378" s="1">
        <v>46022.333333333336</v>
      </c>
    </row>
    <row r="379" spans="1:8" x14ac:dyDescent="0.25">
      <c r="A379" s="7">
        <f>DATE(YEAR(m6_crossvalid[[#This Row],[cutoff]]),MONTH(m6_crossvalid[[#This Row],[cutoff]]),DAY(m6_crossvalid[[#This Row],[cutoff]]))</f>
        <v>46022</v>
      </c>
      <c r="B379" s="7">
        <f>DATE(YEAR(m6_crossvalid[[#This Row],[ds]]),MONTH(m6_crossvalid[[#This Row],[ds]]),DAY(m6_crossvalid[[#This Row],[ds]]))</f>
        <v>46028</v>
      </c>
      <c r="C379">
        <v>484.99999999999994</v>
      </c>
      <c r="D379" s="1">
        <v>46028.333333333336</v>
      </c>
      <c r="E379">
        <v>671.50797602660373</v>
      </c>
      <c r="F379">
        <v>343.96793729693491</v>
      </c>
      <c r="G379">
        <v>1319.3426348421201</v>
      </c>
      <c r="H379" s="1">
        <v>46022.333333333336</v>
      </c>
    </row>
    <row r="380" spans="1:8" x14ac:dyDescent="0.25">
      <c r="A380" s="7">
        <f>DATE(YEAR(m6_crossvalid[[#This Row],[cutoff]]),MONTH(m6_crossvalid[[#This Row],[cutoff]]),DAY(m6_crossvalid[[#This Row],[cutoff]]))</f>
        <v>46022</v>
      </c>
      <c r="B380" s="7">
        <f>DATE(YEAR(m6_crossvalid[[#This Row],[ds]]),MONTH(m6_crossvalid[[#This Row],[ds]]),DAY(m6_crossvalid[[#This Row],[ds]]))</f>
        <v>46029</v>
      </c>
      <c r="C380">
        <v>531.99999999999989</v>
      </c>
      <c r="D380" s="1">
        <v>46029.333333333336</v>
      </c>
      <c r="E380">
        <v>702.71533798813243</v>
      </c>
      <c r="F380">
        <v>372.65901423617385</v>
      </c>
      <c r="G380">
        <v>1357.2190158650333</v>
      </c>
      <c r="H380" s="1">
        <v>46022.333333333336</v>
      </c>
    </row>
    <row r="381" spans="1:8" x14ac:dyDescent="0.25">
      <c r="A381" s="7">
        <f>DATE(YEAR(m6_crossvalid[[#This Row],[cutoff]]),MONTH(m6_crossvalid[[#This Row],[cutoff]]),DAY(m6_crossvalid[[#This Row],[cutoff]]))</f>
        <v>46022</v>
      </c>
      <c r="B381" s="7">
        <f>DATE(YEAR(m6_crossvalid[[#This Row],[ds]]),MONTH(m6_crossvalid[[#This Row],[ds]]),DAY(m6_crossvalid[[#This Row],[ds]]))</f>
        <v>46030</v>
      </c>
      <c r="C381">
        <v>658.99999999999989</v>
      </c>
      <c r="D381" s="1">
        <v>46030.333333333336</v>
      </c>
      <c r="E381">
        <v>1328.7798885109819</v>
      </c>
      <c r="F381">
        <v>698.04011236589486</v>
      </c>
      <c r="G381">
        <v>2547.8403287033561</v>
      </c>
      <c r="H381" s="1">
        <v>46022.333333333336</v>
      </c>
    </row>
    <row r="382" spans="1:8" x14ac:dyDescent="0.25">
      <c r="A382" s="7">
        <f>DATE(YEAR(m6_crossvalid[[#This Row],[cutoff]]),MONTH(m6_crossvalid[[#This Row],[cutoff]]),DAY(m6_crossvalid[[#This Row],[cutoff]]))</f>
        <v>46022</v>
      </c>
      <c r="B382" s="7">
        <f>DATE(YEAR(m6_crossvalid[[#This Row],[ds]]),MONTH(m6_crossvalid[[#This Row],[ds]]),DAY(m6_crossvalid[[#This Row],[ds]]))</f>
        <v>46031</v>
      </c>
      <c r="C382">
        <v>787.00000000000011</v>
      </c>
      <c r="D382" s="1">
        <v>46031.333333333336</v>
      </c>
      <c r="E382">
        <v>1173.2090315110754</v>
      </c>
      <c r="F382">
        <v>594.57035963811006</v>
      </c>
      <c r="G382">
        <v>2217.3588310815012</v>
      </c>
      <c r="H382" s="1">
        <v>46022.333333333336</v>
      </c>
    </row>
    <row r="383" spans="1:8" x14ac:dyDescent="0.25">
      <c r="A383" s="7">
        <f>DATE(YEAR(m6_crossvalid[[#This Row],[cutoff]]),MONTH(m6_crossvalid[[#This Row],[cutoff]]),DAY(m6_crossvalid[[#This Row],[cutoff]]))</f>
        <v>46022</v>
      </c>
      <c r="B383" s="7">
        <f>DATE(YEAR(m6_crossvalid[[#This Row],[ds]]),MONTH(m6_crossvalid[[#This Row],[ds]]),DAY(m6_crossvalid[[#This Row],[ds]]))</f>
        <v>46032</v>
      </c>
      <c r="C383">
        <v>137.00000000000006</v>
      </c>
      <c r="D383" s="1">
        <v>46032.333333333336</v>
      </c>
      <c r="E383">
        <v>192.25038456347107</v>
      </c>
      <c r="F383">
        <v>97.686788677037669</v>
      </c>
      <c r="G383">
        <v>377.53046828741884</v>
      </c>
      <c r="H383" s="1">
        <v>46022.333333333336</v>
      </c>
    </row>
    <row r="384" spans="1:8" x14ac:dyDescent="0.25">
      <c r="A384" s="7">
        <f>DATE(YEAR(m6_crossvalid[[#This Row],[cutoff]]),MONTH(m6_crossvalid[[#This Row],[cutoff]]),DAY(m6_crossvalid[[#This Row],[cutoff]]))</f>
        <v>46022</v>
      </c>
      <c r="B384" s="7">
        <f>DATE(YEAR(m6_crossvalid[[#This Row],[ds]]),MONTH(m6_crossvalid[[#This Row],[ds]]),DAY(m6_crossvalid[[#This Row],[ds]]))</f>
        <v>46033</v>
      </c>
      <c r="C384">
        <v>43.999999999999993</v>
      </c>
      <c r="D384" s="1">
        <v>46033.333333333336</v>
      </c>
      <c r="E384">
        <v>72.520640485964734</v>
      </c>
      <c r="F384">
        <v>37.905570257364346</v>
      </c>
      <c r="G384">
        <v>140.44946244491194</v>
      </c>
      <c r="H384" s="1">
        <v>46022.333333333336</v>
      </c>
    </row>
    <row r="385" spans="1:8" x14ac:dyDescent="0.25">
      <c r="A385" s="7">
        <f>DATE(YEAR(m6_crossvalid[[#This Row],[cutoff]]),MONTH(m6_crossvalid[[#This Row],[cutoff]]),DAY(m6_crossvalid[[#This Row],[cutoff]]))</f>
        <v>46022</v>
      </c>
      <c r="B385" s="7">
        <f>DATE(YEAR(m6_crossvalid[[#This Row],[ds]]),MONTH(m6_crossvalid[[#This Row],[ds]]),DAY(m6_crossvalid[[#This Row],[ds]]))</f>
        <v>46034</v>
      </c>
      <c r="C385">
        <v>779.00000000000011</v>
      </c>
      <c r="D385" s="1">
        <v>46034.333333333336</v>
      </c>
      <c r="E385">
        <v>1028.6231207754631</v>
      </c>
      <c r="F385">
        <v>533.09670952097895</v>
      </c>
      <c r="G385">
        <v>2041.916401111657</v>
      </c>
      <c r="H385" s="1">
        <v>46022.333333333336</v>
      </c>
    </row>
    <row r="386" spans="1:8" x14ac:dyDescent="0.25">
      <c r="A386" s="7">
        <f>DATE(YEAR(m6_crossvalid[[#This Row],[cutoff]]),MONTH(m6_crossvalid[[#This Row],[cutoff]]),DAY(m6_crossvalid[[#This Row],[cutoff]]))</f>
        <v>46022</v>
      </c>
      <c r="B386" s="7">
        <f>DATE(YEAR(m6_crossvalid[[#This Row],[ds]]),MONTH(m6_crossvalid[[#This Row],[ds]]),DAY(m6_crossvalid[[#This Row],[ds]]))</f>
        <v>46035</v>
      </c>
      <c r="C386">
        <v>1113.0000000000005</v>
      </c>
      <c r="D386" s="1">
        <v>46035.333333333336</v>
      </c>
      <c r="E386">
        <v>1432.7592082113124</v>
      </c>
      <c r="F386">
        <v>736.1502542504245</v>
      </c>
      <c r="G386">
        <v>2653.3112578863779</v>
      </c>
      <c r="H386" s="1">
        <v>46022.333333333336</v>
      </c>
    </row>
    <row r="387" spans="1:8" x14ac:dyDescent="0.25">
      <c r="A387" s="7">
        <f>DATE(YEAR(m6_crossvalid[[#This Row],[cutoff]]),MONTH(m6_crossvalid[[#This Row],[cutoff]]),DAY(m6_crossvalid[[#This Row],[cutoff]]))</f>
        <v>46022</v>
      </c>
      <c r="B387" s="7">
        <f>DATE(YEAR(m6_crossvalid[[#This Row],[ds]]),MONTH(m6_crossvalid[[#This Row],[ds]]),DAY(m6_crossvalid[[#This Row],[ds]]))</f>
        <v>46036</v>
      </c>
      <c r="C387">
        <v>1419.0000000000005</v>
      </c>
      <c r="D387" s="1">
        <v>46036.333333333336</v>
      </c>
      <c r="E387">
        <v>1668.868455324668</v>
      </c>
      <c r="F387">
        <v>879.14871456569892</v>
      </c>
      <c r="G387">
        <v>3166.8046617111154</v>
      </c>
      <c r="H387" s="1">
        <v>46022.333333333336</v>
      </c>
    </row>
    <row r="388" spans="1:8" x14ac:dyDescent="0.25">
      <c r="A388" s="7">
        <f>DATE(YEAR(m6_crossvalid[[#This Row],[cutoff]]),MONTH(m6_crossvalid[[#This Row],[cutoff]]),DAY(m6_crossvalid[[#This Row],[cutoff]]))</f>
        <v>46022</v>
      </c>
      <c r="B388" s="7">
        <f>DATE(YEAR(m6_crossvalid[[#This Row],[ds]]),MONTH(m6_crossvalid[[#This Row],[ds]]),DAY(m6_crossvalid[[#This Row],[ds]]))</f>
        <v>46037</v>
      </c>
      <c r="C388">
        <v>1874</v>
      </c>
      <c r="D388" s="1">
        <v>46037.333333333336</v>
      </c>
      <c r="E388">
        <v>1866.0419520214905</v>
      </c>
      <c r="F388">
        <v>975.30934402657988</v>
      </c>
      <c r="G388">
        <v>3587.0893748921317</v>
      </c>
      <c r="H388" s="1">
        <v>46022.333333333336</v>
      </c>
    </row>
    <row r="389" spans="1:8" x14ac:dyDescent="0.25">
      <c r="A389" s="7">
        <f>DATE(YEAR(m6_crossvalid[[#This Row],[cutoff]]),MONTH(m6_crossvalid[[#This Row],[cutoff]]),DAY(m6_crossvalid[[#This Row],[cutoff]]))</f>
        <v>46022</v>
      </c>
      <c r="B389" s="7">
        <f>DATE(YEAR(m6_crossvalid[[#This Row],[ds]]),MONTH(m6_crossvalid[[#This Row],[ds]]),DAY(m6_crossvalid[[#This Row],[ds]]))</f>
        <v>46038</v>
      </c>
      <c r="C389">
        <v>2020.0000000000005</v>
      </c>
      <c r="D389" s="1">
        <v>46038.333333333336</v>
      </c>
      <c r="E389">
        <v>1876.6561561711467</v>
      </c>
      <c r="F389">
        <v>914.70722488769798</v>
      </c>
      <c r="G389">
        <v>3431.5964155210954</v>
      </c>
      <c r="H389" s="1">
        <v>46022.333333333336</v>
      </c>
    </row>
    <row r="390" spans="1:8" x14ac:dyDescent="0.25">
      <c r="A390" s="7">
        <f>DATE(YEAR(m6_crossvalid[[#This Row],[cutoff]]),MONTH(m6_crossvalid[[#This Row],[cutoff]]),DAY(m6_crossvalid[[#This Row],[cutoff]]))</f>
        <v>46022</v>
      </c>
      <c r="B390" s="7">
        <f>DATE(YEAR(m6_crossvalid[[#This Row],[ds]]),MONTH(m6_crossvalid[[#This Row],[ds]]),DAY(m6_crossvalid[[#This Row],[ds]]))</f>
        <v>46039</v>
      </c>
      <c r="C390">
        <v>451.00000000000017</v>
      </c>
      <c r="D390" s="1">
        <v>46039.333333333336</v>
      </c>
      <c r="E390">
        <v>337.40399562495992</v>
      </c>
      <c r="F390">
        <v>175.75842300713583</v>
      </c>
      <c r="G390">
        <v>678.02368161245988</v>
      </c>
      <c r="H390" s="1">
        <v>46022.333333333336</v>
      </c>
    </row>
    <row r="391" spans="1:8" x14ac:dyDescent="0.25">
      <c r="A391" s="7">
        <f>DATE(YEAR(m6_crossvalid[[#This Row],[cutoff]]),MONTH(m6_crossvalid[[#This Row],[cutoff]]),DAY(m6_crossvalid[[#This Row],[cutoff]]))</f>
        <v>46022</v>
      </c>
      <c r="B391" s="7">
        <f>DATE(YEAR(m6_crossvalid[[#This Row],[ds]]),MONTH(m6_crossvalid[[#This Row],[ds]]),DAY(m6_crossvalid[[#This Row],[ds]]))</f>
        <v>46040</v>
      </c>
      <c r="C391">
        <v>76.000000000000014</v>
      </c>
      <c r="D391" s="1">
        <v>46040.333333333336</v>
      </c>
      <c r="E391">
        <v>133.17921443176368</v>
      </c>
      <c r="F391">
        <v>67.884924228254818</v>
      </c>
      <c r="G391">
        <v>262.12583098660912</v>
      </c>
      <c r="H391" s="1">
        <v>46022.333333333336</v>
      </c>
    </row>
    <row r="392" spans="1:8" x14ac:dyDescent="0.25">
      <c r="A392" s="7">
        <f>DATE(YEAR(m6_crossvalid[[#This Row],[cutoff]]),MONTH(m6_crossvalid[[#This Row],[cutoff]]),DAY(m6_crossvalid[[#This Row],[cutoff]]))</f>
        <v>46022</v>
      </c>
      <c r="B392" s="7">
        <f>DATE(YEAR(m6_crossvalid[[#This Row],[ds]]),MONTH(m6_crossvalid[[#This Row],[ds]]),DAY(m6_crossvalid[[#This Row],[ds]]))</f>
        <v>46041</v>
      </c>
      <c r="C392">
        <v>1963</v>
      </c>
      <c r="D392" s="1">
        <v>46041.333333333336</v>
      </c>
      <c r="E392">
        <v>1901.7464272039233</v>
      </c>
      <c r="F392">
        <v>975.85752264304301</v>
      </c>
      <c r="G392">
        <v>3537.6266883644103</v>
      </c>
      <c r="H392" s="1">
        <v>46022.333333333336</v>
      </c>
    </row>
    <row r="393" spans="1:8" x14ac:dyDescent="0.25">
      <c r="A393" s="7">
        <f>DATE(YEAR(m6_crossvalid[[#This Row],[cutoff]]),MONTH(m6_crossvalid[[#This Row],[cutoff]]),DAY(m6_crossvalid[[#This Row],[cutoff]]))</f>
        <v>46022</v>
      </c>
      <c r="B393" s="7">
        <f>DATE(YEAR(m6_crossvalid[[#This Row],[ds]]),MONTH(m6_crossvalid[[#This Row],[ds]]),DAY(m6_crossvalid[[#This Row],[ds]]))</f>
        <v>46042</v>
      </c>
      <c r="C393">
        <v>2481</v>
      </c>
      <c r="D393" s="1">
        <v>46042.333333333336</v>
      </c>
      <c r="E393">
        <v>2681.2087637272857</v>
      </c>
      <c r="F393">
        <v>1337.1436266679523</v>
      </c>
      <c r="G393">
        <v>5472.2696959895975</v>
      </c>
      <c r="H393" s="1">
        <v>46022.333333333336</v>
      </c>
    </row>
    <row r="394" spans="1:8" x14ac:dyDescent="0.25">
      <c r="A394" s="7">
        <f>DATE(YEAR(m6_crossvalid[[#This Row],[cutoff]]),MONTH(m6_crossvalid[[#This Row],[cutoff]]),DAY(m6_crossvalid[[#This Row],[cutoff]]))</f>
        <v>46022</v>
      </c>
      <c r="B394" s="7">
        <f>DATE(YEAR(m6_crossvalid[[#This Row],[ds]]),MONTH(m6_crossvalid[[#This Row],[ds]]),DAY(m6_crossvalid[[#This Row],[ds]]))</f>
        <v>46043</v>
      </c>
      <c r="C394">
        <v>2679</v>
      </c>
      <c r="D394" s="1">
        <v>46043.333333333336</v>
      </c>
      <c r="E394">
        <v>3181.576810641237</v>
      </c>
      <c r="F394">
        <v>1617.4641287395982</v>
      </c>
      <c r="G394">
        <v>6184.6211852664173</v>
      </c>
      <c r="H394" s="1">
        <v>46022.333333333336</v>
      </c>
    </row>
    <row r="395" spans="1:8" x14ac:dyDescent="0.25">
      <c r="A395" s="7">
        <f>DATE(YEAR(m6_crossvalid[[#This Row],[cutoff]]),MONTH(m6_crossvalid[[#This Row],[cutoff]]),DAY(m6_crossvalid[[#This Row],[cutoff]]))</f>
        <v>46022</v>
      </c>
      <c r="B395" s="7">
        <f>DATE(YEAR(m6_crossvalid[[#This Row],[ds]]),MONTH(m6_crossvalid[[#This Row],[ds]]),DAY(m6_crossvalid[[#This Row],[ds]]))</f>
        <v>46044</v>
      </c>
      <c r="C395">
        <v>2829.9999999999995</v>
      </c>
      <c r="D395" s="1">
        <v>46044.333333333336</v>
      </c>
      <c r="E395">
        <v>3561.6668563349558</v>
      </c>
      <c r="F395">
        <v>1798.1367889895848</v>
      </c>
      <c r="G395">
        <v>6808.1961238850372</v>
      </c>
      <c r="H395" s="1">
        <v>46022.333333333336</v>
      </c>
    </row>
    <row r="396" spans="1:8" x14ac:dyDescent="0.25">
      <c r="A396" s="7">
        <f>DATE(YEAR(m6_crossvalid[[#This Row],[cutoff]]),MONTH(m6_crossvalid[[#This Row],[cutoff]]),DAY(m6_crossvalid[[#This Row],[cutoff]]))</f>
        <v>46022</v>
      </c>
      <c r="B396" s="7">
        <f>DATE(YEAR(m6_crossvalid[[#This Row],[ds]]),MONTH(m6_crossvalid[[#This Row],[ds]]),DAY(m6_crossvalid[[#This Row],[ds]]))</f>
        <v>46045</v>
      </c>
      <c r="C396">
        <v>2999.9999999999995</v>
      </c>
      <c r="D396" s="1">
        <v>46045.333333333336</v>
      </c>
      <c r="E396">
        <v>3414.0039537665807</v>
      </c>
      <c r="F396">
        <v>1738.9333032455486</v>
      </c>
      <c r="G396">
        <v>6733.8479368483831</v>
      </c>
      <c r="H396" s="1">
        <v>46022.333333333336</v>
      </c>
    </row>
    <row r="397" spans="1:8" x14ac:dyDescent="0.25">
      <c r="A397" s="7">
        <f>DATE(YEAR(m6_crossvalid[[#This Row],[cutoff]]),MONTH(m6_crossvalid[[#This Row],[cutoff]]),DAY(m6_crossvalid[[#This Row],[cutoff]]))</f>
        <v>46022</v>
      </c>
      <c r="B397" s="7">
        <f>DATE(YEAR(m6_crossvalid[[#This Row],[ds]]),MONTH(m6_crossvalid[[#This Row],[ds]]),DAY(m6_crossvalid[[#This Row],[ds]]))</f>
        <v>46046</v>
      </c>
      <c r="C397">
        <v>902</v>
      </c>
      <c r="D397" s="1">
        <v>46046.333333333336</v>
      </c>
      <c r="E397">
        <v>553.98096927214601</v>
      </c>
      <c r="F397">
        <v>278.79597019875609</v>
      </c>
      <c r="G397">
        <v>1042.0231594339755</v>
      </c>
      <c r="H397" s="1">
        <v>46022.333333333336</v>
      </c>
    </row>
    <row r="398" spans="1:8" x14ac:dyDescent="0.25">
      <c r="A398" s="7">
        <f>DATE(YEAR(m6_crossvalid[[#This Row],[cutoff]]),MONTH(m6_crossvalid[[#This Row],[cutoff]]),DAY(m6_crossvalid[[#This Row],[cutoff]]))</f>
        <v>46022</v>
      </c>
      <c r="B398" s="7">
        <f>DATE(YEAR(m6_crossvalid[[#This Row],[ds]]),MONTH(m6_crossvalid[[#This Row],[ds]]),DAY(m6_crossvalid[[#This Row],[ds]]))</f>
        <v>46047</v>
      </c>
      <c r="C398">
        <v>150</v>
      </c>
      <c r="D398" s="1">
        <v>46047.333333333336</v>
      </c>
      <c r="E398">
        <v>357.293324967449</v>
      </c>
      <c r="F398">
        <v>173.97916484797324</v>
      </c>
      <c r="G398">
        <v>709.17853907730716</v>
      </c>
      <c r="H398" s="1">
        <v>46022.333333333336</v>
      </c>
    </row>
    <row r="399" spans="1:8" x14ac:dyDescent="0.25">
      <c r="A399" s="7">
        <f>DATE(YEAR(m6_crossvalid[[#This Row],[cutoff]]),MONTH(m6_crossvalid[[#This Row],[cutoff]]),DAY(m6_crossvalid[[#This Row],[cutoff]]))</f>
        <v>46022</v>
      </c>
      <c r="B399" s="7">
        <f>DATE(YEAR(m6_crossvalid[[#This Row],[ds]]),MONTH(m6_crossvalid[[#This Row],[ds]]),DAY(m6_crossvalid[[#This Row],[ds]]))</f>
        <v>46048</v>
      </c>
      <c r="C399">
        <v>3603</v>
      </c>
      <c r="D399" s="1">
        <v>46048.333333333336</v>
      </c>
      <c r="E399">
        <v>4609.0185212602082</v>
      </c>
      <c r="F399">
        <v>2405.1872708126284</v>
      </c>
      <c r="G399">
        <v>8892.1352751632439</v>
      </c>
      <c r="H399" s="1">
        <v>46022.333333333336</v>
      </c>
    </row>
    <row r="400" spans="1:8" x14ac:dyDescent="0.25">
      <c r="A400" s="7">
        <f>DATE(YEAR(m6_crossvalid[[#This Row],[cutoff]]),MONTH(m6_crossvalid[[#This Row],[cutoff]]),DAY(m6_crossvalid[[#This Row],[cutoff]]))</f>
        <v>46022</v>
      </c>
      <c r="B400" s="7">
        <f>DATE(YEAR(m6_crossvalid[[#This Row],[ds]]),MONTH(m6_crossvalid[[#This Row],[ds]]),DAY(m6_crossvalid[[#This Row],[ds]]))</f>
        <v>46049</v>
      </c>
      <c r="C400">
        <v>4547.9999999999964</v>
      </c>
      <c r="D400" s="1">
        <v>46049.333333333336</v>
      </c>
      <c r="E400">
        <v>6252.1704551051271</v>
      </c>
      <c r="F400">
        <v>3191.0068735769355</v>
      </c>
      <c r="G400">
        <v>12328.783612234725</v>
      </c>
      <c r="H400" s="1">
        <v>46022.333333333336</v>
      </c>
    </row>
    <row r="401" spans="1:8" x14ac:dyDescent="0.25">
      <c r="A401" s="7">
        <f>DATE(YEAR(m6_crossvalid[[#This Row],[cutoff]]),MONTH(m6_crossvalid[[#This Row],[cutoff]]),DAY(m6_crossvalid[[#This Row],[cutoff]]))</f>
        <v>46022</v>
      </c>
      <c r="B401" s="7">
        <f>DATE(YEAR(m6_crossvalid[[#This Row],[ds]]),MONTH(m6_crossvalid[[#This Row],[ds]]),DAY(m6_crossvalid[[#This Row],[ds]]))</f>
        <v>46050</v>
      </c>
      <c r="C401">
        <v>5313.0000000000018</v>
      </c>
      <c r="D401" s="1">
        <v>46050.333333333336</v>
      </c>
      <c r="E401">
        <v>7444.3965990117294</v>
      </c>
      <c r="F401">
        <v>3863.5772119826088</v>
      </c>
      <c r="G401">
        <v>14718.276994664311</v>
      </c>
      <c r="H401" s="1">
        <v>46022.333333333336</v>
      </c>
    </row>
    <row r="402" spans="1:8" x14ac:dyDescent="0.25">
      <c r="A402" s="7">
        <f>DATE(YEAR(m6_crossvalid[[#This Row],[cutoff]]),MONTH(m6_crossvalid[[#This Row],[cutoff]]),DAY(m6_crossvalid[[#This Row],[cutoff]]))</f>
        <v>46022</v>
      </c>
      <c r="B402" s="7">
        <f>DATE(YEAR(m6_crossvalid[[#This Row],[ds]]),MONTH(m6_crossvalid[[#This Row],[ds]]),DAY(m6_crossvalid[[#This Row],[ds]]))</f>
        <v>46051</v>
      </c>
      <c r="C402">
        <v>7325.9999999999982</v>
      </c>
      <c r="D402" s="1">
        <v>46051.333333333336</v>
      </c>
      <c r="E402">
        <v>8262.7768100306384</v>
      </c>
      <c r="F402">
        <v>4141.6451527752324</v>
      </c>
      <c r="G402">
        <v>16163.349771728102</v>
      </c>
      <c r="H402" s="1">
        <v>46022.333333333336</v>
      </c>
    </row>
    <row r="403" spans="1:8" x14ac:dyDescent="0.25">
      <c r="A403" s="7">
        <f>DATE(YEAR(m6_crossvalid[[#This Row],[cutoff]]),MONTH(m6_crossvalid[[#This Row],[cutoff]]),DAY(m6_crossvalid[[#This Row],[cutoff]]))</f>
        <v>46022</v>
      </c>
      <c r="B403" s="7">
        <f>DATE(YEAR(m6_crossvalid[[#This Row],[ds]]),MONTH(m6_crossvalid[[#This Row],[ds]]),DAY(m6_crossvalid[[#This Row],[ds]]))</f>
        <v>46052</v>
      </c>
      <c r="C403">
        <v>10275.999999999998</v>
      </c>
      <c r="D403" s="1">
        <v>46052.333333333336</v>
      </c>
      <c r="E403">
        <v>13990.137606091892</v>
      </c>
      <c r="F403">
        <v>7058.6465103570999</v>
      </c>
      <c r="G403">
        <v>29842.536378237895</v>
      </c>
      <c r="H403" s="1">
        <v>46022.333333333336</v>
      </c>
    </row>
    <row r="404" spans="1:8" x14ac:dyDescent="0.25">
      <c r="A404" s="7">
        <f>DATE(YEAR(m6_crossvalid[[#This Row],[cutoff]]),MONTH(m6_crossvalid[[#This Row],[cutoff]]),DAY(m6_crossvalid[[#This Row],[cutoff]]))</f>
        <v>46022</v>
      </c>
      <c r="B404" s="7">
        <f>DATE(YEAR(m6_crossvalid[[#This Row],[ds]]),MONTH(m6_crossvalid[[#This Row],[ds]]),DAY(m6_crossvalid[[#This Row],[ds]]))</f>
        <v>46053</v>
      </c>
      <c r="C404">
        <v>7990.9999999999982</v>
      </c>
      <c r="D404" s="1">
        <v>46053.333333333336</v>
      </c>
      <c r="E404">
        <v>3254.9341549423098</v>
      </c>
      <c r="F404">
        <v>1723.9087667930378</v>
      </c>
      <c r="G404">
        <v>6289.9141257526162</v>
      </c>
      <c r="H404" s="1">
        <v>46022.333333333336</v>
      </c>
    </row>
    <row r="405" spans="1:8" x14ac:dyDescent="0.25">
      <c r="A405" s="7">
        <f>DATE(YEAR(m6_crossvalid[[#This Row],[cutoff]]),MONTH(m6_crossvalid[[#This Row],[cutoff]]),DAY(m6_crossvalid[[#This Row],[cutoff]]))</f>
        <v>46053</v>
      </c>
      <c r="B405" s="7">
        <f>DATE(YEAR(m6_crossvalid[[#This Row],[ds]]),MONTH(m6_crossvalid[[#This Row],[ds]]),DAY(m6_crossvalid[[#This Row],[ds]]))</f>
        <v>46054</v>
      </c>
      <c r="C405">
        <v>26</v>
      </c>
      <c r="D405" s="1">
        <v>46054.333333333336</v>
      </c>
      <c r="E405">
        <v>5.9795392621126604</v>
      </c>
      <c r="F405">
        <v>2.5349679353843508</v>
      </c>
      <c r="G405">
        <v>12.60869282036759</v>
      </c>
      <c r="H405" s="1">
        <v>46053.333333333336</v>
      </c>
    </row>
    <row r="406" spans="1:8" x14ac:dyDescent="0.25">
      <c r="A406" s="7">
        <f>DATE(YEAR(m6_crossvalid[[#This Row],[cutoff]]),MONTH(m6_crossvalid[[#This Row],[cutoff]]),DAY(m6_crossvalid[[#This Row],[cutoff]]))</f>
        <v>46053</v>
      </c>
      <c r="B406" s="7">
        <f>DATE(YEAR(m6_crossvalid[[#This Row],[ds]]),MONTH(m6_crossvalid[[#This Row],[ds]]),DAY(m6_crossvalid[[#This Row],[ds]]))</f>
        <v>46055</v>
      </c>
      <c r="C406">
        <v>134.00000000000003</v>
      </c>
      <c r="D406" s="1">
        <v>46055.333333333336</v>
      </c>
      <c r="E406">
        <v>52.170011397726597</v>
      </c>
      <c r="F406">
        <v>27.049070709829945</v>
      </c>
      <c r="G406">
        <v>99.592127753640668</v>
      </c>
      <c r="H406" s="1">
        <v>46053.333333333336</v>
      </c>
    </row>
    <row r="407" spans="1:8" x14ac:dyDescent="0.25">
      <c r="A407" s="7">
        <f>DATE(YEAR(m6_crossvalid[[#This Row],[cutoff]]),MONTH(m6_crossvalid[[#This Row],[cutoff]]),DAY(m6_crossvalid[[#This Row],[cutoff]]))</f>
        <v>46053</v>
      </c>
      <c r="B407" s="7">
        <f>DATE(YEAR(m6_crossvalid[[#This Row],[ds]]),MONTH(m6_crossvalid[[#This Row],[ds]]),DAY(m6_crossvalid[[#This Row],[ds]]))</f>
        <v>46056</v>
      </c>
      <c r="C407">
        <v>521.00000000000023</v>
      </c>
      <c r="D407" s="1">
        <v>46056.333333333336</v>
      </c>
      <c r="E407">
        <v>96.185268948465151</v>
      </c>
      <c r="F407">
        <v>48.650546236663367</v>
      </c>
      <c r="G407">
        <v>199.98791200523999</v>
      </c>
      <c r="H407" s="1">
        <v>46053.333333333336</v>
      </c>
    </row>
    <row r="408" spans="1:8" x14ac:dyDescent="0.25">
      <c r="A408" s="7">
        <f>DATE(YEAR(m6_crossvalid[[#This Row],[cutoff]]),MONTH(m6_crossvalid[[#This Row],[cutoff]]),DAY(m6_crossvalid[[#This Row],[cutoff]]))</f>
        <v>46053</v>
      </c>
      <c r="B408" s="7">
        <f>DATE(YEAR(m6_crossvalid[[#This Row],[ds]]),MONTH(m6_crossvalid[[#This Row],[ds]]),DAY(m6_crossvalid[[#This Row],[ds]]))</f>
        <v>46057</v>
      </c>
      <c r="C408">
        <v>696.00000000000011</v>
      </c>
      <c r="D408" s="1">
        <v>46057.333333333336</v>
      </c>
      <c r="E408">
        <v>962.05335892203243</v>
      </c>
      <c r="F408">
        <v>492.20736282757957</v>
      </c>
      <c r="G408">
        <v>1813.1403798309982</v>
      </c>
      <c r="H408" s="1">
        <v>46053.333333333336</v>
      </c>
    </row>
    <row r="409" spans="1:8" x14ac:dyDescent="0.25">
      <c r="A409" s="7">
        <f>DATE(YEAR(m6_crossvalid[[#This Row],[cutoff]]),MONTH(m6_crossvalid[[#This Row],[cutoff]]),DAY(m6_crossvalid[[#This Row],[cutoff]]))</f>
        <v>46053</v>
      </c>
      <c r="B409" s="7">
        <f>DATE(YEAR(m6_crossvalid[[#This Row],[ds]]),MONTH(m6_crossvalid[[#This Row],[ds]]),DAY(m6_crossvalid[[#This Row],[ds]]))</f>
        <v>46058</v>
      </c>
      <c r="C409">
        <v>1038</v>
      </c>
      <c r="D409" s="1">
        <v>46058.333333333336</v>
      </c>
      <c r="E409">
        <v>1075.0232864562718</v>
      </c>
      <c r="F409">
        <v>541.74704550643867</v>
      </c>
      <c r="G409">
        <v>2099.9944946448059</v>
      </c>
      <c r="H409" s="1">
        <v>46053.333333333336</v>
      </c>
    </row>
    <row r="410" spans="1:8" x14ac:dyDescent="0.25">
      <c r="A410" s="7">
        <f>DATE(YEAR(m6_crossvalid[[#This Row],[cutoff]]),MONTH(m6_crossvalid[[#This Row],[cutoff]]),DAY(m6_crossvalid[[#This Row],[cutoff]]))</f>
        <v>46053</v>
      </c>
      <c r="B410" s="7">
        <f>DATE(YEAR(m6_crossvalid[[#This Row],[ds]]),MONTH(m6_crossvalid[[#This Row],[ds]]),DAY(m6_crossvalid[[#This Row],[ds]]))</f>
        <v>46059</v>
      </c>
      <c r="C410">
        <v>1414.0000000000002</v>
      </c>
      <c r="D410" s="1">
        <v>46059.333333333336</v>
      </c>
      <c r="E410">
        <v>1026.5627710868418</v>
      </c>
      <c r="F410">
        <v>492.90682469531151</v>
      </c>
      <c r="G410">
        <v>2062.3105930605561</v>
      </c>
      <c r="H410" s="1">
        <v>46053.333333333336</v>
      </c>
    </row>
    <row r="411" spans="1:8" x14ac:dyDescent="0.25">
      <c r="A411" s="7">
        <f>DATE(YEAR(m6_crossvalid[[#This Row],[cutoff]]),MONTH(m6_crossvalid[[#This Row],[cutoff]]),DAY(m6_crossvalid[[#This Row],[cutoff]]))</f>
        <v>46053</v>
      </c>
      <c r="B411" s="7">
        <f>DATE(YEAR(m6_crossvalid[[#This Row],[ds]]),MONTH(m6_crossvalid[[#This Row],[ds]]),DAY(m6_crossvalid[[#This Row],[ds]]))</f>
        <v>46060</v>
      </c>
      <c r="C411">
        <v>286.00000000000006</v>
      </c>
      <c r="D411" s="1">
        <v>46060.333333333336</v>
      </c>
      <c r="E411">
        <v>163.29827699770246</v>
      </c>
      <c r="F411">
        <v>85.212626353282403</v>
      </c>
      <c r="G411">
        <v>344.21045602266219</v>
      </c>
      <c r="H411" s="1">
        <v>46053.333333333336</v>
      </c>
    </row>
    <row r="412" spans="1:8" x14ac:dyDescent="0.25">
      <c r="A412" s="7">
        <f>DATE(YEAR(m6_crossvalid[[#This Row],[cutoff]]),MONTH(m6_crossvalid[[#This Row],[cutoff]]),DAY(m6_crossvalid[[#This Row],[cutoff]]))</f>
        <v>46053</v>
      </c>
      <c r="B412" s="7">
        <f>DATE(YEAR(m6_crossvalid[[#This Row],[ds]]),MONTH(m6_crossvalid[[#This Row],[ds]]),DAY(m6_crossvalid[[#This Row],[ds]]))</f>
        <v>46061</v>
      </c>
      <c r="C412">
        <v>82.000000000000028</v>
      </c>
      <c r="D412" s="1">
        <v>46061.333333333336</v>
      </c>
      <c r="E412">
        <v>100.30505876906331</v>
      </c>
      <c r="F412">
        <v>49.672890495497917</v>
      </c>
      <c r="G412">
        <v>208.94968097792173</v>
      </c>
      <c r="H412" s="1">
        <v>46053.333333333336</v>
      </c>
    </row>
    <row r="413" spans="1:8" x14ac:dyDescent="0.25">
      <c r="A413" s="7">
        <f>DATE(YEAR(m6_crossvalid[[#This Row],[cutoff]]),MONTH(m6_crossvalid[[#This Row],[cutoff]]),DAY(m6_crossvalid[[#This Row],[cutoff]]))</f>
        <v>46053</v>
      </c>
      <c r="B413" s="7">
        <f>DATE(YEAR(m6_crossvalid[[#This Row],[ds]]),MONTH(m6_crossvalid[[#This Row],[ds]]),DAY(m6_crossvalid[[#This Row],[ds]]))</f>
        <v>46062</v>
      </c>
      <c r="C413">
        <v>1901.9999999999993</v>
      </c>
      <c r="D413" s="1">
        <v>46062.333333333336</v>
      </c>
      <c r="E413">
        <v>1211.4988595065893</v>
      </c>
      <c r="F413">
        <v>620.62103147241021</v>
      </c>
      <c r="G413">
        <v>2268.2074240157767</v>
      </c>
      <c r="H413" s="1">
        <v>46053.333333333336</v>
      </c>
    </row>
    <row r="414" spans="1:8" x14ac:dyDescent="0.25">
      <c r="A414" s="7">
        <f>DATE(YEAR(m6_crossvalid[[#This Row],[cutoff]]),MONTH(m6_crossvalid[[#This Row],[cutoff]]),DAY(m6_crossvalid[[#This Row],[cutoff]]))</f>
        <v>46053</v>
      </c>
      <c r="B414" s="7">
        <f>DATE(YEAR(m6_crossvalid[[#This Row],[ds]]),MONTH(m6_crossvalid[[#This Row],[ds]]),DAY(m6_crossvalid[[#This Row],[ds]]))</f>
        <v>46063</v>
      </c>
      <c r="C414">
        <v>2288.0000000000005</v>
      </c>
      <c r="D414" s="1">
        <v>46063.333333333336</v>
      </c>
      <c r="E414">
        <v>1519.7884730513672</v>
      </c>
      <c r="F414">
        <v>767.6895923717849</v>
      </c>
      <c r="G414">
        <v>2983.1340058126893</v>
      </c>
      <c r="H414" s="1">
        <v>46053.333333333336</v>
      </c>
    </row>
    <row r="415" spans="1:8" x14ac:dyDescent="0.25">
      <c r="A415" s="7">
        <f>DATE(YEAR(m6_crossvalid[[#This Row],[cutoff]]),MONTH(m6_crossvalid[[#This Row],[cutoff]]),DAY(m6_crossvalid[[#This Row],[cutoff]]))</f>
        <v>46053</v>
      </c>
      <c r="B415" s="7">
        <f>DATE(YEAR(m6_crossvalid[[#This Row],[ds]]),MONTH(m6_crossvalid[[#This Row],[ds]]),DAY(m6_crossvalid[[#This Row],[ds]]))</f>
        <v>46064</v>
      </c>
      <c r="C415">
        <v>2663.0000000000009</v>
      </c>
      <c r="D415" s="1">
        <v>46064.333333333336</v>
      </c>
      <c r="E415">
        <v>1716.2072758146087</v>
      </c>
      <c r="F415">
        <v>908.69461530794888</v>
      </c>
      <c r="G415">
        <v>3200.261836297786</v>
      </c>
      <c r="H415" s="1">
        <v>46053.333333333336</v>
      </c>
    </row>
    <row r="416" spans="1:8" x14ac:dyDescent="0.25">
      <c r="A416" s="7">
        <f>DATE(YEAR(m6_crossvalid[[#This Row],[cutoff]]),MONTH(m6_crossvalid[[#This Row],[cutoff]]),DAY(m6_crossvalid[[#This Row],[cutoff]]))</f>
        <v>46053</v>
      </c>
      <c r="B416" s="7">
        <f>DATE(YEAR(m6_crossvalid[[#This Row],[ds]]),MONTH(m6_crossvalid[[#This Row],[ds]]),DAY(m6_crossvalid[[#This Row],[ds]]))</f>
        <v>46065</v>
      </c>
      <c r="C416">
        <v>3107.9999999999995</v>
      </c>
      <c r="D416" s="1">
        <v>46065.333333333336</v>
      </c>
      <c r="E416">
        <v>1962.0523708115998</v>
      </c>
      <c r="F416">
        <v>994.4361800668355</v>
      </c>
      <c r="G416">
        <v>3757.5958201586031</v>
      </c>
      <c r="H416" s="1">
        <v>46053.333333333336</v>
      </c>
    </row>
    <row r="417" spans="1:8" x14ac:dyDescent="0.25">
      <c r="A417" s="7">
        <f>DATE(YEAR(m6_crossvalid[[#This Row],[cutoff]]),MONTH(m6_crossvalid[[#This Row],[cutoff]]),DAY(m6_crossvalid[[#This Row],[cutoff]]))</f>
        <v>46053</v>
      </c>
      <c r="B417" s="7">
        <f>DATE(YEAR(m6_crossvalid[[#This Row],[ds]]),MONTH(m6_crossvalid[[#This Row],[ds]]),DAY(m6_crossvalid[[#This Row],[ds]]))</f>
        <v>46066</v>
      </c>
      <c r="C417">
        <v>3171.9999999999977</v>
      </c>
      <c r="D417" s="1">
        <v>46066.333333333336</v>
      </c>
      <c r="E417">
        <v>1938.0002316488158</v>
      </c>
      <c r="F417">
        <v>960.37104314490409</v>
      </c>
      <c r="G417">
        <v>3941.3322325837362</v>
      </c>
      <c r="H417" s="1">
        <v>46053.333333333336</v>
      </c>
    </row>
    <row r="418" spans="1:8" x14ac:dyDescent="0.25">
      <c r="A418" s="7">
        <f>DATE(YEAR(m6_crossvalid[[#This Row],[cutoff]]),MONTH(m6_crossvalid[[#This Row],[cutoff]]),DAY(m6_crossvalid[[#This Row],[cutoff]]))</f>
        <v>46053</v>
      </c>
      <c r="B418" s="7">
        <f>DATE(YEAR(m6_crossvalid[[#This Row],[ds]]),MONTH(m6_crossvalid[[#This Row],[ds]]),DAY(m6_crossvalid[[#This Row],[ds]]))</f>
        <v>46067</v>
      </c>
      <c r="C418">
        <v>912.99999999999966</v>
      </c>
      <c r="D418" s="1">
        <v>46067.333333333336</v>
      </c>
      <c r="E418">
        <v>331.96247970391988</v>
      </c>
      <c r="F418">
        <v>174.35682056383735</v>
      </c>
      <c r="G418">
        <v>679.83890239893651</v>
      </c>
      <c r="H418" s="1">
        <v>46053.333333333336</v>
      </c>
    </row>
    <row r="419" spans="1:8" x14ac:dyDescent="0.25">
      <c r="A419" s="7">
        <f>DATE(YEAR(m6_crossvalid[[#This Row],[cutoff]]),MONTH(m6_crossvalid[[#This Row],[cutoff]]),DAY(m6_crossvalid[[#This Row],[cutoff]]))</f>
        <v>46053</v>
      </c>
      <c r="B419" s="7">
        <f>DATE(YEAR(m6_crossvalid[[#This Row],[ds]]),MONTH(m6_crossvalid[[#This Row],[ds]]),DAY(m6_crossvalid[[#This Row],[ds]]))</f>
        <v>46068</v>
      </c>
      <c r="C419">
        <v>207.99999999999997</v>
      </c>
      <c r="D419" s="1">
        <v>46068.333333333336</v>
      </c>
      <c r="E419">
        <v>118.22909686858709</v>
      </c>
      <c r="F419">
        <v>60.985755064861443</v>
      </c>
      <c r="G419">
        <v>229.83150316691095</v>
      </c>
      <c r="H419" s="1">
        <v>46053.333333333336</v>
      </c>
    </row>
    <row r="420" spans="1:8" x14ac:dyDescent="0.25">
      <c r="A420" s="7">
        <f>DATE(YEAR(m6_crossvalid[[#This Row],[cutoff]]),MONTH(m6_crossvalid[[#This Row],[cutoff]]),DAY(m6_crossvalid[[#This Row],[cutoff]]))</f>
        <v>46053</v>
      </c>
      <c r="B420" s="7">
        <f>DATE(YEAR(m6_crossvalid[[#This Row],[ds]]),MONTH(m6_crossvalid[[#This Row],[ds]]),DAY(m6_crossvalid[[#This Row],[ds]]))</f>
        <v>46069</v>
      </c>
      <c r="C420">
        <v>1728.0000000000007</v>
      </c>
      <c r="D420" s="1">
        <v>46069.333333333336</v>
      </c>
      <c r="E420">
        <v>1555.7541815499378</v>
      </c>
      <c r="F420">
        <v>797.53888583742662</v>
      </c>
      <c r="G420">
        <v>3069.1324547897652</v>
      </c>
      <c r="H420" s="1">
        <v>46053.333333333336</v>
      </c>
    </row>
    <row r="421" spans="1:8" x14ac:dyDescent="0.25">
      <c r="A421" s="7">
        <f>DATE(YEAR(m6_crossvalid[[#This Row],[cutoff]]),MONTH(m6_crossvalid[[#This Row],[cutoff]]),DAY(m6_crossvalid[[#This Row],[cutoff]]))</f>
        <v>46053</v>
      </c>
      <c r="B421" s="7">
        <f>DATE(YEAR(m6_crossvalid[[#This Row],[ds]]),MONTH(m6_crossvalid[[#This Row],[ds]]),DAY(m6_crossvalid[[#This Row],[ds]]))</f>
        <v>46070</v>
      </c>
      <c r="C421">
        <v>26.999999999999996</v>
      </c>
      <c r="D421" s="1">
        <v>46070.333333333336</v>
      </c>
      <c r="E421">
        <v>36.620831705086587</v>
      </c>
      <c r="F421">
        <v>17.756259646262851</v>
      </c>
      <c r="G421">
        <v>71.848378892267831</v>
      </c>
      <c r="H421" s="1">
        <v>46053.333333333336</v>
      </c>
    </row>
    <row r="422" spans="1:8" x14ac:dyDescent="0.25">
      <c r="A422" s="7">
        <f>DATE(YEAR(m6_crossvalid[[#This Row],[cutoff]]),MONTH(m6_crossvalid[[#This Row],[cutoff]]),DAY(m6_crossvalid[[#This Row],[cutoff]]))</f>
        <v>46053</v>
      </c>
      <c r="B422" s="7">
        <f>DATE(YEAR(m6_crossvalid[[#This Row],[ds]]),MONTH(m6_crossvalid[[#This Row],[ds]]),DAY(m6_crossvalid[[#This Row],[ds]]))</f>
        <v>46071</v>
      </c>
      <c r="C422">
        <v>21.000000000000004</v>
      </c>
      <c r="D422" s="1">
        <v>46071.333333333336</v>
      </c>
      <c r="E422">
        <v>41.784102087844872</v>
      </c>
      <c r="F422">
        <v>20.646020354923657</v>
      </c>
      <c r="G422">
        <v>85.96515658148698</v>
      </c>
      <c r="H422" s="1">
        <v>46053.333333333336</v>
      </c>
    </row>
    <row r="423" spans="1:8" x14ac:dyDescent="0.25">
      <c r="A423" s="7">
        <f>DATE(YEAR(m6_crossvalid[[#This Row],[cutoff]]),MONTH(m6_crossvalid[[#This Row],[cutoff]]),DAY(m6_crossvalid[[#This Row],[cutoff]]))</f>
        <v>46053</v>
      </c>
      <c r="B423" s="7">
        <f>DATE(YEAR(m6_crossvalid[[#This Row],[ds]]),MONTH(m6_crossvalid[[#This Row],[ds]]),DAY(m6_crossvalid[[#This Row],[ds]]))</f>
        <v>46072</v>
      </c>
      <c r="C423">
        <v>999.99999999999989</v>
      </c>
      <c r="D423" s="1">
        <v>46072.333333333336</v>
      </c>
      <c r="E423">
        <v>2652.2029321789983</v>
      </c>
      <c r="F423">
        <v>1354.0242793409095</v>
      </c>
      <c r="G423">
        <v>5202.2207271442421</v>
      </c>
      <c r="H423" s="1">
        <v>46053.333333333336</v>
      </c>
    </row>
    <row r="424" spans="1:8" x14ac:dyDescent="0.25">
      <c r="A424" s="7">
        <f>DATE(YEAR(m6_crossvalid[[#This Row],[cutoff]]),MONTH(m6_crossvalid[[#This Row],[cutoff]]),DAY(m6_crossvalid[[#This Row],[cutoff]]))</f>
        <v>46053</v>
      </c>
      <c r="B424" s="7">
        <f>DATE(YEAR(m6_crossvalid[[#This Row],[ds]]),MONTH(m6_crossvalid[[#This Row],[ds]]),DAY(m6_crossvalid[[#This Row],[ds]]))</f>
        <v>46073</v>
      </c>
      <c r="C424">
        <v>1554.9999999999995</v>
      </c>
      <c r="D424" s="1">
        <v>46073.333333333336</v>
      </c>
      <c r="E424">
        <v>2661.1832347626569</v>
      </c>
      <c r="F424">
        <v>1398.5792343194037</v>
      </c>
      <c r="G424">
        <v>5092.9171011618</v>
      </c>
      <c r="H424" s="1">
        <v>46053.333333333336</v>
      </c>
    </row>
    <row r="425" spans="1:8" x14ac:dyDescent="0.25">
      <c r="A425" s="7">
        <f>DATE(YEAR(m6_crossvalid[[#This Row],[cutoff]]),MONTH(m6_crossvalid[[#This Row],[cutoff]]),DAY(m6_crossvalid[[#This Row],[cutoff]]))</f>
        <v>46053</v>
      </c>
      <c r="B425" s="7">
        <f>DATE(YEAR(m6_crossvalid[[#This Row],[ds]]),MONTH(m6_crossvalid[[#This Row],[ds]]),DAY(m6_crossvalid[[#This Row],[ds]]))</f>
        <v>46074</v>
      </c>
      <c r="C425">
        <v>491.99999999999989</v>
      </c>
      <c r="D425" s="1">
        <v>46074.333333333336</v>
      </c>
      <c r="E425">
        <v>469.02962773218195</v>
      </c>
      <c r="F425">
        <v>239.57924974255627</v>
      </c>
      <c r="G425">
        <v>920.83737616905887</v>
      </c>
      <c r="H425" s="1">
        <v>46053.333333333336</v>
      </c>
    </row>
    <row r="426" spans="1:8" x14ac:dyDescent="0.25">
      <c r="A426" s="7">
        <f>DATE(YEAR(m6_crossvalid[[#This Row],[cutoff]]),MONTH(m6_crossvalid[[#This Row],[cutoff]]),DAY(m6_crossvalid[[#This Row],[cutoff]]))</f>
        <v>46053</v>
      </c>
      <c r="B426" s="7">
        <f>DATE(YEAR(m6_crossvalid[[#This Row],[ds]]),MONTH(m6_crossvalid[[#This Row],[ds]]),DAY(m6_crossvalid[[#This Row],[ds]]))</f>
        <v>46075</v>
      </c>
      <c r="C426">
        <v>158.99999999999994</v>
      </c>
      <c r="D426" s="1">
        <v>46075.333333333336</v>
      </c>
      <c r="E426">
        <v>303.35057235509203</v>
      </c>
      <c r="F426">
        <v>157.22978995925388</v>
      </c>
      <c r="G426">
        <v>575.92319593947502</v>
      </c>
      <c r="H426" s="1">
        <v>46053.333333333336</v>
      </c>
    </row>
    <row r="427" spans="1:8" x14ac:dyDescent="0.25">
      <c r="A427" s="7">
        <f>DATE(YEAR(m6_crossvalid[[#This Row],[cutoff]]),MONTH(m6_crossvalid[[#This Row],[cutoff]]),DAY(m6_crossvalid[[#This Row],[cutoff]]))</f>
        <v>46053</v>
      </c>
      <c r="B427" s="7">
        <f>DATE(YEAR(m6_crossvalid[[#This Row],[ds]]),MONTH(m6_crossvalid[[#This Row],[ds]]),DAY(m6_crossvalid[[#This Row],[ds]]))</f>
        <v>46076</v>
      </c>
      <c r="C427">
        <v>2313.0000000000009</v>
      </c>
      <c r="D427" s="1">
        <v>46076.333333333336</v>
      </c>
      <c r="E427">
        <v>3807.7725835549932</v>
      </c>
      <c r="F427">
        <v>1934.6947414529634</v>
      </c>
      <c r="G427">
        <v>7439.4679478289745</v>
      </c>
      <c r="H427" s="1">
        <v>46053.333333333336</v>
      </c>
    </row>
    <row r="428" spans="1:8" x14ac:dyDescent="0.25">
      <c r="A428" s="7">
        <f>DATE(YEAR(m6_crossvalid[[#This Row],[cutoff]]),MONTH(m6_crossvalid[[#This Row],[cutoff]]),DAY(m6_crossvalid[[#This Row],[cutoff]]))</f>
        <v>46053</v>
      </c>
      <c r="B428" s="7">
        <f>DATE(YEAR(m6_crossvalid[[#This Row],[ds]]),MONTH(m6_crossvalid[[#This Row],[ds]]),DAY(m6_crossvalid[[#This Row],[ds]]))</f>
        <v>46077</v>
      </c>
      <c r="C428">
        <v>3081.0000000000018</v>
      </c>
      <c r="D428" s="1">
        <v>46077.333333333336</v>
      </c>
      <c r="E428">
        <v>4600.3012949009699</v>
      </c>
      <c r="F428">
        <v>2353.3432821197389</v>
      </c>
      <c r="G428">
        <v>8809.7249090604819</v>
      </c>
      <c r="H428" s="1">
        <v>46053.333333333336</v>
      </c>
    </row>
    <row r="429" spans="1:8" x14ac:dyDescent="0.25">
      <c r="A429" s="7">
        <f>DATE(YEAR(m6_crossvalid[[#This Row],[cutoff]]),MONTH(m6_crossvalid[[#This Row],[cutoff]]),DAY(m6_crossvalid[[#This Row],[cutoff]]))</f>
        <v>46053</v>
      </c>
      <c r="B429" s="7">
        <f>DATE(YEAR(m6_crossvalid[[#This Row],[ds]]),MONTH(m6_crossvalid[[#This Row],[ds]]),DAY(m6_crossvalid[[#This Row],[ds]]))</f>
        <v>46078</v>
      </c>
      <c r="C429">
        <v>4066.0000000000027</v>
      </c>
      <c r="D429" s="1">
        <v>46078.333333333336</v>
      </c>
      <c r="E429">
        <v>4836.9523931894719</v>
      </c>
      <c r="F429">
        <v>2504.9330950203571</v>
      </c>
      <c r="G429">
        <v>9509.897411622107</v>
      </c>
      <c r="H429" s="1">
        <v>46053.333333333336</v>
      </c>
    </row>
    <row r="430" spans="1:8" x14ac:dyDescent="0.25">
      <c r="A430" s="7">
        <f>DATE(YEAR(m6_crossvalid[[#This Row],[cutoff]]),MONTH(m6_crossvalid[[#This Row],[cutoff]]),DAY(m6_crossvalid[[#This Row],[cutoff]]))</f>
        <v>46053</v>
      </c>
      <c r="B430" s="7">
        <f>DATE(YEAR(m6_crossvalid[[#This Row],[ds]]),MONTH(m6_crossvalid[[#This Row],[ds]]),DAY(m6_crossvalid[[#This Row],[ds]]))</f>
        <v>46079</v>
      </c>
      <c r="C430">
        <v>5568.9999999999973</v>
      </c>
      <c r="D430" s="1">
        <v>46079.333333333336</v>
      </c>
      <c r="E430">
        <v>5385.1392903308442</v>
      </c>
      <c r="F430">
        <v>2817.3123534727106</v>
      </c>
      <c r="G430">
        <v>10318.962465578879</v>
      </c>
      <c r="H430" s="1">
        <v>46053.333333333336</v>
      </c>
    </row>
    <row r="431" spans="1:8" x14ac:dyDescent="0.25">
      <c r="A431" s="7">
        <f>DATE(YEAR(m6_crossvalid[[#This Row],[cutoff]]),MONTH(m6_crossvalid[[#This Row],[cutoff]]),DAY(m6_crossvalid[[#This Row],[cutoff]]))</f>
        <v>46053</v>
      </c>
      <c r="B431" s="7">
        <f>DATE(YEAR(m6_crossvalid[[#This Row],[ds]]),MONTH(m6_crossvalid[[#This Row],[ds]]),DAY(m6_crossvalid[[#This Row],[ds]]))</f>
        <v>46080</v>
      </c>
      <c r="C431">
        <v>8803.0000000000018</v>
      </c>
      <c r="D431" s="1">
        <v>46080.333333333336</v>
      </c>
      <c r="E431">
        <v>10564.160509478999</v>
      </c>
      <c r="F431">
        <v>5475.2076966392378</v>
      </c>
      <c r="G431">
        <v>22081.708662742894</v>
      </c>
      <c r="H431" s="1">
        <v>46053.333333333336</v>
      </c>
    </row>
    <row r="432" spans="1:8" x14ac:dyDescent="0.25">
      <c r="A432" s="7">
        <f>DATE(YEAR(m6_crossvalid[[#This Row],[cutoff]]),MONTH(m6_crossvalid[[#This Row],[cutoff]]),DAY(m6_crossvalid[[#This Row],[cutoff]]))</f>
        <v>46053</v>
      </c>
      <c r="B432" s="7">
        <f>DATE(YEAR(m6_crossvalid[[#This Row],[ds]]),MONTH(m6_crossvalid[[#This Row],[ds]]),DAY(m6_crossvalid[[#This Row],[ds]]))</f>
        <v>46081</v>
      </c>
      <c r="C432">
        <v>9424.9999999999964</v>
      </c>
      <c r="D432" s="1">
        <v>46081.333333333336</v>
      </c>
      <c r="E432">
        <v>3413.779913442816</v>
      </c>
      <c r="F432">
        <v>1732.5436274262775</v>
      </c>
      <c r="G432">
        <v>6332.6693652340819</v>
      </c>
      <c r="H432" s="1">
        <v>46053.333333333336</v>
      </c>
    </row>
    <row r="433" spans="1:8" x14ac:dyDescent="0.25">
      <c r="A433" s="7">
        <f>DATE(YEAR(m6_crossvalid[[#This Row],[cutoff]]),MONTH(m6_crossvalid[[#This Row],[cutoff]]),DAY(m6_crossvalid[[#This Row],[cutoff]]))</f>
        <v>46053</v>
      </c>
      <c r="B433" s="7">
        <f>DATE(YEAR(m6_crossvalid[[#This Row],[ds]]),MONTH(m6_crossvalid[[#This Row],[ds]]),DAY(m6_crossvalid[[#This Row],[ds]]))</f>
        <v>46082</v>
      </c>
      <c r="C433">
        <v>40.000000000000007</v>
      </c>
      <c r="D433" s="1">
        <v>46082.333333333336</v>
      </c>
      <c r="E433">
        <v>90.91693684561632</v>
      </c>
      <c r="F433">
        <v>44.68595187884835</v>
      </c>
      <c r="G433">
        <v>180.52354123993592</v>
      </c>
      <c r="H433" s="1">
        <v>46053.333333333336</v>
      </c>
    </row>
    <row r="434" spans="1:8" x14ac:dyDescent="0.25">
      <c r="A434" s="7">
        <f>DATE(YEAR(m6_crossvalid[[#This Row],[cutoff]]),MONTH(m6_crossvalid[[#This Row],[cutoff]]),DAY(m6_crossvalid[[#This Row],[cutoff]]))</f>
        <v>46053</v>
      </c>
      <c r="B434" s="7">
        <f>DATE(YEAR(m6_crossvalid[[#This Row],[ds]]),MONTH(m6_crossvalid[[#This Row],[ds]]),DAY(m6_crossvalid[[#This Row],[ds]]))</f>
        <v>46083</v>
      </c>
      <c r="C434">
        <v>616.99999999999977</v>
      </c>
      <c r="D434" s="1">
        <v>46083.333333333336</v>
      </c>
      <c r="E434">
        <v>800.46165116213672</v>
      </c>
      <c r="F434">
        <v>415.20234893265774</v>
      </c>
      <c r="G434">
        <v>1541.0365814244876</v>
      </c>
      <c r="H434" s="1">
        <v>46053.333333333336</v>
      </c>
    </row>
    <row r="435" spans="1:8" x14ac:dyDescent="0.25">
      <c r="A435" s="7">
        <f>DATE(YEAR(m6_crossvalid[[#This Row],[cutoff]]),MONTH(m6_crossvalid[[#This Row],[cutoff]]),DAY(m6_crossvalid[[#This Row],[cutoff]]))</f>
        <v>46053</v>
      </c>
      <c r="B435" s="7">
        <f>DATE(YEAR(m6_crossvalid[[#This Row],[ds]]),MONTH(m6_crossvalid[[#This Row],[ds]]),DAY(m6_crossvalid[[#This Row],[ds]]))</f>
        <v>46084</v>
      </c>
      <c r="C435">
        <v>798.99999999999989</v>
      </c>
      <c r="D435" s="1">
        <v>46084.333333333336</v>
      </c>
      <c r="E435">
        <v>1340.6833053354478</v>
      </c>
      <c r="F435">
        <v>687.5858091342385</v>
      </c>
      <c r="G435">
        <v>2569.9983515133003</v>
      </c>
      <c r="H435" s="1">
        <v>46053.333333333336</v>
      </c>
    </row>
    <row r="436" spans="1:8" x14ac:dyDescent="0.25">
      <c r="A436" s="7">
        <f>DATE(YEAR(m6_crossvalid[[#This Row],[cutoff]]),MONTH(m6_crossvalid[[#This Row],[cutoff]]),DAY(m6_crossvalid[[#This Row],[cutoff]]))</f>
        <v>46081</v>
      </c>
      <c r="B436" s="7">
        <f>DATE(YEAR(m6_crossvalid[[#This Row],[ds]]),MONTH(m6_crossvalid[[#This Row],[ds]]),DAY(m6_crossvalid[[#This Row],[ds]]))</f>
        <v>46082</v>
      </c>
      <c r="C436">
        <v>40.000000000000007</v>
      </c>
      <c r="D436" s="1">
        <v>46082.333333333336</v>
      </c>
      <c r="E436">
        <v>95.056265770682231</v>
      </c>
      <c r="F436">
        <v>47.410228722006593</v>
      </c>
      <c r="G436">
        <v>190.99182028775601</v>
      </c>
      <c r="H436" s="1">
        <v>46081.333333333336</v>
      </c>
    </row>
    <row r="437" spans="1:8" x14ac:dyDescent="0.25">
      <c r="A437" s="7">
        <f>DATE(YEAR(m6_crossvalid[[#This Row],[cutoff]]),MONTH(m6_crossvalid[[#This Row],[cutoff]]),DAY(m6_crossvalid[[#This Row],[cutoff]]))</f>
        <v>46081</v>
      </c>
      <c r="B437" s="7">
        <f>DATE(YEAR(m6_crossvalid[[#This Row],[ds]]),MONTH(m6_crossvalid[[#This Row],[ds]]),DAY(m6_crossvalid[[#This Row],[ds]]))</f>
        <v>46083</v>
      </c>
      <c r="C437">
        <v>616.99999999999977</v>
      </c>
      <c r="D437" s="1">
        <v>46083.333333333336</v>
      </c>
      <c r="E437">
        <v>835.80559857186404</v>
      </c>
      <c r="F437">
        <v>423.43775031124687</v>
      </c>
      <c r="G437">
        <v>1636.4914754110266</v>
      </c>
      <c r="H437" s="1">
        <v>46081.333333333336</v>
      </c>
    </row>
    <row r="438" spans="1:8" x14ac:dyDescent="0.25">
      <c r="A438" s="7">
        <f>DATE(YEAR(m6_crossvalid[[#This Row],[cutoff]]),MONTH(m6_crossvalid[[#This Row],[cutoff]]),DAY(m6_crossvalid[[#This Row],[cutoff]]))</f>
        <v>46081</v>
      </c>
      <c r="B438" s="7">
        <f>DATE(YEAR(m6_crossvalid[[#This Row],[ds]]),MONTH(m6_crossvalid[[#This Row],[ds]]),DAY(m6_crossvalid[[#This Row],[ds]]))</f>
        <v>46084</v>
      </c>
      <c r="C438">
        <v>798.99999999999989</v>
      </c>
      <c r="D438" s="1">
        <v>46084.333333333336</v>
      </c>
      <c r="E438">
        <v>1412.9033552632986</v>
      </c>
      <c r="F438">
        <v>716.45322085851137</v>
      </c>
      <c r="G438">
        <v>2772.0141466672389</v>
      </c>
      <c r="H438" s="1">
        <v>46081.333333333336</v>
      </c>
    </row>
    <row r="439" spans="1:8" x14ac:dyDescent="0.25">
      <c r="A439" s="7">
        <f>DATE(YEAR(m6_crossvalid[[#This Row],[cutoff]]),MONTH(m6_crossvalid[[#This Row],[cutoff]]),DAY(m6_crossvalid[[#This Row],[cutoff]]))</f>
        <v>46081</v>
      </c>
      <c r="B439" s="7">
        <f>DATE(YEAR(m6_crossvalid[[#This Row],[ds]]),MONTH(m6_crossvalid[[#This Row],[ds]]),DAY(m6_crossvalid[[#This Row],[ds]]))</f>
        <v>46085</v>
      </c>
      <c r="C439">
        <v>994.99999999999989</v>
      </c>
      <c r="D439" s="1">
        <v>46085.333333333336</v>
      </c>
      <c r="E439">
        <v>1185.3138848087021</v>
      </c>
      <c r="F439">
        <v>640.70301245835094</v>
      </c>
      <c r="G439">
        <v>2340.9001802606113</v>
      </c>
      <c r="H439" s="1">
        <v>46081.333333333336</v>
      </c>
    </row>
    <row r="440" spans="1:8" x14ac:dyDescent="0.25">
      <c r="A440" s="7">
        <f>DATE(YEAR(m6_crossvalid[[#This Row],[cutoff]]),MONTH(m6_crossvalid[[#This Row],[cutoff]]),DAY(m6_crossvalid[[#This Row],[cutoff]]))</f>
        <v>46081</v>
      </c>
      <c r="B440" s="7">
        <f>DATE(YEAR(m6_crossvalid[[#This Row],[ds]]),MONTH(m6_crossvalid[[#This Row],[ds]]),DAY(m6_crossvalid[[#This Row],[ds]]))</f>
        <v>46086</v>
      </c>
      <c r="C440">
        <v>1314.0000000000005</v>
      </c>
      <c r="D440" s="1">
        <v>46086.333333333336</v>
      </c>
      <c r="E440">
        <v>1081.4588768311535</v>
      </c>
      <c r="F440">
        <v>557.3794362651347</v>
      </c>
      <c r="G440">
        <v>2085.8892234577688</v>
      </c>
      <c r="H440" s="1">
        <v>46081.333333333336</v>
      </c>
    </row>
    <row r="441" spans="1:8" x14ac:dyDescent="0.25">
      <c r="A441" s="7">
        <f>DATE(YEAR(m6_crossvalid[[#This Row],[cutoff]]),MONTH(m6_crossvalid[[#This Row],[cutoff]]),DAY(m6_crossvalid[[#This Row],[cutoff]]))</f>
        <v>46081</v>
      </c>
      <c r="B441" s="7">
        <f>DATE(YEAR(m6_crossvalid[[#This Row],[ds]]),MONTH(m6_crossvalid[[#This Row],[ds]]),DAY(m6_crossvalid[[#This Row],[ds]]))</f>
        <v>46087</v>
      </c>
      <c r="C441">
        <v>1616.9999999999995</v>
      </c>
      <c r="D441" s="1">
        <v>46087.333333333336</v>
      </c>
      <c r="E441">
        <v>989.13840986305001</v>
      </c>
      <c r="F441">
        <v>489.97405145075044</v>
      </c>
      <c r="G441">
        <v>2038.0072850533679</v>
      </c>
      <c r="H441" s="1">
        <v>46081.333333333336</v>
      </c>
    </row>
    <row r="442" spans="1:8" x14ac:dyDescent="0.25">
      <c r="A442" s="7">
        <f>DATE(YEAR(m6_crossvalid[[#This Row],[cutoff]]),MONTH(m6_crossvalid[[#This Row],[cutoff]]),DAY(m6_crossvalid[[#This Row],[cutoff]]))</f>
        <v>46081</v>
      </c>
      <c r="B442" s="7">
        <f>DATE(YEAR(m6_crossvalid[[#This Row],[ds]]),MONTH(m6_crossvalid[[#This Row],[ds]]),DAY(m6_crossvalid[[#This Row],[ds]]))</f>
        <v>46088</v>
      </c>
      <c r="C442">
        <v>219.99999999999991</v>
      </c>
      <c r="D442" s="1">
        <v>46088.333333333336</v>
      </c>
      <c r="E442">
        <v>19.494936553242667</v>
      </c>
      <c r="F442">
        <v>9.6053840248857245</v>
      </c>
      <c r="G442">
        <v>39.178009223671502</v>
      </c>
      <c r="H442" s="1">
        <v>46081.333333333336</v>
      </c>
    </row>
    <row r="443" spans="1:8" x14ac:dyDescent="0.25">
      <c r="A443" s="7">
        <f>DATE(YEAR(m6_crossvalid[[#This Row],[cutoff]]),MONTH(m6_crossvalid[[#This Row],[cutoff]]),DAY(m6_crossvalid[[#This Row],[cutoff]]))</f>
        <v>46081</v>
      </c>
      <c r="B443" s="7">
        <f>DATE(YEAR(m6_crossvalid[[#This Row],[ds]]),MONTH(m6_crossvalid[[#This Row],[ds]]),DAY(m6_crossvalid[[#This Row],[ds]]))</f>
        <v>46089</v>
      </c>
      <c r="C443">
        <v>42.999999999999993</v>
      </c>
      <c r="D443" s="1">
        <v>46089.333333333336</v>
      </c>
      <c r="E443">
        <v>127.88147935565596</v>
      </c>
      <c r="F443">
        <v>65.561498330222079</v>
      </c>
      <c r="G443">
        <v>241.9850008642461</v>
      </c>
      <c r="H443" s="1">
        <v>46081.333333333336</v>
      </c>
    </row>
    <row r="444" spans="1:8" x14ac:dyDescent="0.25">
      <c r="A444" s="7">
        <f>DATE(YEAR(m6_crossvalid[[#This Row],[cutoff]]),MONTH(m6_crossvalid[[#This Row],[cutoff]]),DAY(m6_crossvalid[[#This Row],[cutoff]]))</f>
        <v>46081</v>
      </c>
      <c r="B444" s="7">
        <f>DATE(YEAR(m6_crossvalid[[#This Row],[ds]]),MONTH(m6_crossvalid[[#This Row],[ds]]),DAY(m6_crossvalid[[#This Row],[ds]]))</f>
        <v>46090</v>
      </c>
      <c r="C444">
        <v>1766.0000000000002</v>
      </c>
      <c r="D444" s="1">
        <v>46090.333333333336</v>
      </c>
      <c r="E444">
        <v>1698.1180210824675</v>
      </c>
      <c r="F444">
        <v>863.68768834254297</v>
      </c>
      <c r="G444">
        <v>3359.732070231069</v>
      </c>
      <c r="H444" s="1">
        <v>46081.333333333336</v>
      </c>
    </row>
    <row r="445" spans="1:8" x14ac:dyDescent="0.25">
      <c r="A445" s="7">
        <f>DATE(YEAR(m6_crossvalid[[#This Row],[cutoff]]),MONTH(m6_crossvalid[[#This Row],[cutoff]]),DAY(m6_crossvalid[[#This Row],[cutoff]]))</f>
        <v>46081</v>
      </c>
      <c r="B445" s="7">
        <f>DATE(YEAR(m6_crossvalid[[#This Row],[ds]]),MONTH(m6_crossvalid[[#This Row],[ds]]),DAY(m6_crossvalid[[#This Row],[ds]]))</f>
        <v>46091</v>
      </c>
      <c r="C445">
        <v>2169.9999999999995</v>
      </c>
      <c r="D445" s="1">
        <v>46091.333333333336</v>
      </c>
      <c r="E445">
        <v>2106.6849352677082</v>
      </c>
      <c r="F445">
        <v>1076.288666045182</v>
      </c>
      <c r="G445">
        <v>4173.8929701789357</v>
      </c>
      <c r="H445" s="1">
        <v>46081.333333333336</v>
      </c>
    </row>
    <row r="446" spans="1:8" x14ac:dyDescent="0.25">
      <c r="A446" s="7">
        <f>DATE(YEAR(m6_crossvalid[[#This Row],[cutoff]]),MONTH(m6_crossvalid[[#This Row],[cutoff]]),DAY(m6_crossvalid[[#This Row],[cutoff]]))</f>
        <v>46081</v>
      </c>
      <c r="B446" s="7">
        <f>DATE(YEAR(m6_crossvalid[[#This Row],[ds]]),MONTH(m6_crossvalid[[#This Row],[ds]]),DAY(m6_crossvalid[[#This Row],[ds]]))</f>
        <v>46092</v>
      </c>
      <c r="C446">
        <v>2907</v>
      </c>
      <c r="D446" s="1">
        <v>46092.333333333336</v>
      </c>
      <c r="E446">
        <v>2153.6576744590861</v>
      </c>
      <c r="F446">
        <v>1084.2262194187849</v>
      </c>
      <c r="G446">
        <v>4164.0421113118155</v>
      </c>
      <c r="H446" s="1">
        <v>46081.333333333336</v>
      </c>
    </row>
    <row r="447" spans="1:8" x14ac:dyDescent="0.25">
      <c r="A447" s="7">
        <f>DATE(YEAR(m6_crossvalid[[#This Row],[cutoff]]),MONTH(m6_crossvalid[[#This Row],[cutoff]]),DAY(m6_crossvalid[[#This Row],[cutoff]]))</f>
        <v>46081</v>
      </c>
      <c r="B447" s="7">
        <f>DATE(YEAR(m6_crossvalid[[#This Row],[ds]]),MONTH(m6_crossvalid[[#This Row],[ds]]),DAY(m6_crossvalid[[#This Row],[ds]]))</f>
        <v>46093</v>
      </c>
      <c r="C447">
        <v>3019.9999999999995</v>
      </c>
      <c r="D447" s="1">
        <v>46093.333333333336</v>
      </c>
      <c r="E447">
        <v>2295.9459278666118</v>
      </c>
      <c r="F447">
        <v>1221.3751091381996</v>
      </c>
      <c r="G447">
        <v>4397.2417996093764</v>
      </c>
      <c r="H447" s="1">
        <v>46081.333333333336</v>
      </c>
    </row>
    <row r="448" spans="1:8" x14ac:dyDescent="0.25">
      <c r="A448" s="7">
        <f>DATE(YEAR(m6_crossvalid[[#This Row],[cutoff]]),MONTH(m6_crossvalid[[#This Row],[cutoff]]),DAY(m6_crossvalid[[#This Row],[cutoff]]))</f>
        <v>46081</v>
      </c>
      <c r="B448" s="7">
        <f>DATE(YEAR(m6_crossvalid[[#This Row],[ds]]),MONTH(m6_crossvalid[[#This Row],[ds]]),DAY(m6_crossvalid[[#This Row],[ds]]))</f>
        <v>46094</v>
      </c>
      <c r="C448">
        <v>3550.9999999999977</v>
      </c>
      <c r="D448" s="1">
        <v>46094.333333333336</v>
      </c>
      <c r="E448">
        <v>2295.3672934492311</v>
      </c>
      <c r="F448">
        <v>1092.6255595650118</v>
      </c>
      <c r="G448">
        <v>4777.4992207418645</v>
      </c>
      <c r="H448" s="1">
        <v>46081.333333333336</v>
      </c>
    </row>
    <row r="449" spans="1:8" x14ac:dyDescent="0.25">
      <c r="A449" s="7">
        <f>DATE(YEAR(m6_crossvalid[[#This Row],[cutoff]]),MONTH(m6_crossvalid[[#This Row],[cutoff]]),DAY(m6_crossvalid[[#This Row],[cutoff]]))</f>
        <v>46081</v>
      </c>
      <c r="B449" s="7">
        <f>DATE(YEAR(m6_crossvalid[[#This Row],[ds]]),MONTH(m6_crossvalid[[#This Row],[ds]]),DAY(m6_crossvalid[[#This Row],[ds]]))</f>
        <v>46095</v>
      </c>
      <c r="C449">
        <v>1088</v>
      </c>
      <c r="D449" s="1">
        <v>46095.333333333336</v>
      </c>
      <c r="E449">
        <v>428.70032565678991</v>
      </c>
      <c r="F449">
        <v>218.45991663132605</v>
      </c>
      <c r="G449">
        <v>864.69131285129902</v>
      </c>
      <c r="H449" s="1">
        <v>46081.333333333336</v>
      </c>
    </row>
    <row r="450" spans="1:8" x14ac:dyDescent="0.25">
      <c r="A450" s="7">
        <f>DATE(YEAR(m6_crossvalid[[#This Row],[cutoff]]),MONTH(m6_crossvalid[[#This Row],[cutoff]]),DAY(m6_crossvalid[[#This Row],[cutoff]]))</f>
        <v>46081</v>
      </c>
      <c r="B450" s="7">
        <f>DATE(YEAR(m6_crossvalid[[#This Row],[ds]]),MONTH(m6_crossvalid[[#This Row],[ds]]),DAY(m6_crossvalid[[#This Row],[ds]]))</f>
        <v>46096</v>
      </c>
      <c r="C450">
        <v>228.00000000000006</v>
      </c>
      <c r="D450" s="1">
        <v>46096.333333333336</v>
      </c>
      <c r="E450">
        <v>164.78367708630097</v>
      </c>
      <c r="F450">
        <v>85.008639237458311</v>
      </c>
      <c r="G450">
        <v>325.77081937526771</v>
      </c>
      <c r="H450" s="1">
        <v>46081.333333333336</v>
      </c>
    </row>
    <row r="451" spans="1:8" x14ac:dyDescent="0.25">
      <c r="A451" s="7">
        <f>DATE(YEAR(m6_crossvalid[[#This Row],[cutoff]]),MONTH(m6_crossvalid[[#This Row],[cutoff]]),DAY(m6_crossvalid[[#This Row],[cutoff]]))</f>
        <v>46081</v>
      </c>
      <c r="B451" s="7">
        <f>DATE(YEAR(m6_crossvalid[[#This Row],[ds]]),MONTH(m6_crossvalid[[#This Row],[ds]]),DAY(m6_crossvalid[[#This Row],[ds]]))</f>
        <v>46097</v>
      </c>
      <c r="C451">
        <v>3950.0000000000032</v>
      </c>
      <c r="D451" s="1">
        <v>46097.333333333336</v>
      </c>
      <c r="E451">
        <v>2242.3520360596704</v>
      </c>
      <c r="F451">
        <v>1154.1195495165082</v>
      </c>
      <c r="G451">
        <v>4346.0605910574677</v>
      </c>
      <c r="H451" s="1">
        <v>46081.333333333336</v>
      </c>
    </row>
    <row r="452" spans="1:8" x14ac:dyDescent="0.25">
      <c r="A452" s="7">
        <f>DATE(YEAR(m6_crossvalid[[#This Row],[cutoff]]),MONTH(m6_crossvalid[[#This Row],[cutoff]]),DAY(m6_crossvalid[[#This Row],[cutoff]]))</f>
        <v>46081</v>
      </c>
      <c r="B452" s="7">
        <f>DATE(YEAR(m6_crossvalid[[#This Row],[ds]]),MONTH(m6_crossvalid[[#This Row],[ds]]),DAY(m6_crossvalid[[#This Row],[ds]]))</f>
        <v>46098</v>
      </c>
      <c r="C452">
        <v>5807</v>
      </c>
      <c r="D452" s="1">
        <v>46098.333333333336</v>
      </c>
      <c r="E452">
        <v>2922.087152124132</v>
      </c>
      <c r="F452">
        <v>1516.7368241697313</v>
      </c>
      <c r="G452">
        <v>5507.4234356348834</v>
      </c>
      <c r="H452" s="1">
        <v>46081.333333333336</v>
      </c>
    </row>
    <row r="453" spans="1:8" x14ac:dyDescent="0.25">
      <c r="A453" s="7">
        <f>DATE(YEAR(m6_crossvalid[[#This Row],[cutoff]]),MONTH(m6_crossvalid[[#This Row],[cutoff]]),DAY(m6_crossvalid[[#This Row],[cutoff]]))</f>
        <v>46081</v>
      </c>
      <c r="B453" s="7">
        <f>DATE(YEAR(m6_crossvalid[[#This Row],[ds]]),MONTH(m6_crossvalid[[#This Row],[ds]]),DAY(m6_crossvalid[[#This Row],[ds]]))</f>
        <v>46099</v>
      </c>
      <c r="C453">
        <v>5295.0000000000018</v>
      </c>
      <c r="D453" s="1">
        <v>46099.333333333336</v>
      </c>
      <c r="E453">
        <v>3138.4076315733382</v>
      </c>
      <c r="F453">
        <v>1633.9808937734037</v>
      </c>
      <c r="G453">
        <v>6020.7358293653597</v>
      </c>
      <c r="H453" s="1">
        <v>46081.333333333336</v>
      </c>
    </row>
    <row r="454" spans="1:8" x14ac:dyDescent="0.25">
      <c r="A454" s="7">
        <f>DATE(YEAR(m6_crossvalid[[#This Row],[cutoff]]),MONTH(m6_crossvalid[[#This Row],[cutoff]]),DAY(m6_crossvalid[[#This Row],[cutoff]]))</f>
        <v>46081</v>
      </c>
      <c r="B454" s="7">
        <f>DATE(YEAR(m6_crossvalid[[#This Row],[ds]]),MONTH(m6_crossvalid[[#This Row],[ds]]),DAY(m6_crossvalid[[#This Row],[ds]]))</f>
        <v>46100</v>
      </c>
      <c r="C454">
        <v>3556.9999999999995</v>
      </c>
      <c r="D454" s="1">
        <v>46100.333333333336</v>
      </c>
      <c r="E454">
        <v>3406.3582111762112</v>
      </c>
      <c r="F454">
        <v>1779.6956080310874</v>
      </c>
      <c r="G454">
        <v>6623.9478994866704</v>
      </c>
      <c r="H454" s="1">
        <v>46081.333333333336</v>
      </c>
    </row>
    <row r="455" spans="1:8" x14ac:dyDescent="0.25">
      <c r="A455" s="7">
        <f>DATE(YEAR(m6_crossvalid[[#This Row],[cutoff]]),MONTH(m6_crossvalid[[#This Row],[cutoff]]),DAY(m6_crossvalid[[#This Row],[cutoff]]))</f>
        <v>46081</v>
      </c>
      <c r="B455" s="7">
        <f>DATE(YEAR(m6_crossvalid[[#This Row],[ds]]),MONTH(m6_crossvalid[[#This Row],[ds]]),DAY(m6_crossvalid[[#This Row],[ds]]))</f>
        <v>46101</v>
      </c>
      <c r="C455">
        <v>61.000000000000007</v>
      </c>
      <c r="D455" s="1">
        <v>46101.333333333336</v>
      </c>
      <c r="E455">
        <v>23.871119855349647</v>
      </c>
      <c r="F455">
        <v>11.709627311245146</v>
      </c>
      <c r="G455">
        <v>48.10755666694552</v>
      </c>
      <c r="H455" s="1">
        <v>46081.333333333336</v>
      </c>
    </row>
    <row r="456" spans="1:8" x14ac:dyDescent="0.25">
      <c r="A456" s="7">
        <f>DATE(YEAR(m6_crossvalid[[#This Row],[cutoff]]),MONTH(m6_crossvalid[[#This Row],[cutoff]]),DAY(m6_crossvalid[[#This Row],[cutoff]]))</f>
        <v>46081</v>
      </c>
      <c r="B456" s="7">
        <f>DATE(YEAR(m6_crossvalid[[#This Row],[ds]]),MONTH(m6_crossvalid[[#This Row],[ds]]),DAY(m6_crossvalid[[#This Row],[ds]]))</f>
        <v>46102</v>
      </c>
      <c r="C456">
        <v>3</v>
      </c>
      <c r="D456" s="1">
        <v>46102.333333333336</v>
      </c>
      <c r="E456">
        <v>0.20811490009091604</v>
      </c>
      <c r="F456">
        <v>-0.39293673012249575</v>
      </c>
      <c r="G456">
        <v>1.396616968821613</v>
      </c>
      <c r="H456" s="1">
        <v>46081.333333333336</v>
      </c>
    </row>
    <row r="457" spans="1:8" x14ac:dyDescent="0.25">
      <c r="A457" s="7">
        <f>DATE(YEAR(m6_crossvalid[[#This Row],[cutoff]]),MONTH(m6_crossvalid[[#This Row],[cutoff]]),DAY(m6_crossvalid[[#This Row],[cutoff]]))</f>
        <v>46081</v>
      </c>
      <c r="B457" s="7">
        <f>DATE(YEAR(m6_crossvalid[[#This Row],[ds]]),MONTH(m6_crossvalid[[#This Row],[ds]]),DAY(m6_crossvalid[[#This Row],[ds]]))</f>
        <v>46103</v>
      </c>
      <c r="C457">
        <v>5.9999999999999991</v>
      </c>
      <c r="D457" s="1">
        <v>46103.333333333336</v>
      </c>
      <c r="E457">
        <v>-0.78452486038007718</v>
      </c>
      <c r="F457">
        <v>-0.88926629470631291</v>
      </c>
      <c r="G457">
        <v>-0.5862925221379689</v>
      </c>
      <c r="H457" s="1">
        <v>46081.333333333336</v>
      </c>
    </row>
    <row r="458" spans="1:8" x14ac:dyDescent="0.25">
      <c r="A458" s="7">
        <f>DATE(YEAR(m6_crossvalid[[#This Row],[cutoff]]),MONTH(m6_crossvalid[[#This Row],[cutoff]]),DAY(m6_crossvalid[[#This Row],[cutoff]]))</f>
        <v>46081</v>
      </c>
      <c r="B458" s="7">
        <f>DATE(YEAR(m6_crossvalid[[#This Row],[ds]]),MONTH(m6_crossvalid[[#This Row],[ds]]),DAY(m6_crossvalid[[#This Row],[ds]]))</f>
        <v>46104</v>
      </c>
      <c r="C458">
        <v>23.000000000000004</v>
      </c>
      <c r="D458" s="1">
        <v>46104.333333333336</v>
      </c>
      <c r="E458">
        <v>0.91469424921954723</v>
      </c>
      <c r="F458">
        <v>-8.8923621423682805E-2</v>
      </c>
      <c r="G458">
        <v>2.7967298044575397</v>
      </c>
      <c r="H458" s="1">
        <v>46081.333333333336</v>
      </c>
    </row>
    <row r="459" spans="1:8" x14ac:dyDescent="0.25">
      <c r="A459" s="7">
        <f>DATE(YEAR(m6_crossvalid[[#This Row],[cutoff]]),MONTH(m6_crossvalid[[#This Row],[cutoff]]),DAY(m6_crossvalid[[#This Row],[cutoff]]))</f>
        <v>46081</v>
      </c>
      <c r="B459" s="7">
        <f>DATE(YEAR(m6_crossvalid[[#This Row],[ds]]),MONTH(m6_crossvalid[[#This Row],[ds]]),DAY(m6_crossvalid[[#This Row],[ds]]))</f>
        <v>46105</v>
      </c>
      <c r="C459">
        <v>974.00000000000011</v>
      </c>
      <c r="D459" s="1">
        <v>46105.333333333336</v>
      </c>
      <c r="E459">
        <v>242.25812601536461</v>
      </c>
      <c r="F459">
        <v>126.71096144418854</v>
      </c>
      <c r="G459">
        <v>466.29927215077322</v>
      </c>
      <c r="H459" s="1">
        <v>46081.333333333336</v>
      </c>
    </row>
    <row r="460" spans="1:8" x14ac:dyDescent="0.25">
      <c r="A460" s="7">
        <f>DATE(YEAR(m6_crossvalid[[#This Row],[cutoff]]),MONTH(m6_crossvalid[[#This Row],[cutoff]]),DAY(m6_crossvalid[[#This Row],[cutoff]]))</f>
        <v>46081</v>
      </c>
      <c r="B460" s="7">
        <f>DATE(YEAR(m6_crossvalid[[#This Row],[ds]]),MONTH(m6_crossvalid[[#This Row],[ds]]),DAY(m6_crossvalid[[#This Row],[ds]]))</f>
        <v>46106</v>
      </c>
      <c r="C460">
        <v>1751.9999999999998</v>
      </c>
      <c r="D460" s="1">
        <v>46106.333333333336</v>
      </c>
      <c r="E460">
        <v>909.36613993563549</v>
      </c>
      <c r="F460">
        <v>468.9582594399576</v>
      </c>
      <c r="G460">
        <v>1851.5569963306887</v>
      </c>
      <c r="H460" s="1">
        <v>46081.333333333336</v>
      </c>
    </row>
    <row r="461" spans="1:8" x14ac:dyDescent="0.25">
      <c r="A461" s="7">
        <f>DATE(YEAR(m6_crossvalid[[#This Row],[cutoff]]),MONTH(m6_crossvalid[[#This Row],[cutoff]]),DAY(m6_crossvalid[[#This Row],[cutoff]]))</f>
        <v>46081</v>
      </c>
      <c r="B461" s="7">
        <f>DATE(YEAR(m6_crossvalid[[#This Row],[ds]]),MONTH(m6_crossvalid[[#This Row],[ds]]),DAY(m6_crossvalid[[#This Row],[ds]]))</f>
        <v>46107</v>
      </c>
      <c r="C461">
        <v>2884.0000000000009</v>
      </c>
      <c r="D461" s="1">
        <v>46107.333333333336</v>
      </c>
      <c r="E461">
        <v>1879.9737922052093</v>
      </c>
      <c r="F461">
        <v>976.68936136160801</v>
      </c>
      <c r="G461">
        <v>3563.9545217395366</v>
      </c>
      <c r="H461" s="1">
        <v>46081.333333333336</v>
      </c>
    </row>
    <row r="462" spans="1:8" x14ac:dyDescent="0.25">
      <c r="A462" s="7">
        <f>DATE(YEAR(m6_crossvalid[[#This Row],[cutoff]]),MONTH(m6_crossvalid[[#This Row],[cutoff]]),DAY(m6_crossvalid[[#This Row],[cutoff]]))</f>
        <v>46081</v>
      </c>
      <c r="B462" s="7">
        <f>DATE(YEAR(m6_crossvalid[[#This Row],[ds]]),MONTH(m6_crossvalid[[#This Row],[ds]]),DAY(m6_crossvalid[[#This Row],[ds]]))</f>
        <v>46108</v>
      </c>
      <c r="C462">
        <v>3596.9999999999986</v>
      </c>
      <c r="D462" s="1">
        <v>46108.333333333336</v>
      </c>
      <c r="E462">
        <v>1777.7240653429617</v>
      </c>
      <c r="F462">
        <v>917.4847047361385</v>
      </c>
      <c r="G462">
        <v>3405.7371170295801</v>
      </c>
      <c r="H462" s="1">
        <v>46081.333333333336</v>
      </c>
    </row>
    <row r="463" spans="1:8" x14ac:dyDescent="0.25">
      <c r="A463" s="7">
        <f>DATE(YEAR(m6_crossvalid[[#This Row],[cutoff]]),MONTH(m6_crossvalid[[#This Row],[cutoff]]),DAY(m6_crossvalid[[#This Row],[cutoff]]))</f>
        <v>46081</v>
      </c>
      <c r="B463" s="7">
        <f>DATE(YEAR(m6_crossvalid[[#This Row],[ds]]),MONTH(m6_crossvalid[[#This Row],[ds]]),DAY(m6_crossvalid[[#This Row],[ds]]))</f>
        <v>46109</v>
      </c>
      <c r="C463">
        <v>1207.0000000000002</v>
      </c>
      <c r="D463" s="1">
        <v>46109.333333333336</v>
      </c>
      <c r="E463">
        <v>406.8686993508901</v>
      </c>
      <c r="F463">
        <v>215.5245939065702</v>
      </c>
      <c r="G463">
        <v>822.7982990064437</v>
      </c>
      <c r="H463" s="1">
        <v>46081.333333333336</v>
      </c>
    </row>
    <row r="464" spans="1:8" x14ac:dyDescent="0.25">
      <c r="A464" s="7">
        <f>DATE(YEAR(m6_crossvalid[[#This Row],[cutoff]]),MONTH(m6_crossvalid[[#This Row],[cutoff]]),DAY(m6_crossvalid[[#This Row],[cutoff]]))</f>
        <v>46081</v>
      </c>
      <c r="B464" s="7">
        <f>DATE(YEAR(m6_crossvalid[[#This Row],[ds]]),MONTH(m6_crossvalid[[#This Row],[ds]]),DAY(m6_crossvalid[[#This Row],[ds]]))</f>
        <v>46110</v>
      </c>
      <c r="C464">
        <v>183.00000000000006</v>
      </c>
      <c r="D464" s="1">
        <v>46110.333333333336</v>
      </c>
      <c r="E464">
        <v>260.1573870521454</v>
      </c>
      <c r="F464">
        <v>132.07038641627349</v>
      </c>
      <c r="G464">
        <v>518.91905033887929</v>
      </c>
      <c r="H464" s="1">
        <v>46081.333333333336</v>
      </c>
    </row>
    <row r="465" spans="1:8" x14ac:dyDescent="0.25">
      <c r="A465" s="7">
        <f>DATE(YEAR(m6_crossvalid[[#This Row],[cutoff]]),MONTH(m6_crossvalid[[#This Row],[cutoff]]),DAY(m6_crossvalid[[#This Row],[cutoff]]))</f>
        <v>46081</v>
      </c>
      <c r="B465" s="7">
        <f>DATE(YEAR(m6_crossvalid[[#This Row],[ds]]),MONTH(m6_crossvalid[[#This Row],[ds]]),DAY(m6_crossvalid[[#This Row],[ds]]))</f>
        <v>46111</v>
      </c>
      <c r="C465">
        <v>4959.0000000000027</v>
      </c>
      <c r="D465" s="1">
        <v>46111.333333333336</v>
      </c>
      <c r="E465">
        <v>7029.4963711977298</v>
      </c>
      <c r="F465">
        <v>3539.3403909448116</v>
      </c>
      <c r="G465">
        <v>13999.881561274971</v>
      </c>
      <c r="H465" s="1">
        <v>46081.333333333336</v>
      </c>
    </row>
    <row r="466" spans="1:8" x14ac:dyDescent="0.25">
      <c r="A466" s="7">
        <f>DATE(YEAR(m6_crossvalid[[#This Row],[cutoff]]),MONTH(m6_crossvalid[[#This Row],[cutoff]]),DAY(m6_crossvalid[[#This Row],[cutoff]]))</f>
        <v>46081</v>
      </c>
      <c r="B466" s="7">
        <f>DATE(YEAR(m6_crossvalid[[#This Row],[ds]]),MONTH(m6_crossvalid[[#This Row],[ds]]),DAY(m6_crossvalid[[#This Row],[ds]]))</f>
        <v>46112</v>
      </c>
      <c r="C466">
        <v>13212.999999999993</v>
      </c>
      <c r="D466" s="1">
        <v>46112.333333333336</v>
      </c>
      <c r="E466">
        <v>23412.062638758947</v>
      </c>
      <c r="F466">
        <v>12068.221812096152</v>
      </c>
      <c r="G466">
        <v>46561.695245198847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7C00-2D63-477F-BE2F-C0806856D27F}">
  <dimension ref="A1:H466"/>
  <sheetViews>
    <sheetView topLeftCell="A414" workbookViewId="0">
      <selection activeCell="E442" sqref="E442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DATE(YEAR(m7_crossvalid[[#This Row],[cutoff]]),MONTH(m7_crossvalid[[#This Row],[cutoff]]),DAY(m7_crossvalid[[#This Row],[cutoff]]))</f>
        <v>45657</v>
      </c>
      <c r="B2" s="7">
        <f>DATE(YEAR(m7_crossvalid[[#This Row],[ds]]),MONTH(m7_crossvalid[[#This Row],[ds]]),DAY(m7_crossvalid[[#This Row],[ds]]))</f>
        <v>45658</v>
      </c>
      <c r="C2">
        <v>90</v>
      </c>
      <c r="D2" s="1">
        <v>45658.333333333336</v>
      </c>
      <c r="E2">
        <v>536.26815097077042</v>
      </c>
      <c r="F2">
        <v>-787.05814114837733</v>
      </c>
      <c r="G2">
        <v>2002.1615691916604</v>
      </c>
      <c r="H2" s="1">
        <v>45657.333333333336</v>
      </c>
    </row>
    <row r="3" spans="1:8" x14ac:dyDescent="0.25">
      <c r="A3" s="7">
        <f>DATE(YEAR(m7_crossvalid[[#This Row],[cutoff]]),MONTH(m7_crossvalid[[#This Row],[cutoff]]),DAY(m7_crossvalid[[#This Row],[cutoff]]))</f>
        <v>45657</v>
      </c>
      <c r="B3" s="7">
        <f>DATE(YEAR(m7_crossvalid[[#This Row],[ds]]),MONTH(m7_crossvalid[[#This Row],[ds]]),DAY(m7_crossvalid[[#This Row],[ds]]))</f>
        <v>45659</v>
      </c>
      <c r="C3">
        <v>541</v>
      </c>
      <c r="D3" s="1">
        <v>45659.333333333336</v>
      </c>
      <c r="E3">
        <v>1817.1329942679022</v>
      </c>
      <c r="F3">
        <v>582.59750077305171</v>
      </c>
      <c r="G3">
        <v>3216.0731043718656</v>
      </c>
      <c r="H3" s="1">
        <v>45657.333333333336</v>
      </c>
    </row>
    <row r="4" spans="1:8" x14ac:dyDescent="0.25">
      <c r="A4" s="7">
        <f>DATE(YEAR(m7_crossvalid[[#This Row],[cutoff]]),MONTH(m7_crossvalid[[#This Row],[cutoff]]),DAY(m7_crossvalid[[#This Row],[cutoff]]))</f>
        <v>45657</v>
      </c>
      <c r="B4" s="7">
        <f>DATE(YEAR(m7_crossvalid[[#This Row],[ds]]),MONTH(m7_crossvalid[[#This Row],[ds]]),DAY(m7_crossvalid[[#This Row],[ds]]))</f>
        <v>45660</v>
      </c>
      <c r="C4">
        <v>563</v>
      </c>
      <c r="D4" s="1">
        <v>45660.333333333336</v>
      </c>
      <c r="E4">
        <v>1860.8291154005908</v>
      </c>
      <c r="F4">
        <v>477.27312572632616</v>
      </c>
      <c r="G4">
        <v>3260.8975168238317</v>
      </c>
      <c r="H4" s="1">
        <v>45657.333333333336</v>
      </c>
    </row>
    <row r="5" spans="1:8" x14ac:dyDescent="0.25">
      <c r="A5" s="7">
        <f>DATE(YEAR(m7_crossvalid[[#This Row],[cutoff]]),MONTH(m7_crossvalid[[#This Row],[cutoff]]),DAY(m7_crossvalid[[#This Row],[cutoff]]))</f>
        <v>45657</v>
      </c>
      <c r="B5" s="7">
        <f>DATE(YEAR(m7_crossvalid[[#This Row],[ds]]),MONTH(m7_crossvalid[[#This Row],[ds]]),DAY(m7_crossvalid[[#This Row],[ds]]))</f>
        <v>45661</v>
      </c>
      <c r="C5">
        <v>42</v>
      </c>
      <c r="D5" s="1">
        <v>45661.333333333336</v>
      </c>
      <c r="E5">
        <v>-543.0312444401975</v>
      </c>
      <c r="F5">
        <v>-1907.0309675575593</v>
      </c>
      <c r="G5">
        <v>868.92366230124549</v>
      </c>
      <c r="H5" s="1">
        <v>45657.333333333336</v>
      </c>
    </row>
    <row r="6" spans="1:8" x14ac:dyDescent="0.25">
      <c r="A6" s="7">
        <f>DATE(YEAR(m7_crossvalid[[#This Row],[cutoff]]),MONTH(m7_crossvalid[[#This Row],[cutoff]]),DAY(m7_crossvalid[[#This Row],[cutoff]]))</f>
        <v>45657</v>
      </c>
      <c r="B6" s="7">
        <f>DATE(YEAR(m7_crossvalid[[#This Row],[ds]]),MONTH(m7_crossvalid[[#This Row],[ds]]),DAY(m7_crossvalid[[#This Row],[ds]]))</f>
        <v>45662</v>
      </c>
      <c r="C6">
        <v>22</v>
      </c>
      <c r="D6" s="1">
        <v>45662.333333333336</v>
      </c>
      <c r="E6">
        <v>-1067.4977502587572</v>
      </c>
      <c r="F6">
        <v>-2416.7053443536406</v>
      </c>
      <c r="G6">
        <v>389.59420995488574</v>
      </c>
      <c r="H6" s="1">
        <v>45657.333333333336</v>
      </c>
    </row>
    <row r="7" spans="1:8" x14ac:dyDescent="0.25">
      <c r="A7" s="7">
        <f>DATE(YEAR(m7_crossvalid[[#This Row],[cutoff]]),MONTH(m7_crossvalid[[#This Row],[cutoff]]),DAY(m7_crossvalid[[#This Row],[cutoff]]))</f>
        <v>45657</v>
      </c>
      <c r="B7" s="7">
        <f>DATE(YEAR(m7_crossvalid[[#This Row],[ds]]),MONTH(m7_crossvalid[[#This Row],[ds]]),DAY(m7_crossvalid[[#This Row],[ds]]))</f>
        <v>45663</v>
      </c>
      <c r="C7">
        <v>533</v>
      </c>
      <c r="D7" s="1">
        <v>45663.333333333336</v>
      </c>
      <c r="E7">
        <v>1439.3461753868191</v>
      </c>
      <c r="F7">
        <v>73.925160218445797</v>
      </c>
      <c r="G7">
        <v>2830.6623033313044</v>
      </c>
      <c r="H7" s="1">
        <v>45657.333333333336</v>
      </c>
    </row>
    <row r="8" spans="1:8" x14ac:dyDescent="0.25">
      <c r="A8" s="7">
        <f>DATE(YEAR(m7_crossvalid[[#This Row],[cutoff]]),MONTH(m7_crossvalid[[#This Row],[cutoff]]),DAY(m7_crossvalid[[#This Row],[cutoff]]))</f>
        <v>45657</v>
      </c>
      <c r="B8" s="7">
        <f>DATE(YEAR(m7_crossvalid[[#This Row],[ds]]),MONTH(m7_crossvalid[[#This Row],[ds]]),DAY(m7_crossvalid[[#This Row],[ds]]))</f>
        <v>45664</v>
      </c>
      <c r="C8">
        <v>712</v>
      </c>
      <c r="D8" s="1">
        <v>45664.333333333336</v>
      </c>
      <c r="E8">
        <v>1636.3271402131672</v>
      </c>
      <c r="F8">
        <v>208.37980944303496</v>
      </c>
      <c r="G8">
        <v>3010.7868088121113</v>
      </c>
      <c r="H8" s="1">
        <v>45657.333333333336</v>
      </c>
    </row>
    <row r="9" spans="1:8" x14ac:dyDescent="0.25">
      <c r="A9" s="7">
        <f>DATE(YEAR(m7_crossvalid[[#This Row],[cutoff]]),MONTH(m7_crossvalid[[#This Row],[cutoff]]),DAY(m7_crossvalid[[#This Row],[cutoff]]))</f>
        <v>45657</v>
      </c>
      <c r="B9" s="7">
        <f>DATE(YEAR(m7_crossvalid[[#This Row],[ds]]),MONTH(m7_crossvalid[[#This Row],[ds]]),DAY(m7_crossvalid[[#This Row],[ds]]))</f>
        <v>45665</v>
      </c>
      <c r="C9">
        <v>904</v>
      </c>
      <c r="D9" s="1">
        <v>45665.333333333336</v>
      </c>
      <c r="E9">
        <v>2181.0288911024072</v>
      </c>
      <c r="F9">
        <v>806.19654042319587</v>
      </c>
      <c r="G9">
        <v>3463.4085293838343</v>
      </c>
      <c r="H9" s="1">
        <v>45657.333333333336</v>
      </c>
    </row>
    <row r="10" spans="1:8" x14ac:dyDescent="0.25">
      <c r="A10" s="7">
        <f>DATE(YEAR(m7_crossvalid[[#This Row],[cutoff]]),MONTH(m7_crossvalid[[#This Row],[cutoff]]),DAY(m7_crossvalid[[#This Row],[cutoff]]))</f>
        <v>45657</v>
      </c>
      <c r="B10" s="7">
        <f>DATE(YEAR(m7_crossvalid[[#This Row],[ds]]),MONTH(m7_crossvalid[[#This Row],[ds]]),DAY(m7_crossvalid[[#This Row],[ds]]))</f>
        <v>45666</v>
      </c>
      <c r="C10">
        <v>1135</v>
      </c>
      <c r="D10" s="1">
        <v>45666.333333333336</v>
      </c>
      <c r="E10">
        <v>1982.873358424913</v>
      </c>
      <c r="F10">
        <v>522.88176239828249</v>
      </c>
      <c r="G10">
        <v>3293.7640906970478</v>
      </c>
      <c r="H10" s="1">
        <v>45657.333333333336</v>
      </c>
    </row>
    <row r="11" spans="1:8" x14ac:dyDescent="0.25">
      <c r="A11" s="7">
        <f>DATE(YEAR(m7_crossvalid[[#This Row],[cutoff]]),MONTH(m7_crossvalid[[#This Row],[cutoff]]),DAY(m7_crossvalid[[#This Row],[cutoff]]))</f>
        <v>45657</v>
      </c>
      <c r="B11" s="7">
        <f>DATE(YEAR(m7_crossvalid[[#This Row],[ds]]),MONTH(m7_crossvalid[[#This Row],[ds]]),DAY(m7_crossvalid[[#This Row],[ds]]))</f>
        <v>45667</v>
      </c>
      <c r="C11">
        <v>1270</v>
      </c>
      <c r="D11" s="1">
        <v>45667.333333333336</v>
      </c>
      <c r="E11">
        <v>1913.3375505686186</v>
      </c>
      <c r="F11">
        <v>588.32709983241534</v>
      </c>
      <c r="G11">
        <v>3394.6575637878645</v>
      </c>
      <c r="H11" s="1">
        <v>45657.333333333336</v>
      </c>
    </row>
    <row r="12" spans="1:8" x14ac:dyDescent="0.25">
      <c r="A12" s="7">
        <f>DATE(YEAR(m7_crossvalid[[#This Row],[cutoff]]),MONTH(m7_crossvalid[[#This Row],[cutoff]]),DAY(m7_crossvalid[[#This Row],[cutoff]]))</f>
        <v>45657</v>
      </c>
      <c r="B12" s="7">
        <f>DATE(YEAR(m7_crossvalid[[#This Row],[ds]]),MONTH(m7_crossvalid[[#This Row],[ds]]),DAY(m7_crossvalid[[#This Row],[ds]]))</f>
        <v>45668</v>
      </c>
      <c r="C12">
        <v>203</v>
      </c>
      <c r="D12" s="1">
        <v>45668.333333333336</v>
      </c>
      <c r="E12">
        <v>-171.051783824209</v>
      </c>
      <c r="F12">
        <v>-1617.9834277317052</v>
      </c>
      <c r="G12">
        <v>1189.8311557357301</v>
      </c>
      <c r="H12" s="1">
        <v>45657.333333333336</v>
      </c>
    </row>
    <row r="13" spans="1:8" x14ac:dyDescent="0.25">
      <c r="A13" s="7">
        <f>DATE(YEAR(m7_crossvalid[[#This Row],[cutoff]]),MONTH(m7_crossvalid[[#This Row],[cutoff]]),DAY(m7_crossvalid[[#This Row],[cutoff]]))</f>
        <v>45657</v>
      </c>
      <c r="B13" s="7">
        <f>DATE(YEAR(m7_crossvalid[[#This Row],[ds]]),MONTH(m7_crossvalid[[#This Row],[ds]]),DAY(m7_crossvalid[[#This Row],[ds]]))</f>
        <v>45669</v>
      </c>
      <c r="C13">
        <v>41</v>
      </c>
      <c r="D13" s="1">
        <v>45669.333333333336</v>
      </c>
      <c r="E13">
        <v>-678.25356750120682</v>
      </c>
      <c r="F13">
        <v>-2029.1161554364721</v>
      </c>
      <c r="G13">
        <v>601.52892166861045</v>
      </c>
      <c r="H13" s="1">
        <v>45657.333333333336</v>
      </c>
    </row>
    <row r="14" spans="1:8" x14ac:dyDescent="0.25">
      <c r="A14" s="7">
        <f>DATE(YEAR(m7_crossvalid[[#This Row],[cutoff]]),MONTH(m7_crossvalid[[#This Row],[cutoff]]),DAY(m7_crossvalid[[#This Row],[cutoff]]))</f>
        <v>45657</v>
      </c>
      <c r="B14" s="7">
        <f>DATE(YEAR(m7_crossvalid[[#This Row],[ds]]),MONTH(m7_crossvalid[[#This Row],[ds]]),DAY(m7_crossvalid[[#This Row],[ds]]))</f>
        <v>45670</v>
      </c>
      <c r="C14">
        <v>1313</v>
      </c>
      <c r="D14" s="1">
        <v>45670.333333333336</v>
      </c>
      <c r="E14">
        <v>1797.5919404713327</v>
      </c>
      <c r="F14">
        <v>345.72281343780958</v>
      </c>
      <c r="G14">
        <v>3180.6176878847318</v>
      </c>
      <c r="H14" s="1">
        <v>45657.333333333336</v>
      </c>
    </row>
    <row r="15" spans="1:8" x14ac:dyDescent="0.25">
      <c r="A15" s="7">
        <f>DATE(YEAR(m7_crossvalid[[#This Row],[cutoff]]),MONTH(m7_crossvalid[[#This Row],[cutoff]]),DAY(m7_crossvalid[[#This Row],[cutoff]]))</f>
        <v>45657</v>
      </c>
      <c r="B15" s="7">
        <f>DATE(YEAR(m7_crossvalid[[#This Row],[ds]]),MONTH(m7_crossvalid[[#This Row],[ds]]),DAY(m7_crossvalid[[#This Row],[ds]]))</f>
        <v>45671</v>
      </c>
      <c r="C15">
        <v>1609</v>
      </c>
      <c r="D15" s="1">
        <v>45671.333333333336</v>
      </c>
      <c r="E15">
        <v>2199.3053565262803</v>
      </c>
      <c r="F15">
        <v>796.42964196988669</v>
      </c>
      <c r="G15">
        <v>3663.4491870736483</v>
      </c>
      <c r="H15" s="1">
        <v>45657.333333333336</v>
      </c>
    </row>
    <row r="16" spans="1:8" x14ac:dyDescent="0.25">
      <c r="A16" s="7">
        <f>DATE(YEAR(m7_crossvalid[[#This Row],[cutoff]]),MONTH(m7_crossvalid[[#This Row],[cutoff]]),DAY(m7_crossvalid[[#This Row],[cutoff]]))</f>
        <v>45657</v>
      </c>
      <c r="B16" s="7">
        <f>DATE(YEAR(m7_crossvalid[[#This Row],[ds]]),MONTH(m7_crossvalid[[#This Row],[ds]]),DAY(m7_crossvalid[[#This Row],[ds]]))</f>
        <v>45672</v>
      </c>
      <c r="C16">
        <v>2010</v>
      </c>
      <c r="D16" s="1">
        <v>45672.333333333336</v>
      </c>
      <c r="E16">
        <v>2387.8869680433463</v>
      </c>
      <c r="F16">
        <v>1034.8553536860679</v>
      </c>
      <c r="G16">
        <v>3748.239469200932</v>
      </c>
      <c r="H16" s="1">
        <v>45657.333333333336</v>
      </c>
    </row>
    <row r="17" spans="1:8" x14ac:dyDescent="0.25">
      <c r="A17" s="7">
        <f>DATE(YEAR(m7_crossvalid[[#This Row],[cutoff]]),MONTH(m7_crossvalid[[#This Row],[cutoff]]),DAY(m7_crossvalid[[#This Row],[cutoff]]))</f>
        <v>45657</v>
      </c>
      <c r="B17" s="7">
        <f>DATE(YEAR(m7_crossvalid[[#This Row],[ds]]),MONTH(m7_crossvalid[[#This Row],[ds]]),DAY(m7_crossvalid[[#This Row],[ds]]))</f>
        <v>45673</v>
      </c>
      <c r="C17">
        <v>2206</v>
      </c>
      <c r="D17" s="1">
        <v>45673.333333333336</v>
      </c>
      <c r="E17">
        <v>2550.8382269506101</v>
      </c>
      <c r="F17">
        <v>1063.6603136580861</v>
      </c>
      <c r="G17">
        <v>3886.8681396201177</v>
      </c>
      <c r="H17" s="1">
        <v>45657.333333333336</v>
      </c>
    </row>
    <row r="18" spans="1:8" x14ac:dyDescent="0.25">
      <c r="A18" s="7">
        <f>DATE(YEAR(m7_crossvalid[[#This Row],[cutoff]]),MONTH(m7_crossvalid[[#This Row],[cutoff]]),DAY(m7_crossvalid[[#This Row],[cutoff]]))</f>
        <v>45657</v>
      </c>
      <c r="B18" s="7">
        <f>DATE(YEAR(m7_crossvalid[[#This Row],[ds]]),MONTH(m7_crossvalid[[#This Row],[ds]]),DAY(m7_crossvalid[[#This Row],[ds]]))</f>
        <v>45674</v>
      </c>
      <c r="C18">
        <v>2291</v>
      </c>
      <c r="D18" s="1">
        <v>45674.333333333336</v>
      </c>
      <c r="E18">
        <v>2458.5316017978803</v>
      </c>
      <c r="F18">
        <v>1152.6679592286803</v>
      </c>
      <c r="G18">
        <v>3837.2006036369185</v>
      </c>
      <c r="H18" s="1">
        <v>45657.333333333336</v>
      </c>
    </row>
    <row r="19" spans="1:8" x14ac:dyDescent="0.25">
      <c r="A19" s="7">
        <f>DATE(YEAR(m7_crossvalid[[#This Row],[cutoff]]),MONTH(m7_crossvalid[[#This Row],[cutoff]]),DAY(m7_crossvalid[[#This Row],[cutoff]]))</f>
        <v>45657</v>
      </c>
      <c r="B19" s="7">
        <f>DATE(YEAR(m7_crossvalid[[#This Row],[ds]]),MONTH(m7_crossvalid[[#This Row],[ds]]),DAY(m7_crossvalid[[#This Row],[ds]]))</f>
        <v>45675</v>
      </c>
      <c r="C19">
        <v>401</v>
      </c>
      <c r="D19" s="1">
        <v>45675.333333333336</v>
      </c>
      <c r="E19">
        <v>265.18991518251823</v>
      </c>
      <c r="F19">
        <v>-1022.0111348045799</v>
      </c>
      <c r="G19">
        <v>1683.6810457524036</v>
      </c>
      <c r="H19" s="1">
        <v>45657.333333333336</v>
      </c>
    </row>
    <row r="20" spans="1:8" x14ac:dyDescent="0.25">
      <c r="A20" s="7">
        <f>DATE(YEAR(m7_crossvalid[[#This Row],[cutoff]]),MONTH(m7_crossvalid[[#This Row],[cutoff]]),DAY(m7_crossvalid[[#This Row],[cutoff]]))</f>
        <v>45657</v>
      </c>
      <c r="B20" s="7">
        <f>DATE(YEAR(m7_crossvalid[[#This Row],[ds]]),MONTH(m7_crossvalid[[#This Row],[ds]]),DAY(m7_crossvalid[[#This Row],[ds]]))</f>
        <v>45676</v>
      </c>
      <c r="C20">
        <v>129</v>
      </c>
      <c r="D20" s="1">
        <v>45676.333333333336</v>
      </c>
      <c r="E20">
        <v>-118.84226527651435</v>
      </c>
      <c r="F20">
        <v>-1495.5697846421026</v>
      </c>
      <c r="G20">
        <v>1237.6209729328889</v>
      </c>
      <c r="H20" s="1">
        <v>45657.333333333336</v>
      </c>
    </row>
    <row r="21" spans="1:8" x14ac:dyDescent="0.25">
      <c r="A21" s="7">
        <f>DATE(YEAR(m7_crossvalid[[#This Row],[cutoff]]),MONTH(m7_crossvalid[[#This Row],[cutoff]]),DAY(m7_crossvalid[[#This Row],[cutoff]]))</f>
        <v>45657</v>
      </c>
      <c r="B21" s="7">
        <f>DATE(YEAR(m7_crossvalid[[#This Row],[ds]]),MONTH(m7_crossvalid[[#This Row],[ds]]),DAY(m7_crossvalid[[#This Row],[ds]]))</f>
        <v>45677</v>
      </c>
      <c r="C21">
        <v>2385</v>
      </c>
      <c r="D21" s="1">
        <v>45677.333333333336</v>
      </c>
      <c r="E21">
        <v>2393.6072503601295</v>
      </c>
      <c r="F21">
        <v>984.33657947990434</v>
      </c>
      <c r="G21">
        <v>3830.2925920242906</v>
      </c>
      <c r="H21" s="1">
        <v>45657.333333333336</v>
      </c>
    </row>
    <row r="22" spans="1:8" x14ac:dyDescent="0.25">
      <c r="A22" s="7">
        <f>DATE(YEAR(m7_crossvalid[[#This Row],[cutoff]]),MONTH(m7_crossvalid[[#This Row],[cutoff]]),DAY(m7_crossvalid[[#This Row],[cutoff]]))</f>
        <v>45657</v>
      </c>
      <c r="B22" s="7">
        <f>DATE(YEAR(m7_crossvalid[[#This Row],[ds]]),MONTH(m7_crossvalid[[#This Row],[ds]]),DAY(m7_crossvalid[[#This Row],[ds]]))</f>
        <v>45678</v>
      </c>
      <c r="C22">
        <v>3051</v>
      </c>
      <c r="D22" s="1">
        <v>45678.333333333336</v>
      </c>
      <c r="E22">
        <v>2794.3220031548144</v>
      </c>
      <c r="F22">
        <v>1407.4981029277767</v>
      </c>
      <c r="G22">
        <v>4236.8379854277055</v>
      </c>
      <c r="H22" s="1">
        <v>45657.333333333336</v>
      </c>
    </row>
    <row r="23" spans="1:8" x14ac:dyDescent="0.25">
      <c r="A23" s="7">
        <f>DATE(YEAR(m7_crossvalid[[#This Row],[cutoff]]),MONTH(m7_crossvalid[[#This Row],[cutoff]]),DAY(m7_crossvalid[[#This Row],[cutoff]]))</f>
        <v>45657</v>
      </c>
      <c r="B23" s="7">
        <f>DATE(YEAR(m7_crossvalid[[#This Row],[ds]]),MONTH(m7_crossvalid[[#This Row],[ds]]),DAY(m7_crossvalid[[#This Row],[ds]]))</f>
        <v>45679</v>
      </c>
      <c r="C23">
        <v>2878</v>
      </c>
      <c r="D23" s="1">
        <v>45679.333333333336</v>
      </c>
      <c r="E23">
        <v>3184.7109673607606</v>
      </c>
      <c r="F23">
        <v>1752.8932442796086</v>
      </c>
      <c r="G23">
        <v>4526.6768016569486</v>
      </c>
      <c r="H23" s="1">
        <v>45657.333333333336</v>
      </c>
    </row>
    <row r="24" spans="1:8" x14ac:dyDescent="0.25">
      <c r="A24" s="7">
        <f>DATE(YEAR(m7_crossvalid[[#This Row],[cutoff]]),MONTH(m7_crossvalid[[#This Row],[cutoff]]),DAY(m7_crossvalid[[#This Row],[cutoff]]))</f>
        <v>45657</v>
      </c>
      <c r="B24" s="7">
        <f>DATE(YEAR(m7_crossvalid[[#This Row],[ds]]),MONTH(m7_crossvalid[[#This Row],[ds]]),DAY(m7_crossvalid[[#This Row],[ds]]))</f>
        <v>45680</v>
      </c>
      <c r="C24">
        <v>4853</v>
      </c>
      <c r="D24" s="1">
        <v>45680.333333333336</v>
      </c>
      <c r="E24">
        <v>3230.1098206774209</v>
      </c>
      <c r="F24">
        <v>1666.5995321073963</v>
      </c>
      <c r="G24">
        <v>4622.3206824619811</v>
      </c>
      <c r="H24" s="1">
        <v>45657.333333333336</v>
      </c>
    </row>
    <row r="25" spans="1:8" x14ac:dyDescent="0.25">
      <c r="A25" s="7">
        <f>DATE(YEAR(m7_crossvalid[[#This Row],[cutoff]]),MONTH(m7_crossvalid[[#This Row],[cutoff]]),DAY(m7_crossvalid[[#This Row],[cutoff]]))</f>
        <v>45657</v>
      </c>
      <c r="B25" s="7">
        <f>DATE(YEAR(m7_crossvalid[[#This Row],[ds]]),MONTH(m7_crossvalid[[#This Row],[ds]]),DAY(m7_crossvalid[[#This Row],[ds]]))</f>
        <v>45681</v>
      </c>
      <c r="C25">
        <v>5202</v>
      </c>
      <c r="D25" s="1">
        <v>45681.333333333336</v>
      </c>
      <c r="E25">
        <v>2642.2875025369472</v>
      </c>
      <c r="F25">
        <v>1346.7735757802868</v>
      </c>
      <c r="G25">
        <v>4094.3132147468073</v>
      </c>
      <c r="H25" s="1">
        <v>45657.333333333336</v>
      </c>
    </row>
    <row r="26" spans="1:8" x14ac:dyDescent="0.25">
      <c r="A26" s="7">
        <f>DATE(YEAR(m7_crossvalid[[#This Row],[cutoff]]),MONTH(m7_crossvalid[[#This Row],[cutoff]]),DAY(m7_crossvalid[[#This Row],[cutoff]]))</f>
        <v>45657</v>
      </c>
      <c r="B26" s="7">
        <f>DATE(YEAR(m7_crossvalid[[#This Row],[ds]]),MONTH(m7_crossvalid[[#This Row],[ds]]),DAY(m7_crossvalid[[#This Row],[ds]]))</f>
        <v>45682</v>
      </c>
      <c r="C26">
        <v>1624</v>
      </c>
      <c r="D26" s="1">
        <v>45682.333333333336</v>
      </c>
      <c r="E26">
        <v>1373.3171369879578</v>
      </c>
      <c r="F26">
        <v>-40.789942343514738</v>
      </c>
      <c r="G26">
        <v>2732.9408625226279</v>
      </c>
      <c r="H26" s="1">
        <v>45657.333333333336</v>
      </c>
    </row>
    <row r="27" spans="1:8" x14ac:dyDescent="0.25">
      <c r="A27" s="7">
        <f>DATE(YEAR(m7_crossvalid[[#This Row],[cutoff]]),MONTH(m7_crossvalid[[#This Row],[cutoff]]),DAY(m7_crossvalid[[#This Row],[cutoff]]))</f>
        <v>45657</v>
      </c>
      <c r="B27" s="7">
        <f>DATE(YEAR(m7_crossvalid[[#This Row],[ds]]),MONTH(m7_crossvalid[[#This Row],[ds]]),DAY(m7_crossvalid[[#This Row],[ds]]))</f>
        <v>45683</v>
      </c>
      <c r="C27">
        <v>454</v>
      </c>
      <c r="D27" s="1">
        <v>45683.333333333336</v>
      </c>
      <c r="E27">
        <v>1390.86090673116</v>
      </c>
      <c r="F27">
        <v>23.121142149663058</v>
      </c>
      <c r="G27">
        <v>2772.3100209286122</v>
      </c>
      <c r="H27" s="1">
        <v>45657.333333333336</v>
      </c>
    </row>
    <row r="28" spans="1:8" x14ac:dyDescent="0.25">
      <c r="A28" s="7">
        <f>DATE(YEAR(m7_crossvalid[[#This Row],[cutoff]]),MONTH(m7_crossvalid[[#This Row],[cutoff]]),DAY(m7_crossvalid[[#This Row],[cutoff]]))</f>
        <v>45657</v>
      </c>
      <c r="B28" s="7">
        <f>DATE(YEAR(m7_crossvalid[[#This Row],[ds]]),MONTH(m7_crossvalid[[#This Row],[ds]]),DAY(m7_crossvalid[[#This Row],[ds]]))</f>
        <v>45684</v>
      </c>
      <c r="C28">
        <v>5598</v>
      </c>
      <c r="D28" s="1">
        <v>45684.333333333336</v>
      </c>
      <c r="E28">
        <v>4363.1348393725202</v>
      </c>
      <c r="F28">
        <v>2984.261799771918</v>
      </c>
      <c r="G28">
        <v>5769.9142178425845</v>
      </c>
      <c r="H28" s="1">
        <v>45657.333333333336</v>
      </c>
    </row>
    <row r="29" spans="1:8" x14ac:dyDescent="0.25">
      <c r="A29" s="7">
        <f>DATE(YEAR(m7_crossvalid[[#This Row],[cutoff]]),MONTH(m7_crossvalid[[#This Row],[cutoff]]),DAY(m7_crossvalid[[#This Row],[cutoff]]))</f>
        <v>45657</v>
      </c>
      <c r="B29" s="7">
        <f>DATE(YEAR(m7_crossvalid[[#This Row],[ds]]),MONTH(m7_crossvalid[[#This Row],[ds]]),DAY(m7_crossvalid[[#This Row],[ds]]))</f>
        <v>45685</v>
      </c>
      <c r="C29">
        <v>5264</v>
      </c>
      <c r="D29" s="1">
        <v>45685.333333333336</v>
      </c>
      <c r="E29">
        <v>5150.3402169767332</v>
      </c>
      <c r="F29">
        <v>3719.4260713495041</v>
      </c>
      <c r="G29">
        <v>6484.5261517865165</v>
      </c>
      <c r="H29" s="1">
        <v>45657.333333333336</v>
      </c>
    </row>
    <row r="30" spans="1:8" x14ac:dyDescent="0.25">
      <c r="A30" s="7">
        <f>DATE(YEAR(m7_crossvalid[[#This Row],[cutoff]]),MONTH(m7_crossvalid[[#This Row],[cutoff]]),DAY(m7_crossvalid[[#This Row],[cutoff]]))</f>
        <v>45657</v>
      </c>
      <c r="B30" s="7">
        <f>DATE(YEAR(m7_crossvalid[[#This Row],[ds]]),MONTH(m7_crossvalid[[#This Row],[ds]]),DAY(m7_crossvalid[[#This Row],[ds]]))</f>
        <v>45686</v>
      </c>
      <c r="C30">
        <v>310</v>
      </c>
      <c r="D30" s="1">
        <v>45686.333333333336</v>
      </c>
      <c r="E30">
        <v>4568.4990905997402</v>
      </c>
      <c r="F30">
        <v>3115.0841645731562</v>
      </c>
      <c r="G30">
        <v>5899.7267873413957</v>
      </c>
      <c r="H30" s="1">
        <v>45657.333333333336</v>
      </c>
    </row>
    <row r="31" spans="1:8" x14ac:dyDescent="0.25">
      <c r="A31" s="7">
        <f>DATE(YEAR(m7_crossvalid[[#This Row],[cutoff]]),MONTH(m7_crossvalid[[#This Row],[cutoff]]),DAY(m7_crossvalid[[#This Row],[cutoff]]))</f>
        <v>45657</v>
      </c>
      <c r="B31" s="7">
        <f>DATE(YEAR(m7_crossvalid[[#This Row],[ds]]),MONTH(m7_crossvalid[[#This Row],[ds]]),DAY(m7_crossvalid[[#This Row],[ds]]))</f>
        <v>45687</v>
      </c>
      <c r="C31">
        <v>255</v>
      </c>
      <c r="D31" s="1">
        <v>45687.333333333336</v>
      </c>
      <c r="E31">
        <v>6151.7186778359683</v>
      </c>
      <c r="F31">
        <v>4767.1226684365829</v>
      </c>
      <c r="G31">
        <v>7552.2093414851952</v>
      </c>
      <c r="H31" s="1">
        <v>45657.333333333336</v>
      </c>
    </row>
    <row r="32" spans="1:8" x14ac:dyDescent="0.25">
      <c r="A32" s="7">
        <f>DATE(YEAR(m7_crossvalid[[#This Row],[cutoff]]),MONTH(m7_crossvalid[[#This Row],[cutoff]]),DAY(m7_crossvalid[[#This Row],[cutoff]]))</f>
        <v>45657</v>
      </c>
      <c r="B32" s="7">
        <f>DATE(YEAR(m7_crossvalid[[#This Row],[ds]]),MONTH(m7_crossvalid[[#This Row],[ds]]),DAY(m7_crossvalid[[#This Row],[ds]]))</f>
        <v>45688</v>
      </c>
      <c r="C32">
        <v>6041</v>
      </c>
      <c r="D32" s="1">
        <v>45688.333333333336</v>
      </c>
      <c r="E32">
        <v>8067.3099558402719</v>
      </c>
      <c r="F32">
        <v>6645.2282429096067</v>
      </c>
      <c r="G32">
        <v>9447.363618220641</v>
      </c>
      <c r="H32" s="1">
        <v>45657.333333333336</v>
      </c>
    </row>
    <row r="33" spans="1:8" x14ac:dyDescent="0.25">
      <c r="A33" s="7">
        <f>DATE(YEAR(m7_crossvalid[[#This Row],[cutoff]]),MONTH(m7_crossvalid[[#This Row],[cutoff]]),DAY(m7_crossvalid[[#This Row],[cutoff]]))</f>
        <v>45688</v>
      </c>
      <c r="B33" s="7">
        <f>DATE(YEAR(m7_crossvalid[[#This Row],[ds]]),MONTH(m7_crossvalid[[#This Row],[ds]]),DAY(m7_crossvalid[[#This Row],[ds]]))</f>
        <v>45689</v>
      </c>
      <c r="C33">
        <v>47</v>
      </c>
      <c r="D33" s="1">
        <v>45689.333333333336</v>
      </c>
      <c r="E33">
        <v>-2437.2280388363129</v>
      </c>
      <c r="F33">
        <v>-3778.0067187037084</v>
      </c>
      <c r="G33">
        <v>-1077.8628856619694</v>
      </c>
      <c r="H33" s="1">
        <v>45688.333333333336</v>
      </c>
    </row>
    <row r="34" spans="1:8" x14ac:dyDescent="0.25">
      <c r="A34" s="7">
        <f>DATE(YEAR(m7_crossvalid[[#This Row],[cutoff]]),MONTH(m7_crossvalid[[#This Row],[cutoff]]),DAY(m7_crossvalid[[#This Row],[cutoff]]))</f>
        <v>45688</v>
      </c>
      <c r="B34" s="7">
        <f>DATE(YEAR(m7_crossvalid[[#This Row],[ds]]),MONTH(m7_crossvalid[[#This Row],[ds]]),DAY(m7_crossvalid[[#This Row],[ds]]))</f>
        <v>45690</v>
      </c>
      <c r="C34">
        <v>14</v>
      </c>
      <c r="D34" s="1">
        <v>45690.333333333336</v>
      </c>
      <c r="E34">
        <v>-1477.9931233043399</v>
      </c>
      <c r="F34">
        <v>-2846.9666818098585</v>
      </c>
      <c r="G34">
        <v>10.8204391583588</v>
      </c>
      <c r="H34" s="1">
        <v>45688.333333333336</v>
      </c>
    </row>
    <row r="35" spans="1:8" x14ac:dyDescent="0.25">
      <c r="A35" s="7">
        <f>DATE(YEAR(m7_crossvalid[[#This Row],[cutoff]]),MONTH(m7_crossvalid[[#This Row],[cutoff]]),DAY(m7_crossvalid[[#This Row],[cutoff]]))</f>
        <v>45688</v>
      </c>
      <c r="B35" s="7">
        <f>DATE(YEAR(m7_crossvalid[[#This Row],[ds]]),MONTH(m7_crossvalid[[#This Row],[ds]]),DAY(m7_crossvalid[[#This Row],[ds]]))</f>
        <v>45691</v>
      </c>
      <c r="C35">
        <v>454</v>
      </c>
      <c r="D35" s="1">
        <v>45691.333333333336</v>
      </c>
      <c r="E35">
        <v>1189.8389432217168</v>
      </c>
      <c r="F35">
        <v>-229.82520136573658</v>
      </c>
      <c r="G35">
        <v>2573.9369878560674</v>
      </c>
      <c r="H35" s="1">
        <v>45688.333333333336</v>
      </c>
    </row>
    <row r="36" spans="1:8" x14ac:dyDescent="0.25">
      <c r="A36" s="7">
        <f>DATE(YEAR(m7_crossvalid[[#This Row],[cutoff]]),MONTH(m7_crossvalid[[#This Row],[cutoff]]),DAY(m7_crossvalid[[#This Row],[cutoff]]))</f>
        <v>45688</v>
      </c>
      <c r="B36" s="7">
        <f>DATE(YEAR(m7_crossvalid[[#This Row],[ds]]),MONTH(m7_crossvalid[[#This Row],[ds]]),DAY(m7_crossvalid[[#This Row],[ds]]))</f>
        <v>45692</v>
      </c>
      <c r="C36">
        <v>626</v>
      </c>
      <c r="D36" s="1">
        <v>45692.333333333336</v>
      </c>
      <c r="E36">
        <v>1501.98426654594</v>
      </c>
      <c r="F36">
        <v>211.45309025898047</v>
      </c>
      <c r="G36">
        <v>2900.3162279400412</v>
      </c>
      <c r="H36" s="1">
        <v>45688.333333333336</v>
      </c>
    </row>
    <row r="37" spans="1:8" x14ac:dyDescent="0.25">
      <c r="A37" s="7">
        <f>DATE(YEAR(m7_crossvalid[[#This Row],[cutoff]]),MONTH(m7_crossvalid[[#This Row],[cutoff]]),DAY(m7_crossvalid[[#This Row],[cutoff]]))</f>
        <v>45688</v>
      </c>
      <c r="B37" s="7">
        <f>DATE(YEAR(m7_crossvalid[[#This Row],[ds]]),MONTH(m7_crossvalid[[#This Row],[ds]]),DAY(m7_crossvalid[[#This Row],[ds]]))</f>
        <v>45693</v>
      </c>
      <c r="C37">
        <v>886</v>
      </c>
      <c r="D37" s="1">
        <v>45693.333333333336</v>
      </c>
      <c r="E37">
        <v>1590.9883643394123</v>
      </c>
      <c r="F37">
        <v>197.72112775292109</v>
      </c>
      <c r="G37">
        <v>2915.0312496194128</v>
      </c>
      <c r="H37" s="1">
        <v>45688.333333333336</v>
      </c>
    </row>
    <row r="38" spans="1:8" x14ac:dyDescent="0.25">
      <c r="A38" s="7">
        <f>DATE(YEAR(m7_crossvalid[[#This Row],[cutoff]]),MONTH(m7_crossvalid[[#This Row],[cutoff]]),DAY(m7_crossvalid[[#This Row],[cutoff]]))</f>
        <v>45688</v>
      </c>
      <c r="B38" s="7">
        <f>DATE(YEAR(m7_crossvalid[[#This Row],[ds]]),MONTH(m7_crossvalid[[#This Row],[ds]]),DAY(m7_crossvalid[[#This Row],[ds]]))</f>
        <v>45694</v>
      </c>
      <c r="C38">
        <v>1159</v>
      </c>
      <c r="D38" s="1">
        <v>45694.333333333336</v>
      </c>
      <c r="E38">
        <v>1568.4424825643541</v>
      </c>
      <c r="F38">
        <v>162.79467058035004</v>
      </c>
      <c r="G38">
        <v>2950.7461360833277</v>
      </c>
      <c r="H38" s="1">
        <v>45688.333333333336</v>
      </c>
    </row>
    <row r="39" spans="1:8" x14ac:dyDescent="0.25">
      <c r="A39" s="7">
        <f>DATE(YEAR(m7_crossvalid[[#This Row],[cutoff]]),MONTH(m7_crossvalid[[#This Row],[cutoff]]),DAY(m7_crossvalid[[#This Row],[cutoff]]))</f>
        <v>45688</v>
      </c>
      <c r="B39" s="7">
        <f>DATE(YEAR(m7_crossvalid[[#This Row],[ds]]),MONTH(m7_crossvalid[[#This Row],[ds]]),DAY(m7_crossvalid[[#This Row],[ds]]))</f>
        <v>45695</v>
      </c>
      <c r="C39">
        <v>1342</v>
      </c>
      <c r="D39" s="1">
        <v>45695.333333333336</v>
      </c>
      <c r="E39">
        <v>1289.8253033725159</v>
      </c>
      <c r="F39">
        <v>-210.59095497460464</v>
      </c>
      <c r="G39">
        <v>2630.4153394439686</v>
      </c>
      <c r="H39" s="1">
        <v>45688.333333333336</v>
      </c>
    </row>
    <row r="40" spans="1:8" x14ac:dyDescent="0.25">
      <c r="A40" s="7">
        <f>DATE(YEAR(m7_crossvalid[[#This Row],[cutoff]]),MONTH(m7_crossvalid[[#This Row],[cutoff]]),DAY(m7_crossvalid[[#This Row],[cutoff]]))</f>
        <v>45688</v>
      </c>
      <c r="B40" s="7">
        <f>DATE(YEAR(m7_crossvalid[[#This Row],[ds]]),MONTH(m7_crossvalid[[#This Row],[ds]]),DAY(m7_crossvalid[[#This Row],[ds]]))</f>
        <v>45696</v>
      </c>
      <c r="C40">
        <v>301</v>
      </c>
      <c r="D40" s="1">
        <v>45696.333333333336</v>
      </c>
      <c r="E40">
        <v>-305.33331400663201</v>
      </c>
      <c r="F40">
        <v>-1755.0126272979983</v>
      </c>
      <c r="G40">
        <v>1076.3560275009897</v>
      </c>
      <c r="H40" s="1">
        <v>45688.333333333336</v>
      </c>
    </row>
    <row r="41" spans="1:8" x14ac:dyDescent="0.25">
      <c r="A41" s="7">
        <f>DATE(YEAR(m7_crossvalid[[#This Row],[cutoff]]),MONTH(m7_crossvalid[[#This Row],[cutoff]]),DAY(m7_crossvalid[[#This Row],[cutoff]]))</f>
        <v>45688</v>
      </c>
      <c r="B41" s="7">
        <f>DATE(YEAR(m7_crossvalid[[#This Row],[ds]]),MONTH(m7_crossvalid[[#This Row],[ds]]),DAY(m7_crossvalid[[#This Row],[ds]]))</f>
        <v>45697</v>
      </c>
      <c r="C41">
        <v>54</v>
      </c>
      <c r="D41" s="1">
        <v>45697.333333333336</v>
      </c>
      <c r="E41">
        <v>-805.55663020000384</v>
      </c>
      <c r="F41">
        <v>-2203.6107349451067</v>
      </c>
      <c r="G41">
        <v>657.1112526925142</v>
      </c>
      <c r="H41" s="1">
        <v>45688.333333333336</v>
      </c>
    </row>
    <row r="42" spans="1:8" x14ac:dyDescent="0.25">
      <c r="A42" s="7">
        <f>DATE(YEAR(m7_crossvalid[[#This Row],[cutoff]]),MONTH(m7_crossvalid[[#This Row],[cutoff]]),DAY(m7_crossvalid[[#This Row],[cutoff]]))</f>
        <v>45688</v>
      </c>
      <c r="B42" s="7">
        <f>DATE(YEAR(m7_crossvalid[[#This Row],[ds]]),MONTH(m7_crossvalid[[#This Row],[ds]]),DAY(m7_crossvalid[[#This Row],[ds]]))</f>
        <v>45698</v>
      </c>
      <c r="C42">
        <v>1577</v>
      </c>
      <c r="D42" s="1">
        <v>45698.333333333336</v>
      </c>
      <c r="E42">
        <v>1876.4588963478445</v>
      </c>
      <c r="F42">
        <v>429.49768775015377</v>
      </c>
      <c r="G42">
        <v>3369.3967135467142</v>
      </c>
      <c r="H42" s="1">
        <v>45688.333333333336</v>
      </c>
    </row>
    <row r="43" spans="1:8" x14ac:dyDescent="0.25">
      <c r="A43" s="7">
        <f>DATE(YEAR(m7_crossvalid[[#This Row],[cutoff]]),MONTH(m7_crossvalid[[#This Row],[cutoff]]),DAY(m7_crossvalid[[#This Row],[cutoff]]))</f>
        <v>45688</v>
      </c>
      <c r="B43" s="7">
        <f>DATE(YEAR(m7_crossvalid[[#This Row],[ds]]),MONTH(m7_crossvalid[[#This Row],[ds]]),DAY(m7_crossvalid[[#This Row],[ds]]))</f>
        <v>45699</v>
      </c>
      <c r="C43">
        <v>555</v>
      </c>
      <c r="D43" s="1">
        <v>45699.333333333336</v>
      </c>
      <c r="E43">
        <v>731.70506632900651</v>
      </c>
      <c r="F43">
        <v>-697.73771939089806</v>
      </c>
      <c r="G43">
        <v>2126.6924196575023</v>
      </c>
      <c r="H43" s="1">
        <v>45688.333333333336</v>
      </c>
    </row>
    <row r="44" spans="1:8" x14ac:dyDescent="0.25">
      <c r="A44" s="7">
        <f>DATE(YEAR(m7_crossvalid[[#This Row],[cutoff]]),MONTH(m7_crossvalid[[#This Row],[cutoff]]),DAY(m7_crossvalid[[#This Row],[cutoff]]))</f>
        <v>45688</v>
      </c>
      <c r="B44" s="7">
        <f>DATE(YEAR(m7_crossvalid[[#This Row],[ds]]),MONTH(m7_crossvalid[[#This Row],[ds]]),DAY(m7_crossvalid[[#This Row],[ds]]))</f>
        <v>45700</v>
      </c>
      <c r="C44">
        <v>1823</v>
      </c>
      <c r="D44" s="1">
        <v>45700.333333333336</v>
      </c>
      <c r="E44">
        <v>2311.8090613656041</v>
      </c>
      <c r="F44">
        <v>881.65745612787543</v>
      </c>
      <c r="G44">
        <v>3724.1163793169635</v>
      </c>
      <c r="H44" s="1">
        <v>45688.333333333336</v>
      </c>
    </row>
    <row r="45" spans="1:8" x14ac:dyDescent="0.25">
      <c r="A45" s="7">
        <f>DATE(YEAR(m7_crossvalid[[#This Row],[cutoff]]),MONTH(m7_crossvalid[[#This Row],[cutoff]]),DAY(m7_crossvalid[[#This Row],[cutoff]]))</f>
        <v>45688</v>
      </c>
      <c r="B45" s="7">
        <f>DATE(YEAR(m7_crossvalid[[#This Row],[ds]]),MONTH(m7_crossvalid[[#This Row],[ds]]),DAY(m7_crossvalid[[#This Row],[ds]]))</f>
        <v>45701</v>
      </c>
      <c r="C45">
        <v>2210</v>
      </c>
      <c r="D45" s="1">
        <v>45701.333333333336</v>
      </c>
      <c r="E45">
        <v>2311.2101732026563</v>
      </c>
      <c r="F45">
        <v>878.07839557880982</v>
      </c>
      <c r="G45">
        <v>3675.0094760872421</v>
      </c>
      <c r="H45" s="1">
        <v>45688.333333333336</v>
      </c>
    </row>
    <row r="46" spans="1:8" x14ac:dyDescent="0.25">
      <c r="A46" s="7">
        <f>DATE(YEAR(m7_crossvalid[[#This Row],[cutoff]]),MONTH(m7_crossvalid[[#This Row],[cutoff]]),DAY(m7_crossvalid[[#This Row],[cutoff]]))</f>
        <v>45688</v>
      </c>
      <c r="B46" s="7">
        <f>DATE(YEAR(m7_crossvalid[[#This Row],[ds]]),MONTH(m7_crossvalid[[#This Row],[ds]]),DAY(m7_crossvalid[[#This Row],[ds]]))</f>
        <v>45702</v>
      </c>
      <c r="C46">
        <v>2308</v>
      </c>
      <c r="D46" s="1">
        <v>45702.333333333336</v>
      </c>
      <c r="E46">
        <v>2315.8271391523576</v>
      </c>
      <c r="F46">
        <v>901.81497089778031</v>
      </c>
      <c r="G46">
        <v>3763.0769601190427</v>
      </c>
      <c r="H46" s="1">
        <v>45688.333333333336</v>
      </c>
    </row>
    <row r="47" spans="1:8" x14ac:dyDescent="0.25">
      <c r="A47" s="7">
        <f>DATE(YEAR(m7_crossvalid[[#This Row],[cutoff]]),MONTH(m7_crossvalid[[#This Row],[cutoff]]),DAY(m7_crossvalid[[#This Row],[cutoff]]))</f>
        <v>45688</v>
      </c>
      <c r="B47" s="7">
        <f>DATE(YEAR(m7_crossvalid[[#This Row],[ds]]),MONTH(m7_crossvalid[[#This Row],[ds]]),DAY(m7_crossvalid[[#This Row],[ds]]))</f>
        <v>45703</v>
      </c>
      <c r="C47">
        <v>485</v>
      </c>
      <c r="D47" s="1">
        <v>45703.333333333336</v>
      </c>
      <c r="E47">
        <v>331.4442480016512</v>
      </c>
      <c r="F47">
        <v>-997.92957983711062</v>
      </c>
      <c r="G47">
        <v>1713.908567337485</v>
      </c>
      <c r="H47" s="1">
        <v>45688.333333333336</v>
      </c>
    </row>
    <row r="48" spans="1:8" x14ac:dyDescent="0.25">
      <c r="A48" s="7">
        <f>DATE(YEAR(m7_crossvalid[[#This Row],[cutoff]]),MONTH(m7_crossvalid[[#This Row],[cutoff]]),DAY(m7_crossvalid[[#This Row],[cutoff]]))</f>
        <v>45688</v>
      </c>
      <c r="B48" s="7">
        <f>DATE(YEAR(m7_crossvalid[[#This Row],[ds]]),MONTH(m7_crossvalid[[#This Row],[ds]]),DAY(m7_crossvalid[[#This Row],[ds]]))</f>
        <v>45704</v>
      </c>
      <c r="C48">
        <v>118</v>
      </c>
      <c r="D48" s="1">
        <v>45704.333333333336</v>
      </c>
      <c r="E48">
        <v>-41.037187620093846</v>
      </c>
      <c r="F48">
        <v>-1451.7029761435001</v>
      </c>
      <c r="G48">
        <v>1355.9288911240478</v>
      </c>
      <c r="H48" s="1">
        <v>45688.333333333336</v>
      </c>
    </row>
    <row r="49" spans="1:8" x14ac:dyDescent="0.25">
      <c r="A49" s="7">
        <f>DATE(YEAR(m7_crossvalid[[#This Row],[cutoff]]),MONTH(m7_crossvalid[[#This Row],[cutoff]]),DAY(m7_crossvalid[[#This Row],[cutoff]]))</f>
        <v>45688</v>
      </c>
      <c r="B49" s="7">
        <f>DATE(YEAR(m7_crossvalid[[#This Row],[ds]]),MONTH(m7_crossvalid[[#This Row],[ds]]),DAY(m7_crossvalid[[#This Row],[ds]]))</f>
        <v>45705</v>
      </c>
      <c r="C49">
        <v>2482</v>
      </c>
      <c r="D49" s="1">
        <v>45705.333333333336</v>
      </c>
      <c r="E49">
        <v>2425.9516540467444</v>
      </c>
      <c r="F49">
        <v>943.45606430977159</v>
      </c>
      <c r="G49">
        <v>3858.1071862454082</v>
      </c>
      <c r="H49" s="1">
        <v>45688.333333333336</v>
      </c>
    </row>
    <row r="50" spans="1:8" x14ac:dyDescent="0.25">
      <c r="A50" s="7">
        <f>DATE(YEAR(m7_crossvalid[[#This Row],[cutoff]]),MONTH(m7_crossvalid[[#This Row],[cutoff]]),DAY(m7_crossvalid[[#This Row],[cutoff]]))</f>
        <v>45688</v>
      </c>
      <c r="B50" s="7">
        <f>DATE(YEAR(m7_crossvalid[[#This Row],[ds]]),MONTH(m7_crossvalid[[#This Row],[ds]]),DAY(m7_crossvalid[[#This Row],[ds]]))</f>
        <v>45706</v>
      </c>
      <c r="C50">
        <v>2913</v>
      </c>
      <c r="D50" s="1">
        <v>45706.333333333336</v>
      </c>
      <c r="E50">
        <v>2799.3418068770884</v>
      </c>
      <c r="F50">
        <v>1367.9357972323689</v>
      </c>
      <c r="G50">
        <v>4146.7806724197044</v>
      </c>
      <c r="H50" s="1">
        <v>45688.333333333336</v>
      </c>
    </row>
    <row r="51" spans="1:8" x14ac:dyDescent="0.25">
      <c r="A51" s="7">
        <f>DATE(YEAR(m7_crossvalid[[#This Row],[cutoff]]),MONTH(m7_crossvalid[[#This Row],[cutoff]]),DAY(m7_crossvalid[[#This Row],[cutoff]]))</f>
        <v>45688</v>
      </c>
      <c r="B51" s="7">
        <f>DATE(YEAR(m7_crossvalid[[#This Row],[ds]]),MONTH(m7_crossvalid[[#This Row],[ds]]),DAY(m7_crossvalid[[#This Row],[ds]]))</f>
        <v>45707</v>
      </c>
      <c r="C51">
        <v>3106</v>
      </c>
      <c r="D51" s="1">
        <v>45707.333333333336</v>
      </c>
      <c r="E51">
        <v>2909.0611071398694</v>
      </c>
      <c r="F51">
        <v>1496.4085051924994</v>
      </c>
      <c r="G51">
        <v>4269.2969657023805</v>
      </c>
      <c r="H51" s="1">
        <v>45688.333333333336</v>
      </c>
    </row>
    <row r="52" spans="1:8" x14ac:dyDescent="0.25">
      <c r="A52" s="7">
        <f>DATE(YEAR(m7_crossvalid[[#This Row],[cutoff]]),MONTH(m7_crossvalid[[#This Row],[cutoff]]),DAY(m7_crossvalid[[#This Row],[cutoff]]))</f>
        <v>45688</v>
      </c>
      <c r="B52" s="7">
        <f>DATE(YEAR(m7_crossvalid[[#This Row],[ds]]),MONTH(m7_crossvalid[[#This Row],[ds]]),DAY(m7_crossvalid[[#This Row],[ds]]))</f>
        <v>45708</v>
      </c>
      <c r="C52">
        <v>3104</v>
      </c>
      <c r="D52" s="1">
        <v>45708.333333333336</v>
      </c>
      <c r="E52">
        <v>2898.541424975559</v>
      </c>
      <c r="F52">
        <v>1524.4137089503677</v>
      </c>
      <c r="G52">
        <v>4329.7748449297424</v>
      </c>
      <c r="H52" s="1">
        <v>45688.333333333336</v>
      </c>
    </row>
    <row r="53" spans="1:8" x14ac:dyDescent="0.25">
      <c r="A53" s="7">
        <f>DATE(YEAR(m7_crossvalid[[#This Row],[cutoff]]),MONTH(m7_crossvalid[[#This Row],[cutoff]]),DAY(m7_crossvalid[[#This Row],[cutoff]]))</f>
        <v>45688</v>
      </c>
      <c r="B53" s="7">
        <f>DATE(YEAR(m7_crossvalid[[#This Row],[ds]]),MONTH(m7_crossvalid[[#This Row],[ds]]),DAY(m7_crossvalid[[#This Row],[ds]]))</f>
        <v>45709</v>
      </c>
      <c r="C53">
        <v>3309</v>
      </c>
      <c r="D53" s="1">
        <v>45709.333333333336</v>
      </c>
      <c r="E53">
        <v>2977.2602289774477</v>
      </c>
      <c r="F53">
        <v>1642.0126547259297</v>
      </c>
      <c r="G53">
        <v>4477.3092976553889</v>
      </c>
      <c r="H53" s="1">
        <v>45688.333333333336</v>
      </c>
    </row>
    <row r="54" spans="1:8" x14ac:dyDescent="0.25">
      <c r="A54" s="7">
        <f>DATE(YEAR(m7_crossvalid[[#This Row],[cutoff]]),MONTH(m7_crossvalid[[#This Row],[cutoff]]),DAY(m7_crossvalid[[#This Row],[cutoff]]))</f>
        <v>45688</v>
      </c>
      <c r="B54" s="7">
        <f>DATE(YEAR(m7_crossvalid[[#This Row],[ds]]),MONTH(m7_crossvalid[[#This Row],[ds]]),DAY(m7_crossvalid[[#This Row],[ds]]))</f>
        <v>45710</v>
      </c>
      <c r="C54">
        <v>732</v>
      </c>
      <c r="D54" s="1">
        <v>45710.333333333336</v>
      </c>
      <c r="E54">
        <v>1897.1649474469064</v>
      </c>
      <c r="F54">
        <v>559.88442490868499</v>
      </c>
      <c r="G54">
        <v>3356.9336858642537</v>
      </c>
      <c r="H54" s="1">
        <v>45688.333333333336</v>
      </c>
    </row>
    <row r="55" spans="1:8" x14ac:dyDescent="0.25">
      <c r="A55" s="7">
        <f>DATE(YEAR(m7_crossvalid[[#This Row],[cutoff]]),MONTH(m7_crossvalid[[#This Row],[cutoff]]),DAY(m7_crossvalid[[#This Row],[cutoff]]))</f>
        <v>45688</v>
      </c>
      <c r="B55" s="7">
        <f>DATE(YEAR(m7_crossvalid[[#This Row],[ds]]),MONTH(m7_crossvalid[[#This Row],[ds]]),DAY(m7_crossvalid[[#This Row],[ds]]))</f>
        <v>45711</v>
      </c>
      <c r="C55">
        <v>202</v>
      </c>
      <c r="D55" s="1">
        <v>45711.333333333336</v>
      </c>
      <c r="E55">
        <v>1258.0531743740123</v>
      </c>
      <c r="F55">
        <v>-130.86699079318046</v>
      </c>
      <c r="G55">
        <v>2741.3128961043872</v>
      </c>
      <c r="H55" s="1">
        <v>45688.333333333336</v>
      </c>
    </row>
    <row r="56" spans="1:8" x14ac:dyDescent="0.25">
      <c r="A56" s="7">
        <f>DATE(YEAR(m7_crossvalid[[#This Row],[cutoff]]),MONTH(m7_crossvalid[[#This Row],[cutoff]]),DAY(m7_crossvalid[[#This Row],[cutoff]]))</f>
        <v>45688</v>
      </c>
      <c r="B56" s="7">
        <f>DATE(YEAR(m7_crossvalid[[#This Row],[ds]]),MONTH(m7_crossvalid[[#This Row],[ds]]),DAY(m7_crossvalid[[#This Row],[ds]]))</f>
        <v>45712</v>
      </c>
      <c r="C56">
        <v>3545</v>
      </c>
      <c r="D56" s="1">
        <v>45712.333333333336</v>
      </c>
      <c r="E56">
        <v>3431.4190136259604</v>
      </c>
      <c r="F56">
        <v>2076.4800466954621</v>
      </c>
      <c r="G56">
        <v>4793.3948913201593</v>
      </c>
      <c r="H56" s="1">
        <v>45688.333333333336</v>
      </c>
    </row>
    <row r="57" spans="1:8" x14ac:dyDescent="0.25">
      <c r="A57" s="7">
        <f>DATE(YEAR(m7_crossvalid[[#This Row],[cutoff]]),MONTH(m7_crossvalid[[#This Row],[cutoff]]),DAY(m7_crossvalid[[#This Row],[cutoff]]))</f>
        <v>45688</v>
      </c>
      <c r="B57" s="7">
        <f>DATE(YEAR(m7_crossvalid[[#This Row],[ds]]),MONTH(m7_crossvalid[[#This Row],[ds]]),DAY(m7_crossvalid[[#This Row],[ds]]))</f>
        <v>45713</v>
      </c>
      <c r="C57">
        <v>4868</v>
      </c>
      <c r="D57" s="1">
        <v>45713.333333333336</v>
      </c>
      <c r="E57">
        <v>3979.4232202988719</v>
      </c>
      <c r="F57">
        <v>2541.5485916255211</v>
      </c>
      <c r="G57">
        <v>5425.0224234399848</v>
      </c>
      <c r="H57" s="1">
        <v>45688.333333333336</v>
      </c>
    </row>
    <row r="58" spans="1:8" x14ac:dyDescent="0.25">
      <c r="A58" s="7">
        <f>DATE(YEAR(m7_crossvalid[[#This Row],[cutoff]]),MONTH(m7_crossvalid[[#This Row],[cutoff]]),DAY(m7_crossvalid[[#This Row],[cutoff]]))</f>
        <v>45688</v>
      </c>
      <c r="B58" s="7">
        <f>DATE(YEAR(m7_crossvalid[[#This Row],[ds]]),MONTH(m7_crossvalid[[#This Row],[ds]]),DAY(m7_crossvalid[[#This Row],[ds]]))</f>
        <v>45714</v>
      </c>
      <c r="C58">
        <v>6187</v>
      </c>
      <c r="D58" s="1">
        <v>45714.333333333336</v>
      </c>
      <c r="E58">
        <v>4546.0354011007003</v>
      </c>
      <c r="F58">
        <v>3180.8940213362075</v>
      </c>
      <c r="G58">
        <v>6083.3763321899905</v>
      </c>
      <c r="H58" s="1">
        <v>45688.333333333336</v>
      </c>
    </row>
    <row r="59" spans="1:8" x14ac:dyDescent="0.25">
      <c r="A59" s="7">
        <f>DATE(YEAR(m7_crossvalid[[#This Row],[cutoff]]),MONTH(m7_crossvalid[[#This Row],[cutoff]]),DAY(m7_crossvalid[[#This Row],[cutoff]]))</f>
        <v>45688</v>
      </c>
      <c r="B59" s="7">
        <f>DATE(YEAR(m7_crossvalid[[#This Row],[ds]]),MONTH(m7_crossvalid[[#This Row],[ds]]),DAY(m7_crossvalid[[#This Row],[ds]]))</f>
        <v>45715</v>
      </c>
      <c r="C59">
        <v>8082</v>
      </c>
      <c r="D59" s="1">
        <v>45715.333333333336</v>
      </c>
      <c r="E59">
        <v>7260.9006816692745</v>
      </c>
      <c r="F59">
        <v>5936.1215839707766</v>
      </c>
      <c r="G59">
        <v>8706.0290191136901</v>
      </c>
      <c r="H59" s="1">
        <v>45688.333333333336</v>
      </c>
    </row>
    <row r="60" spans="1:8" x14ac:dyDescent="0.25">
      <c r="A60" s="7">
        <f>DATE(YEAR(m7_crossvalid[[#This Row],[cutoff]]),MONTH(m7_crossvalid[[#This Row],[cutoff]]),DAY(m7_crossvalid[[#This Row],[cutoff]]))</f>
        <v>45688</v>
      </c>
      <c r="B60" s="7">
        <f>DATE(YEAR(m7_crossvalid[[#This Row],[ds]]),MONTH(m7_crossvalid[[#This Row],[ds]]),DAY(m7_crossvalid[[#This Row],[ds]]))</f>
        <v>45716</v>
      </c>
      <c r="C60">
        <v>14838</v>
      </c>
      <c r="D60" s="1">
        <v>45716.333333333336</v>
      </c>
      <c r="E60">
        <v>9764.4668714747986</v>
      </c>
      <c r="F60">
        <v>8281.5541730668301</v>
      </c>
      <c r="G60">
        <v>11182.720236659548</v>
      </c>
      <c r="H60" s="1">
        <v>45688.333333333336</v>
      </c>
    </row>
    <row r="61" spans="1:8" x14ac:dyDescent="0.25">
      <c r="A61" s="7">
        <f>DATE(YEAR(m7_crossvalid[[#This Row],[cutoff]]),MONTH(m7_crossvalid[[#This Row],[cutoff]]),DAY(m7_crossvalid[[#This Row],[cutoff]]))</f>
        <v>45688</v>
      </c>
      <c r="B61" s="7">
        <f>DATE(YEAR(m7_crossvalid[[#This Row],[ds]]),MONTH(m7_crossvalid[[#This Row],[ds]]),DAY(m7_crossvalid[[#This Row],[ds]]))</f>
        <v>45717</v>
      </c>
      <c r="C61">
        <v>74</v>
      </c>
      <c r="D61" s="1">
        <v>45717.333333333336</v>
      </c>
      <c r="E61">
        <v>1106.3471313921957</v>
      </c>
      <c r="F61">
        <v>-402.16617734776702</v>
      </c>
      <c r="G61">
        <v>2627.0670325293668</v>
      </c>
      <c r="H61" s="1">
        <v>45688.333333333336</v>
      </c>
    </row>
    <row r="62" spans="1:8" x14ac:dyDescent="0.25">
      <c r="A62" s="7">
        <f>DATE(YEAR(m7_crossvalid[[#This Row],[cutoff]]),MONTH(m7_crossvalid[[#This Row],[cutoff]]),DAY(m7_crossvalid[[#This Row],[cutoff]]))</f>
        <v>45688</v>
      </c>
      <c r="B62" s="7">
        <f>DATE(YEAR(m7_crossvalid[[#This Row],[ds]]),MONTH(m7_crossvalid[[#This Row],[ds]]),DAY(m7_crossvalid[[#This Row],[ds]]))</f>
        <v>45718</v>
      </c>
      <c r="C62">
        <v>27</v>
      </c>
      <c r="D62" s="1">
        <v>45718.333333333336</v>
      </c>
      <c r="E62">
        <v>-512.89148737037522</v>
      </c>
      <c r="F62">
        <v>-1967.4430639041593</v>
      </c>
      <c r="G62">
        <v>784.06463772651045</v>
      </c>
      <c r="H62" s="1">
        <v>45688.333333333336</v>
      </c>
    </row>
    <row r="63" spans="1:8" x14ac:dyDescent="0.25">
      <c r="A63" s="7">
        <f>DATE(YEAR(m7_crossvalid[[#This Row],[cutoff]]),MONTH(m7_crossvalid[[#This Row],[cutoff]]),DAY(m7_crossvalid[[#This Row],[cutoff]]))</f>
        <v>45688</v>
      </c>
      <c r="B63" s="7">
        <f>DATE(YEAR(m7_crossvalid[[#This Row],[ds]]),MONTH(m7_crossvalid[[#This Row],[ds]]),DAY(m7_crossvalid[[#This Row],[ds]]))</f>
        <v>45719</v>
      </c>
      <c r="C63">
        <v>378</v>
      </c>
      <c r="D63" s="1">
        <v>45719.333333333336</v>
      </c>
      <c r="E63">
        <v>1458.3636691271934</v>
      </c>
      <c r="F63">
        <v>-44.019128375885501</v>
      </c>
      <c r="G63">
        <v>2931.7887365155366</v>
      </c>
      <c r="H63" s="1">
        <v>45688.333333333336</v>
      </c>
    </row>
    <row r="64" spans="1:8" x14ac:dyDescent="0.25">
      <c r="A64" s="7">
        <f>DATE(YEAR(m7_crossvalid[[#This Row],[cutoff]]),MONTH(m7_crossvalid[[#This Row],[cutoff]]),DAY(m7_crossvalid[[#This Row],[cutoff]]))</f>
        <v>45716</v>
      </c>
      <c r="B64" s="7">
        <f>DATE(YEAR(m7_crossvalid[[#This Row],[ds]]),MONTH(m7_crossvalid[[#This Row],[ds]]),DAY(m7_crossvalid[[#This Row],[ds]]))</f>
        <v>45717</v>
      </c>
      <c r="C64">
        <v>74</v>
      </c>
      <c r="D64" s="1">
        <v>45717.333333333336</v>
      </c>
      <c r="E64">
        <v>1484.371689637162</v>
      </c>
      <c r="F64">
        <v>103.59946486689104</v>
      </c>
      <c r="G64">
        <v>2809.4307096706543</v>
      </c>
      <c r="H64" s="1">
        <v>45716.333333333336</v>
      </c>
    </row>
    <row r="65" spans="1:8" x14ac:dyDescent="0.25">
      <c r="A65" s="7">
        <f>DATE(YEAR(m7_crossvalid[[#This Row],[cutoff]]),MONTH(m7_crossvalid[[#This Row],[cutoff]]),DAY(m7_crossvalid[[#This Row],[cutoff]]))</f>
        <v>45716</v>
      </c>
      <c r="B65" s="7">
        <f>DATE(YEAR(m7_crossvalid[[#This Row],[ds]]),MONTH(m7_crossvalid[[#This Row],[ds]]),DAY(m7_crossvalid[[#This Row],[ds]]))</f>
        <v>45718</v>
      </c>
      <c r="C65">
        <v>27</v>
      </c>
      <c r="D65" s="1">
        <v>45718.333333333336</v>
      </c>
      <c r="E65">
        <v>-431.90577746015242</v>
      </c>
      <c r="F65">
        <v>-1868.9648039595597</v>
      </c>
      <c r="G65">
        <v>962.77820867248352</v>
      </c>
      <c r="H65" s="1">
        <v>45716.333333333336</v>
      </c>
    </row>
    <row r="66" spans="1:8" x14ac:dyDescent="0.25">
      <c r="A66" s="7">
        <f>DATE(YEAR(m7_crossvalid[[#This Row],[cutoff]]),MONTH(m7_crossvalid[[#This Row],[cutoff]]),DAY(m7_crossvalid[[#This Row],[cutoff]]))</f>
        <v>45716</v>
      </c>
      <c r="B66" s="7">
        <f>DATE(YEAR(m7_crossvalid[[#This Row],[ds]]),MONTH(m7_crossvalid[[#This Row],[ds]]),DAY(m7_crossvalid[[#This Row],[ds]]))</f>
        <v>45719</v>
      </c>
      <c r="C66">
        <v>378</v>
      </c>
      <c r="D66" s="1">
        <v>45719.333333333336</v>
      </c>
      <c r="E66">
        <v>1510.6820845459106</v>
      </c>
      <c r="F66">
        <v>94.172578784303354</v>
      </c>
      <c r="G66">
        <v>2932.8267858031295</v>
      </c>
      <c r="H66" s="1">
        <v>45716.333333333336</v>
      </c>
    </row>
    <row r="67" spans="1:8" x14ac:dyDescent="0.25">
      <c r="A67" s="7">
        <f>DATE(YEAR(m7_crossvalid[[#This Row],[cutoff]]),MONTH(m7_crossvalid[[#This Row],[cutoff]]),DAY(m7_crossvalid[[#This Row],[cutoff]]))</f>
        <v>45716</v>
      </c>
      <c r="B67" s="7">
        <f>DATE(YEAR(m7_crossvalid[[#This Row],[ds]]),MONTH(m7_crossvalid[[#This Row],[ds]]),DAY(m7_crossvalid[[#This Row],[ds]]))</f>
        <v>45720</v>
      </c>
      <c r="C67">
        <v>666</v>
      </c>
      <c r="D67" s="1">
        <v>45720.333333333336</v>
      </c>
      <c r="E67">
        <v>1843.6283105603172</v>
      </c>
      <c r="F67">
        <v>297.42518524000951</v>
      </c>
      <c r="G67">
        <v>3202.5057149123154</v>
      </c>
      <c r="H67" s="1">
        <v>45716.333333333336</v>
      </c>
    </row>
    <row r="68" spans="1:8" x14ac:dyDescent="0.25">
      <c r="A68" s="7">
        <f>DATE(YEAR(m7_crossvalid[[#This Row],[cutoff]]),MONTH(m7_crossvalid[[#This Row],[cutoff]]),DAY(m7_crossvalid[[#This Row],[cutoff]]))</f>
        <v>45716</v>
      </c>
      <c r="B68" s="7">
        <f>DATE(YEAR(m7_crossvalid[[#This Row],[ds]]),MONTH(m7_crossvalid[[#This Row],[ds]]),DAY(m7_crossvalid[[#This Row],[ds]]))</f>
        <v>45721</v>
      </c>
      <c r="C68">
        <v>793</v>
      </c>
      <c r="D68" s="1">
        <v>45721.333333333336</v>
      </c>
      <c r="E68">
        <v>1871.5524142355703</v>
      </c>
      <c r="F68">
        <v>496.2109286170064</v>
      </c>
      <c r="G68">
        <v>3269.7095807885266</v>
      </c>
      <c r="H68" s="1">
        <v>45716.333333333336</v>
      </c>
    </row>
    <row r="69" spans="1:8" x14ac:dyDescent="0.25">
      <c r="A69" s="7">
        <f>DATE(YEAR(m7_crossvalid[[#This Row],[cutoff]]),MONTH(m7_crossvalid[[#This Row],[cutoff]]),DAY(m7_crossvalid[[#This Row],[cutoff]]))</f>
        <v>45716</v>
      </c>
      <c r="B69" s="7">
        <f>DATE(YEAR(m7_crossvalid[[#This Row],[ds]]),MONTH(m7_crossvalid[[#This Row],[ds]]),DAY(m7_crossvalid[[#This Row],[ds]]))</f>
        <v>45722</v>
      </c>
      <c r="C69">
        <v>1426</v>
      </c>
      <c r="D69" s="1">
        <v>45722.333333333336</v>
      </c>
      <c r="E69">
        <v>1808.240769375747</v>
      </c>
      <c r="F69">
        <v>532.35873208048656</v>
      </c>
      <c r="G69">
        <v>3249.7400385355663</v>
      </c>
      <c r="H69" s="1">
        <v>45716.333333333336</v>
      </c>
    </row>
    <row r="70" spans="1:8" x14ac:dyDescent="0.25">
      <c r="A70" s="7">
        <f>DATE(YEAR(m7_crossvalid[[#This Row],[cutoff]]),MONTH(m7_crossvalid[[#This Row],[cutoff]]),DAY(m7_crossvalid[[#This Row],[cutoff]]))</f>
        <v>45716</v>
      </c>
      <c r="B70" s="7">
        <f>DATE(YEAR(m7_crossvalid[[#This Row],[ds]]),MONTH(m7_crossvalid[[#This Row],[ds]]),DAY(m7_crossvalid[[#This Row],[ds]]))</f>
        <v>45723</v>
      </c>
      <c r="C70">
        <v>1674</v>
      </c>
      <c r="D70" s="1">
        <v>45723.333333333336</v>
      </c>
      <c r="E70">
        <v>1801.5084471217097</v>
      </c>
      <c r="F70">
        <v>371.2173001895419</v>
      </c>
      <c r="G70">
        <v>3193.4270049924162</v>
      </c>
      <c r="H70" s="1">
        <v>45716.333333333336</v>
      </c>
    </row>
    <row r="71" spans="1:8" x14ac:dyDescent="0.25">
      <c r="A71" s="7">
        <f>DATE(YEAR(m7_crossvalid[[#This Row],[cutoff]]),MONTH(m7_crossvalid[[#This Row],[cutoff]]),DAY(m7_crossvalid[[#This Row],[cutoff]]))</f>
        <v>45716</v>
      </c>
      <c r="B71" s="7">
        <f>DATE(YEAR(m7_crossvalid[[#This Row],[ds]]),MONTH(m7_crossvalid[[#This Row],[ds]]),DAY(m7_crossvalid[[#This Row],[ds]]))</f>
        <v>45724</v>
      </c>
      <c r="C71">
        <v>310</v>
      </c>
      <c r="D71" s="1">
        <v>45724.333333333336</v>
      </c>
      <c r="E71">
        <v>432.55173263702181</v>
      </c>
      <c r="F71">
        <v>-937.35451886044143</v>
      </c>
      <c r="G71">
        <v>1853.4713396068566</v>
      </c>
      <c r="H71" s="1">
        <v>45716.333333333336</v>
      </c>
    </row>
    <row r="72" spans="1:8" x14ac:dyDescent="0.25">
      <c r="A72" s="7">
        <f>DATE(YEAR(m7_crossvalid[[#This Row],[cutoff]]),MONTH(m7_crossvalid[[#This Row],[cutoff]]),DAY(m7_crossvalid[[#This Row],[cutoff]]))</f>
        <v>45716</v>
      </c>
      <c r="B72" s="7">
        <f>DATE(YEAR(m7_crossvalid[[#This Row],[ds]]),MONTH(m7_crossvalid[[#This Row],[ds]]),DAY(m7_crossvalid[[#This Row],[ds]]))</f>
        <v>45725</v>
      </c>
      <c r="C72">
        <v>109</v>
      </c>
      <c r="D72" s="1">
        <v>45725.333333333336</v>
      </c>
      <c r="E72">
        <v>-120.89581797920118</v>
      </c>
      <c r="F72">
        <v>-1456.1977404600482</v>
      </c>
      <c r="G72">
        <v>1215.5584793289058</v>
      </c>
      <c r="H72" s="1">
        <v>45716.333333333336</v>
      </c>
    </row>
    <row r="73" spans="1:8" x14ac:dyDescent="0.25">
      <c r="A73" s="7">
        <f>DATE(YEAR(m7_crossvalid[[#This Row],[cutoff]]),MONTH(m7_crossvalid[[#This Row],[cutoff]]),DAY(m7_crossvalid[[#This Row],[cutoff]]))</f>
        <v>45716</v>
      </c>
      <c r="B73" s="7">
        <f>DATE(YEAR(m7_crossvalid[[#This Row],[ds]]),MONTH(m7_crossvalid[[#This Row],[ds]]),DAY(m7_crossvalid[[#This Row],[ds]]))</f>
        <v>45726</v>
      </c>
      <c r="C73">
        <v>1900</v>
      </c>
      <c r="D73" s="1">
        <v>45726.333333333336</v>
      </c>
      <c r="E73">
        <v>2160.2964318037734</v>
      </c>
      <c r="F73">
        <v>698.65872269034787</v>
      </c>
      <c r="G73">
        <v>3518.563249932296</v>
      </c>
      <c r="H73" s="1">
        <v>45716.333333333336</v>
      </c>
    </row>
    <row r="74" spans="1:8" x14ac:dyDescent="0.25">
      <c r="A74" s="7">
        <f>DATE(YEAR(m7_crossvalid[[#This Row],[cutoff]]),MONTH(m7_crossvalid[[#This Row],[cutoff]]),DAY(m7_crossvalid[[#This Row],[cutoff]]))</f>
        <v>45716</v>
      </c>
      <c r="B74" s="7">
        <f>DATE(YEAR(m7_crossvalid[[#This Row],[ds]]),MONTH(m7_crossvalid[[#This Row],[ds]]),DAY(m7_crossvalid[[#This Row],[ds]]))</f>
        <v>45727</v>
      </c>
      <c r="C74">
        <v>2294</v>
      </c>
      <c r="D74" s="1">
        <v>45727.333333333336</v>
      </c>
      <c r="E74">
        <v>2370.2864919292379</v>
      </c>
      <c r="F74">
        <v>884.12797487155228</v>
      </c>
      <c r="G74">
        <v>3795.9699977927539</v>
      </c>
      <c r="H74" s="1">
        <v>45716.333333333336</v>
      </c>
    </row>
    <row r="75" spans="1:8" x14ac:dyDescent="0.25">
      <c r="A75" s="7">
        <f>DATE(YEAR(m7_crossvalid[[#This Row],[cutoff]]),MONTH(m7_crossvalid[[#This Row],[cutoff]]),DAY(m7_crossvalid[[#This Row],[cutoff]]))</f>
        <v>45716</v>
      </c>
      <c r="B75" s="7">
        <f>DATE(YEAR(m7_crossvalid[[#This Row],[ds]]),MONTH(m7_crossvalid[[#This Row],[ds]]),DAY(m7_crossvalid[[#This Row],[ds]]))</f>
        <v>45728</v>
      </c>
      <c r="C75">
        <v>2576</v>
      </c>
      <c r="D75" s="1">
        <v>45728.333333333336</v>
      </c>
      <c r="E75">
        <v>2529.6178815971984</v>
      </c>
      <c r="F75">
        <v>1140.1353230137552</v>
      </c>
      <c r="G75">
        <v>3965.954428542228</v>
      </c>
      <c r="H75" s="1">
        <v>45716.333333333336</v>
      </c>
    </row>
    <row r="76" spans="1:8" x14ac:dyDescent="0.25">
      <c r="A76" s="7">
        <f>DATE(YEAR(m7_crossvalid[[#This Row],[cutoff]]),MONTH(m7_crossvalid[[#This Row],[cutoff]]),DAY(m7_crossvalid[[#This Row],[cutoff]]))</f>
        <v>45716</v>
      </c>
      <c r="B76" s="7">
        <f>DATE(YEAR(m7_crossvalid[[#This Row],[ds]]),MONTH(m7_crossvalid[[#This Row],[ds]]),DAY(m7_crossvalid[[#This Row],[ds]]))</f>
        <v>45729</v>
      </c>
      <c r="C76">
        <v>2235</v>
      </c>
      <c r="D76" s="1">
        <v>45729.333333333336</v>
      </c>
      <c r="E76">
        <v>2706.2074340562021</v>
      </c>
      <c r="F76">
        <v>1258.9053833417984</v>
      </c>
      <c r="G76">
        <v>4053.7698421333889</v>
      </c>
      <c r="H76" s="1">
        <v>45716.333333333336</v>
      </c>
    </row>
    <row r="77" spans="1:8" x14ac:dyDescent="0.25">
      <c r="A77" s="7">
        <f>DATE(YEAR(m7_crossvalid[[#This Row],[cutoff]]),MONTH(m7_crossvalid[[#This Row],[cutoff]]),DAY(m7_crossvalid[[#This Row],[cutoff]]))</f>
        <v>45716</v>
      </c>
      <c r="B77" s="7">
        <f>DATE(YEAR(m7_crossvalid[[#This Row],[ds]]),MONTH(m7_crossvalid[[#This Row],[ds]]),DAY(m7_crossvalid[[#This Row],[ds]]))</f>
        <v>45730</v>
      </c>
      <c r="C77">
        <v>3818</v>
      </c>
      <c r="D77" s="1">
        <v>45730.333333333336</v>
      </c>
      <c r="E77">
        <v>2648.1219429834109</v>
      </c>
      <c r="F77">
        <v>1365.6357254527034</v>
      </c>
      <c r="G77">
        <v>4058.0598832956343</v>
      </c>
      <c r="H77" s="1">
        <v>45716.333333333336</v>
      </c>
    </row>
    <row r="78" spans="1:8" x14ac:dyDescent="0.25">
      <c r="A78" s="7">
        <f>DATE(YEAR(m7_crossvalid[[#This Row],[cutoff]]),MONTH(m7_crossvalid[[#This Row],[cutoff]]),DAY(m7_crossvalid[[#This Row],[cutoff]]))</f>
        <v>45716</v>
      </c>
      <c r="B78" s="7">
        <f>DATE(YEAR(m7_crossvalid[[#This Row],[ds]]),MONTH(m7_crossvalid[[#This Row],[ds]]),DAY(m7_crossvalid[[#This Row],[ds]]))</f>
        <v>45731</v>
      </c>
      <c r="C78">
        <v>927</v>
      </c>
      <c r="D78" s="1">
        <v>45731.333333333336</v>
      </c>
      <c r="E78">
        <v>450.31168791285904</v>
      </c>
      <c r="F78">
        <v>-1023.1747860001808</v>
      </c>
      <c r="G78">
        <v>1835.1836995692229</v>
      </c>
      <c r="H78" s="1">
        <v>45716.333333333336</v>
      </c>
    </row>
    <row r="79" spans="1:8" x14ac:dyDescent="0.25">
      <c r="A79" s="7">
        <f>DATE(YEAR(m7_crossvalid[[#This Row],[cutoff]]),MONTH(m7_crossvalid[[#This Row],[cutoff]]),DAY(m7_crossvalid[[#This Row],[cutoff]]))</f>
        <v>45716</v>
      </c>
      <c r="B79" s="7">
        <f>DATE(YEAR(m7_crossvalid[[#This Row],[ds]]),MONTH(m7_crossvalid[[#This Row],[ds]]),DAY(m7_crossvalid[[#This Row],[ds]]))</f>
        <v>45732</v>
      </c>
      <c r="C79">
        <v>263</v>
      </c>
      <c r="D79" s="1">
        <v>45732.333333333336</v>
      </c>
      <c r="E79">
        <v>25.585695455401492</v>
      </c>
      <c r="F79">
        <v>-1355.7605435341352</v>
      </c>
      <c r="G79">
        <v>1542.3638802326811</v>
      </c>
      <c r="H79" s="1">
        <v>45716.333333333336</v>
      </c>
    </row>
    <row r="80" spans="1:8" x14ac:dyDescent="0.25">
      <c r="A80" s="7">
        <f>DATE(YEAR(m7_crossvalid[[#This Row],[cutoff]]),MONTH(m7_crossvalid[[#This Row],[cutoff]]),DAY(m7_crossvalid[[#This Row],[cutoff]]))</f>
        <v>45716</v>
      </c>
      <c r="B80" s="7">
        <f>DATE(YEAR(m7_crossvalid[[#This Row],[ds]]),MONTH(m7_crossvalid[[#This Row],[ds]]),DAY(m7_crossvalid[[#This Row],[ds]]))</f>
        <v>45733</v>
      </c>
      <c r="C80">
        <v>4812</v>
      </c>
      <c r="D80" s="1">
        <v>45733.333333333336</v>
      </c>
      <c r="E80">
        <v>2632.6232891401828</v>
      </c>
      <c r="F80">
        <v>1117.4562944911324</v>
      </c>
      <c r="G80">
        <v>4074.2599858028188</v>
      </c>
      <c r="H80" s="1">
        <v>45716.333333333336</v>
      </c>
    </row>
    <row r="81" spans="1:8" x14ac:dyDescent="0.25">
      <c r="A81" s="7">
        <f>DATE(YEAR(m7_crossvalid[[#This Row],[cutoff]]),MONTH(m7_crossvalid[[#This Row],[cutoff]]),DAY(m7_crossvalid[[#This Row],[cutoff]]))</f>
        <v>45716</v>
      </c>
      <c r="B81" s="7">
        <f>DATE(YEAR(m7_crossvalid[[#This Row],[ds]]),MONTH(m7_crossvalid[[#This Row],[ds]]),DAY(m7_crossvalid[[#This Row],[ds]]))</f>
        <v>45734</v>
      </c>
      <c r="C81">
        <v>1459</v>
      </c>
      <c r="D81" s="1">
        <v>45734.333333333336</v>
      </c>
      <c r="E81">
        <v>1591.1754216914974</v>
      </c>
      <c r="F81">
        <v>141.28408638905282</v>
      </c>
      <c r="G81">
        <v>2881.6314499365217</v>
      </c>
      <c r="H81" s="1">
        <v>45716.333333333336</v>
      </c>
    </row>
    <row r="82" spans="1:8" x14ac:dyDescent="0.25">
      <c r="A82" s="7">
        <f>DATE(YEAR(m7_crossvalid[[#This Row],[cutoff]]),MONTH(m7_crossvalid[[#This Row],[cutoff]]),DAY(m7_crossvalid[[#This Row],[cutoff]]))</f>
        <v>45716</v>
      </c>
      <c r="B82" s="7">
        <f>DATE(YEAR(m7_crossvalid[[#This Row],[ds]]),MONTH(m7_crossvalid[[#This Row],[ds]]),DAY(m7_crossvalid[[#This Row],[ds]]))</f>
        <v>45735</v>
      </c>
      <c r="C82">
        <v>3508</v>
      </c>
      <c r="D82" s="1">
        <v>45735.333333333336</v>
      </c>
      <c r="E82">
        <v>3201.3130122533589</v>
      </c>
      <c r="F82">
        <v>1702.1903302238575</v>
      </c>
      <c r="G82">
        <v>4543.7689087440203</v>
      </c>
      <c r="H82" s="1">
        <v>45716.333333333336</v>
      </c>
    </row>
    <row r="83" spans="1:8" x14ac:dyDescent="0.25">
      <c r="A83" s="7">
        <f>DATE(YEAR(m7_crossvalid[[#This Row],[cutoff]]),MONTH(m7_crossvalid[[#This Row],[cutoff]]),DAY(m7_crossvalid[[#This Row],[cutoff]]))</f>
        <v>45716</v>
      </c>
      <c r="B83" s="7">
        <f>DATE(YEAR(m7_crossvalid[[#This Row],[ds]]),MONTH(m7_crossvalid[[#This Row],[ds]]),DAY(m7_crossvalid[[#This Row],[ds]]))</f>
        <v>45736</v>
      </c>
      <c r="C83">
        <v>3947</v>
      </c>
      <c r="D83" s="1">
        <v>45736.333333333336</v>
      </c>
      <c r="E83">
        <v>3172.8105815831395</v>
      </c>
      <c r="F83">
        <v>1613.8721553662142</v>
      </c>
      <c r="G83">
        <v>4570.5254127648013</v>
      </c>
      <c r="H83" s="1">
        <v>45716.333333333336</v>
      </c>
    </row>
    <row r="84" spans="1:8" x14ac:dyDescent="0.25">
      <c r="A84" s="7">
        <f>DATE(YEAR(m7_crossvalid[[#This Row],[cutoff]]),MONTH(m7_crossvalid[[#This Row],[cutoff]]),DAY(m7_crossvalid[[#This Row],[cutoff]]))</f>
        <v>45716</v>
      </c>
      <c r="B84" s="7">
        <f>DATE(YEAR(m7_crossvalid[[#This Row],[ds]]),MONTH(m7_crossvalid[[#This Row],[ds]]),DAY(m7_crossvalid[[#This Row],[ds]]))</f>
        <v>45737</v>
      </c>
      <c r="C84">
        <v>4280</v>
      </c>
      <c r="D84" s="1">
        <v>45737.333333333336</v>
      </c>
      <c r="E84">
        <v>3179.5348831823785</v>
      </c>
      <c r="F84">
        <v>1843.2481393293658</v>
      </c>
      <c r="G84">
        <v>4680.7581309001289</v>
      </c>
      <c r="H84" s="1">
        <v>45716.333333333336</v>
      </c>
    </row>
    <row r="85" spans="1:8" x14ac:dyDescent="0.25">
      <c r="A85" s="7">
        <f>DATE(YEAR(m7_crossvalid[[#This Row],[cutoff]]),MONTH(m7_crossvalid[[#This Row],[cutoff]]),DAY(m7_crossvalid[[#This Row],[cutoff]]))</f>
        <v>45716</v>
      </c>
      <c r="B85" s="7">
        <f>DATE(YEAR(m7_crossvalid[[#This Row],[ds]]),MONTH(m7_crossvalid[[#This Row],[ds]]),DAY(m7_crossvalid[[#This Row],[ds]]))</f>
        <v>45738</v>
      </c>
      <c r="C85">
        <v>1076</v>
      </c>
      <c r="D85" s="1">
        <v>45738.333333333336</v>
      </c>
      <c r="E85">
        <v>1020.4226114260882</v>
      </c>
      <c r="F85">
        <v>-330.29963081756188</v>
      </c>
      <c r="G85">
        <v>2524.83879844184</v>
      </c>
      <c r="H85" s="1">
        <v>45716.333333333336</v>
      </c>
    </row>
    <row r="86" spans="1:8" x14ac:dyDescent="0.25">
      <c r="A86" s="7">
        <f>DATE(YEAR(m7_crossvalid[[#This Row],[cutoff]]),MONTH(m7_crossvalid[[#This Row],[cutoff]]),DAY(m7_crossvalid[[#This Row],[cutoff]]))</f>
        <v>45716</v>
      </c>
      <c r="B86" s="7">
        <f>DATE(YEAR(m7_crossvalid[[#This Row],[ds]]),MONTH(m7_crossvalid[[#This Row],[ds]]),DAY(m7_crossvalid[[#This Row],[ds]]))</f>
        <v>45739</v>
      </c>
      <c r="C86">
        <v>301</v>
      </c>
      <c r="D86" s="1">
        <v>45739.333333333336</v>
      </c>
      <c r="E86">
        <v>563.93870093848773</v>
      </c>
      <c r="F86">
        <v>-878.22365523899043</v>
      </c>
      <c r="G86">
        <v>2068.3222638969874</v>
      </c>
      <c r="H86" s="1">
        <v>45716.333333333336</v>
      </c>
    </row>
    <row r="87" spans="1:8" x14ac:dyDescent="0.25">
      <c r="A87" s="7">
        <f>DATE(YEAR(m7_crossvalid[[#This Row],[cutoff]]),MONTH(m7_crossvalid[[#This Row],[cutoff]]),DAY(m7_crossvalid[[#This Row],[cutoff]]))</f>
        <v>45716</v>
      </c>
      <c r="B87" s="7">
        <f>DATE(YEAR(m7_crossvalid[[#This Row],[ds]]),MONTH(m7_crossvalid[[#This Row],[ds]]),DAY(m7_crossvalid[[#This Row],[ds]]))</f>
        <v>45740</v>
      </c>
      <c r="C87">
        <v>4292</v>
      </c>
      <c r="D87" s="1">
        <v>45740.333333333336</v>
      </c>
      <c r="E87">
        <v>3285.4716580213526</v>
      </c>
      <c r="F87">
        <v>1934.5689660149969</v>
      </c>
      <c r="G87">
        <v>4749.3504689519341</v>
      </c>
      <c r="H87" s="1">
        <v>45716.333333333336</v>
      </c>
    </row>
    <row r="88" spans="1:8" x14ac:dyDescent="0.25">
      <c r="A88" s="7">
        <f>DATE(YEAR(m7_crossvalid[[#This Row],[cutoff]]),MONTH(m7_crossvalid[[#This Row],[cutoff]]),DAY(m7_crossvalid[[#This Row],[cutoff]]))</f>
        <v>45716</v>
      </c>
      <c r="B88" s="7">
        <f>DATE(YEAR(m7_crossvalid[[#This Row],[ds]]),MONTH(m7_crossvalid[[#This Row],[ds]]),DAY(m7_crossvalid[[#This Row],[ds]]))</f>
        <v>45741</v>
      </c>
      <c r="C88">
        <v>5571</v>
      </c>
      <c r="D88" s="1">
        <v>45741.333333333336</v>
      </c>
      <c r="E88">
        <v>4327.5319467681302</v>
      </c>
      <c r="F88">
        <v>2911.5416802990535</v>
      </c>
      <c r="G88">
        <v>5626.4179369993308</v>
      </c>
      <c r="H88" s="1">
        <v>45716.333333333336</v>
      </c>
    </row>
    <row r="89" spans="1:8" x14ac:dyDescent="0.25">
      <c r="A89" s="7">
        <f>DATE(YEAR(m7_crossvalid[[#This Row],[cutoff]]),MONTH(m7_crossvalid[[#This Row],[cutoff]]),DAY(m7_crossvalid[[#This Row],[cutoff]]))</f>
        <v>45716</v>
      </c>
      <c r="B89" s="7">
        <f>DATE(YEAR(m7_crossvalid[[#This Row],[ds]]),MONTH(m7_crossvalid[[#This Row],[ds]]),DAY(m7_crossvalid[[#This Row],[ds]]))</f>
        <v>45742</v>
      </c>
      <c r="C89">
        <v>6352</v>
      </c>
      <c r="D89" s="1">
        <v>45742.333333333336</v>
      </c>
      <c r="E89">
        <v>4094.309317970039</v>
      </c>
      <c r="F89">
        <v>2630.3121877775106</v>
      </c>
      <c r="G89">
        <v>5525.9882028196052</v>
      </c>
      <c r="H89" s="1">
        <v>45716.333333333336</v>
      </c>
    </row>
    <row r="90" spans="1:8" x14ac:dyDescent="0.25">
      <c r="A90" s="7">
        <f>DATE(YEAR(m7_crossvalid[[#This Row],[cutoff]]),MONTH(m7_crossvalid[[#This Row],[cutoff]]),DAY(m7_crossvalid[[#This Row],[cutoff]]))</f>
        <v>45716</v>
      </c>
      <c r="B90" s="7">
        <f>DATE(YEAR(m7_crossvalid[[#This Row],[ds]]),MONTH(m7_crossvalid[[#This Row],[ds]]),DAY(m7_crossvalid[[#This Row],[ds]]))</f>
        <v>45743</v>
      </c>
      <c r="C90">
        <v>8836</v>
      </c>
      <c r="D90" s="1">
        <v>45743.333333333336</v>
      </c>
      <c r="E90">
        <v>4098.2976237498515</v>
      </c>
      <c r="F90">
        <v>2737.959390379498</v>
      </c>
      <c r="G90">
        <v>5423.6461109398615</v>
      </c>
      <c r="H90" s="1">
        <v>45716.333333333336</v>
      </c>
    </row>
    <row r="91" spans="1:8" x14ac:dyDescent="0.25">
      <c r="A91" s="7">
        <f>DATE(YEAR(m7_crossvalid[[#This Row],[cutoff]]),MONTH(m7_crossvalid[[#This Row],[cutoff]]),DAY(m7_crossvalid[[#This Row],[cutoff]]))</f>
        <v>45716</v>
      </c>
      <c r="B91" s="7">
        <f>DATE(YEAR(m7_crossvalid[[#This Row],[ds]]),MONTH(m7_crossvalid[[#This Row],[ds]]),DAY(m7_crossvalid[[#This Row],[ds]]))</f>
        <v>45744</v>
      </c>
      <c r="C91">
        <v>9717</v>
      </c>
      <c r="D91" s="1">
        <v>45744.333333333336</v>
      </c>
      <c r="E91">
        <v>4458.8191662022145</v>
      </c>
      <c r="F91">
        <v>3112.5066942879639</v>
      </c>
      <c r="G91">
        <v>5867.5928479125241</v>
      </c>
      <c r="H91" s="1">
        <v>45716.333333333336</v>
      </c>
    </row>
    <row r="92" spans="1:8" x14ac:dyDescent="0.25">
      <c r="A92" s="7">
        <f>DATE(YEAR(m7_crossvalid[[#This Row],[cutoff]]),MONTH(m7_crossvalid[[#This Row],[cutoff]]),DAY(m7_crossvalid[[#This Row],[cutoff]]))</f>
        <v>45716</v>
      </c>
      <c r="B92" s="7">
        <f>DATE(YEAR(m7_crossvalid[[#This Row],[ds]]),MONTH(m7_crossvalid[[#This Row],[ds]]),DAY(m7_crossvalid[[#This Row],[ds]]))</f>
        <v>45745</v>
      </c>
      <c r="C92">
        <v>3249</v>
      </c>
      <c r="D92" s="1">
        <v>45745.333333333336</v>
      </c>
      <c r="E92">
        <v>2788.3733296599585</v>
      </c>
      <c r="F92">
        <v>1327.948425862455</v>
      </c>
      <c r="G92">
        <v>4225.8325693217676</v>
      </c>
      <c r="H92" s="1">
        <v>45716.333333333336</v>
      </c>
    </row>
    <row r="93" spans="1:8" x14ac:dyDescent="0.25">
      <c r="A93" s="7">
        <f>DATE(YEAR(m7_crossvalid[[#This Row],[cutoff]]),MONTH(m7_crossvalid[[#This Row],[cutoff]]),DAY(m7_crossvalid[[#This Row],[cutoff]]))</f>
        <v>45716</v>
      </c>
      <c r="B93" s="7">
        <f>DATE(YEAR(m7_crossvalid[[#This Row],[ds]]),MONTH(m7_crossvalid[[#This Row],[ds]]),DAY(m7_crossvalid[[#This Row],[ds]]))</f>
        <v>45746</v>
      </c>
      <c r="C93">
        <v>198</v>
      </c>
      <c r="D93" s="1">
        <v>45746.333333333336</v>
      </c>
      <c r="E93">
        <v>5186.4718869576236</v>
      </c>
      <c r="F93">
        <v>3776.4239198054402</v>
      </c>
      <c r="G93">
        <v>6591.5485750141152</v>
      </c>
      <c r="H93" s="1">
        <v>45716.333333333336</v>
      </c>
    </row>
    <row r="94" spans="1:8" x14ac:dyDescent="0.25">
      <c r="A94" s="7">
        <f>DATE(YEAR(m7_crossvalid[[#This Row],[cutoff]]),MONTH(m7_crossvalid[[#This Row],[cutoff]]),DAY(m7_crossvalid[[#This Row],[cutoff]]))</f>
        <v>45716</v>
      </c>
      <c r="B94" s="7">
        <f>DATE(YEAR(m7_crossvalid[[#This Row],[ds]]),MONTH(m7_crossvalid[[#This Row],[ds]]),DAY(m7_crossvalid[[#This Row],[ds]]))</f>
        <v>45747</v>
      </c>
      <c r="C94">
        <v>53</v>
      </c>
      <c r="D94" s="1">
        <v>45747.333333333336</v>
      </c>
      <c r="E94">
        <v>8389.3753276260268</v>
      </c>
      <c r="F94">
        <v>6953.3448485686113</v>
      </c>
      <c r="G94">
        <v>9755.3092488755046</v>
      </c>
      <c r="H94" s="1">
        <v>45716.333333333336</v>
      </c>
    </row>
    <row r="95" spans="1:8" x14ac:dyDescent="0.25">
      <c r="A95" s="7">
        <f>DATE(YEAR(m7_crossvalid[[#This Row],[cutoff]]),MONTH(m7_crossvalid[[#This Row],[cutoff]]),DAY(m7_crossvalid[[#This Row],[cutoff]]))</f>
        <v>45747</v>
      </c>
      <c r="B95" s="7">
        <f>DATE(YEAR(m7_crossvalid[[#This Row],[ds]]),MONTH(m7_crossvalid[[#This Row],[ds]]),DAY(m7_crossvalid[[#This Row],[ds]]))</f>
        <v>45748</v>
      </c>
      <c r="C95">
        <v>2</v>
      </c>
      <c r="D95" s="1">
        <v>45748.333333333336</v>
      </c>
      <c r="E95">
        <v>-430.08534260029546</v>
      </c>
      <c r="F95">
        <v>-1818.8504272790574</v>
      </c>
      <c r="G95">
        <v>1013.0568099147416</v>
      </c>
      <c r="H95" s="1">
        <v>45747.333333333336</v>
      </c>
    </row>
    <row r="96" spans="1:8" x14ac:dyDescent="0.25">
      <c r="A96" s="7">
        <f>DATE(YEAR(m7_crossvalid[[#This Row],[cutoff]]),MONTH(m7_crossvalid[[#This Row],[cutoff]]),DAY(m7_crossvalid[[#This Row],[cutoff]]))</f>
        <v>45747</v>
      </c>
      <c r="B96" s="7">
        <f>DATE(YEAR(m7_crossvalid[[#This Row],[ds]]),MONTH(m7_crossvalid[[#This Row],[ds]]),DAY(m7_crossvalid[[#This Row],[ds]]))</f>
        <v>45749</v>
      </c>
      <c r="C96">
        <v>105</v>
      </c>
      <c r="D96" s="1">
        <v>45749.333333333336</v>
      </c>
      <c r="E96">
        <v>1244.8673241448755</v>
      </c>
      <c r="F96">
        <v>-234.38625539629092</v>
      </c>
      <c r="G96">
        <v>2691.4419154503757</v>
      </c>
      <c r="H96" s="1">
        <v>45747.333333333336</v>
      </c>
    </row>
    <row r="97" spans="1:8" x14ac:dyDescent="0.25">
      <c r="A97" s="7">
        <f>DATE(YEAR(m7_crossvalid[[#This Row],[cutoff]]),MONTH(m7_crossvalid[[#This Row],[cutoff]]),DAY(m7_crossvalid[[#This Row],[cutoff]]))</f>
        <v>45747</v>
      </c>
      <c r="B97" s="7">
        <f>DATE(YEAR(m7_crossvalid[[#This Row],[ds]]),MONTH(m7_crossvalid[[#This Row],[ds]]),DAY(m7_crossvalid[[#This Row],[ds]]))</f>
        <v>45750</v>
      </c>
      <c r="C97">
        <v>284</v>
      </c>
      <c r="D97" s="1">
        <v>45750.333333333336</v>
      </c>
      <c r="E97">
        <v>321.77095098605673</v>
      </c>
      <c r="F97">
        <v>-1164.1188136170842</v>
      </c>
      <c r="G97">
        <v>1809.9923282788473</v>
      </c>
      <c r="H97" s="1">
        <v>45747.333333333336</v>
      </c>
    </row>
    <row r="98" spans="1:8" x14ac:dyDescent="0.25">
      <c r="A98" s="7">
        <f>DATE(YEAR(m7_crossvalid[[#This Row],[cutoff]]),MONTH(m7_crossvalid[[#This Row],[cutoff]]),DAY(m7_crossvalid[[#This Row],[cutoff]]))</f>
        <v>45747</v>
      </c>
      <c r="B98" s="7">
        <f>DATE(YEAR(m7_crossvalid[[#This Row],[ds]]),MONTH(m7_crossvalid[[#This Row],[ds]]),DAY(m7_crossvalid[[#This Row],[ds]]))</f>
        <v>45751</v>
      </c>
      <c r="C98">
        <v>403</v>
      </c>
      <c r="D98" s="1">
        <v>45751.333333333336</v>
      </c>
      <c r="E98">
        <v>1241.0213664265748</v>
      </c>
      <c r="F98">
        <v>-157.08009435997513</v>
      </c>
      <c r="G98">
        <v>2723.8712122985803</v>
      </c>
      <c r="H98" s="1">
        <v>45747.333333333336</v>
      </c>
    </row>
    <row r="99" spans="1:8" x14ac:dyDescent="0.25">
      <c r="A99" s="7">
        <f>DATE(YEAR(m7_crossvalid[[#This Row],[cutoff]]),MONTH(m7_crossvalid[[#This Row],[cutoff]]),DAY(m7_crossvalid[[#This Row],[cutoff]]))</f>
        <v>45747</v>
      </c>
      <c r="B99" s="7">
        <f>DATE(YEAR(m7_crossvalid[[#This Row],[ds]]),MONTH(m7_crossvalid[[#This Row],[ds]]),DAY(m7_crossvalid[[#This Row],[ds]]))</f>
        <v>45752</v>
      </c>
      <c r="C99">
        <v>47</v>
      </c>
      <c r="D99" s="1">
        <v>45752.333333333336</v>
      </c>
      <c r="E99">
        <v>-547.21831873024576</v>
      </c>
      <c r="F99">
        <v>-1968.027555570754</v>
      </c>
      <c r="G99">
        <v>937.6966936346314</v>
      </c>
      <c r="H99" s="1">
        <v>45747.333333333336</v>
      </c>
    </row>
    <row r="100" spans="1:8" x14ac:dyDescent="0.25">
      <c r="A100" s="7">
        <f>DATE(YEAR(m7_crossvalid[[#This Row],[cutoff]]),MONTH(m7_crossvalid[[#This Row],[cutoff]]),DAY(m7_crossvalid[[#This Row],[cutoff]]))</f>
        <v>45747</v>
      </c>
      <c r="B100" s="7">
        <f>DATE(YEAR(m7_crossvalid[[#This Row],[ds]]),MONTH(m7_crossvalid[[#This Row],[ds]]),DAY(m7_crossvalid[[#This Row],[ds]]))</f>
        <v>45753</v>
      </c>
      <c r="C100">
        <v>11</v>
      </c>
      <c r="D100" s="1">
        <v>45753.333333333336</v>
      </c>
      <c r="E100">
        <v>-1617.3029709759476</v>
      </c>
      <c r="F100">
        <v>-3030.2759029453673</v>
      </c>
      <c r="G100">
        <v>-40.693661586605124</v>
      </c>
      <c r="H100" s="1">
        <v>45747.333333333336</v>
      </c>
    </row>
    <row r="101" spans="1:8" x14ac:dyDescent="0.25">
      <c r="A101" s="7">
        <f>DATE(YEAR(m7_crossvalid[[#This Row],[cutoff]]),MONTH(m7_crossvalid[[#This Row],[cutoff]]),DAY(m7_crossvalid[[#This Row],[cutoff]]))</f>
        <v>45747</v>
      </c>
      <c r="B101" s="7">
        <f>DATE(YEAR(m7_crossvalid[[#This Row],[ds]]),MONTH(m7_crossvalid[[#This Row],[ds]]),DAY(m7_crossvalid[[#This Row],[ds]]))</f>
        <v>45754</v>
      </c>
      <c r="C101">
        <v>477</v>
      </c>
      <c r="D101" s="1">
        <v>45754.333333333336</v>
      </c>
      <c r="E101">
        <v>-734.65236565662508</v>
      </c>
      <c r="F101">
        <v>-2207.6543475644653</v>
      </c>
      <c r="G101">
        <v>701.91827626870304</v>
      </c>
      <c r="H101" s="1">
        <v>45747.333333333336</v>
      </c>
    </row>
    <row r="102" spans="1:8" x14ac:dyDescent="0.25">
      <c r="A102" s="7">
        <f>DATE(YEAR(m7_crossvalid[[#This Row],[cutoff]]),MONTH(m7_crossvalid[[#This Row],[cutoff]]),DAY(m7_crossvalid[[#This Row],[cutoff]]))</f>
        <v>45747</v>
      </c>
      <c r="B102" s="7">
        <f>DATE(YEAR(m7_crossvalid[[#This Row],[ds]]),MONTH(m7_crossvalid[[#This Row],[ds]]),DAY(m7_crossvalid[[#This Row],[ds]]))</f>
        <v>45755</v>
      </c>
      <c r="C102">
        <v>775</v>
      </c>
      <c r="D102" s="1">
        <v>45755.333333333336</v>
      </c>
      <c r="E102">
        <v>1203.9700709779536</v>
      </c>
      <c r="F102">
        <v>-183.97044897371924</v>
      </c>
      <c r="G102">
        <v>2696.5157662334832</v>
      </c>
      <c r="H102" s="1">
        <v>45747.333333333336</v>
      </c>
    </row>
    <row r="103" spans="1:8" x14ac:dyDescent="0.25">
      <c r="A103" s="7">
        <f>DATE(YEAR(m7_crossvalid[[#This Row],[cutoff]]),MONTH(m7_crossvalid[[#This Row],[cutoff]]),DAY(m7_crossvalid[[#This Row],[cutoff]]))</f>
        <v>45747</v>
      </c>
      <c r="B103" s="7">
        <f>DATE(YEAR(m7_crossvalid[[#This Row],[ds]]),MONTH(m7_crossvalid[[#This Row],[ds]]),DAY(m7_crossvalid[[#This Row],[ds]]))</f>
        <v>45756</v>
      </c>
      <c r="C103">
        <v>1016</v>
      </c>
      <c r="D103" s="1">
        <v>45756.333333333336</v>
      </c>
      <c r="E103">
        <v>2549.6283862160135</v>
      </c>
      <c r="F103">
        <v>1155.9274399219701</v>
      </c>
      <c r="G103">
        <v>4037.7972836509589</v>
      </c>
      <c r="H103" s="1">
        <v>45747.333333333336</v>
      </c>
    </row>
    <row r="104" spans="1:8" x14ac:dyDescent="0.25">
      <c r="A104" s="7">
        <f>DATE(YEAR(m7_crossvalid[[#This Row],[cutoff]]),MONTH(m7_crossvalid[[#This Row],[cutoff]]),DAY(m7_crossvalid[[#This Row],[cutoff]]))</f>
        <v>45747</v>
      </c>
      <c r="B104" s="7">
        <f>DATE(YEAR(m7_crossvalid[[#This Row],[ds]]),MONTH(m7_crossvalid[[#This Row],[ds]]),DAY(m7_crossvalid[[#This Row],[ds]]))</f>
        <v>45757</v>
      </c>
      <c r="C104">
        <v>1422</v>
      </c>
      <c r="D104" s="1">
        <v>45757.333333333336</v>
      </c>
      <c r="E104">
        <v>2348.4653070979093</v>
      </c>
      <c r="F104">
        <v>792.85496409059249</v>
      </c>
      <c r="G104">
        <v>3781.1776670407098</v>
      </c>
      <c r="H104" s="1">
        <v>45747.333333333336</v>
      </c>
    </row>
    <row r="105" spans="1:8" x14ac:dyDescent="0.25">
      <c r="A105" s="7">
        <f>DATE(YEAR(m7_crossvalid[[#This Row],[cutoff]]),MONTH(m7_crossvalid[[#This Row],[cutoff]]),DAY(m7_crossvalid[[#This Row],[cutoff]]))</f>
        <v>45747</v>
      </c>
      <c r="B105" s="7">
        <f>DATE(YEAR(m7_crossvalid[[#This Row],[ds]]),MONTH(m7_crossvalid[[#This Row],[ds]]),DAY(m7_crossvalid[[#This Row],[ds]]))</f>
        <v>45758</v>
      </c>
      <c r="C105">
        <v>1565</v>
      </c>
      <c r="D105" s="1">
        <v>45758.333333333336</v>
      </c>
      <c r="E105">
        <v>2288.8308394749952</v>
      </c>
      <c r="F105">
        <v>820.31339632587424</v>
      </c>
      <c r="G105">
        <v>3659.5418880607558</v>
      </c>
      <c r="H105" s="1">
        <v>45747.333333333336</v>
      </c>
    </row>
    <row r="106" spans="1:8" x14ac:dyDescent="0.25">
      <c r="A106" s="7">
        <f>DATE(YEAR(m7_crossvalid[[#This Row],[cutoff]]),MONTH(m7_crossvalid[[#This Row],[cutoff]]),DAY(m7_crossvalid[[#This Row],[cutoff]]))</f>
        <v>45747</v>
      </c>
      <c r="B106" s="7">
        <f>DATE(YEAR(m7_crossvalid[[#This Row],[ds]]),MONTH(m7_crossvalid[[#This Row],[ds]]),DAY(m7_crossvalid[[#This Row],[ds]]))</f>
        <v>45759</v>
      </c>
      <c r="C106">
        <v>276</v>
      </c>
      <c r="D106" s="1">
        <v>45759.333333333336</v>
      </c>
      <c r="E106">
        <v>251.99266485091698</v>
      </c>
      <c r="F106">
        <v>-1214.9438055112537</v>
      </c>
      <c r="G106">
        <v>1707.7793895143845</v>
      </c>
      <c r="H106" s="1">
        <v>45747.333333333336</v>
      </c>
    </row>
    <row r="107" spans="1:8" x14ac:dyDescent="0.25">
      <c r="A107" s="7">
        <f>DATE(YEAR(m7_crossvalid[[#This Row],[cutoff]]),MONTH(m7_crossvalid[[#This Row],[cutoff]]),DAY(m7_crossvalid[[#This Row],[cutoff]]))</f>
        <v>45747</v>
      </c>
      <c r="B107" s="7">
        <f>DATE(YEAR(m7_crossvalid[[#This Row],[ds]]),MONTH(m7_crossvalid[[#This Row],[ds]]),DAY(m7_crossvalid[[#This Row],[ds]]))</f>
        <v>45760</v>
      </c>
      <c r="C107">
        <v>55</v>
      </c>
      <c r="D107" s="1">
        <v>45760.333333333336</v>
      </c>
      <c r="E107">
        <v>-134.71064541920487</v>
      </c>
      <c r="F107">
        <v>-1496.3129623727646</v>
      </c>
      <c r="G107">
        <v>1306.9304725390291</v>
      </c>
      <c r="H107" s="1">
        <v>45747.333333333336</v>
      </c>
    </row>
    <row r="108" spans="1:8" x14ac:dyDescent="0.25">
      <c r="A108" s="7">
        <f>DATE(YEAR(m7_crossvalid[[#This Row],[cutoff]]),MONTH(m7_crossvalid[[#This Row],[cutoff]]),DAY(m7_crossvalid[[#This Row],[cutoff]]))</f>
        <v>45747</v>
      </c>
      <c r="B108" s="7">
        <f>DATE(YEAR(m7_crossvalid[[#This Row],[ds]]),MONTH(m7_crossvalid[[#This Row],[ds]]),DAY(m7_crossvalid[[#This Row],[ds]]))</f>
        <v>45761</v>
      </c>
      <c r="C108">
        <v>1634</v>
      </c>
      <c r="D108" s="1">
        <v>45761.333333333336</v>
      </c>
      <c r="E108">
        <v>2328.7352995337892</v>
      </c>
      <c r="F108">
        <v>943.09991961862397</v>
      </c>
      <c r="G108">
        <v>3850.5730588235147</v>
      </c>
      <c r="H108" s="1">
        <v>45747.333333333336</v>
      </c>
    </row>
    <row r="109" spans="1:8" x14ac:dyDescent="0.25">
      <c r="A109" s="7">
        <f>DATE(YEAR(m7_crossvalid[[#This Row],[cutoff]]),MONTH(m7_crossvalid[[#This Row],[cutoff]]),DAY(m7_crossvalid[[#This Row],[cutoff]]))</f>
        <v>45747</v>
      </c>
      <c r="B109" s="7">
        <f>DATE(YEAR(m7_crossvalid[[#This Row],[ds]]),MONTH(m7_crossvalid[[#This Row],[ds]]),DAY(m7_crossvalid[[#This Row],[ds]]))</f>
        <v>45762</v>
      </c>
      <c r="C109">
        <v>1965</v>
      </c>
      <c r="D109" s="1">
        <v>45762.333333333336</v>
      </c>
      <c r="E109">
        <v>2692.9148077773343</v>
      </c>
      <c r="F109">
        <v>1264.6376295295881</v>
      </c>
      <c r="G109">
        <v>4095.5154828763584</v>
      </c>
      <c r="H109" s="1">
        <v>45747.333333333336</v>
      </c>
    </row>
    <row r="110" spans="1:8" x14ac:dyDescent="0.25">
      <c r="A110" s="7">
        <f>DATE(YEAR(m7_crossvalid[[#This Row],[cutoff]]),MONTH(m7_crossvalid[[#This Row],[cutoff]]),DAY(m7_crossvalid[[#This Row],[cutoff]]))</f>
        <v>45747</v>
      </c>
      <c r="B110" s="7">
        <f>DATE(YEAR(m7_crossvalid[[#This Row],[ds]]),MONTH(m7_crossvalid[[#This Row],[ds]]),DAY(m7_crossvalid[[#This Row],[ds]]))</f>
        <v>45763</v>
      </c>
      <c r="C110">
        <v>2361</v>
      </c>
      <c r="D110" s="1">
        <v>45763.333333333336</v>
      </c>
      <c r="E110">
        <v>2884.5146863180989</v>
      </c>
      <c r="F110">
        <v>1522.0897498340105</v>
      </c>
      <c r="G110">
        <v>4436.7405004815619</v>
      </c>
      <c r="H110" s="1">
        <v>45747.333333333336</v>
      </c>
    </row>
    <row r="111" spans="1:8" x14ac:dyDescent="0.25">
      <c r="A111" s="7">
        <f>DATE(YEAR(m7_crossvalid[[#This Row],[cutoff]]),MONTH(m7_crossvalid[[#This Row],[cutoff]]),DAY(m7_crossvalid[[#This Row],[cutoff]]))</f>
        <v>45747</v>
      </c>
      <c r="B111" s="7">
        <f>DATE(YEAR(m7_crossvalid[[#This Row],[ds]]),MONTH(m7_crossvalid[[#This Row],[ds]]),DAY(m7_crossvalid[[#This Row],[ds]]))</f>
        <v>45764</v>
      </c>
      <c r="C111">
        <v>2761</v>
      </c>
      <c r="D111" s="1">
        <v>45764.333333333336</v>
      </c>
      <c r="E111">
        <v>3072.0071643157949</v>
      </c>
      <c r="F111">
        <v>1670.4278287001202</v>
      </c>
      <c r="G111">
        <v>4508.1071001500895</v>
      </c>
      <c r="H111" s="1">
        <v>45747.333333333336</v>
      </c>
    </row>
    <row r="112" spans="1:8" x14ac:dyDescent="0.25">
      <c r="A112" s="7">
        <f>DATE(YEAR(m7_crossvalid[[#This Row],[cutoff]]),MONTH(m7_crossvalid[[#This Row],[cutoff]]),DAY(m7_crossvalid[[#This Row],[cutoff]]))</f>
        <v>45747</v>
      </c>
      <c r="B112" s="7">
        <f>DATE(YEAR(m7_crossvalid[[#This Row],[ds]]),MONTH(m7_crossvalid[[#This Row],[ds]]),DAY(m7_crossvalid[[#This Row],[ds]]))</f>
        <v>45765</v>
      </c>
      <c r="C112">
        <v>2721</v>
      </c>
      <c r="D112" s="1">
        <v>45765.333333333336</v>
      </c>
      <c r="E112">
        <v>3119.1713771431655</v>
      </c>
      <c r="F112">
        <v>1674.6477966936359</v>
      </c>
      <c r="G112">
        <v>4491.2345358792645</v>
      </c>
      <c r="H112" s="1">
        <v>45747.333333333336</v>
      </c>
    </row>
    <row r="113" spans="1:8" x14ac:dyDescent="0.25">
      <c r="A113" s="7">
        <f>DATE(YEAR(m7_crossvalid[[#This Row],[cutoff]]),MONTH(m7_crossvalid[[#This Row],[cutoff]]),DAY(m7_crossvalid[[#This Row],[cutoff]]))</f>
        <v>45747</v>
      </c>
      <c r="B113" s="7">
        <f>DATE(YEAR(m7_crossvalid[[#This Row],[ds]]),MONTH(m7_crossvalid[[#This Row],[ds]]),DAY(m7_crossvalid[[#This Row],[ds]]))</f>
        <v>45766</v>
      </c>
      <c r="C113">
        <v>420</v>
      </c>
      <c r="D113" s="1">
        <v>45766.333333333336</v>
      </c>
      <c r="E113">
        <v>876.89182790285918</v>
      </c>
      <c r="F113">
        <v>-560.75931755560543</v>
      </c>
      <c r="G113">
        <v>2288.703060956967</v>
      </c>
      <c r="H113" s="1">
        <v>45747.333333333336</v>
      </c>
    </row>
    <row r="114" spans="1:8" x14ac:dyDescent="0.25">
      <c r="A114" s="7">
        <f>DATE(YEAR(m7_crossvalid[[#This Row],[cutoff]]),MONTH(m7_crossvalid[[#This Row],[cutoff]]),DAY(m7_crossvalid[[#This Row],[cutoff]]))</f>
        <v>45747</v>
      </c>
      <c r="B114" s="7">
        <f>DATE(YEAR(m7_crossvalid[[#This Row],[ds]]),MONTH(m7_crossvalid[[#This Row],[ds]]),DAY(m7_crossvalid[[#This Row],[ds]]))</f>
        <v>45767</v>
      </c>
      <c r="C114">
        <v>166</v>
      </c>
      <c r="D114" s="1">
        <v>45767.333333333336</v>
      </c>
      <c r="E114">
        <v>419.80939632910417</v>
      </c>
      <c r="F114">
        <v>-1186.8362495616188</v>
      </c>
      <c r="G114">
        <v>1881.7644227752457</v>
      </c>
      <c r="H114" s="1">
        <v>45747.333333333336</v>
      </c>
    </row>
    <row r="115" spans="1:8" x14ac:dyDescent="0.25">
      <c r="A115" s="7">
        <f>DATE(YEAR(m7_crossvalid[[#This Row],[cutoff]]),MONTH(m7_crossvalid[[#This Row],[cutoff]]),DAY(m7_crossvalid[[#This Row],[cutoff]]))</f>
        <v>45747</v>
      </c>
      <c r="B115" s="7">
        <f>DATE(YEAR(m7_crossvalid[[#This Row],[ds]]),MONTH(m7_crossvalid[[#This Row],[ds]]),DAY(m7_crossvalid[[#This Row],[ds]]))</f>
        <v>45768</v>
      </c>
      <c r="C115">
        <v>2715</v>
      </c>
      <c r="D115" s="1">
        <v>45768.333333333336</v>
      </c>
      <c r="E115">
        <v>2985.5369127665926</v>
      </c>
      <c r="F115">
        <v>1530.4526713917201</v>
      </c>
      <c r="G115">
        <v>4391.3535423889061</v>
      </c>
      <c r="H115" s="1">
        <v>45747.333333333336</v>
      </c>
    </row>
    <row r="116" spans="1:8" x14ac:dyDescent="0.25">
      <c r="A116" s="7">
        <f>DATE(YEAR(m7_crossvalid[[#This Row],[cutoff]]),MONTH(m7_crossvalid[[#This Row],[cutoff]]),DAY(m7_crossvalid[[#This Row],[cutoff]]))</f>
        <v>45747</v>
      </c>
      <c r="B116" s="7">
        <f>DATE(YEAR(m7_crossvalid[[#This Row],[ds]]),MONTH(m7_crossvalid[[#This Row],[ds]]),DAY(m7_crossvalid[[#This Row],[ds]]))</f>
        <v>45769</v>
      </c>
      <c r="C116">
        <v>3162</v>
      </c>
      <c r="D116" s="1">
        <v>45769.333333333336</v>
      </c>
      <c r="E116">
        <v>3306.5228649694564</v>
      </c>
      <c r="F116">
        <v>1900.0100231532804</v>
      </c>
      <c r="G116">
        <v>4762.5877913773511</v>
      </c>
      <c r="H116" s="1">
        <v>45747.333333333336</v>
      </c>
    </row>
    <row r="117" spans="1:8" x14ac:dyDescent="0.25">
      <c r="A117" s="7">
        <f>DATE(YEAR(m7_crossvalid[[#This Row],[cutoff]]),MONTH(m7_crossvalid[[#This Row],[cutoff]]),DAY(m7_crossvalid[[#This Row],[cutoff]]))</f>
        <v>45747</v>
      </c>
      <c r="B117" s="7">
        <f>DATE(YEAR(m7_crossvalid[[#This Row],[ds]]),MONTH(m7_crossvalid[[#This Row],[ds]]),DAY(m7_crossvalid[[#This Row],[ds]]))</f>
        <v>45770</v>
      </c>
      <c r="C117">
        <v>3604</v>
      </c>
      <c r="D117" s="1">
        <v>45770.333333333336</v>
      </c>
      <c r="E117">
        <v>3506.7850622265278</v>
      </c>
      <c r="F117">
        <v>2039.3773466269859</v>
      </c>
      <c r="G117">
        <v>4977.3135010078222</v>
      </c>
      <c r="H117" s="1">
        <v>45747.333333333336</v>
      </c>
    </row>
    <row r="118" spans="1:8" x14ac:dyDescent="0.25">
      <c r="A118" s="7">
        <f>DATE(YEAR(m7_crossvalid[[#This Row],[cutoff]]),MONTH(m7_crossvalid[[#This Row],[cutoff]]),DAY(m7_crossvalid[[#This Row],[cutoff]]))</f>
        <v>45747</v>
      </c>
      <c r="B118" s="7">
        <f>DATE(YEAR(m7_crossvalid[[#This Row],[ds]]),MONTH(m7_crossvalid[[#This Row],[ds]]),DAY(m7_crossvalid[[#This Row],[ds]]))</f>
        <v>45771</v>
      </c>
      <c r="C118">
        <v>3831</v>
      </c>
      <c r="D118" s="1">
        <v>45771.333333333336</v>
      </c>
      <c r="E118">
        <v>4665.6972300305606</v>
      </c>
      <c r="F118">
        <v>3123.5345157921802</v>
      </c>
      <c r="G118">
        <v>6221.604005563906</v>
      </c>
      <c r="H118" s="1">
        <v>45747.333333333336</v>
      </c>
    </row>
    <row r="119" spans="1:8" x14ac:dyDescent="0.25">
      <c r="A119" s="7">
        <f>DATE(YEAR(m7_crossvalid[[#This Row],[cutoff]]),MONTH(m7_crossvalid[[#This Row],[cutoff]]),DAY(m7_crossvalid[[#This Row],[cutoff]]))</f>
        <v>45747</v>
      </c>
      <c r="B119" s="7">
        <f>DATE(YEAR(m7_crossvalid[[#This Row],[ds]]),MONTH(m7_crossvalid[[#This Row],[ds]]),DAY(m7_crossvalid[[#This Row],[ds]]))</f>
        <v>45772</v>
      </c>
      <c r="C119">
        <v>4600</v>
      </c>
      <c r="D119" s="1">
        <v>45772.333333333336</v>
      </c>
      <c r="E119">
        <v>4421.720904970487</v>
      </c>
      <c r="F119">
        <v>2989.1268820373043</v>
      </c>
      <c r="G119">
        <v>5842.2578355390997</v>
      </c>
      <c r="H119" s="1">
        <v>45747.333333333336</v>
      </c>
    </row>
    <row r="120" spans="1:8" x14ac:dyDescent="0.25">
      <c r="A120" s="7">
        <f>DATE(YEAR(m7_crossvalid[[#This Row],[cutoff]]),MONTH(m7_crossvalid[[#This Row],[cutoff]]),DAY(m7_crossvalid[[#This Row],[cutoff]]))</f>
        <v>45747</v>
      </c>
      <c r="B120" s="7">
        <f>DATE(YEAR(m7_crossvalid[[#This Row],[ds]]),MONTH(m7_crossvalid[[#This Row],[ds]]),DAY(m7_crossvalid[[#This Row],[ds]]))</f>
        <v>45773</v>
      </c>
      <c r="C120">
        <v>1014</v>
      </c>
      <c r="D120" s="1">
        <v>45773.333333333336</v>
      </c>
      <c r="E120">
        <v>1876.8700984518905</v>
      </c>
      <c r="F120">
        <v>481.27552500729564</v>
      </c>
      <c r="G120">
        <v>3297.8761769529865</v>
      </c>
      <c r="H120" s="1">
        <v>45747.333333333336</v>
      </c>
    </row>
    <row r="121" spans="1:8" x14ac:dyDescent="0.25">
      <c r="A121" s="7">
        <f>DATE(YEAR(m7_crossvalid[[#This Row],[cutoff]]),MONTH(m7_crossvalid[[#This Row],[cutoff]]),DAY(m7_crossvalid[[#This Row],[cutoff]]))</f>
        <v>45747</v>
      </c>
      <c r="B121" s="7">
        <f>DATE(YEAR(m7_crossvalid[[#This Row],[ds]]),MONTH(m7_crossvalid[[#This Row],[ds]]),DAY(m7_crossvalid[[#This Row],[ds]]))</f>
        <v>45774</v>
      </c>
      <c r="C121">
        <v>198</v>
      </c>
      <c r="D121" s="1">
        <v>45774.333333333336</v>
      </c>
      <c r="E121">
        <v>1595.6842791596009</v>
      </c>
      <c r="F121">
        <v>187.10642104131114</v>
      </c>
      <c r="G121">
        <v>3000.3517686733644</v>
      </c>
      <c r="H121" s="1">
        <v>45747.333333333336</v>
      </c>
    </row>
    <row r="122" spans="1:8" x14ac:dyDescent="0.25">
      <c r="A122" s="7">
        <f>DATE(YEAR(m7_crossvalid[[#This Row],[cutoff]]),MONTH(m7_crossvalid[[#This Row],[cutoff]]),DAY(m7_crossvalid[[#This Row],[cutoff]]))</f>
        <v>45747</v>
      </c>
      <c r="B122" s="7">
        <f>DATE(YEAR(m7_crossvalid[[#This Row],[ds]]),MONTH(m7_crossvalid[[#This Row],[ds]]),DAY(m7_crossvalid[[#This Row],[ds]]))</f>
        <v>45775</v>
      </c>
      <c r="C122">
        <v>5133</v>
      </c>
      <c r="D122" s="1">
        <v>45775.333333333336</v>
      </c>
      <c r="E122">
        <v>4531.2551826354447</v>
      </c>
      <c r="F122">
        <v>2973.0530828672631</v>
      </c>
      <c r="G122">
        <v>5973.3570276322434</v>
      </c>
      <c r="H122" s="1">
        <v>45747.333333333336</v>
      </c>
    </row>
    <row r="123" spans="1:8" x14ac:dyDescent="0.25">
      <c r="A123" s="7">
        <f>DATE(YEAR(m7_crossvalid[[#This Row],[cutoff]]),MONTH(m7_crossvalid[[#This Row],[cutoff]]),DAY(m7_crossvalid[[#This Row],[cutoff]]))</f>
        <v>45747</v>
      </c>
      <c r="B123" s="7">
        <f>DATE(YEAR(m7_crossvalid[[#This Row],[ds]]),MONTH(m7_crossvalid[[#This Row],[ds]]),DAY(m7_crossvalid[[#This Row],[ds]]))</f>
        <v>45776</v>
      </c>
      <c r="C123">
        <v>7913</v>
      </c>
      <c r="D123" s="1">
        <v>45776.333333333336</v>
      </c>
      <c r="E123">
        <v>7295.1995510591951</v>
      </c>
      <c r="F123">
        <v>5882.8526050764249</v>
      </c>
      <c r="G123">
        <v>8776.4140551541223</v>
      </c>
      <c r="H123" s="1">
        <v>45747.333333333336</v>
      </c>
    </row>
    <row r="124" spans="1:8" x14ac:dyDescent="0.25">
      <c r="A124" s="7">
        <f>DATE(YEAR(m7_crossvalid[[#This Row],[cutoff]]),MONTH(m7_crossvalid[[#This Row],[cutoff]]),DAY(m7_crossvalid[[#This Row],[cutoff]]))</f>
        <v>45747</v>
      </c>
      <c r="B124" s="7">
        <f>DATE(YEAR(m7_crossvalid[[#This Row],[ds]]),MONTH(m7_crossvalid[[#This Row],[ds]]),DAY(m7_crossvalid[[#This Row],[ds]]))</f>
        <v>45777</v>
      </c>
      <c r="C124">
        <v>14564</v>
      </c>
      <c r="D124" s="1">
        <v>45777.333333333336</v>
      </c>
      <c r="E124">
        <v>9924.3020061827428</v>
      </c>
      <c r="F124">
        <v>8484.7119444944201</v>
      </c>
      <c r="G124">
        <v>11291.006425536862</v>
      </c>
      <c r="H124" s="1">
        <v>45747.333333333336</v>
      </c>
    </row>
    <row r="125" spans="1:8" x14ac:dyDescent="0.25">
      <c r="A125" s="7">
        <f>DATE(YEAR(m7_crossvalid[[#This Row],[cutoff]]),MONTH(m7_crossvalid[[#This Row],[cutoff]]),DAY(m7_crossvalid[[#This Row],[cutoff]]))</f>
        <v>45747</v>
      </c>
      <c r="B125" s="7">
        <f>DATE(YEAR(m7_crossvalid[[#This Row],[ds]]),MONTH(m7_crossvalid[[#This Row],[ds]]),DAY(m7_crossvalid[[#This Row],[ds]]))</f>
        <v>45778</v>
      </c>
      <c r="C125">
        <v>24</v>
      </c>
      <c r="D125" s="1">
        <v>45778.333333333336</v>
      </c>
      <c r="E125">
        <v>1928.9126778140062</v>
      </c>
      <c r="F125">
        <v>511.98237574010329</v>
      </c>
      <c r="G125">
        <v>3452.9939010004214</v>
      </c>
      <c r="H125" s="1">
        <v>45747.333333333336</v>
      </c>
    </row>
    <row r="126" spans="1:8" x14ac:dyDescent="0.25">
      <c r="A126" s="7">
        <f>DATE(YEAR(m7_crossvalid[[#This Row],[cutoff]]),MONTH(m7_crossvalid[[#This Row],[cutoff]]),DAY(m7_crossvalid[[#This Row],[cutoff]]))</f>
        <v>45777</v>
      </c>
      <c r="B126" s="7">
        <f>DATE(YEAR(m7_crossvalid[[#This Row],[ds]]),MONTH(m7_crossvalid[[#This Row],[ds]]),DAY(m7_crossvalid[[#This Row],[ds]]))</f>
        <v>45778</v>
      </c>
      <c r="C126">
        <v>24</v>
      </c>
      <c r="D126" s="1">
        <v>45778.333333333336</v>
      </c>
      <c r="E126">
        <v>2053.1734753252645</v>
      </c>
      <c r="F126">
        <v>535.40149467341553</v>
      </c>
      <c r="G126">
        <v>3575.6514231516785</v>
      </c>
      <c r="H126" s="1">
        <v>45777.333333333336</v>
      </c>
    </row>
    <row r="127" spans="1:8" x14ac:dyDescent="0.25">
      <c r="A127" s="7">
        <f>DATE(YEAR(m7_crossvalid[[#This Row],[cutoff]]),MONTH(m7_crossvalid[[#This Row],[cutoff]]),DAY(m7_crossvalid[[#This Row],[cutoff]]))</f>
        <v>45777</v>
      </c>
      <c r="B127" s="7">
        <f>DATE(YEAR(m7_crossvalid[[#This Row],[ds]]),MONTH(m7_crossvalid[[#This Row],[ds]]),DAY(m7_crossvalid[[#This Row],[ds]]))</f>
        <v>45779</v>
      </c>
      <c r="C127">
        <v>750</v>
      </c>
      <c r="D127" s="1">
        <v>45779.333333333336</v>
      </c>
      <c r="E127">
        <v>2265.4427291893599</v>
      </c>
      <c r="F127">
        <v>814.86478967752987</v>
      </c>
      <c r="G127">
        <v>3761.7725086252744</v>
      </c>
      <c r="H127" s="1">
        <v>45777.333333333336</v>
      </c>
    </row>
    <row r="128" spans="1:8" x14ac:dyDescent="0.25">
      <c r="A128" s="7">
        <f>DATE(YEAR(m7_crossvalid[[#This Row],[cutoff]]),MONTH(m7_crossvalid[[#This Row],[cutoff]]),DAY(m7_crossvalid[[#This Row],[cutoff]]))</f>
        <v>45777</v>
      </c>
      <c r="B128" s="7">
        <f>DATE(YEAR(m7_crossvalid[[#This Row],[ds]]),MONTH(m7_crossvalid[[#This Row],[ds]]),DAY(m7_crossvalid[[#This Row],[ds]]))</f>
        <v>45780</v>
      </c>
      <c r="C128">
        <v>70</v>
      </c>
      <c r="D128" s="1">
        <v>45780.333333333336</v>
      </c>
      <c r="E128">
        <v>-654.36553698971875</v>
      </c>
      <c r="F128">
        <v>-2133.0505628394267</v>
      </c>
      <c r="G128">
        <v>787.83354975219891</v>
      </c>
      <c r="H128" s="1">
        <v>45777.333333333336</v>
      </c>
    </row>
    <row r="129" spans="1:8" x14ac:dyDescent="0.25">
      <c r="A129" s="7">
        <f>DATE(YEAR(m7_crossvalid[[#This Row],[cutoff]]),MONTH(m7_crossvalid[[#This Row],[cutoff]]),DAY(m7_crossvalid[[#This Row],[cutoff]]))</f>
        <v>45777</v>
      </c>
      <c r="B129" s="7">
        <f>DATE(YEAR(m7_crossvalid[[#This Row],[ds]]),MONTH(m7_crossvalid[[#This Row],[ds]]),DAY(m7_crossvalid[[#This Row],[ds]]))</f>
        <v>45781</v>
      </c>
      <c r="C129">
        <v>31</v>
      </c>
      <c r="D129" s="1">
        <v>45781.333333333336</v>
      </c>
      <c r="E129">
        <v>-1193.5097504395512</v>
      </c>
      <c r="F129">
        <v>-2637.1207816889519</v>
      </c>
      <c r="G129">
        <v>328.21075996426873</v>
      </c>
      <c r="H129" s="1">
        <v>45777.333333333336</v>
      </c>
    </row>
    <row r="130" spans="1:8" x14ac:dyDescent="0.25">
      <c r="A130" s="7">
        <f>DATE(YEAR(m7_crossvalid[[#This Row],[cutoff]]),MONTH(m7_crossvalid[[#This Row],[cutoff]]),DAY(m7_crossvalid[[#This Row],[cutoff]]))</f>
        <v>45777</v>
      </c>
      <c r="B130" s="7">
        <f>DATE(YEAR(m7_crossvalid[[#This Row],[ds]]),MONTH(m7_crossvalid[[#This Row],[ds]]),DAY(m7_crossvalid[[#This Row],[ds]]))</f>
        <v>45782</v>
      </c>
      <c r="C130">
        <v>1026</v>
      </c>
      <c r="D130" s="1">
        <v>45782.333333333336</v>
      </c>
      <c r="E130">
        <v>1293.5404158421502</v>
      </c>
      <c r="F130">
        <v>-136.31134908452765</v>
      </c>
      <c r="G130">
        <v>2752.1740653771376</v>
      </c>
      <c r="H130" s="1">
        <v>45777.333333333336</v>
      </c>
    </row>
    <row r="131" spans="1:8" x14ac:dyDescent="0.25">
      <c r="A131" s="7">
        <f>DATE(YEAR(m7_crossvalid[[#This Row],[cutoff]]),MONTH(m7_crossvalid[[#This Row],[cutoff]]),DAY(m7_crossvalid[[#This Row],[cutoff]]))</f>
        <v>45777</v>
      </c>
      <c r="B131" s="7">
        <f>DATE(YEAR(m7_crossvalid[[#This Row],[ds]]),MONTH(m7_crossvalid[[#This Row],[ds]]),DAY(m7_crossvalid[[#This Row],[ds]]))</f>
        <v>45783</v>
      </c>
      <c r="C131">
        <v>940</v>
      </c>
      <c r="D131" s="1">
        <v>45783.333333333336</v>
      </c>
      <c r="E131">
        <v>1551.8623843018704</v>
      </c>
      <c r="F131">
        <v>174.8099268555996</v>
      </c>
      <c r="G131">
        <v>2932.8361183671209</v>
      </c>
      <c r="H131" s="1">
        <v>45777.333333333336</v>
      </c>
    </row>
    <row r="132" spans="1:8" x14ac:dyDescent="0.25">
      <c r="A132" s="7">
        <f>DATE(YEAR(m7_crossvalid[[#This Row],[cutoff]]),MONTH(m7_crossvalid[[#This Row],[cutoff]]),DAY(m7_crossvalid[[#This Row],[cutoff]]))</f>
        <v>45777</v>
      </c>
      <c r="B132" s="7">
        <f>DATE(YEAR(m7_crossvalid[[#This Row],[ds]]),MONTH(m7_crossvalid[[#This Row],[ds]]),DAY(m7_crossvalid[[#This Row],[ds]]))</f>
        <v>45784</v>
      </c>
      <c r="C132">
        <v>1225</v>
      </c>
      <c r="D132" s="1">
        <v>45784.333333333336</v>
      </c>
      <c r="E132">
        <v>1692.6060110374071</v>
      </c>
      <c r="F132">
        <v>223.78239610767352</v>
      </c>
      <c r="G132">
        <v>3196.0591089714717</v>
      </c>
      <c r="H132" s="1">
        <v>45777.333333333336</v>
      </c>
    </row>
    <row r="133" spans="1:8" x14ac:dyDescent="0.25">
      <c r="A133" s="7">
        <f>DATE(YEAR(m7_crossvalid[[#This Row],[cutoff]]),MONTH(m7_crossvalid[[#This Row],[cutoff]]),DAY(m7_crossvalid[[#This Row],[cutoff]]))</f>
        <v>45777</v>
      </c>
      <c r="B133" s="7">
        <f>DATE(YEAR(m7_crossvalid[[#This Row],[ds]]),MONTH(m7_crossvalid[[#This Row],[ds]]),DAY(m7_crossvalid[[#This Row],[ds]]))</f>
        <v>45785</v>
      </c>
      <c r="C133">
        <v>1538</v>
      </c>
      <c r="D133" s="1">
        <v>45785.333333333336</v>
      </c>
      <c r="E133">
        <v>2440.4378327354057</v>
      </c>
      <c r="F133">
        <v>1114.8592445459901</v>
      </c>
      <c r="G133">
        <v>3964.7092097468485</v>
      </c>
      <c r="H133" s="1">
        <v>45777.333333333336</v>
      </c>
    </row>
    <row r="134" spans="1:8" x14ac:dyDescent="0.25">
      <c r="A134" s="7">
        <f>DATE(YEAR(m7_crossvalid[[#This Row],[cutoff]]),MONTH(m7_crossvalid[[#This Row],[cutoff]]),DAY(m7_crossvalid[[#This Row],[cutoff]]))</f>
        <v>45777</v>
      </c>
      <c r="B134" s="7">
        <f>DATE(YEAR(m7_crossvalid[[#This Row],[ds]]),MONTH(m7_crossvalid[[#This Row],[ds]]),DAY(m7_crossvalid[[#This Row],[ds]]))</f>
        <v>45786</v>
      </c>
      <c r="C134">
        <v>1799</v>
      </c>
      <c r="D134" s="1">
        <v>45786.333333333336</v>
      </c>
      <c r="E134">
        <v>2262.6928035563142</v>
      </c>
      <c r="F134">
        <v>867.88305426954241</v>
      </c>
      <c r="G134">
        <v>3751.1504760560219</v>
      </c>
      <c r="H134" s="1">
        <v>45777.333333333336</v>
      </c>
    </row>
    <row r="135" spans="1:8" x14ac:dyDescent="0.25">
      <c r="A135" s="7">
        <f>DATE(YEAR(m7_crossvalid[[#This Row],[cutoff]]),MONTH(m7_crossvalid[[#This Row],[cutoff]]),DAY(m7_crossvalid[[#This Row],[cutoff]]))</f>
        <v>45777</v>
      </c>
      <c r="B135" s="7">
        <f>DATE(YEAR(m7_crossvalid[[#This Row],[ds]]),MONTH(m7_crossvalid[[#This Row],[ds]]),DAY(m7_crossvalid[[#This Row],[ds]]))</f>
        <v>45787</v>
      </c>
      <c r="C135">
        <v>415</v>
      </c>
      <c r="D135" s="1">
        <v>45787.333333333336</v>
      </c>
      <c r="E135">
        <v>-173.49095685479324</v>
      </c>
      <c r="F135">
        <v>-1690.4386125230574</v>
      </c>
      <c r="G135">
        <v>1239.984991381257</v>
      </c>
      <c r="H135" s="1">
        <v>45777.333333333336</v>
      </c>
    </row>
    <row r="136" spans="1:8" x14ac:dyDescent="0.25">
      <c r="A136" s="7">
        <f>DATE(YEAR(m7_crossvalid[[#This Row],[cutoff]]),MONTH(m7_crossvalid[[#This Row],[cutoff]]),DAY(m7_crossvalid[[#This Row],[cutoff]]))</f>
        <v>45777</v>
      </c>
      <c r="B136" s="7">
        <f>DATE(YEAR(m7_crossvalid[[#This Row],[ds]]),MONTH(m7_crossvalid[[#This Row],[ds]]),DAY(m7_crossvalid[[#This Row],[ds]]))</f>
        <v>45788</v>
      </c>
      <c r="C136">
        <v>169</v>
      </c>
      <c r="D136" s="1">
        <v>45788.333333333336</v>
      </c>
      <c r="E136">
        <v>-804.31994416176894</v>
      </c>
      <c r="F136">
        <v>-2348.2441989136537</v>
      </c>
      <c r="G136">
        <v>689.04211636377909</v>
      </c>
      <c r="H136" s="1">
        <v>45777.333333333336</v>
      </c>
    </row>
    <row r="137" spans="1:8" x14ac:dyDescent="0.25">
      <c r="A137" s="7">
        <f>DATE(YEAR(m7_crossvalid[[#This Row],[cutoff]]),MONTH(m7_crossvalid[[#This Row],[cutoff]]),DAY(m7_crossvalid[[#This Row],[cutoff]]))</f>
        <v>45777</v>
      </c>
      <c r="B137" s="7">
        <f>DATE(YEAR(m7_crossvalid[[#This Row],[ds]]),MONTH(m7_crossvalid[[#This Row],[ds]]),DAY(m7_crossvalid[[#This Row],[ds]]))</f>
        <v>45789</v>
      </c>
      <c r="C137">
        <v>185</v>
      </c>
      <c r="D137" s="1">
        <v>45789.333333333336</v>
      </c>
      <c r="E137">
        <v>255.38269504411824</v>
      </c>
      <c r="F137">
        <v>-1101.1016309377933</v>
      </c>
      <c r="G137">
        <v>1705.3672641916482</v>
      </c>
      <c r="H137" s="1">
        <v>45777.333333333336</v>
      </c>
    </row>
    <row r="138" spans="1:8" x14ac:dyDescent="0.25">
      <c r="A138" s="7">
        <f>DATE(YEAR(m7_crossvalid[[#This Row],[cutoff]]),MONTH(m7_crossvalid[[#This Row],[cutoff]]),DAY(m7_crossvalid[[#This Row],[cutoff]]))</f>
        <v>45777</v>
      </c>
      <c r="B138" s="7">
        <f>DATE(YEAR(m7_crossvalid[[#This Row],[ds]]),MONTH(m7_crossvalid[[#This Row],[ds]]),DAY(m7_crossvalid[[#This Row],[ds]]))</f>
        <v>45790</v>
      </c>
      <c r="C138">
        <v>2011</v>
      </c>
      <c r="D138" s="1">
        <v>45790.333333333336</v>
      </c>
      <c r="E138">
        <v>2352.1986757381114</v>
      </c>
      <c r="F138">
        <v>851.75625660587571</v>
      </c>
      <c r="G138">
        <v>3773.6371978997458</v>
      </c>
      <c r="H138" s="1">
        <v>45777.333333333336</v>
      </c>
    </row>
    <row r="139" spans="1:8" x14ac:dyDescent="0.25">
      <c r="A139" s="7">
        <f>DATE(YEAR(m7_crossvalid[[#This Row],[cutoff]]),MONTH(m7_crossvalid[[#This Row],[cutoff]]),DAY(m7_crossvalid[[#This Row],[cutoff]]))</f>
        <v>45777</v>
      </c>
      <c r="B139" s="7">
        <f>DATE(YEAR(m7_crossvalid[[#This Row],[ds]]),MONTH(m7_crossvalid[[#This Row],[ds]]),DAY(m7_crossvalid[[#This Row],[ds]]))</f>
        <v>45791</v>
      </c>
      <c r="C139">
        <v>2630</v>
      </c>
      <c r="D139" s="1">
        <v>45791.333333333336</v>
      </c>
      <c r="E139">
        <v>2434.7385718449723</v>
      </c>
      <c r="F139">
        <v>953.03050841328013</v>
      </c>
      <c r="G139">
        <v>3803.7769801404984</v>
      </c>
      <c r="H139" s="1">
        <v>45777.333333333336</v>
      </c>
    </row>
    <row r="140" spans="1:8" x14ac:dyDescent="0.25">
      <c r="A140" s="7">
        <f>DATE(YEAR(m7_crossvalid[[#This Row],[cutoff]]),MONTH(m7_crossvalid[[#This Row],[cutoff]]),DAY(m7_crossvalid[[#This Row],[cutoff]]))</f>
        <v>45777</v>
      </c>
      <c r="B140" s="7">
        <f>DATE(YEAR(m7_crossvalid[[#This Row],[ds]]),MONTH(m7_crossvalid[[#This Row],[ds]]),DAY(m7_crossvalid[[#This Row],[ds]]))</f>
        <v>45792</v>
      </c>
      <c r="C140">
        <v>2985</v>
      </c>
      <c r="D140" s="1">
        <v>45792.333333333336</v>
      </c>
      <c r="E140">
        <v>2382.8744546201788</v>
      </c>
      <c r="F140">
        <v>1020.1524779811847</v>
      </c>
      <c r="G140">
        <v>3785.7144703909171</v>
      </c>
      <c r="H140" s="1">
        <v>45777.333333333336</v>
      </c>
    </row>
    <row r="141" spans="1:8" x14ac:dyDescent="0.25">
      <c r="A141" s="7">
        <f>DATE(YEAR(m7_crossvalid[[#This Row],[cutoff]]),MONTH(m7_crossvalid[[#This Row],[cutoff]]),DAY(m7_crossvalid[[#This Row],[cutoff]]))</f>
        <v>45777</v>
      </c>
      <c r="B141" s="7">
        <f>DATE(YEAR(m7_crossvalid[[#This Row],[ds]]),MONTH(m7_crossvalid[[#This Row],[ds]]),DAY(m7_crossvalid[[#This Row],[ds]]))</f>
        <v>45793</v>
      </c>
      <c r="C141">
        <v>3081</v>
      </c>
      <c r="D141" s="1">
        <v>45793.333333333336</v>
      </c>
      <c r="E141">
        <v>2436.5544746698679</v>
      </c>
      <c r="F141">
        <v>1087.7494620436623</v>
      </c>
      <c r="G141">
        <v>3906.5833665389355</v>
      </c>
      <c r="H141" s="1">
        <v>45777.333333333336</v>
      </c>
    </row>
    <row r="142" spans="1:8" x14ac:dyDescent="0.25">
      <c r="A142" s="7">
        <f>DATE(YEAR(m7_crossvalid[[#This Row],[cutoff]]),MONTH(m7_crossvalid[[#This Row],[cutoff]]),DAY(m7_crossvalid[[#This Row],[cutoff]]))</f>
        <v>45777</v>
      </c>
      <c r="B142" s="7">
        <f>DATE(YEAR(m7_crossvalid[[#This Row],[ds]]),MONTH(m7_crossvalid[[#This Row],[ds]]),DAY(m7_crossvalid[[#This Row],[ds]]))</f>
        <v>45794</v>
      </c>
      <c r="C142">
        <v>609</v>
      </c>
      <c r="D142" s="1">
        <v>45794.333333333336</v>
      </c>
      <c r="E142">
        <v>370.70125390168027</v>
      </c>
      <c r="F142">
        <v>-1054.4052385263726</v>
      </c>
      <c r="G142">
        <v>1794.279967602132</v>
      </c>
      <c r="H142" s="1">
        <v>45777.333333333336</v>
      </c>
    </row>
    <row r="143" spans="1:8" x14ac:dyDescent="0.25">
      <c r="A143" s="7">
        <f>DATE(YEAR(m7_crossvalid[[#This Row],[cutoff]]),MONTH(m7_crossvalid[[#This Row],[cutoff]]),DAY(m7_crossvalid[[#This Row],[cutoff]]))</f>
        <v>45777</v>
      </c>
      <c r="B143" s="7">
        <f>DATE(YEAR(m7_crossvalid[[#This Row],[ds]]),MONTH(m7_crossvalid[[#This Row],[ds]]),DAY(m7_crossvalid[[#This Row],[ds]]))</f>
        <v>45795</v>
      </c>
      <c r="C143">
        <v>185</v>
      </c>
      <c r="D143" s="1">
        <v>45795.333333333336</v>
      </c>
      <c r="E143">
        <v>11.645773827345238</v>
      </c>
      <c r="F143">
        <v>-1394.4810164976068</v>
      </c>
      <c r="G143">
        <v>1610.635282707407</v>
      </c>
      <c r="H143" s="1">
        <v>45777.333333333336</v>
      </c>
    </row>
    <row r="144" spans="1:8" x14ac:dyDescent="0.25">
      <c r="A144" s="7">
        <f>DATE(YEAR(m7_crossvalid[[#This Row],[cutoff]]),MONTH(m7_crossvalid[[#This Row],[cutoff]]),DAY(m7_crossvalid[[#This Row],[cutoff]]))</f>
        <v>45777</v>
      </c>
      <c r="B144" s="7">
        <f>DATE(YEAR(m7_crossvalid[[#This Row],[ds]]),MONTH(m7_crossvalid[[#This Row],[ds]]),DAY(m7_crossvalid[[#This Row],[ds]]))</f>
        <v>45796</v>
      </c>
      <c r="C144">
        <v>2926</v>
      </c>
      <c r="D144" s="1">
        <v>45796.333333333336</v>
      </c>
      <c r="E144">
        <v>2551.6766000724492</v>
      </c>
      <c r="F144">
        <v>1110.4069268286892</v>
      </c>
      <c r="G144">
        <v>4015.8625204522264</v>
      </c>
      <c r="H144" s="1">
        <v>45777.333333333336</v>
      </c>
    </row>
    <row r="145" spans="1:8" x14ac:dyDescent="0.25">
      <c r="A145" s="7">
        <f>DATE(YEAR(m7_crossvalid[[#This Row],[cutoff]]),MONTH(m7_crossvalid[[#This Row],[cutoff]]),DAY(m7_crossvalid[[#This Row],[cutoff]]))</f>
        <v>45777</v>
      </c>
      <c r="B145" s="7">
        <f>DATE(YEAR(m7_crossvalid[[#This Row],[ds]]),MONTH(m7_crossvalid[[#This Row],[ds]]),DAY(m7_crossvalid[[#This Row],[ds]]))</f>
        <v>45797</v>
      </c>
      <c r="C145">
        <v>3213</v>
      </c>
      <c r="D145" s="1">
        <v>45797.333333333336</v>
      </c>
      <c r="E145">
        <v>2890.0920555557054</v>
      </c>
      <c r="F145">
        <v>1429.1091195952927</v>
      </c>
      <c r="G145">
        <v>4292.3625412720485</v>
      </c>
      <c r="H145" s="1">
        <v>45777.333333333336</v>
      </c>
    </row>
    <row r="146" spans="1:8" x14ac:dyDescent="0.25">
      <c r="A146" s="7">
        <f>DATE(YEAR(m7_crossvalid[[#This Row],[cutoff]]),MONTH(m7_crossvalid[[#This Row],[cutoff]]),DAY(m7_crossvalid[[#This Row],[cutoff]]))</f>
        <v>45777</v>
      </c>
      <c r="B146" s="7">
        <f>DATE(YEAR(m7_crossvalid[[#This Row],[ds]]),MONTH(m7_crossvalid[[#This Row],[ds]]),DAY(m7_crossvalid[[#This Row],[ds]]))</f>
        <v>45798</v>
      </c>
      <c r="C146">
        <v>3566</v>
      </c>
      <c r="D146" s="1">
        <v>45798.333333333336</v>
      </c>
      <c r="E146">
        <v>3061.4392938938799</v>
      </c>
      <c r="F146">
        <v>1598.0817852568825</v>
      </c>
      <c r="G146">
        <v>4430.5966455094413</v>
      </c>
      <c r="H146" s="1">
        <v>45777.333333333336</v>
      </c>
    </row>
    <row r="147" spans="1:8" x14ac:dyDescent="0.25">
      <c r="A147" s="7">
        <f>DATE(YEAR(m7_crossvalid[[#This Row],[cutoff]]),MONTH(m7_crossvalid[[#This Row],[cutoff]]),DAY(m7_crossvalid[[#This Row],[cutoff]]))</f>
        <v>45777</v>
      </c>
      <c r="B147" s="7">
        <f>DATE(YEAR(m7_crossvalid[[#This Row],[ds]]),MONTH(m7_crossvalid[[#This Row],[ds]]),DAY(m7_crossvalid[[#This Row],[ds]]))</f>
        <v>45799</v>
      </c>
      <c r="C147">
        <v>3706</v>
      </c>
      <c r="D147" s="1">
        <v>45799.333333333336</v>
      </c>
      <c r="E147">
        <v>3096.2334256592117</v>
      </c>
      <c r="F147">
        <v>1615.9439185133269</v>
      </c>
      <c r="G147">
        <v>4415.1807885772232</v>
      </c>
      <c r="H147" s="1">
        <v>45777.333333333336</v>
      </c>
    </row>
    <row r="148" spans="1:8" x14ac:dyDescent="0.25">
      <c r="A148" s="7">
        <f>DATE(YEAR(m7_crossvalid[[#This Row],[cutoff]]),MONTH(m7_crossvalid[[#This Row],[cutoff]]),DAY(m7_crossvalid[[#This Row],[cutoff]]))</f>
        <v>45777</v>
      </c>
      <c r="B148" s="7">
        <f>DATE(YEAR(m7_crossvalid[[#This Row],[ds]]),MONTH(m7_crossvalid[[#This Row],[ds]]),DAY(m7_crossvalid[[#This Row],[ds]]))</f>
        <v>45800</v>
      </c>
      <c r="C148">
        <v>3920</v>
      </c>
      <c r="D148" s="1">
        <v>45800.333333333336</v>
      </c>
      <c r="E148">
        <v>3108.0013273503191</v>
      </c>
      <c r="F148">
        <v>1727.37319315429</v>
      </c>
      <c r="G148">
        <v>4590.5990054843423</v>
      </c>
      <c r="H148" s="1">
        <v>45777.333333333336</v>
      </c>
    </row>
    <row r="149" spans="1:8" x14ac:dyDescent="0.25">
      <c r="A149" s="7">
        <f>DATE(YEAR(m7_crossvalid[[#This Row],[cutoff]]),MONTH(m7_crossvalid[[#This Row],[cutoff]]),DAY(m7_crossvalid[[#This Row],[cutoff]]))</f>
        <v>45777</v>
      </c>
      <c r="B149" s="7">
        <f>DATE(YEAR(m7_crossvalid[[#This Row],[ds]]),MONTH(m7_crossvalid[[#This Row],[ds]]),DAY(m7_crossvalid[[#This Row],[ds]]))</f>
        <v>45801</v>
      </c>
      <c r="C149">
        <v>857</v>
      </c>
      <c r="D149" s="1">
        <v>45801.333333333336</v>
      </c>
      <c r="E149">
        <v>1140.147167266693</v>
      </c>
      <c r="F149">
        <v>-333.77969906924034</v>
      </c>
      <c r="G149">
        <v>2528.7811379384798</v>
      </c>
      <c r="H149" s="1">
        <v>45777.333333333336</v>
      </c>
    </row>
    <row r="150" spans="1:8" x14ac:dyDescent="0.25">
      <c r="A150" s="7">
        <f>DATE(YEAR(m7_crossvalid[[#This Row],[cutoff]]),MONTH(m7_crossvalid[[#This Row],[cutoff]]),DAY(m7_crossvalid[[#This Row],[cutoff]]))</f>
        <v>45777</v>
      </c>
      <c r="B150" s="7">
        <f>DATE(YEAR(m7_crossvalid[[#This Row],[ds]]),MONTH(m7_crossvalid[[#This Row],[ds]]),DAY(m7_crossvalid[[#This Row],[ds]]))</f>
        <v>45802</v>
      </c>
      <c r="C150">
        <v>215</v>
      </c>
      <c r="D150" s="1">
        <v>45802.333333333336</v>
      </c>
      <c r="E150">
        <v>1563.0335573759339</v>
      </c>
      <c r="F150">
        <v>167.13070162475654</v>
      </c>
      <c r="G150">
        <v>3020.4581188890002</v>
      </c>
      <c r="H150" s="1">
        <v>45777.333333333336</v>
      </c>
    </row>
    <row r="151" spans="1:8" x14ac:dyDescent="0.25">
      <c r="A151" s="7">
        <f>DATE(YEAR(m7_crossvalid[[#This Row],[cutoff]]),MONTH(m7_crossvalid[[#This Row],[cutoff]]),DAY(m7_crossvalid[[#This Row],[cutoff]]))</f>
        <v>45777</v>
      </c>
      <c r="B151" s="7">
        <f>DATE(YEAR(m7_crossvalid[[#This Row],[ds]]),MONTH(m7_crossvalid[[#This Row],[ds]]),DAY(m7_crossvalid[[#This Row],[ds]]))</f>
        <v>45803</v>
      </c>
      <c r="C151">
        <v>4297</v>
      </c>
      <c r="D151" s="1">
        <v>45803.333333333336</v>
      </c>
      <c r="E151">
        <v>3750.8760878974726</v>
      </c>
      <c r="F151">
        <v>2259.9961254626132</v>
      </c>
      <c r="G151">
        <v>5160.6402670989792</v>
      </c>
      <c r="H151" s="1">
        <v>45777.333333333336</v>
      </c>
    </row>
    <row r="152" spans="1:8" x14ac:dyDescent="0.25">
      <c r="A152" s="7">
        <f>DATE(YEAR(m7_crossvalid[[#This Row],[cutoff]]),MONTH(m7_crossvalid[[#This Row],[cutoff]]),DAY(m7_crossvalid[[#This Row],[cutoff]]))</f>
        <v>45777</v>
      </c>
      <c r="B152" s="7">
        <f>DATE(YEAR(m7_crossvalid[[#This Row],[ds]]),MONTH(m7_crossvalid[[#This Row],[ds]]),DAY(m7_crossvalid[[#This Row],[ds]]))</f>
        <v>45804</v>
      </c>
      <c r="C152">
        <v>5188</v>
      </c>
      <c r="D152" s="1">
        <v>45804.333333333336</v>
      </c>
      <c r="E152">
        <v>4049.4791153416745</v>
      </c>
      <c r="F152">
        <v>2506.920353512618</v>
      </c>
      <c r="G152">
        <v>5498.188078143542</v>
      </c>
      <c r="H152" s="1">
        <v>45777.333333333336</v>
      </c>
    </row>
    <row r="153" spans="1:8" x14ac:dyDescent="0.25">
      <c r="A153" s="7">
        <f>DATE(YEAR(m7_crossvalid[[#This Row],[cutoff]]),MONTH(m7_crossvalid[[#This Row],[cutoff]]),DAY(m7_crossvalid[[#This Row],[cutoff]]))</f>
        <v>45777</v>
      </c>
      <c r="B153" s="7">
        <f>DATE(YEAR(m7_crossvalid[[#This Row],[ds]]),MONTH(m7_crossvalid[[#This Row],[ds]]),DAY(m7_crossvalid[[#This Row],[ds]]))</f>
        <v>45805</v>
      </c>
      <c r="C153">
        <v>5701</v>
      </c>
      <c r="D153" s="1">
        <v>45805.333333333336</v>
      </c>
      <c r="E153">
        <v>4555.840452740792</v>
      </c>
      <c r="F153">
        <v>3066.8437087567795</v>
      </c>
      <c r="G153">
        <v>6095.9587095920378</v>
      </c>
      <c r="H153" s="1">
        <v>45777.333333333336</v>
      </c>
    </row>
    <row r="154" spans="1:8" x14ac:dyDescent="0.25">
      <c r="A154" s="7">
        <f>DATE(YEAR(m7_crossvalid[[#This Row],[cutoff]]),MONTH(m7_crossvalid[[#This Row],[cutoff]]),DAY(m7_crossvalid[[#This Row],[cutoff]]))</f>
        <v>45777</v>
      </c>
      <c r="B154" s="7">
        <f>DATE(YEAR(m7_crossvalid[[#This Row],[ds]]),MONTH(m7_crossvalid[[#This Row],[ds]]),DAY(m7_crossvalid[[#This Row],[ds]]))</f>
        <v>45806</v>
      </c>
      <c r="C154">
        <v>8103</v>
      </c>
      <c r="D154" s="1">
        <v>45806.333333333336</v>
      </c>
      <c r="E154">
        <v>4983.2811624196202</v>
      </c>
      <c r="F154">
        <v>3544.6248150297174</v>
      </c>
      <c r="G154">
        <v>6477.15352550222</v>
      </c>
      <c r="H154" s="1">
        <v>45777.333333333336</v>
      </c>
    </row>
    <row r="155" spans="1:8" x14ac:dyDescent="0.25">
      <c r="A155" s="7">
        <f>DATE(YEAR(m7_crossvalid[[#This Row],[cutoff]]),MONTH(m7_crossvalid[[#This Row],[cutoff]]),DAY(m7_crossvalid[[#This Row],[cutoff]]))</f>
        <v>45777</v>
      </c>
      <c r="B155" s="7">
        <f>DATE(YEAR(m7_crossvalid[[#This Row],[ds]]),MONTH(m7_crossvalid[[#This Row],[ds]]),DAY(m7_crossvalid[[#This Row],[ds]]))</f>
        <v>45807</v>
      </c>
      <c r="C155">
        <v>8920</v>
      </c>
      <c r="D155" s="1">
        <v>45807.333333333336</v>
      </c>
      <c r="E155">
        <v>7534.2795536305821</v>
      </c>
      <c r="F155">
        <v>5974.6784080482657</v>
      </c>
      <c r="G155">
        <v>9038.8213271768855</v>
      </c>
      <c r="H155" s="1">
        <v>45777.333333333336</v>
      </c>
    </row>
    <row r="156" spans="1:8" x14ac:dyDescent="0.25">
      <c r="A156" s="7">
        <f>DATE(YEAR(m7_crossvalid[[#This Row],[cutoff]]),MONTH(m7_crossvalid[[#This Row],[cutoff]]),DAY(m7_crossvalid[[#This Row],[cutoff]]))</f>
        <v>45777</v>
      </c>
      <c r="B156" s="7">
        <f>DATE(YEAR(m7_crossvalid[[#This Row],[ds]]),MONTH(m7_crossvalid[[#This Row],[ds]]),DAY(m7_crossvalid[[#This Row],[ds]]))</f>
        <v>45808</v>
      </c>
      <c r="C156">
        <v>4108</v>
      </c>
      <c r="D156" s="1">
        <v>45808.333333333336</v>
      </c>
      <c r="E156">
        <v>7874.6577130384539</v>
      </c>
      <c r="F156">
        <v>6438.7338444275292</v>
      </c>
      <c r="G156">
        <v>9394.1901067466224</v>
      </c>
      <c r="H156" s="1">
        <v>45777.333333333336</v>
      </c>
    </row>
    <row r="157" spans="1:8" x14ac:dyDescent="0.25">
      <c r="A157" s="7">
        <f>DATE(YEAR(m7_crossvalid[[#This Row],[cutoff]]),MONTH(m7_crossvalid[[#This Row],[cutoff]]),DAY(m7_crossvalid[[#This Row],[cutoff]]))</f>
        <v>45808</v>
      </c>
      <c r="B157" s="7">
        <f>DATE(YEAR(m7_crossvalid[[#This Row],[ds]]),MONTH(m7_crossvalid[[#This Row],[ds]]),DAY(m7_crossvalid[[#This Row],[ds]]))</f>
        <v>45809</v>
      </c>
      <c r="C157">
        <v>75</v>
      </c>
      <c r="D157" s="1">
        <v>45809.333333333336</v>
      </c>
      <c r="E157">
        <v>91.881959311912397</v>
      </c>
      <c r="F157">
        <v>-1235.4107145107068</v>
      </c>
      <c r="G157">
        <v>1521.2327280334821</v>
      </c>
      <c r="H157" s="1">
        <v>45808.333333333336</v>
      </c>
    </row>
    <row r="158" spans="1:8" x14ac:dyDescent="0.25">
      <c r="A158" s="7">
        <f>DATE(YEAR(m7_crossvalid[[#This Row],[cutoff]]),MONTH(m7_crossvalid[[#This Row],[cutoff]]),DAY(m7_crossvalid[[#This Row],[cutoff]]))</f>
        <v>45808</v>
      </c>
      <c r="B158" s="7">
        <f>DATE(YEAR(m7_crossvalid[[#This Row],[ds]]),MONTH(m7_crossvalid[[#This Row],[ds]]),DAY(m7_crossvalid[[#This Row],[ds]]))</f>
        <v>45810</v>
      </c>
      <c r="C158">
        <v>3</v>
      </c>
      <c r="D158" s="1">
        <v>45810.333333333336</v>
      </c>
      <c r="E158">
        <v>-51.843031079964931</v>
      </c>
      <c r="F158">
        <v>-1454.4035534355467</v>
      </c>
      <c r="G158">
        <v>1373.900828278179</v>
      </c>
      <c r="H158" s="1">
        <v>45808.333333333336</v>
      </c>
    </row>
    <row r="159" spans="1:8" x14ac:dyDescent="0.25">
      <c r="A159" s="7">
        <f>DATE(YEAR(m7_crossvalid[[#This Row],[cutoff]]),MONTH(m7_crossvalid[[#This Row],[cutoff]]),DAY(m7_crossvalid[[#This Row],[cutoff]]))</f>
        <v>45808</v>
      </c>
      <c r="B159" s="7">
        <f>DATE(YEAR(m7_crossvalid[[#This Row],[ds]]),MONTH(m7_crossvalid[[#This Row],[ds]]),DAY(m7_crossvalid[[#This Row],[ds]]))</f>
        <v>45811</v>
      </c>
      <c r="C159">
        <v>578</v>
      </c>
      <c r="D159" s="1">
        <v>45811.333333333336</v>
      </c>
      <c r="E159">
        <v>1792.8074518813312</v>
      </c>
      <c r="F159">
        <v>449.63269520139124</v>
      </c>
      <c r="G159">
        <v>3315.9817809117935</v>
      </c>
      <c r="H159" s="1">
        <v>45808.333333333336</v>
      </c>
    </row>
    <row r="160" spans="1:8" x14ac:dyDescent="0.25">
      <c r="A160" s="7">
        <f>DATE(YEAR(m7_crossvalid[[#This Row],[cutoff]]),MONTH(m7_crossvalid[[#This Row],[cutoff]]),DAY(m7_crossvalid[[#This Row],[cutoff]]))</f>
        <v>45808</v>
      </c>
      <c r="B160" s="7">
        <f>DATE(YEAR(m7_crossvalid[[#This Row],[ds]]),MONTH(m7_crossvalid[[#This Row],[ds]]),DAY(m7_crossvalid[[#This Row],[ds]]))</f>
        <v>45812</v>
      </c>
      <c r="C160">
        <v>842</v>
      </c>
      <c r="D160" s="1">
        <v>45812.333333333336</v>
      </c>
      <c r="E160">
        <v>1837.1299115137913</v>
      </c>
      <c r="F160">
        <v>367.66597178370478</v>
      </c>
      <c r="G160">
        <v>3362.3520535851353</v>
      </c>
      <c r="H160" s="1">
        <v>45808.333333333336</v>
      </c>
    </row>
    <row r="161" spans="1:8" x14ac:dyDescent="0.25">
      <c r="A161" s="7">
        <f>DATE(YEAR(m7_crossvalid[[#This Row],[cutoff]]),MONTH(m7_crossvalid[[#This Row],[cutoff]]),DAY(m7_crossvalid[[#This Row],[cutoff]]))</f>
        <v>45808</v>
      </c>
      <c r="B161" s="7">
        <f>DATE(YEAR(m7_crossvalid[[#This Row],[ds]]),MONTH(m7_crossvalid[[#This Row],[ds]]),DAY(m7_crossvalid[[#This Row],[ds]]))</f>
        <v>45813</v>
      </c>
      <c r="C161">
        <v>1102</v>
      </c>
      <c r="D161" s="1">
        <v>45813.333333333336</v>
      </c>
      <c r="E161">
        <v>1708.1125100304257</v>
      </c>
      <c r="F161">
        <v>202.72762303812956</v>
      </c>
      <c r="G161">
        <v>3110.9982976522497</v>
      </c>
      <c r="H161" s="1">
        <v>45808.333333333336</v>
      </c>
    </row>
    <row r="162" spans="1:8" x14ac:dyDescent="0.25">
      <c r="A162" s="7">
        <f>DATE(YEAR(m7_crossvalid[[#This Row],[cutoff]]),MONTH(m7_crossvalid[[#This Row],[cutoff]]),DAY(m7_crossvalid[[#This Row],[cutoff]]))</f>
        <v>45808</v>
      </c>
      <c r="B162" s="7">
        <f>DATE(YEAR(m7_crossvalid[[#This Row],[ds]]),MONTH(m7_crossvalid[[#This Row],[ds]]),DAY(m7_crossvalid[[#This Row],[ds]]))</f>
        <v>45814</v>
      </c>
      <c r="C162">
        <v>1098</v>
      </c>
      <c r="D162" s="1">
        <v>45814.333333333336</v>
      </c>
      <c r="E162">
        <v>-2011.7154298751152</v>
      </c>
      <c r="F162">
        <v>-3420.6689194775759</v>
      </c>
      <c r="G162">
        <v>-487.83171910151526</v>
      </c>
      <c r="H162" s="1">
        <v>45808.333333333336</v>
      </c>
    </row>
    <row r="163" spans="1:8" x14ac:dyDescent="0.25">
      <c r="A163" s="7">
        <f>DATE(YEAR(m7_crossvalid[[#This Row],[cutoff]]),MONTH(m7_crossvalid[[#This Row],[cutoff]]),DAY(m7_crossvalid[[#This Row],[cutoff]]))</f>
        <v>45808</v>
      </c>
      <c r="B163" s="7">
        <f>DATE(YEAR(m7_crossvalid[[#This Row],[ds]]),MONTH(m7_crossvalid[[#This Row],[ds]]),DAY(m7_crossvalid[[#This Row],[ds]]))</f>
        <v>45815</v>
      </c>
      <c r="C163">
        <v>17</v>
      </c>
      <c r="D163" s="1">
        <v>45815.333333333336</v>
      </c>
      <c r="E163">
        <v>-1455.7398021043741</v>
      </c>
      <c r="F163">
        <v>-2794.6203353790597</v>
      </c>
      <c r="G163">
        <v>114.55638044582413</v>
      </c>
      <c r="H163" s="1">
        <v>45808.333333333336</v>
      </c>
    </row>
    <row r="164" spans="1:8" x14ac:dyDescent="0.25">
      <c r="A164" s="7">
        <f>DATE(YEAR(m7_crossvalid[[#This Row],[cutoff]]),MONTH(m7_crossvalid[[#This Row],[cutoff]]),DAY(m7_crossvalid[[#This Row],[cutoff]]))</f>
        <v>45808</v>
      </c>
      <c r="B164" s="7">
        <f>DATE(YEAR(m7_crossvalid[[#This Row],[ds]]),MONTH(m7_crossvalid[[#This Row],[ds]]),DAY(m7_crossvalid[[#This Row],[ds]]))</f>
        <v>45816</v>
      </c>
      <c r="C164">
        <v>2</v>
      </c>
      <c r="D164" s="1">
        <v>45816.333333333336</v>
      </c>
      <c r="E164">
        <v>-618.65899905909691</v>
      </c>
      <c r="F164">
        <v>-2042.2786504446601</v>
      </c>
      <c r="G164">
        <v>857.01174038152249</v>
      </c>
      <c r="H164" s="1">
        <v>45808.333333333336</v>
      </c>
    </row>
    <row r="165" spans="1:8" x14ac:dyDescent="0.25">
      <c r="A165" s="7">
        <f>DATE(YEAR(m7_crossvalid[[#This Row],[cutoff]]),MONTH(m7_crossvalid[[#This Row],[cutoff]]),DAY(m7_crossvalid[[#This Row],[cutoff]]))</f>
        <v>45808</v>
      </c>
      <c r="B165" s="7">
        <f>DATE(YEAR(m7_crossvalid[[#This Row],[ds]]),MONTH(m7_crossvalid[[#This Row],[ds]]),DAY(m7_crossvalid[[#This Row],[ds]]))</f>
        <v>45817</v>
      </c>
      <c r="C165">
        <v>716</v>
      </c>
      <c r="D165" s="1">
        <v>45817.333333333336</v>
      </c>
      <c r="E165">
        <v>2234.527321619777</v>
      </c>
      <c r="F165">
        <v>856.62658159972523</v>
      </c>
      <c r="G165">
        <v>3663.5504953828786</v>
      </c>
      <c r="H165" s="1">
        <v>45808.333333333336</v>
      </c>
    </row>
    <row r="166" spans="1:8" x14ac:dyDescent="0.25">
      <c r="A166" s="7">
        <f>DATE(YEAR(m7_crossvalid[[#This Row],[cutoff]]),MONTH(m7_crossvalid[[#This Row],[cutoff]]),DAY(m7_crossvalid[[#This Row],[cutoff]]))</f>
        <v>45808</v>
      </c>
      <c r="B166" s="7">
        <f>DATE(YEAR(m7_crossvalid[[#This Row],[ds]]),MONTH(m7_crossvalid[[#This Row],[ds]]),DAY(m7_crossvalid[[#This Row],[ds]]))</f>
        <v>45818</v>
      </c>
      <c r="C166">
        <v>1129</v>
      </c>
      <c r="D166" s="1">
        <v>45818.333333333336</v>
      </c>
      <c r="E166">
        <v>1609.0141406180853</v>
      </c>
      <c r="F166">
        <v>41.568381271168853</v>
      </c>
      <c r="G166">
        <v>2999.0729899419262</v>
      </c>
      <c r="H166" s="1">
        <v>45808.333333333336</v>
      </c>
    </row>
    <row r="167" spans="1:8" x14ac:dyDescent="0.25">
      <c r="A167" s="7">
        <f>DATE(YEAR(m7_crossvalid[[#This Row],[cutoff]]),MONTH(m7_crossvalid[[#This Row],[cutoff]]),DAY(m7_crossvalid[[#This Row],[cutoff]]))</f>
        <v>45808</v>
      </c>
      <c r="B167" s="7">
        <f>DATE(YEAR(m7_crossvalid[[#This Row],[ds]]),MONTH(m7_crossvalid[[#This Row],[ds]]),DAY(m7_crossvalid[[#This Row],[ds]]))</f>
        <v>45819</v>
      </c>
      <c r="C167">
        <v>1387</v>
      </c>
      <c r="D167" s="1">
        <v>45819.333333333336</v>
      </c>
      <c r="E167">
        <v>1854.7149833590493</v>
      </c>
      <c r="F167">
        <v>461.72367000203786</v>
      </c>
      <c r="G167">
        <v>3357.9210091886421</v>
      </c>
      <c r="H167" s="1">
        <v>45808.333333333336</v>
      </c>
    </row>
    <row r="168" spans="1:8" x14ac:dyDescent="0.25">
      <c r="A168" s="7">
        <f>DATE(YEAR(m7_crossvalid[[#This Row],[cutoff]]),MONTH(m7_crossvalid[[#This Row],[cutoff]]),DAY(m7_crossvalid[[#This Row],[cutoff]]))</f>
        <v>45808</v>
      </c>
      <c r="B168" s="7">
        <f>DATE(YEAR(m7_crossvalid[[#This Row],[ds]]),MONTH(m7_crossvalid[[#This Row],[ds]]),DAY(m7_crossvalid[[#This Row],[ds]]))</f>
        <v>45820</v>
      </c>
      <c r="C168">
        <v>1689</v>
      </c>
      <c r="D168" s="1">
        <v>45820.333333333336</v>
      </c>
      <c r="E168">
        <v>2435.8959065151162</v>
      </c>
      <c r="F168">
        <v>1032.2771344038129</v>
      </c>
      <c r="G168">
        <v>3947.0288871151388</v>
      </c>
      <c r="H168" s="1">
        <v>45808.333333333336</v>
      </c>
    </row>
    <row r="169" spans="1:8" x14ac:dyDescent="0.25">
      <c r="A169" s="7">
        <f>DATE(YEAR(m7_crossvalid[[#This Row],[cutoff]]),MONTH(m7_crossvalid[[#This Row],[cutoff]]),DAY(m7_crossvalid[[#This Row],[cutoff]]))</f>
        <v>45808</v>
      </c>
      <c r="B169" s="7">
        <f>DATE(YEAR(m7_crossvalid[[#This Row],[ds]]),MONTH(m7_crossvalid[[#This Row],[ds]]),DAY(m7_crossvalid[[#This Row],[ds]]))</f>
        <v>45821</v>
      </c>
      <c r="C169">
        <v>1883</v>
      </c>
      <c r="D169" s="1">
        <v>45821.333333333336</v>
      </c>
      <c r="E169">
        <v>2023.5241381222377</v>
      </c>
      <c r="F169">
        <v>515.75529885535832</v>
      </c>
      <c r="G169">
        <v>3439.6183273869651</v>
      </c>
      <c r="H169" s="1">
        <v>45808.333333333336</v>
      </c>
    </row>
    <row r="170" spans="1:8" x14ac:dyDescent="0.25">
      <c r="A170" s="7">
        <f>DATE(YEAR(m7_crossvalid[[#This Row],[cutoff]]),MONTH(m7_crossvalid[[#This Row],[cutoff]]),DAY(m7_crossvalid[[#This Row],[cutoff]]))</f>
        <v>45808</v>
      </c>
      <c r="B170" s="7">
        <f>DATE(YEAR(m7_crossvalid[[#This Row],[ds]]),MONTH(m7_crossvalid[[#This Row],[ds]]),DAY(m7_crossvalid[[#This Row],[ds]]))</f>
        <v>45822</v>
      </c>
      <c r="C170">
        <v>280</v>
      </c>
      <c r="D170" s="1">
        <v>45822.333333333336</v>
      </c>
      <c r="E170">
        <v>211.86800737981775</v>
      </c>
      <c r="F170">
        <v>-1147.2904217435409</v>
      </c>
      <c r="G170">
        <v>1744.257860048768</v>
      </c>
      <c r="H170" s="1">
        <v>45808.333333333336</v>
      </c>
    </row>
    <row r="171" spans="1:8" x14ac:dyDescent="0.25">
      <c r="A171" s="7">
        <f>DATE(YEAR(m7_crossvalid[[#This Row],[cutoff]]),MONTH(m7_crossvalid[[#This Row],[cutoff]]),DAY(m7_crossvalid[[#This Row],[cutoff]]))</f>
        <v>45808</v>
      </c>
      <c r="B171" s="7">
        <f>DATE(YEAR(m7_crossvalid[[#This Row],[ds]]),MONTH(m7_crossvalid[[#This Row],[ds]]),DAY(m7_crossvalid[[#This Row],[ds]]))</f>
        <v>45823</v>
      </c>
      <c r="C171">
        <v>71</v>
      </c>
      <c r="D171" s="1">
        <v>45823.333333333336</v>
      </c>
      <c r="E171">
        <v>-264.18285362919096</v>
      </c>
      <c r="F171">
        <v>-1738.9398030319237</v>
      </c>
      <c r="G171">
        <v>1183.2410796812378</v>
      </c>
      <c r="H171" s="1">
        <v>45808.333333333336</v>
      </c>
    </row>
    <row r="172" spans="1:8" x14ac:dyDescent="0.25">
      <c r="A172" s="7">
        <f>DATE(YEAR(m7_crossvalid[[#This Row],[cutoff]]),MONTH(m7_crossvalid[[#This Row],[cutoff]]),DAY(m7_crossvalid[[#This Row],[cutoff]]))</f>
        <v>45808</v>
      </c>
      <c r="B172" s="7">
        <f>DATE(YEAR(m7_crossvalid[[#This Row],[ds]]),MONTH(m7_crossvalid[[#This Row],[ds]]),DAY(m7_crossvalid[[#This Row],[ds]]))</f>
        <v>45824</v>
      </c>
      <c r="C172">
        <v>1852</v>
      </c>
      <c r="D172" s="1">
        <v>45824.333333333336</v>
      </c>
      <c r="E172">
        <v>2362.1574190917004</v>
      </c>
      <c r="F172">
        <v>913.82833361685539</v>
      </c>
      <c r="G172">
        <v>3835.6101184969793</v>
      </c>
      <c r="H172" s="1">
        <v>45808.333333333336</v>
      </c>
    </row>
    <row r="173" spans="1:8" x14ac:dyDescent="0.25">
      <c r="A173" s="7">
        <f>DATE(YEAR(m7_crossvalid[[#This Row],[cutoff]]),MONTH(m7_crossvalid[[#This Row],[cutoff]]),DAY(m7_crossvalid[[#This Row],[cutoff]]))</f>
        <v>45808</v>
      </c>
      <c r="B173" s="7">
        <f>DATE(YEAR(m7_crossvalid[[#This Row],[ds]]),MONTH(m7_crossvalid[[#This Row],[ds]]),DAY(m7_crossvalid[[#This Row],[ds]]))</f>
        <v>45825</v>
      </c>
      <c r="C173">
        <v>2251</v>
      </c>
      <c r="D173" s="1">
        <v>45825.333333333336</v>
      </c>
      <c r="E173">
        <v>2846.4153127594427</v>
      </c>
      <c r="F173">
        <v>1455.5417864188041</v>
      </c>
      <c r="G173">
        <v>4242.2077564232532</v>
      </c>
      <c r="H173" s="1">
        <v>45808.333333333336</v>
      </c>
    </row>
    <row r="174" spans="1:8" x14ac:dyDescent="0.25">
      <c r="A174" s="7">
        <f>DATE(YEAR(m7_crossvalid[[#This Row],[cutoff]]),MONTH(m7_crossvalid[[#This Row],[cutoff]]),DAY(m7_crossvalid[[#This Row],[cutoff]]))</f>
        <v>45808</v>
      </c>
      <c r="B174" s="7">
        <f>DATE(YEAR(m7_crossvalid[[#This Row],[ds]]),MONTH(m7_crossvalid[[#This Row],[ds]]),DAY(m7_crossvalid[[#This Row],[ds]]))</f>
        <v>45826</v>
      </c>
      <c r="C174">
        <v>2552</v>
      </c>
      <c r="D174" s="1">
        <v>45826.333333333336</v>
      </c>
      <c r="E174">
        <v>3003.3458518920906</v>
      </c>
      <c r="F174">
        <v>1394.8107671801947</v>
      </c>
      <c r="G174">
        <v>4378.3105835149327</v>
      </c>
      <c r="H174" s="1">
        <v>45808.333333333336</v>
      </c>
    </row>
    <row r="175" spans="1:8" x14ac:dyDescent="0.25">
      <c r="A175" s="7">
        <f>DATE(YEAR(m7_crossvalid[[#This Row],[cutoff]]),MONTH(m7_crossvalid[[#This Row],[cutoff]]),DAY(m7_crossvalid[[#This Row],[cutoff]]))</f>
        <v>45808</v>
      </c>
      <c r="B175" s="7">
        <f>DATE(YEAR(m7_crossvalid[[#This Row],[ds]]),MONTH(m7_crossvalid[[#This Row],[ds]]),DAY(m7_crossvalid[[#This Row],[ds]]))</f>
        <v>45827</v>
      </c>
      <c r="C175">
        <v>2813</v>
      </c>
      <c r="D175" s="1">
        <v>45827.333333333336</v>
      </c>
      <c r="E175">
        <v>3004.297143048585</v>
      </c>
      <c r="F175">
        <v>1448.9352272584724</v>
      </c>
      <c r="G175">
        <v>4428.3945772481075</v>
      </c>
      <c r="H175" s="1">
        <v>45808.333333333336</v>
      </c>
    </row>
    <row r="176" spans="1:8" x14ac:dyDescent="0.25">
      <c r="A176" s="7">
        <f>DATE(YEAR(m7_crossvalid[[#This Row],[cutoff]]),MONTH(m7_crossvalid[[#This Row],[cutoff]]),DAY(m7_crossvalid[[#This Row],[cutoff]]))</f>
        <v>45808</v>
      </c>
      <c r="B176" s="7">
        <f>DATE(YEAR(m7_crossvalid[[#This Row],[ds]]),MONTH(m7_crossvalid[[#This Row],[ds]]),DAY(m7_crossvalid[[#This Row],[ds]]))</f>
        <v>45828</v>
      </c>
      <c r="C176">
        <v>3023</v>
      </c>
      <c r="D176" s="1">
        <v>45828.333333333336</v>
      </c>
      <c r="E176">
        <v>3010.9080899879286</v>
      </c>
      <c r="F176">
        <v>1674.9879087155177</v>
      </c>
      <c r="G176">
        <v>4479.7286077131739</v>
      </c>
      <c r="H176" s="1">
        <v>45808.333333333336</v>
      </c>
    </row>
    <row r="177" spans="1:8" x14ac:dyDescent="0.25">
      <c r="A177" s="7">
        <f>DATE(YEAR(m7_crossvalid[[#This Row],[cutoff]]),MONTH(m7_crossvalid[[#This Row],[cutoff]]),DAY(m7_crossvalid[[#This Row],[cutoff]]))</f>
        <v>45808</v>
      </c>
      <c r="B177" s="7">
        <f>DATE(YEAR(m7_crossvalid[[#This Row],[ds]]),MONTH(m7_crossvalid[[#This Row],[ds]]),DAY(m7_crossvalid[[#This Row],[ds]]))</f>
        <v>45829</v>
      </c>
      <c r="C177">
        <v>360</v>
      </c>
      <c r="D177" s="1">
        <v>45829.333333333336</v>
      </c>
      <c r="E177">
        <v>837.76768757098307</v>
      </c>
      <c r="F177">
        <v>-647.98960851402501</v>
      </c>
      <c r="G177">
        <v>2260.9761292207554</v>
      </c>
      <c r="H177" s="1">
        <v>45808.333333333336</v>
      </c>
    </row>
    <row r="178" spans="1:8" x14ac:dyDescent="0.25">
      <c r="A178" s="7">
        <f>DATE(YEAR(m7_crossvalid[[#This Row],[cutoff]]),MONTH(m7_crossvalid[[#This Row],[cutoff]]),DAY(m7_crossvalid[[#This Row],[cutoff]]))</f>
        <v>45808</v>
      </c>
      <c r="B178" s="7">
        <f>DATE(YEAR(m7_crossvalid[[#This Row],[ds]]),MONTH(m7_crossvalid[[#This Row],[ds]]),DAY(m7_crossvalid[[#This Row],[ds]]))</f>
        <v>45830</v>
      </c>
      <c r="C178">
        <v>129</v>
      </c>
      <c r="D178" s="1">
        <v>45830.333333333336</v>
      </c>
      <c r="E178">
        <v>354.17399218961964</v>
      </c>
      <c r="F178">
        <v>-1153.2673327382847</v>
      </c>
      <c r="G178">
        <v>1745.7706499687661</v>
      </c>
      <c r="H178" s="1">
        <v>45808.333333333336</v>
      </c>
    </row>
    <row r="179" spans="1:8" x14ac:dyDescent="0.25">
      <c r="A179" s="7">
        <f>DATE(YEAR(m7_crossvalid[[#This Row],[cutoff]]),MONTH(m7_crossvalid[[#This Row],[cutoff]]),DAY(m7_crossvalid[[#This Row],[cutoff]]))</f>
        <v>45808</v>
      </c>
      <c r="B179" s="7">
        <f>DATE(YEAR(m7_crossvalid[[#This Row],[ds]]),MONTH(m7_crossvalid[[#This Row],[ds]]),DAY(m7_crossvalid[[#This Row],[ds]]))</f>
        <v>45831</v>
      </c>
      <c r="C179">
        <v>3291</v>
      </c>
      <c r="D179" s="1">
        <v>45831.333333333336</v>
      </c>
      <c r="E179">
        <v>2979.8153770862696</v>
      </c>
      <c r="F179">
        <v>1495.2671581906181</v>
      </c>
      <c r="G179">
        <v>4376.234312035388</v>
      </c>
      <c r="H179" s="1">
        <v>45808.333333333336</v>
      </c>
    </row>
    <row r="180" spans="1:8" x14ac:dyDescent="0.25">
      <c r="A180" s="7">
        <f>DATE(YEAR(m7_crossvalid[[#This Row],[cutoff]]),MONTH(m7_crossvalid[[#This Row],[cutoff]]),DAY(m7_crossvalid[[#This Row],[cutoff]]))</f>
        <v>45808</v>
      </c>
      <c r="B180" s="7">
        <f>DATE(YEAR(m7_crossvalid[[#This Row],[ds]]),MONTH(m7_crossvalid[[#This Row],[ds]]),DAY(m7_crossvalid[[#This Row],[ds]]))</f>
        <v>45832</v>
      </c>
      <c r="C180">
        <v>3743</v>
      </c>
      <c r="D180" s="1">
        <v>45832.333333333336</v>
      </c>
      <c r="E180">
        <v>4357.8569344306252</v>
      </c>
      <c r="F180">
        <v>2800.9033189703946</v>
      </c>
      <c r="G180">
        <v>5813.3595750789473</v>
      </c>
      <c r="H180" s="1">
        <v>45808.333333333336</v>
      </c>
    </row>
    <row r="181" spans="1:8" x14ac:dyDescent="0.25">
      <c r="A181" s="7">
        <f>DATE(YEAR(m7_crossvalid[[#This Row],[cutoff]]),MONTH(m7_crossvalid[[#This Row],[cutoff]]),DAY(m7_crossvalid[[#This Row],[cutoff]]))</f>
        <v>45808</v>
      </c>
      <c r="B181" s="7">
        <f>DATE(YEAR(m7_crossvalid[[#This Row],[ds]]),MONTH(m7_crossvalid[[#This Row],[ds]]),DAY(m7_crossvalid[[#This Row],[ds]]))</f>
        <v>45833</v>
      </c>
      <c r="C181">
        <v>4576</v>
      </c>
      <c r="D181" s="1">
        <v>45833.333333333336</v>
      </c>
      <c r="E181">
        <v>4276.1224947739711</v>
      </c>
      <c r="F181">
        <v>2741.9643095758911</v>
      </c>
      <c r="G181">
        <v>5638.7965014577658</v>
      </c>
      <c r="H181" s="1">
        <v>45808.333333333336</v>
      </c>
    </row>
    <row r="182" spans="1:8" x14ac:dyDescent="0.25">
      <c r="A182" s="7">
        <f>DATE(YEAR(m7_crossvalid[[#This Row],[cutoff]]),MONTH(m7_crossvalid[[#This Row],[cutoff]]),DAY(m7_crossvalid[[#This Row],[cutoff]]))</f>
        <v>45808</v>
      </c>
      <c r="B182" s="7">
        <f>DATE(YEAR(m7_crossvalid[[#This Row],[ds]]),MONTH(m7_crossvalid[[#This Row],[ds]]),DAY(m7_crossvalid[[#This Row],[ds]]))</f>
        <v>45834</v>
      </c>
      <c r="C182">
        <v>6205</v>
      </c>
      <c r="D182" s="1">
        <v>45834.333333333336</v>
      </c>
      <c r="E182">
        <v>4028.7492322461276</v>
      </c>
      <c r="F182">
        <v>2581.3474033913353</v>
      </c>
      <c r="G182">
        <v>5478.8688171725871</v>
      </c>
      <c r="H182" s="1">
        <v>45808.333333333336</v>
      </c>
    </row>
    <row r="183" spans="1:8" x14ac:dyDescent="0.25">
      <c r="A183" s="7">
        <f>DATE(YEAR(m7_crossvalid[[#This Row],[cutoff]]),MONTH(m7_crossvalid[[#This Row],[cutoff]]),DAY(m7_crossvalid[[#This Row],[cutoff]]))</f>
        <v>45808</v>
      </c>
      <c r="B183" s="7">
        <f>DATE(YEAR(m7_crossvalid[[#This Row],[ds]]),MONTH(m7_crossvalid[[#This Row],[ds]]),DAY(m7_crossvalid[[#This Row],[ds]]))</f>
        <v>45835</v>
      </c>
      <c r="C183">
        <v>814</v>
      </c>
      <c r="D183" s="1">
        <v>45835.333333333336</v>
      </c>
      <c r="E183">
        <v>2623.4422365704631</v>
      </c>
      <c r="F183">
        <v>1145.1812427739223</v>
      </c>
      <c r="G183">
        <v>4114.3622811437881</v>
      </c>
      <c r="H183" s="1">
        <v>45808.333333333336</v>
      </c>
    </row>
    <row r="184" spans="1:8" x14ac:dyDescent="0.25">
      <c r="A184" s="7">
        <f>DATE(YEAR(m7_crossvalid[[#This Row],[cutoff]]),MONTH(m7_crossvalid[[#This Row],[cutoff]]),DAY(m7_crossvalid[[#This Row],[cutoff]]))</f>
        <v>45808</v>
      </c>
      <c r="B184" s="7">
        <f>DATE(YEAR(m7_crossvalid[[#This Row],[ds]]),MONTH(m7_crossvalid[[#This Row],[ds]]),DAY(m7_crossvalid[[#This Row],[ds]]))</f>
        <v>45836</v>
      </c>
      <c r="C184">
        <v>2326</v>
      </c>
      <c r="D184" s="1">
        <v>45836.333333333336</v>
      </c>
      <c r="E184">
        <v>2467.5422130609604</v>
      </c>
      <c r="F184">
        <v>1051.3026409327815</v>
      </c>
      <c r="G184">
        <v>3773.193950885408</v>
      </c>
      <c r="H184" s="1">
        <v>45808.333333333336</v>
      </c>
    </row>
    <row r="185" spans="1:8" x14ac:dyDescent="0.25">
      <c r="A185" s="7">
        <f>DATE(YEAR(m7_crossvalid[[#This Row],[cutoff]]),MONTH(m7_crossvalid[[#This Row],[cutoff]]),DAY(m7_crossvalid[[#This Row],[cutoff]]))</f>
        <v>45808</v>
      </c>
      <c r="B185" s="7">
        <f>DATE(YEAR(m7_crossvalid[[#This Row],[ds]]),MONTH(m7_crossvalid[[#This Row],[ds]]),DAY(m7_crossvalid[[#This Row],[ds]]))</f>
        <v>45837</v>
      </c>
      <c r="C185">
        <v>427</v>
      </c>
      <c r="D185" s="1">
        <v>45837.333333333336</v>
      </c>
      <c r="E185">
        <v>4673.4257936145223</v>
      </c>
      <c r="F185">
        <v>3207.9009437348568</v>
      </c>
      <c r="G185">
        <v>6141.1809346453028</v>
      </c>
      <c r="H185" s="1">
        <v>45808.333333333336</v>
      </c>
    </row>
    <row r="186" spans="1:8" x14ac:dyDescent="0.25">
      <c r="A186" s="7">
        <f>DATE(YEAR(m7_crossvalid[[#This Row],[cutoff]]),MONTH(m7_crossvalid[[#This Row],[cutoff]]),DAY(m7_crossvalid[[#This Row],[cutoff]]))</f>
        <v>45808</v>
      </c>
      <c r="B186" s="7">
        <f>DATE(YEAR(m7_crossvalid[[#This Row],[ds]]),MONTH(m7_crossvalid[[#This Row],[ds]]),DAY(m7_crossvalid[[#This Row],[ds]]))</f>
        <v>45838</v>
      </c>
      <c r="C186">
        <v>13624</v>
      </c>
      <c r="D186" s="1">
        <v>45838.333333333336</v>
      </c>
      <c r="E186">
        <v>9644.8234583200028</v>
      </c>
      <c r="F186">
        <v>8321.0351798868323</v>
      </c>
      <c r="G186">
        <v>11223.048462020126</v>
      </c>
      <c r="H186" s="1">
        <v>45808.333333333336</v>
      </c>
    </row>
    <row r="187" spans="1:8" x14ac:dyDescent="0.25">
      <c r="A187" s="7">
        <f>DATE(YEAR(m7_crossvalid[[#This Row],[cutoff]]),MONTH(m7_crossvalid[[#This Row],[cutoff]]),DAY(m7_crossvalid[[#This Row],[cutoff]]))</f>
        <v>45808</v>
      </c>
      <c r="B187" s="7">
        <f>DATE(YEAR(m7_crossvalid[[#This Row],[ds]]),MONTH(m7_crossvalid[[#This Row],[ds]]),DAY(m7_crossvalid[[#This Row],[ds]]))</f>
        <v>45839</v>
      </c>
      <c r="C187">
        <v>624</v>
      </c>
      <c r="D187" s="1">
        <v>45839.333333333336</v>
      </c>
      <c r="E187">
        <v>3179.4973497752262</v>
      </c>
      <c r="F187">
        <v>1794.1077554322044</v>
      </c>
      <c r="G187">
        <v>4698.3254488661041</v>
      </c>
      <c r="H187" s="1">
        <v>45808.333333333336</v>
      </c>
    </row>
    <row r="188" spans="1:8" x14ac:dyDescent="0.25">
      <c r="A188" s="7">
        <f>DATE(YEAR(m7_crossvalid[[#This Row],[cutoff]]),MONTH(m7_crossvalid[[#This Row],[cutoff]]),DAY(m7_crossvalid[[#This Row],[cutoff]]))</f>
        <v>45838</v>
      </c>
      <c r="B188" s="7">
        <f>DATE(YEAR(m7_crossvalid[[#This Row],[ds]]),MONTH(m7_crossvalid[[#This Row],[ds]]),DAY(m7_crossvalid[[#This Row],[ds]]))</f>
        <v>45839</v>
      </c>
      <c r="C188">
        <v>624</v>
      </c>
      <c r="D188" s="1">
        <v>45839.333333333336</v>
      </c>
      <c r="E188">
        <v>3243.1696940613692</v>
      </c>
      <c r="F188">
        <v>1749.7077565860709</v>
      </c>
      <c r="G188">
        <v>4636.5192532979381</v>
      </c>
      <c r="H188" s="1">
        <v>45838.333333333336</v>
      </c>
    </row>
    <row r="189" spans="1:8" x14ac:dyDescent="0.25">
      <c r="A189" s="7">
        <f>DATE(YEAR(m7_crossvalid[[#This Row],[cutoff]]),MONTH(m7_crossvalid[[#This Row],[cutoff]]),DAY(m7_crossvalid[[#This Row],[cutoff]]))</f>
        <v>45838</v>
      </c>
      <c r="B189" s="7">
        <f>DATE(YEAR(m7_crossvalid[[#This Row],[ds]]),MONTH(m7_crossvalid[[#This Row],[ds]]),DAY(m7_crossvalid[[#This Row],[ds]]))</f>
        <v>45840</v>
      </c>
      <c r="C189">
        <v>733</v>
      </c>
      <c r="D189" s="1">
        <v>45840.333333333336</v>
      </c>
      <c r="E189">
        <v>2093.3103664543551</v>
      </c>
      <c r="F189">
        <v>619.02303483702576</v>
      </c>
      <c r="G189">
        <v>3562.9366118816479</v>
      </c>
      <c r="H189" s="1">
        <v>45838.333333333336</v>
      </c>
    </row>
    <row r="190" spans="1:8" x14ac:dyDescent="0.25">
      <c r="A190" s="7">
        <f>DATE(YEAR(m7_crossvalid[[#This Row],[cutoff]]),MONTH(m7_crossvalid[[#This Row],[cutoff]]),DAY(m7_crossvalid[[#This Row],[cutoff]]))</f>
        <v>45838</v>
      </c>
      <c r="B190" s="7">
        <f>DATE(YEAR(m7_crossvalid[[#This Row],[ds]]),MONTH(m7_crossvalid[[#This Row],[ds]]),DAY(m7_crossvalid[[#This Row],[ds]]))</f>
        <v>45841</v>
      </c>
      <c r="C190">
        <v>1036</v>
      </c>
      <c r="D190" s="1">
        <v>45841.333333333336</v>
      </c>
      <c r="E190">
        <v>1590.0527935532477</v>
      </c>
      <c r="F190">
        <v>56.007421449168177</v>
      </c>
      <c r="G190">
        <v>2986.4463504374489</v>
      </c>
      <c r="H190" s="1">
        <v>45838.333333333336</v>
      </c>
    </row>
    <row r="191" spans="1:8" x14ac:dyDescent="0.25">
      <c r="A191" s="7">
        <f>DATE(YEAR(m7_crossvalid[[#This Row],[cutoff]]),MONTH(m7_crossvalid[[#This Row],[cutoff]]),DAY(m7_crossvalid[[#This Row],[cutoff]]))</f>
        <v>45838</v>
      </c>
      <c r="B191" s="7">
        <f>DATE(YEAR(m7_crossvalid[[#This Row],[ds]]),MONTH(m7_crossvalid[[#This Row],[ds]]),DAY(m7_crossvalid[[#This Row],[ds]]))</f>
        <v>45842</v>
      </c>
      <c r="C191">
        <v>1189</v>
      </c>
      <c r="D191" s="1">
        <v>45842.333333333336</v>
      </c>
      <c r="E191">
        <v>1503.8554857472438</v>
      </c>
      <c r="F191">
        <v>36.066089311004092</v>
      </c>
      <c r="G191">
        <v>2929.6587656658035</v>
      </c>
      <c r="H191" s="1">
        <v>45838.333333333336</v>
      </c>
    </row>
    <row r="192" spans="1:8" x14ac:dyDescent="0.25">
      <c r="A192" s="7">
        <f>DATE(YEAR(m7_crossvalid[[#This Row],[cutoff]]),MONTH(m7_crossvalid[[#This Row],[cutoff]]),DAY(m7_crossvalid[[#This Row],[cutoff]]))</f>
        <v>45838</v>
      </c>
      <c r="B192" s="7">
        <f>DATE(YEAR(m7_crossvalid[[#This Row],[ds]]),MONTH(m7_crossvalid[[#This Row],[ds]]),DAY(m7_crossvalid[[#This Row],[ds]]))</f>
        <v>45843</v>
      </c>
      <c r="C192">
        <v>170</v>
      </c>
      <c r="D192" s="1">
        <v>45843.333333333336</v>
      </c>
      <c r="E192">
        <v>-803.62971205884196</v>
      </c>
      <c r="F192">
        <v>-2303.5252360084164</v>
      </c>
      <c r="G192">
        <v>717.69978545983565</v>
      </c>
      <c r="H192" s="1">
        <v>45838.333333333336</v>
      </c>
    </row>
    <row r="193" spans="1:8" x14ac:dyDescent="0.25">
      <c r="A193" s="7">
        <f>DATE(YEAR(m7_crossvalid[[#This Row],[cutoff]]),MONTH(m7_crossvalid[[#This Row],[cutoff]]),DAY(m7_crossvalid[[#This Row],[cutoff]]))</f>
        <v>45838</v>
      </c>
      <c r="B193" s="7">
        <f>DATE(YEAR(m7_crossvalid[[#This Row],[ds]]),MONTH(m7_crossvalid[[#This Row],[ds]]),DAY(m7_crossvalid[[#This Row],[ds]]))</f>
        <v>45844</v>
      </c>
      <c r="C193">
        <v>30</v>
      </c>
      <c r="D193" s="1">
        <v>45844.333333333336</v>
      </c>
      <c r="E193">
        <v>-1347.0323094800224</v>
      </c>
      <c r="F193">
        <v>-2953.7208235753947</v>
      </c>
      <c r="G193">
        <v>157.62138286946362</v>
      </c>
      <c r="H193" s="1">
        <v>45838.333333333336</v>
      </c>
    </row>
    <row r="194" spans="1:8" x14ac:dyDescent="0.25">
      <c r="A194" s="7">
        <f>DATE(YEAR(m7_crossvalid[[#This Row],[cutoff]]),MONTH(m7_crossvalid[[#This Row],[cutoff]]),DAY(m7_crossvalid[[#This Row],[cutoff]]))</f>
        <v>45838</v>
      </c>
      <c r="B194" s="7">
        <f>DATE(YEAR(m7_crossvalid[[#This Row],[ds]]),MONTH(m7_crossvalid[[#This Row],[ds]]),DAY(m7_crossvalid[[#This Row],[ds]]))</f>
        <v>45845</v>
      </c>
      <c r="C194">
        <v>1218</v>
      </c>
      <c r="D194" s="1">
        <v>45845.333333333336</v>
      </c>
      <c r="E194">
        <v>1291.8537090712489</v>
      </c>
      <c r="F194">
        <v>-225.68622854590868</v>
      </c>
      <c r="G194">
        <v>2763.4722009050179</v>
      </c>
      <c r="H194" s="1">
        <v>45838.333333333336</v>
      </c>
    </row>
    <row r="195" spans="1:8" x14ac:dyDescent="0.25">
      <c r="A195" s="7">
        <f>DATE(YEAR(m7_crossvalid[[#This Row],[cutoff]]),MONTH(m7_crossvalid[[#This Row],[cutoff]]),DAY(m7_crossvalid[[#This Row],[cutoff]]))</f>
        <v>45838</v>
      </c>
      <c r="B195" s="7">
        <f>DATE(YEAR(m7_crossvalid[[#This Row],[ds]]),MONTH(m7_crossvalid[[#This Row],[ds]]),DAY(m7_crossvalid[[#This Row],[ds]]))</f>
        <v>45846</v>
      </c>
      <c r="C195">
        <v>1543</v>
      </c>
      <c r="D195" s="1">
        <v>45846.333333333336</v>
      </c>
      <c r="E195">
        <v>2344.2403563311905</v>
      </c>
      <c r="F195">
        <v>821.94645609901045</v>
      </c>
      <c r="G195">
        <v>3793.3067669468469</v>
      </c>
      <c r="H195" s="1">
        <v>45838.333333333336</v>
      </c>
    </row>
    <row r="196" spans="1:8" x14ac:dyDescent="0.25">
      <c r="A196" s="7">
        <f>DATE(YEAR(m7_crossvalid[[#This Row],[cutoff]]),MONTH(m7_crossvalid[[#This Row],[cutoff]]),DAY(m7_crossvalid[[#This Row],[cutoff]]))</f>
        <v>45838</v>
      </c>
      <c r="B196" s="7">
        <f>DATE(YEAR(m7_crossvalid[[#This Row],[ds]]),MONTH(m7_crossvalid[[#This Row],[ds]]),DAY(m7_crossvalid[[#This Row],[ds]]))</f>
        <v>45847</v>
      </c>
      <c r="C196">
        <v>2120</v>
      </c>
      <c r="D196" s="1">
        <v>45847.333333333336</v>
      </c>
      <c r="E196">
        <v>2260.276957838269</v>
      </c>
      <c r="F196">
        <v>820.51193921466017</v>
      </c>
      <c r="G196">
        <v>3660.8567909782823</v>
      </c>
      <c r="H196" s="1">
        <v>45838.333333333336</v>
      </c>
    </row>
    <row r="197" spans="1:8" x14ac:dyDescent="0.25">
      <c r="A197" s="7">
        <f>DATE(YEAR(m7_crossvalid[[#This Row],[cutoff]]),MONTH(m7_crossvalid[[#This Row],[cutoff]]),DAY(m7_crossvalid[[#This Row],[cutoff]]))</f>
        <v>45838</v>
      </c>
      <c r="B197" s="7">
        <f>DATE(YEAR(m7_crossvalid[[#This Row],[ds]]),MONTH(m7_crossvalid[[#This Row],[ds]]),DAY(m7_crossvalid[[#This Row],[ds]]))</f>
        <v>45848</v>
      </c>
      <c r="C197">
        <v>2298</v>
      </c>
      <c r="D197" s="1">
        <v>45848.333333333336</v>
      </c>
      <c r="E197">
        <v>2088.3821616445575</v>
      </c>
      <c r="F197">
        <v>684.31375702767161</v>
      </c>
      <c r="G197">
        <v>3509.2738537413197</v>
      </c>
      <c r="H197" s="1">
        <v>45838.333333333336</v>
      </c>
    </row>
    <row r="198" spans="1:8" x14ac:dyDescent="0.25">
      <c r="A198" s="7">
        <f>DATE(YEAR(m7_crossvalid[[#This Row],[cutoff]]),MONTH(m7_crossvalid[[#This Row],[cutoff]]),DAY(m7_crossvalid[[#This Row],[cutoff]]))</f>
        <v>45838</v>
      </c>
      <c r="B198" s="7">
        <f>DATE(YEAR(m7_crossvalid[[#This Row],[ds]]),MONTH(m7_crossvalid[[#This Row],[ds]]),DAY(m7_crossvalid[[#This Row],[ds]]))</f>
        <v>45849</v>
      </c>
      <c r="C198">
        <v>2183</v>
      </c>
      <c r="D198" s="1">
        <v>45849.333333333336</v>
      </c>
      <c r="E198">
        <v>1954.4415458453198</v>
      </c>
      <c r="F198">
        <v>511.24999099985655</v>
      </c>
      <c r="G198">
        <v>3359.2585989367913</v>
      </c>
      <c r="H198" s="1">
        <v>45838.333333333336</v>
      </c>
    </row>
    <row r="199" spans="1:8" x14ac:dyDescent="0.25">
      <c r="A199" s="7">
        <f>DATE(YEAR(m7_crossvalid[[#This Row],[cutoff]]),MONTH(m7_crossvalid[[#This Row],[cutoff]]),DAY(m7_crossvalid[[#This Row],[cutoff]]))</f>
        <v>45838</v>
      </c>
      <c r="B199" s="7">
        <f>DATE(YEAR(m7_crossvalid[[#This Row],[ds]]),MONTH(m7_crossvalid[[#This Row],[ds]]),DAY(m7_crossvalid[[#This Row],[ds]]))</f>
        <v>45850</v>
      </c>
      <c r="C199">
        <v>462</v>
      </c>
      <c r="D199" s="1">
        <v>45850.333333333336</v>
      </c>
      <c r="E199">
        <v>-190.44412537348171</v>
      </c>
      <c r="F199">
        <v>-1634.8103871156713</v>
      </c>
      <c r="G199">
        <v>1252.8971302775278</v>
      </c>
      <c r="H199" s="1">
        <v>45838.333333333336</v>
      </c>
    </row>
    <row r="200" spans="1:8" x14ac:dyDescent="0.25">
      <c r="A200" s="7">
        <f>DATE(YEAR(m7_crossvalid[[#This Row],[cutoff]]),MONTH(m7_crossvalid[[#This Row],[cutoff]]),DAY(m7_crossvalid[[#This Row],[cutoff]]))</f>
        <v>45838</v>
      </c>
      <c r="B200" s="7">
        <f>DATE(YEAR(m7_crossvalid[[#This Row],[ds]]),MONTH(m7_crossvalid[[#This Row],[ds]]),DAY(m7_crossvalid[[#This Row],[ds]]))</f>
        <v>45851</v>
      </c>
      <c r="C200">
        <v>114</v>
      </c>
      <c r="D200" s="1">
        <v>45851.333333333336</v>
      </c>
      <c r="E200">
        <v>-500.38918042203704</v>
      </c>
      <c r="F200">
        <v>-1973.7122444768067</v>
      </c>
      <c r="G200">
        <v>1104.2487802424016</v>
      </c>
      <c r="H200" s="1">
        <v>45838.333333333336</v>
      </c>
    </row>
    <row r="201" spans="1:8" x14ac:dyDescent="0.25">
      <c r="A201" s="7">
        <f>DATE(YEAR(m7_crossvalid[[#This Row],[cutoff]]),MONTH(m7_crossvalid[[#This Row],[cutoff]]),DAY(m7_crossvalid[[#This Row],[cutoff]]))</f>
        <v>45838</v>
      </c>
      <c r="B201" s="7">
        <f>DATE(YEAR(m7_crossvalid[[#This Row],[ds]]),MONTH(m7_crossvalid[[#This Row],[ds]]),DAY(m7_crossvalid[[#This Row],[ds]]))</f>
        <v>45852</v>
      </c>
      <c r="C201">
        <v>2356</v>
      </c>
      <c r="D201" s="1">
        <v>45852.333333333336</v>
      </c>
      <c r="E201">
        <v>2082.203339654</v>
      </c>
      <c r="F201">
        <v>630.35492664150786</v>
      </c>
      <c r="G201">
        <v>3511.2960348081606</v>
      </c>
      <c r="H201" s="1">
        <v>45838.333333333336</v>
      </c>
    </row>
    <row r="202" spans="1:8" x14ac:dyDescent="0.25">
      <c r="A202" s="7">
        <f>DATE(YEAR(m7_crossvalid[[#This Row],[cutoff]]),MONTH(m7_crossvalid[[#This Row],[cutoff]]),DAY(m7_crossvalid[[#This Row],[cutoff]]))</f>
        <v>45838</v>
      </c>
      <c r="B202" s="7">
        <f>DATE(YEAR(m7_crossvalid[[#This Row],[ds]]),MONTH(m7_crossvalid[[#This Row],[ds]]),DAY(m7_crossvalid[[#This Row],[ds]]))</f>
        <v>45853</v>
      </c>
      <c r="C202">
        <v>2694</v>
      </c>
      <c r="D202" s="1">
        <v>45853.333333333336</v>
      </c>
      <c r="E202">
        <v>2377.210342174913</v>
      </c>
      <c r="F202">
        <v>982.09901858681985</v>
      </c>
      <c r="G202">
        <v>3909.3670117232077</v>
      </c>
      <c r="H202" s="1">
        <v>45838.333333333336</v>
      </c>
    </row>
    <row r="203" spans="1:8" x14ac:dyDescent="0.25">
      <c r="A203" s="7">
        <f>DATE(YEAR(m7_crossvalid[[#This Row],[cutoff]]),MONTH(m7_crossvalid[[#This Row],[cutoff]]),DAY(m7_crossvalid[[#This Row],[cutoff]]))</f>
        <v>45838</v>
      </c>
      <c r="B203" s="7">
        <f>DATE(YEAR(m7_crossvalid[[#This Row],[ds]]),MONTH(m7_crossvalid[[#This Row],[ds]]),DAY(m7_crossvalid[[#This Row],[ds]]))</f>
        <v>45854</v>
      </c>
      <c r="C203">
        <v>2796</v>
      </c>
      <c r="D203" s="1">
        <v>45854.333333333336</v>
      </c>
      <c r="E203">
        <v>2553.2556823124196</v>
      </c>
      <c r="F203">
        <v>1201.4635449708016</v>
      </c>
      <c r="G203">
        <v>4039.9628181499675</v>
      </c>
      <c r="H203" s="1">
        <v>45838.333333333336</v>
      </c>
    </row>
    <row r="204" spans="1:8" x14ac:dyDescent="0.25">
      <c r="A204" s="7">
        <f>DATE(YEAR(m7_crossvalid[[#This Row],[cutoff]]),MONTH(m7_crossvalid[[#This Row],[cutoff]]),DAY(m7_crossvalid[[#This Row],[cutoff]]))</f>
        <v>45838</v>
      </c>
      <c r="B204" s="7">
        <f>DATE(YEAR(m7_crossvalid[[#This Row],[ds]]),MONTH(m7_crossvalid[[#This Row],[ds]]),DAY(m7_crossvalid[[#This Row],[ds]]))</f>
        <v>45855</v>
      </c>
      <c r="C204">
        <v>2972</v>
      </c>
      <c r="D204" s="1">
        <v>45855.333333333336</v>
      </c>
      <c r="E204">
        <v>2708.8112858949507</v>
      </c>
      <c r="F204">
        <v>1275.4796832931509</v>
      </c>
      <c r="G204">
        <v>4171.2897953204429</v>
      </c>
      <c r="H204" s="1">
        <v>45838.333333333336</v>
      </c>
    </row>
    <row r="205" spans="1:8" x14ac:dyDescent="0.25">
      <c r="A205" s="7">
        <f>DATE(YEAR(m7_crossvalid[[#This Row],[cutoff]]),MONTH(m7_crossvalid[[#This Row],[cutoff]]),DAY(m7_crossvalid[[#This Row],[cutoff]]))</f>
        <v>45838</v>
      </c>
      <c r="B205" s="7">
        <f>DATE(YEAR(m7_crossvalid[[#This Row],[ds]]),MONTH(m7_crossvalid[[#This Row],[ds]]),DAY(m7_crossvalid[[#This Row],[ds]]))</f>
        <v>45856</v>
      </c>
      <c r="C205">
        <v>2891</v>
      </c>
      <c r="D205" s="1">
        <v>45856.333333333336</v>
      </c>
      <c r="E205">
        <v>2808.4905309309797</v>
      </c>
      <c r="F205">
        <v>1339.6857615052172</v>
      </c>
      <c r="G205">
        <v>4218.6464670605192</v>
      </c>
      <c r="H205" s="1">
        <v>45838.333333333336</v>
      </c>
    </row>
    <row r="206" spans="1:8" x14ac:dyDescent="0.25">
      <c r="A206" s="7">
        <f>DATE(YEAR(m7_crossvalid[[#This Row],[cutoff]]),MONTH(m7_crossvalid[[#This Row],[cutoff]]),DAY(m7_crossvalid[[#This Row],[cutoff]]))</f>
        <v>45838</v>
      </c>
      <c r="B206" s="7">
        <f>DATE(YEAR(m7_crossvalid[[#This Row],[ds]]),MONTH(m7_crossvalid[[#This Row],[ds]]),DAY(m7_crossvalid[[#This Row],[ds]]))</f>
        <v>45857</v>
      </c>
      <c r="C206">
        <v>521</v>
      </c>
      <c r="D206" s="1">
        <v>45857.333333333336</v>
      </c>
      <c r="E206">
        <v>614.75809925602766</v>
      </c>
      <c r="F206">
        <v>-908.86041232953107</v>
      </c>
      <c r="G206">
        <v>2065.4936876816259</v>
      </c>
      <c r="H206" s="1">
        <v>45838.333333333336</v>
      </c>
    </row>
    <row r="207" spans="1:8" x14ac:dyDescent="0.25">
      <c r="A207" s="7">
        <f>DATE(YEAR(m7_crossvalid[[#This Row],[cutoff]]),MONTH(m7_crossvalid[[#This Row],[cutoff]]),DAY(m7_crossvalid[[#This Row],[cutoff]]))</f>
        <v>45838</v>
      </c>
      <c r="B207" s="7">
        <f>DATE(YEAR(m7_crossvalid[[#This Row],[ds]]),MONTH(m7_crossvalid[[#This Row],[ds]]),DAY(m7_crossvalid[[#This Row],[ds]]))</f>
        <v>45858</v>
      </c>
      <c r="C207">
        <v>189</v>
      </c>
      <c r="D207" s="1">
        <v>45858.333333333336</v>
      </c>
      <c r="E207">
        <v>137.8930067889919</v>
      </c>
      <c r="F207">
        <v>-1332.9212077901843</v>
      </c>
      <c r="G207">
        <v>1629.4403914161462</v>
      </c>
      <c r="H207" s="1">
        <v>45838.333333333336</v>
      </c>
    </row>
    <row r="208" spans="1:8" x14ac:dyDescent="0.25">
      <c r="A208" s="7">
        <f>DATE(YEAR(m7_crossvalid[[#This Row],[cutoff]]),MONTH(m7_crossvalid[[#This Row],[cutoff]]),DAY(m7_crossvalid[[#This Row],[cutoff]]))</f>
        <v>45838</v>
      </c>
      <c r="B208" s="7">
        <f>DATE(YEAR(m7_crossvalid[[#This Row],[ds]]),MONTH(m7_crossvalid[[#This Row],[ds]]),DAY(m7_crossvalid[[#This Row],[ds]]))</f>
        <v>45859</v>
      </c>
      <c r="C208">
        <v>2798</v>
      </c>
      <c r="D208" s="1">
        <v>45859.333333333336</v>
      </c>
      <c r="E208">
        <v>2763.4654675771312</v>
      </c>
      <c r="F208">
        <v>1383.4052779535873</v>
      </c>
      <c r="G208">
        <v>4314.8461367091295</v>
      </c>
      <c r="H208" s="1">
        <v>45838.333333333336</v>
      </c>
    </row>
    <row r="209" spans="1:8" x14ac:dyDescent="0.25">
      <c r="A209" s="7">
        <f>DATE(YEAR(m7_crossvalid[[#This Row],[cutoff]]),MONTH(m7_crossvalid[[#This Row],[cutoff]]),DAY(m7_crossvalid[[#This Row],[cutoff]]))</f>
        <v>45838</v>
      </c>
      <c r="B209" s="7">
        <f>DATE(YEAR(m7_crossvalid[[#This Row],[ds]]),MONTH(m7_crossvalid[[#This Row],[ds]]),DAY(m7_crossvalid[[#This Row],[ds]]))</f>
        <v>45860</v>
      </c>
      <c r="C209">
        <v>2894</v>
      </c>
      <c r="D209" s="1">
        <v>45860.333333333336</v>
      </c>
      <c r="E209">
        <v>3114.8945924094469</v>
      </c>
      <c r="F209">
        <v>1646.3202682944302</v>
      </c>
      <c r="G209">
        <v>4564.1798252076833</v>
      </c>
      <c r="H209" s="1">
        <v>45838.333333333336</v>
      </c>
    </row>
    <row r="210" spans="1:8" x14ac:dyDescent="0.25">
      <c r="A210" s="7">
        <f>DATE(YEAR(m7_crossvalid[[#This Row],[cutoff]]),MONTH(m7_crossvalid[[#This Row],[cutoff]]),DAY(m7_crossvalid[[#This Row],[cutoff]]))</f>
        <v>45838</v>
      </c>
      <c r="B210" s="7">
        <f>DATE(YEAR(m7_crossvalid[[#This Row],[ds]]),MONTH(m7_crossvalid[[#This Row],[ds]]),DAY(m7_crossvalid[[#This Row],[ds]]))</f>
        <v>45861</v>
      </c>
      <c r="C210">
        <v>3299</v>
      </c>
      <c r="D210" s="1">
        <v>45861.333333333336</v>
      </c>
      <c r="E210">
        <v>3255.1524146601569</v>
      </c>
      <c r="F210">
        <v>1907.6393478397217</v>
      </c>
      <c r="G210">
        <v>4743.6577967114845</v>
      </c>
      <c r="H210" s="1">
        <v>45838.333333333336</v>
      </c>
    </row>
    <row r="211" spans="1:8" x14ac:dyDescent="0.25">
      <c r="A211" s="7">
        <f>DATE(YEAR(m7_crossvalid[[#This Row],[cutoff]]),MONTH(m7_crossvalid[[#This Row],[cutoff]]),DAY(m7_crossvalid[[#This Row],[cutoff]]))</f>
        <v>45838</v>
      </c>
      <c r="B211" s="7">
        <f>DATE(YEAR(m7_crossvalid[[#This Row],[ds]]),MONTH(m7_crossvalid[[#This Row],[ds]]),DAY(m7_crossvalid[[#This Row],[ds]]))</f>
        <v>45862</v>
      </c>
      <c r="C211">
        <v>3785</v>
      </c>
      <c r="D211" s="1">
        <v>45862.333333333336</v>
      </c>
      <c r="E211">
        <v>3477.5210723684027</v>
      </c>
      <c r="F211">
        <v>2003.8327625467464</v>
      </c>
      <c r="G211">
        <v>4905.6956293867461</v>
      </c>
      <c r="H211" s="1">
        <v>45838.333333333336</v>
      </c>
    </row>
    <row r="212" spans="1:8" x14ac:dyDescent="0.25">
      <c r="A212" s="7">
        <f>DATE(YEAR(m7_crossvalid[[#This Row],[cutoff]]),MONTH(m7_crossvalid[[#This Row],[cutoff]]),DAY(m7_crossvalid[[#This Row],[cutoff]]))</f>
        <v>45838</v>
      </c>
      <c r="B212" s="7">
        <f>DATE(YEAR(m7_crossvalid[[#This Row],[ds]]),MONTH(m7_crossvalid[[#This Row],[ds]]),DAY(m7_crossvalid[[#This Row],[ds]]))</f>
        <v>45863</v>
      </c>
      <c r="C212">
        <v>3663</v>
      </c>
      <c r="D212" s="1">
        <v>45863.333333333336</v>
      </c>
      <c r="E212">
        <v>4373.1283011093656</v>
      </c>
      <c r="F212">
        <v>2813.5964262372108</v>
      </c>
      <c r="G212">
        <v>5745.0215881214444</v>
      </c>
      <c r="H212" s="1">
        <v>45838.333333333336</v>
      </c>
    </row>
    <row r="213" spans="1:8" x14ac:dyDescent="0.25">
      <c r="A213" s="7">
        <f>DATE(YEAR(m7_crossvalid[[#This Row],[cutoff]]),MONTH(m7_crossvalid[[#This Row],[cutoff]]),DAY(m7_crossvalid[[#This Row],[cutoff]]))</f>
        <v>45838</v>
      </c>
      <c r="B213" s="7">
        <f>DATE(YEAR(m7_crossvalid[[#This Row],[ds]]),MONTH(m7_crossvalid[[#This Row],[ds]]),DAY(m7_crossvalid[[#This Row],[ds]]))</f>
        <v>45864</v>
      </c>
      <c r="C213">
        <v>901</v>
      </c>
      <c r="D213" s="1">
        <v>45864.333333333336</v>
      </c>
      <c r="E213">
        <v>1864.1226457345206</v>
      </c>
      <c r="F213">
        <v>352.1417006553487</v>
      </c>
      <c r="G213">
        <v>3322.5965164104537</v>
      </c>
      <c r="H213" s="1">
        <v>45838.333333333336</v>
      </c>
    </row>
    <row r="214" spans="1:8" x14ac:dyDescent="0.25">
      <c r="A214" s="7">
        <f>DATE(YEAR(m7_crossvalid[[#This Row],[cutoff]]),MONTH(m7_crossvalid[[#This Row],[cutoff]]),DAY(m7_crossvalid[[#This Row],[cutoff]]))</f>
        <v>45838</v>
      </c>
      <c r="B214" s="7">
        <f>DATE(YEAR(m7_crossvalid[[#This Row],[ds]]),MONTH(m7_crossvalid[[#This Row],[ds]]),DAY(m7_crossvalid[[#This Row],[ds]]))</f>
        <v>45865</v>
      </c>
      <c r="C214">
        <v>262</v>
      </c>
      <c r="D214" s="1">
        <v>45865.333333333336</v>
      </c>
      <c r="E214">
        <v>1330.6196238300738</v>
      </c>
      <c r="F214">
        <v>-73.584545852746345</v>
      </c>
      <c r="G214">
        <v>2681.8791518242911</v>
      </c>
      <c r="H214" s="1">
        <v>45838.333333333336</v>
      </c>
    </row>
    <row r="215" spans="1:8" x14ac:dyDescent="0.25">
      <c r="A215" s="7">
        <f>DATE(YEAR(m7_crossvalid[[#This Row],[cutoff]]),MONTH(m7_crossvalid[[#This Row],[cutoff]]),DAY(m7_crossvalid[[#This Row],[cutoff]]))</f>
        <v>45838</v>
      </c>
      <c r="B215" s="7">
        <f>DATE(YEAR(m7_crossvalid[[#This Row],[ds]]),MONTH(m7_crossvalid[[#This Row],[ds]]),DAY(m7_crossvalid[[#This Row],[ds]]))</f>
        <v>45866</v>
      </c>
      <c r="C215">
        <v>4324</v>
      </c>
      <c r="D215" s="1">
        <v>45866.333333333336</v>
      </c>
      <c r="E215">
        <v>4232.4362919511004</v>
      </c>
      <c r="F215">
        <v>2700.6167678427337</v>
      </c>
      <c r="G215">
        <v>5801.6487289411843</v>
      </c>
      <c r="H215" s="1">
        <v>45838.333333333336</v>
      </c>
    </row>
    <row r="216" spans="1:8" x14ac:dyDescent="0.25">
      <c r="A216" s="7">
        <f>DATE(YEAR(m7_crossvalid[[#This Row],[cutoff]]),MONTH(m7_crossvalid[[#This Row],[cutoff]]),DAY(m7_crossvalid[[#This Row],[cutoff]]))</f>
        <v>45838</v>
      </c>
      <c r="B216" s="7">
        <f>DATE(YEAR(m7_crossvalid[[#This Row],[ds]]),MONTH(m7_crossvalid[[#This Row],[ds]]),DAY(m7_crossvalid[[#This Row],[ds]]))</f>
        <v>45867</v>
      </c>
      <c r="C216">
        <v>5336</v>
      </c>
      <c r="D216" s="1">
        <v>45867.333333333336</v>
      </c>
      <c r="E216">
        <v>4972.2894466238395</v>
      </c>
      <c r="F216">
        <v>3512.1095272373636</v>
      </c>
      <c r="G216">
        <v>6458.2956715570226</v>
      </c>
      <c r="H216" s="1">
        <v>45838.333333333336</v>
      </c>
    </row>
    <row r="217" spans="1:8" x14ac:dyDescent="0.25">
      <c r="A217" s="7">
        <f>DATE(YEAR(m7_crossvalid[[#This Row],[cutoff]]),MONTH(m7_crossvalid[[#This Row],[cutoff]]),DAY(m7_crossvalid[[#This Row],[cutoff]]))</f>
        <v>45838</v>
      </c>
      <c r="B217" s="7">
        <f>DATE(YEAR(m7_crossvalid[[#This Row],[ds]]),MONTH(m7_crossvalid[[#This Row],[ds]]),DAY(m7_crossvalid[[#This Row],[ds]]))</f>
        <v>45868</v>
      </c>
      <c r="C217">
        <v>8373</v>
      </c>
      <c r="D217" s="1">
        <v>45868.333333333336</v>
      </c>
      <c r="E217">
        <v>7578.993451250547</v>
      </c>
      <c r="F217">
        <v>6071.4968857603853</v>
      </c>
      <c r="G217">
        <v>9088.2631718635275</v>
      </c>
      <c r="H217" s="1">
        <v>45838.333333333336</v>
      </c>
    </row>
    <row r="218" spans="1:8" x14ac:dyDescent="0.25">
      <c r="A218" s="7">
        <f>DATE(YEAR(m7_crossvalid[[#This Row],[cutoff]]),MONTH(m7_crossvalid[[#This Row],[cutoff]]),DAY(m7_crossvalid[[#This Row],[cutoff]]))</f>
        <v>45838</v>
      </c>
      <c r="B218" s="7">
        <f>DATE(YEAR(m7_crossvalid[[#This Row],[ds]]),MONTH(m7_crossvalid[[#This Row],[ds]]),DAY(m7_crossvalid[[#This Row],[ds]]))</f>
        <v>45869</v>
      </c>
      <c r="C218">
        <v>11889</v>
      </c>
      <c r="D218" s="1">
        <v>45869.333333333336</v>
      </c>
      <c r="E218">
        <v>10143.835341672544</v>
      </c>
      <c r="F218">
        <v>8526.1180171261731</v>
      </c>
      <c r="G218">
        <v>11646.298052485916</v>
      </c>
      <c r="H218" s="1">
        <v>45838.333333333336</v>
      </c>
    </row>
    <row r="219" spans="1:8" x14ac:dyDescent="0.25">
      <c r="A219" s="7">
        <f>DATE(YEAR(m7_crossvalid[[#This Row],[cutoff]]),MONTH(m7_crossvalid[[#This Row],[cutoff]]),DAY(m7_crossvalid[[#This Row],[cutoff]]))</f>
        <v>45869</v>
      </c>
      <c r="B219" s="7">
        <f>DATE(YEAR(m7_crossvalid[[#This Row],[ds]]),MONTH(m7_crossvalid[[#This Row],[ds]]),DAY(m7_crossvalid[[#This Row],[ds]]))</f>
        <v>45870</v>
      </c>
      <c r="C219">
        <v>761</v>
      </c>
      <c r="D219" s="1">
        <v>45870.333333333336</v>
      </c>
      <c r="E219">
        <v>2724.7548656439053</v>
      </c>
      <c r="F219">
        <v>1287.442767592775</v>
      </c>
      <c r="G219">
        <v>4155.6616982432652</v>
      </c>
      <c r="H219" s="1">
        <v>45869.333333333336</v>
      </c>
    </row>
    <row r="220" spans="1:8" x14ac:dyDescent="0.25">
      <c r="A220" s="7">
        <f>DATE(YEAR(m7_crossvalid[[#This Row],[cutoff]]),MONTH(m7_crossvalid[[#This Row],[cutoff]]),DAY(m7_crossvalid[[#This Row],[cutoff]]))</f>
        <v>45869</v>
      </c>
      <c r="B220" s="7">
        <f>DATE(YEAR(m7_crossvalid[[#This Row],[ds]]),MONTH(m7_crossvalid[[#This Row],[ds]]),DAY(m7_crossvalid[[#This Row],[ds]]))</f>
        <v>45871</v>
      </c>
      <c r="C220">
        <v>74</v>
      </c>
      <c r="D220" s="1">
        <v>45871.333333333336</v>
      </c>
      <c r="E220">
        <v>-566.64714369545482</v>
      </c>
      <c r="F220">
        <v>-2056.6604497643384</v>
      </c>
      <c r="G220">
        <v>868.31720378718478</v>
      </c>
      <c r="H220" s="1">
        <v>45869.333333333336</v>
      </c>
    </row>
    <row r="221" spans="1:8" x14ac:dyDescent="0.25">
      <c r="A221" s="7">
        <f>DATE(YEAR(m7_crossvalid[[#This Row],[cutoff]]),MONTH(m7_crossvalid[[#This Row],[cutoff]]),DAY(m7_crossvalid[[#This Row],[cutoff]]))</f>
        <v>45869</v>
      </c>
      <c r="B221" s="7">
        <f>DATE(YEAR(m7_crossvalid[[#This Row],[ds]]),MONTH(m7_crossvalid[[#This Row],[ds]]),DAY(m7_crossvalid[[#This Row],[ds]]))</f>
        <v>45872</v>
      </c>
      <c r="C221">
        <v>28</v>
      </c>
      <c r="D221" s="1">
        <v>45872.333333333336</v>
      </c>
      <c r="E221">
        <v>-1113.8173991774265</v>
      </c>
      <c r="F221">
        <v>-2621.9464674043775</v>
      </c>
      <c r="G221">
        <v>413.28938928574036</v>
      </c>
      <c r="H221" s="1">
        <v>45869.333333333336</v>
      </c>
    </row>
    <row r="222" spans="1:8" x14ac:dyDescent="0.25">
      <c r="A222" s="7">
        <f>DATE(YEAR(m7_crossvalid[[#This Row],[cutoff]]),MONTH(m7_crossvalid[[#This Row],[cutoff]]),DAY(m7_crossvalid[[#This Row],[cutoff]]))</f>
        <v>45869</v>
      </c>
      <c r="B222" s="7">
        <f>DATE(YEAR(m7_crossvalid[[#This Row],[ds]]),MONTH(m7_crossvalid[[#This Row],[ds]]),DAY(m7_crossvalid[[#This Row],[ds]]))</f>
        <v>45873</v>
      </c>
      <c r="C222">
        <v>912</v>
      </c>
      <c r="D222" s="1">
        <v>45873.333333333336</v>
      </c>
      <c r="E222">
        <v>1399.9568312552447</v>
      </c>
      <c r="F222">
        <v>5.8173534038910022</v>
      </c>
      <c r="G222">
        <v>2806.1413183048617</v>
      </c>
      <c r="H222" s="1">
        <v>45869.333333333336</v>
      </c>
    </row>
    <row r="223" spans="1:8" x14ac:dyDescent="0.25">
      <c r="A223" s="7">
        <f>DATE(YEAR(m7_crossvalid[[#This Row],[cutoff]]),MONTH(m7_crossvalid[[#This Row],[cutoff]]),DAY(m7_crossvalid[[#This Row],[cutoff]]))</f>
        <v>45869</v>
      </c>
      <c r="B223" s="7">
        <f>DATE(YEAR(m7_crossvalid[[#This Row],[ds]]),MONTH(m7_crossvalid[[#This Row],[ds]]),DAY(m7_crossvalid[[#This Row],[ds]]))</f>
        <v>45874</v>
      </c>
      <c r="C223">
        <v>2022</v>
      </c>
      <c r="D223" s="1">
        <v>45874.333333333336</v>
      </c>
      <c r="E223">
        <v>1596.16214002642</v>
      </c>
      <c r="F223">
        <v>164.68254222337117</v>
      </c>
      <c r="G223">
        <v>3079.4253999453458</v>
      </c>
      <c r="H223" s="1">
        <v>45869.333333333336</v>
      </c>
    </row>
    <row r="224" spans="1:8" x14ac:dyDescent="0.25">
      <c r="A224" s="7">
        <f>DATE(YEAR(m7_crossvalid[[#This Row],[cutoff]]),MONTH(m7_crossvalid[[#This Row],[cutoff]]),DAY(m7_crossvalid[[#This Row],[cutoff]]))</f>
        <v>45869</v>
      </c>
      <c r="B224" s="7">
        <f>DATE(YEAR(m7_crossvalid[[#This Row],[ds]]),MONTH(m7_crossvalid[[#This Row],[ds]]),DAY(m7_crossvalid[[#This Row],[ds]]))</f>
        <v>45875</v>
      </c>
      <c r="C224">
        <v>1344</v>
      </c>
      <c r="D224" s="1">
        <v>45875.333333333336</v>
      </c>
      <c r="E224">
        <v>1749.082745617741</v>
      </c>
      <c r="F224">
        <v>351.5471349802919</v>
      </c>
      <c r="G224">
        <v>3155.5694227575623</v>
      </c>
      <c r="H224" s="1">
        <v>45869.333333333336</v>
      </c>
    </row>
    <row r="225" spans="1:8" x14ac:dyDescent="0.25">
      <c r="A225" s="7">
        <f>DATE(YEAR(m7_crossvalid[[#This Row],[cutoff]]),MONTH(m7_crossvalid[[#This Row],[cutoff]]),DAY(m7_crossvalid[[#This Row],[cutoff]]))</f>
        <v>45869</v>
      </c>
      <c r="B225" s="7">
        <f>DATE(YEAR(m7_crossvalid[[#This Row],[ds]]),MONTH(m7_crossvalid[[#This Row],[ds]]),DAY(m7_crossvalid[[#This Row],[ds]]))</f>
        <v>45876</v>
      </c>
      <c r="C225">
        <v>1585</v>
      </c>
      <c r="D225" s="1">
        <v>45876.333333333336</v>
      </c>
      <c r="E225">
        <v>1810.1699819337659</v>
      </c>
      <c r="F225">
        <v>238.97486900017458</v>
      </c>
      <c r="G225">
        <v>3227.1384266784808</v>
      </c>
      <c r="H225" s="1">
        <v>45869.333333333336</v>
      </c>
    </row>
    <row r="226" spans="1:8" x14ac:dyDescent="0.25">
      <c r="A226" s="7">
        <f>DATE(YEAR(m7_crossvalid[[#This Row],[cutoff]]),MONTH(m7_crossvalid[[#This Row],[cutoff]]),DAY(m7_crossvalid[[#This Row],[cutoff]]))</f>
        <v>45869</v>
      </c>
      <c r="B226" s="7">
        <f>DATE(YEAR(m7_crossvalid[[#This Row],[ds]]),MONTH(m7_crossvalid[[#This Row],[ds]]),DAY(m7_crossvalid[[#This Row],[ds]]))</f>
        <v>45877</v>
      </c>
      <c r="C226">
        <v>2032</v>
      </c>
      <c r="D226" s="1">
        <v>45877.333333333336</v>
      </c>
      <c r="E226">
        <v>2404.4654844586853</v>
      </c>
      <c r="F226">
        <v>959.1727611326869</v>
      </c>
      <c r="G226">
        <v>3925.7017990402978</v>
      </c>
      <c r="H226" s="1">
        <v>45869.333333333336</v>
      </c>
    </row>
    <row r="227" spans="1:8" x14ac:dyDescent="0.25">
      <c r="A227" s="7">
        <f>DATE(YEAR(m7_crossvalid[[#This Row],[cutoff]]),MONTH(m7_crossvalid[[#This Row],[cutoff]]),DAY(m7_crossvalid[[#This Row],[cutoff]]))</f>
        <v>45869</v>
      </c>
      <c r="B227" s="7">
        <f>DATE(YEAR(m7_crossvalid[[#This Row],[ds]]),MONTH(m7_crossvalid[[#This Row],[ds]]),DAY(m7_crossvalid[[#This Row],[ds]]))</f>
        <v>45878</v>
      </c>
      <c r="C227">
        <v>327</v>
      </c>
      <c r="D227" s="1">
        <v>45878.333333333336</v>
      </c>
      <c r="E227">
        <v>-1.8188503216392746</v>
      </c>
      <c r="F227">
        <v>-1470.9489594619363</v>
      </c>
      <c r="G227">
        <v>1509.3971958463835</v>
      </c>
      <c r="H227" s="1">
        <v>45869.333333333336</v>
      </c>
    </row>
    <row r="228" spans="1:8" x14ac:dyDescent="0.25">
      <c r="A228" s="7">
        <f>DATE(YEAR(m7_crossvalid[[#This Row],[cutoff]]),MONTH(m7_crossvalid[[#This Row],[cutoff]]),DAY(m7_crossvalid[[#This Row],[cutoff]]))</f>
        <v>45869</v>
      </c>
      <c r="B228" s="7">
        <f>DATE(YEAR(m7_crossvalid[[#This Row],[ds]]),MONTH(m7_crossvalid[[#This Row],[ds]]),DAY(m7_crossvalid[[#This Row],[ds]]))</f>
        <v>45879</v>
      </c>
      <c r="C228">
        <v>78</v>
      </c>
      <c r="D228" s="1">
        <v>45879.333333333336</v>
      </c>
      <c r="E228">
        <v>-656.67108650779392</v>
      </c>
      <c r="F228">
        <v>-1951.4330221896976</v>
      </c>
      <c r="G228">
        <v>798.53717108381534</v>
      </c>
      <c r="H228" s="1">
        <v>45869.333333333336</v>
      </c>
    </row>
    <row r="229" spans="1:8" x14ac:dyDescent="0.25">
      <c r="A229" s="7">
        <f>DATE(YEAR(m7_crossvalid[[#This Row],[cutoff]]),MONTH(m7_crossvalid[[#This Row],[cutoff]]),DAY(m7_crossvalid[[#This Row],[cutoff]]))</f>
        <v>45869</v>
      </c>
      <c r="B229" s="7">
        <f>DATE(YEAR(m7_crossvalid[[#This Row],[ds]]),MONTH(m7_crossvalid[[#This Row],[ds]]),DAY(m7_crossvalid[[#This Row],[ds]]))</f>
        <v>45880</v>
      </c>
      <c r="C229">
        <v>2043</v>
      </c>
      <c r="D229" s="1">
        <v>45880.333333333336</v>
      </c>
      <c r="E229">
        <v>1861.3967336154117</v>
      </c>
      <c r="F229">
        <v>486.9922459894442</v>
      </c>
      <c r="G229">
        <v>3247.7749738732441</v>
      </c>
      <c r="H229" s="1">
        <v>45869.333333333336</v>
      </c>
    </row>
    <row r="230" spans="1:8" x14ac:dyDescent="0.25">
      <c r="A230" s="7">
        <f>DATE(YEAR(m7_crossvalid[[#This Row],[cutoff]]),MONTH(m7_crossvalid[[#This Row],[cutoff]]),DAY(m7_crossvalid[[#This Row],[cutoff]]))</f>
        <v>45869</v>
      </c>
      <c r="B230" s="7">
        <f>DATE(YEAR(m7_crossvalid[[#This Row],[ds]]),MONTH(m7_crossvalid[[#This Row],[ds]]),DAY(m7_crossvalid[[#This Row],[ds]]))</f>
        <v>45881</v>
      </c>
      <c r="C230">
        <v>2431</v>
      </c>
      <c r="D230" s="1">
        <v>45881.333333333336</v>
      </c>
      <c r="E230">
        <v>2332.8333088124878</v>
      </c>
      <c r="F230">
        <v>821.13307314917745</v>
      </c>
      <c r="G230">
        <v>3782.8108678097365</v>
      </c>
      <c r="H230" s="1">
        <v>45869.333333333336</v>
      </c>
    </row>
    <row r="231" spans="1:8" x14ac:dyDescent="0.25">
      <c r="A231" s="7">
        <f>DATE(YEAR(m7_crossvalid[[#This Row],[cutoff]]),MONTH(m7_crossvalid[[#This Row],[cutoff]]),DAY(m7_crossvalid[[#This Row],[cutoff]]))</f>
        <v>45869</v>
      </c>
      <c r="B231" s="7">
        <f>DATE(YEAR(m7_crossvalid[[#This Row],[ds]]),MONTH(m7_crossvalid[[#This Row],[ds]]),DAY(m7_crossvalid[[#This Row],[ds]]))</f>
        <v>45882</v>
      </c>
      <c r="C231">
        <v>2484</v>
      </c>
      <c r="D231" s="1">
        <v>45882.333333333336</v>
      </c>
      <c r="E231">
        <v>2566.5231934519634</v>
      </c>
      <c r="F231">
        <v>1112.1827953476966</v>
      </c>
      <c r="G231">
        <v>4042.4224301752092</v>
      </c>
      <c r="H231" s="1">
        <v>45869.333333333336</v>
      </c>
    </row>
    <row r="232" spans="1:8" x14ac:dyDescent="0.25">
      <c r="A232" s="7">
        <f>DATE(YEAR(m7_crossvalid[[#This Row],[cutoff]]),MONTH(m7_crossvalid[[#This Row],[cutoff]]),DAY(m7_crossvalid[[#This Row],[cutoff]]))</f>
        <v>45869</v>
      </c>
      <c r="B232" s="7">
        <f>DATE(YEAR(m7_crossvalid[[#This Row],[ds]]),MONTH(m7_crossvalid[[#This Row],[ds]]),DAY(m7_crossvalid[[#This Row],[ds]]))</f>
        <v>45883</v>
      </c>
      <c r="C232">
        <v>2669</v>
      </c>
      <c r="D232" s="1">
        <v>45883.333333333336</v>
      </c>
      <c r="E232">
        <v>2583.2848573224178</v>
      </c>
      <c r="F232">
        <v>1188.8196452357345</v>
      </c>
      <c r="G232">
        <v>4069.737380593931</v>
      </c>
      <c r="H232" s="1">
        <v>45869.333333333336</v>
      </c>
    </row>
    <row r="233" spans="1:8" x14ac:dyDescent="0.25">
      <c r="A233" s="7">
        <f>DATE(YEAR(m7_crossvalid[[#This Row],[cutoff]]),MONTH(m7_crossvalid[[#This Row],[cutoff]]),DAY(m7_crossvalid[[#This Row],[cutoff]]))</f>
        <v>45869</v>
      </c>
      <c r="B233" s="7">
        <f>DATE(YEAR(m7_crossvalid[[#This Row],[ds]]),MONTH(m7_crossvalid[[#This Row],[ds]]),DAY(m7_crossvalid[[#This Row],[ds]]))</f>
        <v>45884</v>
      </c>
      <c r="C233">
        <v>3160</v>
      </c>
      <c r="D233" s="1">
        <v>45884.333333333336</v>
      </c>
      <c r="E233">
        <v>2573.7601995425443</v>
      </c>
      <c r="F233">
        <v>1016.0589458054526</v>
      </c>
      <c r="G233">
        <v>3956.4079600225559</v>
      </c>
      <c r="H233" s="1">
        <v>45869.333333333336</v>
      </c>
    </row>
    <row r="234" spans="1:8" x14ac:dyDescent="0.25">
      <c r="A234" s="7">
        <f>DATE(YEAR(m7_crossvalid[[#This Row],[cutoff]]),MONTH(m7_crossvalid[[#This Row],[cutoff]]),DAY(m7_crossvalid[[#This Row],[cutoff]]))</f>
        <v>45869</v>
      </c>
      <c r="B234" s="7">
        <f>DATE(YEAR(m7_crossvalid[[#This Row],[ds]]),MONTH(m7_crossvalid[[#This Row],[ds]]),DAY(m7_crossvalid[[#This Row],[ds]]))</f>
        <v>45885</v>
      </c>
      <c r="C234">
        <v>560</v>
      </c>
      <c r="D234" s="1">
        <v>45885.333333333336</v>
      </c>
      <c r="E234">
        <v>456.43177001753202</v>
      </c>
      <c r="F234">
        <v>-1018.8627467537618</v>
      </c>
      <c r="G234">
        <v>1972.7345205527367</v>
      </c>
      <c r="H234" s="1">
        <v>45869.333333333336</v>
      </c>
    </row>
    <row r="235" spans="1:8" x14ac:dyDescent="0.25">
      <c r="A235" s="7">
        <f>DATE(YEAR(m7_crossvalid[[#This Row],[cutoff]]),MONTH(m7_crossvalid[[#This Row],[cutoff]]),DAY(m7_crossvalid[[#This Row],[cutoff]]))</f>
        <v>45869</v>
      </c>
      <c r="B235" s="7">
        <f>DATE(YEAR(m7_crossvalid[[#This Row],[ds]]),MONTH(m7_crossvalid[[#This Row],[ds]]),DAY(m7_crossvalid[[#This Row],[ds]]))</f>
        <v>45886</v>
      </c>
      <c r="C235">
        <v>166</v>
      </c>
      <c r="D235" s="1">
        <v>45886.333333333336</v>
      </c>
      <c r="E235">
        <v>110.15324877553348</v>
      </c>
      <c r="F235">
        <v>-1291.9400675622837</v>
      </c>
      <c r="G235">
        <v>1443.4036607554617</v>
      </c>
      <c r="H235" s="1">
        <v>45869.333333333336</v>
      </c>
    </row>
    <row r="236" spans="1:8" x14ac:dyDescent="0.25">
      <c r="A236" s="7">
        <f>DATE(YEAR(m7_crossvalid[[#This Row],[cutoff]]),MONTH(m7_crossvalid[[#This Row],[cutoff]]),DAY(m7_crossvalid[[#This Row],[cutoff]]))</f>
        <v>45869</v>
      </c>
      <c r="B236" s="7">
        <f>DATE(YEAR(m7_crossvalid[[#This Row],[ds]]),MONTH(m7_crossvalid[[#This Row],[ds]]),DAY(m7_crossvalid[[#This Row],[ds]]))</f>
        <v>45887</v>
      </c>
      <c r="C236">
        <v>3003</v>
      </c>
      <c r="D236" s="1">
        <v>45887.333333333336</v>
      </c>
      <c r="E236">
        <v>2732.1926174154487</v>
      </c>
      <c r="F236">
        <v>1241.8534517446278</v>
      </c>
      <c r="G236">
        <v>4046.2136421195723</v>
      </c>
      <c r="H236" s="1">
        <v>45869.333333333336</v>
      </c>
    </row>
    <row r="237" spans="1:8" x14ac:dyDescent="0.25">
      <c r="A237" s="7">
        <f>DATE(YEAR(m7_crossvalid[[#This Row],[cutoff]]),MONTH(m7_crossvalid[[#This Row],[cutoff]]),DAY(m7_crossvalid[[#This Row],[cutoff]]))</f>
        <v>45869</v>
      </c>
      <c r="B237" s="7">
        <f>DATE(YEAR(m7_crossvalid[[#This Row],[ds]]),MONTH(m7_crossvalid[[#This Row],[ds]]),DAY(m7_crossvalid[[#This Row],[ds]]))</f>
        <v>45888</v>
      </c>
      <c r="C237">
        <v>3182</v>
      </c>
      <c r="D237" s="1">
        <v>45888.333333333336</v>
      </c>
      <c r="E237">
        <v>3029.5000824773742</v>
      </c>
      <c r="F237">
        <v>1591.666706261846</v>
      </c>
      <c r="G237">
        <v>4470.0860280088473</v>
      </c>
      <c r="H237" s="1">
        <v>45869.333333333336</v>
      </c>
    </row>
    <row r="238" spans="1:8" x14ac:dyDescent="0.25">
      <c r="A238" s="7">
        <f>DATE(YEAR(m7_crossvalid[[#This Row],[cutoff]]),MONTH(m7_crossvalid[[#This Row],[cutoff]]),DAY(m7_crossvalid[[#This Row],[cutoff]]))</f>
        <v>45869</v>
      </c>
      <c r="B238" s="7">
        <f>DATE(YEAR(m7_crossvalid[[#This Row],[ds]]),MONTH(m7_crossvalid[[#This Row],[ds]]),DAY(m7_crossvalid[[#This Row],[ds]]))</f>
        <v>45889</v>
      </c>
      <c r="C238">
        <v>3745</v>
      </c>
      <c r="D238" s="1">
        <v>45889.333333333336</v>
      </c>
      <c r="E238">
        <v>3208.296636532431</v>
      </c>
      <c r="F238">
        <v>1765.7216595565451</v>
      </c>
      <c r="G238">
        <v>4613.6363447943477</v>
      </c>
      <c r="H238" s="1">
        <v>45869.333333333336</v>
      </c>
    </row>
    <row r="239" spans="1:8" x14ac:dyDescent="0.25">
      <c r="A239" s="7">
        <f>DATE(YEAR(m7_crossvalid[[#This Row],[cutoff]]),MONTH(m7_crossvalid[[#This Row],[cutoff]]),DAY(m7_crossvalid[[#This Row],[cutoff]]))</f>
        <v>45869</v>
      </c>
      <c r="B239" s="7">
        <f>DATE(YEAR(m7_crossvalid[[#This Row],[ds]]),MONTH(m7_crossvalid[[#This Row],[ds]]),DAY(m7_crossvalid[[#This Row],[ds]]))</f>
        <v>45890</v>
      </c>
      <c r="C239">
        <v>3754</v>
      </c>
      <c r="D239" s="1">
        <v>45890.333333333336</v>
      </c>
      <c r="E239">
        <v>3323.5826544853485</v>
      </c>
      <c r="F239">
        <v>1855.7291652545473</v>
      </c>
      <c r="G239">
        <v>4773.5983854812403</v>
      </c>
      <c r="H239" s="1">
        <v>45869.333333333336</v>
      </c>
    </row>
    <row r="240" spans="1:8" x14ac:dyDescent="0.25">
      <c r="A240" s="7">
        <f>DATE(YEAR(m7_crossvalid[[#This Row],[cutoff]]),MONTH(m7_crossvalid[[#This Row],[cutoff]]),DAY(m7_crossvalid[[#This Row],[cutoff]]))</f>
        <v>45869</v>
      </c>
      <c r="B240" s="7">
        <f>DATE(YEAR(m7_crossvalid[[#This Row],[ds]]),MONTH(m7_crossvalid[[#This Row],[ds]]),DAY(m7_crossvalid[[#This Row],[ds]]))</f>
        <v>45891</v>
      </c>
      <c r="C240">
        <v>3741</v>
      </c>
      <c r="D240" s="1">
        <v>45891.333333333336</v>
      </c>
      <c r="E240">
        <v>3291.1050273958331</v>
      </c>
      <c r="F240">
        <v>1901.0947109460758</v>
      </c>
      <c r="G240">
        <v>4752.8231571335182</v>
      </c>
      <c r="H240" s="1">
        <v>45869.333333333336</v>
      </c>
    </row>
    <row r="241" spans="1:8" x14ac:dyDescent="0.25">
      <c r="A241" s="7">
        <f>DATE(YEAR(m7_crossvalid[[#This Row],[cutoff]]),MONTH(m7_crossvalid[[#This Row],[cutoff]]),DAY(m7_crossvalid[[#This Row],[cutoff]]))</f>
        <v>45869</v>
      </c>
      <c r="B241" s="7">
        <f>DATE(YEAR(m7_crossvalid[[#This Row],[ds]]),MONTH(m7_crossvalid[[#This Row],[ds]]),DAY(m7_crossvalid[[#This Row],[ds]]))</f>
        <v>45892</v>
      </c>
      <c r="C241">
        <v>761</v>
      </c>
      <c r="D241" s="1">
        <v>45892.333333333336</v>
      </c>
      <c r="E241">
        <v>1203.0383468770206</v>
      </c>
      <c r="F241">
        <v>-216.74216815531943</v>
      </c>
      <c r="G241">
        <v>2740.3242121315916</v>
      </c>
      <c r="H241" s="1">
        <v>45869.333333333336</v>
      </c>
    </row>
    <row r="242" spans="1:8" x14ac:dyDescent="0.25">
      <c r="A242" s="7">
        <f>DATE(YEAR(m7_crossvalid[[#This Row],[cutoff]]),MONTH(m7_crossvalid[[#This Row],[cutoff]]),DAY(m7_crossvalid[[#This Row],[cutoff]]))</f>
        <v>45869</v>
      </c>
      <c r="B242" s="7">
        <f>DATE(YEAR(m7_crossvalid[[#This Row],[ds]]),MONTH(m7_crossvalid[[#This Row],[ds]]),DAY(m7_crossvalid[[#This Row],[ds]]))</f>
        <v>45893</v>
      </c>
      <c r="C242">
        <v>239</v>
      </c>
      <c r="D242" s="1">
        <v>45893.333333333336</v>
      </c>
      <c r="E242">
        <v>891.16163432898179</v>
      </c>
      <c r="F242">
        <v>-699.06661439030404</v>
      </c>
      <c r="G242">
        <v>2240.3150837534463</v>
      </c>
      <c r="H242" s="1">
        <v>45869.333333333336</v>
      </c>
    </row>
    <row r="243" spans="1:8" x14ac:dyDescent="0.25">
      <c r="A243" s="7">
        <f>DATE(YEAR(m7_crossvalid[[#This Row],[cutoff]]),MONTH(m7_crossvalid[[#This Row],[cutoff]]),DAY(m7_crossvalid[[#This Row],[cutoff]]))</f>
        <v>45869</v>
      </c>
      <c r="B243" s="7">
        <f>DATE(YEAR(m7_crossvalid[[#This Row],[ds]]),MONTH(m7_crossvalid[[#This Row],[ds]]),DAY(m7_crossvalid[[#This Row],[ds]]))</f>
        <v>45894</v>
      </c>
      <c r="C243">
        <v>3838</v>
      </c>
      <c r="D243" s="1">
        <v>45894.333333333336</v>
      </c>
      <c r="E243">
        <v>4119.980746519931</v>
      </c>
      <c r="F243">
        <v>2724.2357143412346</v>
      </c>
      <c r="G243">
        <v>5569.5385493852327</v>
      </c>
      <c r="H243" s="1">
        <v>45869.333333333336</v>
      </c>
    </row>
    <row r="244" spans="1:8" x14ac:dyDescent="0.25">
      <c r="A244" s="7">
        <f>DATE(YEAR(m7_crossvalid[[#This Row],[cutoff]]),MONTH(m7_crossvalid[[#This Row],[cutoff]]),DAY(m7_crossvalid[[#This Row],[cutoff]]))</f>
        <v>45869</v>
      </c>
      <c r="B244" s="7">
        <f>DATE(YEAR(m7_crossvalid[[#This Row],[ds]]),MONTH(m7_crossvalid[[#This Row],[ds]]),DAY(m7_crossvalid[[#This Row],[ds]]))</f>
        <v>45895</v>
      </c>
      <c r="C244">
        <v>5214</v>
      </c>
      <c r="D244" s="1">
        <v>45895.333333333336</v>
      </c>
      <c r="E244">
        <v>4184.5206624780058</v>
      </c>
      <c r="F244">
        <v>2748.2093375008562</v>
      </c>
      <c r="G244">
        <v>5696.9989299735262</v>
      </c>
      <c r="H244" s="1">
        <v>45869.333333333336</v>
      </c>
    </row>
    <row r="245" spans="1:8" x14ac:dyDescent="0.25">
      <c r="A245" s="7">
        <f>DATE(YEAR(m7_crossvalid[[#This Row],[cutoff]]),MONTH(m7_crossvalid[[#This Row],[cutoff]]),DAY(m7_crossvalid[[#This Row],[cutoff]]))</f>
        <v>45869</v>
      </c>
      <c r="B245" s="7">
        <f>DATE(YEAR(m7_crossvalid[[#This Row],[ds]]),MONTH(m7_crossvalid[[#This Row],[ds]]),DAY(m7_crossvalid[[#This Row],[ds]]))</f>
        <v>45896</v>
      </c>
      <c r="C245">
        <v>5989</v>
      </c>
      <c r="D245" s="1">
        <v>45896.333333333336</v>
      </c>
      <c r="E245">
        <v>4508.1066077952682</v>
      </c>
      <c r="F245">
        <v>3109.6529795928818</v>
      </c>
      <c r="G245">
        <v>6016.4178953293558</v>
      </c>
      <c r="H245" s="1">
        <v>45869.333333333336</v>
      </c>
    </row>
    <row r="246" spans="1:8" x14ac:dyDescent="0.25">
      <c r="A246" s="7">
        <f>DATE(YEAR(m7_crossvalid[[#This Row],[cutoff]]),MONTH(m7_crossvalid[[#This Row],[cutoff]]),DAY(m7_crossvalid[[#This Row],[cutoff]]))</f>
        <v>45869</v>
      </c>
      <c r="B246" s="7">
        <f>DATE(YEAR(m7_crossvalid[[#This Row],[ds]]),MONTH(m7_crossvalid[[#This Row],[ds]]),DAY(m7_crossvalid[[#This Row],[ds]]))</f>
        <v>45897</v>
      </c>
      <c r="C246">
        <v>7115</v>
      </c>
      <c r="D246" s="1">
        <v>45897.333333333336</v>
      </c>
      <c r="E246">
        <v>4968.7740674593624</v>
      </c>
      <c r="F246">
        <v>3379.1281312987421</v>
      </c>
      <c r="G246">
        <v>6400.7489432802568</v>
      </c>
      <c r="H246" s="1">
        <v>45869.333333333336</v>
      </c>
    </row>
    <row r="247" spans="1:8" x14ac:dyDescent="0.25">
      <c r="A247" s="7">
        <f>DATE(YEAR(m7_crossvalid[[#This Row],[cutoff]]),MONTH(m7_crossvalid[[#This Row],[cutoff]]),DAY(m7_crossvalid[[#This Row],[cutoff]]))</f>
        <v>45869</v>
      </c>
      <c r="B247" s="7">
        <f>DATE(YEAR(m7_crossvalid[[#This Row],[ds]]),MONTH(m7_crossvalid[[#This Row],[ds]]),DAY(m7_crossvalid[[#This Row],[ds]]))</f>
        <v>45898</v>
      </c>
      <c r="C247">
        <v>9571</v>
      </c>
      <c r="D247" s="1">
        <v>45898.333333333336</v>
      </c>
      <c r="E247">
        <v>5360.3853424794906</v>
      </c>
      <c r="F247">
        <v>3778.3004776324569</v>
      </c>
      <c r="G247">
        <v>6797.6440834801751</v>
      </c>
      <c r="H247" s="1">
        <v>45869.333333333336</v>
      </c>
    </row>
    <row r="248" spans="1:8" x14ac:dyDescent="0.25">
      <c r="A248" s="7">
        <f>DATE(YEAR(m7_crossvalid[[#This Row],[cutoff]]),MONTH(m7_crossvalid[[#This Row],[cutoff]]),DAY(m7_crossvalid[[#This Row],[cutoff]]))</f>
        <v>45869</v>
      </c>
      <c r="B248" s="7">
        <f>DATE(YEAR(m7_crossvalid[[#This Row],[ds]]),MONTH(m7_crossvalid[[#This Row],[ds]]),DAY(m7_crossvalid[[#This Row],[ds]]))</f>
        <v>45899</v>
      </c>
      <c r="C248">
        <v>5764</v>
      </c>
      <c r="D248" s="1">
        <v>45899.333333333336</v>
      </c>
      <c r="E248">
        <v>5527.9240954317347</v>
      </c>
      <c r="F248">
        <v>4123.0209378714308</v>
      </c>
      <c r="G248">
        <v>7041.4379434071789</v>
      </c>
      <c r="H248" s="1">
        <v>45869.333333333336</v>
      </c>
    </row>
    <row r="249" spans="1:8" x14ac:dyDescent="0.25">
      <c r="A249" s="7">
        <f>DATE(YEAR(m7_crossvalid[[#This Row],[cutoff]]),MONTH(m7_crossvalid[[#This Row],[cutoff]]),DAY(m7_crossvalid[[#This Row],[cutoff]]))</f>
        <v>45869</v>
      </c>
      <c r="B249" s="7">
        <f>DATE(YEAR(m7_crossvalid[[#This Row],[ds]]),MONTH(m7_crossvalid[[#This Row],[ds]]),DAY(m7_crossvalid[[#This Row],[ds]]))</f>
        <v>45900</v>
      </c>
      <c r="C249">
        <v>386</v>
      </c>
      <c r="D249" s="1">
        <v>45900.333333333336</v>
      </c>
      <c r="E249">
        <v>5470.4050733668719</v>
      </c>
      <c r="F249">
        <v>3968.4411904016511</v>
      </c>
      <c r="G249">
        <v>6882.6778985429592</v>
      </c>
      <c r="H249" s="1">
        <v>45869.333333333336</v>
      </c>
    </row>
    <row r="250" spans="1:8" x14ac:dyDescent="0.25">
      <c r="A250" s="7">
        <f>DATE(YEAR(m7_crossvalid[[#This Row],[cutoff]]),MONTH(m7_crossvalid[[#This Row],[cutoff]]),DAY(m7_crossvalid[[#This Row],[cutoff]]))</f>
        <v>45900</v>
      </c>
      <c r="B250" s="7">
        <f>DATE(YEAR(m7_crossvalid[[#This Row],[ds]]),MONTH(m7_crossvalid[[#This Row],[ds]]),DAY(m7_crossvalid[[#This Row],[ds]]))</f>
        <v>45901</v>
      </c>
      <c r="C250">
        <v>34</v>
      </c>
      <c r="D250" s="1">
        <v>45901.333333333336</v>
      </c>
      <c r="E250">
        <v>301.56402457412719</v>
      </c>
      <c r="F250">
        <v>-1121.0263666527289</v>
      </c>
      <c r="G250">
        <v>1768.2978535545913</v>
      </c>
      <c r="H250" s="1">
        <v>45900.333333333336</v>
      </c>
    </row>
    <row r="251" spans="1:8" x14ac:dyDescent="0.25">
      <c r="A251" s="7">
        <f>DATE(YEAR(m7_crossvalid[[#This Row],[cutoff]]),MONTH(m7_crossvalid[[#This Row],[cutoff]]),DAY(m7_crossvalid[[#This Row],[cutoff]]))</f>
        <v>45900</v>
      </c>
      <c r="B251" s="7">
        <f>DATE(YEAR(m7_crossvalid[[#This Row],[ds]]),MONTH(m7_crossvalid[[#This Row],[ds]]),DAY(m7_crossvalid[[#This Row],[ds]]))</f>
        <v>45902</v>
      </c>
      <c r="C251">
        <v>463</v>
      </c>
      <c r="D251" s="1">
        <v>45902.333333333336</v>
      </c>
      <c r="E251">
        <v>1732.9793303797728</v>
      </c>
      <c r="F251">
        <v>302.75960408622672</v>
      </c>
      <c r="G251">
        <v>3178.9386588554235</v>
      </c>
      <c r="H251" s="1">
        <v>45900.333333333336</v>
      </c>
    </row>
    <row r="252" spans="1:8" x14ac:dyDescent="0.25">
      <c r="A252" s="7">
        <f>DATE(YEAR(m7_crossvalid[[#This Row],[cutoff]]),MONTH(m7_crossvalid[[#This Row],[cutoff]]),DAY(m7_crossvalid[[#This Row],[cutoff]]))</f>
        <v>45900</v>
      </c>
      <c r="B252" s="7">
        <f>DATE(YEAR(m7_crossvalid[[#This Row],[ds]]),MONTH(m7_crossvalid[[#This Row],[ds]]),DAY(m7_crossvalid[[#This Row],[ds]]))</f>
        <v>45903</v>
      </c>
      <c r="C252">
        <v>734</v>
      </c>
      <c r="D252" s="1">
        <v>45903.333333333336</v>
      </c>
      <c r="E252">
        <v>1921.8672944704181</v>
      </c>
      <c r="F252">
        <v>394.82474094091003</v>
      </c>
      <c r="G252">
        <v>3384.0172888639663</v>
      </c>
      <c r="H252" s="1">
        <v>45900.333333333336</v>
      </c>
    </row>
    <row r="253" spans="1:8" x14ac:dyDescent="0.25">
      <c r="A253" s="7">
        <f>DATE(YEAR(m7_crossvalid[[#This Row],[cutoff]]),MONTH(m7_crossvalid[[#This Row],[cutoff]]),DAY(m7_crossvalid[[#This Row],[cutoff]]))</f>
        <v>45900</v>
      </c>
      <c r="B253" s="7">
        <f>DATE(YEAR(m7_crossvalid[[#This Row],[ds]]),MONTH(m7_crossvalid[[#This Row],[ds]]),DAY(m7_crossvalid[[#This Row],[ds]]))</f>
        <v>45904</v>
      </c>
      <c r="C253">
        <v>973</v>
      </c>
      <c r="D253" s="1">
        <v>45904.333333333336</v>
      </c>
      <c r="E253">
        <v>1826.6027206349906</v>
      </c>
      <c r="F253">
        <v>356.85493783059246</v>
      </c>
      <c r="G253">
        <v>3295.8880096584526</v>
      </c>
      <c r="H253" s="1">
        <v>45900.333333333336</v>
      </c>
    </row>
    <row r="254" spans="1:8" x14ac:dyDescent="0.25">
      <c r="A254" s="7">
        <f>DATE(YEAR(m7_crossvalid[[#This Row],[cutoff]]),MONTH(m7_crossvalid[[#This Row],[cutoff]]),DAY(m7_crossvalid[[#This Row],[cutoff]]))</f>
        <v>45900</v>
      </c>
      <c r="B254" s="7">
        <f>DATE(YEAR(m7_crossvalid[[#This Row],[ds]]),MONTH(m7_crossvalid[[#This Row],[ds]]),DAY(m7_crossvalid[[#This Row],[ds]]))</f>
        <v>45905</v>
      </c>
      <c r="C254">
        <v>61</v>
      </c>
      <c r="D254" s="1">
        <v>45905.333333333336</v>
      </c>
      <c r="E254">
        <v>-11.843664117999651</v>
      </c>
      <c r="F254">
        <v>-1503.5781442669288</v>
      </c>
      <c r="G254">
        <v>1513.5001100370096</v>
      </c>
      <c r="H254" s="1">
        <v>45900.333333333336</v>
      </c>
    </row>
    <row r="255" spans="1:8" x14ac:dyDescent="0.25">
      <c r="A255" s="7">
        <f>DATE(YEAR(m7_crossvalid[[#This Row],[cutoff]]),MONTH(m7_crossvalid[[#This Row],[cutoff]]),DAY(m7_crossvalid[[#This Row],[cutoff]]))</f>
        <v>45900</v>
      </c>
      <c r="B255" s="7">
        <f>DATE(YEAR(m7_crossvalid[[#This Row],[ds]]),MONTH(m7_crossvalid[[#This Row],[ds]]),DAY(m7_crossvalid[[#This Row],[ds]]))</f>
        <v>45906</v>
      </c>
      <c r="C255">
        <v>107</v>
      </c>
      <c r="D255" s="1">
        <v>45906.333333333336</v>
      </c>
      <c r="E255">
        <v>-502.72823571827621</v>
      </c>
      <c r="F255">
        <v>-1893.5022224872653</v>
      </c>
      <c r="G255">
        <v>912.67475291487403</v>
      </c>
      <c r="H255" s="1">
        <v>45900.333333333336</v>
      </c>
    </row>
    <row r="256" spans="1:8" x14ac:dyDescent="0.25">
      <c r="A256" s="7">
        <f>DATE(YEAR(m7_crossvalid[[#This Row],[cutoff]]),MONTH(m7_crossvalid[[#This Row],[cutoff]]),DAY(m7_crossvalid[[#This Row],[cutoff]]))</f>
        <v>45900</v>
      </c>
      <c r="B256" s="7">
        <f>DATE(YEAR(m7_crossvalid[[#This Row],[ds]]),MONTH(m7_crossvalid[[#This Row],[ds]]),DAY(m7_crossvalid[[#This Row],[ds]]))</f>
        <v>45907</v>
      </c>
      <c r="C256">
        <v>30</v>
      </c>
      <c r="D256" s="1">
        <v>45907.333333333336</v>
      </c>
      <c r="E256">
        <v>-1103.9101961343927</v>
      </c>
      <c r="F256">
        <v>-2578.4774288653302</v>
      </c>
      <c r="G256">
        <v>241.66267576076496</v>
      </c>
      <c r="H256" s="1">
        <v>45900.333333333336</v>
      </c>
    </row>
    <row r="257" spans="1:8" x14ac:dyDescent="0.25">
      <c r="A257" s="7">
        <f>DATE(YEAR(m7_crossvalid[[#This Row],[cutoff]]),MONTH(m7_crossvalid[[#This Row],[cutoff]]),DAY(m7_crossvalid[[#This Row],[cutoff]]))</f>
        <v>45900</v>
      </c>
      <c r="B257" s="7">
        <f>DATE(YEAR(m7_crossvalid[[#This Row],[ds]]),MONTH(m7_crossvalid[[#This Row],[ds]]),DAY(m7_crossvalid[[#This Row],[ds]]))</f>
        <v>45908</v>
      </c>
      <c r="C257">
        <v>1382</v>
      </c>
      <c r="D257" s="1">
        <v>45908.333333333336</v>
      </c>
      <c r="E257">
        <v>2063.9045222074951</v>
      </c>
      <c r="F257">
        <v>642.33061060883369</v>
      </c>
      <c r="G257">
        <v>3410.0141565799913</v>
      </c>
      <c r="H257" s="1">
        <v>45900.333333333336</v>
      </c>
    </row>
    <row r="258" spans="1:8" x14ac:dyDescent="0.25">
      <c r="A258" s="7">
        <f>DATE(YEAR(m7_crossvalid[[#This Row],[cutoff]]),MONTH(m7_crossvalid[[#This Row],[cutoff]]),DAY(m7_crossvalid[[#This Row],[cutoff]]))</f>
        <v>45900</v>
      </c>
      <c r="B258" s="7">
        <f>DATE(YEAR(m7_crossvalid[[#This Row],[ds]]),MONTH(m7_crossvalid[[#This Row],[ds]]),DAY(m7_crossvalid[[#This Row],[ds]]))</f>
        <v>45909</v>
      </c>
      <c r="C258">
        <v>1925</v>
      </c>
      <c r="D258" s="1">
        <v>45909.333333333336</v>
      </c>
      <c r="E258">
        <v>2131.1487037203201</v>
      </c>
      <c r="F258">
        <v>659.64320172085968</v>
      </c>
      <c r="G258">
        <v>3539.4089398742985</v>
      </c>
      <c r="H258" s="1">
        <v>45900.333333333336</v>
      </c>
    </row>
    <row r="259" spans="1:8" x14ac:dyDescent="0.25">
      <c r="A259" s="7">
        <f>DATE(YEAR(m7_crossvalid[[#This Row],[cutoff]]),MONTH(m7_crossvalid[[#This Row],[cutoff]]),DAY(m7_crossvalid[[#This Row],[cutoff]]))</f>
        <v>45900</v>
      </c>
      <c r="B259" s="7">
        <f>DATE(YEAR(m7_crossvalid[[#This Row],[ds]]),MONTH(m7_crossvalid[[#This Row],[ds]]),DAY(m7_crossvalid[[#This Row],[ds]]))</f>
        <v>45910</v>
      </c>
      <c r="C259">
        <v>1988</v>
      </c>
      <c r="D259" s="1">
        <v>45910.333333333336</v>
      </c>
      <c r="E259">
        <v>2088.3066011723813</v>
      </c>
      <c r="F259">
        <v>677.16778150751088</v>
      </c>
      <c r="G259">
        <v>3566.433438802097</v>
      </c>
      <c r="H259" s="1">
        <v>45900.333333333336</v>
      </c>
    </row>
    <row r="260" spans="1:8" x14ac:dyDescent="0.25">
      <c r="A260" s="7">
        <f>DATE(YEAR(m7_crossvalid[[#This Row],[cutoff]]),MONTH(m7_crossvalid[[#This Row],[cutoff]]),DAY(m7_crossvalid[[#This Row],[cutoff]]))</f>
        <v>45900</v>
      </c>
      <c r="B260" s="7">
        <f>DATE(YEAR(m7_crossvalid[[#This Row],[ds]]),MONTH(m7_crossvalid[[#This Row],[ds]]),DAY(m7_crossvalid[[#This Row],[ds]]))</f>
        <v>45911</v>
      </c>
      <c r="C260">
        <v>2414</v>
      </c>
      <c r="D260" s="1">
        <v>45911.333333333336</v>
      </c>
      <c r="E260">
        <v>2207.3223902490099</v>
      </c>
      <c r="F260">
        <v>658.81614547858317</v>
      </c>
      <c r="G260">
        <v>3629.7764084445948</v>
      </c>
      <c r="H260" s="1">
        <v>45900.333333333336</v>
      </c>
    </row>
    <row r="261" spans="1:8" x14ac:dyDescent="0.25">
      <c r="A261" s="7">
        <f>DATE(YEAR(m7_crossvalid[[#This Row],[cutoff]]),MONTH(m7_crossvalid[[#This Row],[cutoff]]),DAY(m7_crossvalid[[#This Row],[cutoff]]))</f>
        <v>45900</v>
      </c>
      <c r="B261" s="7">
        <f>DATE(YEAR(m7_crossvalid[[#This Row],[ds]]),MONTH(m7_crossvalid[[#This Row],[ds]]),DAY(m7_crossvalid[[#This Row],[ds]]))</f>
        <v>45912</v>
      </c>
      <c r="C261">
        <v>2644</v>
      </c>
      <c r="D261" s="1">
        <v>45912.333333333336</v>
      </c>
      <c r="E261">
        <v>2289.3861375779552</v>
      </c>
      <c r="F261">
        <v>851.46279703121638</v>
      </c>
      <c r="G261">
        <v>3668.8691737940931</v>
      </c>
      <c r="H261" s="1">
        <v>45900.333333333336</v>
      </c>
    </row>
    <row r="262" spans="1:8" x14ac:dyDescent="0.25">
      <c r="A262" s="7">
        <f>DATE(YEAR(m7_crossvalid[[#This Row],[cutoff]]),MONTH(m7_crossvalid[[#This Row],[cutoff]]),DAY(m7_crossvalid[[#This Row],[cutoff]]))</f>
        <v>45900</v>
      </c>
      <c r="B262" s="7">
        <f>DATE(YEAR(m7_crossvalid[[#This Row],[ds]]),MONTH(m7_crossvalid[[#This Row],[ds]]),DAY(m7_crossvalid[[#This Row],[ds]]))</f>
        <v>45913</v>
      </c>
      <c r="C262">
        <v>439</v>
      </c>
      <c r="D262" s="1">
        <v>45913.333333333336</v>
      </c>
      <c r="E262">
        <v>60.185711335788255</v>
      </c>
      <c r="F262">
        <v>-1292.7606673646087</v>
      </c>
      <c r="G262">
        <v>1578.2638414213907</v>
      </c>
      <c r="H262" s="1">
        <v>45900.333333333336</v>
      </c>
    </row>
    <row r="263" spans="1:8" x14ac:dyDescent="0.25">
      <c r="A263" s="7">
        <f>DATE(YEAR(m7_crossvalid[[#This Row],[cutoff]]),MONTH(m7_crossvalid[[#This Row],[cutoff]]),DAY(m7_crossvalid[[#This Row],[cutoff]]))</f>
        <v>45900</v>
      </c>
      <c r="B263" s="7">
        <f>DATE(YEAR(m7_crossvalid[[#This Row],[ds]]),MONTH(m7_crossvalid[[#This Row],[ds]]),DAY(m7_crossvalid[[#This Row],[ds]]))</f>
        <v>45914</v>
      </c>
      <c r="C263">
        <v>108</v>
      </c>
      <c r="D263" s="1">
        <v>45914.333333333336</v>
      </c>
      <c r="E263">
        <v>-481.03573747852624</v>
      </c>
      <c r="F263">
        <v>-1929.5153820127009</v>
      </c>
      <c r="G263">
        <v>989.6063023940095</v>
      </c>
      <c r="H263" s="1">
        <v>45900.333333333336</v>
      </c>
    </row>
    <row r="264" spans="1:8" x14ac:dyDescent="0.25">
      <c r="A264" s="7">
        <f>DATE(YEAR(m7_crossvalid[[#This Row],[cutoff]]),MONTH(m7_crossvalid[[#This Row],[cutoff]]),DAY(m7_crossvalid[[#This Row],[cutoff]]))</f>
        <v>45900</v>
      </c>
      <c r="B264" s="7">
        <f>DATE(YEAR(m7_crossvalid[[#This Row],[ds]]),MONTH(m7_crossvalid[[#This Row],[ds]]),DAY(m7_crossvalid[[#This Row],[ds]]))</f>
        <v>45915</v>
      </c>
      <c r="C264">
        <v>19</v>
      </c>
      <c r="D264" s="1">
        <v>45915.333333333336</v>
      </c>
      <c r="E264">
        <v>371.66768612069518</v>
      </c>
      <c r="F264">
        <v>-1115.4924542196745</v>
      </c>
      <c r="G264">
        <v>1802.9621400227513</v>
      </c>
      <c r="H264" s="1">
        <v>45900.333333333336</v>
      </c>
    </row>
    <row r="265" spans="1:8" x14ac:dyDescent="0.25">
      <c r="A265" s="7">
        <f>DATE(YEAR(m7_crossvalid[[#This Row],[cutoff]]),MONTH(m7_crossvalid[[#This Row],[cutoff]]),DAY(m7_crossvalid[[#This Row],[cutoff]]))</f>
        <v>45900</v>
      </c>
      <c r="B265" s="7">
        <f>DATE(YEAR(m7_crossvalid[[#This Row],[ds]]),MONTH(m7_crossvalid[[#This Row],[ds]]),DAY(m7_crossvalid[[#This Row],[ds]]))</f>
        <v>45916</v>
      </c>
      <c r="C265">
        <v>5</v>
      </c>
      <c r="D265" s="1">
        <v>45916.333333333336</v>
      </c>
      <c r="E265">
        <v>785.02710161133405</v>
      </c>
      <c r="F265">
        <v>-752.43675836064347</v>
      </c>
      <c r="G265">
        <v>2270.62703420564</v>
      </c>
      <c r="H265" s="1">
        <v>45900.333333333336</v>
      </c>
    </row>
    <row r="266" spans="1:8" x14ac:dyDescent="0.25">
      <c r="A266" s="7">
        <f>DATE(YEAR(m7_crossvalid[[#This Row],[cutoff]]),MONTH(m7_crossvalid[[#This Row],[cutoff]]),DAY(m7_crossvalid[[#This Row],[cutoff]]))</f>
        <v>45900</v>
      </c>
      <c r="B266" s="7">
        <f>DATE(YEAR(m7_crossvalid[[#This Row],[ds]]),MONTH(m7_crossvalid[[#This Row],[ds]]),DAY(m7_crossvalid[[#This Row],[ds]]))</f>
        <v>45917</v>
      </c>
      <c r="C266">
        <v>2108</v>
      </c>
      <c r="D266" s="1">
        <v>45917.333333333336</v>
      </c>
      <c r="E266">
        <v>2746.2763920451398</v>
      </c>
      <c r="F266">
        <v>1331.3461183084444</v>
      </c>
      <c r="G266">
        <v>4236.2243869850336</v>
      </c>
      <c r="H266" s="1">
        <v>45900.333333333336</v>
      </c>
    </row>
    <row r="267" spans="1:8" x14ac:dyDescent="0.25">
      <c r="A267" s="7">
        <f>DATE(YEAR(m7_crossvalid[[#This Row],[cutoff]]),MONTH(m7_crossvalid[[#This Row],[cutoff]]),DAY(m7_crossvalid[[#This Row],[cutoff]]))</f>
        <v>45900</v>
      </c>
      <c r="B267" s="7">
        <f>DATE(YEAR(m7_crossvalid[[#This Row],[ds]]),MONTH(m7_crossvalid[[#This Row],[ds]]),DAY(m7_crossvalid[[#This Row],[ds]]))</f>
        <v>45918</v>
      </c>
      <c r="C267">
        <v>3129</v>
      </c>
      <c r="D267" s="1">
        <v>45918.333333333336</v>
      </c>
      <c r="E267">
        <v>2797.4205417463204</v>
      </c>
      <c r="F267">
        <v>1326.4082955000283</v>
      </c>
      <c r="G267">
        <v>4155.3884848539074</v>
      </c>
      <c r="H267" s="1">
        <v>45900.333333333336</v>
      </c>
    </row>
    <row r="268" spans="1:8" x14ac:dyDescent="0.25">
      <c r="A268" s="7">
        <f>DATE(YEAR(m7_crossvalid[[#This Row],[cutoff]]),MONTH(m7_crossvalid[[#This Row],[cutoff]]),DAY(m7_crossvalid[[#This Row],[cutoff]]))</f>
        <v>45900</v>
      </c>
      <c r="B268" s="7">
        <f>DATE(YEAR(m7_crossvalid[[#This Row],[ds]]),MONTH(m7_crossvalid[[#This Row],[ds]]),DAY(m7_crossvalid[[#This Row],[ds]]))</f>
        <v>45919</v>
      </c>
      <c r="C268">
        <v>3027</v>
      </c>
      <c r="D268" s="1">
        <v>45919.333333333336</v>
      </c>
      <c r="E268">
        <v>2764.3721476668284</v>
      </c>
      <c r="F268">
        <v>1398.6835635074792</v>
      </c>
      <c r="G268">
        <v>4199.6889763095378</v>
      </c>
      <c r="H268" s="1">
        <v>45900.333333333336</v>
      </c>
    </row>
    <row r="269" spans="1:8" x14ac:dyDescent="0.25">
      <c r="A269" s="7">
        <f>DATE(YEAR(m7_crossvalid[[#This Row],[cutoff]]),MONTH(m7_crossvalid[[#This Row],[cutoff]]),DAY(m7_crossvalid[[#This Row],[cutoff]]))</f>
        <v>45900</v>
      </c>
      <c r="B269" s="7">
        <f>DATE(YEAR(m7_crossvalid[[#This Row],[ds]]),MONTH(m7_crossvalid[[#This Row],[ds]]),DAY(m7_crossvalid[[#This Row],[ds]]))</f>
        <v>45920</v>
      </c>
      <c r="C269">
        <v>525</v>
      </c>
      <c r="D269" s="1">
        <v>45920.333333333336</v>
      </c>
      <c r="E269">
        <v>623.90681841121796</v>
      </c>
      <c r="F269">
        <v>-969.8574002568937</v>
      </c>
      <c r="G269">
        <v>2034.6512583729298</v>
      </c>
      <c r="H269" s="1">
        <v>45900.333333333336</v>
      </c>
    </row>
    <row r="270" spans="1:8" x14ac:dyDescent="0.25">
      <c r="A270" s="7">
        <f>DATE(YEAR(m7_crossvalid[[#This Row],[cutoff]]),MONTH(m7_crossvalid[[#This Row],[cutoff]]),DAY(m7_crossvalid[[#This Row],[cutoff]]))</f>
        <v>45900</v>
      </c>
      <c r="B270" s="7">
        <f>DATE(YEAR(m7_crossvalid[[#This Row],[ds]]),MONTH(m7_crossvalid[[#This Row],[ds]]),DAY(m7_crossvalid[[#This Row],[ds]]))</f>
        <v>45921</v>
      </c>
      <c r="C270">
        <v>107</v>
      </c>
      <c r="D270" s="1">
        <v>45921.333333333336</v>
      </c>
      <c r="E270">
        <v>118.72676286075966</v>
      </c>
      <c r="F270">
        <v>-1355.1209365320658</v>
      </c>
      <c r="G270">
        <v>1565.6146742857668</v>
      </c>
      <c r="H270" s="1">
        <v>45900.333333333336</v>
      </c>
    </row>
    <row r="271" spans="1:8" x14ac:dyDescent="0.25">
      <c r="A271" s="7">
        <f>DATE(YEAR(m7_crossvalid[[#This Row],[cutoff]]),MONTH(m7_crossvalid[[#This Row],[cutoff]]),DAY(m7_crossvalid[[#This Row],[cutoff]]))</f>
        <v>45900</v>
      </c>
      <c r="B271" s="7">
        <f>DATE(YEAR(m7_crossvalid[[#This Row],[ds]]),MONTH(m7_crossvalid[[#This Row],[ds]]),DAY(m7_crossvalid[[#This Row],[ds]]))</f>
        <v>45922</v>
      </c>
      <c r="C271">
        <v>2480</v>
      </c>
      <c r="D271" s="1">
        <v>45922.333333333336</v>
      </c>
      <c r="E271">
        <v>2710.7306031778899</v>
      </c>
      <c r="F271">
        <v>1181.083655181975</v>
      </c>
      <c r="G271">
        <v>4067.4945204917722</v>
      </c>
      <c r="H271" s="1">
        <v>45900.333333333336</v>
      </c>
    </row>
    <row r="272" spans="1:8" x14ac:dyDescent="0.25">
      <c r="A272" s="7">
        <f>DATE(YEAR(m7_crossvalid[[#This Row],[cutoff]]),MONTH(m7_crossvalid[[#This Row],[cutoff]]),DAY(m7_crossvalid[[#This Row],[cutoff]]))</f>
        <v>45900</v>
      </c>
      <c r="B272" s="7">
        <f>DATE(YEAR(m7_crossvalid[[#This Row],[ds]]),MONTH(m7_crossvalid[[#This Row],[ds]]),DAY(m7_crossvalid[[#This Row],[ds]]))</f>
        <v>45923</v>
      </c>
      <c r="C272">
        <v>2893</v>
      </c>
      <c r="D272" s="1">
        <v>45923.333333333336</v>
      </c>
      <c r="E272">
        <v>3218.7623834948558</v>
      </c>
      <c r="F272">
        <v>1769.5499382228252</v>
      </c>
      <c r="G272">
        <v>4608.6249243412003</v>
      </c>
      <c r="H272" s="1">
        <v>45900.333333333336</v>
      </c>
    </row>
    <row r="273" spans="1:8" x14ac:dyDescent="0.25">
      <c r="A273" s="7">
        <f>DATE(YEAR(m7_crossvalid[[#This Row],[cutoff]]),MONTH(m7_crossvalid[[#This Row],[cutoff]]),DAY(m7_crossvalid[[#This Row],[cutoff]]))</f>
        <v>45900</v>
      </c>
      <c r="B273" s="7">
        <f>DATE(YEAR(m7_crossvalid[[#This Row],[ds]]),MONTH(m7_crossvalid[[#This Row],[ds]]),DAY(m7_crossvalid[[#This Row],[ds]]))</f>
        <v>45924</v>
      </c>
      <c r="C273">
        <v>3143</v>
      </c>
      <c r="D273" s="1">
        <v>45924.333333333336</v>
      </c>
      <c r="E273">
        <v>4244.5804302937349</v>
      </c>
      <c r="F273">
        <v>2793.363821198328</v>
      </c>
      <c r="G273">
        <v>5691.0816011938996</v>
      </c>
      <c r="H273" s="1">
        <v>45900.333333333336</v>
      </c>
    </row>
    <row r="274" spans="1:8" x14ac:dyDescent="0.25">
      <c r="A274" s="7">
        <f>DATE(YEAR(m7_crossvalid[[#This Row],[cutoff]]),MONTH(m7_crossvalid[[#This Row],[cutoff]]),DAY(m7_crossvalid[[#This Row],[cutoff]]))</f>
        <v>45900</v>
      </c>
      <c r="B274" s="7">
        <f>DATE(YEAR(m7_crossvalid[[#This Row],[ds]]),MONTH(m7_crossvalid[[#This Row],[ds]]),DAY(m7_crossvalid[[#This Row],[ds]]))</f>
        <v>45925</v>
      </c>
      <c r="C274">
        <v>3361</v>
      </c>
      <c r="D274" s="1">
        <v>45925.333333333336</v>
      </c>
      <c r="E274">
        <v>4037.2690347612088</v>
      </c>
      <c r="F274">
        <v>2645.3415453129719</v>
      </c>
      <c r="G274">
        <v>5553.8385085036589</v>
      </c>
      <c r="H274" s="1">
        <v>45900.333333333336</v>
      </c>
    </row>
    <row r="275" spans="1:8" x14ac:dyDescent="0.25">
      <c r="A275" s="7">
        <f>DATE(YEAR(m7_crossvalid[[#This Row],[cutoff]]),MONTH(m7_crossvalid[[#This Row],[cutoff]]),DAY(m7_crossvalid[[#This Row],[cutoff]]))</f>
        <v>45900</v>
      </c>
      <c r="B275" s="7">
        <f>DATE(YEAR(m7_crossvalid[[#This Row],[ds]]),MONTH(m7_crossvalid[[#This Row],[ds]]),DAY(m7_crossvalid[[#This Row],[ds]]))</f>
        <v>45926</v>
      </c>
      <c r="C275">
        <v>3885</v>
      </c>
      <c r="D275" s="1">
        <v>45926.333333333336</v>
      </c>
      <c r="E275">
        <v>3990.6350454008816</v>
      </c>
      <c r="F275">
        <v>2546.696480399863</v>
      </c>
      <c r="G275">
        <v>5509.3031949900269</v>
      </c>
      <c r="H275" s="1">
        <v>45900.333333333336</v>
      </c>
    </row>
    <row r="276" spans="1:8" x14ac:dyDescent="0.25">
      <c r="A276" s="7">
        <f>DATE(YEAR(m7_crossvalid[[#This Row],[cutoff]]),MONTH(m7_crossvalid[[#This Row],[cutoff]]),DAY(m7_crossvalid[[#This Row],[cutoff]]))</f>
        <v>45900</v>
      </c>
      <c r="B276" s="7">
        <f>DATE(YEAR(m7_crossvalid[[#This Row],[ds]]),MONTH(m7_crossvalid[[#This Row],[ds]]),DAY(m7_crossvalid[[#This Row],[ds]]))</f>
        <v>45927</v>
      </c>
      <c r="C276">
        <v>1024</v>
      </c>
      <c r="D276" s="1">
        <v>45927.333333333336</v>
      </c>
      <c r="E276">
        <v>2140.6105756002339</v>
      </c>
      <c r="F276">
        <v>539.79596012342688</v>
      </c>
      <c r="G276">
        <v>3531.63726227096</v>
      </c>
      <c r="H276" s="1">
        <v>45900.333333333336</v>
      </c>
    </row>
    <row r="277" spans="1:8" x14ac:dyDescent="0.25">
      <c r="A277" s="7">
        <f>DATE(YEAR(m7_crossvalid[[#This Row],[cutoff]]),MONTH(m7_crossvalid[[#This Row],[cutoff]]),DAY(m7_crossvalid[[#This Row],[cutoff]]))</f>
        <v>45900</v>
      </c>
      <c r="B277" s="7">
        <f>DATE(YEAR(m7_crossvalid[[#This Row],[ds]]),MONTH(m7_crossvalid[[#This Row],[ds]]),DAY(m7_crossvalid[[#This Row],[ds]]))</f>
        <v>45928</v>
      </c>
      <c r="C277">
        <v>280</v>
      </c>
      <c r="D277" s="1">
        <v>45928.333333333336</v>
      </c>
      <c r="E277">
        <v>2141.6790610905477</v>
      </c>
      <c r="F277">
        <v>629.66312060645089</v>
      </c>
      <c r="G277">
        <v>3551.3726844468429</v>
      </c>
      <c r="H277" s="1">
        <v>45900.333333333336</v>
      </c>
    </row>
    <row r="278" spans="1:8" x14ac:dyDescent="0.25">
      <c r="A278" s="7">
        <f>DATE(YEAR(m7_crossvalid[[#This Row],[cutoff]]),MONTH(m7_crossvalid[[#This Row],[cutoff]]),DAY(m7_crossvalid[[#This Row],[cutoff]]))</f>
        <v>45900</v>
      </c>
      <c r="B278" s="7">
        <f>DATE(YEAR(m7_crossvalid[[#This Row],[ds]]),MONTH(m7_crossvalid[[#This Row],[ds]]),DAY(m7_crossvalid[[#This Row],[ds]]))</f>
        <v>45929</v>
      </c>
      <c r="C278">
        <v>8852</v>
      </c>
      <c r="D278" s="1">
        <v>45929.333333333336</v>
      </c>
      <c r="E278">
        <v>7303.4804161788534</v>
      </c>
      <c r="F278">
        <v>5848.927131585785</v>
      </c>
      <c r="G278">
        <v>8770.2081874443593</v>
      </c>
      <c r="H278" s="1">
        <v>45900.333333333336</v>
      </c>
    </row>
    <row r="279" spans="1:8" x14ac:dyDescent="0.25">
      <c r="A279" s="7">
        <f>DATE(YEAR(m7_crossvalid[[#This Row],[cutoff]]),MONTH(m7_crossvalid[[#This Row],[cutoff]]),DAY(m7_crossvalid[[#This Row],[cutoff]]))</f>
        <v>45900</v>
      </c>
      <c r="B279" s="7">
        <f>DATE(YEAR(m7_crossvalid[[#This Row],[ds]]),MONTH(m7_crossvalid[[#This Row],[ds]]),DAY(m7_crossvalid[[#This Row],[ds]]))</f>
        <v>45930</v>
      </c>
      <c r="C279">
        <v>14458</v>
      </c>
      <c r="D279" s="1">
        <v>45930.333333333336</v>
      </c>
      <c r="E279">
        <v>9839.9189122428706</v>
      </c>
      <c r="F279">
        <v>8389.5286207683312</v>
      </c>
      <c r="G279">
        <v>11369.068978000687</v>
      </c>
      <c r="H279" s="1">
        <v>45900.333333333336</v>
      </c>
    </row>
    <row r="280" spans="1:8" x14ac:dyDescent="0.25">
      <c r="A280" s="7">
        <f>DATE(YEAR(m7_crossvalid[[#This Row],[cutoff]]),MONTH(m7_crossvalid[[#This Row],[cutoff]]),DAY(m7_crossvalid[[#This Row],[cutoff]]))</f>
        <v>45900</v>
      </c>
      <c r="B280" s="7">
        <f>DATE(YEAR(m7_crossvalid[[#This Row],[ds]]),MONTH(m7_crossvalid[[#This Row],[ds]]),DAY(m7_crossvalid[[#This Row],[ds]]))</f>
        <v>45931</v>
      </c>
      <c r="C280">
        <v>639</v>
      </c>
      <c r="D280" s="1">
        <v>45931.333333333336</v>
      </c>
      <c r="E280">
        <v>2578.8261571459425</v>
      </c>
      <c r="F280">
        <v>1132.2360360135051</v>
      </c>
      <c r="G280">
        <v>4091.8255010264711</v>
      </c>
      <c r="H280" s="1">
        <v>45900.333333333336</v>
      </c>
    </row>
    <row r="281" spans="1:8" x14ac:dyDescent="0.25">
      <c r="A281" s="7">
        <f>DATE(YEAR(m7_crossvalid[[#This Row],[cutoff]]),MONTH(m7_crossvalid[[#This Row],[cutoff]]),DAY(m7_crossvalid[[#This Row],[cutoff]]))</f>
        <v>45930</v>
      </c>
      <c r="B281" s="7">
        <f>DATE(YEAR(m7_crossvalid[[#This Row],[ds]]),MONTH(m7_crossvalid[[#This Row],[ds]]),DAY(m7_crossvalid[[#This Row],[ds]]))</f>
        <v>45931</v>
      </c>
      <c r="C281">
        <v>639</v>
      </c>
      <c r="D281" s="1">
        <v>45931.333333333336</v>
      </c>
      <c r="E281">
        <v>2621.7494885720503</v>
      </c>
      <c r="F281">
        <v>1136.9929289797144</v>
      </c>
      <c r="G281">
        <v>4106.3896584425693</v>
      </c>
      <c r="H281" s="1">
        <v>45930.333333333336</v>
      </c>
    </row>
    <row r="282" spans="1:8" x14ac:dyDescent="0.25">
      <c r="A282" s="7">
        <f>DATE(YEAR(m7_crossvalid[[#This Row],[cutoff]]),MONTH(m7_crossvalid[[#This Row],[cutoff]]),DAY(m7_crossvalid[[#This Row],[cutoff]]))</f>
        <v>45930</v>
      </c>
      <c r="B282" s="7">
        <f>DATE(YEAR(m7_crossvalid[[#This Row],[ds]]),MONTH(m7_crossvalid[[#This Row],[ds]]),DAY(m7_crossvalid[[#This Row],[ds]]))</f>
        <v>45932</v>
      </c>
      <c r="C282">
        <v>823</v>
      </c>
      <c r="D282" s="1">
        <v>45932.333333333336</v>
      </c>
      <c r="E282">
        <v>1719.076227436743</v>
      </c>
      <c r="F282">
        <v>233.06399187249653</v>
      </c>
      <c r="G282">
        <v>3116.9341243129957</v>
      </c>
      <c r="H282" s="1">
        <v>45930.333333333336</v>
      </c>
    </row>
    <row r="283" spans="1:8" x14ac:dyDescent="0.25">
      <c r="A283" s="7">
        <f>DATE(YEAR(m7_crossvalid[[#This Row],[cutoff]]),MONTH(m7_crossvalid[[#This Row],[cutoff]]),DAY(m7_crossvalid[[#This Row],[cutoff]]))</f>
        <v>45930</v>
      </c>
      <c r="B283" s="7">
        <f>DATE(YEAR(m7_crossvalid[[#This Row],[ds]]),MONTH(m7_crossvalid[[#This Row],[ds]]),DAY(m7_crossvalid[[#This Row],[ds]]))</f>
        <v>45933</v>
      </c>
      <c r="C283">
        <v>996</v>
      </c>
      <c r="D283" s="1">
        <v>45933.333333333336</v>
      </c>
      <c r="E283">
        <v>1699.6538419667011</v>
      </c>
      <c r="F283">
        <v>222.77211363726593</v>
      </c>
      <c r="G283">
        <v>3124.3884049584931</v>
      </c>
      <c r="H283" s="1">
        <v>45930.333333333336</v>
      </c>
    </row>
    <row r="284" spans="1:8" x14ac:dyDescent="0.25">
      <c r="A284" s="7">
        <f>DATE(YEAR(m7_crossvalid[[#This Row],[cutoff]]),MONTH(m7_crossvalid[[#This Row],[cutoff]]),DAY(m7_crossvalid[[#This Row],[cutoff]]))</f>
        <v>45930</v>
      </c>
      <c r="B284" s="7">
        <f>DATE(YEAR(m7_crossvalid[[#This Row],[ds]]),MONTH(m7_crossvalid[[#This Row],[ds]]),DAY(m7_crossvalid[[#This Row],[ds]]))</f>
        <v>45934</v>
      </c>
      <c r="C284">
        <v>141</v>
      </c>
      <c r="D284" s="1">
        <v>45934.333333333336</v>
      </c>
      <c r="E284">
        <v>-591.37938495184244</v>
      </c>
      <c r="F284">
        <v>-2087.6906581628627</v>
      </c>
      <c r="G284">
        <v>858.37501642462769</v>
      </c>
      <c r="H284" s="1">
        <v>45930.333333333336</v>
      </c>
    </row>
    <row r="285" spans="1:8" x14ac:dyDescent="0.25">
      <c r="A285" s="7">
        <f>DATE(YEAR(m7_crossvalid[[#This Row],[cutoff]]),MONTH(m7_crossvalid[[#This Row],[cutoff]]),DAY(m7_crossvalid[[#This Row],[cutoff]]))</f>
        <v>45930</v>
      </c>
      <c r="B285" s="7">
        <f>DATE(YEAR(m7_crossvalid[[#This Row],[ds]]),MONTH(m7_crossvalid[[#This Row],[ds]]),DAY(m7_crossvalid[[#This Row],[ds]]))</f>
        <v>45935</v>
      </c>
      <c r="C285">
        <v>38</v>
      </c>
      <c r="D285" s="1">
        <v>45935.333333333336</v>
      </c>
      <c r="E285">
        <v>-1162.0130399420109</v>
      </c>
      <c r="F285">
        <v>-2592.3559984479366</v>
      </c>
      <c r="G285">
        <v>220.57161631758333</v>
      </c>
      <c r="H285" s="1">
        <v>45930.333333333336</v>
      </c>
    </row>
    <row r="286" spans="1:8" x14ac:dyDescent="0.25">
      <c r="A286" s="7">
        <f>DATE(YEAR(m7_crossvalid[[#This Row],[cutoff]]),MONTH(m7_crossvalid[[#This Row],[cutoff]]),DAY(m7_crossvalid[[#This Row],[cutoff]]))</f>
        <v>45930</v>
      </c>
      <c r="B286" s="7">
        <f>DATE(YEAR(m7_crossvalid[[#This Row],[ds]]),MONTH(m7_crossvalid[[#This Row],[ds]]),DAY(m7_crossvalid[[#This Row],[ds]]))</f>
        <v>45936</v>
      </c>
      <c r="C286">
        <v>1044</v>
      </c>
      <c r="D286" s="1">
        <v>45936.333333333336</v>
      </c>
      <c r="E286">
        <v>1476.3860752998794</v>
      </c>
      <c r="F286">
        <v>-52.290732746571095</v>
      </c>
      <c r="G286">
        <v>2886.2106935914344</v>
      </c>
      <c r="H286" s="1">
        <v>45930.333333333336</v>
      </c>
    </row>
    <row r="287" spans="1:8" x14ac:dyDescent="0.25">
      <c r="A287" s="7">
        <f>DATE(YEAR(m7_crossvalid[[#This Row],[cutoff]]),MONTH(m7_crossvalid[[#This Row],[cutoff]]),DAY(m7_crossvalid[[#This Row],[cutoff]]))</f>
        <v>45930</v>
      </c>
      <c r="B287" s="7">
        <f>DATE(YEAR(m7_crossvalid[[#This Row],[ds]]),MONTH(m7_crossvalid[[#This Row],[ds]]),DAY(m7_crossvalid[[#This Row],[ds]]))</f>
        <v>45937</v>
      </c>
      <c r="C287">
        <v>1351</v>
      </c>
      <c r="D287" s="1">
        <v>45937.333333333336</v>
      </c>
      <c r="E287">
        <v>1802.1598444270358</v>
      </c>
      <c r="F287">
        <v>306.8021502371206</v>
      </c>
      <c r="G287">
        <v>3215.0783605918255</v>
      </c>
      <c r="H287" s="1">
        <v>45930.333333333336</v>
      </c>
    </row>
    <row r="288" spans="1:8" x14ac:dyDescent="0.25">
      <c r="A288" s="7">
        <f>DATE(YEAR(m7_crossvalid[[#This Row],[cutoff]]),MONTH(m7_crossvalid[[#This Row],[cutoff]]),DAY(m7_crossvalid[[#This Row],[cutoff]]))</f>
        <v>45930</v>
      </c>
      <c r="B288" s="7">
        <f>DATE(YEAR(m7_crossvalid[[#This Row],[ds]]),MONTH(m7_crossvalid[[#This Row],[ds]]),DAY(m7_crossvalid[[#This Row],[ds]]))</f>
        <v>45938</v>
      </c>
      <c r="C288">
        <v>1654</v>
      </c>
      <c r="D288" s="1">
        <v>45938.333333333336</v>
      </c>
      <c r="E288">
        <v>2527.7112460217686</v>
      </c>
      <c r="F288">
        <v>1118.4513779021725</v>
      </c>
      <c r="G288">
        <v>3906.7953890868666</v>
      </c>
      <c r="H288" s="1">
        <v>45930.333333333336</v>
      </c>
    </row>
    <row r="289" spans="1:8" x14ac:dyDescent="0.25">
      <c r="A289" s="7">
        <f>DATE(YEAR(m7_crossvalid[[#This Row],[cutoff]]),MONTH(m7_crossvalid[[#This Row],[cutoff]]),DAY(m7_crossvalid[[#This Row],[cutoff]]))</f>
        <v>45930</v>
      </c>
      <c r="B289" s="7">
        <f>DATE(YEAR(m7_crossvalid[[#This Row],[ds]]),MONTH(m7_crossvalid[[#This Row],[ds]]),DAY(m7_crossvalid[[#This Row],[ds]]))</f>
        <v>45939</v>
      </c>
      <c r="C289">
        <v>2108</v>
      </c>
      <c r="D289" s="1">
        <v>45939.333333333336</v>
      </c>
      <c r="E289">
        <v>2405.5397274608495</v>
      </c>
      <c r="F289">
        <v>1178.4448038749276</v>
      </c>
      <c r="G289">
        <v>3893.965183542678</v>
      </c>
      <c r="H289" s="1">
        <v>45930.333333333336</v>
      </c>
    </row>
    <row r="290" spans="1:8" x14ac:dyDescent="0.25">
      <c r="A290" s="7">
        <f>DATE(YEAR(m7_crossvalid[[#This Row],[cutoff]]),MONTH(m7_crossvalid[[#This Row],[cutoff]]),DAY(m7_crossvalid[[#This Row],[cutoff]]))</f>
        <v>45930</v>
      </c>
      <c r="B290" s="7">
        <f>DATE(YEAR(m7_crossvalid[[#This Row],[ds]]),MONTH(m7_crossvalid[[#This Row],[ds]]),DAY(m7_crossvalid[[#This Row],[ds]]))</f>
        <v>45940</v>
      </c>
      <c r="C290">
        <v>2215</v>
      </c>
      <c r="D290" s="1">
        <v>45940.333333333336</v>
      </c>
      <c r="E290">
        <v>2206.1430276161045</v>
      </c>
      <c r="F290">
        <v>674.08069841716701</v>
      </c>
      <c r="G290">
        <v>3737.5489594228675</v>
      </c>
      <c r="H290" s="1">
        <v>45930.333333333336</v>
      </c>
    </row>
    <row r="291" spans="1:8" x14ac:dyDescent="0.25">
      <c r="A291" s="7">
        <f>DATE(YEAR(m7_crossvalid[[#This Row],[cutoff]]),MONTH(m7_crossvalid[[#This Row],[cutoff]]),DAY(m7_crossvalid[[#This Row],[cutoff]]))</f>
        <v>45930</v>
      </c>
      <c r="B291" s="7">
        <f>DATE(YEAR(m7_crossvalid[[#This Row],[ds]]),MONTH(m7_crossvalid[[#This Row],[ds]]),DAY(m7_crossvalid[[#This Row],[ds]]))</f>
        <v>45941</v>
      </c>
      <c r="C291">
        <v>380</v>
      </c>
      <c r="D291" s="1">
        <v>45941.333333333336</v>
      </c>
      <c r="E291">
        <v>-39.568854905369335</v>
      </c>
      <c r="F291">
        <v>-1477.8966279594165</v>
      </c>
      <c r="G291">
        <v>1460.8259486742002</v>
      </c>
      <c r="H291" s="1">
        <v>45930.333333333336</v>
      </c>
    </row>
    <row r="292" spans="1:8" x14ac:dyDescent="0.25">
      <c r="A292" s="7">
        <f>DATE(YEAR(m7_crossvalid[[#This Row],[cutoff]]),MONTH(m7_crossvalid[[#This Row],[cutoff]]),DAY(m7_crossvalid[[#This Row],[cutoff]]))</f>
        <v>45930</v>
      </c>
      <c r="B292" s="7">
        <f>DATE(YEAR(m7_crossvalid[[#This Row],[ds]]),MONTH(m7_crossvalid[[#This Row],[ds]]),DAY(m7_crossvalid[[#This Row],[ds]]))</f>
        <v>45942</v>
      </c>
      <c r="C292">
        <v>120</v>
      </c>
      <c r="D292" s="1">
        <v>45942.333333333336</v>
      </c>
      <c r="E292">
        <v>-385.95838143446144</v>
      </c>
      <c r="F292">
        <v>-1862.4255049597971</v>
      </c>
      <c r="G292">
        <v>1103.155134254423</v>
      </c>
      <c r="H292" s="1">
        <v>45930.333333333336</v>
      </c>
    </row>
    <row r="293" spans="1:8" x14ac:dyDescent="0.25">
      <c r="A293" s="7">
        <f>DATE(YEAR(m7_crossvalid[[#This Row],[cutoff]]),MONTH(m7_crossvalid[[#This Row],[cutoff]]),DAY(m7_crossvalid[[#This Row],[cutoff]]))</f>
        <v>45930</v>
      </c>
      <c r="B293" s="7">
        <f>DATE(YEAR(m7_crossvalid[[#This Row],[ds]]),MONTH(m7_crossvalid[[#This Row],[ds]]),DAY(m7_crossvalid[[#This Row],[ds]]))</f>
        <v>45943</v>
      </c>
      <c r="C293">
        <v>2406</v>
      </c>
      <c r="D293" s="1">
        <v>45943.333333333336</v>
      </c>
      <c r="E293">
        <v>2267.7684313717787</v>
      </c>
      <c r="F293">
        <v>790.48097288818542</v>
      </c>
      <c r="G293">
        <v>3744.7301650084451</v>
      </c>
      <c r="H293" s="1">
        <v>45930.333333333336</v>
      </c>
    </row>
    <row r="294" spans="1:8" x14ac:dyDescent="0.25">
      <c r="A294" s="7">
        <f>DATE(YEAR(m7_crossvalid[[#This Row],[cutoff]]),MONTH(m7_crossvalid[[#This Row],[cutoff]]),DAY(m7_crossvalid[[#This Row],[cutoff]]))</f>
        <v>45930</v>
      </c>
      <c r="B294" s="7">
        <f>DATE(YEAR(m7_crossvalid[[#This Row],[ds]]),MONTH(m7_crossvalid[[#This Row],[ds]]),DAY(m7_crossvalid[[#This Row],[ds]]))</f>
        <v>45944</v>
      </c>
      <c r="C294">
        <v>2958</v>
      </c>
      <c r="D294" s="1">
        <v>45944.333333333336</v>
      </c>
      <c r="E294">
        <v>2564.6438624388134</v>
      </c>
      <c r="F294">
        <v>1054.5158837311649</v>
      </c>
      <c r="G294">
        <v>4000.0973108743228</v>
      </c>
      <c r="H294" s="1">
        <v>45930.333333333336</v>
      </c>
    </row>
    <row r="295" spans="1:8" x14ac:dyDescent="0.25">
      <c r="A295" s="7">
        <f>DATE(YEAR(m7_crossvalid[[#This Row],[cutoff]]),MONTH(m7_crossvalid[[#This Row],[cutoff]]),DAY(m7_crossvalid[[#This Row],[cutoff]]))</f>
        <v>45930</v>
      </c>
      <c r="B295" s="7">
        <f>DATE(YEAR(m7_crossvalid[[#This Row],[ds]]),MONTH(m7_crossvalid[[#This Row],[ds]]),DAY(m7_crossvalid[[#This Row],[ds]]))</f>
        <v>45945</v>
      </c>
      <c r="C295">
        <v>3074</v>
      </c>
      <c r="D295" s="1">
        <v>45945.333333333336</v>
      </c>
      <c r="E295">
        <v>2661.0301062372068</v>
      </c>
      <c r="F295">
        <v>1173.0390742654351</v>
      </c>
      <c r="G295">
        <v>4125.1335093423268</v>
      </c>
      <c r="H295" s="1">
        <v>45930.333333333336</v>
      </c>
    </row>
    <row r="296" spans="1:8" x14ac:dyDescent="0.25">
      <c r="A296" s="7">
        <f>DATE(YEAR(m7_crossvalid[[#This Row],[cutoff]]),MONTH(m7_crossvalid[[#This Row],[cutoff]]),DAY(m7_crossvalid[[#This Row],[cutoff]]))</f>
        <v>45930</v>
      </c>
      <c r="B296" s="7">
        <f>DATE(YEAR(m7_crossvalid[[#This Row],[ds]]),MONTH(m7_crossvalid[[#This Row],[ds]]),DAY(m7_crossvalid[[#This Row],[ds]]))</f>
        <v>45946</v>
      </c>
      <c r="C296">
        <v>3505</v>
      </c>
      <c r="D296" s="1">
        <v>45946.333333333336</v>
      </c>
      <c r="E296">
        <v>2766.96566777927</v>
      </c>
      <c r="F296">
        <v>1291.4790482574347</v>
      </c>
      <c r="G296">
        <v>4258.0548752124159</v>
      </c>
      <c r="H296" s="1">
        <v>45930.333333333336</v>
      </c>
    </row>
    <row r="297" spans="1:8" x14ac:dyDescent="0.25">
      <c r="A297" s="7">
        <f>DATE(YEAR(m7_crossvalid[[#This Row],[cutoff]]),MONTH(m7_crossvalid[[#This Row],[cutoff]]),DAY(m7_crossvalid[[#This Row],[cutoff]]))</f>
        <v>45930</v>
      </c>
      <c r="B297" s="7">
        <f>DATE(YEAR(m7_crossvalid[[#This Row],[ds]]),MONTH(m7_crossvalid[[#This Row],[ds]]),DAY(m7_crossvalid[[#This Row],[ds]]))</f>
        <v>45947</v>
      </c>
      <c r="C297">
        <v>3630</v>
      </c>
      <c r="D297" s="1">
        <v>45947.333333333336</v>
      </c>
      <c r="E297">
        <v>2869.656550788673</v>
      </c>
      <c r="F297">
        <v>1435.9621186587676</v>
      </c>
      <c r="G297">
        <v>4277.9524292632259</v>
      </c>
      <c r="H297" s="1">
        <v>45930.333333333336</v>
      </c>
    </row>
    <row r="298" spans="1:8" x14ac:dyDescent="0.25">
      <c r="A298" s="7">
        <f>DATE(YEAR(m7_crossvalid[[#This Row],[cutoff]]),MONTH(m7_crossvalid[[#This Row],[cutoff]]),DAY(m7_crossvalid[[#This Row],[cutoff]]))</f>
        <v>45930</v>
      </c>
      <c r="B298" s="7">
        <f>DATE(YEAR(m7_crossvalid[[#This Row],[ds]]),MONTH(m7_crossvalid[[#This Row],[ds]]),DAY(m7_crossvalid[[#This Row],[ds]]))</f>
        <v>45948</v>
      </c>
      <c r="C298">
        <v>653</v>
      </c>
      <c r="D298" s="1">
        <v>45948.333333333336</v>
      </c>
      <c r="E298">
        <v>708.58160904500824</v>
      </c>
      <c r="F298">
        <v>-783.07729011144511</v>
      </c>
      <c r="G298">
        <v>2151.0061963830804</v>
      </c>
      <c r="H298" s="1">
        <v>45930.333333333336</v>
      </c>
    </row>
    <row r="299" spans="1:8" x14ac:dyDescent="0.25">
      <c r="A299" s="7">
        <f>DATE(YEAR(m7_crossvalid[[#This Row],[cutoff]]),MONTH(m7_crossvalid[[#This Row],[cutoff]]),DAY(m7_crossvalid[[#This Row],[cutoff]]))</f>
        <v>45930</v>
      </c>
      <c r="B299" s="7">
        <f>DATE(YEAR(m7_crossvalid[[#This Row],[ds]]),MONTH(m7_crossvalid[[#This Row],[ds]]),DAY(m7_crossvalid[[#This Row],[ds]]))</f>
        <v>45949</v>
      </c>
      <c r="C299">
        <v>180</v>
      </c>
      <c r="D299" s="1">
        <v>45949.333333333336</v>
      </c>
      <c r="E299">
        <v>181.0946311983646</v>
      </c>
      <c r="F299">
        <v>-1379.8248920293147</v>
      </c>
      <c r="G299">
        <v>1700.9834830984664</v>
      </c>
      <c r="H299" s="1">
        <v>45930.333333333336</v>
      </c>
    </row>
    <row r="300" spans="1:8" x14ac:dyDescent="0.25">
      <c r="A300" s="7">
        <f>DATE(YEAR(m7_crossvalid[[#This Row],[cutoff]]),MONTH(m7_crossvalid[[#This Row],[cutoff]]),DAY(m7_crossvalid[[#This Row],[cutoff]]))</f>
        <v>45930</v>
      </c>
      <c r="B300" s="7">
        <f>DATE(YEAR(m7_crossvalid[[#This Row],[ds]]),MONTH(m7_crossvalid[[#This Row],[ds]]),DAY(m7_crossvalid[[#This Row],[ds]]))</f>
        <v>45950</v>
      </c>
      <c r="C300">
        <v>250</v>
      </c>
      <c r="D300" s="1">
        <v>45950.333333333336</v>
      </c>
      <c r="E300">
        <v>1035.3294313631691</v>
      </c>
      <c r="F300">
        <v>-389.8747401023511</v>
      </c>
      <c r="G300">
        <v>2463.3303889506719</v>
      </c>
      <c r="H300" s="1">
        <v>45930.333333333336</v>
      </c>
    </row>
    <row r="301" spans="1:8" x14ac:dyDescent="0.25">
      <c r="A301" s="7">
        <f>DATE(YEAR(m7_crossvalid[[#This Row],[cutoff]]),MONTH(m7_crossvalid[[#This Row],[cutoff]]),DAY(m7_crossvalid[[#This Row],[cutoff]]))</f>
        <v>45930</v>
      </c>
      <c r="B301" s="7">
        <f>DATE(YEAR(m7_crossvalid[[#This Row],[ds]]),MONTH(m7_crossvalid[[#This Row],[ds]]),DAY(m7_crossvalid[[#This Row],[ds]]))</f>
        <v>45951</v>
      </c>
      <c r="C301">
        <v>2797</v>
      </c>
      <c r="D301" s="1">
        <v>45951.333333333336</v>
      </c>
      <c r="E301">
        <v>3152.2975506587068</v>
      </c>
      <c r="F301">
        <v>1740.1029608741908</v>
      </c>
      <c r="G301">
        <v>4498.2251375640362</v>
      </c>
      <c r="H301" s="1">
        <v>45930.333333333336</v>
      </c>
    </row>
    <row r="302" spans="1:8" x14ac:dyDescent="0.25">
      <c r="A302" s="7">
        <f>DATE(YEAR(m7_crossvalid[[#This Row],[cutoff]]),MONTH(m7_crossvalid[[#This Row],[cutoff]]),DAY(m7_crossvalid[[#This Row],[cutoff]]))</f>
        <v>45930</v>
      </c>
      <c r="B302" s="7">
        <f>DATE(YEAR(m7_crossvalid[[#This Row],[ds]]),MONTH(m7_crossvalid[[#This Row],[ds]]),DAY(m7_crossvalid[[#This Row],[ds]]))</f>
        <v>45952</v>
      </c>
      <c r="C302">
        <v>3644</v>
      </c>
      <c r="D302" s="1">
        <v>45952.333333333336</v>
      </c>
      <c r="E302">
        <v>3224.2069067810098</v>
      </c>
      <c r="F302">
        <v>1750.7756029194013</v>
      </c>
      <c r="G302">
        <v>4564.060001853104</v>
      </c>
      <c r="H302" s="1">
        <v>45930.333333333336</v>
      </c>
    </row>
    <row r="303" spans="1:8" x14ac:dyDescent="0.25">
      <c r="A303" s="7">
        <f>DATE(YEAR(m7_crossvalid[[#This Row],[cutoff]]),MONTH(m7_crossvalid[[#This Row],[cutoff]]),DAY(m7_crossvalid[[#This Row],[cutoff]]))</f>
        <v>45930</v>
      </c>
      <c r="B303" s="7">
        <f>DATE(YEAR(m7_crossvalid[[#This Row],[ds]]),MONTH(m7_crossvalid[[#This Row],[ds]]),DAY(m7_crossvalid[[#This Row],[ds]]))</f>
        <v>45953</v>
      </c>
      <c r="C303">
        <v>4009</v>
      </c>
      <c r="D303" s="1">
        <v>45953.333333333336</v>
      </c>
      <c r="E303">
        <v>3390.4663610949196</v>
      </c>
      <c r="F303">
        <v>1870.0196006272108</v>
      </c>
      <c r="G303">
        <v>4849.7853079539282</v>
      </c>
      <c r="H303" s="1">
        <v>45930.333333333336</v>
      </c>
    </row>
    <row r="304" spans="1:8" x14ac:dyDescent="0.25">
      <c r="A304" s="7">
        <f>DATE(YEAR(m7_crossvalid[[#This Row],[cutoff]]),MONTH(m7_crossvalid[[#This Row],[cutoff]]),DAY(m7_crossvalid[[#This Row],[cutoff]]))</f>
        <v>45930</v>
      </c>
      <c r="B304" s="7">
        <f>DATE(YEAR(m7_crossvalid[[#This Row],[ds]]),MONTH(m7_crossvalid[[#This Row],[ds]]),DAY(m7_crossvalid[[#This Row],[ds]]))</f>
        <v>45954</v>
      </c>
      <c r="C304">
        <v>4008</v>
      </c>
      <c r="D304" s="1">
        <v>45954.333333333336</v>
      </c>
      <c r="E304">
        <v>3493.6293917052317</v>
      </c>
      <c r="F304">
        <v>2053.3162862469162</v>
      </c>
      <c r="G304">
        <v>4861.8265183199228</v>
      </c>
      <c r="H304" s="1">
        <v>45930.333333333336</v>
      </c>
    </row>
    <row r="305" spans="1:8" x14ac:dyDescent="0.25">
      <c r="A305" s="7">
        <f>DATE(YEAR(m7_crossvalid[[#This Row],[cutoff]]),MONTH(m7_crossvalid[[#This Row],[cutoff]]),DAY(m7_crossvalid[[#This Row],[cutoff]]))</f>
        <v>45930</v>
      </c>
      <c r="B305" s="7">
        <f>DATE(YEAR(m7_crossvalid[[#This Row],[ds]]),MONTH(m7_crossvalid[[#This Row],[ds]]),DAY(m7_crossvalid[[#This Row],[ds]]))</f>
        <v>45955</v>
      </c>
      <c r="C305">
        <v>971</v>
      </c>
      <c r="D305" s="1">
        <v>45955.333333333336</v>
      </c>
      <c r="E305">
        <v>1917.9213649968606</v>
      </c>
      <c r="F305">
        <v>493.29007875894422</v>
      </c>
      <c r="G305">
        <v>3378.7279716603875</v>
      </c>
      <c r="H305" s="1">
        <v>45930.333333333336</v>
      </c>
    </row>
    <row r="306" spans="1:8" x14ac:dyDescent="0.25">
      <c r="A306" s="7">
        <f>DATE(YEAR(m7_crossvalid[[#This Row],[cutoff]]),MONTH(m7_crossvalid[[#This Row],[cutoff]]),DAY(m7_crossvalid[[#This Row],[cutoff]]))</f>
        <v>45930</v>
      </c>
      <c r="B306" s="7">
        <f>DATE(YEAR(m7_crossvalid[[#This Row],[ds]]),MONTH(m7_crossvalid[[#This Row],[ds]]),DAY(m7_crossvalid[[#This Row],[ds]]))</f>
        <v>45956</v>
      </c>
      <c r="C306">
        <v>238</v>
      </c>
      <c r="D306" s="1">
        <v>45956.333333333336</v>
      </c>
      <c r="E306">
        <v>1258.823384203009</v>
      </c>
      <c r="F306">
        <v>-240.66033375439554</v>
      </c>
      <c r="G306">
        <v>2640.6371431995472</v>
      </c>
      <c r="H306" s="1">
        <v>45930.333333333336</v>
      </c>
    </row>
    <row r="307" spans="1:8" x14ac:dyDescent="0.25">
      <c r="A307" s="7">
        <f>DATE(YEAR(m7_crossvalid[[#This Row],[cutoff]]),MONTH(m7_crossvalid[[#This Row],[cutoff]]),DAY(m7_crossvalid[[#This Row],[cutoff]]))</f>
        <v>45930</v>
      </c>
      <c r="B307" s="7">
        <f>DATE(YEAR(m7_crossvalid[[#This Row],[ds]]),MONTH(m7_crossvalid[[#This Row],[ds]]),DAY(m7_crossvalid[[#This Row],[ds]]))</f>
        <v>45957</v>
      </c>
      <c r="C307">
        <v>4219</v>
      </c>
      <c r="D307" s="1">
        <v>45957.333333333336</v>
      </c>
      <c r="E307">
        <v>4024.0267193533141</v>
      </c>
      <c r="F307">
        <v>2543.2069636111419</v>
      </c>
      <c r="G307">
        <v>5551.7054782482219</v>
      </c>
      <c r="H307" s="1">
        <v>45930.333333333336</v>
      </c>
    </row>
    <row r="308" spans="1:8" x14ac:dyDescent="0.25">
      <c r="A308" s="7">
        <f>DATE(YEAR(m7_crossvalid[[#This Row],[cutoff]]),MONTH(m7_crossvalid[[#This Row],[cutoff]]),DAY(m7_crossvalid[[#This Row],[cutoff]]))</f>
        <v>45930</v>
      </c>
      <c r="B308" s="7">
        <f>DATE(YEAR(m7_crossvalid[[#This Row],[ds]]),MONTH(m7_crossvalid[[#This Row],[ds]]),DAY(m7_crossvalid[[#This Row],[ds]]))</f>
        <v>45958</v>
      </c>
      <c r="C308">
        <v>5659</v>
      </c>
      <c r="D308" s="1">
        <v>45958.333333333336</v>
      </c>
      <c r="E308">
        <v>4753.1257523022723</v>
      </c>
      <c r="F308">
        <v>3412.0213879348703</v>
      </c>
      <c r="G308">
        <v>6219.4828960650702</v>
      </c>
      <c r="H308" s="1">
        <v>45930.333333333336</v>
      </c>
    </row>
    <row r="309" spans="1:8" x14ac:dyDescent="0.25">
      <c r="A309" s="7">
        <f>DATE(YEAR(m7_crossvalid[[#This Row],[cutoff]]),MONTH(m7_crossvalid[[#This Row],[cutoff]]),DAY(m7_crossvalid[[#This Row],[cutoff]]))</f>
        <v>45930</v>
      </c>
      <c r="B309" s="7">
        <f>DATE(YEAR(m7_crossvalid[[#This Row],[ds]]),MONTH(m7_crossvalid[[#This Row],[ds]]),DAY(m7_crossvalid[[#This Row],[ds]]))</f>
        <v>45959</v>
      </c>
      <c r="C309">
        <v>6381</v>
      </c>
      <c r="D309" s="1">
        <v>45959.333333333336</v>
      </c>
      <c r="E309">
        <v>5363.3568938046683</v>
      </c>
      <c r="F309">
        <v>3906.6089021165894</v>
      </c>
      <c r="G309">
        <v>6788.4083011358434</v>
      </c>
      <c r="H309" s="1">
        <v>45930.333333333336</v>
      </c>
    </row>
    <row r="310" spans="1:8" x14ac:dyDescent="0.25">
      <c r="A310" s="7">
        <f>DATE(YEAR(m7_crossvalid[[#This Row],[cutoff]]),MONTH(m7_crossvalid[[#This Row],[cutoff]]),DAY(m7_crossvalid[[#This Row],[cutoff]]))</f>
        <v>45930</v>
      </c>
      <c r="B310" s="7">
        <f>DATE(YEAR(m7_crossvalid[[#This Row],[ds]]),MONTH(m7_crossvalid[[#This Row],[ds]]),DAY(m7_crossvalid[[#This Row],[ds]]))</f>
        <v>45960</v>
      </c>
      <c r="C310">
        <v>7936</v>
      </c>
      <c r="D310" s="1">
        <v>45960.333333333336</v>
      </c>
      <c r="E310">
        <v>7882.2911158096431</v>
      </c>
      <c r="F310">
        <v>6455.7863921505232</v>
      </c>
      <c r="G310">
        <v>9308.251770998213</v>
      </c>
      <c r="H310" s="1">
        <v>45930.333333333336</v>
      </c>
    </row>
    <row r="311" spans="1:8" x14ac:dyDescent="0.25">
      <c r="A311" s="7">
        <f>DATE(YEAR(m7_crossvalid[[#This Row],[cutoff]]),MONTH(m7_crossvalid[[#This Row],[cutoff]]),DAY(m7_crossvalid[[#This Row],[cutoff]]))</f>
        <v>45930</v>
      </c>
      <c r="B311" s="7">
        <f>DATE(YEAR(m7_crossvalid[[#This Row],[ds]]),MONTH(m7_crossvalid[[#This Row],[ds]]),DAY(m7_crossvalid[[#This Row],[ds]]))</f>
        <v>45961</v>
      </c>
      <c r="C311">
        <v>13386</v>
      </c>
      <c r="D311" s="1">
        <v>45961.333333333336</v>
      </c>
      <c r="E311">
        <v>9762.6816966331589</v>
      </c>
      <c r="F311">
        <v>8202.0362607059396</v>
      </c>
      <c r="G311">
        <v>11133.957088449231</v>
      </c>
      <c r="H311" s="1">
        <v>45930.333333333336</v>
      </c>
    </row>
    <row r="312" spans="1:8" x14ac:dyDescent="0.25">
      <c r="A312" s="7">
        <f>DATE(YEAR(m7_crossvalid[[#This Row],[cutoff]]),MONTH(m7_crossvalid[[#This Row],[cutoff]]),DAY(m7_crossvalid[[#This Row],[cutoff]]))</f>
        <v>45961</v>
      </c>
      <c r="B312" s="7">
        <f>DATE(YEAR(m7_crossvalid[[#This Row],[ds]]),MONTH(m7_crossvalid[[#This Row],[ds]]),DAY(m7_crossvalid[[#This Row],[ds]]))</f>
        <v>45962</v>
      </c>
      <c r="C312">
        <v>104</v>
      </c>
      <c r="D312" s="1">
        <v>45962.333333333336</v>
      </c>
      <c r="E312">
        <v>-68.264558317828232</v>
      </c>
      <c r="F312">
        <v>-1441.5413699676515</v>
      </c>
      <c r="G312">
        <v>1493.8837750865389</v>
      </c>
      <c r="H312" s="1">
        <v>45961.333333333336</v>
      </c>
    </row>
    <row r="313" spans="1:8" x14ac:dyDescent="0.25">
      <c r="A313" s="7">
        <f>DATE(YEAR(m7_crossvalid[[#This Row],[cutoff]]),MONTH(m7_crossvalid[[#This Row],[cutoff]]),DAY(m7_crossvalid[[#This Row],[cutoff]]))</f>
        <v>45961</v>
      </c>
      <c r="B313" s="7">
        <f>DATE(YEAR(m7_crossvalid[[#This Row],[ds]]),MONTH(m7_crossvalid[[#This Row],[ds]]),DAY(m7_crossvalid[[#This Row],[ds]]))</f>
        <v>45963</v>
      </c>
      <c r="C313">
        <v>32</v>
      </c>
      <c r="D313" s="1">
        <v>45963.333333333336</v>
      </c>
      <c r="E313">
        <v>-1175.1304369086197</v>
      </c>
      <c r="F313">
        <v>-2632.7421752736441</v>
      </c>
      <c r="G313">
        <v>356.2807624980054</v>
      </c>
      <c r="H313" s="1">
        <v>45961.333333333336</v>
      </c>
    </row>
    <row r="314" spans="1:8" x14ac:dyDescent="0.25">
      <c r="A314" s="7">
        <f>DATE(YEAR(m7_crossvalid[[#This Row],[cutoff]]),MONTH(m7_crossvalid[[#This Row],[cutoff]]),DAY(m7_crossvalid[[#This Row],[cutoff]]))</f>
        <v>45961</v>
      </c>
      <c r="B314" s="7">
        <f>DATE(YEAR(m7_crossvalid[[#This Row],[ds]]),MONTH(m7_crossvalid[[#This Row],[ds]]),DAY(m7_crossvalid[[#This Row],[ds]]))</f>
        <v>45964</v>
      </c>
      <c r="C314">
        <v>607</v>
      </c>
      <c r="D314" s="1">
        <v>45964.333333333336</v>
      </c>
      <c r="E314">
        <v>1566.1846974842138</v>
      </c>
      <c r="F314">
        <v>155.37171478470674</v>
      </c>
      <c r="G314">
        <v>2964.8020538333467</v>
      </c>
      <c r="H314" s="1">
        <v>45961.333333333336</v>
      </c>
    </row>
    <row r="315" spans="1:8" x14ac:dyDescent="0.25">
      <c r="A315" s="7">
        <f>DATE(YEAR(m7_crossvalid[[#This Row],[cutoff]]),MONTH(m7_crossvalid[[#This Row],[cutoff]]),DAY(m7_crossvalid[[#This Row],[cutoff]]))</f>
        <v>45961</v>
      </c>
      <c r="B315" s="7">
        <f>DATE(YEAR(m7_crossvalid[[#This Row],[ds]]),MONTH(m7_crossvalid[[#This Row],[ds]]),DAY(m7_crossvalid[[#This Row],[ds]]))</f>
        <v>45965</v>
      </c>
      <c r="C315">
        <v>821</v>
      </c>
      <c r="D315" s="1">
        <v>45965.333333333336</v>
      </c>
      <c r="E315">
        <v>1799.2435062607469</v>
      </c>
      <c r="F315">
        <v>464.50075975609798</v>
      </c>
      <c r="G315">
        <v>3262.3759473254058</v>
      </c>
      <c r="H315" s="1">
        <v>45961.333333333336</v>
      </c>
    </row>
    <row r="316" spans="1:8" x14ac:dyDescent="0.25">
      <c r="A316" s="7">
        <f>DATE(YEAR(m7_crossvalid[[#This Row],[cutoff]]),MONTH(m7_crossvalid[[#This Row],[cutoff]]),DAY(m7_crossvalid[[#This Row],[cutoff]]))</f>
        <v>45961</v>
      </c>
      <c r="B316" s="7">
        <f>DATE(YEAR(m7_crossvalid[[#This Row],[ds]]),MONTH(m7_crossvalid[[#This Row],[ds]]),DAY(m7_crossvalid[[#This Row],[ds]]))</f>
        <v>45966</v>
      </c>
      <c r="C316">
        <v>1032</v>
      </c>
      <c r="D316" s="1">
        <v>45966.333333333336</v>
      </c>
      <c r="E316">
        <v>1869.9758450720428</v>
      </c>
      <c r="F316">
        <v>398.27623684530755</v>
      </c>
      <c r="G316">
        <v>3265.3040280361552</v>
      </c>
      <c r="H316" s="1">
        <v>45961.333333333336</v>
      </c>
    </row>
    <row r="317" spans="1:8" x14ac:dyDescent="0.25">
      <c r="A317" s="7">
        <f>DATE(YEAR(m7_crossvalid[[#This Row],[cutoff]]),MONTH(m7_crossvalid[[#This Row],[cutoff]]),DAY(m7_crossvalid[[#This Row],[cutoff]]))</f>
        <v>45961</v>
      </c>
      <c r="B317" s="7">
        <f>DATE(YEAR(m7_crossvalid[[#This Row],[ds]]),MONTH(m7_crossvalid[[#This Row],[ds]]),DAY(m7_crossvalid[[#This Row],[ds]]))</f>
        <v>45967</v>
      </c>
      <c r="C317">
        <v>1396</v>
      </c>
      <c r="D317" s="1">
        <v>45967.333333333336</v>
      </c>
      <c r="E317">
        <v>1985.6203428304618</v>
      </c>
      <c r="F317">
        <v>556.75019850487365</v>
      </c>
      <c r="G317">
        <v>3452.5491784925875</v>
      </c>
      <c r="H317" s="1">
        <v>45961.333333333336</v>
      </c>
    </row>
    <row r="318" spans="1:8" x14ac:dyDescent="0.25">
      <c r="A318" s="7">
        <f>DATE(YEAR(m7_crossvalid[[#This Row],[cutoff]]),MONTH(m7_crossvalid[[#This Row],[cutoff]]),DAY(m7_crossvalid[[#This Row],[cutoff]]))</f>
        <v>45961</v>
      </c>
      <c r="B318" s="7">
        <f>DATE(YEAR(m7_crossvalid[[#This Row],[ds]]),MONTH(m7_crossvalid[[#This Row],[ds]]),DAY(m7_crossvalid[[#This Row],[ds]]))</f>
        <v>45968</v>
      </c>
      <c r="C318">
        <v>1612</v>
      </c>
      <c r="D318" s="1">
        <v>45968.333333333336</v>
      </c>
      <c r="E318">
        <v>1910.9309421329772</v>
      </c>
      <c r="F318">
        <v>356.06581113129545</v>
      </c>
      <c r="G318">
        <v>3408.5182698258977</v>
      </c>
      <c r="H318" s="1">
        <v>45961.333333333336</v>
      </c>
    </row>
    <row r="319" spans="1:8" x14ac:dyDescent="0.25">
      <c r="A319" s="7">
        <f>DATE(YEAR(m7_crossvalid[[#This Row],[cutoff]]),MONTH(m7_crossvalid[[#This Row],[cutoff]]),DAY(m7_crossvalid[[#This Row],[cutoff]]))</f>
        <v>45961</v>
      </c>
      <c r="B319" s="7">
        <f>DATE(YEAR(m7_crossvalid[[#This Row],[ds]]),MONTH(m7_crossvalid[[#This Row],[ds]]),DAY(m7_crossvalid[[#This Row],[ds]]))</f>
        <v>45969</v>
      </c>
      <c r="C319">
        <v>206</v>
      </c>
      <c r="D319" s="1">
        <v>45969.333333333336</v>
      </c>
      <c r="E319">
        <v>237.66142953163649</v>
      </c>
      <c r="F319">
        <v>-1110.7934524496877</v>
      </c>
      <c r="G319">
        <v>1751.6148854377777</v>
      </c>
      <c r="H319" s="1">
        <v>45961.333333333336</v>
      </c>
    </row>
    <row r="320" spans="1:8" x14ac:dyDescent="0.25">
      <c r="A320" s="7">
        <f>DATE(YEAR(m7_crossvalid[[#This Row],[cutoff]]),MONTH(m7_crossvalid[[#This Row],[cutoff]]),DAY(m7_crossvalid[[#This Row],[cutoff]]))</f>
        <v>45961</v>
      </c>
      <c r="B320" s="7">
        <f>DATE(YEAR(m7_crossvalid[[#This Row],[ds]]),MONTH(m7_crossvalid[[#This Row],[ds]]),DAY(m7_crossvalid[[#This Row],[ds]]))</f>
        <v>45970</v>
      </c>
      <c r="C320">
        <v>95</v>
      </c>
      <c r="D320" s="1">
        <v>45970.333333333336</v>
      </c>
      <c r="E320">
        <v>-439.27604587618998</v>
      </c>
      <c r="F320">
        <v>-1865.8980871744736</v>
      </c>
      <c r="G320">
        <v>919.16632653248007</v>
      </c>
      <c r="H320" s="1">
        <v>45961.333333333336</v>
      </c>
    </row>
    <row r="321" spans="1:8" x14ac:dyDescent="0.25">
      <c r="A321" s="7">
        <f>DATE(YEAR(m7_crossvalid[[#This Row],[cutoff]]),MONTH(m7_crossvalid[[#This Row],[cutoff]]),DAY(m7_crossvalid[[#This Row],[cutoff]]))</f>
        <v>45961</v>
      </c>
      <c r="B321" s="7">
        <f>DATE(YEAR(m7_crossvalid[[#This Row],[ds]]),MONTH(m7_crossvalid[[#This Row],[ds]]),DAY(m7_crossvalid[[#This Row],[ds]]))</f>
        <v>45971</v>
      </c>
      <c r="C321">
        <v>1552</v>
      </c>
      <c r="D321" s="1">
        <v>45971.333333333336</v>
      </c>
      <c r="E321">
        <v>2012.9038661555903</v>
      </c>
      <c r="F321">
        <v>490.25823573787278</v>
      </c>
      <c r="G321">
        <v>3423.4913887754501</v>
      </c>
      <c r="H321" s="1">
        <v>45961.333333333336</v>
      </c>
    </row>
    <row r="322" spans="1:8" x14ac:dyDescent="0.25">
      <c r="A322" s="7">
        <f>DATE(YEAR(m7_crossvalid[[#This Row],[cutoff]]),MONTH(m7_crossvalid[[#This Row],[cutoff]]),DAY(m7_crossvalid[[#This Row],[cutoff]]))</f>
        <v>45961</v>
      </c>
      <c r="B322" s="7">
        <f>DATE(YEAR(m7_crossvalid[[#This Row],[ds]]),MONTH(m7_crossvalid[[#This Row],[ds]]),DAY(m7_crossvalid[[#This Row],[ds]]))</f>
        <v>45972</v>
      </c>
      <c r="C322">
        <v>1937</v>
      </c>
      <c r="D322" s="1">
        <v>45972.333333333336</v>
      </c>
      <c r="E322">
        <v>2430.6271087358659</v>
      </c>
      <c r="F322">
        <v>983.49464477395748</v>
      </c>
      <c r="G322">
        <v>3923.4271320188759</v>
      </c>
      <c r="H322" s="1">
        <v>45961.333333333336</v>
      </c>
    </row>
    <row r="323" spans="1:8" x14ac:dyDescent="0.25">
      <c r="A323" s="7">
        <f>DATE(YEAR(m7_crossvalid[[#This Row],[cutoff]]),MONTH(m7_crossvalid[[#This Row],[cutoff]]),DAY(m7_crossvalid[[#This Row],[cutoff]]))</f>
        <v>45961</v>
      </c>
      <c r="B323" s="7">
        <f>DATE(YEAR(m7_crossvalid[[#This Row],[ds]]),MONTH(m7_crossvalid[[#This Row],[ds]]),DAY(m7_crossvalid[[#This Row],[ds]]))</f>
        <v>45973</v>
      </c>
      <c r="C323">
        <v>2198</v>
      </c>
      <c r="D323" s="1">
        <v>45973.333333333336</v>
      </c>
      <c r="E323">
        <v>2671.9663773788452</v>
      </c>
      <c r="F323">
        <v>1248.3119957508525</v>
      </c>
      <c r="G323">
        <v>4075.2059580471487</v>
      </c>
      <c r="H323" s="1">
        <v>45961.333333333336</v>
      </c>
    </row>
    <row r="324" spans="1:8" x14ac:dyDescent="0.25">
      <c r="A324" s="7">
        <f>DATE(YEAR(m7_crossvalid[[#This Row],[cutoff]]),MONTH(m7_crossvalid[[#This Row],[cutoff]]),DAY(m7_crossvalid[[#This Row],[cutoff]]))</f>
        <v>45961</v>
      </c>
      <c r="B324" s="7">
        <f>DATE(YEAR(m7_crossvalid[[#This Row],[ds]]),MONTH(m7_crossvalid[[#This Row],[ds]]),DAY(m7_crossvalid[[#This Row],[ds]]))</f>
        <v>45974</v>
      </c>
      <c r="C324">
        <v>2401</v>
      </c>
      <c r="D324" s="1">
        <v>45974.333333333336</v>
      </c>
      <c r="E324">
        <v>2747.0877784133741</v>
      </c>
      <c r="F324">
        <v>1175.0580692812214</v>
      </c>
      <c r="G324">
        <v>4247.5838496317774</v>
      </c>
      <c r="H324" s="1">
        <v>45961.333333333336</v>
      </c>
    </row>
    <row r="325" spans="1:8" x14ac:dyDescent="0.25">
      <c r="A325" s="7">
        <f>DATE(YEAR(m7_crossvalid[[#This Row],[cutoff]]),MONTH(m7_crossvalid[[#This Row],[cutoff]]),DAY(m7_crossvalid[[#This Row],[cutoff]]))</f>
        <v>45961</v>
      </c>
      <c r="B325" s="7">
        <f>DATE(YEAR(m7_crossvalid[[#This Row],[ds]]),MONTH(m7_crossvalid[[#This Row],[ds]]),DAY(m7_crossvalid[[#This Row],[ds]]))</f>
        <v>45975</v>
      </c>
      <c r="C325">
        <v>2547</v>
      </c>
      <c r="D325" s="1">
        <v>45975.333333333336</v>
      </c>
      <c r="E325">
        <v>2728.1786924844932</v>
      </c>
      <c r="F325">
        <v>1220.0289729764791</v>
      </c>
      <c r="G325">
        <v>4235.0986570532932</v>
      </c>
      <c r="H325" s="1">
        <v>45961.333333333336</v>
      </c>
    </row>
    <row r="326" spans="1:8" x14ac:dyDescent="0.25">
      <c r="A326" s="7">
        <f>DATE(YEAR(m7_crossvalid[[#This Row],[cutoff]]),MONTH(m7_crossvalid[[#This Row],[cutoff]]),DAY(m7_crossvalid[[#This Row],[cutoff]]))</f>
        <v>45961</v>
      </c>
      <c r="B326" s="7">
        <f>DATE(YEAR(m7_crossvalid[[#This Row],[ds]]),MONTH(m7_crossvalid[[#This Row],[ds]]),DAY(m7_crossvalid[[#This Row],[ds]]))</f>
        <v>45976</v>
      </c>
      <c r="C326">
        <v>773</v>
      </c>
      <c r="D326" s="1">
        <v>45976.333333333336</v>
      </c>
      <c r="E326">
        <v>499.67312996962801</v>
      </c>
      <c r="F326">
        <v>-898.92462448865535</v>
      </c>
      <c r="G326">
        <v>2023.6860741407711</v>
      </c>
      <c r="H326" s="1">
        <v>45961.333333333336</v>
      </c>
    </row>
    <row r="327" spans="1:8" x14ac:dyDescent="0.25">
      <c r="A327" s="7">
        <f>DATE(YEAR(m7_crossvalid[[#This Row],[cutoff]]),MONTH(m7_crossvalid[[#This Row],[cutoff]]),DAY(m7_crossvalid[[#This Row],[cutoff]]))</f>
        <v>45961</v>
      </c>
      <c r="B327" s="7">
        <f>DATE(YEAR(m7_crossvalid[[#This Row],[ds]]),MONTH(m7_crossvalid[[#This Row],[ds]]),DAY(m7_crossvalid[[#This Row],[ds]]))</f>
        <v>45977</v>
      </c>
      <c r="C327">
        <v>113</v>
      </c>
      <c r="D327" s="1">
        <v>45977.333333333336</v>
      </c>
      <c r="E327">
        <v>84.794536240532125</v>
      </c>
      <c r="F327">
        <v>-1457.8786628579128</v>
      </c>
      <c r="G327">
        <v>1486.0338095655525</v>
      </c>
      <c r="H327" s="1">
        <v>45961.333333333336</v>
      </c>
    </row>
    <row r="328" spans="1:8" x14ac:dyDescent="0.25">
      <c r="A328" s="7">
        <f>DATE(YEAR(m7_crossvalid[[#This Row],[cutoff]]),MONTH(m7_crossvalid[[#This Row],[cutoff]]),DAY(m7_crossvalid[[#This Row],[cutoff]]))</f>
        <v>45961</v>
      </c>
      <c r="B328" s="7">
        <f>DATE(YEAR(m7_crossvalid[[#This Row],[ds]]),MONTH(m7_crossvalid[[#This Row],[ds]]),DAY(m7_crossvalid[[#This Row],[ds]]))</f>
        <v>45978</v>
      </c>
      <c r="C328">
        <v>2849</v>
      </c>
      <c r="D328" s="1">
        <v>45978.333333333336</v>
      </c>
      <c r="E328">
        <v>2752.1052311425969</v>
      </c>
      <c r="F328">
        <v>1301.009203444831</v>
      </c>
      <c r="G328">
        <v>4279.867320705428</v>
      </c>
      <c r="H328" s="1">
        <v>45961.333333333336</v>
      </c>
    </row>
    <row r="329" spans="1:8" x14ac:dyDescent="0.25">
      <c r="A329" s="7">
        <f>DATE(YEAR(m7_crossvalid[[#This Row],[cutoff]]),MONTH(m7_crossvalid[[#This Row],[cutoff]]),DAY(m7_crossvalid[[#This Row],[cutoff]]))</f>
        <v>45961</v>
      </c>
      <c r="B329" s="7">
        <f>DATE(YEAR(m7_crossvalid[[#This Row],[ds]]),MONTH(m7_crossvalid[[#This Row],[ds]]),DAY(m7_crossvalid[[#This Row],[ds]]))</f>
        <v>45979</v>
      </c>
      <c r="C329">
        <v>3351</v>
      </c>
      <c r="D329" s="1">
        <v>45979.333333333336</v>
      </c>
      <c r="E329">
        <v>3065.7197630347455</v>
      </c>
      <c r="F329">
        <v>1558.9002142815873</v>
      </c>
      <c r="G329">
        <v>4512.7573242944018</v>
      </c>
      <c r="H329" s="1">
        <v>45961.333333333336</v>
      </c>
    </row>
    <row r="330" spans="1:8" x14ac:dyDescent="0.25">
      <c r="A330" s="7">
        <f>DATE(YEAR(m7_crossvalid[[#This Row],[cutoff]]),MONTH(m7_crossvalid[[#This Row],[cutoff]]),DAY(m7_crossvalid[[#This Row],[cutoff]]))</f>
        <v>45961</v>
      </c>
      <c r="B330" s="7">
        <f>DATE(YEAR(m7_crossvalid[[#This Row],[ds]]),MONTH(m7_crossvalid[[#This Row],[ds]]),DAY(m7_crossvalid[[#This Row],[ds]]))</f>
        <v>45980</v>
      </c>
      <c r="C330">
        <v>3248</v>
      </c>
      <c r="D330" s="1">
        <v>45980.333333333336</v>
      </c>
      <c r="E330">
        <v>3132.6319508915471</v>
      </c>
      <c r="F330">
        <v>1595.1346481158844</v>
      </c>
      <c r="G330">
        <v>4555.371602382912</v>
      </c>
      <c r="H330" s="1">
        <v>45961.333333333336</v>
      </c>
    </row>
    <row r="331" spans="1:8" x14ac:dyDescent="0.25">
      <c r="A331" s="7">
        <f>DATE(YEAR(m7_crossvalid[[#This Row],[cutoff]]),MONTH(m7_crossvalid[[#This Row],[cutoff]]),DAY(m7_crossvalid[[#This Row],[cutoff]]))</f>
        <v>45961</v>
      </c>
      <c r="B331" s="7">
        <f>DATE(YEAR(m7_crossvalid[[#This Row],[ds]]),MONTH(m7_crossvalid[[#This Row],[ds]]),DAY(m7_crossvalid[[#This Row],[ds]]))</f>
        <v>45981</v>
      </c>
      <c r="C331">
        <v>3581</v>
      </c>
      <c r="D331" s="1">
        <v>45981.333333333336</v>
      </c>
      <c r="E331">
        <v>3253.2373956816982</v>
      </c>
      <c r="F331">
        <v>1907.4354919480024</v>
      </c>
      <c r="G331">
        <v>4659.7005277376547</v>
      </c>
      <c r="H331" s="1">
        <v>45961.333333333336</v>
      </c>
    </row>
    <row r="332" spans="1:8" x14ac:dyDescent="0.25">
      <c r="A332" s="7">
        <f>DATE(YEAR(m7_crossvalid[[#This Row],[cutoff]]),MONTH(m7_crossvalid[[#This Row],[cutoff]]),DAY(m7_crossvalid[[#This Row],[cutoff]]))</f>
        <v>45961</v>
      </c>
      <c r="B332" s="7">
        <f>DATE(YEAR(m7_crossvalid[[#This Row],[ds]]),MONTH(m7_crossvalid[[#This Row],[ds]]),DAY(m7_crossvalid[[#This Row],[ds]]))</f>
        <v>45982</v>
      </c>
      <c r="C332">
        <v>3622</v>
      </c>
      <c r="D332" s="1">
        <v>45982.333333333336</v>
      </c>
      <c r="E332">
        <v>3249.6397852944374</v>
      </c>
      <c r="F332">
        <v>1856.4447813638153</v>
      </c>
      <c r="G332">
        <v>4755.5947722850869</v>
      </c>
      <c r="H332" s="1">
        <v>45961.333333333336</v>
      </c>
    </row>
    <row r="333" spans="1:8" x14ac:dyDescent="0.25">
      <c r="A333" s="7">
        <f>DATE(YEAR(m7_crossvalid[[#This Row],[cutoff]]),MONTH(m7_crossvalid[[#This Row],[cutoff]]),DAY(m7_crossvalid[[#This Row],[cutoff]]))</f>
        <v>45961</v>
      </c>
      <c r="B333" s="7">
        <f>DATE(YEAR(m7_crossvalid[[#This Row],[ds]]),MONTH(m7_crossvalid[[#This Row],[ds]]),DAY(m7_crossvalid[[#This Row],[ds]]))</f>
        <v>45983</v>
      </c>
      <c r="C333">
        <v>783</v>
      </c>
      <c r="D333" s="1">
        <v>45983.333333333336</v>
      </c>
      <c r="E333">
        <v>1012.0072595200531</v>
      </c>
      <c r="F333">
        <v>-470.36650091382353</v>
      </c>
      <c r="G333">
        <v>2536.5618338201839</v>
      </c>
      <c r="H333" s="1">
        <v>45961.333333333336</v>
      </c>
    </row>
    <row r="334" spans="1:8" x14ac:dyDescent="0.25">
      <c r="A334" s="7">
        <f>DATE(YEAR(m7_crossvalid[[#This Row],[cutoff]]),MONTH(m7_crossvalid[[#This Row],[cutoff]]),DAY(m7_crossvalid[[#This Row],[cutoff]]))</f>
        <v>45961</v>
      </c>
      <c r="B334" s="7">
        <f>DATE(YEAR(m7_crossvalid[[#This Row],[ds]]),MONTH(m7_crossvalid[[#This Row],[ds]]),DAY(m7_crossvalid[[#This Row],[ds]]))</f>
        <v>45984</v>
      </c>
      <c r="C334">
        <v>188</v>
      </c>
      <c r="D334" s="1">
        <v>45984.333333333336</v>
      </c>
      <c r="E334">
        <v>667.74252732693481</v>
      </c>
      <c r="F334">
        <v>-707.58222731027615</v>
      </c>
      <c r="G334">
        <v>2161.6253463924277</v>
      </c>
      <c r="H334" s="1">
        <v>45961.333333333336</v>
      </c>
    </row>
    <row r="335" spans="1:8" x14ac:dyDescent="0.25">
      <c r="A335" s="7">
        <f>DATE(YEAR(m7_crossvalid[[#This Row],[cutoff]]),MONTH(m7_crossvalid[[#This Row],[cutoff]]),DAY(m7_crossvalid[[#This Row],[cutoff]]))</f>
        <v>45961</v>
      </c>
      <c r="B335" s="7">
        <f>DATE(YEAR(m7_crossvalid[[#This Row],[ds]]),MONTH(m7_crossvalid[[#This Row],[ds]]),DAY(m7_crossvalid[[#This Row],[ds]]))</f>
        <v>45985</v>
      </c>
      <c r="C335">
        <v>3515</v>
      </c>
      <c r="D335" s="1">
        <v>45985.333333333336</v>
      </c>
      <c r="E335">
        <v>4008.5034155289468</v>
      </c>
      <c r="F335">
        <v>2586.3262500475716</v>
      </c>
      <c r="G335">
        <v>5536.4805096727314</v>
      </c>
      <c r="H335" s="1">
        <v>45961.333333333336</v>
      </c>
    </row>
    <row r="336" spans="1:8" x14ac:dyDescent="0.25">
      <c r="A336" s="7">
        <f>DATE(YEAR(m7_crossvalid[[#This Row],[cutoff]]),MONTH(m7_crossvalid[[#This Row],[cutoff]]),DAY(m7_crossvalid[[#This Row],[cutoff]]))</f>
        <v>45961</v>
      </c>
      <c r="B336" s="7">
        <f>DATE(YEAR(m7_crossvalid[[#This Row],[ds]]),MONTH(m7_crossvalid[[#This Row],[ds]]),DAY(m7_crossvalid[[#This Row],[ds]]))</f>
        <v>45986</v>
      </c>
      <c r="C336">
        <v>4824</v>
      </c>
      <c r="D336" s="1">
        <v>45986.333333333336</v>
      </c>
      <c r="E336">
        <v>4052.156106577806</v>
      </c>
      <c r="F336">
        <v>2640.457850574905</v>
      </c>
      <c r="G336">
        <v>5604.4153095040392</v>
      </c>
      <c r="H336" s="1">
        <v>45961.333333333336</v>
      </c>
    </row>
    <row r="337" spans="1:8" x14ac:dyDescent="0.25">
      <c r="A337" s="7">
        <f>DATE(YEAR(m7_crossvalid[[#This Row],[cutoff]]),MONTH(m7_crossvalid[[#This Row],[cutoff]]),DAY(m7_crossvalid[[#This Row],[cutoff]]))</f>
        <v>45961</v>
      </c>
      <c r="B337" s="7">
        <f>DATE(YEAR(m7_crossvalid[[#This Row],[ds]]),MONTH(m7_crossvalid[[#This Row],[ds]]),DAY(m7_crossvalid[[#This Row],[ds]]))</f>
        <v>45987</v>
      </c>
      <c r="C337">
        <v>5463</v>
      </c>
      <c r="D337" s="1">
        <v>45987.333333333336</v>
      </c>
      <c r="E337">
        <v>4165.7089362444713</v>
      </c>
      <c r="F337">
        <v>2968.7344349246582</v>
      </c>
      <c r="G337">
        <v>5543.8122392015748</v>
      </c>
      <c r="H337" s="1">
        <v>45961.333333333336</v>
      </c>
    </row>
    <row r="338" spans="1:8" x14ac:dyDescent="0.25">
      <c r="A338" s="7">
        <f>DATE(YEAR(m7_crossvalid[[#This Row],[cutoff]]),MONTH(m7_crossvalid[[#This Row],[cutoff]]),DAY(m7_crossvalid[[#This Row],[cutoff]]))</f>
        <v>45961</v>
      </c>
      <c r="B338" s="7">
        <f>DATE(YEAR(m7_crossvalid[[#This Row],[ds]]),MONTH(m7_crossvalid[[#This Row],[ds]]),DAY(m7_crossvalid[[#This Row],[ds]]))</f>
        <v>45988</v>
      </c>
      <c r="C338">
        <v>7236</v>
      </c>
      <c r="D338" s="1">
        <v>45988.333333333336</v>
      </c>
      <c r="E338">
        <v>4575.7895964328063</v>
      </c>
      <c r="F338">
        <v>3102.2359766108102</v>
      </c>
      <c r="G338">
        <v>5918.4289089225131</v>
      </c>
      <c r="H338" s="1">
        <v>45961.333333333336</v>
      </c>
    </row>
    <row r="339" spans="1:8" x14ac:dyDescent="0.25">
      <c r="A339" s="7">
        <f>DATE(YEAR(m7_crossvalid[[#This Row],[cutoff]]),MONTH(m7_crossvalid[[#This Row],[cutoff]]),DAY(m7_crossvalid[[#This Row],[cutoff]]))</f>
        <v>45961</v>
      </c>
      <c r="B339" s="7">
        <f>DATE(YEAR(m7_crossvalid[[#This Row],[ds]]),MONTH(m7_crossvalid[[#This Row],[ds]]),DAY(m7_crossvalid[[#This Row],[ds]]))</f>
        <v>45989</v>
      </c>
      <c r="C339">
        <v>10013</v>
      </c>
      <c r="D339" s="1">
        <v>45989.333333333336</v>
      </c>
      <c r="E339">
        <v>5043.280210931669</v>
      </c>
      <c r="F339">
        <v>3564.6727409526211</v>
      </c>
      <c r="G339">
        <v>6459.9318480209349</v>
      </c>
      <c r="H339" s="1">
        <v>45961.333333333336</v>
      </c>
    </row>
    <row r="340" spans="1:8" x14ac:dyDescent="0.25">
      <c r="A340" s="7">
        <f>DATE(YEAR(m7_crossvalid[[#This Row],[cutoff]]),MONTH(m7_crossvalid[[#This Row],[cutoff]]),DAY(m7_crossvalid[[#This Row],[cutoff]]))</f>
        <v>45961</v>
      </c>
      <c r="B340" s="7">
        <f>DATE(YEAR(m7_crossvalid[[#This Row],[ds]]),MONTH(m7_crossvalid[[#This Row],[ds]]),DAY(m7_crossvalid[[#This Row],[ds]]))</f>
        <v>45990</v>
      </c>
      <c r="C340">
        <v>8210</v>
      </c>
      <c r="D340" s="1">
        <v>45990.333333333336</v>
      </c>
      <c r="E340">
        <v>5516.4742312687858</v>
      </c>
      <c r="F340">
        <v>4079.1915598634332</v>
      </c>
      <c r="G340">
        <v>7014.876367017152</v>
      </c>
      <c r="H340" s="1">
        <v>45961.333333333336</v>
      </c>
    </row>
    <row r="341" spans="1:8" x14ac:dyDescent="0.25">
      <c r="A341" s="7">
        <f>DATE(YEAR(m7_crossvalid[[#This Row],[cutoff]]),MONTH(m7_crossvalid[[#This Row],[cutoff]]),DAY(m7_crossvalid[[#This Row],[cutoff]]))</f>
        <v>45961</v>
      </c>
      <c r="B341" s="7">
        <f>DATE(YEAR(m7_crossvalid[[#This Row],[ds]]),MONTH(m7_crossvalid[[#This Row],[ds]]),DAY(m7_crossvalid[[#This Row],[ds]]))</f>
        <v>45991</v>
      </c>
      <c r="C341">
        <v>3567</v>
      </c>
      <c r="D341" s="1">
        <v>45991.333333333336</v>
      </c>
      <c r="E341">
        <v>7481.8824372644849</v>
      </c>
      <c r="F341">
        <v>6004.4093991745058</v>
      </c>
      <c r="G341">
        <v>8936.1274315086994</v>
      </c>
      <c r="H341" s="1">
        <v>45961.333333333336</v>
      </c>
    </row>
    <row r="342" spans="1:8" x14ac:dyDescent="0.25">
      <c r="A342" s="7">
        <f>DATE(YEAR(m7_crossvalid[[#This Row],[cutoff]]),MONTH(m7_crossvalid[[#This Row],[cutoff]]),DAY(m7_crossvalid[[#This Row],[cutoff]]))</f>
        <v>45961</v>
      </c>
      <c r="B342" s="7">
        <f>DATE(YEAR(m7_crossvalid[[#This Row],[ds]]),MONTH(m7_crossvalid[[#This Row],[ds]]),DAY(m7_crossvalid[[#This Row],[ds]]))</f>
        <v>45992</v>
      </c>
      <c r="C342">
        <v>659</v>
      </c>
      <c r="D342" s="1">
        <v>45992.333333333336</v>
      </c>
      <c r="E342">
        <v>2259.1810863999194</v>
      </c>
      <c r="F342">
        <v>839.89619231128017</v>
      </c>
      <c r="G342">
        <v>3792.2203049595328</v>
      </c>
      <c r="H342" s="1">
        <v>45961.333333333336</v>
      </c>
    </row>
    <row r="343" spans="1:8" x14ac:dyDescent="0.25">
      <c r="A343" s="7">
        <f>DATE(YEAR(m7_crossvalid[[#This Row],[cutoff]]),MONTH(m7_crossvalid[[#This Row],[cutoff]]),DAY(m7_crossvalid[[#This Row],[cutoff]]))</f>
        <v>45991</v>
      </c>
      <c r="B343" s="7">
        <f>DATE(YEAR(m7_crossvalid[[#This Row],[ds]]),MONTH(m7_crossvalid[[#This Row],[ds]]),DAY(m7_crossvalid[[#This Row],[ds]]))</f>
        <v>45992</v>
      </c>
      <c r="C343">
        <v>659</v>
      </c>
      <c r="D343" s="1">
        <v>45992.333333333336</v>
      </c>
      <c r="E343">
        <v>2363.6295336906055</v>
      </c>
      <c r="F343">
        <v>859.43066073152886</v>
      </c>
      <c r="G343">
        <v>3878.5356962460587</v>
      </c>
      <c r="H343" s="1">
        <v>45991.333333333336</v>
      </c>
    </row>
    <row r="344" spans="1:8" x14ac:dyDescent="0.25">
      <c r="A344" s="7">
        <f>DATE(YEAR(m7_crossvalid[[#This Row],[cutoff]]),MONTH(m7_crossvalid[[#This Row],[cutoff]]),DAY(m7_crossvalid[[#This Row],[cutoff]]))</f>
        <v>45991</v>
      </c>
      <c r="B344" s="7">
        <f>DATE(YEAR(m7_crossvalid[[#This Row],[ds]]),MONTH(m7_crossvalid[[#This Row],[ds]]),DAY(m7_crossvalid[[#This Row],[ds]]))</f>
        <v>45993</v>
      </c>
      <c r="C344">
        <v>963</v>
      </c>
      <c r="D344" s="1">
        <v>45993.333333333336</v>
      </c>
      <c r="E344">
        <v>1793.7356379218702</v>
      </c>
      <c r="F344">
        <v>263.8656577335118</v>
      </c>
      <c r="G344">
        <v>3250.2191893152576</v>
      </c>
      <c r="H344" s="1">
        <v>45991.333333333336</v>
      </c>
    </row>
    <row r="345" spans="1:8" x14ac:dyDescent="0.25">
      <c r="A345" s="7">
        <f>DATE(YEAR(m7_crossvalid[[#This Row],[cutoff]]),MONTH(m7_crossvalid[[#This Row],[cutoff]]),DAY(m7_crossvalid[[#This Row],[cutoff]]))</f>
        <v>45991</v>
      </c>
      <c r="B345" s="7">
        <f>DATE(YEAR(m7_crossvalid[[#This Row],[ds]]),MONTH(m7_crossvalid[[#This Row],[ds]]),DAY(m7_crossvalid[[#This Row],[ds]]))</f>
        <v>45994</v>
      </c>
      <c r="C345">
        <v>1248</v>
      </c>
      <c r="D345" s="1">
        <v>45994.333333333336</v>
      </c>
      <c r="E345">
        <v>1853.7310374386764</v>
      </c>
      <c r="F345">
        <v>330.34308517654443</v>
      </c>
      <c r="G345">
        <v>3239.9872970165616</v>
      </c>
      <c r="H345" s="1">
        <v>45991.333333333336</v>
      </c>
    </row>
    <row r="346" spans="1:8" x14ac:dyDescent="0.25">
      <c r="A346" s="7">
        <f>DATE(YEAR(m7_crossvalid[[#This Row],[cutoff]]),MONTH(m7_crossvalid[[#This Row],[cutoff]]),DAY(m7_crossvalid[[#This Row],[cutoff]]))</f>
        <v>45991</v>
      </c>
      <c r="B346" s="7">
        <f>DATE(YEAR(m7_crossvalid[[#This Row],[ds]]),MONTH(m7_crossvalid[[#This Row],[ds]]),DAY(m7_crossvalid[[#This Row],[ds]]))</f>
        <v>45995</v>
      </c>
      <c r="C346">
        <v>1462</v>
      </c>
      <c r="D346" s="1">
        <v>45995.333333333336</v>
      </c>
      <c r="E346">
        <v>1881.0904262852312</v>
      </c>
      <c r="F346">
        <v>386.70732827514803</v>
      </c>
      <c r="G346">
        <v>3358.9961983364142</v>
      </c>
      <c r="H346" s="1">
        <v>45991.333333333336</v>
      </c>
    </row>
    <row r="347" spans="1:8" x14ac:dyDescent="0.25">
      <c r="A347" s="7">
        <f>DATE(YEAR(m7_crossvalid[[#This Row],[cutoff]]),MONTH(m7_crossvalid[[#This Row],[cutoff]]),DAY(m7_crossvalid[[#This Row],[cutoff]]))</f>
        <v>45991</v>
      </c>
      <c r="B347" s="7">
        <f>DATE(YEAR(m7_crossvalid[[#This Row],[ds]]),MONTH(m7_crossvalid[[#This Row],[ds]]),DAY(m7_crossvalid[[#This Row],[ds]]))</f>
        <v>45996</v>
      </c>
      <c r="C347">
        <v>1441</v>
      </c>
      <c r="D347" s="1">
        <v>45996.333333333336</v>
      </c>
      <c r="E347">
        <v>1842.1210169051169</v>
      </c>
      <c r="F347">
        <v>338.44275321593591</v>
      </c>
      <c r="G347">
        <v>3301.259961509299</v>
      </c>
      <c r="H347" s="1">
        <v>45991.333333333336</v>
      </c>
    </row>
    <row r="348" spans="1:8" x14ac:dyDescent="0.25">
      <c r="A348" s="7">
        <f>DATE(YEAR(m7_crossvalid[[#This Row],[cutoff]]),MONTH(m7_crossvalid[[#This Row],[cutoff]]),DAY(m7_crossvalid[[#This Row],[cutoff]]))</f>
        <v>45991</v>
      </c>
      <c r="B348" s="7">
        <f>DATE(YEAR(m7_crossvalid[[#This Row],[ds]]),MONTH(m7_crossvalid[[#This Row],[ds]]),DAY(m7_crossvalid[[#This Row],[ds]]))</f>
        <v>45997</v>
      </c>
      <c r="C348">
        <v>380</v>
      </c>
      <c r="D348" s="1">
        <v>45997.333333333336</v>
      </c>
      <c r="E348">
        <v>-357.57037144982132</v>
      </c>
      <c r="F348">
        <v>-1904.7053520656193</v>
      </c>
      <c r="G348">
        <v>1056.7807953646791</v>
      </c>
      <c r="H348" s="1">
        <v>45991.333333333336</v>
      </c>
    </row>
    <row r="349" spans="1:8" x14ac:dyDescent="0.25">
      <c r="A349" s="7">
        <f>DATE(YEAR(m7_crossvalid[[#This Row],[cutoff]]),MONTH(m7_crossvalid[[#This Row],[cutoff]]),DAY(m7_crossvalid[[#This Row],[cutoff]]))</f>
        <v>45991</v>
      </c>
      <c r="B349" s="7">
        <f>DATE(YEAR(m7_crossvalid[[#This Row],[ds]]),MONTH(m7_crossvalid[[#This Row],[ds]]),DAY(m7_crossvalid[[#This Row],[ds]]))</f>
        <v>45998</v>
      </c>
      <c r="C349">
        <v>59</v>
      </c>
      <c r="D349" s="1">
        <v>45998.333333333336</v>
      </c>
      <c r="E349">
        <v>-871.05454905433498</v>
      </c>
      <c r="F349">
        <v>-2413.3529695767697</v>
      </c>
      <c r="G349">
        <v>567.09080887603443</v>
      </c>
      <c r="H349" s="1">
        <v>45991.333333333336</v>
      </c>
    </row>
    <row r="350" spans="1:8" x14ac:dyDescent="0.25">
      <c r="A350" s="7">
        <f>DATE(YEAR(m7_crossvalid[[#This Row],[cutoff]]),MONTH(m7_crossvalid[[#This Row],[cutoff]]),DAY(m7_crossvalid[[#This Row],[cutoff]]))</f>
        <v>45991</v>
      </c>
      <c r="B350" s="7">
        <f>DATE(YEAR(m7_crossvalid[[#This Row],[ds]]),MONTH(m7_crossvalid[[#This Row],[ds]]),DAY(m7_crossvalid[[#This Row],[ds]]))</f>
        <v>45999</v>
      </c>
      <c r="C350">
        <v>1698</v>
      </c>
      <c r="D350" s="1">
        <v>45999.333333333336</v>
      </c>
      <c r="E350">
        <v>2377.0417713551033</v>
      </c>
      <c r="F350">
        <v>940.39060804080043</v>
      </c>
      <c r="G350">
        <v>3827.315572857015</v>
      </c>
      <c r="H350" s="1">
        <v>45991.333333333336</v>
      </c>
    </row>
    <row r="351" spans="1:8" x14ac:dyDescent="0.25">
      <c r="A351" s="7">
        <f>DATE(YEAR(m7_crossvalid[[#This Row],[cutoff]]),MONTH(m7_crossvalid[[#This Row],[cutoff]]),DAY(m7_crossvalid[[#This Row],[cutoff]]))</f>
        <v>45991</v>
      </c>
      <c r="B351" s="7">
        <f>DATE(YEAR(m7_crossvalid[[#This Row],[ds]]),MONTH(m7_crossvalid[[#This Row],[ds]]),DAY(m7_crossvalid[[#This Row],[ds]]))</f>
        <v>46000</v>
      </c>
      <c r="C351">
        <v>1924</v>
      </c>
      <c r="D351" s="1">
        <v>46000.333333333336</v>
      </c>
      <c r="E351">
        <v>2563.1845251941927</v>
      </c>
      <c r="F351">
        <v>1213.4230572904137</v>
      </c>
      <c r="G351">
        <v>3998.3415251304682</v>
      </c>
      <c r="H351" s="1">
        <v>45991.333333333336</v>
      </c>
    </row>
    <row r="352" spans="1:8" x14ac:dyDescent="0.25">
      <c r="A352" s="7">
        <f>DATE(YEAR(m7_crossvalid[[#This Row],[cutoff]]),MONTH(m7_crossvalid[[#This Row],[cutoff]]),DAY(m7_crossvalid[[#This Row],[cutoff]]))</f>
        <v>45991</v>
      </c>
      <c r="B352" s="7">
        <f>DATE(YEAR(m7_crossvalid[[#This Row],[ds]]),MONTH(m7_crossvalid[[#This Row],[ds]]),DAY(m7_crossvalid[[#This Row],[ds]]))</f>
        <v>46001</v>
      </c>
      <c r="C352">
        <v>2624</v>
      </c>
      <c r="D352" s="1">
        <v>46001.333333333336</v>
      </c>
      <c r="E352">
        <v>2499.633339907225</v>
      </c>
      <c r="F352">
        <v>1174.7652757046394</v>
      </c>
      <c r="G352">
        <v>3924.2187085463811</v>
      </c>
      <c r="H352" s="1">
        <v>45991.333333333336</v>
      </c>
    </row>
    <row r="353" spans="1:8" x14ac:dyDescent="0.25">
      <c r="A353" s="7">
        <f>DATE(YEAR(m7_crossvalid[[#This Row],[cutoff]]),MONTH(m7_crossvalid[[#This Row],[cutoff]]),DAY(m7_crossvalid[[#This Row],[cutoff]]))</f>
        <v>45991</v>
      </c>
      <c r="B353" s="7">
        <f>DATE(YEAR(m7_crossvalid[[#This Row],[ds]]),MONTH(m7_crossvalid[[#This Row],[ds]]),DAY(m7_crossvalid[[#This Row],[ds]]))</f>
        <v>46002</v>
      </c>
      <c r="C353">
        <v>1853</v>
      </c>
      <c r="D353" s="1">
        <v>46002.333333333336</v>
      </c>
      <c r="E353">
        <v>2605.8344834809964</v>
      </c>
      <c r="F353">
        <v>1057.2009606003771</v>
      </c>
      <c r="G353">
        <v>4056.7802472853646</v>
      </c>
      <c r="H353" s="1">
        <v>45991.333333333336</v>
      </c>
    </row>
    <row r="354" spans="1:8" x14ac:dyDescent="0.25">
      <c r="A354" s="7">
        <f>DATE(YEAR(m7_crossvalid[[#This Row],[cutoff]]),MONTH(m7_crossvalid[[#This Row],[cutoff]]),DAY(m7_crossvalid[[#This Row],[cutoff]]))</f>
        <v>45991</v>
      </c>
      <c r="B354" s="7">
        <f>DATE(YEAR(m7_crossvalid[[#This Row],[ds]]),MONTH(m7_crossvalid[[#This Row],[ds]]),DAY(m7_crossvalid[[#This Row],[ds]]))</f>
        <v>46003</v>
      </c>
      <c r="C354">
        <v>3010</v>
      </c>
      <c r="D354" s="1">
        <v>46003.333333333336</v>
      </c>
      <c r="E354">
        <v>2811.19463858158</v>
      </c>
      <c r="F354">
        <v>1284.2719035313198</v>
      </c>
      <c r="G354">
        <v>4268.1939971786578</v>
      </c>
      <c r="H354" s="1">
        <v>45991.333333333336</v>
      </c>
    </row>
    <row r="355" spans="1:8" x14ac:dyDescent="0.25">
      <c r="A355" s="7">
        <f>DATE(YEAR(m7_crossvalid[[#This Row],[cutoff]]),MONTH(m7_crossvalid[[#This Row],[cutoff]]),DAY(m7_crossvalid[[#This Row],[cutoff]]))</f>
        <v>45991</v>
      </c>
      <c r="B355" s="7">
        <f>DATE(YEAR(m7_crossvalid[[#This Row],[ds]]),MONTH(m7_crossvalid[[#This Row],[ds]]),DAY(m7_crossvalid[[#This Row],[ds]]))</f>
        <v>46004</v>
      </c>
      <c r="C355">
        <v>552</v>
      </c>
      <c r="D355" s="1">
        <v>46004.333333333336</v>
      </c>
      <c r="E355">
        <v>678.76960024990831</v>
      </c>
      <c r="F355">
        <v>-718.23510674073498</v>
      </c>
      <c r="G355">
        <v>2259.1023151511913</v>
      </c>
      <c r="H355" s="1">
        <v>45991.333333333336</v>
      </c>
    </row>
    <row r="356" spans="1:8" x14ac:dyDescent="0.25">
      <c r="A356" s="7">
        <f>DATE(YEAR(m7_crossvalid[[#This Row],[cutoff]]),MONTH(m7_crossvalid[[#This Row],[cutoff]]),DAY(m7_crossvalid[[#This Row],[cutoff]]))</f>
        <v>45991</v>
      </c>
      <c r="B356" s="7">
        <f>DATE(YEAR(m7_crossvalid[[#This Row],[ds]]),MONTH(m7_crossvalid[[#This Row],[ds]]),DAY(m7_crossvalid[[#This Row],[ds]]))</f>
        <v>46005</v>
      </c>
      <c r="C356">
        <v>162</v>
      </c>
      <c r="D356" s="1">
        <v>46005.333333333336</v>
      </c>
      <c r="E356">
        <v>179.51843579281513</v>
      </c>
      <c r="F356">
        <v>-1363.4270031074093</v>
      </c>
      <c r="G356">
        <v>1649.1049250879039</v>
      </c>
      <c r="H356" s="1">
        <v>45991.333333333336</v>
      </c>
    </row>
    <row r="357" spans="1:8" x14ac:dyDescent="0.25">
      <c r="A357" s="7">
        <f>DATE(YEAR(m7_crossvalid[[#This Row],[cutoff]]),MONTH(m7_crossvalid[[#This Row],[cutoff]]),DAY(m7_crossvalid[[#This Row],[cutoff]]))</f>
        <v>45991</v>
      </c>
      <c r="B357" s="7">
        <f>DATE(YEAR(m7_crossvalid[[#This Row],[ds]]),MONTH(m7_crossvalid[[#This Row],[ds]]),DAY(m7_crossvalid[[#This Row],[ds]]))</f>
        <v>46006</v>
      </c>
      <c r="C357">
        <v>2685</v>
      </c>
      <c r="D357" s="1">
        <v>46006.333333333336</v>
      </c>
      <c r="E357">
        <v>2794.6633069944451</v>
      </c>
      <c r="F357">
        <v>1288.6761811612234</v>
      </c>
      <c r="G357">
        <v>4273.6020726784664</v>
      </c>
      <c r="H357" s="1">
        <v>45991.333333333336</v>
      </c>
    </row>
    <row r="358" spans="1:8" x14ac:dyDescent="0.25">
      <c r="A358" s="7">
        <f>DATE(YEAR(m7_crossvalid[[#This Row],[cutoff]]),MONTH(m7_crossvalid[[#This Row],[cutoff]]),DAY(m7_crossvalid[[#This Row],[cutoff]]))</f>
        <v>45991</v>
      </c>
      <c r="B358" s="7">
        <f>DATE(YEAR(m7_crossvalid[[#This Row],[ds]]),MONTH(m7_crossvalid[[#This Row],[ds]]),DAY(m7_crossvalid[[#This Row],[ds]]))</f>
        <v>46007</v>
      </c>
      <c r="C358">
        <v>3397</v>
      </c>
      <c r="D358" s="1">
        <v>46007.333333333336</v>
      </c>
      <c r="E358">
        <v>3235.9475055818134</v>
      </c>
      <c r="F358">
        <v>1761.8320311515999</v>
      </c>
      <c r="G358">
        <v>4756.997055601737</v>
      </c>
      <c r="H358" s="1">
        <v>45991.333333333336</v>
      </c>
    </row>
    <row r="359" spans="1:8" x14ac:dyDescent="0.25">
      <c r="A359" s="7">
        <f>DATE(YEAR(m7_crossvalid[[#This Row],[cutoff]]),MONTH(m7_crossvalid[[#This Row],[cutoff]]),DAY(m7_crossvalid[[#This Row],[cutoff]]))</f>
        <v>45991</v>
      </c>
      <c r="B359" s="7">
        <f>DATE(YEAR(m7_crossvalid[[#This Row],[ds]]),MONTH(m7_crossvalid[[#This Row],[ds]]),DAY(m7_crossvalid[[#This Row],[ds]]))</f>
        <v>46008</v>
      </c>
      <c r="C359">
        <v>4029</v>
      </c>
      <c r="D359" s="1">
        <v>46008.333333333336</v>
      </c>
      <c r="E359">
        <v>3484.0902308768154</v>
      </c>
      <c r="F359">
        <v>2046.2942175412304</v>
      </c>
      <c r="G359">
        <v>4937.0723181023559</v>
      </c>
      <c r="H359" s="1">
        <v>45991.333333333336</v>
      </c>
    </row>
    <row r="360" spans="1:8" x14ac:dyDescent="0.25">
      <c r="A360" s="7">
        <f>DATE(YEAR(m7_crossvalid[[#This Row],[cutoff]]),MONTH(m7_crossvalid[[#This Row],[cutoff]]),DAY(m7_crossvalid[[#This Row],[cutoff]]))</f>
        <v>45991</v>
      </c>
      <c r="B360" s="7">
        <f>DATE(YEAR(m7_crossvalid[[#This Row],[ds]]),MONTH(m7_crossvalid[[#This Row],[ds]]),DAY(m7_crossvalid[[#This Row],[ds]]))</f>
        <v>46009</v>
      </c>
      <c r="C360">
        <v>3874</v>
      </c>
      <c r="D360" s="1">
        <v>46009.333333333336</v>
      </c>
      <c r="E360">
        <v>3662.1943472442676</v>
      </c>
      <c r="F360">
        <v>2254.8440460690226</v>
      </c>
      <c r="G360">
        <v>5112.5914258957155</v>
      </c>
      <c r="H360" s="1">
        <v>45991.333333333336</v>
      </c>
    </row>
    <row r="361" spans="1:8" x14ac:dyDescent="0.25">
      <c r="A361" s="7">
        <f>DATE(YEAR(m7_crossvalid[[#This Row],[cutoff]]),MONTH(m7_crossvalid[[#This Row],[cutoff]]),DAY(m7_crossvalid[[#This Row],[cutoff]]))</f>
        <v>45991</v>
      </c>
      <c r="B361" s="7">
        <f>DATE(YEAR(m7_crossvalid[[#This Row],[ds]]),MONTH(m7_crossvalid[[#This Row],[ds]]),DAY(m7_crossvalid[[#This Row],[ds]]))</f>
        <v>46010</v>
      </c>
      <c r="C361">
        <v>4261</v>
      </c>
      <c r="D361" s="1">
        <v>46010.333333333336</v>
      </c>
      <c r="E361">
        <v>3677.3653024635637</v>
      </c>
      <c r="F361">
        <v>2200.4460028153162</v>
      </c>
      <c r="G361">
        <v>5217.5641819529801</v>
      </c>
      <c r="H361" s="1">
        <v>45991.333333333336</v>
      </c>
    </row>
    <row r="362" spans="1:8" x14ac:dyDescent="0.25">
      <c r="A362" s="7">
        <f>DATE(YEAR(m7_crossvalid[[#This Row],[cutoff]]),MONTH(m7_crossvalid[[#This Row],[cutoff]]),DAY(m7_crossvalid[[#This Row],[cutoff]]))</f>
        <v>45991</v>
      </c>
      <c r="B362" s="7">
        <f>DATE(YEAR(m7_crossvalid[[#This Row],[ds]]),MONTH(m7_crossvalid[[#This Row],[ds]]),DAY(m7_crossvalid[[#This Row],[ds]]))</f>
        <v>46011</v>
      </c>
      <c r="C362">
        <v>999</v>
      </c>
      <c r="D362" s="1">
        <v>46011.333333333336</v>
      </c>
      <c r="E362">
        <v>1483.0299684107404</v>
      </c>
      <c r="F362">
        <v>130.5761696682851</v>
      </c>
      <c r="G362">
        <v>2960.1987566501366</v>
      </c>
      <c r="H362" s="1">
        <v>45991.333333333336</v>
      </c>
    </row>
    <row r="363" spans="1:8" x14ac:dyDescent="0.25">
      <c r="A363" s="7">
        <f>DATE(YEAR(m7_crossvalid[[#This Row],[cutoff]]),MONTH(m7_crossvalid[[#This Row],[cutoff]]),DAY(m7_crossvalid[[#This Row],[cutoff]]))</f>
        <v>45991</v>
      </c>
      <c r="B363" s="7">
        <f>DATE(YEAR(m7_crossvalid[[#This Row],[ds]]),MONTH(m7_crossvalid[[#This Row],[ds]]),DAY(m7_crossvalid[[#This Row],[ds]]))</f>
        <v>46012</v>
      </c>
      <c r="C363">
        <v>251</v>
      </c>
      <c r="D363" s="1">
        <v>46012.333333333336</v>
      </c>
      <c r="E363">
        <v>1017.931737685296</v>
      </c>
      <c r="F363">
        <v>-541.88043186647906</v>
      </c>
      <c r="G363">
        <v>2335.0393601066849</v>
      </c>
      <c r="H363" s="1">
        <v>45991.333333333336</v>
      </c>
    </row>
    <row r="364" spans="1:8" x14ac:dyDescent="0.25">
      <c r="A364" s="7">
        <f>DATE(YEAR(m7_crossvalid[[#This Row],[cutoff]]),MONTH(m7_crossvalid[[#This Row],[cutoff]]),DAY(m7_crossvalid[[#This Row],[cutoff]]))</f>
        <v>45991</v>
      </c>
      <c r="B364" s="7">
        <f>DATE(YEAR(m7_crossvalid[[#This Row],[ds]]),MONTH(m7_crossvalid[[#This Row],[ds]]),DAY(m7_crossvalid[[#This Row],[ds]]))</f>
        <v>46013</v>
      </c>
      <c r="C364">
        <v>4791</v>
      </c>
      <c r="D364" s="1">
        <v>46013.333333333336</v>
      </c>
      <c r="E364">
        <v>3574.8923743032883</v>
      </c>
      <c r="F364">
        <v>2223.7526869980011</v>
      </c>
      <c r="G364">
        <v>4930.6396826079745</v>
      </c>
      <c r="H364" s="1">
        <v>45991.333333333336</v>
      </c>
    </row>
    <row r="365" spans="1:8" x14ac:dyDescent="0.25">
      <c r="A365" s="7">
        <f>DATE(YEAR(m7_crossvalid[[#This Row],[cutoff]]),MONTH(m7_crossvalid[[#This Row],[cutoff]]),DAY(m7_crossvalid[[#This Row],[cutoff]]))</f>
        <v>45991</v>
      </c>
      <c r="B365" s="7">
        <f>DATE(YEAR(m7_crossvalid[[#This Row],[ds]]),MONTH(m7_crossvalid[[#This Row],[ds]]),DAY(m7_crossvalid[[#This Row],[ds]]))</f>
        <v>46014</v>
      </c>
      <c r="C365">
        <v>5802</v>
      </c>
      <c r="D365" s="1">
        <v>46014.333333333336</v>
      </c>
      <c r="E365">
        <v>4020.5011857305308</v>
      </c>
      <c r="F365">
        <v>2545.0016708326175</v>
      </c>
      <c r="G365">
        <v>5343.4068000861316</v>
      </c>
      <c r="H365" s="1">
        <v>45991.333333333336</v>
      </c>
    </row>
    <row r="366" spans="1:8" x14ac:dyDescent="0.25">
      <c r="A366" s="7">
        <f>DATE(YEAR(m7_crossvalid[[#This Row],[cutoff]]),MONTH(m7_crossvalid[[#This Row],[cutoff]]),DAY(m7_crossvalid[[#This Row],[cutoff]]))</f>
        <v>45991</v>
      </c>
      <c r="B366" s="7">
        <f>DATE(YEAR(m7_crossvalid[[#This Row],[ds]]),MONTH(m7_crossvalid[[#This Row],[ds]]),DAY(m7_crossvalid[[#This Row],[ds]]))</f>
        <v>46015</v>
      </c>
      <c r="C366">
        <v>6117</v>
      </c>
      <c r="D366" s="1">
        <v>46015.333333333336</v>
      </c>
      <c r="E366">
        <v>4214.1954793832201</v>
      </c>
      <c r="F366">
        <v>2645.9922511878685</v>
      </c>
      <c r="G366">
        <v>5607.4797196417139</v>
      </c>
      <c r="H366" s="1">
        <v>45991.333333333336</v>
      </c>
    </row>
    <row r="367" spans="1:8" x14ac:dyDescent="0.25">
      <c r="A367" s="7">
        <f>DATE(YEAR(m7_crossvalid[[#This Row],[cutoff]]),MONTH(m7_crossvalid[[#This Row],[cutoff]]),DAY(m7_crossvalid[[#This Row],[cutoff]]))</f>
        <v>45991</v>
      </c>
      <c r="B367" s="7">
        <f>DATE(YEAR(m7_crossvalid[[#This Row],[ds]]),MONTH(m7_crossvalid[[#This Row],[ds]]),DAY(m7_crossvalid[[#This Row],[ds]]))</f>
        <v>46016</v>
      </c>
      <c r="C367">
        <v>400</v>
      </c>
      <c r="D367" s="1">
        <v>46016.333333333336</v>
      </c>
      <c r="E367">
        <v>1082.5922351787556</v>
      </c>
      <c r="F367">
        <v>-520.76673146761277</v>
      </c>
      <c r="G367">
        <v>2520.5609401695815</v>
      </c>
      <c r="H367" s="1">
        <v>45991.333333333336</v>
      </c>
    </row>
    <row r="368" spans="1:8" x14ac:dyDescent="0.25">
      <c r="A368" s="7">
        <f>DATE(YEAR(m7_crossvalid[[#This Row],[cutoff]]),MONTH(m7_crossvalid[[#This Row],[cutoff]]),DAY(m7_crossvalid[[#This Row],[cutoff]]))</f>
        <v>45991</v>
      </c>
      <c r="B368" s="7">
        <f>DATE(YEAR(m7_crossvalid[[#This Row],[ds]]),MONTH(m7_crossvalid[[#This Row],[ds]]),DAY(m7_crossvalid[[#This Row],[ds]]))</f>
        <v>46017</v>
      </c>
      <c r="C368">
        <v>6559</v>
      </c>
      <c r="D368" s="1">
        <v>46017.333333333336</v>
      </c>
      <c r="E368">
        <v>4761.1470676646541</v>
      </c>
      <c r="F368">
        <v>3250.6809209600901</v>
      </c>
      <c r="G368">
        <v>6232.8990501637563</v>
      </c>
      <c r="H368" s="1">
        <v>45991.333333333336</v>
      </c>
    </row>
    <row r="369" spans="1:8" x14ac:dyDescent="0.25">
      <c r="A369" s="7">
        <f>DATE(YEAR(m7_crossvalid[[#This Row],[cutoff]]),MONTH(m7_crossvalid[[#This Row],[cutoff]]),DAY(m7_crossvalid[[#This Row],[cutoff]]))</f>
        <v>45991</v>
      </c>
      <c r="B369" s="7">
        <f>DATE(YEAR(m7_crossvalid[[#This Row],[ds]]),MONTH(m7_crossvalid[[#This Row],[ds]]),DAY(m7_crossvalid[[#This Row],[ds]]))</f>
        <v>46018</v>
      </c>
      <c r="C369">
        <v>1928</v>
      </c>
      <c r="D369" s="1">
        <v>46018.333333333336</v>
      </c>
      <c r="E369">
        <v>2710.0319084424682</v>
      </c>
      <c r="F369">
        <v>1326.9920161471287</v>
      </c>
      <c r="G369">
        <v>4242.5611820894301</v>
      </c>
      <c r="H369" s="1">
        <v>45991.333333333336</v>
      </c>
    </row>
    <row r="370" spans="1:8" x14ac:dyDescent="0.25">
      <c r="A370" s="7">
        <f>DATE(YEAR(m7_crossvalid[[#This Row],[cutoff]]),MONTH(m7_crossvalid[[#This Row],[cutoff]]),DAY(m7_crossvalid[[#This Row],[cutoff]]))</f>
        <v>45991</v>
      </c>
      <c r="B370" s="7">
        <f>DATE(YEAR(m7_crossvalid[[#This Row],[ds]]),MONTH(m7_crossvalid[[#This Row],[ds]]),DAY(m7_crossvalid[[#This Row],[ds]]))</f>
        <v>46019</v>
      </c>
      <c r="C370">
        <v>428</v>
      </c>
      <c r="D370" s="1">
        <v>46019.333333333336</v>
      </c>
      <c r="E370">
        <v>2627.7083732267301</v>
      </c>
      <c r="F370">
        <v>1090.6127277323303</v>
      </c>
      <c r="G370">
        <v>3996.514982662572</v>
      </c>
      <c r="H370" s="1">
        <v>45991.333333333336</v>
      </c>
    </row>
    <row r="371" spans="1:8" x14ac:dyDescent="0.25">
      <c r="A371" s="7">
        <f>DATE(YEAR(m7_crossvalid[[#This Row],[cutoff]]),MONTH(m7_crossvalid[[#This Row],[cutoff]]),DAY(m7_crossvalid[[#This Row],[cutoff]]))</f>
        <v>45991</v>
      </c>
      <c r="B371" s="7">
        <f>DATE(YEAR(m7_crossvalid[[#This Row],[ds]]),MONTH(m7_crossvalid[[#This Row],[ds]]),DAY(m7_crossvalid[[#This Row],[ds]]))</f>
        <v>46020</v>
      </c>
      <c r="C371">
        <v>7441</v>
      </c>
      <c r="D371" s="1">
        <v>46020.333333333336</v>
      </c>
      <c r="E371">
        <v>5619.7330597571199</v>
      </c>
      <c r="F371">
        <v>4215.0323016264565</v>
      </c>
      <c r="G371">
        <v>6967.4473965115531</v>
      </c>
      <c r="H371" s="1">
        <v>45991.333333333336</v>
      </c>
    </row>
    <row r="372" spans="1:8" x14ac:dyDescent="0.25">
      <c r="A372" s="7">
        <f>DATE(YEAR(m7_crossvalid[[#This Row],[cutoff]]),MONTH(m7_crossvalid[[#This Row],[cutoff]]),DAY(m7_crossvalid[[#This Row],[cutoff]]))</f>
        <v>45991</v>
      </c>
      <c r="B372" s="7">
        <f>DATE(YEAR(m7_crossvalid[[#This Row],[ds]]),MONTH(m7_crossvalid[[#This Row],[ds]]),DAY(m7_crossvalid[[#This Row],[ds]]))</f>
        <v>46021</v>
      </c>
      <c r="C372">
        <v>10603</v>
      </c>
      <c r="D372" s="1">
        <v>46021.333333333336</v>
      </c>
      <c r="E372">
        <v>8327.757252399022</v>
      </c>
      <c r="F372">
        <v>6808.3083660363873</v>
      </c>
      <c r="G372">
        <v>9907.7222537029975</v>
      </c>
      <c r="H372" s="1">
        <v>45991.333333333336</v>
      </c>
    </row>
    <row r="373" spans="1:8" x14ac:dyDescent="0.25">
      <c r="A373" s="7">
        <f>DATE(YEAR(m7_crossvalid[[#This Row],[cutoff]]),MONTH(m7_crossvalid[[#This Row],[cutoff]]),DAY(m7_crossvalid[[#This Row],[cutoff]]))</f>
        <v>45991</v>
      </c>
      <c r="B373" s="7">
        <f>DATE(YEAR(m7_crossvalid[[#This Row],[ds]]),MONTH(m7_crossvalid[[#This Row],[ds]]),DAY(m7_crossvalid[[#This Row],[ds]]))</f>
        <v>46022</v>
      </c>
      <c r="C373">
        <v>15370</v>
      </c>
      <c r="D373" s="1">
        <v>46022.333333333336</v>
      </c>
      <c r="E373">
        <v>10123.849378472947</v>
      </c>
      <c r="F373">
        <v>8751.8236686509863</v>
      </c>
      <c r="G373">
        <v>11529.767460641178</v>
      </c>
      <c r="H373" s="1">
        <v>45991.333333333336</v>
      </c>
    </row>
    <row r="374" spans="1:8" x14ac:dyDescent="0.25">
      <c r="A374" s="7">
        <f>DATE(YEAR(m7_crossvalid[[#This Row],[cutoff]]),MONTH(m7_crossvalid[[#This Row],[cutoff]]),DAY(m7_crossvalid[[#This Row],[cutoff]]))</f>
        <v>46022</v>
      </c>
      <c r="B374" s="7">
        <f>DATE(YEAR(m7_crossvalid[[#This Row],[ds]]),MONTH(m7_crossvalid[[#This Row],[ds]]),DAY(m7_crossvalid[[#This Row],[ds]]))</f>
        <v>46023</v>
      </c>
      <c r="C374">
        <v>2584</v>
      </c>
      <c r="D374" s="1">
        <v>46023.333333333336</v>
      </c>
      <c r="E374">
        <v>873.303964892664</v>
      </c>
      <c r="F374">
        <v>-653.01474289080716</v>
      </c>
      <c r="G374">
        <v>2423.3426280290337</v>
      </c>
      <c r="H374" s="1">
        <v>46022.333333333336</v>
      </c>
    </row>
    <row r="375" spans="1:8" x14ac:dyDescent="0.25">
      <c r="A375" s="7">
        <f>DATE(YEAR(m7_crossvalid[[#This Row],[cutoff]]),MONTH(m7_crossvalid[[#This Row],[cutoff]]),DAY(m7_crossvalid[[#This Row],[cutoff]]))</f>
        <v>46022</v>
      </c>
      <c r="B375" s="7">
        <f>DATE(YEAR(m7_crossvalid[[#This Row],[ds]]),MONTH(m7_crossvalid[[#This Row],[ds]]),DAY(m7_crossvalid[[#This Row],[ds]]))</f>
        <v>46024</v>
      </c>
      <c r="C375">
        <v>1536</v>
      </c>
      <c r="D375" s="1">
        <v>46024.333333333336</v>
      </c>
      <c r="E375">
        <v>2052.0474781401563</v>
      </c>
      <c r="F375">
        <v>548.67917401974933</v>
      </c>
      <c r="G375">
        <v>3415.6354952918841</v>
      </c>
      <c r="H375" s="1">
        <v>46022.333333333336</v>
      </c>
    </row>
    <row r="376" spans="1:8" x14ac:dyDescent="0.25">
      <c r="A376" s="7">
        <f>DATE(YEAR(m7_crossvalid[[#This Row],[cutoff]]),MONTH(m7_crossvalid[[#This Row],[cutoff]]),DAY(m7_crossvalid[[#This Row],[cutoff]]))</f>
        <v>46022</v>
      </c>
      <c r="B376" s="7">
        <f>DATE(YEAR(m7_crossvalid[[#This Row],[ds]]),MONTH(m7_crossvalid[[#This Row],[ds]]),DAY(m7_crossvalid[[#This Row],[ds]]))</f>
        <v>46025</v>
      </c>
      <c r="C376">
        <v>80</v>
      </c>
      <c r="D376" s="1">
        <v>46025.333333333336</v>
      </c>
      <c r="E376">
        <v>-202.18666101626832</v>
      </c>
      <c r="F376">
        <v>-1591.4393057673324</v>
      </c>
      <c r="G376">
        <v>1374.622579172514</v>
      </c>
      <c r="H376" s="1">
        <v>46022.333333333336</v>
      </c>
    </row>
    <row r="377" spans="1:8" x14ac:dyDescent="0.25">
      <c r="A377" s="7">
        <f>DATE(YEAR(m7_crossvalid[[#This Row],[cutoff]]),MONTH(m7_crossvalid[[#This Row],[cutoff]]),DAY(m7_crossvalid[[#This Row],[cutoff]]))</f>
        <v>46022</v>
      </c>
      <c r="B377" s="7">
        <f>DATE(YEAR(m7_crossvalid[[#This Row],[ds]]),MONTH(m7_crossvalid[[#This Row],[ds]]),DAY(m7_crossvalid[[#This Row],[ds]]))</f>
        <v>46026</v>
      </c>
      <c r="C377">
        <v>17</v>
      </c>
      <c r="D377" s="1">
        <v>46026.333333333336</v>
      </c>
      <c r="E377">
        <v>-912.76980161765141</v>
      </c>
      <c r="F377">
        <v>-2426.4084108701409</v>
      </c>
      <c r="G377">
        <v>509.91145528185677</v>
      </c>
      <c r="H377" s="1">
        <v>46022.333333333336</v>
      </c>
    </row>
    <row r="378" spans="1:8" x14ac:dyDescent="0.25">
      <c r="A378" s="7">
        <f>DATE(YEAR(m7_crossvalid[[#This Row],[cutoff]]),MONTH(m7_crossvalid[[#This Row],[cutoff]]),DAY(m7_crossvalid[[#This Row],[cutoff]]))</f>
        <v>46022</v>
      </c>
      <c r="B378" s="7">
        <f>DATE(YEAR(m7_crossvalid[[#This Row],[ds]]),MONTH(m7_crossvalid[[#This Row],[ds]]),DAY(m7_crossvalid[[#This Row],[ds]]))</f>
        <v>46027</v>
      </c>
      <c r="C378">
        <v>340</v>
      </c>
      <c r="D378" s="1">
        <v>46027.333333333336</v>
      </c>
      <c r="E378">
        <v>1584.05697574744</v>
      </c>
      <c r="F378">
        <v>186.06861740430224</v>
      </c>
      <c r="G378">
        <v>3088.8427118171949</v>
      </c>
      <c r="H378" s="1">
        <v>46022.333333333336</v>
      </c>
    </row>
    <row r="379" spans="1:8" x14ac:dyDescent="0.25">
      <c r="A379" s="7">
        <f>DATE(YEAR(m7_crossvalid[[#This Row],[cutoff]]),MONTH(m7_crossvalid[[#This Row],[cutoff]]),DAY(m7_crossvalid[[#This Row],[cutoff]]))</f>
        <v>46022</v>
      </c>
      <c r="B379" s="7">
        <f>DATE(YEAR(m7_crossvalid[[#This Row],[ds]]),MONTH(m7_crossvalid[[#This Row],[ds]]),DAY(m7_crossvalid[[#This Row],[ds]]))</f>
        <v>46028</v>
      </c>
      <c r="C379">
        <v>485</v>
      </c>
      <c r="D379" s="1">
        <v>46028.333333333336</v>
      </c>
      <c r="E379">
        <v>1895.5886343365723</v>
      </c>
      <c r="F379">
        <v>378.05831204084114</v>
      </c>
      <c r="G379">
        <v>3296.9756634447517</v>
      </c>
      <c r="H379" s="1">
        <v>46022.333333333336</v>
      </c>
    </row>
    <row r="380" spans="1:8" x14ac:dyDescent="0.25">
      <c r="A380" s="7">
        <f>DATE(YEAR(m7_crossvalid[[#This Row],[cutoff]]),MONTH(m7_crossvalid[[#This Row],[cutoff]]),DAY(m7_crossvalid[[#This Row],[cutoff]]))</f>
        <v>46022</v>
      </c>
      <c r="B380" s="7">
        <f>DATE(YEAR(m7_crossvalid[[#This Row],[ds]]),MONTH(m7_crossvalid[[#This Row],[ds]]),DAY(m7_crossvalid[[#This Row],[ds]]))</f>
        <v>46029</v>
      </c>
      <c r="C380">
        <v>532</v>
      </c>
      <c r="D380" s="1">
        <v>46029.333333333336</v>
      </c>
      <c r="E380">
        <v>1841.2625662622359</v>
      </c>
      <c r="F380">
        <v>311.86760109721899</v>
      </c>
      <c r="G380">
        <v>3186.688768927042</v>
      </c>
      <c r="H380" s="1">
        <v>46022.333333333336</v>
      </c>
    </row>
    <row r="381" spans="1:8" x14ac:dyDescent="0.25">
      <c r="A381" s="7">
        <f>DATE(YEAR(m7_crossvalid[[#This Row],[cutoff]]),MONTH(m7_crossvalid[[#This Row],[cutoff]]),DAY(m7_crossvalid[[#This Row],[cutoff]]))</f>
        <v>46022</v>
      </c>
      <c r="B381" s="7">
        <f>DATE(YEAR(m7_crossvalid[[#This Row],[ds]]),MONTH(m7_crossvalid[[#This Row],[ds]]),DAY(m7_crossvalid[[#This Row],[ds]]))</f>
        <v>46030</v>
      </c>
      <c r="C381">
        <v>659</v>
      </c>
      <c r="D381" s="1">
        <v>46030.333333333336</v>
      </c>
      <c r="E381">
        <v>2368.9772215096355</v>
      </c>
      <c r="F381">
        <v>876.58712310027147</v>
      </c>
      <c r="G381">
        <v>3788.7801482204286</v>
      </c>
      <c r="H381" s="1">
        <v>46022.333333333336</v>
      </c>
    </row>
    <row r="382" spans="1:8" x14ac:dyDescent="0.25">
      <c r="A382" s="7">
        <f>DATE(YEAR(m7_crossvalid[[#This Row],[cutoff]]),MONTH(m7_crossvalid[[#This Row],[cutoff]]),DAY(m7_crossvalid[[#This Row],[cutoff]]))</f>
        <v>46022</v>
      </c>
      <c r="B382" s="7">
        <f>DATE(YEAR(m7_crossvalid[[#This Row],[ds]]),MONTH(m7_crossvalid[[#This Row],[ds]]),DAY(m7_crossvalid[[#This Row],[ds]]))</f>
        <v>46031</v>
      </c>
      <c r="C382">
        <v>787</v>
      </c>
      <c r="D382" s="1">
        <v>46031.333333333336</v>
      </c>
      <c r="E382">
        <v>2150.1904750907738</v>
      </c>
      <c r="F382">
        <v>701.62828910397957</v>
      </c>
      <c r="G382">
        <v>3584.6164365073714</v>
      </c>
      <c r="H382" s="1">
        <v>46022.333333333336</v>
      </c>
    </row>
    <row r="383" spans="1:8" x14ac:dyDescent="0.25">
      <c r="A383" s="7">
        <f>DATE(YEAR(m7_crossvalid[[#This Row],[cutoff]]),MONTH(m7_crossvalid[[#This Row],[cutoff]]),DAY(m7_crossvalid[[#This Row],[cutoff]]))</f>
        <v>46022</v>
      </c>
      <c r="B383" s="7">
        <f>DATE(YEAR(m7_crossvalid[[#This Row],[ds]]),MONTH(m7_crossvalid[[#This Row],[ds]]),DAY(m7_crossvalid[[#This Row],[ds]]))</f>
        <v>46032</v>
      </c>
      <c r="C383">
        <v>137</v>
      </c>
      <c r="D383" s="1">
        <v>46032.333333333336</v>
      </c>
      <c r="E383">
        <v>-310.57053630879454</v>
      </c>
      <c r="F383">
        <v>-1845.3950108325082</v>
      </c>
      <c r="G383">
        <v>1187.6346646779634</v>
      </c>
      <c r="H383" s="1">
        <v>46022.333333333336</v>
      </c>
    </row>
    <row r="384" spans="1:8" x14ac:dyDescent="0.25">
      <c r="A384" s="7">
        <f>DATE(YEAR(m7_crossvalid[[#This Row],[cutoff]]),MONTH(m7_crossvalid[[#This Row],[cutoff]]),DAY(m7_crossvalid[[#This Row],[cutoff]]))</f>
        <v>46022</v>
      </c>
      <c r="B384" s="7">
        <f>DATE(YEAR(m7_crossvalid[[#This Row],[ds]]),MONTH(m7_crossvalid[[#This Row],[ds]]),DAY(m7_crossvalid[[#This Row],[ds]]))</f>
        <v>46033</v>
      </c>
      <c r="C384">
        <v>44</v>
      </c>
      <c r="D384" s="1">
        <v>46033.333333333336</v>
      </c>
      <c r="E384">
        <v>-820.17725359072119</v>
      </c>
      <c r="F384">
        <v>-2232.568772743055</v>
      </c>
      <c r="G384">
        <v>601.7513528876932</v>
      </c>
      <c r="H384" s="1">
        <v>46022.333333333336</v>
      </c>
    </row>
    <row r="385" spans="1:8" x14ac:dyDescent="0.25">
      <c r="A385" s="7">
        <f>DATE(YEAR(m7_crossvalid[[#This Row],[cutoff]]),MONTH(m7_crossvalid[[#This Row],[cutoff]]),DAY(m7_crossvalid[[#This Row],[cutoff]]))</f>
        <v>46022</v>
      </c>
      <c r="B385" s="7">
        <f>DATE(YEAR(m7_crossvalid[[#This Row],[ds]]),MONTH(m7_crossvalid[[#This Row],[ds]]),DAY(m7_crossvalid[[#This Row],[ds]]))</f>
        <v>46034</v>
      </c>
      <c r="C385">
        <v>779</v>
      </c>
      <c r="D385" s="1">
        <v>46034.333333333336</v>
      </c>
      <c r="E385">
        <v>1864.1503175296252</v>
      </c>
      <c r="F385">
        <v>391.59430778303124</v>
      </c>
      <c r="G385">
        <v>3284.5602544119711</v>
      </c>
      <c r="H385" s="1">
        <v>46022.333333333336</v>
      </c>
    </row>
    <row r="386" spans="1:8" x14ac:dyDescent="0.25">
      <c r="A386" s="7">
        <f>DATE(YEAR(m7_crossvalid[[#This Row],[cutoff]]),MONTH(m7_crossvalid[[#This Row],[cutoff]]),DAY(m7_crossvalid[[#This Row],[cutoff]]))</f>
        <v>46022</v>
      </c>
      <c r="B386" s="7">
        <f>DATE(YEAR(m7_crossvalid[[#This Row],[ds]]),MONTH(m7_crossvalid[[#This Row],[ds]]),DAY(m7_crossvalid[[#This Row],[ds]]))</f>
        <v>46035</v>
      </c>
      <c r="C386">
        <v>1113</v>
      </c>
      <c r="D386" s="1">
        <v>46035.333333333336</v>
      </c>
      <c r="E386">
        <v>2180.9176926569312</v>
      </c>
      <c r="F386">
        <v>752.45260055806364</v>
      </c>
      <c r="G386">
        <v>3628.0035939736795</v>
      </c>
      <c r="H386" s="1">
        <v>46022.333333333336</v>
      </c>
    </row>
    <row r="387" spans="1:8" x14ac:dyDescent="0.25">
      <c r="A387" s="7">
        <f>DATE(YEAR(m7_crossvalid[[#This Row],[cutoff]]),MONTH(m7_crossvalid[[#This Row],[cutoff]]),DAY(m7_crossvalid[[#This Row],[cutoff]]))</f>
        <v>46022</v>
      </c>
      <c r="B387" s="7">
        <f>DATE(YEAR(m7_crossvalid[[#This Row],[ds]]),MONTH(m7_crossvalid[[#This Row],[ds]]),DAY(m7_crossvalid[[#This Row],[ds]]))</f>
        <v>46036</v>
      </c>
      <c r="C387">
        <v>1419</v>
      </c>
      <c r="D387" s="1">
        <v>46036.333333333336</v>
      </c>
      <c r="E387">
        <v>2241.6016170229213</v>
      </c>
      <c r="F387">
        <v>771.82769740614526</v>
      </c>
      <c r="G387">
        <v>3768.1084081719318</v>
      </c>
      <c r="H387" s="1">
        <v>46022.333333333336</v>
      </c>
    </row>
    <row r="388" spans="1:8" x14ac:dyDescent="0.25">
      <c r="A388" s="7">
        <f>DATE(YEAR(m7_crossvalid[[#This Row],[cutoff]]),MONTH(m7_crossvalid[[#This Row],[cutoff]]),DAY(m7_crossvalid[[#This Row],[cutoff]]))</f>
        <v>46022</v>
      </c>
      <c r="B388" s="7">
        <f>DATE(YEAR(m7_crossvalid[[#This Row],[ds]]),MONTH(m7_crossvalid[[#This Row],[ds]]),DAY(m7_crossvalid[[#This Row],[ds]]))</f>
        <v>46037</v>
      </c>
      <c r="C388">
        <v>1874</v>
      </c>
      <c r="D388" s="1">
        <v>46037.333333333336</v>
      </c>
      <c r="E388">
        <v>2293.2840693560679</v>
      </c>
      <c r="F388">
        <v>814.61316425393989</v>
      </c>
      <c r="G388">
        <v>3736.3937144362421</v>
      </c>
      <c r="H388" s="1">
        <v>46022.333333333336</v>
      </c>
    </row>
    <row r="389" spans="1:8" x14ac:dyDescent="0.25">
      <c r="A389" s="7">
        <f>DATE(YEAR(m7_crossvalid[[#This Row],[cutoff]]),MONTH(m7_crossvalid[[#This Row],[cutoff]]),DAY(m7_crossvalid[[#This Row],[cutoff]]))</f>
        <v>46022</v>
      </c>
      <c r="B389" s="7">
        <f>DATE(YEAR(m7_crossvalid[[#This Row],[ds]]),MONTH(m7_crossvalid[[#This Row],[ds]]),DAY(m7_crossvalid[[#This Row],[ds]]))</f>
        <v>46038</v>
      </c>
      <c r="C389">
        <v>2020</v>
      </c>
      <c r="D389" s="1">
        <v>46038.333333333336</v>
      </c>
      <c r="E389">
        <v>2415.1586889645168</v>
      </c>
      <c r="F389">
        <v>898.48934925117464</v>
      </c>
      <c r="G389">
        <v>3827.0940592209408</v>
      </c>
      <c r="H389" s="1">
        <v>46022.333333333336</v>
      </c>
    </row>
    <row r="390" spans="1:8" x14ac:dyDescent="0.25">
      <c r="A390" s="7">
        <f>DATE(YEAR(m7_crossvalid[[#This Row],[cutoff]]),MONTH(m7_crossvalid[[#This Row],[cutoff]]),DAY(m7_crossvalid[[#This Row],[cutoff]]))</f>
        <v>46022</v>
      </c>
      <c r="B390" s="7">
        <f>DATE(YEAR(m7_crossvalid[[#This Row],[ds]]),MONTH(m7_crossvalid[[#This Row],[ds]]),DAY(m7_crossvalid[[#This Row],[ds]]))</f>
        <v>46039</v>
      </c>
      <c r="C390">
        <v>451</v>
      </c>
      <c r="D390" s="1">
        <v>46039.333333333336</v>
      </c>
      <c r="E390">
        <v>237.2489576335247</v>
      </c>
      <c r="F390">
        <v>-1248.6685681670422</v>
      </c>
      <c r="G390">
        <v>1750.5306201780163</v>
      </c>
      <c r="H390" s="1">
        <v>46022.333333333336</v>
      </c>
    </row>
    <row r="391" spans="1:8" x14ac:dyDescent="0.25">
      <c r="A391" s="7">
        <f>DATE(YEAR(m7_crossvalid[[#This Row],[cutoff]]),MONTH(m7_crossvalid[[#This Row],[cutoff]]),DAY(m7_crossvalid[[#This Row],[cutoff]]))</f>
        <v>46022</v>
      </c>
      <c r="B391" s="7">
        <f>DATE(YEAR(m7_crossvalid[[#This Row],[ds]]),MONTH(m7_crossvalid[[#This Row],[ds]]),DAY(m7_crossvalid[[#This Row],[ds]]))</f>
        <v>46040</v>
      </c>
      <c r="C391">
        <v>76</v>
      </c>
      <c r="D391" s="1">
        <v>46040.333333333336</v>
      </c>
      <c r="E391">
        <v>-282.78812536911892</v>
      </c>
      <c r="F391">
        <v>-1646.0535128741126</v>
      </c>
      <c r="G391">
        <v>1146.4823055896793</v>
      </c>
      <c r="H391" s="1">
        <v>46022.333333333336</v>
      </c>
    </row>
    <row r="392" spans="1:8" x14ac:dyDescent="0.25">
      <c r="A392" s="7">
        <f>DATE(YEAR(m7_crossvalid[[#This Row],[cutoff]]),MONTH(m7_crossvalid[[#This Row],[cutoff]]),DAY(m7_crossvalid[[#This Row],[cutoff]]))</f>
        <v>46022</v>
      </c>
      <c r="B392" s="7">
        <f>DATE(YEAR(m7_crossvalid[[#This Row],[ds]]),MONTH(m7_crossvalid[[#This Row],[ds]]),DAY(m7_crossvalid[[#This Row],[ds]]))</f>
        <v>46041</v>
      </c>
      <c r="C392">
        <v>1963</v>
      </c>
      <c r="D392" s="1">
        <v>46041.333333333336</v>
      </c>
      <c r="E392">
        <v>2294.3651689019644</v>
      </c>
      <c r="F392">
        <v>755.73826821653643</v>
      </c>
      <c r="G392">
        <v>3753.515767057314</v>
      </c>
      <c r="H392" s="1">
        <v>46022.333333333336</v>
      </c>
    </row>
    <row r="393" spans="1:8" x14ac:dyDescent="0.25">
      <c r="A393" s="7">
        <f>DATE(YEAR(m7_crossvalid[[#This Row],[cutoff]]),MONTH(m7_crossvalid[[#This Row],[cutoff]]),DAY(m7_crossvalid[[#This Row],[cutoff]]))</f>
        <v>46022</v>
      </c>
      <c r="B393" s="7">
        <f>DATE(YEAR(m7_crossvalid[[#This Row],[ds]]),MONTH(m7_crossvalid[[#This Row],[ds]]),DAY(m7_crossvalid[[#This Row],[ds]]))</f>
        <v>46042</v>
      </c>
      <c r="C393">
        <v>2481</v>
      </c>
      <c r="D393" s="1">
        <v>46042.333333333336</v>
      </c>
      <c r="E393">
        <v>2691.510614379788</v>
      </c>
      <c r="F393">
        <v>1337.5412480993575</v>
      </c>
      <c r="G393">
        <v>4219.9715320176902</v>
      </c>
      <c r="H393" s="1">
        <v>46022.333333333336</v>
      </c>
    </row>
    <row r="394" spans="1:8" x14ac:dyDescent="0.25">
      <c r="A394" s="7">
        <f>DATE(YEAR(m7_crossvalid[[#This Row],[cutoff]]),MONTH(m7_crossvalid[[#This Row],[cutoff]]),DAY(m7_crossvalid[[#This Row],[cutoff]]))</f>
        <v>46022</v>
      </c>
      <c r="B394" s="7">
        <f>DATE(YEAR(m7_crossvalid[[#This Row],[ds]]),MONTH(m7_crossvalid[[#This Row],[ds]]),DAY(m7_crossvalid[[#This Row],[ds]]))</f>
        <v>46043</v>
      </c>
      <c r="C394">
        <v>2679</v>
      </c>
      <c r="D394" s="1">
        <v>46043.333333333336</v>
      </c>
      <c r="E394">
        <v>2860.0871975448144</v>
      </c>
      <c r="F394">
        <v>1399.0384052638265</v>
      </c>
      <c r="G394">
        <v>4238.8860028560111</v>
      </c>
      <c r="H394" s="1">
        <v>46022.333333333336</v>
      </c>
    </row>
    <row r="395" spans="1:8" x14ac:dyDescent="0.25">
      <c r="A395" s="7">
        <f>DATE(YEAR(m7_crossvalid[[#This Row],[cutoff]]),MONTH(m7_crossvalid[[#This Row],[cutoff]]),DAY(m7_crossvalid[[#This Row],[cutoff]]))</f>
        <v>46022</v>
      </c>
      <c r="B395" s="7">
        <f>DATE(YEAR(m7_crossvalid[[#This Row],[ds]]),MONTH(m7_crossvalid[[#This Row],[ds]]),DAY(m7_crossvalid[[#This Row],[ds]]))</f>
        <v>46044</v>
      </c>
      <c r="C395">
        <v>2830</v>
      </c>
      <c r="D395" s="1">
        <v>46044.333333333336</v>
      </c>
      <c r="E395">
        <v>2993.8422620916995</v>
      </c>
      <c r="F395">
        <v>1596.8492418265228</v>
      </c>
      <c r="G395">
        <v>4408.2086600874718</v>
      </c>
      <c r="H395" s="1">
        <v>46022.333333333336</v>
      </c>
    </row>
    <row r="396" spans="1:8" x14ac:dyDescent="0.25">
      <c r="A396" s="7">
        <f>DATE(YEAR(m7_crossvalid[[#This Row],[cutoff]]),MONTH(m7_crossvalid[[#This Row],[cutoff]]),DAY(m7_crossvalid[[#This Row],[cutoff]]))</f>
        <v>46022</v>
      </c>
      <c r="B396" s="7">
        <f>DATE(YEAR(m7_crossvalid[[#This Row],[ds]]),MONTH(m7_crossvalid[[#This Row],[ds]]),DAY(m7_crossvalid[[#This Row],[ds]]))</f>
        <v>46045</v>
      </c>
      <c r="C396">
        <v>3000</v>
      </c>
      <c r="D396" s="1">
        <v>46045.333333333336</v>
      </c>
      <c r="E396">
        <v>3204.0143956170682</v>
      </c>
      <c r="F396">
        <v>1826.2781434550934</v>
      </c>
      <c r="G396">
        <v>4638.4515266260696</v>
      </c>
      <c r="H396" s="1">
        <v>46022.333333333336</v>
      </c>
    </row>
    <row r="397" spans="1:8" x14ac:dyDescent="0.25">
      <c r="A397" s="7">
        <f>DATE(YEAR(m7_crossvalid[[#This Row],[cutoff]]),MONTH(m7_crossvalid[[#This Row],[cutoff]]),DAY(m7_crossvalid[[#This Row],[cutoff]]))</f>
        <v>46022</v>
      </c>
      <c r="B397" s="7">
        <f>DATE(YEAR(m7_crossvalid[[#This Row],[ds]]),MONTH(m7_crossvalid[[#This Row],[ds]]),DAY(m7_crossvalid[[#This Row],[ds]]))</f>
        <v>46046</v>
      </c>
      <c r="C397">
        <v>902</v>
      </c>
      <c r="D397" s="1">
        <v>46046.333333333336</v>
      </c>
      <c r="E397">
        <v>908.52625075636411</v>
      </c>
      <c r="F397">
        <v>-518.18047976393905</v>
      </c>
      <c r="G397">
        <v>2264.8970857968916</v>
      </c>
      <c r="H397" s="1">
        <v>46022.333333333336</v>
      </c>
    </row>
    <row r="398" spans="1:8" x14ac:dyDescent="0.25">
      <c r="A398" s="7">
        <f>DATE(YEAR(m7_crossvalid[[#This Row],[cutoff]]),MONTH(m7_crossvalid[[#This Row],[cutoff]]),DAY(m7_crossvalid[[#This Row],[cutoff]]))</f>
        <v>46022</v>
      </c>
      <c r="B398" s="7">
        <f>DATE(YEAR(m7_crossvalid[[#This Row],[ds]]),MONTH(m7_crossvalid[[#This Row],[ds]]),DAY(m7_crossvalid[[#This Row],[ds]]))</f>
        <v>46047</v>
      </c>
      <c r="C398">
        <v>150</v>
      </c>
      <c r="D398" s="1">
        <v>46047.333333333336</v>
      </c>
      <c r="E398">
        <v>1022.7088989267129</v>
      </c>
      <c r="F398">
        <v>-425.64844597939964</v>
      </c>
      <c r="G398">
        <v>2587.6545387668029</v>
      </c>
      <c r="H398" s="1">
        <v>46022.333333333336</v>
      </c>
    </row>
    <row r="399" spans="1:8" x14ac:dyDescent="0.25">
      <c r="A399" s="7">
        <f>DATE(YEAR(m7_crossvalid[[#This Row],[cutoff]]),MONTH(m7_crossvalid[[#This Row],[cutoff]]),DAY(m7_crossvalid[[#This Row],[cutoff]]))</f>
        <v>46022</v>
      </c>
      <c r="B399" s="7">
        <f>DATE(YEAR(m7_crossvalid[[#This Row],[ds]]),MONTH(m7_crossvalid[[#This Row],[ds]]),DAY(m7_crossvalid[[#This Row],[ds]]))</f>
        <v>46048</v>
      </c>
      <c r="C399">
        <v>3603</v>
      </c>
      <c r="D399" s="1">
        <v>46048.333333333336</v>
      </c>
      <c r="E399">
        <v>3672.2285260304175</v>
      </c>
      <c r="F399">
        <v>2127.8518963865818</v>
      </c>
      <c r="G399">
        <v>5104.8024750702289</v>
      </c>
      <c r="H399" s="1">
        <v>46022.333333333336</v>
      </c>
    </row>
    <row r="400" spans="1:8" x14ac:dyDescent="0.25">
      <c r="A400" s="7">
        <f>DATE(YEAR(m7_crossvalid[[#This Row],[cutoff]]),MONTH(m7_crossvalid[[#This Row],[cutoff]]),DAY(m7_crossvalid[[#This Row],[cutoff]]))</f>
        <v>46022</v>
      </c>
      <c r="B400" s="7">
        <f>DATE(YEAR(m7_crossvalid[[#This Row],[ds]]),MONTH(m7_crossvalid[[#This Row],[ds]]),DAY(m7_crossvalid[[#This Row],[ds]]))</f>
        <v>46049</v>
      </c>
      <c r="C400">
        <v>4548</v>
      </c>
      <c r="D400" s="1">
        <v>46049.333333333336</v>
      </c>
      <c r="E400">
        <v>4399.8594515142686</v>
      </c>
      <c r="F400">
        <v>2799.9601495389888</v>
      </c>
      <c r="G400">
        <v>5860.695761815583</v>
      </c>
      <c r="H400" s="1">
        <v>46022.333333333336</v>
      </c>
    </row>
    <row r="401" spans="1:8" x14ac:dyDescent="0.25">
      <c r="A401" s="7">
        <f>DATE(YEAR(m7_crossvalid[[#This Row],[cutoff]]),MONTH(m7_crossvalid[[#This Row],[cutoff]]),DAY(m7_crossvalid[[#This Row],[cutoff]]))</f>
        <v>46022</v>
      </c>
      <c r="B401" s="7">
        <f>DATE(YEAR(m7_crossvalid[[#This Row],[ds]]),MONTH(m7_crossvalid[[#This Row],[ds]]),DAY(m7_crossvalid[[#This Row],[ds]]))</f>
        <v>46050</v>
      </c>
      <c r="C401">
        <v>5313</v>
      </c>
      <c r="D401" s="1">
        <v>46050.333333333336</v>
      </c>
      <c r="E401">
        <v>5079.9308420609614</v>
      </c>
      <c r="F401">
        <v>3639.8898484049309</v>
      </c>
      <c r="G401">
        <v>6476.8321217366629</v>
      </c>
      <c r="H401" s="1">
        <v>46022.333333333336</v>
      </c>
    </row>
    <row r="402" spans="1:8" x14ac:dyDescent="0.25">
      <c r="A402" s="7">
        <f>DATE(YEAR(m7_crossvalid[[#This Row],[cutoff]]),MONTH(m7_crossvalid[[#This Row],[cutoff]]),DAY(m7_crossvalid[[#This Row],[cutoff]]))</f>
        <v>46022</v>
      </c>
      <c r="B402" s="7">
        <f>DATE(YEAR(m7_crossvalid[[#This Row],[ds]]),MONTH(m7_crossvalid[[#This Row],[ds]]),DAY(m7_crossvalid[[#This Row],[ds]]))</f>
        <v>46051</v>
      </c>
      <c r="C402">
        <v>7326</v>
      </c>
      <c r="D402" s="1">
        <v>46051.333333333336</v>
      </c>
      <c r="E402">
        <v>5535.2444381884306</v>
      </c>
      <c r="F402">
        <v>4093.0764307540676</v>
      </c>
      <c r="G402">
        <v>6971.9741620784771</v>
      </c>
      <c r="H402" s="1">
        <v>46022.333333333336</v>
      </c>
    </row>
    <row r="403" spans="1:8" x14ac:dyDescent="0.25">
      <c r="A403" s="7">
        <f>DATE(YEAR(m7_crossvalid[[#This Row],[cutoff]]),MONTH(m7_crossvalid[[#This Row],[cutoff]]),DAY(m7_crossvalid[[#This Row],[cutoff]]))</f>
        <v>46022</v>
      </c>
      <c r="B403" s="7">
        <f>DATE(YEAR(m7_crossvalid[[#This Row],[ds]]),MONTH(m7_crossvalid[[#This Row],[ds]]),DAY(m7_crossvalid[[#This Row],[ds]]))</f>
        <v>46052</v>
      </c>
      <c r="C403">
        <v>10276</v>
      </c>
      <c r="D403" s="1">
        <v>46052.333333333336</v>
      </c>
      <c r="E403">
        <v>7628.5307535173379</v>
      </c>
      <c r="F403">
        <v>6172.2172020008247</v>
      </c>
      <c r="G403">
        <v>9135.666214182118</v>
      </c>
      <c r="H403" s="1">
        <v>46022.333333333336</v>
      </c>
    </row>
    <row r="404" spans="1:8" x14ac:dyDescent="0.25">
      <c r="A404" s="7">
        <f>DATE(YEAR(m7_crossvalid[[#This Row],[cutoff]]),MONTH(m7_crossvalid[[#This Row],[cutoff]]),DAY(m7_crossvalid[[#This Row],[cutoff]]))</f>
        <v>46022</v>
      </c>
      <c r="B404" s="7">
        <f>DATE(YEAR(m7_crossvalid[[#This Row],[ds]]),MONTH(m7_crossvalid[[#This Row],[ds]]),DAY(m7_crossvalid[[#This Row],[ds]]))</f>
        <v>46053</v>
      </c>
      <c r="C404">
        <v>7991</v>
      </c>
      <c r="D404" s="1">
        <v>46053.333333333336</v>
      </c>
      <c r="E404">
        <v>6951.4861003306778</v>
      </c>
      <c r="F404">
        <v>5537.4518461887474</v>
      </c>
      <c r="G404">
        <v>8391.1357127285901</v>
      </c>
      <c r="H404" s="1">
        <v>46022.333333333336</v>
      </c>
    </row>
    <row r="405" spans="1:8" x14ac:dyDescent="0.25">
      <c r="A405" s="7">
        <f>DATE(YEAR(m7_crossvalid[[#This Row],[cutoff]]),MONTH(m7_crossvalid[[#This Row],[cutoff]]),DAY(m7_crossvalid[[#This Row],[cutoff]]))</f>
        <v>46053</v>
      </c>
      <c r="B405" s="7">
        <f>DATE(YEAR(m7_crossvalid[[#This Row],[ds]]),MONTH(m7_crossvalid[[#This Row],[ds]]),DAY(m7_crossvalid[[#This Row],[ds]]))</f>
        <v>46054</v>
      </c>
      <c r="C405">
        <v>26</v>
      </c>
      <c r="D405" s="1">
        <v>46054.333333333336</v>
      </c>
      <c r="E405">
        <v>-2760.0535785901998</v>
      </c>
      <c r="F405">
        <v>-4339.0062720635833</v>
      </c>
      <c r="G405">
        <v>-1356.6139786748329</v>
      </c>
      <c r="H405" s="1">
        <v>46053.333333333336</v>
      </c>
    </row>
    <row r="406" spans="1:8" x14ac:dyDescent="0.25">
      <c r="A406" s="7">
        <f>DATE(YEAR(m7_crossvalid[[#This Row],[cutoff]]),MONTH(m7_crossvalid[[#This Row],[cutoff]]),DAY(m7_crossvalid[[#This Row],[cutoff]]))</f>
        <v>46053</v>
      </c>
      <c r="B406" s="7">
        <f>DATE(YEAR(m7_crossvalid[[#This Row],[ds]]),MONTH(m7_crossvalid[[#This Row],[ds]]),DAY(m7_crossvalid[[#This Row],[ds]]))</f>
        <v>46055</v>
      </c>
      <c r="C406">
        <v>134</v>
      </c>
      <c r="D406" s="1">
        <v>46055.333333333336</v>
      </c>
      <c r="E406">
        <v>-479.23218904291207</v>
      </c>
      <c r="F406">
        <v>-1898.140364526887</v>
      </c>
      <c r="G406">
        <v>1068.8563475694598</v>
      </c>
      <c r="H406" s="1">
        <v>46053.333333333336</v>
      </c>
    </row>
    <row r="407" spans="1:8" x14ac:dyDescent="0.25">
      <c r="A407" s="7">
        <f>DATE(YEAR(m7_crossvalid[[#This Row],[cutoff]]),MONTH(m7_crossvalid[[#This Row],[cutoff]]),DAY(m7_crossvalid[[#This Row],[cutoff]]))</f>
        <v>46053</v>
      </c>
      <c r="B407" s="7">
        <f>DATE(YEAR(m7_crossvalid[[#This Row],[ds]]),MONTH(m7_crossvalid[[#This Row],[ds]]),DAY(m7_crossvalid[[#This Row],[ds]]))</f>
        <v>46056</v>
      </c>
      <c r="C407">
        <v>521</v>
      </c>
      <c r="D407" s="1">
        <v>46056.333333333336</v>
      </c>
      <c r="E407">
        <v>-0.85119578102876403</v>
      </c>
      <c r="F407">
        <v>-1452.0937948741034</v>
      </c>
      <c r="G407">
        <v>1434.445649551752</v>
      </c>
      <c r="H407" s="1">
        <v>46053.333333333336</v>
      </c>
    </row>
    <row r="408" spans="1:8" x14ac:dyDescent="0.25">
      <c r="A408" s="7">
        <f>DATE(YEAR(m7_crossvalid[[#This Row],[cutoff]]),MONTH(m7_crossvalid[[#This Row],[cutoff]]),DAY(m7_crossvalid[[#This Row],[cutoff]]))</f>
        <v>46053</v>
      </c>
      <c r="B408" s="7">
        <f>DATE(YEAR(m7_crossvalid[[#This Row],[ds]]),MONTH(m7_crossvalid[[#This Row],[ds]]),DAY(m7_crossvalid[[#This Row],[ds]]))</f>
        <v>46057</v>
      </c>
      <c r="C408">
        <v>696</v>
      </c>
      <c r="D408" s="1">
        <v>46057.333333333336</v>
      </c>
      <c r="E408">
        <v>1783.2846378437571</v>
      </c>
      <c r="F408">
        <v>259.44041018462923</v>
      </c>
      <c r="G408">
        <v>3299.3277265780853</v>
      </c>
      <c r="H408" s="1">
        <v>46053.333333333336</v>
      </c>
    </row>
    <row r="409" spans="1:8" x14ac:dyDescent="0.25">
      <c r="A409" s="7">
        <f>DATE(YEAR(m7_crossvalid[[#This Row],[cutoff]]),MONTH(m7_crossvalid[[#This Row],[cutoff]]),DAY(m7_crossvalid[[#This Row],[cutoff]]))</f>
        <v>46053</v>
      </c>
      <c r="B409" s="7">
        <f>DATE(YEAR(m7_crossvalid[[#This Row],[ds]]),MONTH(m7_crossvalid[[#This Row],[ds]]),DAY(m7_crossvalid[[#This Row],[ds]]))</f>
        <v>46058</v>
      </c>
      <c r="C409">
        <v>1038</v>
      </c>
      <c r="D409" s="1">
        <v>46058.333333333336</v>
      </c>
      <c r="E409">
        <v>1865.8392243034932</v>
      </c>
      <c r="F409">
        <v>436.99568229424335</v>
      </c>
      <c r="G409">
        <v>3265.6530105668453</v>
      </c>
      <c r="H409" s="1">
        <v>46053.333333333336</v>
      </c>
    </row>
    <row r="410" spans="1:8" x14ac:dyDescent="0.25">
      <c r="A410" s="7">
        <f>DATE(YEAR(m7_crossvalid[[#This Row],[cutoff]]),MONTH(m7_crossvalid[[#This Row],[cutoff]]),DAY(m7_crossvalid[[#This Row],[cutoff]]))</f>
        <v>46053</v>
      </c>
      <c r="B410" s="7">
        <f>DATE(YEAR(m7_crossvalid[[#This Row],[ds]]),MONTH(m7_crossvalid[[#This Row],[ds]]),DAY(m7_crossvalid[[#This Row],[ds]]))</f>
        <v>46059</v>
      </c>
      <c r="C410">
        <v>1414</v>
      </c>
      <c r="D410" s="1">
        <v>46059.333333333336</v>
      </c>
      <c r="E410">
        <v>1887.1850707913741</v>
      </c>
      <c r="F410">
        <v>332.28079337943518</v>
      </c>
      <c r="G410">
        <v>3358.4331368067574</v>
      </c>
      <c r="H410" s="1">
        <v>46053.333333333336</v>
      </c>
    </row>
    <row r="411" spans="1:8" x14ac:dyDescent="0.25">
      <c r="A411" s="7">
        <f>DATE(YEAR(m7_crossvalid[[#This Row],[cutoff]]),MONTH(m7_crossvalid[[#This Row],[cutoff]]),DAY(m7_crossvalid[[#This Row],[cutoff]]))</f>
        <v>46053</v>
      </c>
      <c r="B411" s="7">
        <f>DATE(YEAR(m7_crossvalid[[#This Row],[ds]]),MONTH(m7_crossvalid[[#This Row],[ds]]),DAY(m7_crossvalid[[#This Row],[ds]]))</f>
        <v>46060</v>
      </c>
      <c r="C411">
        <v>286</v>
      </c>
      <c r="D411" s="1">
        <v>46060.333333333336</v>
      </c>
      <c r="E411">
        <v>-523.1904818064736</v>
      </c>
      <c r="F411">
        <v>-1938.2482392722345</v>
      </c>
      <c r="G411">
        <v>915.9301177342154</v>
      </c>
      <c r="H411" s="1">
        <v>46053.333333333336</v>
      </c>
    </row>
    <row r="412" spans="1:8" x14ac:dyDescent="0.25">
      <c r="A412" s="7">
        <f>DATE(YEAR(m7_crossvalid[[#This Row],[cutoff]]),MONTH(m7_crossvalid[[#This Row],[cutoff]]),DAY(m7_crossvalid[[#This Row],[cutoff]]))</f>
        <v>46053</v>
      </c>
      <c r="B412" s="7">
        <f>DATE(YEAR(m7_crossvalid[[#This Row],[ds]]),MONTH(m7_crossvalid[[#This Row],[ds]]),DAY(m7_crossvalid[[#This Row],[ds]]))</f>
        <v>46061</v>
      </c>
      <c r="C412">
        <v>82</v>
      </c>
      <c r="D412" s="1">
        <v>46061.333333333336</v>
      </c>
      <c r="E412">
        <v>-540.29746550380651</v>
      </c>
      <c r="F412">
        <v>-1974.4590701353948</v>
      </c>
      <c r="G412">
        <v>899.56472595264836</v>
      </c>
      <c r="H412" s="1">
        <v>46053.333333333336</v>
      </c>
    </row>
    <row r="413" spans="1:8" x14ac:dyDescent="0.25">
      <c r="A413" s="7">
        <f>DATE(YEAR(m7_crossvalid[[#This Row],[cutoff]]),MONTH(m7_crossvalid[[#This Row],[cutoff]]),DAY(m7_crossvalid[[#This Row],[cutoff]]))</f>
        <v>46053</v>
      </c>
      <c r="B413" s="7">
        <f>DATE(YEAR(m7_crossvalid[[#This Row],[ds]]),MONTH(m7_crossvalid[[#This Row],[ds]]),DAY(m7_crossvalid[[#This Row],[ds]]))</f>
        <v>46062</v>
      </c>
      <c r="C413">
        <v>1902</v>
      </c>
      <c r="D413" s="1">
        <v>46062.333333333336</v>
      </c>
      <c r="E413">
        <v>1881.9645419079793</v>
      </c>
      <c r="F413">
        <v>494.93510931861692</v>
      </c>
      <c r="G413">
        <v>3338.0068110076968</v>
      </c>
      <c r="H413" s="1">
        <v>46053.333333333336</v>
      </c>
    </row>
    <row r="414" spans="1:8" x14ac:dyDescent="0.25">
      <c r="A414" s="7">
        <f>DATE(YEAR(m7_crossvalid[[#This Row],[cutoff]]),MONTH(m7_crossvalid[[#This Row],[cutoff]]),DAY(m7_crossvalid[[#This Row],[cutoff]]))</f>
        <v>46053</v>
      </c>
      <c r="B414" s="7">
        <f>DATE(YEAR(m7_crossvalid[[#This Row],[ds]]),MONTH(m7_crossvalid[[#This Row],[ds]]),DAY(m7_crossvalid[[#This Row],[ds]]))</f>
        <v>46063</v>
      </c>
      <c r="C414">
        <v>2288</v>
      </c>
      <c r="D414" s="1">
        <v>46063.333333333336</v>
      </c>
      <c r="E414">
        <v>2217.661770836914</v>
      </c>
      <c r="F414">
        <v>718.92529650873951</v>
      </c>
      <c r="G414">
        <v>3588.3069532103464</v>
      </c>
      <c r="H414" s="1">
        <v>46053.333333333336</v>
      </c>
    </row>
    <row r="415" spans="1:8" x14ac:dyDescent="0.25">
      <c r="A415" s="7">
        <f>DATE(YEAR(m7_crossvalid[[#This Row],[cutoff]]),MONTH(m7_crossvalid[[#This Row],[cutoff]]),DAY(m7_crossvalid[[#This Row],[cutoff]]))</f>
        <v>46053</v>
      </c>
      <c r="B415" s="7">
        <f>DATE(YEAR(m7_crossvalid[[#This Row],[ds]]),MONTH(m7_crossvalid[[#This Row],[ds]]),DAY(m7_crossvalid[[#This Row],[ds]]))</f>
        <v>46064</v>
      </c>
      <c r="C415">
        <v>2663</v>
      </c>
      <c r="D415" s="1">
        <v>46064.333333333336</v>
      </c>
      <c r="E415">
        <v>2448.6473409808696</v>
      </c>
      <c r="F415">
        <v>912.86320309034772</v>
      </c>
      <c r="G415">
        <v>3941.7781678405554</v>
      </c>
      <c r="H415" s="1">
        <v>46053.333333333336</v>
      </c>
    </row>
    <row r="416" spans="1:8" x14ac:dyDescent="0.25">
      <c r="A416" s="7">
        <f>DATE(YEAR(m7_crossvalid[[#This Row],[cutoff]]),MONTH(m7_crossvalid[[#This Row],[cutoff]]),DAY(m7_crossvalid[[#This Row],[cutoff]]))</f>
        <v>46053</v>
      </c>
      <c r="B416" s="7">
        <f>DATE(YEAR(m7_crossvalid[[#This Row],[ds]]),MONTH(m7_crossvalid[[#This Row],[ds]]),DAY(m7_crossvalid[[#This Row],[ds]]))</f>
        <v>46065</v>
      </c>
      <c r="C416">
        <v>3108</v>
      </c>
      <c r="D416" s="1">
        <v>46065.333333333336</v>
      </c>
      <c r="E416">
        <v>2545.7062696174203</v>
      </c>
      <c r="F416">
        <v>1193.7084841849348</v>
      </c>
      <c r="G416">
        <v>3926.2567624020489</v>
      </c>
      <c r="H416" s="1">
        <v>46053.333333333336</v>
      </c>
    </row>
    <row r="417" spans="1:8" x14ac:dyDescent="0.25">
      <c r="A417" s="7">
        <f>DATE(YEAR(m7_crossvalid[[#This Row],[cutoff]]),MONTH(m7_crossvalid[[#This Row],[cutoff]]),DAY(m7_crossvalid[[#This Row],[cutoff]]))</f>
        <v>46053</v>
      </c>
      <c r="B417" s="7">
        <f>DATE(YEAR(m7_crossvalid[[#This Row],[ds]]),MONTH(m7_crossvalid[[#This Row],[ds]]),DAY(m7_crossvalid[[#This Row],[ds]]))</f>
        <v>46066</v>
      </c>
      <c r="C417">
        <v>3172</v>
      </c>
      <c r="D417" s="1">
        <v>46066.333333333336</v>
      </c>
      <c r="E417">
        <v>2540.3340507157259</v>
      </c>
      <c r="F417">
        <v>1111.441772478282</v>
      </c>
      <c r="G417">
        <v>3988.0727420325029</v>
      </c>
      <c r="H417" s="1">
        <v>46053.333333333336</v>
      </c>
    </row>
    <row r="418" spans="1:8" x14ac:dyDescent="0.25">
      <c r="A418" s="7">
        <f>DATE(YEAR(m7_crossvalid[[#This Row],[cutoff]]),MONTH(m7_crossvalid[[#This Row],[cutoff]]),DAY(m7_crossvalid[[#This Row],[cutoff]]))</f>
        <v>46053</v>
      </c>
      <c r="B418" s="7">
        <f>DATE(YEAR(m7_crossvalid[[#This Row],[ds]]),MONTH(m7_crossvalid[[#This Row],[ds]]),DAY(m7_crossvalid[[#This Row],[ds]]))</f>
        <v>46067</v>
      </c>
      <c r="C418">
        <v>913</v>
      </c>
      <c r="D418" s="1">
        <v>46067.333333333336</v>
      </c>
      <c r="E418">
        <v>263.05235216319534</v>
      </c>
      <c r="F418">
        <v>-1119.6865021955794</v>
      </c>
      <c r="G418">
        <v>1683.5070698598629</v>
      </c>
      <c r="H418" s="1">
        <v>46053.333333333336</v>
      </c>
    </row>
    <row r="419" spans="1:8" x14ac:dyDescent="0.25">
      <c r="A419" s="7">
        <f>DATE(YEAR(m7_crossvalid[[#This Row],[cutoff]]),MONTH(m7_crossvalid[[#This Row],[cutoff]]),DAY(m7_crossvalid[[#This Row],[cutoff]]))</f>
        <v>46053</v>
      </c>
      <c r="B419" s="7">
        <f>DATE(YEAR(m7_crossvalid[[#This Row],[ds]]),MONTH(m7_crossvalid[[#This Row],[ds]]),DAY(m7_crossvalid[[#This Row],[ds]]))</f>
        <v>46068</v>
      </c>
      <c r="C419">
        <v>208</v>
      </c>
      <c r="D419" s="1">
        <v>46068.333333333336</v>
      </c>
      <c r="E419">
        <v>-215.15537668727347</v>
      </c>
      <c r="F419">
        <v>-1667.8916108998701</v>
      </c>
      <c r="G419">
        <v>1219.6024566436274</v>
      </c>
      <c r="H419" s="1">
        <v>46053.333333333336</v>
      </c>
    </row>
    <row r="420" spans="1:8" x14ac:dyDescent="0.25">
      <c r="A420" s="7">
        <f>DATE(YEAR(m7_crossvalid[[#This Row],[cutoff]]),MONTH(m7_crossvalid[[#This Row],[cutoff]]),DAY(m7_crossvalid[[#This Row],[cutoff]]))</f>
        <v>46053</v>
      </c>
      <c r="B420" s="7">
        <f>DATE(YEAR(m7_crossvalid[[#This Row],[ds]]),MONTH(m7_crossvalid[[#This Row],[ds]]),DAY(m7_crossvalid[[#This Row],[ds]]))</f>
        <v>46069</v>
      </c>
      <c r="C420">
        <v>1728</v>
      </c>
      <c r="D420" s="1">
        <v>46069.333333333336</v>
      </c>
      <c r="E420">
        <v>2458.0655996530731</v>
      </c>
      <c r="F420">
        <v>1074.8806556572908</v>
      </c>
      <c r="G420">
        <v>3949.7223975571433</v>
      </c>
      <c r="H420" s="1">
        <v>46053.333333333336</v>
      </c>
    </row>
    <row r="421" spans="1:8" x14ac:dyDescent="0.25">
      <c r="A421" s="7">
        <f>DATE(YEAR(m7_crossvalid[[#This Row],[cutoff]]),MONTH(m7_crossvalid[[#This Row],[cutoff]]),DAY(m7_crossvalid[[#This Row],[cutoff]]))</f>
        <v>46053</v>
      </c>
      <c r="B421" s="7">
        <f>DATE(YEAR(m7_crossvalid[[#This Row],[ds]]),MONTH(m7_crossvalid[[#This Row],[ds]]),DAY(m7_crossvalid[[#This Row],[ds]]))</f>
        <v>46070</v>
      </c>
      <c r="C421">
        <v>27</v>
      </c>
      <c r="D421" s="1">
        <v>46070.333333333336</v>
      </c>
      <c r="E421">
        <v>777.01046727081302</v>
      </c>
      <c r="F421">
        <v>-667.14335991742814</v>
      </c>
      <c r="G421">
        <v>2232.8400819246035</v>
      </c>
      <c r="H421" s="1">
        <v>46053.333333333336</v>
      </c>
    </row>
    <row r="422" spans="1:8" x14ac:dyDescent="0.25">
      <c r="A422" s="7">
        <f>DATE(YEAR(m7_crossvalid[[#This Row],[cutoff]]),MONTH(m7_crossvalid[[#This Row],[cutoff]]),DAY(m7_crossvalid[[#This Row],[cutoff]]))</f>
        <v>46053</v>
      </c>
      <c r="B422" s="7">
        <f>DATE(YEAR(m7_crossvalid[[#This Row],[ds]]),MONTH(m7_crossvalid[[#This Row],[ds]]),DAY(m7_crossvalid[[#This Row],[ds]]))</f>
        <v>46071</v>
      </c>
      <c r="C422">
        <v>21</v>
      </c>
      <c r="D422" s="1">
        <v>46071.333333333336</v>
      </c>
      <c r="E422">
        <v>857.84365422894962</v>
      </c>
      <c r="F422">
        <v>-562.3041596319415</v>
      </c>
      <c r="G422">
        <v>2352.882505433533</v>
      </c>
      <c r="H422" s="1">
        <v>46053.333333333336</v>
      </c>
    </row>
    <row r="423" spans="1:8" x14ac:dyDescent="0.25">
      <c r="A423" s="7">
        <f>DATE(YEAR(m7_crossvalid[[#This Row],[cutoff]]),MONTH(m7_crossvalid[[#This Row],[cutoff]]),DAY(m7_crossvalid[[#This Row],[cutoff]]))</f>
        <v>46053</v>
      </c>
      <c r="B423" s="7">
        <f>DATE(YEAR(m7_crossvalid[[#This Row],[ds]]),MONTH(m7_crossvalid[[#This Row],[ds]]),DAY(m7_crossvalid[[#This Row],[ds]]))</f>
        <v>46072</v>
      </c>
      <c r="C423">
        <v>1000</v>
      </c>
      <c r="D423" s="1">
        <v>46072.333333333336</v>
      </c>
      <c r="E423">
        <v>2986.95237120408</v>
      </c>
      <c r="F423">
        <v>1667.8931751094938</v>
      </c>
      <c r="G423">
        <v>4451.876907952872</v>
      </c>
      <c r="H423" s="1">
        <v>46053.333333333336</v>
      </c>
    </row>
    <row r="424" spans="1:8" x14ac:dyDescent="0.25">
      <c r="A424" s="7">
        <f>DATE(YEAR(m7_crossvalid[[#This Row],[cutoff]]),MONTH(m7_crossvalid[[#This Row],[cutoff]]),DAY(m7_crossvalid[[#This Row],[cutoff]]))</f>
        <v>46053</v>
      </c>
      <c r="B424" s="7">
        <f>DATE(YEAR(m7_crossvalid[[#This Row],[ds]]),MONTH(m7_crossvalid[[#This Row],[ds]]),DAY(m7_crossvalid[[#This Row],[ds]]))</f>
        <v>46073</v>
      </c>
      <c r="C424">
        <v>1555</v>
      </c>
      <c r="D424" s="1">
        <v>46073.333333333336</v>
      </c>
      <c r="E424">
        <v>3053.6186969186283</v>
      </c>
      <c r="F424">
        <v>1577.9686123836773</v>
      </c>
      <c r="G424">
        <v>4510.2149296606012</v>
      </c>
      <c r="H424" s="1">
        <v>46053.333333333336</v>
      </c>
    </row>
    <row r="425" spans="1:8" x14ac:dyDescent="0.25">
      <c r="A425" s="7">
        <f>DATE(YEAR(m7_crossvalid[[#This Row],[cutoff]]),MONTH(m7_crossvalid[[#This Row],[cutoff]]),DAY(m7_crossvalid[[#This Row],[cutoff]]))</f>
        <v>46053</v>
      </c>
      <c r="B425" s="7">
        <f>DATE(YEAR(m7_crossvalid[[#This Row],[ds]]),MONTH(m7_crossvalid[[#This Row],[ds]]),DAY(m7_crossvalid[[#This Row],[ds]]))</f>
        <v>46074</v>
      </c>
      <c r="C425">
        <v>492</v>
      </c>
      <c r="D425" s="1">
        <v>46074.333333333336</v>
      </c>
      <c r="E425">
        <v>817.57769923823025</v>
      </c>
      <c r="F425">
        <v>-642.64618943459573</v>
      </c>
      <c r="G425">
        <v>2286.7241183742167</v>
      </c>
      <c r="H425" s="1">
        <v>46053.333333333336</v>
      </c>
    </row>
    <row r="426" spans="1:8" x14ac:dyDescent="0.25">
      <c r="A426" s="7">
        <f>DATE(YEAR(m7_crossvalid[[#This Row],[cutoff]]),MONTH(m7_crossvalid[[#This Row],[cutoff]]),DAY(m7_crossvalid[[#This Row],[cutoff]]))</f>
        <v>46053</v>
      </c>
      <c r="B426" s="7">
        <f>DATE(YEAR(m7_crossvalid[[#This Row],[ds]]),MONTH(m7_crossvalid[[#This Row],[ds]]),DAY(m7_crossvalid[[#This Row],[ds]]))</f>
        <v>46075</v>
      </c>
      <c r="C426">
        <v>159</v>
      </c>
      <c r="D426" s="1">
        <v>46075.333333333336</v>
      </c>
      <c r="E426">
        <v>1220.9117752668926</v>
      </c>
      <c r="F426">
        <v>-214.15572509403577</v>
      </c>
      <c r="G426">
        <v>2676.4153364921108</v>
      </c>
      <c r="H426" s="1">
        <v>46053.333333333336</v>
      </c>
    </row>
    <row r="427" spans="1:8" x14ac:dyDescent="0.25">
      <c r="A427" s="7">
        <f>DATE(YEAR(m7_crossvalid[[#This Row],[cutoff]]),MONTH(m7_crossvalid[[#This Row],[cutoff]]),DAY(m7_crossvalid[[#This Row],[cutoff]]))</f>
        <v>46053</v>
      </c>
      <c r="B427" s="7">
        <f>DATE(YEAR(m7_crossvalid[[#This Row],[ds]]),MONTH(m7_crossvalid[[#This Row],[ds]]),DAY(m7_crossvalid[[#This Row],[ds]]))</f>
        <v>46076</v>
      </c>
      <c r="C427">
        <v>2313</v>
      </c>
      <c r="D427" s="1">
        <v>46076.333333333336</v>
      </c>
      <c r="E427">
        <v>3870.4498116781369</v>
      </c>
      <c r="F427">
        <v>2294.0197406852826</v>
      </c>
      <c r="G427">
        <v>5380.8468917356468</v>
      </c>
      <c r="H427" s="1">
        <v>46053.333333333336</v>
      </c>
    </row>
    <row r="428" spans="1:8" x14ac:dyDescent="0.25">
      <c r="A428" s="7">
        <f>DATE(YEAR(m7_crossvalid[[#This Row],[cutoff]]),MONTH(m7_crossvalid[[#This Row],[cutoff]]),DAY(m7_crossvalid[[#This Row],[cutoff]]))</f>
        <v>46053</v>
      </c>
      <c r="B428" s="7">
        <f>DATE(YEAR(m7_crossvalid[[#This Row],[ds]]),MONTH(m7_crossvalid[[#This Row],[ds]]),DAY(m7_crossvalid[[#This Row],[ds]]))</f>
        <v>46077</v>
      </c>
      <c r="C428">
        <v>3081</v>
      </c>
      <c r="D428" s="1">
        <v>46077.333333333336</v>
      </c>
      <c r="E428">
        <v>4046.8372411919695</v>
      </c>
      <c r="F428">
        <v>2647.0431304548079</v>
      </c>
      <c r="G428">
        <v>5614.8001070052824</v>
      </c>
      <c r="H428" s="1">
        <v>46053.333333333336</v>
      </c>
    </row>
    <row r="429" spans="1:8" x14ac:dyDescent="0.25">
      <c r="A429" s="7">
        <f>DATE(YEAR(m7_crossvalid[[#This Row],[cutoff]]),MONTH(m7_crossvalid[[#This Row],[cutoff]]),DAY(m7_crossvalid[[#This Row],[cutoff]]))</f>
        <v>46053</v>
      </c>
      <c r="B429" s="7">
        <f>DATE(YEAR(m7_crossvalid[[#This Row],[ds]]),MONTH(m7_crossvalid[[#This Row],[ds]]),DAY(m7_crossvalid[[#This Row],[ds]]))</f>
        <v>46078</v>
      </c>
      <c r="C429">
        <v>4066</v>
      </c>
      <c r="D429" s="1">
        <v>46078.333333333336</v>
      </c>
      <c r="E429">
        <v>4058.7903369594032</v>
      </c>
      <c r="F429">
        <v>2564.8702298370717</v>
      </c>
      <c r="G429">
        <v>5384.0741944474321</v>
      </c>
      <c r="H429" s="1">
        <v>46053.333333333336</v>
      </c>
    </row>
    <row r="430" spans="1:8" x14ac:dyDescent="0.25">
      <c r="A430" s="7">
        <f>DATE(YEAR(m7_crossvalid[[#This Row],[cutoff]]),MONTH(m7_crossvalid[[#This Row],[cutoff]]),DAY(m7_crossvalid[[#This Row],[cutoff]]))</f>
        <v>46053</v>
      </c>
      <c r="B430" s="7">
        <f>DATE(YEAR(m7_crossvalid[[#This Row],[ds]]),MONTH(m7_crossvalid[[#This Row],[ds]]),DAY(m7_crossvalid[[#This Row],[ds]]))</f>
        <v>46079</v>
      </c>
      <c r="C430">
        <v>5569</v>
      </c>
      <c r="D430" s="1">
        <v>46079.333333333336</v>
      </c>
      <c r="E430">
        <v>4347.5461309095508</v>
      </c>
      <c r="F430">
        <v>2798.6200201326205</v>
      </c>
      <c r="G430">
        <v>5662.2716155077742</v>
      </c>
      <c r="H430" s="1">
        <v>46053.333333333336</v>
      </c>
    </row>
    <row r="431" spans="1:8" x14ac:dyDescent="0.25">
      <c r="A431" s="7">
        <f>DATE(YEAR(m7_crossvalid[[#This Row],[cutoff]]),MONTH(m7_crossvalid[[#This Row],[cutoff]]),DAY(m7_crossvalid[[#This Row],[cutoff]]))</f>
        <v>46053</v>
      </c>
      <c r="B431" s="7">
        <f>DATE(YEAR(m7_crossvalid[[#This Row],[ds]]),MONTH(m7_crossvalid[[#This Row],[ds]]),DAY(m7_crossvalid[[#This Row],[ds]]))</f>
        <v>46080</v>
      </c>
      <c r="C431">
        <v>8803</v>
      </c>
      <c r="D431" s="1">
        <v>46080.333333333336</v>
      </c>
      <c r="E431">
        <v>7344.0175107708592</v>
      </c>
      <c r="F431">
        <v>5925.072366834941</v>
      </c>
      <c r="G431">
        <v>8735.5567234487171</v>
      </c>
      <c r="H431" s="1">
        <v>46053.333333333336</v>
      </c>
    </row>
    <row r="432" spans="1:8" x14ac:dyDescent="0.25">
      <c r="A432" s="7">
        <f>DATE(YEAR(m7_crossvalid[[#This Row],[cutoff]]),MONTH(m7_crossvalid[[#This Row],[cutoff]]),DAY(m7_crossvalid[[#This Row],[cutoff]]))</f>
        <v>46053</v>
      </c>
      <c r="B432" s="7">
        <f>DATE(YEAR(m7_crossvalid[[#This Row],[ds]]),MONTH(m7_crossvalid[[#This Row],[ds]]),DAY(m7_crossvalid[[#This Row],[ds]]))</f>
        <v>46081</v>
      </c>
      <c r="C432">
        <v>9425</v>
      </c>
      <c r="D432" s="1">
        <v>46081.333333333336</v>
      </c>
      <c r="E432">
        <v>8315.6249609419174</v>
      </c>
      <c r="F432">
        <v>6763.8729535598104</v>
      </c>
      <c r="G432">
        <v>9803.0663682175054</v>
      </c>
      <c r="H432" s="1">
        <v>46053.333333333336</v>
      </c>
    </row>
    <row r="433" spans="1:8" x14ac:dyDescent="0.25">
      <c r="A433" s="7">
        <f>DATE(YEAR(m7_crossvalid[[#This Row],[cutoff]]),MONTH(m7_crossvalid[[#This Row],[cutoff]]),DAY(m7_crossvalid[[#This Row],[cutoff]]))</f>
        <v>46053</v>
      </c>
      <c r="B433" s="7">
        <f>DATE(YEAR(m7_crossvalid[[#This Row],[ds]]),MONTH(m7_crossvalid[[#This Row],[ds]]),DAY(m7_crossvalid[[#This Row],[ds]]))</f>
        <v>46082</v>
      </c>
      <c r="C433">
        <v>40</v>
      </c>
      <c r="D433" s="1">
        <v>46082.333333333336</v>
      </c>
      <c r="E433">
        <v>1195.2405700707402</v>
      </c>
      <c r="F433">
        <v>-230.33684685902907</v>
      </c>
      <c r="G433">
        <v>2584.1059816062143</v>
      </c>
      <c r="H433" s="1">
        <v>46053.333333333336</v>
      </c>
    </row>
    <row r="434" spans="1:8" x14ac:dyDescent="0.25">
      <c r="A434" s="7">
        <f>DATE(YEAR(m7_crossvalid[[#This Row],[cutoff]]),MONTH(m7_crossvalid[[#This Row],[cutoff]]),DAY(m7_crossvalid[[#This Row],[cutoff]]))</f>
        <v>46053</v>
      </c>
      <c r="B434" s="7">
        <f>DATE(YEAR(m7_crossvalid[[#This Row],[ds]]),MONTH(m7_crossvalid[[#This Row],[ds]]),DAY(m7_crossvalid[[#This Row],[ds]]))</f>
        <v>46083</v>
      </c>
      <c r="C434">
        <v>617</v>
      </c>
      <c r="D434" s="1">
        <v>46083.333333333336</v>
      </c>
      <c r="E434">
        <v>2792.9562819880825</v>
      </c>
      <c r="F434">
        <v>1332.5756749226064</v>
      </c>
      <c r="G434">
        <v>4221.2118036424017</v>
      </c>
      <c r="H434" s="1">
        <v>46053.333333333336</v>
      </c>
    </row>
    <row r="435" spans="1:8" x14ac:dyDescent="0.25">
      <c r="A435" s="7">
        <f>DATE(YEAR(m7_crossvalid[[#This Row],[cutoff]]),MONTH(m7_crossvalid[[#This Row],[cutoff]]),DAY(m7_crossvalid[[#This Row],[cutoff]]))</f>
        <v>46053</v>
      </c>
      <c r="B435" s="7">
        <f>DATE(YEAR(m7_crossvalid[[#This Row],[ds]]),MONTH(m7_crossvalid[[#This Row],[ds]]),DAY(m7_crossvalid[[#This Row],[ds]]))</f>
        <v>46084</v>
      </c>
      <c r="C435">
        <v>799</v>
      </c>
      <c r="D435" s="1">
        <v>46084.333333333336</v>
      </c>
      <c r="E435">
        <v>2202.3846202709728</v>
      </c>
      <c r="F435">
        <v>727.94057360218221</v>
      </c>
      <c r="G435">
        <v>3588.1896964252469</v>
      </c>
      <c r="H435" s="1">
        <v>46053.333333333336</v>
      </c>
    </row>
    <row r="436" spans="1:8" x14ac:dyDescent="0.25">
      <c r="A436" s="7">
        <f>DATE(YEAR(m7_crossvalid[[#This Row],[cutoff]]),MONTH(m7_crossvalid[[#This Row],[cutoff]]),DAY(m7_crossvalid[[#This Row],[cutoff]]))</f>
        <v>46081</v>
      </c>
      <c r="B436" s="7">
        <f>DATE(YEAR(m7_crossvalid[[#This Row],[ds]]),MONTH(m7_crossvalid[[#This Row],[ds]]),DAY(m7_crossvalid[[#This Row],[ds]]))</f>
        <v>46082</v>
      </c>
      <c r="C436">
        <v>40</v>
      </c>
      <c r="D436" s="1">
        <v>46082.333333333336</v>
      </c>
      <c r="E436">
        <v>1293.641266090458</v>
      </c>
      <c r="F436">
        <v>-118.55262009091639</v>
      </c>
      <c r="G436">
        <v>2753.44870748116</v>
      </c>
      <c r="H436" s="1">
        <v>46081.333333333336</v>
      </c>
    </row>
    <row r="437" spans="1:8" x14ac:dyDescent="0.25">
      <c r="A437" s="7">
        <f>DATE(YEAR(m7_crossvalid[[#This Row],[cutoff]]),MONTH(m7_crossvalid[[#This Row],[cutoff]]),DAY(m7_crossvalid[[#This Row],[cutoff]]))</f>
        <v>46081</v>
      </c>
      <c r="B437" s="7">
        <f>DATE(YEAR(m7_crossvalid[[#This Row],[ds]]),MONTH(m7_crossvalid[[#This Row],[ds]]),DAY(m7_crossvalid[[#This Row],[ds]]))</f>
        <v>46083</v>
      </c>
      <c r="C437">
        <v>617</v>
      </c>
      <c r="D437" s="1">
        <v>46083.333333333336</v>
      </c>
      <c r="E437">
        <v>2796.7512069129421</v>
      </c>
      <c r="F437">
        <v>1331.3877330013015</v>
      </c>
      <c r="G437">
        <v>4306.3454352517811</v>
      </c>
      <c r="H437" s="1">
        <v>46081.333333333336</v>
      </c>
    </row>
    <row r="438" spans="1:8" x14ac:dyDescent="0.25">
      <c r="A438" s="7">
        <f>DATE(YEAR(m7_crossvalid[[#This Row],[cutoff]]),MONTH(m7_crossvalid[[#This Row],[cutoff]]),DAY(m7_crossvalid[[#This Row],[cutoff]]))</f>
        <v>46081</v>
      </c>
      <c r="B438" s="7">
        <f>DATE(YEAR(m7_crossvalid[[#This Row],[ds]]),MONTH(m7_crossvalid[[#This Row],[ds]]),DAY(m7_crossvalid[[#This Row],[ds]]))</f>
        <v>46084</v>
      </c>
      <c r="C438">
        <v>799</v>
      </c>
      <c r="D438" s="1">
        <v>46084.333333333336</v>
      </c>
      <c r="E438">
        <v>2199.3122262472298</v>
      </c>
      <c r="F438">
        <v>696.59771086682883</v>
      </c>
      <c r="G438">
        <v>3672.5679141315381</v>
      </c>
      <c r="H438" s="1">
        <v>46081.333333333336</v>
      </c>
    </row>
    <row r="439" spans="1:8" x14ac:dyDescent="0.25">
      <c r="A439" s="7">
        <f>DATE(YEAR(m7_crossvalid[[#This Row],[cutoff]]),MONTH(m7_crossvalid[[#This Row],[cutoff]]),DAY(m7_crossvalid[[#This Row],[cutoff]]))</f>
        <v>46081</v>
      </c>
      <c r="B439" s="7">
        <f>DATE(YEAR(m7_crossvalid[[#This Row],[ds]]),MONTH(m7_crossvalid[[#This Row],[ds]]),DAY(m7_crossvalid[[#This Row],[ds]]))</f>
        <v>46085</v>
      </c>
      <c r="C439">
        <v>995</v>
      </c>
      <c r="D439" s="1">
        <v>46085.333333333336</v>
      </c>
      <c r="E439">
        <v>1882.0091756278625</v>
      </c>
      <c r="F439">
        <v>463.45126139939811</v>
      </c>
      <c r="G439">
        <v>3266.4273890634058</v>
      </c>
      <c r="H439" s="1">
        <v>46081.333333333336</v>
      </c>
    </row>
    <row r="440" spans="1:8" x14ac:dyDescent="0.25">
      <c r="A440" s="7">
        <f>DATE(YEAR(m7_crossvalid[[#This Row],[cutoff]]),MONTH(m7_crossvalid[[#This Row],[cutoff]]),DAY(m7_crossvalid[[#This Row],[cutoff]]))</f>
        <v>46081</v>
      </c>
      <c r="B440" s="7">
        <f>DATE(YEAR(m7_crossvalid[[#This Row],[ds]]),MONTH(m7_crossvalid[[#This Row],[ds]]),DAY(m7_crossvalid[[#This Row],[ds]]))</f>
        <v>46086</v>
      </c>
      <c r="C440">
        <v>1314</v>
      </c>
      <c r="D440" s="1">
        <v>46086.333333333336</v>
      </c>
      <c r="E440">
        <v>1918.8363780281836</v>
      </c>
      <c r="F440">
        <v>390.31069420147765</v>
      </c>
      <c r="G440">
        <v>3453.601078575427</v>
      </c>
      <c r="H440" s="1">
        <v>46081.333333333336</v>
      </c>
    </row>
    <row r="441" spans="1:8" x14ac:dyDescent="0.25">
      <c r="A441" s="7">
        <f>DATE(YEAR(m7_crossvalid[[#This Row],[cutoff]]),MONTH(m7_crossvalid[[#This Row],[cutoff]]),DAY(m7_crossvalid[[#This Row],[cutoff]]))</f>
        <v>46081</v>
      </c>
      <c r="B441" s="7">
        <f>DATE(YEAR(m7_crossvalid[[#This Row],[ds]]),MONTH(m7_crossvalid[[#This Row],[ds]]),DAY(m7_crossvalid[[#This Row],[ds]]))</f>
        <v>46087</v>
      </c>
      <c r="C441">
        <v>1617</v>
      </c>
      <c r="D441" s="1">
        <v>46087.333333333336</v>
      </c>
      <c r="E441">
        <v>1889.775507178128</v>
      </c>
      <c r="F441">
        <v>303.45502898570788</v>
      </c>
      <c r="G441">
        <v>3346.0484131504363</v>
      </c>
      <c r="H441" s="1">
        <v>46081.333333333336</v>
      </c>
    </row>
    <row r="442" spans="1:8" x14ac:dyDescent="0.25">
      <c r="A442" s="7">
        <f>DATE(YEAR(m7_crossvalid[[#This Row],[cutoff]]),MONTH(m7_crossvalid[[#This Row],[cutoff]]),DAY(m7_crossvalid[[#This Row],[cutoff]]))</f>
        <v>46081</v>
      </c>
      <c r="B442" s="7">
        <f>DATE(YEAR(m7_crossvalid[[#This Row],[ds]]),MONTH(m7_crossvalid[[#This Row],[ds]]),DAY(m7_crossvalid[[#This Row],[ds]]))</f>
        <v>46088</v>
      </c>
      <c r="C442">
        <v>220</v>
      </c>
      <c r="D442" s="1">
        <v>46088.333333333336</v>
      </c>
      <c r="E442">
        <v>-2050.9095338301317</v>
      </c>
      <c r="F442">
        <v>-3461.1690667332573</v>
      </c>
      <c r="G442">
        <v>-705.97455514666819</v>
      </c>
      <c r="H442" s="1">
        <v>46081.333333333336</v>
      </c>
    </row>
    <row r="443" spans="1:8" x14ac:dyDescent="0.25">
      <c r="A443" s="7">
        <f>DATE(YEAR(m7_crossvalid[[#This Row],[cutoff]]),MONTH(m7_crossvalid[[#This Row],[cutoff]]),DAY(m7_crossvalid[[#This Row],[cutoff]]))</f>
        <v>46081</v>
      </c>
      <c r="B443" s="7">
        <f>DATE(YEAR(m7_crossvalid[[#This Row],[ds]]),MONTH(m7_crossvalid[[#This Row],[ds]]),DAY(m7_crossvalid[[#This Row],[ds]]))</f>
        <v>46089</v>
      </c>
      <c r="C443">
        <v>43</v>
      </c>
      <c r="D443" s="1">
        <v>46089.333333333336</v>
      </c>
      <c r="E443">
        <v>-117.88089181089981</v>
      </c>
      <c r="F443">
        <v>-1674.2303085570684</v>
      </c>
      <c r="G443">
        <v>1382.1171703750767</v>
      </c>
      <c r="H443" s="1">
        <v>46081.333333333336</v>
      </c>
    </row>
    <row r="444" spans="1:8" x14ac:dyDescent="0.25">
      <c r="A444" s="7">
        <f>DATE(YEAR(m7_crossvalid[[#This Row],[cutoff]]),MONTH(m7_crossvalid[[#This Row],[cutoff]]),DAY(m7_crossvalid[[#This Row],[cutoff]]))</f>
        <v>46081</v>
      </c>
      <c r="B444" s="7">
        <f>DATE(YEAR(m7_crossvalid[[#This Row],[ds]]),MONTH(m7_crossvalid[[#This Row],[ds]]),DAY(m7_crossvalid[[#This Row],[ds]]))</f>
        <v>46090</v>
      </c>
      <c r="C444">
        <v>1766</v>
      </c>
      <c r="D444" s="1">
        <v>46090.333333333336</v>
      </c>
      <c r="E444">
        <v>2398.2846873545977</v>
      </c>
      <c r="F444">
        <v>889.45918692941768</v>
      </c>
      <c r="G444">
        <v>3994.1005880176695</v>
      </c>
      <c r="H444" s="1">
        <v>46081.333333333336</v>
      </c>
    </row>
    <row r="445" spans="1:8" x14ac:dyDescent="0.25">
      <c r="A445" s="7">
        <f>DATE(YEAR(m7_crossvalid[[#This Row],[cutoff]]),MONTH(m7_crossvalid[[#This Row],[cutoff]]),DAY(m7_crossvalid[[#This Row],[cutoff]]))</f>
        <v>46081</v>
      </c>
      <c r="B445" s="7">
        <f>DATE(YEAR(m7_crossvalid[[#This Row],[ds]]),MONTH(m7_crossvalid[[#This Row],[ds]]),DAY(m7_crossvalid[[#This Row],[ds]]))</f>
        <v>46091</v>
      </c>
      <c r="C445">
        <v>2170</v>
      </c>
      <c r="D445" s="1">
        <v>46091.333333333336</v>
      </c>
      <c r="E445">
        <v>2632.89019959395</v>
      </c>
      <c r="F445">
        <v>1211.5902092495376</v>
      </c>
      <c r="G445">
        <v>4009.9400473504284</v>
      </c>
      <c r="H445" s="1">
        <v>46081.333333333336</v>
      </c>
    </row>
    <row r="446" spans="1:8" x14ac:dyDescent="0.25">
      <c r="A446" s="7">
        <f>DATE(YEAR(m7_crossvalid[[#This Row],[cutoff]]),MONTH(m7_crossvalid[[#This Row],[cutoff]]),DAY(m7_crossvalid[[#This Row],[cutoff]]))</f>
        <v>46081</v>
      </c>
      <c r="B446" s="7">
        <f>DATE(YEAR(m7_crossvalid[[#This Row],[ds]]),MONTH(m7_crossvalid[[#This Row],[ds]]),DAY(m7_crossvalid[[#This Row],[ds]]))</f>
        <v>46092</v>
      </c>
      <c r="C446">
        <v>2907</v>
      </c>
      <c r="D446" s="1">
        <v>46092.333333333336</v>
      </c>
      <c r="E446">
        <v>2621.4239331096255</v>
      </c>
      <c r="F446">
        <v>1162.3802033829045</v>
      </c>
      <c r="G446">
        <v>4019.8090140865056</v>
      </c>
      <c r="H446" s="1">
        <v>46081.333333333336</v>
      </c>
    </row>
    <row r="447" spans="1:8" x14ac:dyDescent="0.25">
      <c r="A447" s="7">
        <f>DATE(YEAR(m7_crossvalid[[#This Row],[cutoff]]),MONTH(m7_crossvalid[[#This Row],[cutoff]]),DAY(m7_crossvalid[[#This Row],[cutoff]]))</f>
        <v>46081</v>
      </c>
      <c r="B447" s="7">
        <f>DATE(YEAR(m7_crossvalid[[#This Row],[ds]]),MONTH(m7_crossvalid[[#This Row],[ds]]),DAY(m7_crossvalid[[#This Row],[ds]]))</f>
        <v>46093</v>
      </c>
      <c r="C447">
        <v>3020</v>
      </c>
      <c r="D447" s="1">
        <v>46093.333333333336</v>
      </c>
      <c r="E447">
        <v>2623.1019641703811</v>
      </c>
      <c r="F447">
        <v>1201.6052206175846</v>
      </c>
      <c r="G447">
        <v>4000.0280428514552</v>
      </c>
      <c r="H447" s="1">
        <v>46081.333333333336</v>
      </c>
    </row>
    <row r="448" spans="1:8" x14ac:dyDescent="0.25">
      <c r="A448" s="7">
        <f>DATE(YEAR(m7_crossvalid[[#This Row],[cutoff]]),MONTH(m7_crossvalid[[#This Row],[cutoff]]),DAY(m7_crossvalid[[#This Row],[cutoff]]))</f>
        <v>46081</v>
      </c>
      <c r="B448" s="7">
        <f>DATE(YEAR(m7_crossvalid[[#This Row],[ds]]),MONTH(m7_crossvalid[[#This Row],[ds]]),DAY(m7_crossvalid[[#This Row],[ds]]))</f>
        <v>46094</v>
      </c>
      <c r="C448">
        <v>3551</v>
      </c>
      <c r="D448" s="1">
        <v>46094.333333333336</v>
      </c>
      <c r="E448">
        <v>2776.6946052569324</v>
      </c>
      <c r="F448">
        <v>1373.063320894212</v>
      </c>
      <c r="G448">
        <v>4260.15788660004</v>
      </c>
      <c r="H448" s="1">
        <v>46081.333333333336</v>
      </c>
    </row>
    <row r="449" spans="1:8" x14ac:dyDescent="0.25">
      <c r="A449" s="7">
        <f>DATE(YEAR(m7_crossvalid[[#This Row],[cutoff]]),MONTH(m7_crossvalid[[#This Row],[cutoff]]),DAY(m7_crossvalid[[#This Row],[cutoff]]))</f>
        <v>46081</v>
      </c>
      <c r="B449" s="7">
        <f>DATE(YEAR(m7_crossvalid[[#This Row],[ds]]),MONTH(m7_crossvalid[[#This Row],[ds]]),DAY(m7_crossvalid[[#This Row],[ds]]))</f>
        <v>46095</v>
      </c>
      <c r="C449">
        <v>1088</v>
      </c>
      <c r="D449" s="1">
        <v>46095.333333333336</v>
      </c>
      <c r="E449">
        <v>665.68990243704934</v>
      </c>
      <c r="F449">
        <v>-786.58572517451989</v>
      </c>
      <c r="G449">
        <v>2200.6302206626447</v>
      </c>
      <c r="H449" s="1">
        <v>46081.333333333336</v>
      </c>
    </row>
    <row r="450" spans="1:8" x14ac:dyDescent="0.25">
      <c r="A450" s="7">
        <f>DATE(YEAR(m7_crossvalid[[#This Row],[cutoff]]),MONTH(m7_crossvalid[[#This Row],[cutoff]]),DAY(m7_crossvalid[[#This Row],[cutoff]]))</f>
        <v>46081</v>
      </c>
      <c r="B450" s="7">
        <f>DATE(YEAR(m7_crossvalid[[#This Row],[ds]]),MONTH(m7_crossvalid[[#This Row],[ds]]),DAY(m7_crossvalid[[#This Row],[ds]]))</f>
        <v>46096</v>
      </c>
      <c r="C450">
        <v>228</v>
      </c>
      <c r="D450" s="1">
        <v>46096.333333333336</v>
      </c>
      <c r="E450">
        <v>163.91519065421016</v>
      </c>
      <c r="F450">
        <v>-1343.0581799633183</v>
      </c>
      <c r="G450">
        <v>1579.3040193049692</v>
      </c>
      <c r="H450" s="1">
        <v>46081.333333333336</v>
      </c>
    </row>
    <row r="451" spans="1:8" x14ac:dyDescent="0.25">
      <c r="A451" s="7">
        <f>DATE(YEAR(m7_crossvalid[[#This Row],[cutoff]]),MONTH(m7_crossvalid[[#This Row],[cutoff]]),DAY(m7_crossvalid[[#This Row],[cutoff]]))</f>
        <v>46081</v>
      </c>
      <c r="B451" s="7">
        <f>DATE(YEAR(m7_crossvalid[[#This Row],[ds]]),MONTH(m7_crossvalid[[#This Row],[ds]]),DAY(m7_crossvalid[[#This Row],[ds]]))</f>
        <v>46097</v>
      </c>
      <c r="C451">
        <v>3950</v>
      </c>
      <c r="D451" s="1">
        <v>46097.333333333336</v>
      </c>
      <c r="E451">
        <v>2704.137386151217</v>
      </c>
      <c r="F451">
        <v>1305.7737763031778</v>
      </c>
      <c r="G451">
        <v>4187.3758108764505</v>
      </c>
      <c r="H451" s="1">
        <v>46081.333333333336</v>
      </c>
    </row>
    <row r="452" spans="1:8" x14ac:dyDescent="0.25">
      <c r="A452" s="7">
        <f>DATE(YEAR(m7_crossvalid[[#This Row],[cutoff]]),MONTH(m7_crossvalid[[#This Row],[cutoff]]),DAY(m7_crossvalid[[#This Row],[cutoff]]))</f>
        <v>46081</v>
      </c>
      <c r="B452" s="7">
        <f>DATE(YEAR(m7_crossvalid[[#This Row],[ds]]),MONTH(m7_crossvalid[[#This Row],[ds]]),DAY(m7_crossvalid[[#This Row],[ds]]))</f>
        <v>46098</v>
      </c>
      <c r="C452">
        <v>5807</v>
      </c>
      <c r="D452" s="1">
        <v>46098.333333333336</v>
      </c>
      <c r="E452">
        <v>3091.9687358999154</v>
      </c>
      <c r="F452">
        <v>1598.8202836924968</v>
      </c>
      <c r="G452">
        <v>4655.5256648012037</v>
      </c>
      <c r="H452" s="1">
        <v>46081.333333333336</v>
      </c>
    </row>
    <row r="453" spans="1:8" x14ac:dyDescent="0.25">
      <c r="A453" s="7">
        <f>DATE(YEAR(m7_crossvalid[[#This Row],[cutoff]]),MONTH(m7_crossvalid[[#This Row],[cutoff]]),DAY(m7_crossvalid[[#This Row],[cutoff]]))</f>
        <v>46081</v>
      </c>
      <c r="B453" s="7">
        <f>DATE(YEAR(m7_crossvalid[[#This Row],[ds]]),MONTH(m7_crossvalid[[#This Row],[ds]]),DAY(m7_crossvalid[[#This Row],[ds]]))</f>
        <v>46099</v>
      </c>
      <c r="C453">
        <v>5295</v>
      </c>
      <c r="D453" s="1">
        <v>46099.333333333336</v>
      </c>
      <c r="E453">
        <v>3300.3328523593923</v>
      </c>
      <c r="F453">
        <v>1863.7253825902158</v>
      </c>
      <c r="G453">
        <v>4816.6163053123973</v>
      </c>
      <c r="H453" s="1">
        <v>46081.333333333336</v>
      </c>
    </row>
    <row r="454" spans="1:8" x14ac:dyDescent="0.25">
      <c r="A454" s="7">
        <f>DATE(YEAR(m7_crossvalid[[#This Row],[cutoff]]),MONTH(m7_crossvalid[[#This Row],[cutoff]]),DAY(m7_crossvalid[[#This Row],[cutoff]]))</f>
        <v>46081</v>
      </c>
      <c r="B454" s="7">
        <f>DATE(YEAR(m7_crossvalid[[#This Row],[ds]]),MONTH(m7_crossvalid[[#This Row],[ds]]),DAY(m7_crossvalid[[#This Row],[ds]]))</f>
        <v>46100</v>
      </c>
      <c r="C454">
        <v>3557</v>
      </c>
      <c r="D454" s="1">
        <v>46100.333333333336</v>
      </c>
      <c r="E454">
        <v>3455.0546233618843</v>
      </c>
      <c r="F454">
        <v>2103.2707777906489</v>
      </c>
      <c r="G454">
        <v>4924.9156136571255</v>
      </c>
      <c r="H454" s="1">
        <v>46081.333333333336</v>
      </c>
    </row>
    <row r="455" spans="1:8" x14ac:dyDescent="0.25">
      <c r="A455" s="7">
        <f>DATE(YEAR(m7_crossvalid[[#This Row],[cutoff]]),MONTH(m7_crossvalid[[#This Row],[cutoff]]),DAY(m7_crossvalid[[#This Row],[cutoff]]))</f>
        <v>46081</v>
      </c>
      <c r="B455" s="7">
        <f>DATE(YEAR(m7_crossvalid[[#This Row],[ds]]),MONTH(m7_crossvalid[[#This Row],[ds]]),DAY(m7_crossvalid[[#This Row],[ds]]))</f>
        <v>46101</v>
      </c>
      <c r="C455">
        <v>61</v>
      </c>
      <c r="D455" s="1">
        <v>46101.333333333336</v>
      </c>
      <c r="E455">
        <v>-611.16053430963848</v>
      </c>
      <c r="F455">
        <v>-2131.8542256579171</v>
      </c>
      <c r="G455">
        <v>777.1280404502595</v>
      </c>
      <c r="H455" s="1">
        <v>46081.333333333336</v>
      </c>
    </row>
    <row r="456" spans="1:8" x14ac:dyDescent="0.25">
      <c r="A456" s="7">
        <f>DATE(YEAR(m7_crossvalid[[#This Row],[cutoff]]),MONTH(m7_crossvalid[[#This Row],[cutoff]]),DAY(m7_crossvalid[[#This Row],[cutoff]]))</f>
        <v>46081</v>
      </c>
      <c r="B456" s="7">
        <f>DATE(YEAR(m7_crossvalid[[#This Row],[ds]]),MONTH(m7_crossvalid[[#This Row],[ds]]),DAY(m7_crossvalid[[#This Row],[ds]]))</f>
        <v>46102</v>
      </c>
      <c r="C456">
        <v>3</v>
      </c>
      <c r="D456" s="1">
        <v>46102.333333333336</v>
      </c>
      <c r="E456">
        <v>-1934.2090730759815</v>
      </c>
      <c r="F456">
        <v>-3322.3640730157608</v>
      </c>
      <c r="G456">
        <v>-514.67242064215179</v>
      </c>
      <c r="H456" s="1">
        <v>46081.333333333336</v>
      </c>
    </row>
    <row r="457" spans="1:8" x14ac:dyDescent="0.25">
      <c r="A457" s="7">
        <f>DATE(YEAR(m7_crossvalid[[#This Row],[cutoff]]),MONTH(m7_crossvalid[[#This Row],[cutoff]]),DAY(m7_crossvalid[[#This Row],[cutoff]]))</f>
        <v>46081</v>
      </c>
      <c r="B457" s="7">
        <f>DATE(YEAR(m7_crossvalid[[#This Row],[ds]]),MONTH(m7_crossvalid[[#This Row],[ds]]),DAY(m7_crossvalid[[#This Row],[ds]]))</f>
        <v>46103</v>
      </c>
      <c r="C457">
        <v>6</v>
      </c>
      <c r="D457" s="1">
        <v>46103.333333333336</v>
      </c>
      <c r="E457">
        <v>-4371.2531660779732</v>
      </c>
      <c r="F457">
        <v>-5760.2955048776867</v>
      </c>
      <c r="G457">
        <v>-2812.8706919320489</v>
      </c>
      <c r="H457" s="1">
        <v>46081.333333333336</v>
      </c>
    </row>
    <row r="458" spans="1:8" x14ac:dyDescent="0.25">
      <c r="A458" s="7">
        <f>DATE(YEAR(m7_crossvalid[[#This Row],[cutoff]]),MONTH(m7_crossvalid[[#This Row],[cutoff]]),DAY(m7_crossvalid[[#This Row],[cutoff]]))</f>
        <v>46081</v>
      </c>
      <c r="B458" s="7">
        <f>DATE(YEAR(m7_crossvalid[[#This Row],[ds]]),MONTH(m7_crossvalid[[#This Row],[ds]]),DAY(m7_crossvalid[[#This Row],[ds]]))</f>
        <v>46104</v>
      </c>
      <c r="C458">
        <v>23</v>
      </c>
      <c r="D458" s="1">
        <v>46104.333333333336</v>
      </c>
      <c r="E458">
        <v>-1471.4332981405846</v>
      </c>
      <c r="F458">
        <v>-2937.5730161462739</v>
      </c>
      <c r="G458">
        <v>-44.903026520892858</v>
      </c>
      <c r="H458" s="1">
        <v>46081.333333333336</v>
      </c>
    </row>
    <row r="459" spans="1:8" x14ac:dyDescent="0.25">
      <c r="A459" s="7">
        <f>DATE(YEAR(m7_crossvalid[[#This Row],[cutoff]]),MONTH(m7_crossvalid[[#This Row],[cutoff]]),DAY(m7_crossvalid[[#This Row],[cutoff]]))</f>
        <v>46081</v>
      </c>
      <c r="B459" s="7">
        <f>DATE(YEAR(m7_crossvalid[[#This Row],[ds]]),MONTH(m7_crossvalid[[#This Row],[ds]]),DAY(m7_crossvalid[[#This Row],[ds]]))</f>
        <v>46105</v>
      </c>
      <c r="C459">
        <v>974</v>
      </c>
      <c r="D459" s="1">
        <v>46105.333333333336</v>
      </c>
      <c r="E459">
        <v>2085.147188213457</v>
      </c>
      <c r="F459">
        <v>610.83861575421554</v>
      </c>
      <c r="G459">
        <v>3458.9647200275199</v>
      </c>
      <c r="H459" s="1">
        <v>46081.333333333336</v>
      </c>
    </row>
    <row r="460" spans="1:8" x14ac:dyDescent="0.25">
      <c r="A460" s="7">
        <f>DATE(YEAR(m7_crossvalid[[#This Row],[cutoff]]),MONTH(m7_crossvalid[[#This Row],[cutoff]]),DAY(m7_crossvalid[[#This Row],[cutoff]]))</f>
        <v>46081</v>
      </c>
      <c r="B460" s="7">
        <f>DATE(YEAR(m7_crossvalid[[#This Row],[ds]]),MONTH(m7_crossvalid[[#This Row],[ds]]),DAY(m7_crossvalid[[#This Row],[ds]]))</f>
        <v>46106</v>
      </c>
      <c r="C460">
        <v>1752</v>
      </c>
      <c r="D460" s="1">
        <v>46106.333333333336</v>
      </c>
      <c r="E460">
        <v>2908.0351169652881</v>
      </c>
      <c r="F460">
        <v>1432.5511066368035</v>
      </c>
      <c r="G460">
        <v>4356.5249439689496</v>
      </c>
      <c r="H460" s="1">
        <v>46081.333333333336</v>
      </c>
    </row>
    <row r="461" spans="1:8" x14ac:dyDescent="0.25">
      <c r="A461" s="7">
        <f>DATE(YEAR(m7_crossvalid[[#This Row],[cutoff]]),MONTH(m7_crossvalid[[#This Row],[cutoff]]),DAY(m7_crossvalid[[#This Row],[cutoff]]))</f>
        <v>46081</v>
      </c>
      <c r="B461" s="7">
        <f>DATE(YEAR(m7_crossvalid[[#This Row],[ds]]),MONTH(m7_crossvalid[[#This Row],[ds]]),DAY(m7_crossvalid[[#This Row],[ds]]))</f>
        <v>46107</v>
      </c>
      <c r="C461">
        <v>2884</v>
      </c>
      <c r="D461" s="1">
        <v>46107.333333333336</v>
      </c>
      <c r="E461">
        <v>3862.4614281005352</v>
      </c>
      <c r="F461">
        <v>2461.8760072931755</v>
      </c>
      <c r="G461">
        <v>5224.8785798315294</v>
      </c>
      <c r="H461" s="1">
        <v>46081.333333333336</v>
      </c>
    </row>
    <row r="462" spans="1:8" x14ac:dyDescent="0.25">
      <c r="A462" s="7">
        <f>DATE(YEAR(m7_crossvalid[[#This Row],[cutoff]]),MONTH(m7_crossvalid[[#This Row],[cutoff]]),DAY(m7_crossvalid[[#This Row],[cutoff]]))</f>
        <v>46081</v>
      </c>
      <c r="B462" s="7">
        <f>DATE(YEAR(m7_crossvalid[[#This Row],[ds]]),MONTH(m7_crossvalid[[#This Row],[ds]]),DAY(m7_crossvalid[[#This Row],[ds]]))</f>
        <v>46108</v>
      </c>
      <c r="C462">
        <v>3597</v>
      </c>
      <c r="D462" s="1">
        <v>46108.333333333336</v>
      </c>
      <c r="E462">
        <v>2006.9929230416733</v>
      </c>
      <c r="F462">
        <v>530.0894948898158</v>
      </c>
      <c r="G462">
        <v>3392.4628071961843</v>
      </c>
      <c r="H462" s="1">
        <v>46081.333333333336</v>
      </c>
    </row>
    <row r="463" spans="1:8" x14ac:dyDescent="0.25">
      <c r="A463" s="7">
        <f>DATE(YEAR(m7_crossvalid[[#This Row],[cutoff]]),MONTH(m7_crossvalid[[#This Row],[cutoff]]),DAY(m7_crossvalid[[#This Row],[cutoff]]))</f>
        <v>46081</v>
      </c>
      <c r="B463" s="7">
        <f>DATE(YEAR(m7_crossvalid[[#This Row],[ds]]),MONTH(m7_crossvalid[[#This Row],[ds]]),DAY(m7_crossvalid[[#This Row],[ds]]))</f>
        <v>46109</v>
      </c>
      <c r="C463">
        <v>1207</v>
      </c>
      <c r="D463" s="1">
        <v>46109.333333333336</v>
      </c>
      <c r="E463">
        <v>765.79158251022295</v>
      </c>
      <c r="F463">
        <v>-713.30387400764357</v>
      </c>
      <c r="G463">
        <v>2213.4095581226165</v>
      </c>
      <c r="H463" s="1">
        <v>46081.333333333336</v>
      </c>
    </row>
    <row r="464" spans="1:8" x14ac:dyDescent="0.25">
      <c r="A464" s="7">
        <f>DATE(YEAR(m7_crossvalid[[#This Row],[cutoff]]),MONTH(m7_crossvalid[[#This Row],[cutoff]]),DAY(m7_crossvalid[[#This Row],[cutoff]]))</f>
        <v>46081</v>
      </c>
      <c r="B464" s="7">
        <f>DATE(YEAR(m7_crossvalid[[#This Row],[ds]]),MONTH(m7_crossvalid[[#This Row],[ds]]),DAY(m7_crossvalid[[#This Row],[ds]]))</f>
        <v>46110</v>
      </c>
      <c r="C464">
        <v>183</v>
      </c>
      <c r="D464" s="1">
        <v>46110.333333333336</v>
      </c>
      <c r="E464">
        <v>-310.3960099009314</v>
      </c>
      <c r="F464">
        <v>-1790.3928238428157</v>
      </c>
      <c r="G464">
        <v>1040.2321318112076</v>
      </c>
      <c r="H464" s="1">
        <v>46081.333333333336</v>
      </c>
    </row>
    <row r="465" spans="1:8" x14ac:dyDescent="0.25">
      <c r="A465" s="7">
        <f>DATE(YEAR(m7_crossvalid[[#This Row],[cutoff]]),MONTH(m7_crossvalid[[#This Row],[cutoff]]),DAY(m7_crossvalid[[#This Row],[cutoff]]))</f>
        <v>46081</v>
      </c>
      <c r="B465" s="7">
        <f>DATE(YEAR(m7_crossvalid[[#This Row],[ds]]),MONTH(m7_crossvalid[[#This Row],[ds]]),DAY(m7_crossvalid[[#This Row],[ds]]))</f>
        <v>46111</v>
      </c>
      <c r="C465">
        <v>4959</v>
      </c>
      <c r="D465" s="1">
        <v>46111.333333333336</v>
      </c>
      <c r="E465">
        <v>6267.0998302016305</v>
      </c>
      <c r="F465">
        <v>4928.0522607096555</v>
      </c>
      <c r="G465">
        <v>7774.3988920008624</v>
      </c>
      <c r="H465" s="1">
        <v>46081.333333333336</v>
      </c>
    </row>
    <row r="466" spans="1:8" x14ac:dyDescent="0.25">
      <c r="A466" s="7">
        <f>DATE(YEAR(m7_crossvalid[[#This Row],[cutoff]]),MONTH(m7_crossvalid[[#This Row],[cutoff]]),DAY(m7_crossvalid[[#This Row],[cutoff]]))</f>
        <v>46081</v>
      </c>
      <c r="B466" s="7">
        <f>DATE(YEAR(m7_crossvalid[[#This Row],[ds]]),MONTH(m7_crossvalid[[#This Row],[ds]]),DAY(m7_crossvalid[[#This Row],[ds]]))</f>
        <v>46112</v>
      </c>
      <c r="C466">
        <v>13213</v>
      </c>
      <c r="D466" s="1">
        <v>46112.333333333336</v>
      </c>
      <c r="E466">
        <v>11026.710997232818</v>
      </c>
      <c r="F466">
        <v>9515.0686762764908</v>
      </c>
      <c r="G466">
        <v>12527.207206308005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75B4A-C58A-4887-A181-3D87DBB44A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Consolidated</vt:lpstr>
      <vt:lpstr>m1_cv</vt:lpstr>
      <vt:lpstr>m2_cv</vt:lpstr>
      <vt:lpstr>m3_cv</vt:lpstr>
      <vt:lpstr>m4_cv</vt:lpstr>
      <vt:lpstr>m5_cv</vt:lpstr>
      <vt:lpstr>m6_cv</vt:lpstr>
      <vt:lpstr>m7_cv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 Naim</dc:creator>
  <cp:lastModifiedBy>Nafis Naim</cp:lastModifiedBy>
  <dcterms:created xsi:type="dcterms:W3CDTF">2026-04-16T07:29:51Z</dcterms:created>
  <dcterms:modified xsi:type="dcterms:W3CDTF">2026-04-16T13:22:56Z</dcterms:modified>
</cp:coreProperties>
</file>