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JPJ_Car_Viz\Forecasts\"/>
    </mc:Choice>
  </mc:AlternateContent>
  <xr:revisionPtr revIDLastSave="0" documentId="13_ncr:1_{1D319569-4C51-4FDB-B01A-7388AA307DE9}" xr6:coauthVersionLast="47" xr6:coauthVersionMax="47" xr10:uidLastSave="{00000000-0000-0000-0000-000000000000}"/>
  <bookViews>
    <workbookView xWindow="14820" yWindow="2070" windowWidth="28020" windowHeight="18015" xr2:uid="{E2726709-4FC2-451C-B1DF-FA398E98ADD9}"/>
  </bookViews>
  <sheets>
    <sheet name="Charts" sheetId="12" r:id="rId1"/>
    <sheet name="Consolidated" sheetId="1" r:id="rId2"/>
    <sheet name="m1_cv" sheetId="3" r:id="rId3"/>
    <sheet name="m2_cv" sheetId="6" r:id="rId4"/>
    <sheet name="m3_cv" sheetId="7" r:id="rId5"/>
    <sheet name="m4_cv" sheetId="8" r:id="rId6"/>
    <sheet name="m5_cv" sheetId="9" r:id="rId7"/>
    <sheet name="m6_cv" sheetId="10" r:id="rId8"/>
    <sheet name="m7_cv" sheetId="11" r:id="rId9"/>
    <sheet name="m8_cv" sheetId="14" r:id="rId10"/>
  </sheets>
  <definedNames>
    <definedName name="_xlnm._FilterDatabase" localSheetId="1" hidden="1">Consolidated!$A$1:$M$456</definedName>
    <definedName name="ExternalData_1" localSheetId="2" hidden="1">m1_cv!$C$1:$H$466</definedName>
    <definedName name="ExternalData_1" localSheetId="3" hidden="1">m2_cv!$C$1:$H$466</definedName>
    <definedName name="ExternalData_1" localSheetId="4" hidden="1">m3_cv!$C$1:$H$466</definedName>
    <definedName name="ExternalData_1" localSheetId="6" hidden="1">m5_cv!$C$1:$H$466</definedName>
    <definedName name="ExternalData_1" localSheetId="9" hidden="1">m8_cv!$C$1:$H$466</definedName>
    <definedName name="ExternalData_2" localSheetId="5" hidden="1">m4_cv!$C$1:$H$466</definedName>
    <definedName name="ExternalData_2" localSheetId="7" hidden="1">m6_cv!$C$1:$H$466</definedName>
    <definedName name="ExternalData_3" localSheetId="8" hidden="1">m7_cv!$C$1:$H$466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9" i="1" l="1"/>
  <c r="S449" i="1" s="1"/>
  <c r="T445" i="1"/>
  <c r="T441" i="1"/>
  <c r="T439" i="1"/>
  <c r="S439" i="1" s="1"/>
  <c r="T438" i="1"/>
  <c r="S438" i="1" s="1"/>
  <c r="T437" i="1"/>
  <c r="S437" i="1" s="1"/>
  <c r="R457" i="1"/>
  <c r="T451" i="1"/>
  <c r="S451" i="1" s="1"/>
  <c r="T450" i="1"/>
  <c r="S450" i="1" s="1"/>
  <c r="T448" i="1"/>
  <c r="S448" i="1" s="1"/>
  <c r="T447" i="1"/>
  <c r="S447" i="1" s="1"/>
  <c r="T446" i="1"/>
  <c r="S446" i="1" s="1"/>
  <c r="T440" i="1"/>
  <c r="S440" i="1" s="1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7" i="14"/>
  <c r="B47" i="14"/>
  <c r="A48" i="14"/>
  <c r="B48" i="14"/>
  <c r="A49" i="14"/>
  <c r="B49" i="14"/>
  <c r="A50" i="14"/>
  <c r="B50" i="14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A58" i="14"/>
  <c r="B58" i="14"/>
  <c r="A59" i="14"/>
  <c r="B59" i="14"/>
  <c r="A60" i="14"/>
  <c r="B60" i="14"/>
  <c r="A61" i="14"/>
  <c r="B61" i="14"/>
  <c r="A62" i="14"/>
  <c r="B62" i="14"/>
  <c r="A63" i="14"/>
  <c r="B63" i="14"/>
  <c r="A64" i="14"/>
  <c r="B64" i="14"/>
  <c r="A65" i="14"/>
  <c r="B65" i="14"/>
  <c r="A66" i="14"/>
  <c r="B66" i="14"/>
  <c r="A67" i="14"/>
  <c r="B67" i="14"/>
  <c r="A68" i="14"/>
  <c r="B68" i="14"/>
  <c r="A69" i="14"/>
  <c r="B69" i="14"/>
  <c r="A70" i="14"/>
  <c r="B70" i="14"/>
  <c r="A71" i="14"/>
  <c r="B71" i="14"/>
  <c r="A72" i="14"/>
  <c r="B72" i="14"/>
  <c r="A73" i="14"/>
  <c r="B73" i="14"/>
  <c r="A74" i="14"/>
  <c r="B74" i="14"/>
  <c r="A75" i="14"/>
  <c r="B75" i="14"/>
  <c r="A76" i="14"/>
  <c r="B76" i="14"/>
  <c r="A77" i="14"/>
  <c r="B77" i="14"/>
  <c r="A78" i="14"/>
  <c r="B78" i="14"/>
  <c r="A79" i="14"/>
  <c r="B79" i="14"/>
  <c r="A80" i="14"/>
  <c r="B80" i="14"/>
  <c r="A81" i="14"/>
  <c r="B81" i="14"/>
  <c r="A82" i="14"/>
  <c r="B82" i="14"/>
  <c r="A83" i="14"/>
  <c r="B83" i="14"/>
  <c r="A84" i="14"/>
  <c r="B84" i="14"/>
  <c r="A85" i="14"/>
  <c r="B85" i="14"/>
  <c r="A86" i="14"/>
  <c r="B86" i="14"/>
  <c r="A87" i="14"/>
  <c r="B87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A101" i="14"/>
  <c r="B101" i="14"/>
  <c r="A102" i="14"/>
  <c r="B102" i="14"/>
  <c r="A103" i="14"/>
  <c r="B103" i="14"/>
  <c r="A104" i="14"/>
  <c r="B104" i="14"/>
  <c r="A105" i="14"/>
  <c r="B105" i="14"/>
  <c r="A106" i="14"/>
  <c r="B106" i="14"/>
  <c r="A107" i="14"/>
  <c r="B107" i="14"/>
  <c r="A108" i="14"/>
  <c r="B108" i="14"/>
  <c r="A109" i="14"/>
  <c r="B109" i="14"/>
  <c r="A110" i="14"/>
  <c r="B110" i="14"/>
  <c r="A111" i="14"/>
  <c r="B111" i="14"/>
  <c r="A112" i="14"/>
  <c r="B112" i="14"/>
  <c r="A113" i="14"/>
  <c r="B113" i="14"/>
  <c r="A114" i="14"/>
  <c r="B114" i="14"/>
  <c r="A115" i="14"/>
  <c r="B115" i="14"/>
  <c r="A116" i="14"/>
  <c r="B116" i="14"/>
  <c r="A117" i="14"/>
  <c r="B117" i="14"/>
  <c r="A118" i="14"/>
  <c r="B118" i="14"/>
  <c r="A119" i="14"/>
  <c r="B119" i="14"/>
  <c r="A120" i="14"/>
  <c r="B120" i="14"/>
  <c r="A121" i="14"/>
  <c r="B121" i="14"/>
  <c r="A122" i="14"/>
  <c r="B122" i="14"/>
  <c r="A123" i="14"/>
  <c r="B123" i="14"/>
  <c r="A124" i="14"/>
  <c r="B124" i="14"/>
  <c r="A125" i="14"/>
  <c r="B125" i="14"/>
  <c r="A126" i="14"/>
  <c r="B126" i="14"/>
  <c r="A127" i="14"/>
  <c r="B127" i="14"/>
  <c r="A128" i="14"/>
  <c r="B128" i="14"/>
  <c r="A129" i="14"/>
  <c r="B129" i="14"/>
  <c r="A130" i="14"/>
  <c r="B130" i="14"/>
  <c r="A131" i="14"/>
  <c r="B131" i="14"/>
  <c r="A132" i="14"/>
  <c r="B132" i="14"/>
  <c r="A133" i="14"/>
  <c r="B133" i="14"/>
  <c r="A134" i="14"/>
  <c r="B134" i="14"/>
  <c r="A135" i="14"/>
  <c r="B135" i="14"/>
  <c r="A136" i="14"/>
  <c r="B136" i="14"/>
  <c r="A137" i="14"/>
  <c r="B137" i="14"/>
  <c r="A138" i="14"/>
  <c r="B138" i="14"/>
  <c r="A139" i="14"/>
  <c r="B139" i="14"/>
  <c r="A140" i="14"/>
  <c r="B140" i="14"/>
  <c r="A141" i="14"/>
  <c r="B141" i="14"/>
  <c r="A142" i="14"/>
  <c r="B142" i="14"/>
  <c r="A143" i="14"/>
  <c r="B143" i="14"/>
  <c r="A144" i="14"/>
  <c r="B144" i="14"/>
  <c r="A145" i="14"/>
  <c r="B145" i="14"/>
  <c r="A146" i="14"/>
  <c r="B146" i="14"/>
  <c r="A147" i="14"/>
  <c r="B147" i="14"/>
  <c r="A148" i="14"/>
  <c r="B148" i="14"/>
  <c r="A149" i="14"/>
  <c r="B149" i="14"/>
  <c r="A150" i="14"/>
  <c r="B150" i="14"/>
  <c r="A151" i="14"/>
  <c r="B151" i="14"/>
  <c r="A152" i="14"/>
  <c r="B152" i="14"/>
  <c r="A153" i="14"/>
  <c r="B153" i="14"/>
  <c r="A154" i="14"/>
  <c r="B154" i="14"/>
  <c r="A155" i="14"/>
  <c r="B155" i="14"/>
  <c r="A156" i="14"/>
  <c r="B156" i="14"/>
  <c r="A157" i="14"/>
  <c r="B157" i="14"/>
  <c r="A158" i="14"/>
  <c r="B158" i="14"/>
  <c r="A159" i="14"/>
  <c r="B159" i="14"/>
  <c r="A160" i="14"/>
  <c r="B160" i="14"/>
  <c r="A161" i="14"/>
  <c r="B161" i="14"/>
  <c r="A162" i="14"/>
  <c r="B162" i="14"/>
  <c r="A163" i="14"/>
  <c r="B163" i="14"/>
  <c r="A164" i="14"/>
  <c r="B164" i="14"/>
  <c r="A165" i="14"/>
  <c r="B165" i="14"/>
  <c r="A166" i="14"/>
  <c r="B166" i="14"/>
  <c r="A167" i="14"/>
  <c r="B167" i="14"/>
  <c r="A168" i="14"/>
  <c r="B168" i="14"/>
  <c r="A169" i="14"/>
  <c r="B169" i="14"/>
  <c r="A170" i="14"/>
  <c r="B170" i="14"/>
  <c r="A171" i="14"/>
  <c r="B171" i="14"/>
  <c r="A172" i="14"/>
  <c r="B172" i="14"/>
  <c r="A173" i="14"/>
  <c r="B173" i="14"/>
  <c r="A174" i="14"/>
  <c r="B174" i="14"/>
  <c r="A175" i="14"/>
  <c r="B175" i="14"/>
  <c r="A176" i="14"/>
  <c r="B176" i="14"/>
  <c r="A177" i="14"/>
  <c r="B177" i="14"/>
  <c r="A178" i="14"/>
  <c r="B178" i="14"/>
  <c r="A179" i="14"/>
  <c r="B179" i="14"/>
  <c r="A180" i="14"/>
  <c r="B180" i="14"/>
  <c r="A181" i="14"/>
  <c r="B181" i="14"/>
  <c r="A182" i="14"/>
  <c r="B182" i="14"/>
  <c r="A183" i="14"/>
  <c r="B183" i="14"/>
  <c r="A184" i="14"/>
  <c r="B184" i="14"/>
  <c r="A185" i="14"/>
  <c r="B185" i="14"/>
  <c r="A186" i="14"/>
  <c r="B186" i="14"/>
  <c r="A187" i="14"/>
  <c r="B187" i="14"/>
  <c r="A188" i="14"/>
  <c r="B188" i="14"/>
  <c r="A189" i="14"/>
  <c r="B189" i="14"/>
  <c r="A190" i="14"/>
  <c r="B190" i="14"/>
  <c r="A191" i="14"/>
  <c r="B191" i="14"/>
  <c r="A192" i="14"/>
  <c r="B192" i="14"/>
  <c r="A193" i="14"/>
  <c r="B193" i="14"/>
  <c r="A194" i="14"/>
  <c r="B194" i="14"/>
  <c r="A195" i="14"/>
  <c r="B195" i="14"/>
  <c r="A196" i="14"/>
  <c r="B196" i="14"/>
  <c r="A197" i="14"/>
  <c r="B197" i="14"/>
  <c r="A198" i="14"/>
  <c r="B198" i="14"/>
  <c r="A199" i="14"/>
  <c r="B199" i="14"/>
  <c r="A200" i="14"/>
  <c r="B200" i="14"/>
  <c r="A201" i="14"/>
  <c r="B201" i="14"/>
  <c r="A202" i="14"/>
  <c r="B202" i="14"/>
  <c r="A203" i="14"/>
  <c r="B203" i="14"/>
  <c r="A204" i="14"/>
  <c r="B204" i="14"/>
  <c r="A205" i="14"/>
  <c r="B205" i="14"/>
  <c r="A206" i="14"/>
  <c r="B206" i="14"/>
  <c r="A207" i="14"/>
  <c r="B207" i="14"/>
  <c r="A208" i="14"/>
  <c r="B208" i="14"/>
  <c r="A209" i="14"/>
  <c r="B209" i="14"/>
  <c r="A210" i="14"/>
  <c r="B210" i="14"/>
  <c r="A211" i="14"/>
  <c r="B211" i="14"/>
  <c r="A212" i="14"/>
  <c r="B212" i="14"/>
  <c r="A213" i="14"/>
  <c r="B213" i="14"/>
  <c r="A214" i="14"/>
  <c r="B214" i="14"/>
  <c r="A215" i="14"/>
  <c r="B215" i="14"/>
  <c r="A216" i="14"/>
  <c r="B216" i="14"/>
  <c r="A217" i="14"/>
  <c r="B217" i="14"/>
  <c r="A218" i="14"/>
  <c r="B218" i="14"/>
  <c r="A219" i="14"/>
  <c r="B219" i="14"/>
  <c r="A220" i="14"/>
  <c r="B220" i="14"/>
  <c r="A221" i="14"/>
  <c r="B221" i="14"/>
  <c r="A222" i="14"/>
  <c r="B222" i="14"/>
  <c r="A223" i="14"/>
  <c r="B223" i="14"/>
  <c r="A224" i="14"/>
  <c r="B224" i="14"/>
  <c r="A225" i="14"/>
  <c r="B225" i="14"/>
  <c r="A226" i="14"/>
  <c r="B226" i="14"/>
  <c r="A227" i="14"/>
  <c r="B227" i="14"/>
  <c r="A228" i="14"/>
  <c r="B228" i="14"/>
  <c r="A229" i="14"/>
  <c r="B229" i="14"/>
  <c r="A230" i="14"/>
  <c r="B230" i="14"/>
  <c r="A231" i="14"/>
  <c r="B231" i="14"/>
  <c r="A232" i="14"/>
  <c r="B232" i="14"/>
  <c r="A233" i="14"/>
  <c r="B233" i="14"/>
  <c r="A234" i="14"/>
  <c r="B234" i="14"/>
  <c r="A235" i="14"/>
  <c r="B235" i="14"/>
  <c r="A236" i="14"/>
  <c r="B236" i="14"/>
  <c r="A237" i="14"/>
  <c r="B237" i="14"/>
  <c r="A238" i="14"/>
  <c r="B238" i="14"/>
  <c r="A239" i="14"/>
  <c r="B239" i="14"/>
  <c r="A240" i="14"/>
  <c r="B240" i="14"/>
  <c r="A241" i="14"/>
  <c r="B241" i="14"/>
  <c r="A242" i="14"/>
  <c r="B242" i="14"/>
  <c r="A243" i="14"/>
  <c r="B243" i="14"/>
  <c r="A244" i="14"/>
  <c r="B244" i="14"/>
  <c r="A245" i="14"/>
  <c r="B245" i="14"/>
  <c r="A246" i="14"/>
  <c r="B246" i="14"/>
  <c r="A247" i="14"/>
  <c r="B247" i="14"/>
  <c r="A248" i="14"/>
  <c r="B248" i="14"/>
  <c r="A249" i="14"/>
  <c r="B249" i="14"/>
  <c r="A250" i="14"/>
  <c r="B250" i="14"/>
  <c r="A251" i="14"/>
  <c r="B251" i="14"/>
  <c r="A252" i="14"/>
  <c r="B252" i="14"/>
  <c r="A253" i="14"/>
  <c r="B253" i="14"/>
  <c r="A254" i="14"/>
  <c r="B254" i="14"/>
  <c r="A255" i="14"/>
  <c r="B255" i="14"/>
  <c r="A256" i="14"/>
  <c r="B256" i="14"/>
  <c r="A257" i="14"/>
  <c r="B257" i="14"/>
  <c r="A258" i="14"/>
  <c r="B258" i="14"/>
  <c r="A259" i="14"/>
  <c r="B259" i="14"/>
  <c r="A260" i="14"/>
  <c r="B260" i="14"/>
  <c r="A261" i="14"/>
  <c r="B261" i="14"/>
  <c r="A262" i="14"/>
  <c r="B262" i="14"/>
  <c r="A263" i="14"/>
  <c r="B263" i="14"/>
  <c r="A264" i="14"/>
  <c r="B264" i="14"/>
  <c r="A265" i="14"/>
  <c r="B265" i="14"/>
  <c r="A266" i="14"/>
  <c r="B266" i="14"/>
  <c r="A267" i="14"/>
  <c r="B267" i="14"/>
  <c r="A268" i="14"/>
  <c r="B268" i="14"/>
  <c r="A269" i="14"/>
  <c r="B269" i="14"/>
  <c r="A270" i="14"/>
  <c r="B270" i="14"/>
  <c r="A271" i="14"/>
  <c r="B271" i="14"/>
  <c r="A272" i="14"/>
  <c r="B272" i="14"/>
  <c r="A273" i="14"/>
  <c r="B273" i="14"/>
  <c r="A274" i="14"/>
  <c r="B274" i="14"/>
  <c r="A275" i="14"/>
  <c r="B275" i="14"/>
  <c r="A276" i="14"/>
  <c r="B276" i="14"/>
  <c r="A277" i="14"/>
  <c r="B277" i="14"/>
  <c r="A278" i="14"/>
  <c r="B278" i="14"/>
  <c r="A279" i="14"/>
  <c r="B279" i="14"/>
  <c r="A280" i="14"/>
  <c r="B280" i="14"/>
  <c r="A281" i="14"/>
  <c r="B281" i="14"/>
  <c r="A282" i="14"/>
  <c r="B282" i="14"/>
  <c r="A283" i="14"/>
  <c r="B283" i="14"/>
  <c r="A284" i="14"/>
  <c r="B284" i="14"/>
  <c r="A285" i="14"/>
  <c r="B285" i="14"/>
  <c r="A286" i="14"/>
  <c r="B286" i="14"/>
  <c r="A287" i="14"/>
  <c r="B287" i="14"/>
  <c r="A288" i="14"/>
  <c r="B288" i="14"/>
  <c r="A289" i="14"/>
  <c r="B289" i="14"/>
  <c r="A290" i="14"/>
  <c r="B290" i="14"/>
  <c r="A291" i="14"/>
  <c r="B291" i="14"/>
  <c r="A292" i="14"/>
  <c r="B292" i="14"/>
  <c r="A293" i="14"/>
  <c r="B293" i="14"/>
  <c r="A294" i="14"/>
  <c r="B294" i="14"/>
  <c r="A295" i="14"/>
  <c r="B295" i="14"/>
  <c r="A296" i="14"/>
  <c r="B296" i="14"/>
  <c r="A297" i="14"/>
  <c r="B297" i="14"/>
  <c r="A298" i="14"/>
  <c r="B298" i="14"/>
  <c r="A299" i="14"/>
  <c r="B299" i="14"/>
  <c r="A300" i="14"/>
  <c r="B300" i="14"/>
  <c r="A301" i="14"/>
  <c r="B301" i="14"/>
  <c r="A302" i="14"/>
  <c r="B302" i="14"/>
  <c r="A303" i="14"/>
  <c r="B303" i="14"/>
  <c r="A304" i="14"/>
  <c r="B304" i="14"/>
  <c r="A305" i="14"/>
  <c r="B305" i="14"/>
  <c r="A306" i="14"/>
  <c r="B306" i="14"/>
  <c r="A307" i="14"/>
  <c r="B307" i="14"/>
  <c r="A308" i="14"/>
  <c r="B308" i="14"/>
  <c r="A309" i="14"/>
  <c r="B309" i="14"/>
  <c r="A310" i="14"/>
  <c r="B310" i="14"/>
  <c r="A311" i="14"/>
  <c r="B311" i="14"/>
  <c r="A312" i="14"/>
  <c r="B312" i="14"/>
  <c r="A313" i="14"/>
  <c r="B313" i="14"/>
  <c r="A314" i="14"/>
  <c r="B314" i="14"/>
  <c r="A315" i="14"/>
  <c r="B315" i="14"/>
  <c r="A316" i="14"/>
  <c r="B316" i="14"/>
  <c r="A317" i="14"/>
  <c r="B317" i="14"/>
  <c r="A318" i="14"/>
  <c r="B318" i="14"/>
  <c r="A319" i="14"/>
  <c r="B319" i="14"/>
  <c r="A320" i="14"/>
  <c r="B320" i="14"/>
  <c r="A321" i="14"/>
  <c r="B321" i="14"/>
  <c r="A322" i="14"/>
  <c r="B322" i="14"/>
  <c r="A323" i="14"/>
  <c r="B323" i="14"/>
  <c r="A324" i="14"/>
  <c r="B324" i="14"/>
  <c r="A325" i="14"/>
  <c r="B325" i="14"/>
  <c r="A326" i="14"/>
  <c r="B326" i="14"/>
  <c r="A327" i="14"/>
  <c r="B327" i="14"/>
  <c r="A328" i="14"/>
  <c r="B328" i="14"/>
  <c r="A329" i="14"/>
  <c r="B329" i="14"/>
  <c r="A330" i="14"/>
  <c r="B330" i="14"/>
  <c r="A331" i="14"/>
  <c r="B331" i="14"/>
  <c r="A332" i="14"/>
  <c r="B332" i="14"/>
  <c r="A333" i="14"/>
  <c r="B333" i="14"/>
  <c r="A334" i="14"/>
  <c r="B334" i="14"/>
  <c r="A335" i="14"/>
  <c r="B335" i="14"/>
  <c r="A336" i="14"/>
  <c r="B336" i="14"/>
  <c r="A337" i="14"/>
  <c r="B337" i="14"/>
  <c r="A338" i="14"/>
  <c r="B338" i="14"/>
  <c r="A339" i="14"/>
  <c r="B339" i="14"/>
  <c r="A340" i="14"/>
  <c r="B340" i="14"/>
  <c r="A341" i="14"/>
  <c r="B341" i="14"/>
  <c r="A342" i="14"/>
  <c r="B342" i="14"/>
  <c r="A343" i="14"/>
  <c r="B343" i="14"/>
  <c r="A344" i="14"/>
  <c r="B344" i="14"/>
  <c r="A345" i="14"/>
  <c r="B345" i="14"/>
  <c r="A346" i="14"/>
  <c r="B346" i="14"/>
  <c r="A347" i="14"/>
  <c r="B347" i="14"/>
  <c r="A348" i="14"/>
  <c r="B348" i="14"/>
  <c r="A349" i="14"/>
  <c r="B349" i="14"/>
  <c r="A350" i="14"/>
  <c r="B350" i="14"/>
  <c r="A351" i="14"/>
  <c r="B351" i="14"/>
  <c r="A352" i="14"/>
  <c r="B352" i="14"/>
  <c r="A353" i="14"/>
  <c r="B353" i="14"/>
  <c r="A354" i="14"/>
  <c r="B354" i="14"/>
  <c r="A355" i="14"/>
  <c r="B355" i="14"/>
  <c r="A356" i="14"/>
  <c r="B356" i="14"/>
  <c r="A357" i="14"/>
  <c r="B357" i="14"/>
  <c r="A358" i="14"/>
  <c r="B358" i="14"/>
  <c r="A359" i="14"/>
  <c r="B359" i="14"/>
  <c r="A360" i="14"/>
  <c r="B360" i="14"/>
  <c r="A361" i="14"/>
  <c r="B361" i="14"/>
  <c r="A362" i="14"/>
  <c r="B362" i="14"/>
  <c r="A363" i="14"/>
  <c r="B363" i="14"/>
  <c r="A364" i="14"/>
  <c r="B364" i="14"/>
  <c r="A365" i="14"/>
  <c r="B365" i="14"/>
  <c r="A366" i="14"/>
  <c r="B366" i="14"/>
  <c r="A367" i="14"/>
  <c r="B367" i="14"/>
  <c r="A368" i="14"/>
  <c r="B368" i="14"/>
  <c r="A369" i="14"/>
  <c r="B369" i="14"/>
  <c r="A370" i="14"/>
  <c r="B370" i="14"/>
  <c r="A371" i="14"/>
  <c r="B371" i="14"/>
  <c r="A372" i="14"/>
  <c r="B372" i="14"/>
  <c r="A373" i="14"/>
  <c r="B373" i="14"/>
  <c r="A374" i="14"/>
  <c r="B374" i="14"/>
  <c r="A375" i="14"/>
  <c r="B375" i="14"/>
  <c r="A376" i="14"/>
  <c r="B376" i="14"/>
  <c r="A377" i="14"/>
  <c r="B377" i="14"/>
  <c r="A378" i="14"/>
  <c r="B378" i="14"/>
  <c r="A379" i="14"/>
  <c r="B379" i="14"/>
  <c r="A380" i="14"/>
  <c r="B380" i="14"/>
  <c r="A381" i="14"/>
  <c r="B381" i="14"/>
  <c r="A382" i="14"/>
  <c r="B382" i="14"/>
  <c r="A383" i="14"/>
  <c r="B383" i="14"/>
  <c r="A384" i="14"/>
  <c r="B384" i="14"/>
  <c r="A385" i="14"/>
  <c r="B385" i="14"/>
  <c r="A386" i="14"/>
  <c r="B386" i="14"/>
  <c r="A387" i="14"/>
  <c r="B387" i="14"/>
  <c r="A388" i="14"/>
  <c r="B388" i="14"/>
  <c r="A389" i="14"/>
  <c r="B389" i="14"/>
  <c r="A390" i="14"/>
  <c r="B390" i="14"/>
  <c r="A391" i="14"/>
  <c r="B391" i="14"/>
  <c r="A392" i="14"/>
  <c r="B392" i="14"/>
  <c r="A393" i="14"/>
  <c r="B393" i="14"/>
  <c r="A394" i="14"/>
  <c r="B394" i="14"/>
  <c r="A395" i="14"/>
  <c r="B395" i="14"/>
  <c r="A396" i="14"/>
  <c r="B396" i="14"/>
  <c r="A397" i="14"/>
  <c r="B397" i="14"/>
  <c r="A398" i="14"/>
  <c r="B398" i="14"/>
  <c r="A399" i="14"/>
  <c r="B399" i="14"/>
  <c r="A400" i="14"/>
  <c r="B400" i="14"/>
  <c r="A401" i="14"/>
  <c r="B401" i="14"/>
  <c r="A402" i="14"/>
  <c r="B402" i="14"/>
  <c r="A403" i="14"/>
  <c r="B403" i="14"/>
  <c r="A404" i="14"/>
  <c r="B404" i="14"/>
  <c r="A405" i="14"/>
  <c r="B405" i="14"/>
  <c r="A406" i="14"/>
  <c r="B406" i="14"/>
  <c r="A407" i="14"/>
  <c r="B407" i="14"/>
  <c r="A408" i="14"/>
  <c r="B408" i="14"/>
  <c r="A409" i="14"/>
  <c r="B409" i="14"/>
  <c r="A410" i="14"/>
  <c r="B410" i="14"/>
  <c r="A411" i="14"/>
  <c r="B411" i="14"/>
  <c r="A412" i="14"/>
  <c r="B412" i="14"/>
  <c r="A413" i="14"/>
  <c r="B413" i="14"/>
  <c r="A414" i="14"/>
  <c r="B414" i="14"/>
  <c r="A415" i="14"/>
  <c r="B415" i="14"/>
  <c r="A416" i="14"/>
  <c r="B416" i="14"/>
  <c r="A417" i="14"/>
  <c r="B417" i="14"/>
  <c r="A418" i="14"/>
  <c r="B418" i="14"/>
  <c r="A419" i="14"/>
  <c r="B419" i="14"/>
  <c r="A420" i="14"/>
  <c r="B420" i="14"/>
  <c r="A421" i="14"/>
  <c r="B421" i="14"/>
  <c r="A422" i="14"/>
  <c r="B422" i="14"/>
  <c r="A423" i="14"/>
  <c r="B423" i="14"/>
  <c r="A424" i="14"/>
  <c r="B424" i="14"/>
  <c r="A425" i="14"/>
  <c r="B425" i="14"/>
  <c r="A426" i="14"/>
  <c r="B426" i="14"/>
  <c r="A427" i="14"/>
  <c r="B427" i="14"/>
  <c r="A428" i="14"/>
  <c r="B428" i="14"/>
  <c r="A429" i="14"/>
  <c r="B429" i="14"/>
  <c r="A430" i="14"/>
  <c r="B430" i="14"/>
  <c r="A431" i="14"/>
  <c r="B431" i="14"/>
  <c r="A432" i="14"/>
  <c r="B432" i="14"/>
  <c r="A433" i="14"/>
  <c r="B433" i="14"/>
  <c r="A434" i="14"/>
  <c r="B434" i="14"/>
  <c r="A435" i="14"/>
  <c r="B435" i="14"/>
  <c r="A436" i="14"/>
  <c r="B436" i="14"/>
  <c r="A437" i="14"/>
  <c r="B437" i="14"/>
  <c r="A438" i="14"/>
  <c r="B438" i="14"/>
  <c r="A439" i="14"/>
  <c r="B439" i="14"/>
  <c r="A440" i="14"/>
  <c r="B440" i="14"/>
  <c r="A441" i="14"/>
  <c r="B441" i="14"/>
  <c r="A442" i="14"/>
  <c r="B442" i="14"/>
  <c r="A443" i="14"/>
  <c r="B443" i="14"/>
  <c r="A444" i="14"/>
  <c r="B444" i="14"/>
  <c r="A445" i="14"/>
  <c r="B445" i="14"/>
  <c r="A446" i="14"/>
  <c r="B446" i="14"/>
  <c r="A447" i="14"/>
  <c r="B447" i="14"/>
  <c r="A448" i="14"/>
  <c r="B448" i="14"/>
  <c r="A449" i="14"/>
  <c r="B449" i="14"/>
  <c r="A450" i="14"/>
  <c r="B450" i="14"/>
  <c r="A451" i="14"/>
  <c r="B451" i="14"/>
  <c r="A452" i="14"/>
  <c r="B452" i="14"/>
  <c r="A453" i="14"/>
  <c r="B453" i="14"/>
  <c r="A454" i="14"/>
  <c r="B454" i="14"/>
  <c r="A455" i="14"/>
  <c r="B455" i="14"/>
  <c r="A456" i="14"/>
  <c r="B456" i="14"/>
  <c r="A457" i="14"/>
  <c r="B457" i="14"/>
  <c r="A458" i="14"/>
  <c r="B458" i="14"/>
  <c r="A459" i="14"/>
  <c r="B459" i="14"/>
  <c r="A460" i="14"/>
  <c r="B460" i="14"/>
  <c r="A461" i="14"/>
  <c r="B461" i="14"/>
  <c r="A462" i="14"/>
  <c r="B462" i="14"/>
  <c r="A463" i="14"/>
  <c r="B463" i="14"/>
  <c r="A464" i="14"/>
  <c r="B464" i="14"/>
  <c r="A465" i="14"/>
  <c r="B465" i="14"/>
  <c r="A466" i="14"/>
  <c r="B466" i="14"/>
  <c r="B2" i="14"/>
  <c r="A2" i="14"/>
  <c r="U18" i="12"/>
  <c r="U19" i="12" s="1"/>
  <c r="U17" i="12"/>
  <c r="T435" i="1"/>
  <c r="U426" i="1"/>
  <c r="W427" i="1"/>
  <c r="T442" i="1"/>
  <c r="S442" i="1" s="1"/>
  <c r="S432" i="1"/>
  <c r="S431" i="1"/>
  <c r="S426" i="1"/>
  <c r="T444" i="1"/>
  <c r="S444" i="1" s="1"/>
  <c r="T452" i="1"/>
  <c r="S452" i="1" s="1"/>
  <c r="T453" i="1"/>
  <c r="S453" i="1" s="1"/>
  <c r="T454" i="1"/>
  <c r="S454" i="1" s="1"/>
  <c r="T455" i="1"/>
  <c r="S455" i="1" s="1"/>
  <c r="T456" i="1"/>
  <c r="S456" i="1" s="1"/>
  <c r="T443" i="1"/>
  <c r="S443" i="1" s="1"/>
  <c r="T427" i="1"/>
  <c r="S427" i="1" s="1"/>
  <c r="T428" i="1"/>
  <c r="S428" i="1" s="1"/>
  <c r="T429" i="1"/>
  <c r="S429" i="1" s="1"/>
  <c r="T430" i="1"/>
  <c r="S430" i="1" s="1"/>
  <c r="T431" i="1"/>
  <c r="U431" i="1" s="1"/>
  <c r="T432" i="1"/>
  <c r="U432" i="1" s="1"/>
  <c r="T433" i="1"/>
  <c r="T434" i="1"/>
  <c r="T426" i="1"/>
  <c r="Q457" i="1"/>
  <c r="Y86" i="12"/>
  <c r="W87" i="12"/>
  <c r="W88" i="12" s="1"/>
  <c r="W89" i="12" s="1"/>
  <c r="W90" i="12" s="1"/>
  <c r="W91" i="12" s="1"/>
  <c r="W92" i="12" s="1"/>
  <c r="W93" i="12" s="1"/>
  <c r="W94" i="12" s="1"/>
  <c r="W95" i="12" s="1"/>
  <c r="W96" i="12" s="1"/>
  <c r="W97" i="12" s="1"/>
  <c r="W98" i="12" s="1"/>
  <c r="W99" i="12" s="1"/>
  <c r="W100" i="12" s="1"/>
  <c r="W101" i="12" s="1"/>
  <c r="W102" i="12" s="1"/>
  <c r="W103" i="12" s="1"/>
  <c r="W104" i="12" s="1"/>
  <c r="W105" i="12" s="1"/>
  <c r="W106" i="12" s="1"/>
  <c r="W107" i="12" s="1"/>
  <c r="W108" i="12" s="1"/>
  <c r="W109" i="12" s="1"/>
  <c r="W110" i="12" s="1"/>
  <c r="W111" i="12" s="1"/>
  <c r="W112" i="12" s="1"/>
  <c r="W113" i="12" s="1"/>
  <c r="W114" i="12" s="1"/>
  <c r="W115" i="12" s="1"/>
  <c r="W116" i="12" s="1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D62" i="12"/>
  <c r="E62" i="12" s="1"/>
  <c r="F62" i="12" s="1"/>
  <c r="G62" i="12" s="1"/>
  <c r="H62" i="12" s="1"/>
  <c r="I62" i="12" s="1"/>
  <c r="J62" i="12" s="1"/>
  <c r="K62" i="12" s="1"/>
  <c r="L62" i="12" s="1"/>
  <c r="M62" i="12" s="1"/>
  <c r="N62" i="12" s="1"/>
  <c r="O62" i="12" s="1"/>
  <c r="P62" i="12" s="1"/>
  <c r="Q62" i="12" s="1"/>
  <c r="R62" i="12" s="1"/>
  <c r="S62" i="12" s="1"/>
  <c r="T62" i="12" s="1"/>
  <c r="U62" i="12" s="1"/>
  <c r="V62" i="12" s="1"/>
  <c r="W62" i="12" s="1"/>
  <c r="X62" i="12" s="1"/>
  <c r="Y62" i="12" s="1"/>
  <c r="Z62" i="12" s="1"/>
  <c r="AA62" i="12" s="1"/>
  <c r="AB62" i="12" s="1"/>
  <c r="AC62" i="12" s="1"/>
  <c r="AD62" i="12" s="1"/>
  <c r="AE62" i="12" s="1"/>
  <c r="AF62" i="12" s="1"/>
  <c r="AG62" i="12" s="1"/>
  <c r="D5" i="12"/>
  <c r="D4" i="12"/>
  <c r="A3" i="10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A201" i="10"/>
  <c r="B201" i="10"/>
  <c r="A202" i="10"/>
  <c r="B202" i="10"/>
  <c r="A203" i="10"/>
  <c r="B203" i="10"/>
  <c r="A204" i="10"/>
  <c r="B204" i="10"/>
  <c r="A205" i="10"/>
  <c r="B205" i="10"/>
  <c r="A206" i="10"/>
  <c r="B206" i="10"/>
  <c r="A207" i="10"/>
  <c r="B207" i="10"/>
  <c r="A208" i="10"/>
  <c r="B208" i="10"/>
  <c r="A209" i="10"/>
  <c r="B209" i="10"/>
  <c r="A210" i="10"/>
  <c r="B210" i="10"/>
  <c r="A211" i="10"/>
  <c r="B211" i="10"/>
  <c r="A212" i="10"/>
  <c r="B212" i="10"/>
  <c r="A213" i="10"/>
  <c r="B213" i="10"/>
  <c r="A214" i="10"/>
  <c r="B214" i="10"/>
  <c r="A215" i="10"/>
  <c r="B215" i="10"/>
  <c r="A216" i="10"/>
  <c r="B216" i="10"/>
  <c r="A217" i="10"/>
  <c r="B217" i="10"/>
  <c r="A218" i="10"/>
  <c r="B218" i="10"/>
  <c r="A219" i="10"/>
  <c r="B219" i="10"/>
  <c r="A220" i="10"/>
  <c r="B220" i="10"/>
  <c r="A221" i="10"/>
  <c r="B221" i="10"/>
  <c r="A222" i="10"/>
  <c r="B222" i="10"/>
  <c r="A223" i="10"/>
  <c r="B223" i="10"/>
  <c r="A224" i="10"/>
  <c r="B224" i="10"/>
  <c r="A225" i="10"/>
  <c r="B225" i="10"/>
  <c r="A226" i="10"/>
  <c r="B226" i="10"/>
  <c r="A227" i="10"/>
  <c r="B227" i="10"/>
  <c r="A228" i="10"/>
  <c r="B228" i="10"/>
  <c r="A229" i="10"/>
  <c r="B229" i="10"/>
  <c r="A230" i="10"/>
  <c r="B230" i="10"/>
  <c r="A231" i="10"/>
  <c r="B231" i="10"/>
  <c r="A232" i="10"/>
  <c r="B232" i="10"/>
  <c r="A233" i="10"/>
  <c r="B233" i="10"/>
  <c r="A234" i="10"/>
  <c r="B234" i="10"/>
  <c r="A235" i="10"/>
  <c r="B235" i="10"/>
  <c r="A236" i="10"/>
  <c r="B236" i="10"/>
  <c r="A237" i="10"/>
  <c r="B237" i="10"/>
  <c r="A238" i="10"/>
  <c r="B238" i="10"/>
  <c r="A239" i="10"/>
  <c r="B239" i="10"/>
  <c r="A240" i="10"/>
  <c r="B240" i="10"/>
  <c r="A241" i="10"/>
  <c r="B241" i="10"/>
  <c r="A242" i="10"/>
  <c r="B242" i="10"/>
  <c r="A243" i="10"/>
  <c r="B243" i="10"/>
  <c r="A244" i="10"/>
  <c r="B244" i="10"/>
  <c r="A245" i="10"/>
  <c r="B245" i="10"/>
  <c r="A246" i="10"/>
  <c r="B246" i="10"/>
  <c r="A247" i="10"/>
  <c r="B247" i="10"/>
  <c r="A248" i="10"/>
  <c r="B248" i="10"/>
  <c r="A249" i="10"/>
  <c r="B249" i="10"/>
  <c r="A250" i="10"/>
  <c r="B250" i="10"/>
  <c r="A251" i="10"/>
  <c r="B251" i="10"/>
  <c r="A252" i="10"/>
  <c r="B252" i="10"/>
  <c r="A253" i="10"/>
  <c r="B253" i="10"/>
  <c r="A254" i="10"/>
  <c r="B254" i="10"/>
  <c r="A255" i="10"/>
  <c r="B255" i="10"/>
  <c r="A256" i="10"/>
  <c r="B256" i="10"/>
  <c r="A257" i="10"/>
  <c r="B257" i="10"/>
  <c r="A258" i="10"/>
  <c r="B258" i="10"/>
  <c r="A259" i="10"/>
  <c r="B259" i="10"/>
  <c r="A260" i="10"/>
  <c r="B260" i="10"/>
  <c r="A261" i="10"/>
  <c r="B261" i="10"/>
  <c r="A262" i="10"/>
  <c r="B262" i="10"/>
  <c r="A263" i="10"/>
  <c r="B263" i="10"/>
  <c r="A264" i="10"/>
  <c r="B264" i="10"/>
  <c r="A265" i="10"/>
  <c r="B265" i="10"/>
  <c r="A266" i="10"/>
  <c r="B266" i="10"/>
  <c r="A267" i="10"/>
  <c r="B267" i="10"/>
  <c r="A268" i="10"/>
  <c r="B268" i="10"/>
  <c r="A269" i="10"/>
  <c r="B269" i="10"/>
  <c r="A270" i="10"/>
  <c r="B270" i="10"/>
  <c r="A271" i="10"/>
  <c r="B271" i="10"/>
  <c r="A272" i="10"/>
  <c r="B272" i="10"/>
  <c r="A273" i="10"/>
  <c r="B273" i="10"/>
  <c r="A274" i="10"/>
  <c r="B274" i="10"/>
  <c r="A275" i="10"/>
  <c r="B275" i="10"/>
  <c r="A276" i="10"/>
  <c r="B276" i="10"/>
  <c r="A277" i="10"/>
  <c r="B277" i="10"/>
  <c r="A278" i="10"/>
  <c r="B278" i="10"/>
  <c r="A279" i="10"/>
  <c r="B279" i="10"/>
  <c r="A280" i="10"/>
  <c r="B280" i="10"/>
  <c r="A281" i="10"/>
  <c r="B281" i="10"/>
  <c r="A282" i="10"/>
  <c r="B282" i="10"/>
  <c r="A283" i="10"/>
  <c r="B283" i="10"/>
  <c r="A284" i="10"/>
  <c r="B284" i="10"/>
  <c r="A285" i="10"/>
  <c r="B285" i="10"/>
  <c r="A286" i="10"/>
  <c r="B286" i="10"/>
  <c r="A287" i="10"/>
  <c r="B287" i="10"/>
  <c r="A288" i="10"/>
  <c r="B288" i="10"/>
  <c r="A289" i="10"/>
  <c r="B289" i="10"/>
  <c r="A290" i="10"/>
  <c r="B290" i="10"/>
  <c r="A291" i="10"/>
  <c r="B291" i="10"/>
  <c r="A292" i="10"/>
  <c r="B292" i="10"/>
  <c r="A293" i="10"/>
  <c r="B293" i="10"/>
  <c r="A294" i="10"/>
  <c r="B294" i="10"/>
  <c r="A295" i="10"/>
  <c r="B295" i="10"/>
  <c r="A296" i="10"/>
  <c r="B296" i="10"/>
  <c r="A297" i="10"/>
  <c r="B297" i="10"/>
  <c r="A298" i="10"/>
  <c r="B298" i="10"/>
  <c r="A299" i="10"/>
  <c r="B299" i="10"/>
  <c r="A300" i="10"/>
  <c r="B300" i="10"/>
  <c r="A301" i="10"/>
  <c r="B301" i="10"/>
  <c r="A302" i="10"/>
  <c r="B302" i="10"/>
  <c r="A303" i="10"/>
  <c r="B303" i="10"/>
  <c r="A304" i="10"/>
  <c r="B304" i="10"/>
  <c r="A305" i="10"/>
  <c r="B305" i="10"/>
  <c r="A306" i="10"/>
  <c r="B306" i="10"/>
  <c r="A307" i="10"/>
  <c r="B307" i="10"/>
  <c r="A308" i="10"/>
  <c r="B308" i="10"/>
  <c r="A309" i="10"/>
  <c r="B309" i="10"/>
  <c r="A310" i="10"/>
  <c r="B310" i="10"/>
  <c r="A311" i="10"/>
  <c r="B311" i="10"/>
  <c r="A312" i="10"/>
  <c r="B312" i="10"/>
  <c r="A313" i="10"/>
  <c r="B313" i="10"/>
  <c r="A314" i="10"/>
  <c r="B314" i="10"/>
  <c r="A315" i="10"/>
  <c r="B315" i="10"/>
  <c r="A316" i="10"/>
  <c r="B316" i="10"/>
  <c r="A317" i="10"/>
  <c r="B317" i="10"/>
  <c r="A318" i="10"/>
  <c r="B318" i="10"/>
  <c r="A319" i="10"/>
  <c r="B319" i="10"/>
  <c r="A320" i="10"/>
  <c r="B320" i="10"/>
  <c r="A321" i="10"/>
  <c r="B321" i="10"/>
  <c r="A322" i="10"/>
  <c r="B322" i="10"/>
  <c r="A323" i="10"/>
  <c r="B323" i="10"/>
  <c r="A324" i="10"/>
  <c r="B324" i="10"/>
  <c r="A325" i="10"/>
  <c r="B325" i="10"/>
  <c r="A326" i="10"/>
  <c r="B326" i="10"/>
  <c r="A327" i="10"/>
  <c r="B327" i="10"/>
  <c r="A328" i="10"/>
  <c r="B328" i="10"/>
  <c r="A329" i="10"/>
  <c r="B329" i="10"/>
  <c r="A330" i="10"/>
  <c r="B330" i="10"/>
  <c r="A331" i="10"/>
  <c r="B331" i="10"/>
  <c r="A332" i="10"/>
  <c r="B332" i="10"/>
  <c r="A333" i="10"/>
  <c r="B333" i="10"/>
  <c r="A334" i="10"/>
  <c r="B334" i="10"/>
  <c r="A335" i="10"/>
  <c r="B335" i="10"/>
  <c r="A336" i="10"/>
  <c r="B336" i="10"/>
  <c r="A337" i="10"/>
  <c r="B337" i="10"/>
  <c r="A338" i="10"/>
  <c r="B338" i="10"/>
  <c r="A339" i="10"/>
  <c r="B339" i="10"/>
  <c r="A340" i="10"/>
  <c r="B340" i="10"/>
  <c r="A341" i="10"/>
  <c r="B341" i="10"/>
  <c r="A342" i="10"/>
  <c r="B342" i="10"/>
  <c r="A343" i="10"/>
  <c r="B343" i="10"/>
  <c r="A344" i="10"/>
  <c r="B344" i="10"/>
  <c r="A345" i="10"/>
  <c r="B345" i="10"/>
  <c r="A346" i="10"/>
  <c r="B346" i="10"/>
  <c r="A347" i="10"/>
  <c r="B347" i="10"/>
  <c r="A348" i="10"/>
  <c r="B348" i="10"/>
  <c r="A349" i="10"/>
  <c r="B349" i="10"/>
  <c r="A350" i="10"/>
  <c r="B350" i="10"/>
  <c r="A351" i="10"/>
  <c r="B351" i="10"/>
  <c r="A352" i="10"/>
  <c r="B352" i="10"/>
  <c r="A353" i="10"/>
  <c r="B353" i="10"/>
  <c r="A354" i="10"/>
  <c r="B354" i="10"/>
  <c r="A355" i="10"/>
  <c r="B355" i="10"/>
  <c r="A356" i="10"/>
  <c r="B356" i="10"/>
  <c r="A357" i="10"/>
  <c r="B357" i="10"/>
  <c r="A358" i="10"/>
  <c r="B358" i="10"/>
  <c r="A359" i="10"/>
  <c r="B359" i="10"/>
  <c r="A360" i="10"/>
  <c r="B360" i="10"/>
  <c r="A361" i="10"/>
  <c r="B361" i="10"/>
  <c r="A362" i="10"/>
  <c r="B362" i="10"/>
  <c r="A363" i="10"/>
  <c r="B363" i="10"/>
  <c r="A364" i="10"/>
  <c r="B364" i="10"/>
  <c r="A365" i="10"/>
  <c r="B365" i="10"/>
  <c r="A366" i="10"/>
  <c r="B366" i="10"/>
  <c r="A367" i="10"/>
  <c r="B367" i="10"/>
  <c r="A368" i="10"/>
  <c r="B368" i="10"/>
  <c r="A369" i="10"/>
  <c r="B369" i="10"/>
  <c r="A370" i="10"/>
  <c r="B370" i="10"/>
  <c r="A371" i="10"/>
  <c r="B371" i="10"/>
  <c r="A372" i="10"/>
  <c r="B372" i="10"/>
  <c r="A373" i="10"/>
  <c r="B373" i="10"/>
  <c r="A374" i="10"/>
  <c r="B374" i="10"/>
  <c r="A375" i="10"/>
  <c r="B375" i="10"/>
  <c r="A376" i="10"/>
  <c r="B376" i="10"/>
  <c r="A377" i="10"/>
  <c r="B377" i="10"/>
  <c r="A378" i="10"/>
  <c r="B378" i="10"/>
  <c r="A379" i="10"/>
  <c r="B379" i="10"/>
  <c r="A380" i="10"/>
  <c r="B380" i="10"/>
  <c r="A381" i="10"/>
  <c r="B381" i="10"/>
  <c r="A382" i="10"/>
  <c r="B382" i="10"/>
  <c r="A383" i="10"/>
  <c r="B383" i="10"/>
  <c r="A384" i="10"/>
  <c r="B384" i="10"/>
  <c r="A385" i="10"/>
  <c r="B385" i="10"/>
  <c r="A386" i="10"/>
  <c r="B386" i="10"/>
  <c r="A387" i="10"/>
  <c r="B387" i="10"/>
  <c r="A388" i="10"/>
  <c r="B388" i="10"/>
  <c r="A389" i="10"/>
  <c r="B389" i="10"/>
  <c r="A390" i="10"/>
  <c r="B390" i="10"/>
  <c r="A391" i="10"/>
  <c r="B391" i="10"/>
  <c r="A392" i="10"/>
  <c r="B392" i="10"/>
  <c r="A393" i="10"/>
  <c r="B393" i="10"/>
  <c r="A394" i="10"/>
  <c r="B394" i="10"/>
  <c r="A395" i="10"/>
  <c r="B395" i="10"/>
  <c r="A396" i="10"/>
  <c r="B396" i="10"/>
  <c r="A397" i="10"/>
  <c r="B397" i="10"/>
  <c r="A398" i="10"/>
  <c r="B398" i="10"/>
  <c r="A399" i="10"/>
  <c r="B399" i="10"/>
  <c r="A400" i="10"/>
  <c r="B400" i="10"/>
  <c r="A401" i="10"/>
  <c r="B401" i="10"/>
  <c r="A402" i="10"/>
  <c r="B402" i="10"/>
  <c r="A403" i="10"/>
  <c r="B403" i="10"/>
  <c r="A404" i="10"/>
  <c r="B404" i="10"/>
  <c r="A405" i="10"/>
  <c r="B405" i="10"/>
  <c r="A406" i="10"/>
  <c r="B406" i="10"/>
  <c r="A407" i="10"/>
  <c r="B407" i="10"/>
  <c r="A408" i="10"/>
  <c r="B408" i="10"/>
  <c r="A409" i="10"/>
  <c r="B409" i="10"/>
  <c r="A410" i="10"/>
  <c r="B410" i="10"/>
  <c r="A411" i="10"/>
  <c r="B411" i="10"/>
  <c r="A412" i="10"/>
  <c r="B412" i="10"/>
  <c r="A413" i="10"/>
  <c r="B413" i="10"/>
  <c r="A414" i="10"/>
  <c r="B414" i="10"/>
  <c r="A415" i="10"/>
  <c r="B415" i="10"/>
  <c r="A416" i="10"/>
  <c r="B416" i="10"/>
  <c r="A417" i="10"/>
  <c r="B417" i="10"/>
  <c r="A418" i="10"/>
  <c r="B418" i="10"/>
  <c r="A419" i="10"/>
  <c r="B419" i="10"/>
  <c r="A420" i="10"/>
  <c r="B420" i="10"/>
  <c r="A421" i="10"/>
  <c r="B421" i="10"/>
  <c r="A422" i="10"/>
  <c r="B422" i="10"/>
  <c r="A423" i="10"/>
  <c r="B423" i="10"/>
  <c r="A424" i="10"/>
  <c r="B424" i="10"/>
  <c r="A425" i="10"/>
  <c r="B425" i="10"/>
  <c r="A426" i="10"/>
  <c r="B426" i="10"/>
  <c r="A427" i="10"/>
  <c r="B427" i="10"/>
  <c r="A428" i="10"/>
  <c r="B428" i="10"/>
  <c r="A429" i="10"/>
  <c r="B429" i="10"/>
  <c r="A430" i="10"/>
  <c r="B430" i="10"/>
  <c r="A431" i="10"/>
  <c r="B431" i="10"/>
  <c r="A432" i="10"/>
  <c r="B432" i="10"/>
  <c r="A433" i="10"/>
  <c r="B433" i="10"/>
  <c r="A434" i="10"/>
  <c r="B434" i="10"/>
  <c r="A435" i="10"/>
  <c r="B435" i="10"/>
  <c r="A436" i="10"/>
  <c r="B436" i="10"/>
  <c r="A437" i="10"/>
  <c r="B437" i="10"/>
  <c r="A438" i="10"/>
  <c r="B438" i="10"/>
  <c r="A439" i="10"/>
  <c r="B439" i="10"/>
  <c r="A440" i="10"/>
  <c r="B440" i="10"/>
  <c r="A441" i="10"/>
  <c r="B441" i="10"/>
  <c r="A442" i="10"/>
  <c r="B442" i="10"/>
  <c r="A443" i="10"/>
  <c r="B443" i="10"/>
  <c r="A444" i="10"/>
  <c r="B444" i="10"/>
  <c r="A445" i="10"/>
  <c r="B445" i="10"/>
  <c r="A446" i="10"/>
  <c r="B446" i="10"/>
  <c r="A447" i="10"/>
  <c r="B447" i="10"/>
  <c r="A448" i="10"/>
  <c r="B448" i="10"/>
  <c r="A449" i="10"/>
  <c r="B449" i="10"/>
  <c r="A450" i="10"/>
  <c r="B450" i="10"/>
  <c r="A451" i="10"/>
  <c r="B451" i="10"/>
  <c r="A452" i="10"/>
  <c r="B452" i="10"/>
  <c r="A453" i="10"/>
  <c r="B453" i="10"/>
  <c r="A454" i="10"/>
  <c r="B454" i="10"/>
  <c r="A455" i="10"/>
  <c r="B455" i="10"/>
  <c r="A456" i="10"/>
  <c r="B456" i="10"/>
  <c r="A457" i="10"/>
  <c r="B457" i="10"/>
  <c r="A458" i="10"/>
  <c r="B458" i="10"/>
  <c r="A459" i="10"/>
  <c r="B459" i="10"/>
  <c r="A460" i="10"/>
  <c r="B460" i="10"/>
  <c r="A461" i="10"/>
  <c r="B461" i="10"/>
  <c r="A462" i="10"/>
  <c r="B462" i="10"/>
  <c r="A463" i="10"/>
  <c r="B463" i="10"/>
  <c r="A464" i="10"/>
  <c r="B464" i="10"/>
  <c r="A465" i="10"/>
  <c r="B465" i="10"/>
  <c r="A466" i="10"/>
  <c r="B466" i="10"/>
  <c r="B2" i="10"/>
  <c r="A2" i="10"/>
  <c r="A3" i="9"/>
  <c r="B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B93" i="9"/>
  <c r="A94" i="9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102" i="9"/>
  <c r="B102" i="9"/>
  <c r="A103" i="9"/>
  <c r="B103" i="9"/>
  <c r="A104" i="9"/>
  <c r="B104" i="9"/>
  <c r="A105" i="9"/>
  <c r="B105" i="9"/>
  <c r="A106" i="9"/>
  <c r="B106" i="9"/>
  <c r="A107" i="9"/>
  <c r="B107" i="9"/>
  <c r="A108" i="9"/>
  <c r="B108" i="9"/>
  <c r="A109" i="9"/>
  <c r="B109" i="9"/>
  <c r="A110" i="9"/>
  <c r="B110" i="9"/>
  <c r="A111" i="9"/>
  <c r="B111" i="9"/>
  <c r="A112" i="9"/>
  <c r="B112" i="9"/>
  <c r="A113" i="9"/>
  <c r="B113" i="9"/>
  <c r="A114" i="9"/>
  <c r="B114" i="9"/>
  <c r="A115" i="9"/>
  <c r="B115" i="9"/>
  <c r="A116" i="9"/>
  <c r="B116" i="9"/>
  <c r="A117" i="9"/>
  <c r="B117" i="9"/>
  <c r="A118" i="9"/>
  <c r="B118" i="9"/>
  <c r="A119" i="9"/>
  <c r="B119" i="9"/>
  <c r="A120" i="9"/>
  <c r="B120" i="9"/>
  <c r="A121" i="9"/>
  <c r="B121" i="9"/>
  <c r="A122" i="9"/>
  <c r="B122" i="9"/>
  <c r="A123" i="9"/>
  <c r="B123" i="9"/>
  <c r="A124" i="9"/>
  <c r="B124" i="9"/>
  <c r="A125" i="9"/>
  <c r="B125" i="9"/>
  <c r="A126" i="9"/>
  <c r="B126" i="9"/>
  <c r="A127" i="9"/>
  <c r="B127" i="9"/>
  <c r="A128" i="9"/>
  <c r="B128" i="9"/>
  <c r="A129" i="9"/>
  <c r="B129" i="9"/>
  <c r="A130" i="9"/>
  <c r="B130" i="9"/>
  <c r="A131" i="9"/>
  <c r="B131" i="9"/>
  <c r="A132" i="9"/>
  <c r="B132" i="9"/>
  <c r="A133" i="9"/>
  <c r="B133" i="9"/>
  <c r="A134" i="9"/>
  <c r="B134" i="9"/>
  <c r="A135" i="9"/>
  <c r="B135" i="9"/>
  <c r="A136" i="9"/>
  <c r="B136" i="9"/>
  <c r="A137" i="9"/>
  <c r="B137" i="9"/>
  <c r="A138" i="9"/>
  <c r="B138" i="9"/>
  <c r="A139" i="9"/>
  <c r="B139" i="9"/>
  <c r="A140" i="9"/>
  <c r="B140" i="9"/>
  <c r="A141" i="9"/>
  <c r="B141" i="9"/>
  <c r="A142" i="9"/>
  <c r="B142" i="9"/>
  <c r="A143" i="9"/>
  <c r="B143" i="9"/>
  <c r="A144" i="9"/>
  <c r="B144" i="9"/>
  <c r="A145" i="9"/>
  <c r="B145" i="9"/>
  <c r="A146" i="9"/>
  <c r="B146" i="9"/>
  <c r="A147" i="9"/>
  <c r="B147" i="9"/>
  <c r="A148" i="9"/>
  <c r="B148" i="9"/>
  <c r="A149" i="9"/>
  <c r="B149" i="9"/>
  <c r="A150" i="9"/>
  <c r="B150" i="9"/>
  <c r="A151" i="9"/>
  <c r="B151" i="9"/>
  <c r="A152" i="9"/>
  <c r="B152" i="9"/>
  <c r="A153" i="9"/>
  <c r="B153" i="9"/>
  <c r="A154" i="9"/>
  <c r="B154" i="9"/>
  <c r="A155" i="9"/>
  <c r="B155" i="9"/>
  <c r="A156" i="9"/>
  <c r="B156" i="9"/>
  <c r="A157" i="9"/>
  <c r="B157" i="9"/>
  <c r="A158" i="9"/>
  <c r="B158" i="9"/>
  <c r="A159" i="9"/>
  <c r="B159" i="9"/>
  <c r="A160" i="9"/>
  <c r="B160" i="9"/>
  <c r="A161" i="9"/>
  <c r="B161" i="9"/>
  <c r="A162" i="9"/>
  <c r="B162" i="9"/>
  <c r="A163" i="9"/>
  <c r="B163" i="9"/>
  <c r="A164" i="9"/>
  <c r="B164" i="9"/>
  <c r="A165" i="9"/>
  <c r="B165" i="9"/>
  <c r="A166" i="9"/>
  <c r="B166" i="9"/>
  <c r="A167" i="9"/>
  <c r="B167" i="9"/>
  <c r="A168" i="9"/>
  <c r="B168" i="9"/>
  <c r="A169" i="9"/>
  <c r="B169" i="9"/>
  <c r="A170" i="9"/>
  <c r="B170" i="9"/>
  <c r="A171" i="9"/>
  <c r="B171" i="9"/>
  <c r="A172" i="9"/>
  <c r="B172" i="9"/>
  <c r="A173" i="9"/>
  <c r="B173" i="9"/>
  <c r="A174" i="9"/>
  <c r="B174" i="9"/>
  <c r="A175" i="9"/>
  <c r="B175" i="9"/>
  <c r="A176" i="9"/>
  <c r="B176" i="9"/>
  <c r="A177" i="9"/>
  <c r="B177" i="9"/>
  <c r="A178" i="9"/>
  <c r="B178" i="9"/>
  <c r="A179" i="9"/>
  <c r="B179" i="9"/>
  <c r="A180" i="9"/>
  <c r="B180" i="9"/>
  <c r="A181" i="9"/>
  <c r="B181" i="9"/>
  <c r="A182" i="9"/>
  <c r="B182" i="9"/>
  <c r="A183" i="9"/>
  <c r="B183" i="9"/>
  <c r="A184" i="9"/>
  <c r="B184" i="9"/>
  <c r="A185" i="9"/>
  <c r="B185" i="9"/>
  <c r="A186" i="9"/>
  <c r="B186" i="9"/>
  <c r="A187" i="9"/>
  <c r="B187" i="9"/>
  <c r="A188" i="9"/>
  <c r="B188" i="9"/>
  <c r="A189" i="9"/>
  <c r="B189" i="9"/>
  <c r="A190" i="9"/>
  <c r="B190" i="9"/>
  <c r="A191" i="9"/>
  <c r="B191" i="9"/>
  <c r="A192" i="9"/>
  <c r="B192" i="9"/>
  <c r="A193" i="9"/>
  <c r="B193" i="9"/>
  <c r="A194" i="9"/>
  <c r="B194" i="9"/>
  <c r="A195" i="9"/>
  <c r="B195" i="9"/>
  <c r="A196" i="9"/>
  <c r="B196" i="9"/>
  <c r="A197" i="9"/>
  <c r="B197" i="9"/>
  <c r="A198" i="9"/>
  <c r="B198" i="9"/>
  <c r="A199" i="9"/>
  <c r="B199" i="9"/>
  <c r="A200" i="9"/>
  <c r="B200" i="9"/>
  <c r="A201" i="9"/>
  <c r="B201" i="9"/>
  <c r="A202" i="9"/>
  <c r="B202" i="9"/>
  <c r="A203" i="9"/>
  <c r="B203" i="9"/>
  <c r="A204" i="9"/>
  <c r="B204" i="9"/>
  <c r="A205" i="9"/>
  <c r="B205" i="9"/>
  <c r="A206" i="9"/>
  <c r="B206" i="9"/>
  <c r="A207" i="9"/>
  <c r="B207" i="9"/>
  <c r="A208" i="9"/>
  <c r="B208" i="9"/>
  <c r="A209" i="9"/>
  <c r="B209" i="9"/>
  <c r="A210" i="9"/>
  <c r="B210" i="9"/>
  <c r="A211" i="9"/>
  <c r="B211" i="9"/>
  <c r="A212" i="9"/>
  <c r="B212" i="9"/>
  <c r="A213" i="9"/>
  <c r="B213" i="9"/>
  <c r="A214" i="9"/>
  <c r="B214" i="9"/>
  <c r="A215" i="9"/>
  <c r="B215" i="9"/>
  <c r="A216" i="9"/>
  <c r="B216" i="9"/>
  <c r="A217" i="9"/>
  <c r="B217" i="9"/>
  <c r="A218" i="9"/>
  <c r="B218" i="9"/>
  <c r="A219" i="9"/>
  <c r="B219" i="9"/>
  <c r="A220" i="9"/>
  <c r="B220" i="9"/>
  <c r="A221" i="9"/>
  <c r="B221" i="9"/>
  <c r="A222" i="9"/>
  <c r="B222" i="9"/>
  <c r="A223" i="9"/>
  <c r="B223" i="9"/>
  <c r="A224" i="9"/>
  <c r="B224" i="9"/>
  <c r="A225" i="9"/>
  <c r="B225" i="9"/>
  <c r="A226" i="9"/>
  <c r="B226" i="9"/>
  <c r="A227" i="9"/>
  <c r="B227" i="9"/>
  <c r="A228" i="9"/>
  <c r="B228" i="9"/>
  <c r="A229" i="9"/>
  <c r="B229" i="9"/>
  <c r="A230" i="9"/>
  <c r="B230" i="9"/>
  <c r="A231" i="9"/>
  <c r="B231" i="9"/>
  <c r="A232" i="9"/>
  <c r="B232" i="9"/>
  <c r="A233" i="9"/>
  <c r="B233" i="9"/>
  <c r="A234" i="9"/>
  <c r="B234" i="9"/>
  <c r="A235" i="9"/>
  <c r="B235" i="9"/>
  <c r="A236" i="9"/>
  <c r="B236" i="9"/>
  <c r="A237" i="9"/>
  <c r="B237" i="9"/>
  <c r="A238" i="9"/>
  <c r="B238" i="9"/>
  <c r="A239" i="9"/>
  <c r="B239" i="9"/>
  <c r="A240" i="9"/>
  <c r="B240" i="9"/>
  <c r="A241" i="9"/>
  <c r="B241" i="9"/>
  <c r="A242" i="9"/>
  <c r="B242" i="9"/>
  <c r="A243" i="9"/>
  <c r="B243" i="9"/>
  <c r="A244" i="9"/>
  <c r="B244" i="9"/>
  <c r="A245" i="9"/>
  <c r="B245" i="9"/>
  <c r="A246" i="9"/>
  <c r="B246" i="9"/>
  <c r="A247" i="9"/>
  <c r="B247" i="9"/>
  <c r="A248" i="9"/>
  <c r="B248" i="9"/>
  <c r="A249" i="9"/>
  <c r="B249" i="9"/>
  <c r="A250" i="9"/>
  <c r="B250" i="9"/>
  <c r="A251" i="9"/>
  <c r="B251" i="9"/>
  <c r="A252" i="9"/>
  <c r="B252" i="9"/>
  <c r="A253" i="9"/>
  <c r="B253" i="9"/>
  <c r="A254" i="9"/>
  <c r="B254" i="9"/>
  <c r="A255" i="9"/>
  <c r="B255" i="9"/>
  <c r="A256" i="9"/>
  <c r="B256" i="9"/>
  <c r="A257" i="9"/>
  <c r="B257" i="9"/>
  <c r="A258" i="9"/>
  <c r="B258" i="9"/>
  <c r="A259" i="9"/>
  <c r="B259" i="9"/>
  <c r="A260" i="9"/>
  <c r="B260" i="9"/>
  <c r="A261" i="9"/>
  <c r="B261" i="9"/>
  <c r="A262" i="9"/>
  <c r="B262" i="9"/>
  <c r="A263" i="9"/>
  <c r="B263" i="9"/>
  <c r="A264" i="9"/>
  <c r="B264" i="9"/>
  <c r="A265" i="9"/>
  <c r="B265" i="9"/>
  <c r="A266" i="9"/>
  <c r="B266" i="9"/>
  <c r="A267" i="9"/>
  <c r="B267" i="9"/>
  <c r="A268" i="9"/>
  <c r="B268" i="9"/>
  <c r="A269" i="9"/>
  <c r="B269" i="9"/>
  <c r="A270" i="9"/>
  <c r="B270" i="9"/>
  <c r="A271" i="9"/>
  <c r="B271" i="9"/>
  <c r="A272" i="9"/>
  <c r="B272" i="9"/>
  <c r="A273" i="9"/>
  <c r="B273" i="9"/>
  <c r="A274" i="9"/>
  <c r="B274" i="9"/>
  <c r="A275" i="9"/>
  <c r="B275" i="9"/>
  <c r="A276" i="9"/>
  <c r="B276" i="9"/>
  <c r="A277" i="9"/>
  <c r="B277" i="9"/>
  <c r="A278" i="9"/>
  <c r="B278" i="9"/>
  <c r="A279" i="9"/>
  <c r="B279" i="9"/>
  <c r="A280" i="9"/>
  <c r="B280" i="9"/>
  <c r="A281" i="9"/>
  <c r="B281" i="9"/>
  <c r="A282" i="9"/>
  <c r="B282" i="9"/>
  <c r="A283" i="9"/>
  <c r="B283" i="9"/>
  <c r="A284" i="9"/>
  <c r="B284" i="9"/>
  <c r="A285" i="9"/>
  <c r="B285" i="9"/>
  <c r="A286" i="9"/>
  <c r="B286" i="9"/>
  <c r="A287" i="9"/>
  <c r="B287" i="9"/>
  <c r="A288" i="9"/>
  <c r="B288" i="9"/>
  <c r="A289" i="9"/>
  <c r="B289" i="9"/>
  <c r="A290" i="9"/>
  <c r="B290" i="9"/>
  <c r="A291" i="9"/>
  <c r="B291" i="9"/>
  <c r="A292" i="9"/>
  <c r="B292" i="9"/>
  <c r="A293" i="9"/>
  <c r="B293" i="9"/>
  <c r="A294" i="9"/>
  <c r="B294" i="9"/>
  <c r="A295" i="9"/>
  <c r="B295" i="9"/>
  <c r="A296" i="9"/>
  <c r="B296" i="9"/>
  <c r="A297" i="9"/>
  <c r="B297" i="9"/>
  <c r="A298" i="9"/>
  <c r="B298" i="9"/>
  <c r="A299" i="9"/>
  <c r="B299" i="9"/>
  <c r="A300" i="9"/>
  <c r="B300" i="9"/>
  <c r="A301" i="9"/>
  <c r="B301" i="9"/>
  <c r="A302" i="9"/>
  <c r="B302" i="9"/>
  <c r="A303" i="9"/>
  <c r="B303" i="9"/>
  <c r="A304" i="9"/>
  <c r="B304" i="9"/>
  <c r="A305" i="9"/>
  <c r="B305" i="9"/>
  <c r="A306" i="9"/>
  <c r="B306" i="9"/>
  <c r="A307" i="9"/>
  <c r="B307" i="9"/>
  <c r="A308" i="9"/>
  <c r="B308" i="9"/>
  <c r="A309" i="9"/>
  <c r="B309" i="9"/>
  <c r="A310" i="9"/>
  <c r="B310" i="9"/>
  <c r="A311" i="9"/>
  <c r="B311" i="9"/>
  <c r="A312" i="9"/>
  <c r="B312" i="9"/>
  <c r="A313" i="9"/>
  <c r="B313" i="9"/>
  <c r="A314" i="9"/>
  <c r="B314" i="9"/>
  <c r="A315" i="9"/>
  <c r="B315" i="9"/>
  <c r="A316" i="9"/>
  <c r="B316" i="9"/>
  <c r="A317" i="9"/>
  <c r="B317" i="9"/>
  <c r="A318" i="9"/>
  <c r="B318" i="9"/>
  <c r="A319" i="9"/>
  <c r="B319" i="9"/>
  <c r="A320" i="9"/>
  <c r="B320" i="9"/>
  <c r="A321" i="9"/>
  <c r="B321" i="9"/>
  <c r="A322" i="9"/>
  <c r="B322" i="9"/>
  <c r="A323" i="9"/>
  <c r="B323" i="9"/>
  <c r="A324" i="9"/>
  <c r="B324" i="9"/>
  <c r="A325" i="9"/>
  <c r="B325" i="9"/>
  <c r="A326" i="9"/>
  <c r="B326" i="9"/>
  <c r="A327" i="9"/>
  <c r="B327" i="9"/>
  <c r="A328" i="9"/>
  <c r="B328" i="9"/>
  <c r="A329" i="9"/>
  <c r="B329" i="9"/>
  <c r="A330" i="9"/>
  <c r="B330" i="9"/>
  <c r="A331" i="9"/>
  <c r="B331" i="9"/>
  <c r="A332" i="9"/>
  <c r="B332" i="9"/>
  <c r="A333" i="9"/>
  <c r="B333" i="9"/>
  <c r="A334" i="9"/>
  <c r="B334" i="9"/>
  <c r="A335" i="9"/>
  <c r="B335" i="9"/>
  <c r="A336" i="9"/>
  <c r="B336" i="9"/>
  <c r="A337" i="9"/>
  <c r="B337" i="9"/>
  <c r="A338" i="9"/>
  <c r="B338" i="9"/>
  <c r="A339" i="9"/>
  <c r="B339" i="9"/>
  <c r="A340" i="9"/>
  <c r="B340" i="9"/>
  <c r="A341" i="9"/>
  <c r="B341" i="9"/>
  <c r="A342" i="9"/>
  <c r="B342" i="9"/>
  <c r="A343" i="9"/>
  <c r="B343" i="9"/>
  <c r="A344" i="9"/>
  <c r="B344" i="9"/>
  <c r="A345" i="9"/>
  <c r="B345" i="9"/>
  <c r="A346" i="9"/>
  <c r="B346" i="9"/>
  <c r="A347" i="9"/>
  <c r="B347" i="9"/>
  <c r="A348" i="9"/>
  <c r="B348" i="9"/>
  <c r="A349" i="9"/>
  <c r="B349" i="9"/>
  <c r="A350" i="9"/>
  <c r="B350" i="9"/>
  <c r="A351" i="9"/>
  <c r="B351" i="9"/>
  <c r="A352" i="9"/>
  <c r="B352" i="9"/>
  <c r="A353" i="9"/>
  <c r="B353" i="9"/>
  <c r="A354" i="9"/>
  <c r="B354" i="9"/>
  <c r="A355" i="9"/>
  <c r="B355" i="9"/>
  <c r="A356" i="9"/>
  <c r="B356" i="9"/>
  <c r="A357" i="9"/>
  <c r="B357" i="9"/>
  <c r="A358" i="9"/>
  <c r="B358" i="9"/>
  <c r="A359" i="9"/>
  <c r="B359" i="9"/>
  <c r="A360" i="9"/>
  <c r="B360" i="9"/>
  <c r="A361" i="9"/>
  <c r="B361" i="9"/>
  <c r="A362" i="9"/>
  <c r="B362" i="9"/>
  <c r="A363" i="9"/>
  <c r="B363" i="9"/>
  <c r="A364" i="9"/>
  <c r="B364" i="9"/>
  <c r="A365" i="9"/>
  <c r="B365" i="9"/>
  <c r="A366" i="9"/>
  <c r="B366" i="9"/>
  <c r="A367" i="9"/>
  <c r="B367" i="9"/>
  <c r="A368" i="9"/>
  <c r="B368" i="9"/>
  <c r="A369" i="9"/>
  <c r="B369" i="9"/>
  <c r="A370" i="9"/>
  <c r="B370" i="9"/>
  <c r="A371" i="9"/>
  <c r="B371" i="9"/>
  <c r="A372" i="9"/>
  <c r="B372" i="9"/>
  <c r="A373" i="9"/>
  <c r="B373" i="9"/>
  <c r="A374" i="9"/>
  <c r="B374" i="9"/>
  <c r="A375" i="9"/>
  <c r="B375" i="9"/>
  <c r="A376" i="9"/>
  <c r="B376" i="9"/>
  <c r="A377" i="9"/>
  <c r="B377" i="9"/>
  <c r="A378" i="9"/>
  <c r="B378" i="9"/>
  <c r="A379" i="9"/>
  <c r="B379" i="9"/>
  <c r="A380" i="9"/>
  <c r="B380" i="9"/>
  <c r="A381" i="9"/>
  <c r="B381" i="9"/>
  <c r="A382" i="9"/>
  <c r="B382" i="9"/>
  <c r="A383" i="9"/>
  <c r="B383" i="9"/>
  <c r="A384" i="9"/>
  <c r="B384" i="9"/>
  <c r="A385" i="9"/>
  <c r="B385" i="9"/>
  <c r="A386" i="9"/>
  <c r="B386" i="9"/>
  <c r="A387" i="9"/>
  <c r="B387" i="9"/>
  <c r="A388" i="9"/>
  <c r="B388" i="9"/>
  <c r="A389" i="9"/>
  <c r="B389" i="9"/>
  <c r="A390" i="9"/>
  <c r="B390" i="9"/>
  <c r="A391" i="9"/>
  <c r="B391" i="9"/>
  <c r="A392" i="9"/>
  <c r="B392" i="9"/>
  <c r="A393" i="9"/>
  <c r="B393" i="9"/>
  <c r="A394" i="9"/>
  <c r="B394" i="9"/>
  <c r="A395" i="9"/>
  <c r="B395" i="9"/>
  <c r="A396" i="9"/>
  <c r="B396" i="9"/>
  <c r="A397" i="9"/>
  <c r="B397" i="9"/>
  <c r="A398" i="9"/>
  <c r="B398" i="9"/>
  <c r="A399" i="9"/>
  <c r="B399" i="9"/>
  <c r="A400" i="9"/>
  <c r="B400" i="9"/>
  <c r="A401" i="9"/>
  <c r="B401" i="9"/>
  <c r="A402" i="9"/>
  <c r="B402" i="9"/>
  <c r="A403" i="9"/>
  <c r="B403" i="9"/>
  <c r="A404" i="9"/>
  <c r="B404" i="9"/>
  <c r="A405" i="9"/>
  <c r="B405" i="9"/>
  <c r="A406" i="9"/>
  <c r="B406" i="9"/>
  <c r="A407" i="9"/>
  <c r="B407" i="9"/>
  <c r="A408" i="9"/>
  <c r="B408" i="9"/>
  <c r="A409" i="9"/>
  <c r="B409" i="9"/>
  <c r="A410" i="9"/>
  <c r="B410" i="9"/>
  <c r="A411" i="9"/>
  <c r="B411" i="9"/>
  <c r="A412" i="9"/>
  <c r="B412" i="9"/>
  <c r="A413" i="9"/>
  <c r="B413" i="9"/>
  <c r="A414" i="9"/>
  <c r="B414" i="9"/>
  <c r="A415" i="9"/>
  <c r="B415" i="9"/>
  <c r="A416" i="9"/>
  <c r="B416" i="9"/>
  <c r="A417" i="9"/>
  <c r="B417" i="9"/>
  <c r="A418" i="9"/>
  <c r="B418" i="9"/>
  <c r="A419" i="9"/>
  <c r="B419" i="9"/>
  <c r="A420" i="9"/>
  <c r="B420" i="9"/>
  <c r="A421" i="9"/>
  <c r="B421" i="9"/>
  <c r="A422" i="9"/>
  <c r="B422" i="9"/>
  <c r="A423" i="9"/>
  <c r="B423" i="9"/>
  <c r="A424" i="9"/>
  <c r="B424" i="9"/>
  <c r="A425" i="9"/>
  <c r="B425" i="9"/>
  <c r="A426" i="9"/>
  <c r="B426" i="9"/>
  <c r="A427" i="9"/>
  <c r="B427" i="9"/>
  <c r="A428" i="9"/>
  <c r="B428" i="9"/>
  <c r="A429" i="9"/>
  <c r="B429" i="9"/>
  <c r="A430" i="9"/>
  <c r="B430" i="9"/>
  <c r="A431" i="9"/>
  <c r="B431" i="9"/>
  <c r="A432" i="9"/>
  <c r="B432" i="9"/>
  <c r="A433" i="9"/>
  <c r="B433" i="9"/>
  <c r="A434" i="9"/>
  <c r="B434" i="9"/>
  <c r="A435" i="9"/>
  <c r="B435" i="9"/>
  <c r="A436" i="9"/>
  <c r="B436" i="9"/>
  <c r="A437" i="9"/>
  <c r="B437" i="9"/>
  <c r="A438" i="9"/>
  <c r="B438" i="9"/>
  <c r="A439" i="9"/>
  <c r="B439" i="9"/>
  <c r="A440" i="9"/>
  <c r="B440" i="9"/>
  <c r="A441" i="9"/>
  <c r="B441" i="9"/>
  <c r="A442" i="9"/>
  <c r="B442" i="9"/>
  <c r="A443" i="9"/>
  <c r="B443" i="9"/>
  <c r="A444" i="9"/>
  <c r="B444" i="9"/>
  <c r="A445" i="9"/>
  <c r="B445" i="9"/>
  <c r="A446" i="9"/>
  <c r="B446" i="9"/>
  <c r="A447" i="9"/>
  <c r="B447" i="9"/>
  <c r="A448" i="9"/>
  <c r="B448" i="9"/>
  <c r="A449" i="9"/>
  <c r="B449" i="9"/>
  <c r="A450" i="9"/>
  <c r="B450" i="9"/>
  <c r="A451" i="9"/>
  <c r="B451" i="9"/>
  <c r="A452" i="9"/>
  <c r="B452" i="9"/>
  <c r="A453" i="9"/>
  <c r="B453" i="9"/>
  <c r="A454" i="9"/>
  <c r="B454" i="9"/>
  <c r="A455" i="9"/>
  <c r="B455" i="9"/>
  <c r="A456" i="9"/>
  <c r="B456" i="9"/>
  <c r="A457" i="9"/>
  <c r="B457" i="9"/>
  <c r="A458" i="9"/>
  <c r="B458" i="9"/>
  <c r="A459" i="9"/>
  <c r="B459" i="9"/>
  <c r="A460" i="9"/>
  <c r="B460" i="9"/>
  <c r="A461" i="9"/>
  <c r="B461" i="9"/>
  <c r="A462" i="9"/>
  <c r="B462" i="9"/>
  <c r="A463" i="9"/>
  <c r="B463" i="9"/>
  <c r="A464" i="9"/>
  <c r="B464" i="9"/>
  <c r="A465" i="9"/>
  <c r="B465" i="9"/>
  <c r="A466" i="9"/>
  <c r="B466" i="9"/>
  <c r="B2" i="9"/>
  <c r="A2" i="9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B445" i="8"/>
  <c r="A446" i="8"/>
  <c r="B446" i="8"/>
  <c r="A447" i="8"/>
  <c r="B447" i="8"/>
  <c r="A448" i="8"/>
  <c r="B448" i="8"/>
  <c r="A449" i="8"/>
  <c r="B449" i="8"/>
  <c r="A450" i="8"/>
  <c r="B450" i="8"/>
  <c r="A451" i="8"/>
  <c r="B451" i="8"/>
  <c r="A452" i="8"/>
  <c r="B452" i="8"/>
  <c r="A453" i="8"/>
  <c r="B453" i="8"/>
  <c r="A454" i="8"/>
  <c r="B454" i="8"/>
  <c r="A455" i="8"/>
  <c r="B455" i="8"/>
  <c r="A456" i="8"/>
  <c r="B456" i="8"/>
  <c r="A457" i="8"/>
  <c r="B457" i="8"/>
  <c r="A458" i="8"/>
  <c r="B458" i="8"/>
  <c r="A459" i="8"/>
  <c r="B459" i="8"/>
  <c r="A460" i="8"/>
  <c r="B460" i="8"/>
  <c r="A461" i="8"/>
  <c r="B461" i="8"/>
  <c r="A462" i="8"/>
  <c r="B462" i="8"/>
  <c r="A463" i="8"/>
  <c r="B463" i="8"/>
  <c r="A464" i="8"/>
  <c r="B464" i="8"/>
  <c r="A465" i="8"/>
  <c r="B465" i="8"/>
  <c r="A466" i="8"/>
  <c r="B466" i="8"/>
  <c r="B2" i="8"/>
  <c r="A2" i="8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B115" i="7"/>
  <c r="A116" i="7"/>
  <c r="B116" i="7"/>
  <c r="A117" i="7"/>
  <c r="B117" i="7"/>
  <c r="A118" i="7"/>
  <c r="B118" i="7"/>
  <c r="A119" i="7"/>
  <c r="B119" i="7"/>
  <c r="A120" i="7"/>
  <c r="B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A138" i="7"/>
  <c r="B138" i="7"/>
  <c r="A139" i="7"/>
  <c r="B139" i="7"/>
  <c r="A140" i="7"/>
  <c r="B140" i="7"/>
  <c r="A141" i="7"/>
  <c r="B141" i="7"/>
  <c r="A142" i="7"/>
  <c r="B142" i="7"/>
  <c r="A143" i="7"/>
  <c r="B143" i="7"/>
  <c r="A144" i="7"/>
  <c r="B144" i="7"/>
  <c r="A145" i="7"/>
  <c r="B145" i="7"/>
  <c r="A146" i="7"/>
  <c r="B146" i="7"/>
  <c r="A147" i="7"/>
  <c r="B147" i="7"/>
  <c r="A148" i="7"/>
  <c r="B148" i="7"/>
  <c r="A149" i="7"/>
  <c r="B149" i="7"/>
  <c r="A150" i="7"/>
  <c r="B150" i="7"/>
  <c r="A151" i="7"/>
  <c r="B151" i="7"/>
  <c r="A152" i="7"/>
  <c r="B152" i="7"/>
  <c r="A153" i="7"/>
  <c r="B153" i="7"/>
  <c r="A154" i="7"/>
  <c r="B154" i="7"/>
  <c r="A155" i="7"/>
  <c r="B155" i="7"/>
  <c r="A156" i="7"/>
  <c r="B156" i="7"/>
  <c r="A157" i="7"/>
  <c r="B157" i="7"/>
  <c r="A158" i="7"/>
  <c r="B158" i="7"/>
  <c r="A159" i="7"/>
  <c r="B159" i="7"/>
  <c r="A160" i="7"/>
  <c r="B160" i="7"/>
  <c r="A161" i="7"/>
  <c r="B161" i="7"/>
  <c r="A162" i="7"/>
  <c r="B162" i="7"/>
  <c r="A163" i="7"/>
  <c r="B163" i="7"/>
  <c r="A164" i="7"/>
  <c r="B164" i="7"/>
  <c r="A165" i="7"/>
  <c r="B165" i="7"/>
  <c r="A166" i="7"/>
  <c r="B166" i="7"/>
  <c r="A167" i="7"/>
  <c r="B167" i="7"/>
  <c r="A168" i="7"/>
  <c r="B168" i="7"/>
  <c r="A169" i="7"/>
  <c r="B169" i="7"/>
  <c r="A170" i="7"/>
  <c r="B170" i="7"/>
  <c r="A171" i="7"/>
  <c r="B171" i="7"/>
  <c r="A172" i="7"/>
  <c r="B172" i="7"/>
  <c r="A173" i="7"/>
  <c r="B173" i="7"/>
  <c r="A174" i="7"/>
  <c r="B174" i="7"/>
  <c r="A175" i="7"/>
  <c r="B175" i="7"/>
  <c r="A176" i="7"/>
  <c r="B176" i="7"/>
  <c r="A177" i="7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4" i="7"/>
  <c r="B184" i="7"/>
  <c r="A185" i="7"/>
  <c r="B185" i="7"/>
  <c r="A186" i="7"/>
  <c r="B186" i="7"/>
  <c r="A187" i="7"/>
  <c r="B187" i="7"/>
  <c r="A188" i="7"/>
  <c r="B188" i="7"/>
  <c r="A189" i="7"/>
  <c r="B189" i="7"/>
  <c r="A190" i="7"/>
  <c r="B190" i="7"/>
  <c r="A191" i="7"/>
  <c r="B191" i="7"/>
  <c r="A192" i="7"/>
  <c r="B192" i="7"/>
  <c r="A193" i="7"/>
  <c r="B193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3" i="7"/>
  <c r="B203" i="7"/>
  <c r="A204" i="7"/>
  <c r="B204" i="7"/>
  <c r="A205" i="7"/>
  <c r="B205" i="7"/>
  <c r="A206" i="7"/>
  <c r="B206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213" i="7"/>
  <c r="B213" i="7"/>
  <c r="A214" i="7"/>
  <c r="B214" i="7"/>
  <c r="A215" i="7"/>
  <c r="B215" i="7"/>
  <c r="A216" i="7"/>
  <c r="B216" i="7"/>
  <c r="A217" i="7"/>
  <c r="B217" i="7"/>
  <c r="A218" i="7"/>
  <c r="B218" i="7"/>
  <c r="A219" i="7"/>
  <c r="B219" i="7"/>
  <c r="A220" i="7"/>
  <c r="B220" i="7"/>
  <c r="A221" i="7"/>
  <c r="B221" i="7"/>
  <c r="A222" i="7"/>
  <c r="B222" i="7"/>
  <c r="A223" i="7"/>
  <c r="B223" i="7"/>
  <c r="A224" i="7"/>
  <c r="B224" i="7"/>
  <c r="A225" i="7"/>
  <c r="B225" i="7"/>
  <c r="A226" i="7"/>
  <c r="B226" i="7"/>
  <c r="A227" i="7"/>
  <c r="B227" i="7"/>
  <c r="A228" i="7"/>
  <c r="B228" i="7"/>
  <c r="A229" i="7"/>
  <c r="B229" i="7"/>
  <c r="A230" i="7"/>
  <c r="B230" i="7"/>
  <c r="A231" i="7"/>
  <c r="B231" i="7"/>
  <c r="A232" i="7"/>
  <c r="B232" i="7"/>
  <c r="A233" i="7"/>
  <c r="B233" i="7"/>
  <c r="A234" i="7"/>
  <c r="B234" i="7"/>
  <c r="A235" i="7"/>
  <c r="B235" i="7"/>
  <c r="A236" i="7"/>
  <c r="B236" i="7"/>
  <c r="A237" i="7"/>
  <c r="B237" i="7"/>
  <c r="A238" i="7"/>
  <c r="B238" i="7"/>
  <c r="A239" i="7"/>
  <c r="B239" i="7"/>
  <c r="A240" i="7"/>
  <c r="B240" i="7"/>
  <c r="A241" i="7"/>
  <c r="B241" i="7"/>
  <c r="A242" i="7"/>
  <c r="B242" i="7"/>
  <c r="A243" i="7"/>
  <c r="B243" i="7"/>
  <c r="A244" i="7"/>
  <c r="B244" i="7"/>
  <c r="A245" i="7"/>
  <c r="B245" i="7"/>
  <c r="A246" i="7"/>
  <c r="B246" i="7"/>
  <c r="A247" i="7"/>
  <c r="B247" i="7"/>
  <c r="A248" i="7"/>
  <c r="B248" i="7"/>
  <c r="A249" i="7"/>
  <c r="B249" i="7"/>
  <c r="A250" i="7"/>
  <c r="B250" i="7"/>
  <c r="A251" i="7"/>
  <c r="B251" i="7"/>
  <c r="A252" i="7"/>
  <c r="B252" i="7"/>
  <c r="A253" i="7"/>
  <c r="B253" i="7"/>
  <c r="A254" i="7"/>
  <c r="B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61" i="7"/>
  <c r="B261" i="7"/>
  <c r="A262" i="7"/>
  <c r="B262" i="7"/>
  <c r="A263" i="7"/>
  <c r="B263" i="7"/>
  <c r="A264" i="7"/>
  <c r="B264" i="7"/>
  <c r="A265" i="7"/>
  <c r="B265" i="7"/>
  <c r="A266" i="7"/>
  <c r="B266" i="7"/>
  <c r="A267" i="7"/>
  <c r="B267" i="7"/>
  <c r="A268" i="7"/>
  <c r="B268" i="7"/>
  <c r="A269" i="7"/>
  <c r="B269" i="7"/>
  <c r="A270" i="7"/>
  <c r="B270" i="7"/>
  <c r="A271" i="7"/>
  <c r="B271" i="7"/>
  <c r="A272" i="7"/>
  <c r="B272" i="7"/>
  <c r="A273" i="7"/>
  <c r="B273" i="7"/>
  <c r="A274" i="7"/>
  <c r="B274" i="7"/>
  <c r="A275" i="7"/>
  <c r="B275" i="7"/>
  <c r="A276" i="7"/>
  <c r="B276" i="7"/>
  <c r="A277" i="7"/>
  <c r="B277" i="7"/>
  <c r="A278" i="7"/>
  <c r="B278" i="7"/>
  <c r="A279" i="7"/>
  <c r="B279" i="7"/>
  <c r="A280" i="7"/>
  <c r="B280" i="7"/>
  <c r="A281" i="7"/>
  <c r="B281" i="7"/>
  <c r="A282" i="7"/>
  <c r="B282" i="7"/>
  <c r="A283" i="7"/>
  <c r="B283" i="7"/>
  <c r="A284" i="7"/>
  <c r="B284" i="7"/>
  <c r="A285" i="7"/>
  <c r="B285" i="7"/>
  <c r="A286" i="7"/>
  <c r="B286" i="7"/>
  <c r="A287" i="7"/>
  <c r="B287" i="7"/>
  <c r="A288" i="7"/>
  <c r="B288" i="7"/>
  <c r="A289" i="7"/>
  <c r="B289" i="7"/>
  <c r="A290" i="7"/>
  <c r="B290" i="7"/>
  <c r="A291" i="7"/>
  <c r="B291" i="7"/>
  <c r="A292" i="7"/>
  <c r="B292" i="7"/>
  <c r="A293" i="7"/>
  <c r="B293" i="7"/>
  <c r="A294" i="7"/>
  <c r="B294" i="7"/>
  <c r="A295" i="7"/>
  <c r="B295" i="7"/>
  <c r="A296" i="7"/>
  <c r="B296" i="7"/>
  <c r="A297" i="7"/>
  <c r="B297" i="7"/>
  <c r="A298" i="7"/>
  <c r="B298" i="7"/>
  <c r="A299" i="7"/>
  <c r="B299" i="7"/>
  <c r="A300" i="7"/>
  <c r="B300" i="7"/>
  <c r="A301" i="7"/>
  <c r="B301" i="7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312" i="7"/>
  <c r="B312" i="7"/>
  <c r="A313" i="7"/>
  <c r="B313" i="7"/>
  <c r="A314" i="7"/>
  <c r="B314" i="7"/>
  <c r="A315" i="7"/>
  <c r="B315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A328" i="7"/>
  <c r="B328" i="7"/>
  <c r="A329" i="7"/>
  <c r="B329" i="7"/>
  <c r="A330" i="7"/>
  <c r="B330" i="7"/>
  <c r="A331" i="7"/>
  <c r="B331" i="7"/>
  <c r="A332" i="7"/>
  <c r="B332" i="7"/>
  <c r="A333" i="7"/>
  <c r="B333" i="7"/>
  <c r="A334" i="7"/>
  <c r="B334" i="7"/>
  <c r="A335" i="7"/>
  <c r="B335" i="7"/>
  <c r="A336" i="7"/>
  <c r="B336" i="7"/>
  <c r="A337" i="7"/>
  <c r="B337" i="7"/>
  <c r="A338" i="7"/>
  <c r="B338" i="7"/>
  <c r="A339" i="7"/>
  <c r="B339" i="7"/>
  <c r="A340" i="7"/>
  <c r="B340" i="7"/>
  <c r="A341" i="7"/>
  <c r="B341" i="7"/>
  <c r="A342" i="7"/>
  <c r="B342" i="7"/>
  <c r="A343" i="7"/>
  <c r="B343" i="7"/>
  <c r="A344" i="7"/>
  <c r="B344" i="7"/>
  <c r="A345" i="7"/>
  <c r="B345" i="7"/>
  <c r="A346" i="7"/>
  <c r="B346" i="7"/>
  <c r="A347" i="7"/>
  <c r="B347" i="7"/>
  <c r="A348" i="7"/>
  <c r="B348" i="7"/>
  <c r="A349" i="7"/>
  <c r="B349" i="7"/>
  <c r="A350" i="7"/>
  <c r="B350" i="7"/>
  <c r="A351" i="7"/>
  <c r="B351" i="7"/>
  <c r="A352" i="7"/>
  <c r="B352" i="7"/>
  <c r="A353" i="7"/>
  <c r="B353" i="7"/>
  <c r="A354" i="7"/>
  <c r="B354" i="7"/>
  <c r="A355" i="7"/>
  <c r="B355" i="7"/>
  <c r="A356" i="7"/>
  <c r="B356" i="7"/>
  <c r="A357" i="7"/>
  <c r="B357" i="7"/>
  <c r="A358" i="7"/>
  <c r="B358" i="7"/>
  <c r="A359" i="7"/>
  <c r="B359" i="7"/>
  <c r="A360" i="7"/>
  <c r="B360" i="7"/>
  <c r="A361" i="7"/>
  <c r="B361" i="7"/>
  <c r="A362" i="7"/>
  <c r="B362" i="7"/>
  <c r="A363" i="7"/>
  <c r="B363" i="7"/>
  <c r="A364" i="7"/>
  <c r="B364" i="7"/>
  <c r="A365" i="7"/>
  <c r="B365" i="7"/>
  <c r="A366" i="7"/>
  <c r="B366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75" i="7"/>
  <c r="B375" i="7"/>
  <c r="A376" i="7"/>
  <c r="B376" i="7"/>
  <c r="A377" i="7"/>
  <c r="B377" i="7"/>
  <c r="A378" i="7"/>
  <c r="B378" i="7"/>
  <c r="A379" i="7"/>
  <c r="B379" i="7"/>
  <c r="A380" i="7"/>
  <c r="B380" i="7"/>
  <c r="A381" i="7"/>
  <c r="B381" i="7"/>
  <c r="A382" i="7"/>
  <c r="B382" i="7"/>
  <c r="A383" i="7"/>
  <c r="B383" i="7"/>
  <c r="A384" i="7"/>
  <c r="B384" i="7"/>
  <c r="A385" i="7"/>
  <c r="B385" i="7"/>
  <c r="A386" i="7"/>
  <c r="B386" i="7"/>
  <c r="A387" i="7"/>
  <c r="B387" i="7"/>
  <c r="A388" i="7"/>
  <c r="B388" i="7"/>
  <c r="A389" i="7"/>
  <c r="B389" i="7"/>
  <c r="A390" i="7"/>
  <c r="B390" i="7"/>
  <c r="A391" i="7"/>
  <c r="B391" i="7"/>
  <c r="A392" i="7"/>
  <c r="B392" i="7"/>
  <c r="A393" i="7"/>
  <c r="B393" i="7"/>
  <c r="A394" i="7"/>
  <c r="B394" i="7"/>
  <c r="A395" i="7"/>
  <c r="B395" i="7"/>
  <c r="A396" i="7"/>
  <c r="B396" i="7"/>
  <c r="A397" i="7"/>
  <c r="B397" i="7"/>
  <c r="A398" i="7"/>
  <c r="B398" i="7"/>
  <c r="A399" i="7"/>
  <c r="B399" i="7"/>
  <c r="A400" i="7"/>
  <c r="B400" i="7"/>
  <c r="A401" i="7"/>
  <c r="B401" i="7"/>
  <c r="A402" i="7"/>
  <c r="B402" i="7"/>
  <c r="A403" i="7"/>
  <c r="B403" i="7"/>
  <c r="A404" i="7"/>
  <c r="B404" i="7"/>
  <c r="A405" i="7"/>
  <c r="B405" i="7"/>
  <c r="A406" i="7"/>
  <c r="B406" i="7"/>
  <c r="A407" i="7"/>
  <c r="B407" i="7"/>
  <c r="A408" i="7"/>
  <c r="B408" i="7"/>
  <c r="A409" i="7"/>
  <c r="B409" i="7"/>
  <c r="A410" i="7"/>
  <c r="B410" i="7"/>
  <c r="A411" i="7"/>
  <c r="B411" i="7"/>
  <c r="A412" i="7"/>
  <c r="B412" i="7"/>
  <c r="A413" i="7"/>
  <c r="B413" i="7"/>
  <c r="A414" i="7"/>
  <c r="B414" i="7"/>
  <c r="A415" i="7"/>
  <c r="B415" i="7"/>
  <c r="A416" i="7"/>
  <c r="B416" i="7"/>
  <c r="A417" i="7"/>
  <c r="B417" i="7"/>
  <c r="A418" i="7"/>
  <c r="B418" i="7"/>
  <c r="A419" i="7"/>
  <c r="B419" i="7"/>
  <c r="A420" i="7"/>
  <c r="B420" i="7"/>
  <c r="A421" i="7"/>
  <c r="B421" i="7"/>
  <c r="A422" i="7"/>
  <c r="B422" i="7"/>
  <c r="A423" i="7"/>
  <c r="B423" i="7"/>
  <c r="A424" i="7"/>
  <c r="B424" i="7"/>
  <c r="A425" i="7"/>
  <c r="B425" i="7"/>
  <c r="A426" i="7"/>
  <c r="B426" i="7"/>
  <c r="A427" i="7"/>
  <c r="B427" i="7"/>
  <c r="A428" i="7"/>
  <c r="B428" i="7"/>
  <c r="A429" i="7"/>
  <c r="B429" i="7"/>
  <c r="A430" i="7"/>
  <c r="B430" i="7"/>
  <c r="A431" i="7"/>
  <c r="B431" i="7"/>
  <c r="A432" i="7"/>
  <c r="B432" i="7"/>
  <c r="A433" i="7"/>
  <c r="B433" i="7"/>
  <c r="A434" i="7"/>
  <c r="B434" i="7"/>
  <c r="A435" i="7"/>
  <c r="B435" i="7"/>
  <c r="A436" i="7"/>
  <c r="B436" i="7"/>
  <c r="A437" i="7"/>
  <c r="B437" i="7"/>
  <c r="A438" i="7"/>
  <c r="B438" i="7"/>
  <c r="A439" i="7"/>
  <c r="B439" i="7"/>
  <c r="A440" i="7"/>
  <c r="B440" i="7"/>
  <c r="A441" i="7"/>
  <c r="B441" i="7"/>
  <c r="A442" i="7"/>
  <c r="B442" i="7"/>
  <c r="A443" i="7"/>
  <c r="B443" i="7"/>
  <c r="A444" i="7"/>
  <c r="B444" i="7"/>
  <c r="A445" i="7"/>
  <c r="B445" i="7"/>
  <c r="A446" i="7"/>
  <c r="B446" i="7"/>
  <c r="A447" i="7"/>
  <c r="B447" i="7"/>
  <c r="A448" i="7"/>
  <c r="B448" i="7"/>
  <c r="A449" i="7"/>
  <c r="B449" i="7"/>
  <c r="A450" i="7"/>
  <c r="B450" i="7"/>
  <c r="A451" i="7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A461" i="7"/>
  <c r="B461" i="7"/>
  <c r="A462" i="7"/>
  <c r="B462" i="7"/>
  <c r="A463" i="7"/>
  <c r="B463" i="7"/>
  <c r="A464" i="7"/>
  <c r="B464" i="7"/>
  <c r="A465" i="7"/>
  <c r="B465" i="7"/>
  <c r="A466" i="7"/>
  <c r="B466" i="7"/>
  <c r="B2" i="7"/>
  <c r="A2" i="7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7" i="6"/>
  <c r="B107" i="6"/>
  <c r="A108" i="6"/>
  <c r="B108" i="6"/>
  <c r="A109" i="6"/>
  <c r="B109" i="6"/>
  <c r="A110" i="6"/>
  <c r="B110" i="6"/>
  <c r="A111" i="6"/>
  <c r="B111" i="6"/>
  <c r="A112" i="6"/>
  <c r="B112" i="6"/>
  <c r="A113" i="6"/>
  <c r="B113" i="6"/>
  <c r="A114" i="6"/>
  <c r="B114" i="6"/>
  <c r="A115" i="6"/>
  <c r="B115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24" i="6"/>
  <c r="B124" i="6"/>
  <c r="A125" i="6"/>
  <c r="B125" i="6"/>
  <c r="A126" i="6"/>
  <c r="B126" i="6"/>
  <c r="A127" i="6"/>
  <c r="B127" i="6"/>
  <c r="A128" i="6"/>
  <c r="B128" i="6"/>
  <c r="A129" i="6"/>
  <c r="B129" i="6"/>
  <c r="A130" i="6"/>
  <c r="B130" i="6"/>
  <c r="A131" i="6"/>
  <c r="B131" i="6"/>
  <c r="A132" i="6"/>
  <c r="B132" i="6"/>
  <c r="A133" i="6"/>
  <c r="B133" i="6"/>
  <c r="A134" i="6"/>
  <c r="B134" i="6"/>
  <c r="A135" i="6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B144" i="6"/>
  <c r="A145" i="6"/>
  <c r="B145" i="6"/>
  <c r="A146" i="6"/>
  <c r="B146" i="6"/>
  <c r="A147" i="6"/>
  <c r="B147" i="6"/>
  <c r="A148" i="6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B155" i="6"/>
  <c r="A156" i="6"/>
  <c r="B156" i="6"/>
  <c r="A157" i="6"/>
  <c r="B157" i="6"/>
  <c r="A158" i="6"/>
  <c r="B158" i="6"/>
  <c r="A159" i="6"/>
  <c r="B159" i="6"/>
  <c r="A160" i="6"/>
  <c r="B160" i="6"/>
  <c r="A161" i="6"/>
  <c r="B161" i="6"/>
  <c r="A162" i="6"/>
  <c r="B162" i="6"/>
  <c r="A163" i="6"/>
  <c r="B163" i="6"/>
  <c r="A164" i="6"/>
  <c r="B164" i="6"/>
  <c r="A165" i="6"/>
  <c r="B165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72" i="6"/>
  <c r="B172" i="6"/>
  <c r="A173" i="6"/>
  <c r="B173" i="6"/>
  <c r="A174" i="6"/>
  <c r="B174" i="6"/>
  <c r="A175" i="6"/>
  <c r="B175" i="6"/>
  <c r="A176" i="6"/>
  <c r="B176" i="6"/>
  <c r="A177" i="6"/>
  <c r="B177" i="6"/>
  <c r="A178" i="6"/>
  <c r="B178" i="6"/>
  <c r="A179" i="6"/>
  <c r="B179" i="6"/>
  <c r="A180" i="6"/>
  <c r="B180" i="6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91" i="6"/>
  <c r="B191" i="6"/>
  <c r="A192" i="6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B208" i="6"/>
  <c r="A209" i="6"/>
  <c r="B209" i="6"/>
  <c r="A210" i="6"/>
  <c r="B210" i="6"/>
  <c r="A211" i="6"/>
  <c r="B211" i="6"/>
  <c r="A212" i="6"/>
  <c r="B212" i="6"/>
  <c r="A213" i="6"/>
  <c r="B213" i="6"/>
  <c r="A214" i="6"/>
  <c r="B214" i="6"/>
  <c r="A215" i="6"/>
  <c r="B215" i="6"/>
  <c r="A216" i="6"/>
  <c r="B216" i="6"/>
  <c r="A217" i="6"/>
  <c r="B217" i="6"/>
  <c r="A218" i="6"/>
  <c r="B218" i="6"/>
  <c r="A219" i="6"/>
  <c r="B219" i="6"/>
  <c r="A220" i="6"/>
  <c r="B220" i="6"/>
  <c r="A221" i="6"/>
  <c r="B221" i="6"/>
  <c r="A222" i="6"/>
  <c r="B222" i="6"/>
  <c r="A223" i="6"/>
  <c r="B223" i="6"/>
  <c r="A224" i="6"/>
  <c r="B224" i="6"/>
  <c r="A225" i="6"/>
  <c r="B225" i="6"/>
  <c r="A226" i="6"/>
  <c r="B226" i="6"/>
  <c r="A227" i="6"/>
  <c r="B227" i="6"/>
  <c r="A228" i="6"/>
  <c r="B228" i="6"/>
  <c r="A229" i="6"/>
  <c r="B229" i="6"/>
  <c r="A230" i="6"/>
  <c r="B230" i="6"/>
  <c r="A231" i="6"/>
  <c r="B231" i="6"/>
  <c r="A232" i="6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B248" i="6"/>
  <c r="A249" i="6"/>
  <c r="B249" i="6"/>
  <c r="A250" i="6"/>
  <c r="B250" i="6"/>
  <c r="A251" i="6"/>
  <c r="B25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B275" i="6"/>
  <c r="A276" i="6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B288" i="6"/>
  <c r="A289" i="6"/>
  <c r="B289" i="6"/>
  <c r="A290" i="6"/>
  <c r="B290" i="6"/>
  <c r="A291" i="6"/>
  <c r="B291" i="6"/>
  <c r="A292" i="6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B319" i="6"/>
  <c r="A320" i="6"/>
  <c r="B320" i="6"/>
  <c r="A321" i="6"/>
  <c r="B321" i="6"/>
  <c r="A322" i="6"/>
  <c r="B322" i="6"/>
  <c r="A323" i="6"/>
  <c r="B323" i="6"/>
  <c r="A324" i="6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B335" i="6"/>
  <c r="A336" i="6"/>
  <c r="B336" i="6"/>
  <c r="A337" i="6"/>
  <c r="B337" i="6"/>
  <c r="A338" i="6"/>
  <c r="B338" i="6"/>
  <c r="A339" i="6"/>
  <c r="B339" i="6"/>
  <c r="A340" i="6"/>
  <c r="B340" i="6"/>
  <c r="A341" i="6"/>
  <c r="B341" i="6"/>
  <c r="A342" i="6"/>
  <c r="B342" i="6"/>
  <c r="A343" i="6"/>
  <c r="B343" i="6"/>
  <c r="A344" i="6"/>
  <c r="B344" i="6"/>
  <c r="A345" i="6"/>
  <c r="B345" i="6"/>
  <c r="A346" i="6"/>
  <c r="B346" i="6"/>
  <c r="A347" i="6"/>
  <c r="B347" i="6"/>
  <c r="A348" i="6"/>
  <c r="B348" i="6"/>
  <c r="A349" i="6"/>
  <c r="B349" i="6"/>
  <c r="A350" i="6"/>
  <c r="B350" i="6"/>
  <c r="A351" i="6"/>
  <c r="B351" i="6"/>
  <c r="A352" i="6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B372" i="6"/>
  <c r="A373" i="6"/>
  <c r="B373" i="6"/>
  <c r="A374" i="6"/>
  <c r="B374" i="6"/>
  <c r="A375" i="6"/>
  <c r="B375" i="6"/>
  <c r="A376" i="6"/>
  <c r="B376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B400" i="6"/>
  <c r="A401" i="6"/>
  <c r="B401" i="6"/>
  <c r="A402" i="6"/>
  <c r="B402" i="6"/>
  <c r="A403" i="6"/>
  <c r="B403" i="6"/>
  <c r="A404" i="6"/>
  <c r="B404" i="6"/>
  <c r="A405" i="6"/>
  <c r="B405" i="6"/>
  <c r="A406" i="6"/>
  <c r="B406" i="6"/>
  <c r="A407" i="6"/>
  <c r="B407" i="6"/>
  <c r="A408" i="6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B420" i="6"/>
  <c r="A421" i="6"/>
  <c r="B421" i="6"/>
  <c r="A422" i="6"/>
  <c r="B422" i="6"/>
  <c r="A423" i="6"/>
  <c r="B423" i="6"/>
  <c r="A424" i="6"/>
  <c r="B424" i="6"/>
  <c r="A425" i="6"/>
  <c r="B425" i="6"/>
  <c r="A426" i="6"/>
  <c r="B426" i="6"/>
  <c r="A427" i="6"/>
  <c r="B427" i="6"/>
  <c r="A428" i="6"/>
  <c r="B428" i="6"/>
  <c r="A429" i="6"/>
  <c r="B429" i="6"/>
  <c r="A430" i="6"/>
  <c r="B430" i="6"/>
  <c r="A431" i="6"/>
  <c r="B431" i="6"/>
  <c r="A432" i="6"/>
  <c r="B432" i="6"/>
  <c r="A433" i="6"/>
  <c r="B433" i="6"/>
  <c r="A434" i="6"/>
  <c r="B434" i="6"/>
  <c r="A435" i="6"/>
  <c r="B435" i="6"/>
  <c r="A436" i="6"/>
  <c r="B436" i="6"/>
  <c r="A437" i="6"/>
  <c r="B437" i="6"/>
  <c r="A438" i="6"/>
  <c r="B438" i="6"/>
  <c r="A439" i="6"/>
  <c r="B439" i="6"/>
  <c r="A440" i="6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B448" i="6"/>
  <c r="A449" i="6"/>
  <c r="B449" i="6"/>
  <c r="A450" i="6"/>
  <c r="B450" i="6"/>
  <c r="A451" i="6"/>
  <c r="B451" i="6"/>
  <c r="A452" i="6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B2" i="6"/>
  <c r="A2" i="6"/>
  <c r="B466" i="11"/>
  <c r="A466" i="11"/>
  <c r="B465" i="11"/>
  <c r="A465" i="11"/>
  <c r="B464" i="11"/>
  <c r="A464" i="11"/>
  <c r="B463" i="11"/>
  <c r="A463" i="11"/>
  <c r="B462" i="11"/>
  <c r="A462" i="11"/>
  <c r="B461" i="11"/>
  <c r="A461" i="11"/>
  <c r="B460" i="11"/>
  <c r="A460" i="11"/>
  <c r="B459" i="11"/>
  <c r="A459" i="11"/>
  <c r="B458" i="11"/>
  <c r="A458" i="11"/>
  <c r="B457" i="11"/>
  <c r="A457" i="11"/>
  <c r="B456" i="11"/>
  <c r="A456" i="11"/>
  <c r="B455" i="11"/>
  <c r="A455" i="11"/>
  <c r="B454" i="11"/>
  <c r="A454" i="11"/>
  <c r="B453" i="11"/>
  <c r="A453" i="11"/>
  <c r="B452" i="11"/>
  <c r="A452" i="11"/>
  <c r="B451" i="11"/>
  <c r="A451" i="11"/>
  <c r="B450" i="11"/>
  <c r="A450" i="11"/>
  <c r="B449" i="11"/>
  <c r="A449" i="11"/>
  <c r="B448" i="11"/>
  <c r="A448" i="11"/>
  <c r="B447" i="11"/>
  <c r="A447" i="11"/>
  <c r="B446" i="11"/>
  <c r="A446" i="11"/>
  <c r="B445" i="11"/>
  <c r="A445" i="11"/>
  <c r="B444" i="11"/>
  <c r="A444" i="11"/>
  <c r="B443" i="11"/>
  <c r="A443" i="11"/>
  <c r="B442" i="11"/>
  <c r="A442" i="11"/>
  <c r="B441" i="11"/>
  <c r="A441" i="11"/>
  <c r="B440" i="11"/>
  <c r="A440" i="11"/>
  <c r="B439" i="11"/>
  <c r="A439" i="11"/>
  <c r="B438" i="11"/>
  <c r="A438" i="11"/>
  <c r="B437" i="11"/>
  <c r="A437" i="11"/>
  <c r="B436" i="11"/>
  <c r="A436" i="11"/>
  <c r="B435" i="11"/>
  <c r="A435" i="11"/>
  <c r="B434" i="11"/>
  <c r="A434" i="11"/>
  <c r="B433" i="11"/>
  <c r="A433" i="11"/>
  <c r="B432" i="11"/>
  <c r="A432" i="11"/>
  <c r="B431" i="11"/>
  <c r="A431" i="11"/>
  <c r="B430" i="11"/>
  <c r="A430" i="11"/>
  <c r="B429" i="11"/>
  <c r="A429" i="11"/>
  <c r="B428" i="11"/>
  <c r="A428" i="11"/>
  <c r="B427" i="11"/>
  <c r="A427" i="11"/>
  <c r="B426" i="11"/>
  <c r="A426" i="11"/>
  <c r="B425" i="11"/>
  <c r="A425" i="11"/>
  <c r="B424" i="11"/>
  <c r="A424" i="11"/>
  <c r="B423" i="11"/>
  <c r="A423" i="11"/>
  <c r="B422" i="11"/>
  <c r="A422" i="11"/>
  <c r="B421" i="11"/>
  <c r="A421" i="11"/>
  <c r="B420" i="11"/>
  <c r="A420" i="11"/>
  <c r="B419" i="11"/>
  <c r="A419" i="11"/>
  <c r="B418" i="11"/>
  <c r="A418" i="11"/>
  <c r="B417" i="11"/>
  <c r="A417" i="11"/>
  <c r="B416" i="11"/>
  <c r="A416" i="11"/>
  <c r="B415" i="11"/>
  <c r="A415" i="11"/>
  <c r="B414" i="11"/>
  <c r="A414" i="11"/>
  <c r="B413" i="11"/>
  <c r="A413" i="11"/>
  <c r="B412" i="11"/>
  <c r="A412" i="11"/>
  <c r="B411" i="11"/>
  <c r="A411" i="11"/>
  <c r="B410" i="11"/>
  <c r="A410" i="11"/>
  <c r="B409" i="11"/>
  <c r="A409" i="11"/>
  <c r="B408" i="11"/>
  <c r="A408" i="11"/>
  <c r="B407" i="11"/>
  <c r="A407" i="11"/>
  <c r="B406" i="11"/>
  <c r="A406" i="11"/>
  <c r="B405" i="11"/>
  <c r="A405" i="11"/>
  <c r="B404" i="11"/>
  <c r="A404" i="11"/>
  <c r="B403" i="11"/>
  <c r="A403" i="11"/>
  <c r="B402" i="11"/>
  <c r="A402" i="11"/>
  <c r="B401" i="11"/>
  <c r="A401" i="11"/>
  <c r="B400" i="11"/>
  <c r="A400" i="11"/>
  <c r="B399" i="11"/>
  <c r="A399" i="11"/>
  <c r="B398" i="11"/>
  <c r="A398" i="11"/>
  <c r="B397" i="11"/>
  <c r="A397" i="11"/>
  <c r="B396" i="11"/>
  <c r="A396" i="11"/>
  <c r="B395" i="11"/>
  <c r="A395" i="11"/>
  <c r="B394" i="11"/>
  <c r="A394" i="11"/>
  <c r="B393" i="11"/>
  <c r="A393" i="11"/>
  <c r="B392" i="11"/>
  <c r="A392" i="11"/>
  <c r="B391" i="11"/>
  <c r="A391" i="11"/>
  <c r="B390" i="11"/>
  <c r="A390" i="11"/>
  <c r="B389" i="11"/>
  <c r="A389" i="11"/>
  <c r="B388" i="11"/>
  <c r="A388" i="11"/>
  <c r="B387" i="11"/>
  <c r="A387" i="11"/>
  <c r="B386" i="11"/>
  <c r="A386" i="11"/>
  <c r="B385" i="11"/>
  <c r="A385" i="11"/>
  <c r="B384" i="11"/>
  <c r="A384" i="11"/>
  <c r="B383" i="11"/>
  <c r="A383" i="11"/>
  <c r="B382" i="11"/>
  <c r="A382" i="11"/>
  <c r="B381" i="11"/>
  <c r="A381" i="11"/>
  <c r="B380" i="11"/>
  <c r="A380" i="11"/>
  <c r="B379" i="11"/>
  <c r="A379" i="11"/>
  <c r="B378" i="11"/>
  <c r="A378" i="11"/>
  <c r="B377" i="11"/>
  <c r="A377" i="11"/>
  <c r="B376" i="11"/>
  <c r="A376" i="11"/>
  <c r="B375" i="11"/>
  <c r="A375" i="11"/>
  <c r="B374" i="11"/>
  <c r="A374" i="11"/>
  <c r="B373" i="11"/>
  <c r="A373" i="11"/>
  <c r="B372" i="11"/>
  <c r="A372" i="11"/>
  <c r="B371" i="11"/>
  <c r="A371" i="11"/>
  <c r="B370" i="11"/>
  <c r="A370" i="11"/>
  <c r="B369" i="11"/>
  <c r="A369" i="11"/>
  <c r="B368" i="11"/>
  <c r="A368" i="11"/>
  <c r="B367" i="11"/>
  <c r="A367" i="11"/>
  <c r="B366" i="11"/>
  <c r="A366" i="11"/>
  <c r="B365" i="11"/>
  <c r="A365" i="11"/>
  <c r="B364" i="11"/>
  <c r="A364" i="11"/>
  <c r="B363" i="11"/>
  <c r="A363" i="11"/>
  <c r="B362" i="11"/>
  <c r="A362" i="11"/>
  <c r="B361" i="11"/>
  <c r="A361" i="11"/>
  <c r="B360" i="11"/>
  <c r="A360" i="11"/>
  <c r="B359" i="11"/>
  <c r="A359" i="11"/>
  <c r="B358" i="11"/>
  <c r="A358" i="11"/>
  <c r="B357" i="11"/>
  <c r="A357" i="11"/>
  <c r="B356" i="11"/>
  <c r="A356" i="11"/>
  <c r="B355" i="11"/>
  <c r="A355" i="11"/>
  <c r="B354" i="11"/>
  <c r="A354" i="11"/>
  <c r="B353" i="11"/>
  <c r="A353" i="11"/>
  <c r="B352" i="11"/>
  <c r="A352" i="11"/>
  <c r="B351" i="11"/>
  <c r="A351" i="11"/>
  <c r="B350" i="11"/>
  <c r="A350" i="11"/>
  <c r="B349" i="11"/>
  <c r="A349" i="11"/>
  <c r="B348" i="11"/>
  <c r="A348" i="11"/>
  <c r="B347" i="11"/>
  <c r="A347" i="11"/>
  <c r="B346" i="11"/>
  <c r="A346" i="11"/>
  <c r="B345" i="11"/>
  <c r="A345" i="11"/>
  <c r="B344" i="11"/>
  <c r="A344" i="11"/>
  <c r="B343" i="11"/>
  <c r="A343" i="11"/>
  <c r="B342" i="11"/>
  <c r="A342" i="11"/>
  <c r="B341" i="11"/>
  <c r="A341" i="11"/>
  <c r="B340" i="11"/>
  <c r="A340" i="11"/>
  <c r="B339" i="11"/>
  <c r="A339" i="11"/>
  <c r="B338" i="11"/>
  <c r="A338" i="11"/>
  <c r="B337" i="11"/>
  <c r="A337" i="11"/>
  <c r="B336" i="11"/>
  <c r="A336" i="11"/>
  <c r="B335" i="11"/>
  <c r="A335" i="11"/>
  <c r="B334" i="11"/>
  <c r="A334" i="11"/>
  <c r="B333" i="11"/>
  <c r="A333" i="11"/>
  <c r="B332" i="11"/>
  <c r="A332" i="11"/>
  <c r="B331" i="11"/>
  <c r="A331" i="11"/>
  <c r="B330" i="11"/>
  <c r="A330" i="11"/>
  <c r="B329" i="11"/>
  <c r="A329" i="11"/>
  <c r="B328" i="11"/>
  <c r="A328" i="11"/>
  <c r="B327" i="11"/>
  <c r="A327" i="11"/>
  <c r="B326" i="11"/>
  <c r="A326" i="11"/>
  <c r="B325" i="11"/>
  <c r="A325" i="11"/>
  <c r="B324" i="11"/>
  <c r="A324" i="11"/>
  <c r="B323" i="11"/>
  <c r="A323" i="11"/>
  <c r="B322" i="11"/>
  <c r="A322" i="11"/>
  <c r="B321" i="11"/>
  <c r="A321" i="11"/>
  <c r="B320" i="11"/>
  <c r="A320" i="11"/>
  <c r="B319" i="11"/>
  <c r="A319" i="11"/>
  <c r="B318" i="11"/>
  <c r="A318" i="11"/>
  <c r="B317" i="11"/>
  <c r="A317" i="11"/>
  <c r="B316" i="11"/>
  <c r="A316" i="11"/>
  <c r="B315" i="11"/>
  <c r="A315" i="11"/>
  <c r="B314" i="11"/>
  <c r="A314" i="11"/>
  <c r="B313" i="11"/>
  <c r="A313" i="11"/>
  <c r="B312" i="11"/>
  <c r="A312" i="11"/>
  <c r="B311" i="11"/>
  <c r="A311" i="11"/>
  <c r="B310" i="11"/>
  <c r="A310" i="11"/>
  <c r="B309" i="11"/>
  <c r="A309" i="11"/>
  <c r="B308" i="11"/>
  <c r="A308" i="11"/>
  <c r="B307" i="11"/>
  <c r="A307" i="11"/>
  <c r="B306" i="11"/>
  <c r="A306" i="11"/>
  <c r="B305" i="11"/>
  <c r="A305" i="11"/>
  <c r="B304" i="11"/>
  <c r="A304" i="11"/>
  <c r="B303" i="11"/>
  <c r="A303" i="11"/>
  <c r="B302" i="11"/>
  <c r="A302" i="11"/>
  <c r="B301" i="11"/>
  <c r="A301" i="11"/>
  <c r="B300" i="11"/>
  <c r="A300" i="11"/>
  <c r="B299" i="11"/>
  <c r="A299" i="11"/>
  <c r="B298" i="11"/>
  <c r="A298" i="11"/>
  <c r="B297" i="11"/>
  <c r="A297" i="11"/>
  <c r="B296" i="11"/>
  <c r="A296" i="11"/>
  <c r="B295" i="11"/>
  <c r="A295" i="11"/>
  <c r="B294" i="11"/>
  <c r="A294" i="11"/>
  <c r="B293" i="11"/>
  <c r="A293" i="11"/>
  <c r="B292" i="11"/>
  <c r="A292" i="11"/>
  <c r="B291" i="11"/>
  <c r="A291" i="11"/>
  <c r="B290" i="11"/>
  <c r="A290" i="11"/>
  <c r="B289" i="11"/>
  <c r="A289" i="11"/>
  <c r="B288" i="11"/>
  <c r="A288" i="11"/>
  <c r="B287" i="11"/>
  <c r="A287" i="11"/>
  <c r="B286" i="11"/>
  <c r="A286" i="11"/>
  <c r="B285" i="11"/>
  <c r="A285" i="11"/>
  <c r="B284" i="11"/>
  <c r="A284" i="11"/>
  <c r="B283" i="11"/>
  <c r="A283" i="11"/>
  <c r="B282" i="11"/>
  <c r="A282" i="11"/>
  <c r="B281" i="11"/>
  <c r="A281" i="11"/>
  <c r="B280" i="11"/>
  <c r="A280" i="11"/>
  <c r="B279" i="11"/>
  <c r="A279" i="11"/>
  <c r="B278" i="11"/>
  <c r="A278" i="11"/>
  <c r="B277" i="11"/>
  <c r="A277" i="11"/>
  <c r="B276" i="11"/>
  <c r="A276" i="11"/>
  <c r="B275" i="11"/>
  <c r="A275" i="11"/>
  <c r="B274" i="11"/>
  <c r="A274" i="11"/>
  <c r="B273" i="11"/>
  <c r="A273" i="11"/>
  <c r="B272" i="11"/>
  <c r="A272" i="11"/>
  <c r="B271" i="11"/>
  <c r="A271" i="11"/>
  <c r="B270" i="11"/>
  <c r="A270" i="11"/>
  <c r="B269" i="11"/>
  <c r="A269" i="11"/>
  <c r="B268" i="11"/>
  <c r="A268" i="11"/>
  <c r="B267" i="11"/>
  <c r="A267" i="11"/>
  <c r="B266" i="11"/>
  <c r="A266" i="11"/>
  <c r="B265" i="11"/>
  <c r="A265" i="11"/>
  <c r="B264" i="11"/>
  <c r="A264" i="11"/>
  <c r="B263" i="11"/>
  <c r="A263" i="11"/>
  <c r="B262" i="11"/>
  <c r="A262" i="11"/>
  <c r="B261" i="11"/>
  <c r="A261" i="11"/>
  <c r="B260" i="11"/>
  <c r="A260" i="11"/>
  <c r="B259" i="11"/>
  <c r="A259" i="11"/>
  <c r="B258" i="11"/>
  <c r="A258" i="11"/>
  <c r="B257" i="11"/>
  <c r="A257" i="11"/>
  <c r="B256" i="11"/>
  <c r="A256" i="11"/>
  <c r="B255" i="11"/>
  <c r="A255" i="11"/>
  <c r="B254" i="11"/>
  <c r="A254" i="11"/>
  <c r="B253" i="11"/>
  <c r="A253" i="11"/>
  <c r="B252" i="11"/>
  <c r="A252" i="11"/>
  <c r="B251" i="11"/>
  <c r="A251" i="11"/>
  <c r="B250" i="11"/>
  <c r="A250" i="11"/>
  <c r="B249" i="11"/>
  <c r="A249" i="11"/>
  <c r="B248" i="11"/>
  <c r="A248" i="11"/>
  <c r="B247" i="11"/>
  <c r="A247" i="11"/>
  <c r="B246" i="11"/>
  <c r="A246" i="11"/>
  <c r="B245" i="11"/>
  <c r="A245" i="11"/>
  <c r="B244" i="11"/>
  <c r="A244" i="11"/>
  <c r="B243" i="11"/>
  <c r="A243" i="11"/>
  <c r="B242" i="11"/>
  <c r="A242" i="11"/>
  <c r="B241" i="11"/>
  <c r="A241" i="11"/>
  <c r="B240" i="11"/>
  <c r="A240" i="11"/>
  <c r="B239" i="11"/>
  <c r="A239" i="11"/>
  <c r="B238" i="11"/>
  <c r="A238" i="11"/>
  <c r="B237" i="11"/>
  <c r="A237" i="11"/>
  <c r="B236" i="11"/>
  <c r="A236" i="11"/>
  <c r="B235" i="11"/>
  <c r="A235" i="11"/>
  <c r="B234" i="11"/>
  <c r="A234" i="11"/>
  <c r="B233" i="11"/>
  <c r="A233" i="11"/>
  <c r="B232" i="11"/>
  <c r="A232" i="11"/>
  <c r="B231" i="11"/>
  <c r="A231" i="11"/>
  <c r="B230" i="11"/>
  <c r="A230" i="11"/>
  <c r="B229" i="11"/>
  <c r="A229" i="11"/>
  <c r="B228" i="11"/>
  <c r="A228" i="11"/>
  <c r="B227" i="11"/>
  <c r="A227" i="11"/>
  <c r="B226" i="11"/>
  <c r="A226" i="11"/>
  <c r="B225" i="11"/>
  <c r="A225" i="11"/>
  <c r="B224" i="11"/>
  <c r="A224" i="11"/>
  <c r="B223" i="11"/>
  <c r="A223" i="11"/>
  <c r="B222" i="11"/>
  <c r="A222" i="11"/>
  <c r="B221" i="11"/>
  <c r="A221" i="11"/>
  <c r="B220" i="11"/>
  <c r="A220" i="11"/>
  <c r="B219" i="11"/>
  <c r="A219" i="11"/>
  <c r="B218" i="11"/>
  <c r="A218" i="11"/>
  <c r="B217" i="11"/>
  <c r="A217" i="11"/>
  <c r="B216" i="11"/>
  <c r="A216" i="11"/>
  <c r="B215" i="11"/>
  <c r="A215" i="11"/>
  <c r="B214" i="11"/>
  <c r="A214" i="11"/>
  <c r="B213" i="11"/>
  <c r="A213" i="11"/>
  <c r="B212" i="11"/>
  <c r="A212" i="11"/>
  <c r="B211" i="11"/>
  <c r="A211" i="11"/>
  <c r="B210" i="11"/>
  <c r="A210" i="11"/>
  <c r="B209" i="11"/>
  <c r="A209" i="11"/>
  <c r="B208" i="11"/>
  <c r="A208" i="11"/>
  <c r="B207" i="11"/>
  <c r="A207" i="11"/>
  <c r="B206" i="11"/>
  <c r="A206" i="11"/>
  <c r="B205" i="11"/>
  <c r="A205" i="11"/>
  <c r="B204" i="11"/>
  <c r="A204" i="11"/>
  <c r="B203" i="11"/>
  <c r="A203" i="11"/>
  <c r="B202" i="11"/>
  <c r="A202" i="11"/>
  <c r="B201" i="11"/>
  <c r="A201" i="11"/>
  <c r="B200" i="11"/>
  <c r="A200" i="11"/>
  <c r="B199" i="11"/>
  <c r="A199" i="11"/>
  <c r="B198" i="11"/>
  <c r="A198" i="11"/>
  <c r="B197" i="11"/>
  <c r="A197" i="11"/>
  <c r="B196" i="11"/>
  <c r="A196" i="11"/>
  <c r="B195" i="11"/>
  <c r="A195" i="11"/>
  <c r="B194" i="11"/>
  <c r="A194" i="11"/>
  <c r="B193" i="11"/>
  <c r="A193" i="11"/>
  <c r="B192" i="11"/>
  <c r="A192" i="11"/>
  <c r="B191" i="11"/>
  <c r="A191" i="11"/>
  <c r="B190" i="11"/>
  <c r="A190" i="11"/>
  <c r="B189" i="11"/>
  <c r="A189" i="11"/>
  <c r="B188" i="11"/>
  <c r="A188" i="11"/>
  <c r="B187" i="11"/>
  <c r="A187" i="11"/>
  <c r="B186" i="11"/>
  <c r="A186" i="11"/>
  <c r="B185" i="11"/>
  <c r="A185" i="11"/>
  <c r="B184" i="11"/>
  <c r="A184" i="11"/>
  <c r="B183" i="11"/>
  <c r="A183" i="11"/>
  <c r="B182" i="11"/>
  <c r="A182" i="11"/>
  <c r="B181" i="11"/>
  <c r="A181" i="11"/>
  <c r="B180" i="11"/>
  <c r="A180" i="11"/>
  <c r="B179" i="11"/>
  <c r="A179" i="11"/>
  <c r="B178" i="11"/>
  <c r="A178" i="11"/>
  <c r="B177" i="11"/>
  <c r="A177" i="11"/>
  <c r="B176" i="11"/>
  <c r="A176" i="11"/>
  <c r="B175" i="11"/>
  <c r="A175" i="11"/>
  <c r="B174" i="11"/>
  <c r="A174" i="11"/>
  <c r="B173" i="11"/>
  <c r="A173" i="11"/>
  <c r="B172" i="11"/>
  <c r="A172" i="11"/>
  <c r="B171" i="11"/>
  <c r="A171" i="11"/>
  <c r="B170" i="11"/>
  <c r="A170" i="11"/>
  <c r="B169" i="11"/>
  <c r="A169" i="11"/>
  <c r="B168" i="11"/>
  <c r="A168" i="11"/>
  <c r="B167" i="11"/>
  <c r="A167" i="11"/>
  <c r="B166" i="11"/>
  <c r="A166" i="11"/>
  <c r="B165" i="11"/>
  <c r="A165" i="11"/>
  <c r="B164" i="11"/>
  <c r="A164" i="11"/>
  <c r="B163" i="11"/>
  <c r="A163" i="11"/>
  <c r="B162" i="11"/>
  <c r="A162" i="11"/>
  <c r="B161" i="11"/>
  <c r="A161" i="11"/>
  <c r="B160" i="11"/>
  <c r="A160" i="11"/>
  <c r="B159" i="11"/>
  <c r="A159" i="11"/>
  <c r="B158" i="11"/>
  <c r="A158" i="11"/>
  <c r="B157" i="11"/>
  <c r="A157" i="11"/>
  <c r="B156" i="11"/>
  <c r="A156" i="11"/>
  <c r="B155" i="11"/>
  <c r="A155" i="11"/>
  <c r="B154" i="11"/>
  <c r="A154" i="11"/>
  <c r="B153" i="11"/>
  <c r="A153" i="11"/>
  <c r="B152" i="11"/>
  <c r="A152" i="11"/>
  <c r="B151" i="11"/>
  <c r="A151" i="11"/>
  <c r="B150" i="11"/>
  <c r="A150" i="11"/>
  <c r="B149" i="11"/>
  <c r="A149" i="11"/>
  <c r="B148" i="11"/>
  <c r="A148" i="11"/>
  <c r="B147" i="11"/>
  <c r="A147" i="11"/>
  <c r="B146" i="11"/>
  <c r="A146" i="11"/>
  <c r="B145" i="11"/>
  <c r="A145" i="11"/>
  <c r="B144" i="11"/>
  <c r="A144" i="11"/>
  <c r="B143" i="11"/>
  <c r="A143" i="11"/>
  <c r="B142" i="11"/>
  <c r="A142" i="11"/>
  <c r="B141" i="11"/>
  <c r="A141" i="11"/>
  <c r="B140" i="11"/>
  <c r="A140" i="11"/>
  <c r="B139" i="11"/>
  <c r="A139" i="11"/>
  <c r="B138" i="11"/>
  <c r="A138" i="11"/>
  <c r="B137" i="11"/>
  <c r="A137" i="11"/>
  <c r="B136" i="11"/>
  <c r="A136" i="11"/>
  <c r="B135" i="11"/>
  <c r="A135" i="11"/>
  <c r="B134" i="11"/>
  <c r="A134" i="11"/>
  <c r="B133" i="11"/>
  <c r="A133" i="11"/>
  <c r="B132" i="11"/>
  <c r="A132" i="11"/>
  <c r="B131" i="11"/>
  <c r="A131" i="11"/>
  <c r="B130" i="11"/>
  <c r="A130" i="11"/>
  <c r="B129" i="11"/>
  <c r="A129" i="11"/>
  <c r="B128" i="11"/>
  <c r="A128" i="11"/>
  <c r="B127" i="11"/>
  <c r="A127" i="11"/>
  <c r="B126" i="11"/>
  <c r="A126" i="11"/>
  <c r="B125" i="11"/>
  <c r="A125" i="11"/>
  <c r="B124" i="11"/>
  <c r="A124" i="11"/>
  <c r="B123" i="11"/>
  <c r="A123" i="11"/>
  <c r="B122" i="11"/>
  <c r="A122" i="11"/>
  <c r="B121" i="11"/>
  <c r="A121" i="11"/>
  <c r="B120" i="11"/>
  <c r="A120" i="11"/>
  <c r="B119" i="11"/>
  <c r="A119" i="11"/>
  <c r="B118" i="11"/>
  <c r="A118" i="11"/>
  <c r="B117" i="11"/>
  <c r="A117" i="11"/>
  <c r="B116" i="11"/>
  <c r="A116" i="11"/>
  <c r="B115" i="11"/>
  <c r="A115" i="11"/>
  <c r="B114" i="11"/>
  <c r="A114" i="11"/>
  <c r="B113" i="11"/>
  <c r="A113" i="11"/>
  <c r="B112" i="11"/>
  <c r="A112" i="11"/>
  <c r="B111" i="11"/>
  <c r="A111" i="11"/>
  <c r="B110" i="11"/>
  <c r="A110" i="11"/>
  <c r="B109" i="11"/>
  <c r="A109" i="11"/>
  <c r="B108" i="11"/>
  <c r="A108" i="11"/>
  <c r="B107" i="11"/>
  <c r="A107" i="11"/>
  <c r="B106" i="11"/>
  <c r="A106" i="11"/>
  <c r="B105" i="11"/>
  <c r="A105" i="11"/>
  <c r="B104" i="11"/>
  <c r="A104" i="11"/>
  <c r="B103" i="11"/>
  <c r="A103" i="11"/>
  <c r="B102" i="11"/>
  <c r="A102" i="11"/>
  <c r="B101" i="11"/>
  <c r="A101" i="11"/>
  <c r="B100" i="11"/>
  <c r="A100" i="11"/>
  <c r="B99" i="11"/>
  <c r="A99" i="11"/>
  <c r="B98" i="11"/>
  <c r="A98" i="11"/>
  <c r="B97" i="11"/>
  <c r="A97" i="11"/>
  <c r="B96" i="11"/>
  <c r="A96" i="11"/>
  <c r="B95" i="11"/>
  <c r="A95" i="11"/>
  <c r="B94" i="11"/>
  <c r="A94" i="11"/>
  <c r="B93" i="11"/>
  <c r="A93" i="11"/>
  <c r="B92" i="11"/>
  <c r="A92" i="11"/>
  <c r="B91" i="11"/>
  <c r="A91" i="11"/>
  <c r="B90" i="11"/>
  <c r="A90" i="11"/>
  <c r="B89" i="11"/>
  <c r="A89" i="11"/>
  <c r="B88" i="11"/>
  <c r="A88" i="11"/>
  <c r="B87" i="11"/>
  <c r="A87" i="11"/>
  <c r="B86" i="11"/>
  <c r="A86" i="11"/>
  <c r="B85" i="11"/>
  <c r="A85" i="11"/>
  <c r="B84" i="11"/>
  <c r="A84" i="11"/>
  <c r="B83" i="11"/>
  <c r="A83" i="11"/>
  <c r="B82" i="11"/>
  <c r="A82" i="11"/>
  <c r="B81" i="11"/>
  <c r="A81" i="11"/>
  <c r="B80" i="11"/>
  <c r="A80" i="11"/>
  <c r="B79" i="11"/>
  <c r="A79" i="11"/>
  <c r="B78" i="11"/>
  <c r="A78" i="11"/>
  <c r="B77" i="11"/>
  <c r="A77" i="11"/>
  <c r="B76" i="11"/>
  <c r="A76" i="11"/>
  <c r="B75" i="11"/>
  <c r="A75" i="11"/>
  <c r="B74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B50" i="11"/>
  <c r="A50" i="11"/>
  <c r="B49" i="11"/>
  <c r="A49" i="11"/>
  <c r="B48" i="11"/>
  <c r="A48" i="11"/>
  <c r="B47" i="11"/>
  <c r="A47" i="11"/>
  <c r="B46" i="11"/>
  <c r="A46" i="11"/>
  <c r="B45" i="11"/>
  <c r="A45" i="11"/>
  <c r="B44" i="11"/>
  <c r="A44" i="11"/>
  <c r="B43" i="11"/>
  <c r="A43" i="11"/>
  <c r="B42" i="11"/>
  <c r="A42" i="11"/>
  <c r="B41" i="11"/>
  <c r="A41" i="11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2" i="3"/>
  <c r="F2" i="1" s="1"/>
  <c r="A3" i="1"/>
  <c r="A4" i="1" s="1"/>
  <c r="D2" i="1"/>
  <c r="B2" i="1"/>
  <c r="C2" i="1"/>
  <c r="O453" i="1" l="1"/>
  <c r="O393" i="1"/>
  <c r="O10" i="1"/>
  <c r="O429" i="1"/>
  <c r="O369" i="1"/>
  <c r="O345" i="1"/>
  <c r="O321" i="1"/>
  <c r="O297" i="1"/>
  <c r="O273" i="1"/>
  <c r="O249" i="1"/>
  <c r="O237" i="1"/>
  <c r="O213" i="1"/>
  <c r="O201" i="1"/>
  <c r="O189" i="1"/>
  <c r="O177" i="1"/>
  <c r="O165" i="1"/>
  <c r="O153" i="1"/>
  <c r="O141" i="1"/>
  <c r="O129" i="1"/>
  <c r="O117" i="1"/>
  <c r="O93" i="1"/>
  <c r="O81" i="1"/>
  <c r="O69" i="1"/>
  <c r="O57" i="1"/>
  <c r="O45" i="1"/>
  <c r="O33" i="1"/>
  <c r="O21" i="1"/>
  <c r="O9" i="1"/>
  <c r="O452" i="1"/>
  <c r="O440" i="1"/>
  <c r="O428" i="1"/>
  <c r="O416" i="1"/>
  <c r="O404" i="1"/>
  <c r="O392" i="1"/>
  <c r="O380" i="1"/>
  <c r="O368" i="1"/>
  <c r="O356" i="1"/>
  <c r="O344" i="1"/>
  <c r="O332" i="1"/>
  <c r="O320" i="1"/>
  <c r="O308" i="1"/>
  <c r="O296" i="1"/>
  <c r="O284" i="1"/>
  <c r="O272" i="1"/>
  <c r="O260" i="1"/>
  <c r="O248" i="1"/>
  <c r="O236" i="1"/>
  <c r="O224" i="1"/>
  <c r="O212" i="1"/>
  <c r="O200" i="1"/>
  <c r="O188" i="1"/>
  <c r="O176" i="1"/>
  <c r="O164" i="1"/>
  <c r="O152" i="1"/>
  <c r="O140" i="1"/>
  <c r="O128" i="1"/>
  <c r="O116" i="1"/>
  <c r="O104" i="1"/>
  <c r="O92" i="1"/>
  <c r="O80" i="1"/>
  <c r="O68" i="1"/>
  <c r="O56" i="1"/>
  <c r="O44" i="1"/>
  <c r="O32" i="1"/>
  <c r="O20" i="1"/>
  <c r="O8" i="1"/>
  <c r="O441" i="1"/>
  <c r="O357" i="1"/>
  <c r="O333" i="1"/>
  <c r="O309" i="1"/>
  <c r="O285" i="1"/>
  <c r="O261" i="1"/>
  <c r="O225" i="1"/>
  <c r="O105" i="1"/>
  <c r="O451" i="1"/>
  <c r="O439" i="1"/>
  <c r="O427" i="1"/>
  <c r="O415" i="1"/>
  <c r="O403" i="1"/>
  <c r="O391" i="1"/>
  <c r="O379" i="1"/>
  <c r="O367" i="1"/>
  <c r="O355" i="1"/>
  <c r="O343" i="1"/>
  <c r="O331" i="1"/>
  <c r="O319" i="1"/>
  <c r="O307" i="1"/>
  <c r="O295" i="1"/>
  <c r="O283" i="1"/>
  <c r="O271" i="1"/>
  <c r="O259" i="1"/>
  <c r="O247" i="1"/>
  <c r="O235" i="1"/>
  <c r="O223" i="1"/>
  <c r="O211" i="1"/>
  <c r="O199" i="1"/>
  <c r="O187" i="1"/>
  <c r="O175" i="1"/>
  <c r="O163" i="1"/>
  <c r="O151" i="1"/>
  <c r="O139" i="1"/>
  <c r="O127" i="1"/>
  <c r="O115" i="1"/>
  <c r="O103" i="1"/>
  <c r="O91" i="1"/>
  <c r="O79" i="1"/>
  <c r="O67" i="1"/>
  <c r="O55" i="1"/>
  <c r="O43" i="1"/>
  <c r="O31" i="1"/>
  <c r="O19" i="1"/>
  <c r="O7" i="1"/>
  <c r="O450" i="1"/>
  <c r="O438" i="1"/>
  <c r="O426" i="1"/>
  <c r="O414" i="1"/>
  <c r="O402" i="1"/>
  <c r="O390" i="1"/>
  <c r="O378" i="1"/>
  <c r="O366" i="1"/>
  <c r="O354" i="1"/>
  <c r="O342" i="1"/>
  <c r="O330" i="1"/>
  <c r="O318" i="1"/>
  <c r="O306" i="1"/>
  <c r="O294" i="1"/>
  <c r="O282" i="1"/>
  <c r="O270" i="1"/>
  <c r="O258" i="1"/>
  <c r="O246" i="1"/>
  <c r="O234" i="1"/>
  <c r="O222" i="1"/>
  <c r="O210" i="1"/>
  <c r="O198" i="1"/>
  <c r="O186" i="1"/>
  <c r="O174" i="1"/>
  <c r="O162" i="1"/>
  <c r="O150" i="1"/>
  <c r="O138" i="1"/>
  <c r="O126" i="1"/>
  <c r="O114" i="1"/>
  <c r="O102" i="1"/>
  <c r="O90" i="1"/>
  <c r="O78" i="1"/>
  <c r="O66" i="1"/>
  <c r="O54" i="1"/>
  <c r="O42" i="1"/>
  <c r="O30" i="1"/>
  <c r="O18" i="1"/>
  <c r="O6" i="1"/>
  <c r="O381" i="1"/>
  <c r="O449" i="1"/>
  <c r="O437" i="1"/>
  <c r="O425" i="1"/>
  <c r="O413" i="1"/>
  <c r="O401" i="1"/>
  <c r="O389" i="1"/>
  <c r="O377" i="1"/>
  <c r="O365" i="1"/>
  <c r="O353" i="1"/>
  <c r="O341" i="1"/>
  <c r="O329" i="1"/>
  <c r="O317" i="1"/>
  <c r="O305" i="1"/>
  <c r="O293" i="1"/>
  <c r="O281" i="1"/>
  <c r="O269" i="1"/>
  <c r="O257" i="1"/>
  <c r="O245" i="1"/>
  <c r="O233" i="1"/>
  <c r="O221" i="1"/>
  <c r="O209" i="1"/>
  <c r="O197" i="1"/>
  <c r="O185" i="1"/>
  <c r="O173" i="1"/>
  <c r="O161" i="1"/>
  <c r="O149" i="1"/>
  <c r="O137" i="1"/>
  <c r="O125" i="1"/>
  <c r="O113" i="1"/>
  <c r="O101" i="1"/>
  <c r="O89" i="1"/>
  <c r="O77" i="1"/>
  <c r="O65" i="1"/>
  <c r="O53" i="1"/>
  <c r="O41" i="1"/>
  <c r="O29" i="1"/>
  <c r="O17" i="1"/>
  <c r="O5" i="1"/>
  <c r="O405" i="1"/>
  <c r="O448" i="1"/>
  <c r="O436" i="1"/>
  <c r="O424" i="1"/>
  <c r="O412" i="1"/>
  <c r="O400" i="1"/>
  <c r="O388" i="1"/>
  <c r="O376" i="1"/>
  <c r="O364" i="1"/>
  <c r="O352" i="1"/>
  <c r="O340" i="1"/>
  <c r="O328" i="1"/>
  <c r="O316" i="1"/>
  <c r="O304" i="1"/>
  <c r="O292" i="1"/>
  <c r="O280" i="1"/>
  <c r="O268" i="1"/>
  <c r="O256" i="1"/>
  <c r="O244" i="1"/>
  <c r="O232" i="1"/>
  <c r="O220" i="1"/>
  <c r="O208" i="1"/>
  <c r="O196" i="1"/>
  <c r="O184" i="1"/>
  <c r="O172" i="1"/>
  <c r="O160" i="1"/>
  <c r="O148" i="1"/>
  <c r="O136" i="1"/>
  <c r="O124" i="1"/>
  <c r="O112" i="1"/>
  <c r="O100" i="1"/>
  <c r="O88" i="1"/>
  <c r="O76" i="1"/>
  <c r="O64" i="1"/>
  <c r="O52" i="1"/>
  <c r="O40" i="1"/>
  <c r="O28" i="1"/>
  <c r="O16" i="1"/>
  <c r="O4" i="1"/>
  <c r="O417" i="1"/>
  <c r="O447" i="1"/>
  <c r="O435" i="1"/>
  <c r="O423" i="1"/>
  <c r="O411" i="1"/>
  <c r="O399" i="1"/>
  <c r="O387" i="1"/>
  <c r="O375" i="1"/>
  <c r="O363" i="1"/>
  <c r="O351" i="1"/>
  <c r="O339" i="1"/>
  <c r="O327" i="1"/>
  <c r="O315" i="1"/>
  <c r="O303" i="1"/>
  <c r="O291" i="1"/>
  <c r="O279" i="1"/>
  <c r="O267" i="1"/>
  <c r="O255" i="1"/>
  <c r="O243" i="1"/>
  <c r="O231" i="1"/>
  <c r="O219" i="1"/>
  <c r="O207" i="1"/>
  <c r="O195" i="1"/>
  <c r="O183" i="1"/>
  <c r="O171" i="1"/>
  <c r="O159" i="1"/>
  <c r="O147" i="1"/>
  <c r="O135" i="1"/>
  <c r="O123" i="1"/>
  <c r="O111" i="1"/>
  <c r="O99" i="1"/>
  <c r="O87" i="1"/>
  <c r="O75" i="1"/>
  <c r="O63" i="1"/>
  <c r="O51" i="1"/>
  <c r="O39" i="1"/>
  <c r="O27" i="1"/>
  <c r="O15" i="1"/>
  <c r="O2" i="1"/>
  <c r="O446" i="1"/>
  <c r="O434" i="1"/>
  <c r="O422" i="1"/>
  <c r="O410" i="1"/>
  <c r="O398" i="1"/>
  <c r="O386" i="1"/>
  <c r="O374" i="1"/>
  <c r="O362" i="1"/>
  <c r="O350" i="1"/>
  <c r="O338" i="1"/>
  <c r="O326" i="1"/>
  <c r="O314" i="1"/>
  <c r="O302" i="1"/>
  <c r="O290" i="1"/>
  <c r="O278" i="1"/>
  <c r="O266" i="1"/>
  <c r="O254" i="1"/>
  <c r="O242" i="1"/>
  <c r="O230" i="1"/>
  <c r="O218" i="1"/>
  <c r="O20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38" i="1"/>
  <c r="O26" i="1"/>
  <c r="O14" i="1"/>
  <c r="O3" i="1"/>
  <c r="O445" i="1"/>
  <c r="O433" i="1"/>
  <c r="O421" i="1"/>
  <c r="O409" i="1"/>
  <c r="O397" i="1"/>
  <c r="O385" i="1"/>
  <c r="O373" i="1"/>
  <c r="O361" i="1"/>
  <c r="O349" i="1"/>
  <c r="O337" i="1"/>
  <c r="O325" i="1"/>
  <c r="O313" i="1"/>
  <c r="O301" i="1"/>
  <c r="O289" i="1"/>
  <c r="O277" i="1"/>
  <c r="O265" i="1"/>
  <c r="O253" i="1"/>
  <c r="O241" i="1"/>
  <c r="O229" i="1"/>
  <c r="O217" i="1"/>
  <c r="O205" i="1"/>
  <c r="O193" i="1"/>
  <c r="O181" i="1"/>
  <c r="O169" i="1"/>
  <c r="O157" i="1"/>
  <c r="O145" i="1"/>
  <c r="O133" i="1"/>
  <c r="O121" i="1"/>
  <c r="O109" i="1"/>
  <c r="O97" i="1"/>
  <c r="O85" i="1"/>
  <c r="O73" i="1"/>
  <c r="O61" i="1"/>
  <c r="O49" i="1"/>
  <c r="O37" i="1"/>
  <c r="O25" i="1"/>
  <c r="O13" i="1"/>
  <c r="O456" i="1"/>
  <c r="O444" i="1"/>
  <c r="O432" i="1"/>
  <c r="O420" i="1"/>
  <c r="O408" i="1"/>
  <c r="O396" i="1"/>
  <c r="O384" i="1"/>
  <c r="O372" i="1"/>
  <c r="O360" i="1"/>
  <c r="O348" i="1"/>
  <c r="O336" i="1"/>
  <c r="O324" i="1"/>
  <c r="O312" i="1"/>
  <c r="O300" i="1"/>
  <c r="O288" i="1"/>
  <c r="O276" i="1"/>
  <c r="O264" i="1"/>
  <c r="O252" i="1"/>
  <c r="O240" i="1"/>
  <c r="O228" i="1"/>
  <c r="O216" i="1"/>
  <c r="O20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24" i="1"/>
  <c r="O12" i="1"/>
  <c r="O455" i="1"/>
  <c r="O443" i="1"/>
  <c r="O431" i="1"/>
  <c r="O419" i="1"/>
  <c r="O407" i="1"/>
  <c r="O395" i="1"/>
  <c r="O383" i="1"/>
  <c r="O371" i="1"/>
  <c r="O359" i="1"/>
  <c r="O347" i="1"/>
  <c r="O335" i="1"/>
  <c r="O323" i="1"/>
  <c r="O311" i="1"/>
  <c r="O299" i="1"/>
  <c r="O287" i="1"/>
  <c r="O275" i="1"/>
  <c r="O263" i="1"/>
  <c r="O251" i="1"/>
  <c r="O239" i="1"/>
  <c r="O227" i="1"/>
  <c r="O215" i="1"/>
  <c r="O203" i="1"/>
  <c r="O191" i="1"/>
  <c r="O179" i="1"/>
  <c r="O167" i="1"/>
  <c r="O155" i="1"/>
  <c r="O143" i="1"/>
  <c r="O131" i="1"/>
  <c r="O119" i="1"/>
  <c r="O107" i="1"/>
  <c r="O95" i="1"/>
  <c r="O83" i="1"/>
  <c r="O71" i="1"/>
  <c r="O59" i="1"/>
  <c r="O47" i="1"/>
  <c r="O35" i="1"/>
  <c r="O23" i="1"/>
  <c r="O11" i="1"/>
  <c r="O454" i="1"/>
  <c r="O442" i="1"/>
  <c r="O430" i="1"/>
  <c r="O418" i="1"/>
  <c r="O406" i="1"/>
  <c r="O394" i="1"/>
  <c r="O382" i="1"/>
  <c r="O370" i="1"/>
  <c r="O358" i="1"/>
  <c r="O346" i="1"/>
  <c r="O334" i="1"/>
  <c r="O322" i="1"/>
  <c r="O310" i="1"/>
  <c r="O298" i="1"/>
  <c r="O286" i="1"/>
  <c r="O274" i="1"/>
  <c r="O262" i="1"/>
  <c r="O250" i="1"/>
  <c r="O238" i="1"/>
  <c r="O226" i="1"/>
  <c r="O214" i="1"/>
  <c r="O20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S441" i="1"/>
  <c r="S445" i="1"/>
  <c r="T436" i="1"/>
  <c r="S436" i="1" s="1"/>
  <c r="S435" i="1"/>
  <c r="W439" i="1"/>
  <c r="S434" i="1"/>
  <c r="S433" i="1"/>
  <c r="W440" i="1"/>
  <c r="W441" i="1"/>
  <c r="U430" i="1"/>
  <c r="U429" i="1"/>
  <c r="U428" i="1"/>
  <c r="W429" i="1"/>
  <c r="U427" i="1"/>
  <c r="X427" i="1" s="1"/>
  <c r="W428" i="1"/>
  <c r="W430" i="1"/>
  <c r="W448" i="1"/>
  <c r="W455" i="1"/>
  <c r="W431" i="1"/>
  <c r="W432" i="1"/>
  <c r="W434" i="1"/>
  <c r="U434" i="1"/>
  <c r="W433" i="1"/>
  <c r="W435" i="1"/>
  <c r="U433" i="1"/>
  <c r="U435" i="1"/>
  <c r="W436" i="1"/>
  <c r="W438" i="1"/>
  <c r="W453" i="1"/>
  <c r="W442" i="1"/>
  <c r="W454" i="1"/>
  <c r="W443" i="1"/>
  <c r="T457" i="1"/>
  <c r="S457" i="1" s="1"/>
  <c r="C3" i="1"/>
  <c r="D3" i="1"/>
  <c r="E4" i="12"/>
  <c r="E5" i="12"/>
  <c r="B3" i="1"/>
  <c r="E2" i="1"/>
  <c r="I2" i="1" s="1"/>
  <c r="F4" i="1"/>
  <c r="F3" i="1"/>
  <c r="A5" i="1"/>
  <c r="F5" i="1" s="1"/>
  <c r="C4" i="1"/>
  <c r="B4" i="1"/>
  <c r="D4" i="1"/>
  <c r="H72" i="12" l="1"/>
  <c r="G72" i="12"/>
  <c r="S72" i="12"/>
  <c r="AD72" i="12"/>
  <c r="AB72" i="12"/>
  <c r="F72" i="12"/>
  <c r="AC72" i="12"/>
  <c r="D72" i="12"/>
  <c r="Q72" i="12"/>
  <c r="K72" i="12"/>
  <c r="E72" i="12"/>
  <c r="R72" i="12"/>
  <c r="P72" i="12"/>
  <c r="AE72" i="12"/>
  <c r="AF72" i="12"/>
  <c r="T72" i="12"/>
  <c r="D15" i="12"/>
  <c r="W72" i="12"/>
  <c r="L72" i="12"/>
  <c r="X72" i="12"/>
  <c r="M72" i="12"/>
  <c r="Y72" i="12"/>
  <c r="N72" i="12"/>
  <c r="I72" i="12"/>
  <c r="Z72" i="12"/>
  <c r="U72" i="12"/>
  <c r="O72" i="12"/>
  <c r="AG72" i="12"/>
  <c r="J72" i="12"/>
  <c r="E15" i="12"/>
  <c r="AA72" i="12"/>
  <c r="C72" i="12"/>
  <c r="C15" i="12"/>
  <c r="V72" i="12"/>
  <c r="W445" i="1"/>
  <c r="W447" i="1"/>
  <c r="T459" i="1"/>
  <c r="U451" i="1" s="1"/>
  <c r="W452" i="1"/>
  <c r="W446" i="1"/>
  <c r="W451" i="1"/>
  <c r="W456" i="1"/>
  <c r="W437" i="1"/>
  <c r="W450" i="1"/>
  <c r="W449" i="1"/>
  <c r="W444" i="1"/>
  <c r="U447" i="1"/>
  <c r="J2" i="1"/>
  <c r="K2" i="1"/>
  <c r="H2" i="1"/>
  <c r="L2" i="1"/>
  <c r="M2" i="1"/>
  <c r="E3" i="1"/>
  <c r="G2" i="1"/>
  <c r="X434" i="1"/>
  <c r="X428" i="1"/>
  <c r="X429" i="1"/>
  <c r="X432" i="1"/>
  <c r="X431" i="1"/>
  <c r="X435" i="1"/>
  <c r="X430" i="1"/>
  <c r="X433" i="1"/>
  <c r="E4" i="1"/>
  <c r="F4" i="12"/>
  <c r="F5" i="12"/>
  <c r="A6" i="1"/>
  <c r="F6" i="1" s="1"/>
  <c r="B5" i="1"/>
  <c r="C5" i="1"/>
  <c r="D5" i="1"/>
  <c r="F15" i="12" l="1"/>
  <c r="U436" i="1"/>
  <c r="U444" i="1"/>
  <c r="U455" i="1"/>
  <c r="U442" i="1"/>
  <c r="U453" i="1"/>
  <c r="U441" i="1"/>
  <c r="U439" i="1"/>
  <c r="U450" i="1"/>
  <c r="U438" i="1"/>
  <c r="U449" i="1"/>
  <c r="U437" i="1"/>
  <c r="X437" i="1" s="1"/>
  <c r="U440" i="1"/>
  <c r="U446" i="1"/>
  <c r="U445" i="1"/>
  <c r="U448" i="1"/>
  <c r="U443" i="1"/>
  <c r="U452" i="1"/>
  <c r="U454" i="1"/>
  <c r="N2" i="1"/>
  <c r="X436" i="1"/>
  <c r="M4" i="1"/>
  <c r="K4" i="1"/>
  <c r="I4" i="1"/>
  <c r="G4" i="1"/>
  <c r="H4" i="1"/>
  <c r="J4" i="1"/>
  <c r="L4" i="1"/>
  <c r="I3" i="1"/>
  <c r="M3" i="1"/>
  <c r="K3" i="1"/>
  <c r="G3" i="1"/>
  <c r="L3" i="1"/>
  <c r="J3" i="1"/>
  <c r="H3" i="1"/>
  <c r="G4" i="12"/>
  <c r="G5" i="12"/>
  <c r="E5" i="1"/>
  <c r="A7" i="1"/>
  <c r="F7" i="1" s="1"/>
  <c r="B6" i="1"/>
  <c r="C6" i="1"/>
  <c r="D6" i="1"/>
  <c r="G15" i="12" l="1"/>
  <c r="X450" i="1"/>
  <c r="X442" i="1"/>
  <c r="X441" i="1"/>
  <c r="X440" i="1"/>
  <c r="X451" i="1"/>
  <c r="X438" i="1"/>
  <c r="X446" i="1"/>
  <c r="X439" i="1"/>
  <c r="X454" i="1"/>
  <c r="U456" i="1"/>
  <c r="X456" i="1" s="1"/>
  <c r="X449" i="1"/>
  <c r="X452" i="1"/>
  <c r="X453" i="1"/>
  <c r="X444" i="1"/>
  <c r="X445" i="1"/>
  <c r="X447" i="1"/>
  <c r="X443" i="1"/>
  <c r="X448" i="1"/>
  <c r="X455" i="1"/>
  <c r="N4" i="1"/>
  <c r="N3" i="1"/>
  <c r="M5" i="1"/>
  <c r="K5" i="1"/>
  <c r="I5" i="1"/>
  <c r="G5" i="1"/>
  <c r="L5" i="1"/>
  <c r="H5" i="1"/>
  <c r="J5" i="1"/>
  <c r="H4" i="12"/>
  <c r="H5" i="12"/>
  <c r="E6" i="1"/>
  <c r="B7" i="1"/>
  <c r="C7" i="1"/>
  <c r="D7" i="1"/>
  <c r="A8" i="1"/>
  <c r="F8" i="1" s="1"/>
  <c r="H15" i="12" l="1"/>
  <c r="U457" i="1"/>
  <c r="N5" i="1"/>
  <c r="M6" i="1"/>
  <c r="I6" i="1"/>
  <c r="K6" i="1"/>
  <c r="G6" i="1"/>
  <c r="J6" i="1"/>
  <c r="L6" i="1"/>
  <c r="H6" i="1"/>
  <c r="E7" i="1"/>
  <c r="I4" i="12"/>
  <c r="I5" i="12"/>
  <c r="C8" i="1"/>
  <c r="D8" i="1"/>
  <c r="B8" i="1"/>
  <c r="A9" i="1"/>
  <c r="F9" i="1" s="1"/>
  <c r="I15" i="12" l="1"/>
  <c r="N6" i="1"/>
  <c r="M7" i="1"/>
  <c r="K7" i="1"/>
  <c r="I7" i="1"/>
  <c r="G7" i="1"/>
  <c r="J7" i="1"/>
  <c r="H7" i="1"/>
  <c r="L7" i="1"/>
  <c r="E8" i="1"/>
  <c r="J4" i="12"/>
  <c r="J5" i="12"/>
  <c r="B9" i="1"/>
  <c r="A10" i="1"/>
  <c r="F10" i="1" s="1"/>
  <c r="C9" i="1"/>
  <c r="D9" i="1"/>
  <c r="J15" i="12" l="1"/>
  <c r="N7" i="1"/>
  <c r="I8" i="1"/>
  <c r="K8" i="1"/>
  <c r="G8" i="1"/>
  <c r="M8" i="1"/>
  <c r="J8" i="1"/>
  <c r="L8" i="1"/>
  <c r="H8" i="1"/>
  <c r="K4" i="12"/>
  <c r="K5" i="12"/>
  <c r="C10" i="1"/>
  <c r="B10" i="1"/>
  <c r="A11" i="1"/>
  <c r="F11" i="1" s="1"/>
  <c r="D10" i="1"/>
  <c r="E9" i="1"/>
  <c r="K15" i="12" l="1"/>
  <c r="N8" i="1"/>
  <c r="I9" i="1"/>
  <c r="M9" i="1"/>
  <c r="K9" i="1"/>
  <c r="G9" i="1"/>
  <c r="J9" i="1"/>
  <c r="L9" i="1"/>
  <c r="H9" i="1"/>
  <c r="E10" i="1"/>
  <c r="L4" i="12"/>
  <c r="L5" i="12"/>
  <c r="A12" i="1"/>
  <c r="F12" i="1" s="1"/>
  <c r="C11" i="1"/>
  <c r="D11" i="1"/>
  <c r="B11" i="1"/>
  <c r="E11" i="1" s="1"/>
  <c r="L15" i="12" l="1"/>
  <c r="N9" i="1"/>
  <c r="M11" i="1"/>
  <c r="I11" i="1"/>
  <c r="K11" i="1"/>
  <c r="G11" i="1"/>
  <c r="H11" i="1"/>
  <c r="L11" i="1"/>
  <c r="J11" i="1"/>
  <c r="M10" i="1"/>
  <c r="I10" i="1"/>
  <c r="K10" i="1"/>
  <c r="G10" i="1"/>
  <c r="L10" i="1"/>
  <c r="J10" i="1"/>
  <c r="H10" i="1"/>
  <c r="M4" i="12"/>
  <c r="M5" i="12"/>
  <c r="D12" i="1"/>
  <c r="A13" i="1"/>
  <c r="F13" i="1" s="1"/>
  <c r="C12" i="1"/>
  <c r="B12" i="1"/>
  <c r="M15" i="12" l="1"/>
  <c r="N11" i="1"/>
  <c r="N10" i="1"/>
  <c r="E12" i="1"/>
  <c r="N5" i="12"/>
  <c r="N4" i="12"/>
  <c r="N15" i="12" s="1"/>
  <c r="C13" i="1"/>
  <c r="D13" i="1"/>
  <c r="A14" i="1"/>
  <c r="F14" i="1" s="1"/>
  <c r="B13" i="1"/>
  <c r="M12" i="1" l="1"/>
  <c r="I12" i="1"/>
  <c r="K12" i="1"/>
  <c r="H12" i="1"/>
  <c r="J12" i="1"/>
  <c r="G12" i="1"/>
  <c r="L12" i="1"/>
  <c r="E13" i="1"/>
  <c r="O5" i="12"/>
  <c r="O4" i="12"/>
  <c r="O15" i="12" s="1"/>
  <c r="D14" i="1"/>
  <c r="A15" i="1"/>
  <c r="F15" i="1" s="1"/>
  <c r="C14" i="1"/>
  <c r="B14" i="1"/>
  <c r="N12" i="1" l="1"/>
  <c r="M13" i="1"/>
  <c r="I13" i="1"/>
  <c r="J13" i="1"/>
  <c r="K13" i="1"/>
  <c r="G13" i="1"/>
  <c r="L13" i="1"/>
  <c r="H13" i="1"/>
  <c r="E14" i="1"/>
  <c r="P4" i="12"/>
  <c r="P5" i="12"/>
  <c r="A16" i="1"/>
  <c r="F16" i="1" s="1"/>
  <c r="C15" i="1"/>
  <c r="D15" i="1"/>
  <c r="B15" i="1"/>
  <c r="P15" i="12" l="1"/>
  <c r="N13" i="1"/>
  <c r="M14" i="1"/>
  <c r="I14" i="1"/>
  <c r="K14" i="1"/>
  <c r="G14" i="1"/>
  <c r="J14" i="1"/>
  <c r="H14" i="1"/>
  <c r="L14" i="1"/>
  <c r="E15" i="1"/>
  <c r="Q4" i="12"/>
  <c r="Q5" i="12"/>
  <c r="A17" i="1"/>
  <c r="F17" i="1" s="1"/>
  <c r="C16" i="1"/>
  <c r="D16" i="1"/>
  <c r="B16" i="1"/>
  <c r="Q15" i="12" l="1"/>
  <c r="N14" i="1"/>
  <c r="M15" i="1"/>
  <c r="I15" i="1"/>
  <c r="K15" i="1"/>
  <c r="G15" i="1"/>
  <c r="L15" i="1"/>
  <c r="J15" i="1"/>
  <c r="H15" i="1"/>
  <c r="E16" i="1"/>
  <c r="A18" i="1"/>
  <c r="F18" i="1" s="1"/>
  <c r="B17" i="1"/>
  <c r="C17" i="1"/>
  <c r="D17" i="1"/>
  <c r="N15" i="1" l="1"/>
  <c r="M16" i="1"/>
  <c r="I16" i="1"/>
  <c r="K16" i="1"/>
  <c r="G16" i="1"/>
  <c r="H16" i="1"/>
  <c r="J16" i="1"/>
  <c r="L16" i="1"/>
  <c r="E17" i="1"/>
  <c r="A19" i="1"/>
  <c r="F19" i="1" s="1"/>
  <c r="C18" i="1"/>
  <c r="D18" i="1"/>
  <c r="B18" i="1"/>
  <c r="E18" i="1" l="1"/>
  <c r="N16" i="1"/>
  <c r="M18" i="1"/>
  <c r="K18" i="1"/>
  <c r="I18" i="1"/>
  <c r="G18" i="1"/>
  <c r="J18" i="1"/>
  <c r="L18" i="1"/>
  <c r="H18" i="1"/>
  <c r="M17" i="1"/>
  <c r="I17" i="1"/>
  <c r="K17" i="1"/>
  <c r="G17" i="1"/>
  <c r="L17" i="1"/>
  <c r="H17" i="1"/>
  <c r="J17" i="1"/>
  <c r="C19" i="1"/>
  <c r="D19" i="1"/>
  <c r="A20" i="1"/>
  <c r="F20" i="1" s="1"/>
  <c r="B19" i="1"/>
  <c r="N18" i="1" l="1"/>
  <c r="N17" i="1"/>
  <c r="E19" i="1"/>
  <c r="A21" i="1"/>
  <c r="F21" i="1" s="1"/>
  <c r="B20" i="1"/>
  <c r="C20" i="1"/>
  <c r="D20" i="1"/>
  <c r="M19" i="1" l="1"/>
  <c r="K19" i="1"/>
  <c r="I19" i="1"/>
  <c r="G19" i="1"/>
  <c r="J19" i="1"/>
  <c r="L19" i="1"/>
  <c r="H19" i="1"/>
  <c r="E20" i="1"/>
  <c r="A22" i="1"/>
  <c r="F22" i="1" s="1"/>
  <c r="D21" i="1"/>
  <c r="C21" i="1"/>
  <c r="B21" i="1"/>
  <c r="N19" i="1" l="1"/>
  <c r="M20" i="1"/>
  <c r="I20" i="1"/>
  <c r="K20" i="1"/>
  <c r="J20" i="1"/>
  <c r="G20" i="1"/>
  <c r="L20" i="1"/>
  <c r="H20" i="1"/>
  <c r="E21" i="1"/>
  <c r="A23" i="1"/>
  <c r="F23" i="1" s="1"/>
  <c r="C22" i="1"/>
  <c r="D22" i="1"/>
  <c r="B22" i="1"/>
  <c r="N20" i="1" l="1"/>
  <c r="I21" i="1"/>
  <c r="M21" i="1"/>
  <c r="K21" i="1"/>
  <c r="J21" i="1"/>
  <c r="G21" i="1"/>
  <c r="L21" i="1"/>
  <c r="H21" i="1"/>
  <c r="E22" i="1"/>
  <c r="A24" i="1"/>
  <c r="F24" i="1" s="1"/>
  <c r="D23" i="1"/>
  <c r="C23" i="1"/>
  <c r="B23" i="1"/>
  <c r="N21" i="1" l="1"/>
  <c r="I22" i="1"/>
  <c r="M22" i="1"/>
  <c r="K22" i="1"/>
  <c r="J22" i="1"/>
  <c r="G22" i="1"/>
  <c r="L22" i="1"/>
  <c r="H22" i="1"/>
  <c r="E23" i="1"/>
  <c r="A25" i="1"/>
  <c r="F25" i="1" s="1"/>
  <c r="D24" i="1"/>
  <c r="C24" i="1"/>
  <c r="B24" i="1"/>
  <c r="N22" i="1" l="1"/>
  <c r="M23" i="1"/>
  <c r="I23" i="1"/>
  <c r="K23" i="1"/>
  <c r="G23" i="1"/>
  <c r="J23" i="1"/>
  <c r="L23" i="1"/>
  <c r="H23" i="1"/>
  <c r="E24" i="1"/>
  <c r="B25" i="1"/>
  <c r="C25" i="1"/>
  <c r="D25" i="1"/>
  <c r="A26" i="1"/>
  <c r="F26" i="1" s="1"/>
  <c r="N23" i="1" l="1"/>
  <c r="M24" i="1"/>
  <c r="I24" i="1"/>
  <c r="K24" i="1"/>
  <c r="G24" i="1"/>
  <c r="L24" i="1"/>
  <c r="J24" i="1"/>
  <c r="H24" i="1"/>
  <c r="A27" i="1"/>
  <c r="F27" i="1" s="1"/>
  <c r="C26" i="1"/>
  <c r="D26" i="1"/>
  <c r="B26" i="1"/>
  <c r="E26" i="1" s="1"/>
  <c r="E25" i="1"/>
  <c r="N24" i="1" l="1"/>
  <c r="M25" i="1"/>
  <c r="I25" i="1"/>
  <c r="K25" i="1"/>
  <c r="J25" i="1"/>
  <c r="G25" i="1"/>
  <c r="L25" i="1"/>
  <c r="H25" i="1"/>
  <c r="M26" i="1"/>
  <c r="I26" i="1"/>
  <c r="K26" i="1"/>
  <c r="G26" i="1"/>
  <c r="L26" i="1"/>
  <c r="J26" i="1"/>
  <c r="H26" i="1"/>
  <c r="A28" i="1"/>
  <c r="F28" i="1" s="1"/>
  <c r="C27" i="1"/>
  <c r="D27" i="1"/>
  <c r="B27" i="1"/>
  <c r="N25" i="1" l="1"/>
  <c r="E27" i="1"/>
  <c r="N26" i="1"/>
  <c r="A29" i="1"/>
  <c r="F29" i="1" s="1"/>
  <c r="D28" i="1"/>
  <c r="B28" i="1"/>
  <c r="C28" i="1"/>
  <c r="I27" i="1" l="1"/>
  <c r="M27" i="1"/>
  <c r="G27" i="1"/>
  <c r="J27" i="1"/>
  <c r="K27" i="1"/>
  <c r="L27" i="1"/>
  <c r="H27" i="1"/>
  <c r="E28" i="1"/>
  <c r="A30" i="1"/>
  <c r="F30" i="1" s="1"/>
  <c r="C29" i="1"/>
  <c r="D29" i="1"/>
  <c r="B29" i="1"/>
  <c r="E29" i="1" s="1"/>
  <c r="N27" i="1" l="1"/>
  <c r="M29" i="1"/>
  <c r="I29" i="1"/>
  <c r="K29" i="1"/>
  <c r="J29" i="1"/>
  <c r="G29" i="1"/>
  <c r="L29" i="1"/>
  <c r="H29" i="1"/>
  <c r="M28" i="1"/>
  <c r="I28" i="1"/>
  <c r="K28" i="1"/>
  <c r="G28" i="1"/>
  <c r="H28" i="1"/>
  <c r="J28" i="1"/>
  <c r="L28" i="1"/>
  <c r="A31" i="1"/>
  <c r="F31" i="1" s="1"/>
  <c r="D30" i="1"/>
  <c r="C30" i="1"/>
  <c r="B30" i="1"/>
  <c r="N28" i="1" l="1"/>
  <c r="N29" i="1"/>
  <c r="E30" i="1"/>
  <c r="C31" i="1"/>
  <c r="D31" i="1"/>
  <c r="A32" i="1"/>
  <c r="F32" i="1" s="1"/>
  <c r="B31" i="1"/>
  <c r="E31" i="1" s="1"/>
  <c r="M30" i="1" l="1"/>
  <c r="K30" i="1"/>
  <c r="I30" i="1"/>
  <c r="G30" i="1"/>
  <c r="J30" i="1"/>
  <c r="L30" i="1"/>
  <c r="H30" i="1"/>
  <c r="M31" i="1"/>
  <c r="I31" i="1"/>
  <c r="K31" i="1"/>
  <c r="J31" i="1"/>
  <c r="H31" i="1"/>
  <c r="G31" i="1"/>
  <c r="L31" i="1"/>
  <c r="A33" i="1"/>
  <c r="F33" i="1" s="1"/>
  <c r="B32" i="1"/>
  <c r="C32" i="1"/>
  <c r="D32" i="1"/>
  <c r="N30" i="1" l="1"/>
  <c r="N31" i="1"/>
  <c r="E32" i="1"/>
  <c r="A34" i="1"/>
  <c r="F34" i="1" s="1"/>
  <c r="D33" i="1"/>
  <c r="B33" i="1"/>
  <c r="C33" i="1"/>
  <c r="M32" i="1" l="1"/>
  <c r="I32" i="1"/>
  <c r="J32" i="1"/>
  <c r="G32" i="1"/>
  <c r="K32" i="1"/>
  <c r="L32" i="1"/>
  <c r="H32" i="1"/>
  <c r="E33" i="1"/>
  <c r="D34" i="1"/>
  <c r="C34" i="1"/>
  <c r="A35" i="1"/>
  <c r="F35" i="1" s="1"/>
  <c r="B34" i="1"/>
  <c r="I33" i="1" l="1"/>
  <c r="M33" i="1"/>
  <c r="H33" i="1"/>
  <c r="K33" i="1"/>
  <c r="G33" i="1"/>
  <c r="J33" i="1"/>
  <c r="L33" i="1"/>
  <c r="E34" i="1"/>
  <c r="N32" i="1"/>
  <c r="D35" i="1"/>
  <c r="C35" i="1"/>
  <c r="A36" i="1"/>
  <c r="F36" i="1" s="1"/>
  <c r="B35" i="1"/>
  <c r="N33" i="1" l="1"/>
  <c r="M34" i="1"/>
  <c r="I34" i="1"/>
  <c r="K34" i="1"/>
  <c r="J34" i="1"/>
  <c r="G34" i="1"/>
  <c r="H34" i="1"/>
  <c r="L34" i="1"/>
  <c r="E35" i="1"/>
  <c r="C36" i="1"/>
  <c r="D36" i="1"/>
  <c r="A37" i="1"/>
  <c r="F37" i="1" s="1"/>
  <c r="B36" i="1"/>
  <c r="E36" i="1" l="1"/>
  <c r="H35" i="1"/>
  <c r="M35" i="1"/>
  <c r="I35" i="1"/>
  <c r="K35" i="1"/>
  <c r="G35" i="1"/>
  <c r="J35" i="1"/>
  <c r="L35" i="1"/>
  <c r="N34" i="1"/>
  <c r="C37" i="1"/>
  <c r="D37" i="1"/>
  <c r="A38" i="1"/>
  <c r="F38" i="1" s="1"/>
  <c r="B37" i="1"/>
  <c r="E37" i="1" l="1"/>
  <c r="N35" i="1"/>
  <c r="H36" i="1"/>
  <c r="M36" i="1"/>
  <c r="I36" i="1"/>
  <c r="K36" i="1"/>
  <c r="J36" i="1"/>
  <c r="G36" i="1"/>
  <c r="L36" i="1"/>
  <c r="M37" i="1"/>
  <c r="H37" i="1"/>
  <c r="I37" i="1"/>
  <c r="K37" i="1"/>
  <c r="G37" i="1"/>
  <c r="L37" i="1"/>
  <c r="J37" i="1"/>
  <c r="D38" i="1"/>
  <c r="A39" i="1"/>
  <c r="F39" i="1" s="1"/>
  <c r="C38" i="1"/>
  <c r="B38" i="1"/>
  <c r="N37" i="1" l="1"/>
  <c r="N36" i="1"/>
  <c r="E38" i="1"/>
  <c r="A40" i="1"/>
  <c r="F40" i="1" s="1"/>
  <c r="C39" i="1"/>
  <c r="D39" i="1"/>
  <c r="B39" i="1"/>
  <c r="E39" i="1" l="1"/>
  <c r="M38" i="1"/>
  <c r="H38" i="1"/>
  <c r="I38" i="1"/>
  <c r="K38" i="1"/>
  <c r="G38" i="1"/>
  <c r="L38" i="1"/>
  <c r="J38" i="1"/>
  <c r="A41" i="1"/>
  <c r="F41" i="1" s="1"/>
  <c r="B40" i="1"/>
  <c r="C40" i="1"/>
  <c r="D40" i="1"/>
  <c r="N38" i="1" l="1"/>
  <c r="I39" i="1"/>
  <c r="M39" i="1"/>
  <c r="H39" i="1"/>
  <c r="K39" i="1"/>
  <c r="J39" i="1"/>
  <c r="L39" i="1"/>
  <c r="G39" i="1"/>
  <c r="E40" i="1"/>
  <c r="D41" i="1"/>
  <c r="A42" i="1"/>
  <c r="F42" i="1" s="1"/>
  <c r="B41" i="1"/>
  <c r="C41" i="1"/>
  <c r="N39" i="1" l="1"/>
  <c r="H40" i="1"/>
  <c r="M40" i="1"/>
  <c r="K40" i="1"/>
  <c r="I40" i="1"/>
  <c r="G40" i="1"/>
  <c r="J40" i="1"/>
  <c r="L40" i="1"/>
  <c r="E41" i="1"/>
  <c r="A43" i="1"/>
  <c r="F43" i="1" s="1"/>
  <c r="D42" i="1"/>
  <c r="C42" i="1"/>
  <c r="B42" i="1"/>
  <c r="E42" i="1" l="1"/>
  <c r="N40" i="1"/>
  <c r="M42" i="1"/>
  <c r="H42" i="1"/>
  <c r="K42" i="1"/>
  <c r="I42" i="1"/>
  <c r="J42" i="1"/>
  <c r="G42" i="1"/>
  <c r="L42" i="1"/>
  <c r="I41" i="1"/>
  <c r="H41" i="1"/>
  <c r="M41" i="1"/>
  <c r="J41" i="1"/>
  <c r="G41" i="1"/>
  <c r="K41" i="1"/>
  <c r="L41" i="1"/>
  <c r="C43" i="1"/>
  <c r="A44" i="1"/>
  <c r="F44" i="1" s="1"/>
  <c r="D43" i="1"/>
  <c r="B43" i="1"/>
  <c r="E43" i="1" s="1"/>
  <c r="N42" i="1" l="1"/>
  <c r="H43" i="1"/>
  <c r="M43" i="1"/>
  <c r="K43" i="1"/>
  <c r="I43" i="1"/>
  <c r="G43" i="1"/>
  <c r="J43" i="1"/>
  <c r="L43" i="1"/>
  <c r="N41" i="1"/>
  <c r="A45" i="1"/>
  <c r="F45" i="1" s="1"/>
  <c r="D44" i="1"/>
  <c r="B44" i="1"/>
  <c r="C44" i="1"/>
  <c r="N43" i="1" l="1"/>
  <c r="E44" i="1"/>
  <c r="A46" i="1"/>
  <c r="F46" i="1" s="1"/>
  <c r="C45" i="1"/>
  <c r="D45" i="1"/>
  <c r="B45" i="1"/>
  <c r="E45" i="1" s="1"/>
  <c r="M44" i="1" l="1"/>
  <c r="I44" i="1"/>
  <c r="H44" i="1"/>
  <c r="K44" i="1"/>
  <c r="J44" i="1"/>
  <c r="G44" i="1"/>
  <c r="L44" i="1"/>
  <c r="H45" i="1"/>
  <c r="M45" i="1"/>
  <c r="K45" i="1"/>
  <c r="I45" i="1"/>
  <c r="G45" i="1"/>
  <c r="J45" i="1"/>
  <c r="L45" i="1"/>
  <c r="A47" i="1"/>
  <c r="F47" i="1" s="1"/>
  <c r="C46" i="1"/>
  <c r="D46" i="1"/>
  <c r="B46" i="1"/>
  <c r="N44" i="1" l="1"/>
  <c r="N45" i="1"/>
  <c r="E46" i="1"/>
  <c r="A48" i="1"/>
  <c r="F48" i="1" s="1"/>
  <c r="C47" i="1"/>
  <c r="D47" i="1"/>
  <c r="B47" i="1"/>
  <c r="E47" i="1" l="1"/>
  <c r="H46" i="1"/>
  <c r="I46" i="1"/>
  <c r="M46" i="1"/>
  <c r="J46" i="1"/>
  <c r="K46" i="1"/>
  <c r="G46" i="1"/>
  <c r="L46" i="1"/>
  <c r="A49" i="1"/>
  <c r="F49" i="1" s="1"/>
  <c r="D48" i="1"/>
  <c r="B48" i="1"/>
  <c r="C48" i="1"/>
  <c r="N46" i="1" l="1"/>
  <c r="M47" i="1"/>
  <c r="H47" i="1"/>
  <c r="I47" i="1"/>
  <c r="K47" i="1"/>
  <c r="G47" i="1"/>
  <c r="J47" i="1"/>
  <c r="L47" i="1"/>
  <c r="E48" i="1"/>
  <c r="C49" i="1"/>
  <c r="A50" i="1"/>
  <c r="F50" i="1" s="1"/>
  <c r="B49" i="1"/>
  <c r="E49" i="1" s="1"/>
  <c r="D49" i="1"/>
  <c r="N47" i="1" l="1"/>
  <c r="M49" i="1"/>
  <c r="I49" i="1"/>
  <c r="H49" i="1"/>
  <c r="K49" i="1"/>
  <c r="G49" i="1"/>
  <c r="L49" i="1"/>
  <c r="J49" i="1"/>
  <c r="H48" i="1"/>
  <c r="M48" i="1"/>
  <c r="I48" i="1"/>
  <c r="K48" i="1"/>
  <c r="J48" i="1"/>
  <c r="G48" i="1"/>
  <c r="L48" i="1"/>
  <c r="A51" i="1"/>
  <c r="F51" i="1" s="1"/>
  <c r="C50" i="1"/>
  <c r="D50" i="1"/>
  <c r="B50" i="1"/>
  <c r="E50" i="1" s="1"/>
  <c r="N48" i="1" l="1"/>
  <c r="N49" i="1"/>
  <c r="M50" i="1"/>
  <c r="H50" i="1"/>
  <c r="I50" i="1"/>
  <c r="K50" i="1"/>
  <c r="G50" i="1"/>
  <c r="L50" i="1"/>
  <c r="J50" i="1"/>
  <c r="A52" i="1"/>
  <c r="F52" i="1" s="1"/>
  <c r="D51" i="1"/>
  <c r="B51" i="1"/>
  <c r="C51" i="1"/>
  <c r="N50" i="1" l="1"/>
  <c r="E51" i="1"/>
  <c r="A53" i="1"/>
  <c r="F53" i="1" s="1"/>
  <c r="D52" i="1"/>
  <c r="B52" i="1"/>
  <c r="C52" i="1"/>
  <c r="I51" i="1" l="1"/>
  <c r="M51" i="1"/>
  <c r="H51" i="1"/>
  <c r="K51" i="1"/>
  <c r="G51" i="1"/>
  <c r="J51" i="1"/>
  <c r="L51" i="1"/>
  <c r="E52" i="1"/>
  <c r="A54" i="1"/>
  <c r="F54" i="1" s="1"/>
  <c r="B53" i="1"/>
  <c r="C53" i="1"/>
  <c r="D53" i="1"/>
  <c r="N51" i="1" l="1"/>
  <c r="H52" i="1"/>
  <c r="I52" i="1"/>
  <c r="M52" i="1"/>
  <c r="K52" i="1"/>
  <c r="G52" i="1"/>
  <c r="J52" i="1"/>
  <c r="L52" i="1"/>
  <c r="A55" i="1"/>
  <c r="F55" i="1" s="1"/>
  <c r="D54" i="1"/>
  <c r="B54" i="1"/>
  <c r="C54" i="1"/>
  <c r="E53" i="1"/>
  <c r="N52" i="1" l="1"/>
  <c r="M53" i="1"/>
  <c r="I53" i="1"/>
  <c r="H53" i="1"/>
  <c r="K53" i="1"/>
  <c r="J53" i="1"/>
  <c r="G53" i="1"/>
  <c r="L53" i="1"/>
  <c r="E54" i="1"/>
  <c r="A56" i="1"/>
  <c r="F56" i="1" s="1"/>
  <c r="D55" i="1"/>
  <c r="C55" i="1"/>
  <c r="B55" i="1"/>
  <c r="N53" i="1" l="1"/>
  <c r="E55" i="1"/>
  <c r="M54" i="1"/>
  <c r="I54" i="1"/>
  <c r="H54" i="1"/>
  <c r="K54" i="1"/>
  <c r="G54" i="1"/>
  <c r="J54" i="1"/>
  <c r="L54" i="1"/>
  <c r="A57" i="1"/>
  <c r="F57" i="1" s="1"/>
  <c r="D56" i="1"/>
  <c r="B56" i="1"/>
  <c r="C56" i="1"/>
  <c r="N54" i="1" l="1"/>
  <c r="M55" i="1"/>
  <c r="I55" i="1"/>
  <c r="H55" i="1"/>
  <c r="K55" i="1"/>
  <c r="J55" i="1"/>
  <c r="G55" i="1"/>
  <c r="L55" i="1"/>
  <c r="E56" i="1"/>
  <c r="A58" i="1"/>
  <c r="F58" i="1" s="1"/>
  <c r="D57" i="1"/>
  <c r="C57" i="1"/>
  <c r="B57" i="1"/>
  <c r="N55" i="1" l="1"/>
  <c r="M56" i="1"/>
  <c r="I56" i="1"/>
  <c r="H56" i="1"/>
  <c r="K56" i="1"/>
  <c r="G56" i="1"/>
  <c r="J56" i="1"/>
  <c r="L56" i="1"/>
  <c r="E57" i="1"/>
  <c r="A59" i="1"/>
  <c r="F59" i="1" s="1"/>
  <c r="C58" i="1"/>
  <c r="D58" i="1"/>
  <c r="B58" i="1"/>
  <c r="N56" i="1" l="1"/>
  <c r="H57" i="1"/>
  <c r="M57" i="1"/>
  <c r="K57" i="1"/>
  <c r="I57" i="1"/>
  <c r="G57" i="1"/>
  <c r="J57" i="1"/>
  <c r="L57" i="1"/>
  <c r="E58" i="1"/>
  <c r="D59" i="1"/>
  <c r="A60" i="1"/>
  <c r="F60" i="1" s="1"/>
  <c r="C59" i="1"/>
  <c r="B59" i="1"/>
  <c r="N57" i="1" l="1"/>
  <c r="H58" i="1"/>
  <c r="I58" i="1"/>
  <c r="M58" i="1"/>
  <c r="K58" i="1"/>
  <c r="G58" i="1"/>
  <c r="J58" i="1"/>
  <c r="L58" i="1"/>
  <c r="E59" i="1"/>
  <c r="A61" i="1"/>
  <c r="F61" i="1" s="1"/>
  <c r="C60" i="1"/>
  <c r="D60" i="1"/>
  <c r="B60" i="1"/>
  <c r="E60" i="1" l="1"/>
  <c r="N58" i="1"/>
  <c r="M59" i="1"/>
  <c r="H59" i="1"/>
  <c r="I59" i="1"/>
  <c r="K59" i="1"/>
  <c r="G59" i="1"/>
  <c r="J59" i="1"/>
  <c r="L59" i="1"/>
  <c r="I60" i="1"/>
  <c r="H60" i="1"/>
  <c r="M60" i="1"/>
  <c r="J60" i="1"/>
  <c r="G60" i="1"/>
  <c r="K60" i="1"/>
  <c r="L60" i="1"/>
  <c r="D61" i="1"/>
  <c r="A62" i="1"/>
  <c r="F62" i="1" s="1"/>
  <c r="C61" i="1"/>
  <c r="B61" i="1"/>
  <c r="E61" i="1" s="1"/>
  <c r="N60" i="1" l="1"/>
  <c r="N59" i="1"/>
  <c r="M61" i="1"/>
  <c r="I61" i="1"/>
  <c r="H61" i="1"/>
  <c r="K61" i="1"/>
  <c r="J61" i="1"/>
  <c r="G61" i="1"/>
  <c r="L61" i="1"/>
  <c r="C62" i="1"/>
  <c r="D62" i="1"/>
  <c r="A63" i="1"/>
  <c r="F63" i="1" s="1"/>
  <c r="B62" i="1"/>
  <c r="E62" i="1" l="1"/>
  <c r="N61" i="1"/>
  <c r="H62" i="1"/>
  <c r="M62" i="1"/>
  <c r="K62" i="1"/>
  <c r="I62" i="1"/>
  <c r="G62" i="1"/>
  <c r="L62" i="1"/>
  <c r="J62" i="1"/>
  <c r="A64" i="1"/>
  <c r="F64" i="1" s="1"/>
  <c r="D63" i="1"/>
  <c r="C63" i="1"/>
  <c r="B63" i="1"/>
  <c r="N62" i="1" l="1"/>
  <c r="E63" i="1"/>
  <c r="A65" i="1"/>
  <c r="F65" i="1" s="1"/>
  <c r="D64" i="1"/>
  <c r="B64" i="1"/>
  <c r="C64" i="1"/>
  <c r="I63" i="1" l="1"/>
  <c r="M63" i="1"/>
  <c r="H63" i="1"/>
  <c r="K63" i="1"/>
  <c r="G63" i="1"/>
  <c r="L63" i="1"/>
  <c r="J63" i="1"/>
  <c r="E64" i="1"/>
  <c r="A66" i="1"/>
  <c r="F66" i="1" s="1"/>
  <c r="C65" i="1"/>
  <c r="B65" i="1"/>
  <c r="E65" i="1" s="1"/>
  <c r="D65" i="1"/>
  <c r="N63" i="1" l="1"/>
  <c r="H65" i="1"/>
  <c r="M65" i="1"/>
  <c r="I65" i="1"/>
  <c r="G65" i="1"/>
  <c r="K65" i="1"/>
  <c r="J65" i="1"/>
  <c r="L65" i="1"/>
  <c r="H64" i="1"/>
  <c r="M64" i="1"/>
  <c r="I64" i="1"/>
  <c r="K64" i="1"/>
  <c r="J64" i="1"/>
  <c r="G64" i="1"/>
  <c r="L64" i="1"/>
  <c r="D66" i="1"/>
  <c r="A67" i="1"/>
  <c r="F67" i="1" s="1"/>
  <c r="C66" i="1"/>
  <c r="B66" i="1"/>
  <c r="E66" i="1" s="1"/>
  <c r="N65" i="1" l="1"/>
  <c r="N64" i="1"/>
  <c r="H66" i="1"/>
  <c r="M66" i="1"/>
  <c r="K66" i="1"/>
  <c r="I66" i="1"/>
  <c r="G66" i="1"/>
  <c r="J66" i="1"/>
  <c r="L66" i="1"/>
  <c r="A68" i="1"/>
  <c r="F68" i="1" s="1"/>
  <c r="D67" i="1"/>
  <c r="C67" i="1"/>
  <c r="B67" i="1"/>
  <c r="N66" i="1" l="1"/>
  <c r="E67" i="1"/>
  <c r="A69" i="1"/>
  <c r="F69" i="1" s="1"/>
  <c r="D68" i="1"/>
  <c r="B68" i="1"/>
  <c r="C68" i="1"/>
  <c r="M67" i="1" l="1"/>
  <c r="I67" i="1"/>
  <c r="H67" i="1"/>
  <c r="K67" i="1"/>
  <c r="J67" i="1"/>
  <c r="G67" i="1"/>
  <c r="L67" i="1"/>
  <c r="E68" i="1"/>
  <c r="A70" i="1"/>
  <c r="F70" i="1" s="1"/>
  <c r="D69" i="1"/>
  <c r="C69" i="1"/>
  <c r="B69" i="1"/>
  <c r="N67" i="1" l="1"/>
  <c r="M68" i="1"/>
  <c r="H68" i="1"/>
  <c r="K68" i="1"/>
  <c r="I68" i="1"/>
  <c r="G68" i="1"/>
  <c r="J68" i="1"/>
  <c r="L68" i="1"/>
  <c r="E69" i="1"/>
  <c r="A71" i="1"/>
  <c r="F71" i="1" s="1"/>
  <c r="C70" i="1"/>
  <c r="D70" i="1"/>
  <c r="B70" i="1"/>
  <c r="N68" i="1" l="1"/>
  <c r="M69" i="1"/>
  <c r="I69" i="1"/>
  <c r="H69" i="1"/>
  <c r="K69" i="1"/>
  <c r="G69" i="1"/>
  <c r="L69" i="1"/>
  <c r="J69" i="1"/>
  <c r="E70" i="1"/>
  <c r="B71" i="1"/>
  <c r="A72" i="1"/>
  <c r="F72" i="1" s="1"/>
  <c r="C71" i="1"/>
  <c r="D71" i="1"/>
  <c r="N69" i="1" l="1"/>
  <c r="I70" i="1"/>
  <c r="M70" i="1"/>
  <c r="H70" i="1"/>
  <c r="K70" i="1"/>
  <c r="G70" i="1"/>
  <c r="J70" i="1"/>
  <c r="L70" i="1"/>
  <c r="A73" i="1"/>
  <c r="F73" i="1" s="1"/>
  <c r="D72" i="1"/>
  <c r="B72" i="1"/>
  <c r="C72" i="1"/>
  <c r="E71" i="1"/>
  <c r="N70" i="1" l="1"/>
  <c r="M71" i="1"/>
  <c r="H71" i="1"/>
  <c r="I71" i="1"/>
  <c r="K71" i="1"/>
  <c r="G71" i="1"/>
  <c r="J71" i="1"/>
  <c r="L71" i="1"/>
  <c r="E72" i="1"/>
  <c r="B73" i="1"/>
  <c r="D73" i="1"/>
  <c r="A74" i="1"/>
  <c r="F74" i="1" s="1"/>
  <c r="C73" i="1"/>
  <c r="N71" i="1" l="1"/>
  <c r="I72" i="1"/>
  <c r="H72" i="1"/>
  <c r="M72" i="1"/>
  <c r="K72" i="1"/>
  <c r="G72" i="1"/>
  <c r="L72" i="1"/>
  <c r="J72" i="1"/>
  <c r="C74" i="1"/>
  <c r="D74" i="1"/>
  <c r="A75" i="1"/>
  <c r="F75" i="1" s="1"/>
  <c r="B74" i="1"/>
  <c r="E74" i="1" s="1"/>
  <c r="E73" i="1"/>
  <c r="N72" i="1" l="1"/>
  <c r="I74" i="1"/>
  <c r="H74" i="1"/>
  <c r="M74" i="1"/>
  <c r="K74" i="1"/>
  <c r="J74" i="1"/>
  <c r="L74" i="1"/>
  <c r="G74" i="1"/>
  <c r="M73" i="1"/>
  <c r="I73" i="1"/>
  <c r="H73" i="1"/>
  <c r="K73" i="1"/>
  <c r="G73" i="1"/>
  <c r="L73" i="1"/>
  <c r="J73" i="1"/>
  <c r="A76" i="1"/>
  <c r="F76" i="1" s="1"/>
  <c r="D75" i="1"/>
  <c r="C75" i="1"/>
  <c r="B75" i="1"/>
  <c r="E75" i="1" s="1"/>
  <c r="N73" i="1" l="1"/>
  <c r="N74" i="1"/>
  <c r="M75" i="1"/>
  <c r="H75" i="1"/>
  <c r="K75" i="1"/>
  <c r="I75" i="1"/>
  <c r="G75" i="1"/>
  <c r="L75" i="1"/>
  <c r="J75" i="1"/>
  <c r="A77" i="1"/>
  <c r="F77" i="1" s="1"/>
  <c r="B76" i="1"/>
  <c r="D76" i="1"/>
  <c r="C76" i="1"/>
  <c r="N75" i="1" l="1"/>
  <c r="E76" i="1"/>
  <c r="C77" i="1"/>
  <c r="B77" i="1"/>
  <c r="A78" i="1"/>
  <c r="F78" i="1" s="1"/>
  <c r="D77" i="1"/>
  <c r="E77" i="1" l="1"/>
  <c r="H76" i="1"/>
  <c r="M76" i="1"/>
  <c r="I76" i="1"/>
  <c r="K76" i="1"/>
  <c r="J76" i="1"/>
  <c r="L76" i="1"/>
  <c r="G76" i="1"/>
  <c r="A79" i="1"/>
  <c r="F79" i="1" s="1"/>
  <c r="C78" i="1"/>
  <c r="D78" i="1"/>
  <c r="B78" i="1"/>
  <c r="N76" i="1" l="1"/>
  <c r="E78" i="1"/>
  <c r="H77" i="1"/>
  <c r="M77" i="1"/>
  <c r="I77" i="1"/>
  <c r="K77" i="1"/>
  <c r="G77" i="1"/>
  <c r="J77" i="1"/>
  <c r="L77" i="1"/>
  <c r="C79" i="1"/>
  <c r="A80" i="1"/>
  <c r="F80" i="1" s="1"/>
  <c r="B79" i="1"/>
  <c r="E79" i="1" s="1"/>
  <c r="D79" i="1"/>
  <c r="N77" i="1" l="1"/>
  <c r="M79" i="1"/>
  <c r="H79" i="1"/>
  <c r="G79" i="1"/>
  <c r="J79" i="1"/>
  <c r="I79" i="1"/>
  <c r="K79" i="1"/>
  <c r="L79" i="1"/>
  <c r="H78" i="1"/>
  <c r="M78" i="1"/>
  <c r="I78" i="1"/>
  <c r="K78" i="1"/>
  <c r="G78" i="1"/>
  <c r="J78" i="1"/>
  <c r="L78" i="1"/>
  <c r="A81" i="1"/>
  <c r="F81" i="1" s="1"/>
  <c r="D80" i="1"/>
  <c r="C80" i="1"/>
  <c r="B80" i="1"/>
  <c r="N78" i="1" l="1"/>
  <c r="N79" i="1"/>
  <c r="E80" i="1"/>
  <c r="A82" i="1"/>
  <c r="F82" i="1" s="1"/>
  <c r="D81" i="1"/>
  <c r="C81" i="1"/>
  <c r="B81" i="1"/>
  <c r="E81" i="1" s="1"/>
  <c r="H81" i="1" l="1"/>
  <c r="M81" i="1"/>
  <c r="I81" i="1"/>
  <c r="K81" i="1"/>
  <c r="G81" i="1"/>
  <c r="J81" i="1"/>
  <c r="L81" i="1"/>
  <c r="M80" i="1"/>
  <c r="I80" i="1"/>
  <c r="H80" i="1"/>
  <c r="K80" i="1"/>
  <c r="J80" i="1"/>
  <c r="G80" i="1"/>
  <c r="L80" i="1"/>
  <c r="A83" i="1"/>
  <c r="F83" i="1" s="1"/>
  <c r="D82" i="1"/>
  <c r="C82" i="1"/>
  <c r="B82" i="1"/>
  <c r="E82" i="1" s="1"/>
  <c r="N81" i="1" l="1"/>
  <c r="N80" i="1"/>
  <c r="I82" i="1"/>
  <c r="M82" i="1"/>
  <c r="H82" i="1"/>
  <c r="K82" i="1"/>
  <c r="J82" i="1"/>
  <c r="G82" i="1"/>
  <c r="L82" i="1"/>
  <c r="A84" i="1"/>
  <c r="F84" i="1" s="1"/>
  <c r="C83" i="1"/>
  <c r="D83" i="1"/>
  <c r="B83" i="1"/>
  <c r="E83" i="1" l="1"/>
  <c r="N82" i="1"/>
  <c r="M83" i="1"/>
  <c r="H83" i="1"/>
  <c r="I83" i="1"/>
  <c r="K83" i="1"/>
  <c r="G83" i="1"/>
  <c r="J83" i="1"/>
  <c r="L83" i="1"/>
  <c r="A85" i="1"/>
  <c r="F85" i="1" s="1"/>
  <c r="C84" i="1"/>
  <c r="D84" i="1"/>
  <c r="B84" i="1"/>
  <c r="E84" i="1" l="1"/>
  <c r="N83" i="1"/>
  <c r="M84" i="1"/>
  <c r="H84" i="1"/>
  <c r="G84" i="1"/>
  <c r="K84" i="1"/>
  <c r="I84" i="1"/>
  <c r="L84" i="1"/>
  <c r="J84" i="1"/>
  <c r="D85" i="1"/>
  <c r="A86" i="1"/>
  <c r="F86" i="1" s="1"/>
  <c r="C85" i="1"/>
  <c r="B85" i="1"/>
  <c r="N84" i="1" l="1"/>
  <c r="E85" i="1"/>
  <c r="A87" i="1"/>
  <c r="F87" i="1" s="1"/>
  <c r="C86" i="1"/>
  <c r="D86" i="1"/>
  <c r="B86" i="1"/>
  <c r="E86" i="1" s="1"/>
  <c r="I86" i="1" l="1"/>
  <c r="H86" i="1"/>
  <c r="M86" i="1"/>
  <c r="G86" i="1"/>
  <c r="J86" i="1"/>
  <c r="K86" i="1"/>
  <c r="L86" i="1"/>
  <c r="M85" i="1"/>
  <c r="I85" i="1"/>
  <c r="H85" i="1"/>
  <c r="K85" i="1"/>
  <c r="J85" i="1"/>
  <c r="G85" i="1"/>
  <c r="L85" i="1"/>
  <c r="A88" i="1"/>
  <c r="F88" i="1" s="1"/>
  <c r="D87" i="1"/>
  <c r="C87" i="1"/>
  <c r="B87" i="1"/>
  <c r="N86" i="1" l="1"/>
  <c r="N85" i="1"/>
  <c r="E87" i="1"/>
  <c r="A89" i="1"/>
  <c r="F89" i="1" s="1"/>
  <c r="B88" i="1"/>
  <c r="C88" i="1"/>
  <c r="D88" i="1"/>
  <c r="I87" i="1" l="1"/>
  <c r="M87" i="1"/>
  <c r="H87" i="1"/>
  <c r="K87" i="1"/>
  <c r="G87" i="1"/>
  <c r="J87" i="1"/>
  <c r="L87" i="1"/>
  <c r="E88" i="1"/>
  <c r="C89" i="1"/>
  <c r="D89" i="1"/>
  <c r="B89" i="1"/>
  <c r="E89" i="1" s="1"/>
  <c r="A90" i="1"/>
  <c r="F90" i="1" s="1"/>
  <c r="N87" i="1" l="1"/>
  <c r="H89" i="1"/>
  <c r="M89" i="1"/>
  <c r="I89" i="1"/>
  <c r="K89" i="1"/>
  <c r="J89" i="1"/>
  <c r="G89" i="1"/>
  <c r="L89" i="1"/>
  <c r="H88" i="1"/>
  <c r="K88" i="1"/>
  <c r="M88" i="1"/>
  <c r="I88" i="1"/>
  <c r="G88" i="1"/>
  <c r="L88" i="1"/>
  <c r="J88" i="1"/>
  <c r="A91" i="1"/>
  <c r="F91" i="1" s="1"/>
  <c r="C90" i="1"/>
  <c r="B90" i="1"/>
  <c r="E90" i="1" s="1"/>
  <c r="D90" i="1"/>
  <c r="N89" i="1" l="1"/>
  <c r="N88" i="1"/>
  <c r="H90" i="1"/>
  <c r="M90" i="1"/>
  <c r="K90" i="1"/>
  <c r="I90" i="1"/>
  <c r="G90" i="1"/>
  <c r="J90" i="1"/>
  <c r="L90" i="1"/>
  <c r="A92" i="1"/>
  <c r="F92" i="1" s="1"/>
  <c r="D91" i="1"/>
  <c r="C91" i="1"/>
  <c r="B91" i="1"/>
  <c r="N90" i="1" l="1"/>
  <c r="E91" i="1"/>
  <c r="A93" i="1"/>
  <c r="F93" i="1" s="1"/>
  <c r="C92" i="1"/>
  <c r="D92" i="1"/>
  <c r="B92" i="1"/>
  <c r="E92" i="1" s="1"/>
  <c r="M92" i="1" l="1"/>
  <c r="I92" i="1"/>
  <c r="K92" i="1"/>
  <c r="G92" i="1"/>
  <c r="J92" i="1"/>
  <c r="H92" i="1"/>
  <c r="L92" i="1"/>
  <c r="M91" i="1"/>
  <c r="H91" i="1"/>
  <c r="I91" i="1"/>
  <c r="K91" i="1"/>
  <c r="G91" i="1"/>
  <c r="L91" i="1"/>
  <c r="J91" i="1"/>
  <c r="A94" i="1"/>
  <c r="F94" i="1" s="1"/>
  <c r="D93" i="1"/>
  <c r="C93" i="1"/>
  <c r="B93" i="1"/>
  <c r="E93" i="1" s="1"/>
  <c r="N91" i="1" l="1"/>
  <c r="N92" i="1"/>
  <c r="I93" i="1"/>
  <c r="M93" i="1"/>
  <c r="G93" i="1"/>
  <c r="H93" i="1"/>
  <c r="L93" i="1"/>
  <c r="J93" i="1"/>
  <c r="K93" i="1"/>
  <c r="A95" i="1"/>
  <c r="F95" i="1" s="1"/>
  <c r="C94" i="1"/>
  <c r="D94" i="1"/>
  <c r="B94" i="1"/>
  <c r="E94" i="1" l="1"/>
  <c r="N93" i="1"/>
  <c r="M94" i="1"/>
  <c r="K94" i="1"/>
  <c r="I94" i="1"/>
  <c r="H94" i="1"/>
  <c r="J94" i="1"/>
  <c r="G94" i="1"/>
  <c r="L94" i="1"/>
  <c r="A96" i="1"/>
  <c r="F96" i="1" s="1"/>
  <c r="C95" i="1"/>
  <c r="D95" i="1"/>
  <c r="B95" i="1"/>
  <c r="E95" i="1" l="1"/>
  <c r="N94" i="1"/>
  <c r="I95" i="1"/>
  <c r="M95" i="1"/>
  <c r="K95" i="1"/>
  <c r="H95" i="1"/>
  <c r="G95" i="1"/>
  <c r="J95" i="1"/>
  <c r="L95" i="1"/>
  <c r="A97" i="1"/>
  <c r="F97" i="1" s="1"/>
  <c r="C96" i="1"/>
  <c r="D96" i="1"/>
  <c r="B96" i="1"/>
  <c r="E96" i="1" l="1"/>
  <c r="N95" i="1"/>
  <c r="M96" i="1"/>
  <c r="K96" i="1"/>
  <c r="I96" i="1"/>
  <c r="G96" i="1"/>
  <c r="J96" i="1"/>
  <c r="H96" i="1"/>
  <c r="L96" i="1"/>
  <c r="D97" i="1"/>
  <c r="A98" i="1"/>
  <c r="F98" i="1" s="1"/>
  <c r="B97" i="1"/>
  <c r="C97" i="1"/>
  <c r="N96" i="1" l="1"/>
  <c r="E97" i="1"/>
  <c r="C98" i="1"/>
  <c r="D98" i="1"/>
  <c r="A99" i="1"/>
  <c r="F99" i="1" s="1"/>
  <c r="B98" i="1"/>
  <c r="E98" i="1" s="1"/>
  <c r="M98" i="1" l="1"/>
  <c r="I98" i="1"/>
  <c r="H98" i="1"/>
  <c r="G98" i="1"/>
  <c r="K98" i="1"/>
  <c r="J98" i="1"/>
  <c r="L98" i="1"/>
  <c r="M97" i="1"/>
  <c r="I97" i="1"/>
  <c r="K97" i="1"/>
  <c r="G97" i="1"/>
  <c r="H97" i="1"/>
  <c r="L97" i="1"/>
  <c r="J97" i="1"/>
  <c r="A100" i="1"/>
  <c r="F100" i="1" s="1"/>
  <c r="D99" i="1"/>
  <c r="C99" i="1"/>
  <c r="B99" i="1"/>
  <c r="E99" i="1" s="1"/>
  <c r="N97" i="1" l="1"/>
  <c r="N98" i="1"/>
  <c r="I99" i="1"/>
  <c r="M99" i="1"/>
  <c r="K99" i="1"/>
  <c r="H99" i="1"/>
  <c r="G99" i="1"/>
  <c r="L99" i="1"/>
  <c r="J99" i="1"/>
  <c r="A101" i="1"/>
  <c r="F101" i="1" s="1"/>
  <c r="B100" i="1"/>
  <c r="D100" i="1"/>
  <c r="C100" i="1"/>
  <c r="N99" i="1" l="1"/>
  <c r="E100" i="1"/>
  <c r="A102" i="1"/>
  <c r="F102" i="1" s="1"/>
  <c r="C101" i="1"/>
  <c r="D101" i="1"/>
  <c r="B101" i="1"/>
  <c r="E101" i="1" s="1"/>
  <c r="M101" i="1" l="1"/>
  <c r="I101" i="1"/>
  <c r="K101" i="1"/>
  <c r="H101" i="1"/>
  <c r="G101" i="1"/>
  <c r="J101" i="1"/>
  <c r="L101" i="1"/>
  <c r="M100" i="1"/>
  <c r="I100" i="1"/>
  <c r="K100" i="1"/>
  <c r="G100" i="1"/>
  <c r="H100" i="1"/>
  <c r="L100" i="1"/>
  <c r="J100" i="1"/>
  <c r="A103" i="1"/>
  <c r="F103" i="1" s="1"/>
  <c r="C102" i="1"/>
  <c r="D102" i="1"/>
  <c r="B102" i="1"/>
  <c r="E102" i="1" s="1"/>
  <c r="N100" i="1" l="1"/>
  <c r="N101" i="1"/>
  <c r="M102" i="1"/>
  <c r="I102" i="1"/>
  <c r="K102" i="1"/>
  <c r="J102" i="1"/>
  <c r="H102" i="1"/>
  <c r="G102" i="1"/>
  <c r="L102" i="1"/>
  <c r="A104" i="1"/>
  <c r="F104" i="1" s="1"/>
  <c r="D103" i="1"/>
  <c r="C103" i="1"/>
  <c r="B103" i="1"/>
  <c r="N102" i="1" l="1"/>
  <c r="E103" i="1"/>
  <c r="A105" i="1"/>
  <c r="F105" i="1" s="1"/>
  <c r="C104" i="1"/>
  <c r="D104" i="1"/>
  <c r="B104" i="1"/>
  <c r="E104" i="1" s="1"/>
  <c r="M104" i="1" l="1"/>
  <c r="I104" i="1"/>
  <c r="K104" i="1"/>
  <c r="J104" i="1"/>
  <c r="G104" i="1"/>
  <c r="H104" i="1"/>
  <c r="L104" i="1"/>
  <c r="M103" i="1"/>
  <c r="I103" i="1"/>
  <c r="K103" i="1"/>
  <c r="G103" i="1"/>
  <c r="H103" i="1"/>
  <c r="J103" i="1"/>
  <c r="L103" i="1"/>
  <c r="A106" i="1"/>
  <c r="F106" i="1" s="1"/>
  <c r="D105" i="1"/>
  <c r="C105" i="1"/>
  <c r="B105" i="1"/>
  <c r="E105" i="1" s="1"/>
  <c r="N104" i="1" l="1"/>
  <c r="N103" i="1"/>
  <c r="I105" i="1"/>
  <c r="M105" i="1"/>
  <c r="K105" i="1"/>
  <c r="G105" i="1"/>
  <c r="L105" i="1"/>
  <c r="H105" i="1"/>
  <c r="J105" i="1"/>
  <c r="A107" i="1"/>
  <c r="F107" i="1" s="1"/>
  <c r="C106" i="1"/>
  <c r="D106" i="1"/>
  <c r="B106" i="1"/>
  <c r="E106" i="1" l="1"/>
  <c r="N105" i="1"/>
  <c r="I106" i="1"/>
  <c r="M106" i="1"/>
  <c r="K106" i="1"/>
  <c r="G106" i="1"/>
  <c r="J106" i="1"/>
  <c r="H106" i="1"/>
  <c r="L106" i="1"/>
  <c r="A108" i="1"/>
  <c r="F108" i="1" s="1"/>
  <c r="C107" i="1"/>
  <c r="D107" i="1"/>
  <c r="B107" i="1"/>
  <c r="E107" i="1" l="1"/>
  <c r="N106" i="1"/>
  <c r="I107" i="1"/>
  <c r="M107" i="1"/>
  <c r="G107" i="1"/>
  <c r="H107" i="1"/>
  <c r="K107" i="1"/>
  <c r="J107" i="1"/>
  <c r="L107" i="1"/>
  <c r="A109" i="1"/>
  <c r="F109" i="1" s="1"/>
  <c r="D108" i="1"/>
  <c r="C108" i="1"/>
  <c r="B108" i="1"/>
  <c r="N107" i="1" l="1"/>
  <c r="E108" i="1"/>
  <c r="D109" i="1"/>
  <c r="A110" i="1"/>
  <c r="F110" i="1" s="1"/>
  <c r="C109" i="1"/>
  <c r="B109" i="1"/>
  <c r="E109" i="1" l="1"/>
  <c r="M109" i="1"/>
  <c r="I109" i="1"/>
  <c r="K109" i="1"/>
  <c r="G109" i="1"/>
  <c r="H109" i="1"/>
  <c r="L109" i="1"/>
  <c r="J109" i="1"/>
  <c r="M108" i="1"/>
  <c r="K108" i="1"/>
  <c r="I108" i="1"/>
  <c r="G108" i="1"/>
  <c r="H108" i="1"/>
  <c r="L108" i="1"/>
  <c r="J108" i="1"/>
  <c r="C110" i="1"/>
  <c r="A111" i="1"/>
  <c r="F111" i="1" s="1"/>
  <c r="D110" i="1"/>
  <c r="B110" i="1"/>
  <c r="E110" i="1" s="1"/>
  <c r="N108" i="1" l="1"/>
  <c r="N109" i="1"/>
  <c r="M110" i="1"/>
  <c r="K110" i="1"/>
  <c r="I110" i="1"/>
  <c r="H110" i="1"/>
  <c r="G110" i="1"/>
  <c r="J110" i="1"/>
  <c r="L110" i="1"/>
  <c r="A112" i="1"/>
  <c r="F112" i="1" s="1"/>
  <c r="D111" i="1"/>
  <c r="C111" i="1"/>
  <c r="B111" i="1"/>
  <c r="N110" i="1" l="1"/>
  <c r="E111" i="1"/>
  <c r="A113" i="1"/>
  <c r="F113" i="1" s="1"/>
  <c r="B112" i="1"/>
  <c r="C112" i="1"/>
  <c r="D112" i="1"/>
  <c r="I111" i="1" l="1"/>
  <c r="M111" i="1"/>
  <c r="K111" i="1"/>
  <c r="H111" i="1"/>
  <c r="G111" i="1"/>
  <c r="L111" i="1"/>
  <c r="J111" i="1"/>
  <c r="E112" i="1"/>
  <c r="A114" i="1"/>
  <c r="F114" i="1" s="1"/>
  <c r="C113" i="1"/>
  <c r="D113" i="1"/>
  <c r="B113" i="1"/>
  <c r="N111" i="1" l="1"/>
  <c r="M112" i="1"/>
  <c r="I112" i="1"/>
  <c r="G112" i="1"/>
  <c r="K112" i="1"/>
  <c r="J112" i="1"/>
  <c r="L112" i="1"/>
  <c r="H112" i="1"/>
  <c r="E113" i="1"/>
  <c r="A115" i="1"/>
  <c r="F115" i="1" s="1"/>
  <c r="C114" i="1"/>
  <c r="D114" i="1"/>
  <c r="B114" i="1"/>
  <c r="N112" i="1" l="1"/>
  <c r="I113" i="1"/>
  <c r="M113" i="1"/>
  <c r="K113" i="1"/>
  <c r="G113" i="1"/>
  <c r="J113" i="1"/>
  <c r="L113" i="1"/>
  <c r="H113" i="1"/>
  <c r="E114" i="1"/>
  <c r="A116" i="1"/>
  <c r="F116" i="1" s="1"/>
  <c r="D115" i="1"/>
  <c r="C115" i="1"/>
  <c r="B115" i="1"/>
  <c r="N113" i="1" l="1"/>
  <c r="I114" i="1"/>
  <c r="M114" i="1"/>
  <c r="K114" i="1"/>
  <c r="J114" i="1"/>
  <c r="G114" i="1"/>
  <c r="L114" i="1"/>
  <c r="H114" i="1"/>
  <c r="E115" i="1"/>
  <c r="C116" i="1"/>
  <c r="D116" i="1"/>
  <c r="A117" i="1"/>
  <c r="F117" i="1" s="1"/>
  <c r="B116" i="1"/>
  <c r="N114" i="1" l="1"/>
  <c r="M115" i="1"/>
  <c r="I115" i="1"/>
  <c r="K115" i="1"/>
  <c r="G115" i="1"/>
  <c r="J115" i="1"/>
  <c r="H115" i="1"/>
  <c r="L115" i="1"/>
  <c r="E116" i="1"/>
  <c r="A118" i="1"/>
  <c r="F118" i="1" s="1"/>
  <c r="D117" i="1"/>
  <c r="C117" i="1"/>
  <c r="B117" i="1"/>
  <c r="N115" i="1" l="1"/>
  <c r="M116" i="1"/>
  <c r="I116" i="1"/>
  <c r="K116" i="1"/>
  <c r="G116" i="1"/>
  <c r="J116" i="1"/>
  <c r="H116" i="1"/>
  <c r="L116" i="1"/>
  <c r="E117" i="1"/>
  <c r="A119" i="1"/>
  <c r="F119" i="1" s="1"/>
  <c r="C118" i="1"/>
  <c r="D118" i="1"/>
  <c r="B118" i="1"/>
  <c r="N116" i="1" l="1"/>
  <c r="I117" i="1"/>
  <c r="K117" i="1"/>
  <c r="M117" i="1"/>
  <c r="G117" i="1"/>
  <c r="H117" i="1"/>
  <c r="J117" i="1"/>
  <c r="L117" i="1"/>
  <c r="E118" i="1"/>
  <c r="A120" i="1"/>
  <c r="F120" i="1" s="1"/>
  <c r="C119" i="1"/>
  <c r="D119" i="1"/>
  <c r="B119" i="1"/>
  <c r="N117" i="1" l="1"/>
  <c r="I118" i="1"/>
  <c r="M118" i="1"/>
  <c r="K118" i="1"/>
  <c r="G118" i="1"/>
  <c r="J118" i="1"/>
  <c r="H118" i="1"/>
  <c r="L118" i="1"/>
  <c r="E119" i="1"/>
  <c r="A121" i="1"/>
  <c r="F121" i="1" s="1"/>
  <c r="C120" i="1"/>
  <c r="D120" i="1"/>
  <c r="B120" i="1"/>
  <c r="N118" i="1" l="1"/>
  <c r="M119" i="1"/>
  <c r="I119" i="1"/>
  <c r="K119" i="1"/>
  <c r="G119" i="1"/>
  <c r="L119" i="1"/>
  <c r="H119" i="1"/>
  <c r="J119" i="1"/>
  <c r="E120" i="1"/>
  <c r="D121" i="1"/>
  <c r="A122" i="1"/>
  <c r="F122" i="1" s="1"/>
  <c r="C121" i="1"/>
  <c r="B121" i="1"/>
  <c r="N119" i="1" l="1"/>
  <c r="I120" i="1"/>
  <c r="K120" i="1"/>
  <c r="M120" i="1"/>
  <c r="G120" i="1"/>
  <c r="H120" i="1"/>
  <c r="L120" i="1"/>
  <c r="J120" i="1"/>
  <c r="E121" i="1"/>
  <c r="A123" i="1"/>
  <c r="F123" i="1" s="1"/>
  <c r="C122" i="1"/>
  <c r="D122" i="1"/>
  <c r="B122" i="1"/>
  <c r="N120" i="1" l="1"/>
  <c r="M121" i="1"/>
  <c r="I121" i="1"/>
  <c r="K121" i="1"/>
  <c r="H121" i="1"/>
  <c r="G121" i="1"/>
  <c r="L121" i="1"/>
  <c r="J121" i="1"/>
  <c r="E122" i="1"/>
  <c r="A124" i="1"/>
  <c r="F124" i="1" s="1"/>
  <c r="D123" i="1"/>
  <c r="C123" i="1"/>
  <c r="B123" i="1"/>
  <c r="E123" i="1" l="1"/>
  <c r="N121" i="1"/>
  <c r="I123" i="1"/>
  <c r="M123" i="1"/>
  <c r="K123" i="1"/>
  <c r="H123" i="1"/>
  <c r="G123" i="1"/>
  <c r="J123" i="1"/>
  <c r="L123" i="1"/>
  <c r="M122" i="1"/>
  <c r="I122" i="1"/>
  <c r="K122" i="1"/>
  <c r="G122" i="1"/>
  <c r="H122" i="1"/>
  <c r="L122" i="1"/>
  <c r="J122" i="1"/>
  <c r="A125" i="1"/>
  <c r="F125" i="1" s="1"/>
  <c r="B124" i="1"/>
  <c r="C124" i="1"/>
  <c r="D124" i="1"/>
  <c r="N123" i="1" l="1"/>
  <c r="N122" i="1"/>
  <c r="E124" i="1"/>
  <c r="A126" i="1"/>
  <c r="F126" i="1" s="1"/>
  <c r="C125" i="1"/>
  <c r="D125" i="1"/>
  <c r="B125" i="1"/>
  <c r="E125" i="1" s="1"/>
  <c r="I125" i="1" l="1"/>
  <c r="M125" i="1"/>
  <c r="G125" i="1"/>
  <c r="K125" i="1"/>
  <c r="H125" i="1"/>
  <c r="J125" i="1"/>
  <c r="L125" i="1"/>
  <c r="M124" i="1"/>
  <c r="I124" i="1"/>
  <c r="K124" i="1"/>
  <c r="G124" i="1"/>
  <c r="L124" i="1"/>
  <c r="H124" i="1"/>
  <c r="J124" i="1"/>
  <c r="A127" i="1"/>
  <c r="F127" i="1" s="1"/>
  <c r="C126" i="1"/>
  <c r="D126" i="1"/>
  <c r="B126" i="1"/>
  <c r="E126" i="1" s="1"/>
  <c r="N124" i="1" l="1"/>
  <c r="N125" i="1"/>
  <c r="I126" i="1"/>
  <c r="M126" i="1"/>
  <c r="K126" i="1"/>
  <c r="G126" i="1"/>
  <c r="L126" i="1"/>
  <c r="H126" i="1"/>
  <c r="J126" i="1"/>
  <c r="A128" i="1"/>
  <c r="F128" i="1" s="1"/>
  <c r="D127" i="1"/>
  <c r="C127" i="1"/>
  <c r="B127" i="1"/>
  <c r="N126" i="1" l="1"/>
  <c r="E127" i="1"/>
  <c r="A129" i="1"/>
  <c r="F129" i="1" s="1"/>
  <c r="C128" i="1"/>
  <c r="D128" i="1"/>
  <c r="B128" i="1"/>
  <c r="E128" i="1" s="1"/>
  <c r="M128" i="1" l="1"/>
  <c r="I128" i="1"/>
  <c r="K128" i="1"/>
  <c r="H128" i="1"/>
  <c r="G128" i="1"/>
  <c r="J128" i="1"/>
  <c r="L128" i="1"/>
  <c r="I127" i="1"/>
  <c r="M127" i="1"/>
  <c r="K127" i="1"/>
  <c r="G127" i="1"/>
  <c r="H127" i="1"/>
  <c r="L127" i="1"/>
  <c r="J127" i="1"/>
  <c r="A130" i="1"/>
  <c r="F130" i="1" s="1"/>
  <c r="D129" i="1"/>
  <c r="C129" i="1"/>
  <c r="B129" i="1"/>
  <c r="N127" i="1" l="1"/>
  <c r="N128" i="1"/>
  <c r="E129" i="1"/>
  <c r="A131" i="1"/>
  <c r="F131" i="1" s="1"/>
  <c r="C130" i="1"/>
  <c r="D130" i="1"/>
  <c r="B130" i="1"/>
  <c r="E130" i="1" s="1"/>
  <c r="I130" i="1" l="1"/>
  <c r="M130" i="1"/>
  <c r="K130" i="1"/>
  <c r="G130" i="1"/>
  <c r="H130" i="1"/>
  <c r="J130" i="1"/>
  <c r="L130" i="1"/>
  <c r="M129" i="1"/>
  <c r="I129" i="1"/>
  <c r="K129" i="1"/>
  <c r="G129" i="1"/>
  <c r="H129" i="1"/>
  <c r="J129" i="1"/>
  <c r="L129" i="1"/>
  <c r="A132" i="1"/>
  <c r="F132" i="1" s="1"/>
  <c r="C131" i="1"/>
  <c r="D131" i="1"/>
  <c r="B131" i="1"/>
  <c r="E131" i="1" s="1"/>
  <c r="N130" i="1" l="1"/>
  <c r="N129" i="1"/>
  <c r="M131" i="1"/>
  <c r="K131" i="1"/>
  <c r="I131" i="1"/>
  <c r="G131" i="1"/>
  <c r="H131" i="1"/>
  <c r="L131" i="1"/>
  <c r="J131" i="1"/>
  <c r="A133" i="1"/>
  <c r="F133" i="1" s="1"/>
  <c r="D132" i="1"/>
  <c r="B132" i="1"/>
  <c r="C132" i="1"/>
  <c r="N131" i="1" l="1"/>
  <c r="E132" i="1"/>
  <c r="C133" i="1"/>
  <c r="D133" i="1"/>
  <c r="A134" i="1"/>
  <c r="F134" i="1" s="1"/>
  <c r="B133" i="1"/>
  <c r="E133" i="1" s="1"/>
  <c r="M133" i="1" l="1"/>
  <c r="I133" i="1"/>
  <c r="K133" i="1"/>
  <c r="G133" i="1"/>
  <c r="J133" i="1"/>
  <c r="H133" i="1"/>
  <c r="L133" i="1"/>
  <c r="I132" i="1"/>
  <c r="M132" i="1"/>
  <c r="H132" i="1"/>
  <c r="K132" i="1"/>
  <c r="G132" i="1"/>
  <c r="J132" i="1"/>
  <c r="L132" i="1"/>
  <c r="C134" i="1"/>
  <c r="A135" i="1"/>
  <c r="F135" i="1" s="1"/>
  <c r="D134" i="1"/>
  <c r="B134" i="1"/>
  <c r="E134" i="1" s="1"/>
  <c r="N133" i="1" l="1"/>
  <c r="N132" i="1"/>
  <c r="K134" i="1"/>
  <c r="M134" i="1"/>
  <c r="J134" i="1"/>
  <c r="G134" i="1"/>
  <c r="I134" i="1"/>
  <c r="H134" i="1"/>
  <c r="L134" i="1"/>
  <c r="A136" i="1"/>
  <c r="F136" i="1" s="1"/>
  <c r="D135" i="1"/>
  <c r="C135" i="1"/>
  <c r="B135" i="1"/>
  <c r="E135" i="1" l="1"/>
  <c r="N134" i="1"/>
  <c r="I135" i="1"/>
  <c r="K135" i="1"/>
  <c r="M135" i="1"/>
  <c r="G135" i="1"/>
  <c r="H135" i="1"/>
  <c r="J135" i="1"/>
  <c r="L135" i="1"/>
  <c r="A137" i="1"/>
  <c r="F137" i="1" s="1"/>
  <c r="B136" i="1"/>
  <c r="C136" i="1"/>
  <c r="D136" i="1"/>
  <c r="N135" i="1" l="1"/>
  <c r="E136" i="1"/>
  <c r="A138" i="1"/>
  <c r="F138" i="1" s="1"/>
  <c r="C137" i="1"/>
  <c r="D137" i="1"/>
  <c r="B137" i="1"/>
  <c r="E137" i="1" s="1"/>
  <c r="M137" i="1" l="1"/>
  <c r="I137" i="1"/>
  <c r="K137" i="1"/>
  <c r="G137" i="1"/>
  <c r="H137" i="1"/>
  <c r="L137" i="1"/>
  <c r="J137" i="1"/>
  <c r="M136" i="1"/>
  <c r="I136" i="1"/>
  <c r="K136" i="1"/>
  <c r="H136" i="1"/>
  <c r="G136" i="1"/>
  <c r="J136" i="1"/>
  <c r="L136" i="1"/>
  <c r="A139" i="1"/>
  <c r="F139" i="1" s="1"/>
  <c r="C138" i="1"/>
  <c r="D138" i="1"/>
  <c r="B138" i="1"/>
  <c r="E138" i="1" s="1"/>
  <c r="N137" i="1" l="1"/>
  <c r="N136" i="1"/>
  <c r="M138" i="1"/>
  <c r="I138" i="1"/>
  <c r="K138" i="1"/>
  <c r="H138" i="1"/>
  <c r="G138" i="1"/>
  <c r="J138" i="1"/>
  <c r="L138" i="1"/>
  <c r="A140" i="1"/>
  <c r="F140" i="1" s="1"/>
  <c r="D139" i="1"/>
  <c r="C139" i="1"/>
  <c r="B139" i="1"/>
  <c r="N138" i="1" l="1"/>
  <c r="E139" i="1"/>
  <c r="A141" i="1"/>
  <c r="F141" i="1" s="1"/>
  <c r="C140" i="1"/>
  <c r="B140" i="1"/>
  <c r="E140" i="1" s="1"/>
  <c r="D140" i="1"/>
  <c r="M140" i="1" l="1"/>
  <c r="I140" i="1"/>
  <c r="K140" i="1"/>
  <c r="H140" i="1"/>
  <c r="G140" i="1"/>
  <c r="L140" i="1"/>
  <c r="J140" i="1"/>
  <c r="M139" i="1"/>
  <c r="K139" i="1"/>
  <c r="I139" i="1"/>
  <c r="G139" i="1"/>
  <c r="H139" i="1"/>
  <c r="L139" i="1"/>
  <c r="J139" i="1"/>
  <c r="A142" i="1"/>
  <c r="F142" i="1" s="1"/>
  <c r="C141" i="1"/>
  <c r="D141" i="1"/>
  <c r="B141" i="1"/>
  <c r="E141" i="1" s="1"/>
  <c r="N139" i="1" l="1"/>
  <c r="N140" i="1"/>
  <c r="M141" i="1"/>
  <c r="K141" i="1"/>
  <c r="I141" i="1"/>
  <c r="H141" i="1"/>
  <c r="G141" i="1"/>
  <c r="L141" i="1"/>
  <c r="J141" i="1"/>
  <c r="A143" i="1"/>
  <c r="F143" i="1" s="1"/>
  <c r="C142" i="1"/>
  <c r="D142" i="1"/>
  <c r="B142" i="1"/>
  <c r="E142" i="1" l="1"/>
  <c r="N141" i="1"/>
  <c r="I142" i="1"/>
  <c r="M142" i="1"/>
  <c r="K142" i="1"/>
  <c r="H142" i="1"/>
  <c r="G142" i="1"/>
  <c r="L142" i="1"/>
  <c r="J142" i="1"/>
  <c r="A144" i="1"/>
  <c r="F144" i="1" s="1"/>
  <c r="C143" i="1"/>
  <c r="D143" i="1"/>
  <c r="B143" i="1"/>
  <c r="E143" i="1" l="1"/>
  <c r="N142" i="1"/>
  <c r="M143" i="1"/>
  <c r="I143" i="1"/>
  <c r="K143" i="1"/>
  <c r="H143" i="1"/>
  <c r="G143" i="1"/>
  <c r="J143" i="1"/>
  <c r="L143" i="1"/>
  <c r="A145" i="1"/>
  <c r="F145" i="1" s="1"/>
  <c r="C144" i="1"/>
  <c r="D144" i="1"/>
  <c r="B144" i="1"/>
  <c r="E144" i="1" l="1"/>
  <c r="N143" i="1"/>
  <c r="I144" i="1"/>
  <c r="M144" i="1"/>
  <c r="G144" i="1"/>
  <c r="H144" i="1"/>
  <c r="K144" i="1"/>
  <c r="L144" i="1"/>
  <c r="J144" i="1"/>
  <c r="D145" i="1"/>
  <c r="A146" i="1"/>
  <c r="F146" i="1" s="1"/>
  <c r="C145" i="1"/>
  <c r="B145" i="1"/>
  <c r="N144" i="1" l="1"/>
  <c r="E145" i="1"/>
  <c r="C146" i="1"/>
  <c r="A147" i="1"/>
  <c r="F147" i="1" s="1"/>
  <c r="D146" i="1"/>
  <c r="B146" i="1"/>
  <c r="E146" i="1" s="1"/>
  <c r="K146" i="1" l="1"/>
  <c r="I146" i="1"/>
  <c r="H146" i="1"/>
  <c r="G146" i="1"/>
  <c r="L146" i="1"/>
  <c r="J146" i="1"/>
  <c r="M146" i="1"/>
  <c r="M145" i="1"/>
  <c r="K145" i="1"/>
  <c r="I145" i="1"/>
  <c r="H145" i="1"/>
  <c r="G145" i="1"/>
  <c r="L145" i="1"/>
  <c r="J145" i="1"/>
  <c r="D147" i="1"/>
  <c r="A148" i="1"/>
  <c r="F148" i="1" s="1"/>
  <c r="C147" i="1"/>
  <c r="B147" i="1"/>
  <c r="E147" i="1" s="1"/>
  <c r="N146" i="1" l="1"/>
  <c r="N145" i="1"/>
  <c r="M147" i="1"/>
  <c r="I147" i="1"/>
  <c r="K147" i="1"/>
  <c r="H147" i="1"/>
  <c r="G147" i="1"/>
  <c r="L147" i="1"/>
  <c r="J147" i="1"/>
  <c r="A149" i="1"/>
  <c r="F149" i="1" s="1"/>
  <c r="C148" i="1"/>
  <c r="B148" i="1"/>
  <c r="E148" i="1" s="1"/>
  <c r="D148" i="1"/>
  <c r="N147" i="1" l="1"/>
  <c r="M148" i="1"/>
  <c r="K148" i="1"/>
  <c r="I148" i="1"/>
  <c r="J148" i="1"/>
  <c r="H148" i="1"/>
  <c r="G148" i="1"/>
  <c r="L148" i="1"/>
  <c r="A150" i="1"/>
  <c r="F150" i="1" s="1"/>
  <c r="C149" i="1"/>
  <c r="D149" i="1"/>
  <c r="B149" i="1"/>
  <c r="E149" i="1" s="1"/>
  <c r="N148" i="1" l="1"/>
  <c r="M149" i="1"/>
  <c r="K149" i="1"/>
  <c r="I149" i="1"/>
  <c r="G149" i="1"/>
  <c r="J149" i="1"/>
  <c r="H149" i="1"/>
  <c r="L149" i="1"/>
  <c r="A151" i="1"/>
  <c r="F151" i="1" s="1"/>
  <c r="C150" i="1"/>
  <c r="D150" i="1"/>
  <c r="B150" i="1"/>
  <c r="E150" i="1" s="1"/>
  <c r="N149" i="1" l="1"/>
  <c r="M150" i="1"/>
  <c r="I150" i="1"/>
  <c r="K150" i="1"/>
  <c r="H150" i="1"/>
  <c r="G150" i="1"/>
  <c r="J150" i="1"/>
  <c r="L150" i="1"/>
  <c r="A152" i="1"/>
  <c r="F152" i="1" s="1"/>
  <c r="D151" i="1"/>
  <c r="C151" i="1"/>
  <c r="B151" i="1"/>
  <c r="N150" i="1" l="1"/>
  <c r="E151" i="1"/>
  <c r="C152" i="1"/>
  <c r="A153" i="1"/>
  <c r="F153" i="1" s="1"/>
  <c r="D152" i="1"/>
  <c r="B152" i="1"/>
  <c r="E152" i="1" s="1"/>
  <c r="M152" i="1" l="1"/>
  <c r="I152" i="1"/>
  <c r="K152" i="1"/>
  <c r="G152" i="1"/>
  <c r="H152" i="1"/>
  <c r="L152" i="1"/>
  <c r="J152" i="1"/>
  <c r="I151" i="1"/>
  <c r="M151" i="1"/>
  <c r="K151" i="1"/>
  <c r="J151" i="1"/>
  <c r="G151" i="1"/>
  <c r="H151" i="1"/>
  <c r="L151" i="1"/>
  <c r="A154" i="1"/>
  <c r="F154" i="1" s="1"/>
  <c r="B153" i="1"/>
  <c r="D153" i="1"/>
  <c r="C153" i="1"/>
  <c r="N152" i="1" l="1"/>
  <c r="N151" i="1"/>
  <c r="E153" i="1"/>
  <c r="A155" i="1"/>
  <c r="F155" i="1" s="1"/>
  <c r="C154" i="1"/>
  <c r="D154" i="1"/>
  <c r="B154" i="1"/>
  <c r="E154" i="1" s="1"/>
  <c r="M154" i="1" l="1"/>
  <c r="I154" i="1"/>
  <c r="K154" i="1"/>
  <c r="H154" i="1"/>
  <c r="G154" i="1"/>
  <c r="L154" i="1"/>
  <c r="J154" i="1"/>
  <c r="K153" i="1"/>
  <c r="I153" i="1"/>
  <c r="M153" i="1"/>
  <c r="G153" i="1"/>
  <c r="H153" i="1"/>
  <c r="L153" i="1"/>
  <c r="J153" i="1"/>
  <c r="A156" i="1"/>
  <c r="F156" i="1" s="1"/>
  <c r="D155" i="1"/>
  <c r="B155" i="1"/>
  <c r="C155" i="1"/>
  <c r="N153" i="1" l="1"/>
  <c r="N154" i="1"/>
  <c r="E155" i="1"/>
  <c r="D156" i="1"/>
  <c r="B156" i="1"/>
  <c r="A157" i="1"/>
  <c r="F157" i="1" s="1"/>
  <c r="C156" i="1"/>
  <c r="M155" i="1" l="1"/>
  <c r="K155" i="1"/>
  <c r="I155" i="1"/>
  <c r="H155" i="1"/>
  <c r="G155" i="1"/>
  <c r="J155" i="1"/>
  <c r="L155" i="1"/>
  <c r="D157" i="1"/>
  <c r="C157" i="1"/>
  <c r="A158" i="1"/>
  <c r="F158" i="1" s="1"/>
  <c r="B157" i="1"/>
  <c r="E156" i="1"/>
  <c r="N155" i="1" l="1"/>
  <c r="M156" i="1"/>
  <c r="I156" i="1"/>
  <c r="K156" i="1"/>
  <c r="J156" i="1"/>
  <c r="H156" i="1"/>
  <c r="G156" i="1"/>
  <c r="L156" i="1"/>
  <c r="E157" i="1"/>
  <c r="A159" i="1"/>
  <c r="F159" i="1" s="1"/>
  <c r="C158" i="1"/>
  <c r="D158" i="1"/>
  <c r="B158" i="1"/>
  <c r="N156" i="1" l="1"/>
  <c r="M157" i="1"/>
  <c r="I157" i="1"/>
  <c r="K157" i="1"/>
  <c r="H157" i="1"/>
  <c r="J157" i="1"/>
  <c r="L157" i="1"/>
  <c r="G157" i="1"/>
  <c r="E158" i="1"/>
  <c r="C159" i="1"/>
  <c r="B159" i="1"/>
  <c r="A160" i="1"/>
  <c r="F160" i="1" s="1"/>
  <c r="D159" i="1"/>
  <c r="N157" i="1" l="1"/>
  <c r="M158" i="1"/>
  <c r="K158" i="1"/>
  <c r="H158" i="1"/>
  <c r="I158" i="1"/>
  <c r="G158" i="1"/>
  <c r="L158" i="1"/>
  <c r="J158" i="1"/>
  <c r="E159" i="1"/>
  <c r="B160" i="1"/>
  <c r="A161" i="1"/>
  <c r="F161" i="1" s="1"/>
  <c r="C160" i="1"/>
  <c r="D160" i="1"/>
  <c r="N158" i="1" l="1"/>
  <c r="M159" i="1"/>
  <c r="I159" i="1"/>
  <c r="K159" i="1"/>
  <c r="H159" i="1"/>
  <c r="G159" i="1"/>
  <c r="L159" i="1"/>
  <c r="J159" i="1"/>
  <c r="C161" i="1"/>
  <c r="A162" i="1"/>
  <c r="F162" i="1" s="1"/>
  <c r="B161" i="1"/>
  <c r="E161" i="1" s="1"/>
  <c r="D161" i="1"/>
  <c r="E160" i="1"/>
  <c r="N159" i="1" l="1"/>
  <c r="M161" i="1"/>
  <c r="K161" i="1"/>
  <c r="I161" i="1"/>
  <c r="H161" i="1"/>
  <c r="G161" i="1"/>
  <c r="J161" i="1"/>
  <c r="L161" i="1"/>
  <c r="I160" i="1"/>
  <c r="M160" i="1"/>
  <c r="K160" i="1"/>
  <c r="J160" i="1"/>
  <c r="H160" i="1"/>
  <c r="G160" i="1"/>
  <c r="L160" i="1"/>
  <c r="C162" i="1"/>
  <c r="A163" i="1"/>
  <c r="F163" i="1" s="1"/>
  <c r="D162" i="1"/>
  <c r="B162" i="1"/>
  <c r="E162" i="1" s="1"/>
  <c r="N160" i="1" l="1"/>
  <c r="N161" i="1"/>
  <c r="M162" i="1"/>
  <c r="I162" i="1"/>
  <c r="K162" i="1"/>
  <c r="G162" i="1"/>
  <c r="H162" i="1"/>
  <c r="J162" i="1"/>
  <c r="L162" i="1"/>
  <c r="A164" i="1"/>
  <c r="F164" i="1" s="1"/>
  <c r="D163" i="1"/>
  <c r="C163" i="1"/>
  <c r="B163" i="1"/>
  <c r="N162" i="1" l="1"/>
  <c r="E163" i="1"/>
  <c r="A165" i="1"/>
  <c r="F165" i="1" s="1"/>
  <c r="C164" i="1"/>
  <c r="B164" i="1"/>
  <c r="D164" i="1"/>
  <c r="M163" i="1" l="1"/>
  <c r="I163" i="1"/>
  <c r="K163" i="1"/>
  <c r="J163" i="1"/>
  <c r="G163" i="1"/>
  <c r="H163" i="1"/>
  <c r="L163" i="1"/>
  <c r="E164" i="1"/>
  <c r="C165" i="1"/>
  <c r="A166" i="1"/>
  <c r="F166" i="1" s="1"/>
  <c r="D165" i="1"/>
  <c r="B165" i="1"/>
  <c r="N163" i="1" l="1"/>
  <c r="M164" i="1"/>
  <c r="K164" i="1"/>
  <c r="I164" i="1"/>
  <c r="G164" i="1"/>
  <c r="H164" i="1"/>
  <c r="L164" i="1"/>
  <c r="J164" i="1"/>
  <c r="E165" i="1"/>
  <c r="C166" i="1"/>
  <c r="B166" i="1"/>
  <c r="E166" i="1" s="1"/>
  <c r="A167" i="1"/>
  <c r="F167" i="1" s="1"/>
  <c r="D166" i="1"/>
  <c r="N164" i="1" l="1"/>
  <c r="M166" i="1"/>
  <c r="I166" i="1"/>
  <c r="K166" i="1"/>
  <c r="H166" i="1"/>
  <c r="G166" i="1"/>
  <c r="J166" i="1"/>
  <c r="L166" i="1"/>
  <c r="M165" i="1"/>
  <c r="I165" i="1"/>
  <c r="K165" i="1"/>
  <c r="H165" i="1"/>
  <c r="L165" i="1"/>
  <c r="G165" i="1"/>
  <c r="J165" i="1"/>
  <c r="A168" i="1"/>
  <c r="F168" i="1" s="1"/>
  <c r="C167" i="1"/>
  <c r="B167" i="1"/>
  <c r="E167" i="1" s="1"/>
  <c r="D167" i="1"/>
  <c r="N166" i="1" l="1"/>
  <c r="N165" i="1"/>
  <c r="M167" i="1"/>
  <c r="K167" i="1"/>
  <c r="I167" i="1"/>
  <c r="J167" i="1"/>
  <c r="H167" i="1"/>
  <c r="G167" i="1"/>
  <c r="L167" i="1"/>
  <c r="A169" i="1"/>
  <c r="F169" i="1" s="1"/>
  <c r="C168" i="1"/>
  <c r="D168" i="1"/>
  <c r="B168" i="1"/>
  <c r="N167" i="1" l="1"/>
  <c r="E168" i="1"/>
  <c r="D169" i="1"/>
  <c r="A170" i="1"/>
  <c r="F170" i="1" s="1"/>
  <c r="C169" i="1"/>
  <c r="B169" i="1"/>
  <c r="E169" i="1" s="1"/>
  <c r="M168" i="1" l="1"/>
  <c r="I168" i="1"/>
  <c r="K168" i="1"/>
  <c r="H168" i="1"/>
  <c r="G168" i="1"/>
  <c r="J168" i="1"/>
  <c r="L168" i="1"/>
  <c r="M169" i="1"/>
  <c r="I169" i="1"/>
  <c r="K169" i="1"/>
  <c r="G169" i="1"/>
  <c r="H169" i="1"/>
  <c r="J169" i="1"/>
  <c r="L169" i="1"/>
  <c r="C170" i="1"/>
  <c r="A171" i="1"/>
  <c r="F171" i="1" s="1"/>
  <c r="D170" i="1"/>
  <c r="B170" i="1"/>
  <c r="E170" i="1" s="1"/>
  <c r="N168" i="1" l="1"/>
  <c r="N169" i="1"/>
  <c r="M170" i="1"/>
  <c r="I170" i="1"/>
  <c r="K170" i="1"/>
  <c r="J170" i="1"/>
  <c r="G170" i="1"/>
  <c r="H170" i="1"/>
  <c r="L170" i="1"/>
  <c r="A172" i="1"/>
  <c r="F172" i="1" s="1"/>
  <c r="C171" i="1"/>
  <c r="D171" i="1"/>
  <c r="B171" i="1"/>
  <c r="N170" i="1" l="1"/>
  <c r="E171" i="1"/>
  <c r="A173" i="1"/>
  <c r="F173" i="1" s="1"/>
  <c r="B172" i="1"/>
  <c r="C172" i="1"/>
  <c r="D172" i="1"/>
  <c r="M171" i="1" l="1"/>
  <c r="H171" i="1"/>
  <c r="I171" i="1"/>
  <c r="K171" i="1"/>
  <c r="G171" i="1"/>
  <c r="L171" i="1"/>
  <c r="J171" i="1"/>
  <c r="E172" i="1"/>
  <c r="A174" i="1"/>
  <c r="F174" i="1" s="1"/>
  <c r="C173" i="1"/>
  <c r="D173" i="1"/>
  <c r="B173" i="1"/>
  <c r="N171" i="1" l="1"/>
  <c r="M172" i="1"/>
  <c r="H172" i="1"/>
  <c r="K172" i="1"/>
  <c r="I172" i="1"/>
  <c r="G172" i="1"/>
  <c r="L172" i="1"/>
  <c r="J172" i="1"/>
  <c r="E173" i="1"/>
  <c r="A175" i="1"/>
  <c r="F175" i="1" s="1"/>
  <c r="C174" i="1"/>
  <c r="D174" i="1"/>
  <c r="B174" i="1"/>
  <c r="N172" i="1" l="1"/>
  <c r="M173" i="1"/>
  <c r="H173" i="1"/>
  <c r="K173" i="1"/>
  <c r="I173" i="1"/>
  <c r="G173" i="1"/>
  <c r="J173" i="1"/>
  <c r="L173" i="1"/>
  <c r="E174" i="1"/>
  <c r="A176" i="1"/>
  <c r="F176" i="1" s="1"/>
  <c r="D175" i="1"/>
  <c r="C175" i="1"/>
  <c r="B175" i="1"/>
  <c r="N173" i="1" l="1"/>
  <c r="M174" i="1"/>
  <c r="I174" i="1"/>
  <c r="K174" i="1"/>
  <c r="H174" i="1"/>
  <c r="G174" i="1"/>
  <c r="J174" i="1"/>
  <c r="L174" i="1"/>
  <c r="E175" i="1"/>
  <c r="A177" i="1"/>
  <c r="F177" i="1" s="1"/>
  <c r="C176" i="1"/>
  <c r="B176" i="1"/>
  <c r="D176" i="1"/>
  <c r="N174" i="1" l="1"/>
  <c r="M175" i="1"/>
  <c r="I175" i="1"/>
  <c r="K175" i="1"/>
  <c r="G175" i="1"/>
  <c r="H175" i="1"/>
  <c r="J175" i="1"/>
  <c r="L175" i="1"/>
  <c r="E176" i="1"/>
  <c r="A178" i="1"/>
  <c r="F178" i="1" s="1"/>
  <c r="C177" i="1"/>
  <c r="D177" i="1"/>
  <c r="B177" i="1"/>
  <c r="E177" i="1" l="1"/>
  <c r="N175" i="1"/>
  <c r="M177" i="1"/>
  <c r="K177" i="1"/>
  <c r="I177" i="1"/>
  <c r="G177" i="1"/>
  <c r="H177" i="1"/>
  <c r="L177" i="1"/>
  <c r="J177" i="1"/>
  <c r="K176" i="1"/>
  <c r="M176" i="1"/>
  <c r="G176" i="1"/>
  <c r="H176" i="1"/>
  <c r="L176" i="1"/>
  <c r="J176" i="1"/>
  <c r="I176" i="1"/>
  <c r="A179" i="1"/>
  <c r="F179" i="1" s="1"/>
  <c r="C178" i="1"/>
  <c r="D178" i="1"/>
  <c r="B178" i="1"/>
  <c r="E178" i="1" s="1"/>
  <c r="N177" i="1" l="1"/>
  <c r="M178" i="1"/>
  <c r="I178" i="1"/>
  <c r="K178" i="1"/>
  <c r="H178" i="1"/>
  <c r="G178" i="1"/>
  <c r="J178" i="1"/>
  <c r="L178" i="1"/>
  <c r="N176" i="1"/>
  <c r="A180" i="1"/>
  <c r="F180" i="1" s="1"/>
  <c r="C179" i="1"/>
  <c r="D179" i="1"/>
  <c r="B179" i="1"/>
  <c r="E179" i="1" l="1"/>
  <c r="N178" i="1"/>
  <c r="I179" i="1"/>
  <c r="M179" i="1"/>
  <c r="K179" i="1"/>
  <c r="H179" i="1"/>
  <c r="G179" i="1"/>
  <c r="J179" i="1"/>
  <c r="L179" i="1"/>
  <c r="D180" i="1"/>
  <c r="A181" i="1"/>
  <c r="F181" i="1" s="1"/>
  <c r="C180" i="1"/>
  <c r="B180" i="1"/>
  <c r="N179" i="1" l="1"/>
  <c r="E180" i="1"/>
  <c r="C181" i="1"/>
  <c r="D181" i="1"/>
  <c r="A182" i="1"/>
  <c r="F182" i="1" s="1"/>
  <c r="B181" i="1"/>
  <c r="E181" i="1" s="1"/>
  <c r="M181" i="1" l="1"/>
  <c r="I181" i="1"/>
  <c r="K181" i="1"/>
  <c r="G181" i="1"/>
  <c r="H181" i="1"/>
  <c r="J181" i="1"/>
  <c r="L181" i="1"/>
  <c r="M180" i="1"/>
  <c r="I180" i="1"/>
  <c r="K180" i="1"/>
  <c r="H180" i="1"/>
  <c r="G180" i="1"/>
  <c r="J180" i="1"/>
  <c r="L180" i="1"/>
  <c r="B182" i="1"/>
  <c r="C182" i="1"/>
  <c r="A183" i="1"/>
  <c r="F183" i="1" s="1"/>
  <c r="D182" i="1"/>
  <c r="N181" i="1" l="1"/>
  <c r="N180" i="1"/>
  <c r="A184" i="1"/>
  <c r="F184" i="1" s="1"/>
  <c r="C183" i="1"/>
  <c r="B183" i="1"/>
  <c r="E183" i="1" s="1"/>
  <c r="D183" i="1"/>
  <c r="E182" i="1"/>
  <c r="M182" i="1" l="1"/>
  <c r="I182" i="1"/>
  <c r="K182" i="1"/>
  <c r="J182" i="1"/>
  <c r="G182" i="1"/>
  <c r="H182" i="1"/>
  <c r="L182" i="1"/>
  <c r="H183" i="1"/>
  <c r="M183" i="1"/>
  <c r="I183" i="1"/>
  <c r="K183" i="1"/>
  <c r="G183" i="1"/>
  <c r="L183" i="1"/>
  <c r="J183" i="1"/>
  <c r="A185" i="1"/>
  <c r="F185" i="1" s="1"/>
  <c r="C184" i="1"/>
  <c r="B184" i="1"/>
  <c r="D184" i="1"/>
  <c r="N183" i="1" l="1"/>
  <c r="N182" i="1"/>
  <c r="E184" i="1"/>
  <c r="A186" i="1"/>
  <c r="F186" i="1" s="1"/>
  <c r="C185" i="1"/>
  <c r="D185" i="1"/>
  <c r="B185" i="1"/>
  <c r="E185" i="1" s="1"/>
  <c r="H185" i="1" l="1"/>
  <c r="M185" i="1"/>
  <c r="K185" i="1"/>
  <c r="I185" i="1"/>
  <c r="G185" i="1"/>
  <c r="J185" i="1"/>
  <c r="L185" i="1"/>
  <c r="H184" i="1"/>
  <c r="M184" i="1"/>
  <c r="K184" i="1"/>
  <c r="I184" i="1"/>
  <c r="G184" i="1"/>
  <c r="L184" i="1"/>
  <c r="J184" i="1"/>
  <c r="A187" i="1"/>
  <c r="F187" i="1" s="1"/>
  <c r="C186" i="1"/>
  <c r="B186" i="1"/>
  <c r="D186" i="1"/>
  <c r="N185" i="1" l="1"/>
  <c r="N184" i="1"/>
  <c r="E186" i="1"/>
  <c r="A188" i="1"/>
  <c r="F188" i="1" s="1"/>
  <c r="D187" i="1"/>
  <c r="C187" i="1"/>
  <c r="B187" i="1"/>
  <c r="E187" i="1" l="1"/>
  <c r="M186" i="1"/>
  <c r="H186" i="1"/>
  <c r="I186" i="1"/>
  <c r="K186" i="1"/>
  <c r="G186" i="1"/>
  <c r="J186" i="1"/>
  <c r="L186" i="1"/>
  <c r="D188" i="1"/>
  <c r="A189" i="1"/>
  <c r="F189" i="1" s="1"/>
  <c r="C188" i="1"/>
  <c r="B188" i="1"/>
  <c r="N186" i="1" l="1"/>
  <c r="E188" i="1"/>
  <c r="M187" i="1"/>
  <c r="H187" i="1"/>
  <c r="I187" i="1"/>
  <c r="K187" i="1"/>
  <c r="G187" i="1"/>
  <c r="J187" i="1"/>
  <c r="L187" i="1"/>
  <c r="A190" i="1"/>
  <c r="F190" i="1" s="1"/>
  <c r="C189" i="1"/>
  <c r="B189" i="1"/>
  <c r="E189" i="1" s="1"/>
  <c r="D189" i="1"/>
  <c r="N187" i="1" l="1"/>
  <c r="M189" i="1"/>
  <c r="K189" i="1"/>
  <c r="H189" i="1"/>
  <c r="I189" i="1"/>
  <c r="J189" i="1"/>
  <c r="G189" i="1"/>
  <c r="L189" i="1"/>
  <c r="M188" i="1"/>
  <c r="H188" i="1"/>
  <c r="I188" i="1"/>
  <c r="K188" i="1"/>
  <c r="G188" i="1"/>
  <c r="L188" i="1"/>
  <c r="J188" i="1"/>
  <c r="D190" i="1"/>
  <c r="A191" i="1"/>
  <c r="F191" i="1" s="1"/>
  <c r="B190" i="1"/>
  <c r="C190" i="1"/>
  <c r="N189" i="1" l="1"/>
  <c r="N188" i="1"/>
  <c r="E190" i="1"/>
  <c r="D191" i="1"/>
  <c r="A192" i="1"/>
  <c r="F192" i="1" s="1"/>
  <c r="C191" i="1"/>
  <c r="B191" i="1"/>
  <c r="E191" i="1" s="1"/>
  <c r="M190" i="1" l="1"/>
  <c r="I190" i="1"/>
  <c r="H190" i="1"/>
  <c r="K190" i="1"/>
  <c r="G190" i="1"/>
  <c r="J190" i="1"/>
  <c r="L190" i="1"/>
  <c r="M191" i="1"/>
  <c r="H191" i="1"/>
  <c r="K191" i="1"/>
  <c r="I191" i="1"/>
  <c r="G191" i="1"/>
  <c r="J191" i="1"/>
  <c r="L191" i="1"/>
  <c r="C192" i="1"/>
  <c r="D192" i="1"/>
  <c r="A193" i="1"/>
  <c r="F193" i="1" s="1"/>
  <c r="B192" i="1"/>
  <c r="E192" i="1" s="1"/>
  <c r="N190" i="1" l="1"/>
  <c r="N191" i="1"/>
  <c r="M192" i="1"/>
  <c r="I192" i="1"/>
  <c r="K192" i="1"/>
  <c r="H192" i="1"/>
  <c r="G192" i="1"/>
  <c r="J192" i="1"/>
  <c r="L192" i="1"/>
  <c r="D193" i="1"/>
  <c r="C193" i="1"/>
  <c r="A194" i="1"/>
  <c r="F194" i="1" s="1"/>
  <c r="B193" i="1"/>
  <c r="E193" i="1" l="1"/>
  <c r="N192" i="1"/>
  <c r="M193" i="1"/>
  <c r="H193" i="1"/>
  <c r="I193" i="1"/>
  <c r="G193" i="1"/>
  <c r="K193" i="1"/>
  <c r="J193" i="1"/>
  <c r="L193" i="1"/>
  <c r="A195" i="1"/>
  <c r="F195" i="1" s="1"/>
  <c r="C194" i="1"/>
  <c r="D194" i="1"/>
  <c r="B194" i="1"/>
  <c r="E194" i="1" l="1"/>
  <c r="N193" i="1"/>
  <c r="M194" i="1"/>
  <c r="H194" i="1"/>
  <c r="I194" i="1"/>
  <c r="K194" i="1"/>
  <c r="G194" i="1"/>
  <c r="J194" i="1"/>
  <c r="L194" i="1"/>
  <c r="D195" i="1"/>
  <c r="A196" i="1"/>
  <c r="F196" i="1" s="1"/>
  <c r="C195" i="1"/>
  <c r="B195" i="1"/>
  <c r="N194" i="1" l="1"/>
  <c r="E195" i="1"/>
  <c r="A197" i="1"/>
  <c r="F197" i="1" s="1"/>
  <c r="B196" i="1"/>
  <c r="C196" i="1"/>
  <c r="D196" i="1"/>
  <c r="H195" i="1" l="1"/>
  <c r="M195" i="1"/>
  <c r="I195" i="1"/>
  <c r="K195" i="1"/>
  <c r="G195" i="1"/>
  <c r="L195" i="1"/>
  <c r="J195" i="1"/>
  <c r="E196" i="1"/>
  <c r="C197" i="1"/>
  <c r="A198" i="1"/>
  <c r="F198" i="1" s="1"/>
  <c r="D197" i="1"/>
  <c r="B197" i="1"/>
  <c r="N195" i="1" l="1"/>
  <c r="H196" i="1"/>
  <c r="M196" i="1"/>
  <c r="K196" i="1"/>
  <c r="I196" i="1"/>
  <c r="G196" i="1"/>
  <c r="L196" i="1"/>
  <c r="J196" i="1"/>
  <c r="E197" i="1"/>
  <c r="A199" i="1"/>
  <c r="F199" i="1" s="1"/>
  <c r="C198" i="1"/>
  <c r="D198" i="1"/>
  <c r="B198" i="1"/>
  <c r="N196" i="1" l="1"/>
  <c r="H197" i="1"/>
  <c r="M197" i="1"/>
  <c r="K197" i="1"/>
  <c r="I197" i="1"/>
  <c r="G197" i="1"/>
  <c r="J197" i="1"/>
  <c r="L197" i="1"/>
  <c r="E198" i="1"/>
  <c r="A200" i="1"/>
  <c r="F200" i="1" s="1"/>
  <c r="D199" i="1"/>
  <c r="C199" i="1"/>
  <c r="B199" i="1"/>
  <c r="N197" i="1" l="1"/>
  <c r="M198" i="1"/>
  <c r="H198" i="1"/>
  <c r="I198" i="1"/>
  <c r="K198" i="1"/>
  <c r="G198" i="1"/>
  <c r="J198" i="1"/>
  <c r="L198" i="1"/>
  <c r="E199" i="1"/>
  <c r="A201" i="1"/>
  <c r="F201" i="1" s="1"/>
  <c r="C200" i="1"/>
  <c r="D200" i="1"/>
  <c r="B200" i="1"/>
  <c r="N198" i="1" l="1"/>
  <c r="H199" i="1"/>
  <c r="I199" i="1"/>
  <c r="M199" i="1"/>
  <c r="K199" i="1"/>
  <c r="G199" i="1"/>
  <c r="J199" i="1"/>
  <c r="L199" i="1"/>
  <c r="E200" i="1"/>
  <c r="A202" i="1"/>
  <c r="F202" i="1" s="1"/>
  <c r="C201" i="1"/>
  <c r="D201" i="1"/>
  <c r="B201" i="1"/>
  <c r="N199" i="1" l="1"/>
  <c r="M200" i="1"/>
  <c r="I200" i="1"/>
  <c r="K200" i="1"/>
  <c r="H200" i="1"/>
  <c r="L200" i="1"/>
  <c r="J200" i="1"/>
  <c r="G200" i="1"/>
  <c r="E201" i="1"/>
  <c r="A203" i="1"/>
  <c r="F203" i="1" s="1"/>
  <c r="C202" i="1"/>
  <c r="D202" i="1"/>
  <c r="B202" i="1"/>
  <c r="N200" i="1" l="1"/>
  <c r="M201" i="1"/>
  <c r="H201" i="1"/>
  <c r="K201" i="1"/>
  <c r="J201" i="1"/>
  <c r="G201" i="1"/>
  <c r="I201" i="1"/>
  <c r="L201" i="1"/>
  <c r="E202" i="1"/>
  <c r="A204" i="1"/>
  <c r="F204" i="1" s="1"/>
  <c r="C203" i="1"/>
  <c r="D203" i="1"/>
  <c r="B203" i="1"/>
  <c r="N201" i="1" l="1"/>
  <c r="M202" i="1"/>
  <c r="H202" i="1"/>
  <c r="I202" i="1"/>
  <c r="K202" i="1"/>
  <c r="G202" i="1"/>
  <c r="J202" i="1"/>
  <c r="L202" i="1"/>
  <c r="E203" i="1"/>
  <c r="D204" i="1"/>
  <c r="A205" i="1"/>
  <c r="F205" i="1" s="1"/>
  <c r="C204" i="1"/>
  <c r="B204" i="1"/>
  <c r="N202" i="1" l="1"/>
  <c r="M203" i="1"/>
  <c r="H203" i="1"/>
  <c r="K203" i="1"/>
  <c r="I203" i="1"/>
  <c r="G203" i="1"/>
  <c r="J203" i="1"/>
  <c r="L203" i="1"/>
  <c r="E204" i="1"/>
  <c r="D205" i="1"/>
  <c r="A206" i="1"/>
  <c r="F206" i="1" s="1"/>
  <c r="C205" i="1"/>
  <c r="B205" i="1"/>
  <c r="N203" i="1" l="1"/>
  <c r="M204" i="1"/>
  <c r="H204" i="1"/>
  <c r="I204" i="1"/>
  <c r="K204" i="1"/>
  <c r="J204" i="1"/>
  <c r="L204" i="1"/>
  <c r="G204" i="1"/>
  <c r="E205" i="1"/>
  <c r="C206" i="1"/>
  <c r="A207" i="1"/>
  <c r="F207" i="1" s="1"/>
  <c r="D206" i="1"/>
  <c r="B206" i="1"/>
  <c r="N204" i="1" l="1"/>
  <c r="M205" i="1"/>
  <c r="I205" i="1"/>
  <c r="K205" i="1"/>
  <c r="H205" i="1"/>
  <c r="G205" i="1"/>
  <c r="J205" i="1"/>
  <c r="L205" i="1"/>
  <c r="E206" i="1"/>
  <c r="A208" i="1"/>
  <c r="F208" i="1" s="1"/>
  <c r="C207" i="1"/>
  <c r="D207" i="1"/>
  <c r="B207" i="1"/>
  <c r="N205" i="1" l="1"/>
  <c r="M206" i="1"/>
  <c r="I206" i="1"/>
  <c r="H206" i="1"/>
  <c r="K206" i="1"/>
  <c r="G206" i="1"/>
  <c r="J206" i="1"/>
  <c r="L206" i="1"/>
  <c r="E207" i="1"/>
  <c r="A209" i="1"/>
  <c r="F209" i="1" s="1"/>
  <c r="B208" i="1"/>
  <c r="C208" i="1"/>
  <c r="D208" i="1"/>
  <c r="N206" i="1" l="1"/>
  <c r="H207" i="1"/>
  <c r="M207" i="1"/>
  <c r="I207" i="1"/>
  <c r="K207" i="1"/>
  <c r="L207" i="1"/>
  <c r="J207" i="1"/>
  <c r="G207" i="1"/>
  <c r="E208" i="1"/>
  <c r="A210" i="1"/>
  <c r="F210" i="1" s="1"/>
  <c r="C209" i="1"/>
  <c r="D209" i="1"/>
  <c r="B209" i="1"/>
  <c r="E209" i="1" l="1"/>
  <c r="N207" i="1"/>
  <c r="H209" i="1"/>
  <c r="M209" i="1"/>
  <c r="K209" i="1"/>
  <c r="I209" i="1"/>
  <c r="G209" i="1"/>
  <c r="L209" i="1"/>
  <c r="J209" i="1"/>
  <c r="H208" i="1"/>
  <c r="M208" i="1"/>
  <c r="K208" i="1"/>
  <c r="I208" i="1"/>
  <c r="G208" i="1"/>
  <c r="L208" i="1"/>
  <c r="J208" i="1"/>
  <c r="A211" i="1"/>
  <c r="F211" i="1" s="1"/>
  <c r="B210" i="1"/>
  <c r="C210" i="1"/>
  <c r="D210" i="1"/>
  <c r="N208" i="1" l="1"/>
  <c r="N209" i="1"/>
  <c r="E210" i="1"/>
  <c r="A212" i="1"/>
  <c r="F212" i="1" s="1"/>
  <c r="D211" i="1"/>
  <c r="B211" i="1"/>
  <c r="C211" i="1"/>
  <c r="I210" i="1" l="1"/>
  <c r="M210" i="1"/>
  <c r="H210" i="1"/>
  <c r="K210" i="1"/>
  <c r="G210" i="1"/>
  <c r="J210" i="1"/>
  <c r="L210" i="1"/>
  <c r="E211" i="1"/>
  <c r="A213" i="1"/>
  <c r="F213" i="1" s="1"/>
  <c r="C212" i="1"/>
  <c r="B212" i="1"/>
  <c r="E212" i="1" s="1"/>
  <c r="D212" i="1"/>
  <c r="N210" i="1" l="1"/>
  <c r="H212" i="1"/>
  <c r="M212" i="1"/>
  <c r="I212" i="1"/>
  <c r="G212" i="1"/>
  <c r="K212" i="1"/>
  <c r="L212" i="1"/>
  <c r="J212" i="1"/>
  <c r="H211" i="1"/>
  <c r="M211" i="1"/>
  <c r="I211" i="1"/>
  <c r="K211" i="1"/>
  <c r="J211" i="1"/>
  <c r="G211" i="1"/>
  <c r="L211" i="1"/>
  <c r="A214" i="1"/>
  <c r="F214" i="1" s="1"/>
  <c r="C213" i="1"/>
  <c r="D213" i="1"/>
  <c r="B213" i="1"/>
  <c r="E213" i="1" s="1"/>
  <c r="N211" i="1" l="1"/>
  <c r="N212" i="1"/>
  <c r="M213" i="1"/>
  <c r="I213" i="1"/>
  <c r="K213" i="1"/>
  <c r="H213" i="1"/>
  <c r="G213" i="1"/>
  <c r="L213" i="1"/>
  <c r="J213" i="1"/>
  <c r="A215" i="1"/>
  <c r="F215" i="1" s="1"/>
  <c r="C214" i="1"/>
  <c r="D214" i="1"/>
  <c r="B214" i="1"/>
  <c r="E214" i="1" l="1"/>
  <c r="N213" i="1"/>
  <c r="M214" i="1"/>
  <c r="H214" i="1"/>
  <c r="I214" i="1"/>
  <c r="K214" i="1"/>
  <c r="G214" i="1"/>
  <c r="J214" i="1"/>
  <c r="L214" i="1"/>
  <c r="A216" i="1"/>
  <c r="F216" i="1" s="1"/>
  <c r="D215" i="1"/>
  <c r="C215" i="1"/>
  <c r="B215" i="1"/>
  <c r="N214" i="1" l="1"/>
  <c r="E215" i="1"/>
  <c r="A217" i="1"/>
  <c r="F217" i="1" s="1"/>
  <c r="C216" i="1"/>
  <c r="D216" i="1"/>
  <c r="B216" i="1"/>
  <c r="E216" i="1" s="1"/>
  <c r="H216" i="1" l="1"/>
  <c r="M216" i="1"/>
  <c r="I216" i="1"/>
  <c r="K216" i="1"/>
  <c r="G216" i="1"/>
  <c r="L216" i="1"/>
  <c r="J216" i="1"/>
  <c r="M215" i="1"/>
  <c r="H215" i="1"/>
  <c r="K215" i="1"/>
  <c r="I215" i="1"/>
  <c r="G215" i="1"/>
  <c r="J215" i="1"/>
  <c r="L215" i="1"/>
  <c r="A218" i="1"/>
  <c r="F218" i="1" s="1"/>
  <c r="B217" i="1"/>
  <c r="C217" i="1"/>
  <c r="D217" i="1"/>
  <c r="N216" i="1" l="1"/>
  <c r="N215" i="1"/>
  <c r="E217" i="1"/>
  <c r="B218" i="1"/>
  <c r="C218" i="1"/>
  <c r="A219" i="1"/>
  <c r="F219" i="1" s="1"/>
  <c r="D218" i="1"/>
  <c r="H217" i="1" l="1"/>
  <c r="M217" i="1"/>
  <c r="I217" i="1"/>
  <c r="K217" i="1"/>
  <c r="G217" i="1"/>
  <c r="L217" i="1"/>
  <c r="J217" i="1"/>
  <c r="A220" i="1"/>
  <c r="F220" i="1" s="1"/>
  <c r="D219" i="1"/>
  <c r="C219" i="1"/>
  <c r="B219" i="1"/>
  <c r="E218" i="1"/>
  <c r="N217" i="1" l="1"/>
  <c r="H218" i="1"/>
  <c r="M218" i="1"/>
  <c r="I218" i="1"/>
  <c r="K218" i="1"/>
  <c r="J218" i="1"/>
  <c r="G218" i="1"/>
  <c r="L218" i="1"/>
  <c r="E219" i="1"/>
  <c r="A221" i="1"/>
  <c r="F221" i="1" s="1"/>
  <c r="B220" i="1"/>
  <c r="C220" i="1"/>
  <c r="D220" i="1"/>
  <c r="N218" i="1" l="1"/>
  <c r="H219" i="1"/>
  <c r="M219" i="1"/>
  <c r="I219" i="1"/>
  <c r="K219" i="1"/>
  <c r="G219" i="1"/>
  <c r="L219" i="1"/>
  <c r="J219" i="1"/>
  <c r="E220" i="1"/>
  <c r="A222" i="1"/>
  <c r="F222" i="1" s="1"/>
  <c r="C221" i="1"/>
  <c r="D221" i="1"/>
  <c r="B221" i="1"/>
  <c r="E221" i="1" l="1"/>
  <c r="N219" i="1"/>
  <c r="H221" i="1"/>
  <c r="M221" i="1"/>
  <c r="I221" i="1"/>
  <c r="K221" i="1"/>
  <c r="G221" i="1"/>
  <c r="L221" i="1"/>
  <c r="J221" i="1"/>
  <c r="H220" i="1"/>
  <c r="I220" i="1"/>
  <c r="M220" i="1"/>
  <c r="K220" i="1"/>
  <c r="G220" i="1"/>
  <c r="J220" i="1"/>
  <c r="L220" i="1"/>
  <c r="C222" i="1"/>
  <c r="A223" i="1"/>
  <c r="F223" i="1" s="1"/>
  <c r="D222" i="1"/>
  <c r="B222" i="1"/>
  <c r="E222" i="1" s="1"/>
  <c r="N221" i="1" l="1"/>
  <c r="N220" i="1"/>
  <c r="M222" i="1"/>
  <c r="I222" i="1"/>
  <c r="H222" i="1"/>
  <c r="G222" i="1"/>
  <c r="K222" i="1"/>
  <c r="J222" i="1"/>
  <c r="L222" i="1"/>
  <c r="A224" i="1"/>
  <c r="F224" i="1" s="1"/>
  <c r="C223" i="1"/>
  <c r="B223" i="1"/>
  <c r="E223" i="1" s="1"/>
  <c r="D223" i="1"/>
  <c r="N222" i="1" l="1"/>
  <c r="H223" i="1"/>
  <c r="I223" i="1"/>
  <c r="M223" i="1"/>
  <c r="K223" i="1"/>
  <c r="G223" i="1"/>
  <c r="L223" i="1"/>
  <c r="J223" i="1"/>
  <c r="A225" i="1"/>
  <c r="F225" i="1" s="1"/>
  <c r="C224" i="1"/>
  <c r="B224" i="1"/>
  <c r="D224" i="1"/>
  <c r="N223" i="1" l="1"/>
  <c r="E224" i="1"/>
  <c r="D225" i="1"/>
  <c r="A226" i="1"/>
  <c r="F226" i="1" s="1"/>
  <c r="B225" i="1"/>
  <c r="C225" i="1"/>
  <c r="M224" i="1" l="1"/>
  <c r="H224" i="1"/>
  <c r="I224" i="1"/>
  <c r="K224" i="1"/>
  <c r="G224" i="1"/>
  <c r="J224" i="1"/>
  <c r="L224" i="1"/>
  <c r="E225" i="1"/>
  <c r="A227" i="1"/>
  <c r="F227" i="1" s="1"/>
  <c r="C226" i="1"/>
  <c r="D226" i="1"/>
  <c r="B226" i="1"/>
  <c r="N224" i="1" l="1"/>
  <c r="H225" i="1"/>
  <c r="M225" i="1"/>
  <c r="I225" i="1"/>
  <c r="K225" i="1"/>
  <c r="G225" i="1"/>
  <c r="L225" i="1"/>
  <c r="J225" i="1"/>
  <c r="E226" i="1"/>
  <c r="C227" i="1"/>
  <c r="D227" i="1"/>
  <c r="B227" i="1"/>
  <c r="E227" i="1" s="1"/>
  <c r="A228" i="1"/>
  <c r="F228" i="1" s="1"/>
  <c r="N225" i="1" l="1"/>
  <c r="M226" i="1"/>
  <c r="H226" i="1"/>
  <c r="K226" i="1"/>
  <c r="I226" i="1"/>
  <c r="G226" i="1"/>
  <c r="J226" i="1"/>
  <c r="L226" i="1"/>
  <c r="M227" i="1"/>
  <c r="H227" i="1"/>
  <c r="K227" i="1"/>
  <c r="I227" i="1"/>
  <c r="G227" i="1"/>
  <c r="L227" i="1"/>
  <c r="J227" i="1"/>
  <c r="C228" i="1"/>
  <c r="D228" i="1"/>
  <c r="A229" i="1"/>
  <c r="F229" i="1" s="1"/>
  <c r="B228" i="1"/>
  <c r="E228" i="1" s="1"/>
  <c r="N226" i="1" l="1"/>
  <c r="N227" i="1"/>
  <c r="M228" i="1"/>
  <c r="H228" i="1"/>
  <c r="I228" i="1"/>
  <c r="G228" i="1"/>
  <c r="K228" i="1"/>
  <c r="L228" i="1"/>
  <c r="J228" i="1"/>
  <c r="A230" i="1"/>
  <c r="F230" i="1" s="1"/>
  <c r="C229" i="1"/>
  <c r="D229" i="1"/>
  <c r="B229" i="1"/>
  <c r="E229" i="1" l="1"/>
  <c r="N228" i="1"/>
  <c r="H229" i="1"/>
  <c r="I229" i="1"/>
  <c r="M229" i="1"/>
  <c r="K229" i="1"/>
  <c r="G229" i="1"/>
  <c r="J229" i="1"/>
  <c r="L229" i="1"/>
  <c r="B230" i="1"/>
  <c r="A231" i="1"/>
  <c r="F231" i="1" s="1"/>
  <c r="C230" i="1"/>
  <c r="D230" i="1"/>
  <c r="N229" i="1" l="1"/>
  <c r="A232" i="1"/>
  <c r="F232" i="1" s="1"/>
  <c r="B231" i="1"/>
  <c r="C231" i="1"/>
  <c r="D231" i="1"/>
  <c r="E230" i="1"/>
  <c r="H230" i="1" l="1"/>
  <c r="M230" i="1"/>
  <c r="I230" i="1"/>
  <c r="K230" i="1"/>
  <c r="G230" i="1"/>
  <c r="J230" i="1"/>
  <c r="L230" i="1"/>
  <c r="E231" i="1"/>
  <c r="A233" i="1"/>
  <c r="F233" i="1" s="1"/>
  <c r="B232" i="1"/>
  <c r="C232" i="1"/>
  <c r="D232" i="1"/>
  <c r="N230" i="1" l="1"/>
  <c r="H231" i="1"/>
  <c r="M231" i="1"/>
  <c r="I231" i="1"/>
  <c r="K231" i="1"/>
  <c r="G231" i="1"/>
  <c r="L231" i="1"/>
  <c r="J231" i="1"/>
  <c r="E232" i="1"/>
  <c r="C233" i="1"/>
  <c r="D233" i="1"/>
  <c r="A234" i="1"/>
  <c r="F234" i="1" s="1"/>
  <c r="B233" i="1"/>
  <c r="E233" i="1" l="1"/>
  <c r="N231" i="1"/>
  <c r="H233" i="1"/>
  <c r="I233" i="1"/>
  <c r="M233" i="1"/>
  <c r="K233" i="1"/>
  <c r="G233" i="1"/>
  <c r="L233" i="1"/>
  <c r="J233" i="1"/>
  <c r="H232" i="1"/>
  <c r="M232" i="1"/>
  <c r="K232" i="1"/>
  <c r="G232" i="1"/>
  <c r="I232" i="1"/>
  <c r="L232" i="1"/>
  <c r="J232" i="1"/>
  <c r="A235" i="1"/>
  <c r="F235" i="1" s="1"/>
  <c r="C234" i="1"/>
  <c r="D234" i="1"/>
  <c r="B234" i="1"/>
  <c r="N233" i="1" l="1"/>
  <c r="N232" i="1"/>
  <c r="E234" i="1"/>
  <c r="C235" i="1"/>
  <c r="A236" i="1"/>
  <c r="F236" i="1" s="1"/>
  <c r="D235" i="1"/>
  <c r="B235" i="1"/>
  <c r="E235" i="1" s="1"/>
  <c r="H235" i="1" l="1"/>
  <c r="M235" i="1"/>
  <c r="I235" i="1"/>
  <c r="G235" i="1"/>
  <c r="K235" i="1"/>
  <c r="L235" i="1"/>
  <c r="J235" i="1"/>
  <c r="H234" i="1"/>
  <c r="M234" i="1"/>
  <c r="I234" i="1"/>
  <c r="K234" i="1"/>
  <c r="G234" i="1"/>
  <c r="J234" i="1"/>
  <c r="L234" i="1"/>
  <c r="D236" i="1"/>
  <c r="A237" i="1"/>
  <c r="F237" i="1" s="1"/>
  <c r="B236" i="1"/>
  <c r="C236" i="1"/>
  <c r="N235" i="1" l="1"/>
  <c r="N234" i="1"/>
  <c r="E236" i="1"/>
  <c r="A238" i="1"/>
  <c r="F238" i="1" s="1"/>
  <c r="D237" i="1"/>
  <c r="B237" i="1"/>
  <c r="C237" i="1"/>
  <c r="M236" i="1" l="1"/>
  <c r="H236" i="1"/>
  <c r="I236" i="1"/>
  <c r="K236" i="1"/>
  <c r="G236" i="1"/>
  <c r="L236" i="1"/>
  <c r="J236" i="1"/>
  <c r="E237" i="1"/>
  <c r="A239" i="1"/>
  <c r="F239" i="1" s="1"/>
  <c r="C238" i="1"/>
  <c r="B238" i="1"/>
  <c r="E238" i="1" s="1"/>
  <c r="D238" i="1"/>
  <c r="N236" i="1" l="1"/>
  <c r="M238" i="1"/>
  <c r="K238" i="1"/>
  <c r="H238" i="1"/>
  <c r="I238" i="1"/>
  <c r="J238" i="1"/>
  <c r="G238" i="1"/>
  <c r="L238" i="1"/>
  <c r="H237" i="1"/>
  <c r="M237" i="1"/>
  <c r="I237" i="1"/>
  <c r="K237" i="1"/>
  <c r="G237" i="1"/>
  <c r="J237" i="1"/>
  <c r="L237" i="1"/>
  <c r="A240" i="1"/>
  <c r="F240" i="1" s="1"/>
  <c r="C239" i="1"/>
  <c r="D239" i="1"/>
  <c r="B239" i="1"/>
  <c r="N237" i="1" l="1"/>
  <c r="N238" i="1"/>
  <c r="E239" i="1"/>
  <c r="A241" i="1"/>
  <c r="F241" i="1" s="1"/>
  <c r="C240" i="1"/>
  <c r="B240" i="1"/>
  <c r="E240" i="1" s="1"/>
  <c r="D240" i="1"/>
  <c r="M240" i="1" l="1"/>
  <c r="H240" i="1"/>
  <c r="K240" i="1"/>
  <c r="G240" i="1"/>
  <c r="I240" i="1"/>
  <c r="L240" i="1"/>
  <c r="J240" i="1"/>
  <c r="I239" i="1"/>
  <c r="M239" i="1"/>
  <c r="H239" i="1"/>
  <c r="K239" i="1"/>
  <c r="G239" i="1"/>
  <c r="L239" i="1"/>
  <c r="J239" i="1"/>
  <c r="A242" i="1"/>
  <c r="F242" i="1" s="1"/>
  <c r="B241" i="1"/>
  <c r="C241" i="1"/>
  <c r="D241" i="1"/>
  <c r="N240" i="1" l="1"/>
  <c r="N239" i="1"/>
  <c r="E241" i="1"/>
  <c r="C242" i="1"/>
  <c r="A243" i="1"/>
  <c r="F243" i="1" s="1"/>
  <c r="D242" i="1"/>
  <c r="B242" i="1"/>
  <c r="E242" i="1" s="1"/>
  <c r="H242" i="1" l="1"/>
  <c r="M242" i="1"/>
  <c r="I242" i="1"/>
  <c r="K242" i="1"/>
  <c r="G242" i="1"/>
  <c r="L242" i="1"/>
  <c r="J242" i="1"/>
  <c r="H241" i="1"/>
  <c r="M241" i="1"/>
  <c r="I241" i="1"/>
  <c r="K241" i="1"/>
  <c r="G241" i="1"/>
  <c r="J241" i="1"/>
  <c r="L241" i="1"/>
  <c r="A244" i="1"/>
  <c r="F244" i="1" s="1"/>
  <c r="C243" i="1"/>
  <c r="D243" i="1"/>
  <c r="B243" i="1"/>
  <c r="N242" i="1" l="1"/>
  <c r="N241" i="1"/>
  <c r="E243" i="1"/>
  <c r="A245" i="1"/>
  <c r="F245" i="1" s="1"/>
  <c r="C244" i="1"/>
  <c r="D244" i="1"/>
  <c r="B244" i="1"/>
  <c r="E244" i="1" s="1"/>
  <c r="H244" i="1" l="1"/>
  <c r="M244" i="1"/>
  <c r="I244" i="1"/>
  <c r="K244" i="1"/>
  <c r="G244" i="1"/>
  <c r="L244" i="1"/>
  <c r="J244" i="1"/>
  <c r="H243" i="1"/>
  <c r="M243" i="1"/>
  <c r="I243" i="1"/>
  <c r="K243" i="1"/>
  <c r="G243" i="1"/>
  <c r="L243" i="1"/>
  <c r="J243" i="1"/>
  <c r="A246" i="1"/>
  <c r="F246" i="1" s="1"/>
  <c r="D245" i="1"/>
  <c r="B245" i="1"/>
  <c r="C245" i="1"/>
  <c r="N244" i="1" l="1"/>
  <c r="N243" i="1"/>
  <c r="E245" i="1"/>
  <c r="A247" i="1"/>
  <c r="F247" i="1" s="1"/>
  <c r="C246" i="1"/>
  <c r="D246" i="1"/>
  <c r="B246" i="1"/>
  <c r="E246" i="1" s="1"/>
  <c r="M246" i="1" l="1"/>
  <c r="H246" i="1"/>
  <c r="I246" i="1"/>
  <c r="J246" i="1"/>
  <c r="G246" i="1"/>
  <c r="K246" i="1"/>
  <c r="L246" i="1"/>
  <c r="M245" i="1"/>
  <c r="H245" i="1"/>
  <c r="K245" i="1"/>
  <c r="I245" i="1"/>
  <c r="G245" i="1"/>
  <c r="L245" i="1"/>
  <c r="J245" i="1"/>
  <c r="D247" i="1"/>
  <c r="A248" i="1"/>
  <c r="F248" i="1" s="1"/>
  <c r="C247" i="1"/>
  <c r="B247" i="1"/>
  <c r="E247" i="1" s="1"/>
  <c r="N245" i="1" l="1"/>
  <c r="N246" i="1"/>
  <c r="H247" i="1"/>
  <c r="M247" i="1"/>
  <c r="K247" i="1"/>
  <c r="I247" i="1"/>
  <c r="G247" i="1"/>
  <c r="L247" i="1"/>
  <c r="J247" i="1"/>
  <c r="A249" i="1"/>
  <c r="F249" i="1" s="1"/>
  <c r="C248" i="1"/>
  <c r="B248" i="1"/>
  <c r="E248" i="1" s="1"/>
  <c r="D248" i="1"/>
  <c r="N247" i="1" l="1"/>
  <c r="M248" i="1"/>
  <c r="H248" i="1"/>
  <c r="K248" i="1"/>
  <c r="I248" i="1"/>
  <c r="G248" i="1"/>
  <c r="J248" i="1"/>
  <c r="L248" i="1"/>
  <c r="D249" i="1"/>
  <c r="C249" i="1"/>
  <c r="A250" i="1"/>
  <c r="F250" i="1" s="1"/>
  <c r="B249" i="1"/>
  <c r="E249" i="1" s="1"/>
  <c r="N248" i="1" l="1"/>
  <c r="H249" i="1"/>
  <c r="M249" i="1"/>
  <c r="I249" i="1"/>
  <c r="K249" i="1"/>
  <c r="G249" i="1"/>
  <c r="J249" i="1"/>
  <c r="L249" i="1"/>
  <c r="A251" i="1"/>
  <c r="F251" i="1" s="1"/>
  <c r="B250" i="1"/>
  <c r="C250" i="1"/>
  <c r="D250" i="1"/>
  <c r="N249" i="1" l="1"/>
  <c r="E250" i="1"/>
  <c r="C251" i="1"/>
  <c r="A252" i="1"/>
  <c r="F252" i="1" s="1"/>
  <c r="B251" i="1"/>
  <c r="E251" i="1" s="1"/>
  <c r="D251" i="1"/>
  <c r="H251" i="1" l="1"/>
  <c r="M251" i="1"/>
  <c r="I251" i="1"/>
  <c r="K251" i="1"/>
  <c r="G251" i="1"/>
  <c r="J251" i="1"/>
  <c r="L251" i="1"/>
  <c r="M250" i="1"/>
  <c r="K250" i="1"/>
  <c r="I250" i="1"/>
  <c r="H250" i="1"/>
  <c r="G250" i="1"/>
  <c r="L250" i="1"/>
  <c r="J250" i="1"/>
  <c r="C252" i="1"/>
  <c r="D252" i="1"/>
  <c r="A253" i="1"/>
  <c r="F253" i="1" s="1"/>
  <c r="B252" i="1"/>
  <c r="E252" i="1" s="1"/>
  <c r="N251" i="1" l="1"/>
  <c r="N250" i="1"/>
  <c r="H252" i="1"/>
  <c r="M252" i="1"/>
  <c r="I252" i="1"/>
  <c r="K252" i="1"/>
  <c r="G252" i="1"/>
  <c r="J252" i="1"/>
  <c r="L252" i="1"/>
  <c r="D253" i="1"/>
  <c r="A254" i="1"/>
  <c r="F254" i="1" s="1"/>
  <c r="C253" i="1"/>
  <c r="B253" i="1"/>
  <c r="N252" i="1" l="1"/>
  <c r="E253" i="1"/>
  <c r="C254" i="1"/>
  <c r="A255" i="1"/>
  <c r="F255" i="1" s="1"/>
  <c r="B254" i="1"/>
  <c r="E254" i="1" s="1"/>
  <c r="D254" i="1"/>
  <c r="M254" i="1" l="1"/>
  <c r="I254" i="1"/>
  <c r="H254" i="1"/>
  <c r="K254" i="1"/>
  <c r="G254" i="1"/>
  <c r="J254" i="1"/>
  <c r="L254" i="1"/>
  <c r="H253" i="1"/>
  <c r="M253" i="1"/>
  <c r="I253" i="1"/>
  <c r="K253" i="1"/>
  <c r="J253" i="1"/>
  <c r="G253" i="1"/>
  <c r="L253" i="1"/>
  <c r="A256" i="1"/>
  <c r="F256" i="1" s="1"/>
  <c r="C255" i="1"/>
  <c r="D255" i="1"/>
  <c r="B255" i="1"/>
  <c r="E255" i="1" s="1"/>
  <c r="N254" i="1" l="1"/>
  <c r="N253" i="1"/>
  <c r="H255" i="1"/>
  <c r="M255" i="1"/>
  <c r="K255" i="1"/>
  <c r="I255" i="1"/>
  <c r="G255" i="1"/>
  <c r="L255" i="1"/>
  <c r="J255" i="1"/>
  <c r="A257" i="1"/>
  <c r="F257" i="1" s="1"/>
  <c r="D256" i="1"/>
  <c r="B256" i="1"/>
  <c r="C256" i="1"/>
  <c r="N255" i="1" l="1"/>
  <c r="E256" i="1"/>
  <c r="D257" i="1"/>
  <c r="B257" i="1"/>
  <c r="A258" i="1"/>
  <c r="F258" i="1" s="1"/>
  <c r="C257" i="1"/>
  <c r="H256" i="1" l="1"/>
  <c r="M256" i="1"/>
  <c r="I256" i="1"/>
  <c r="K256" i="1"/>
  <c r="G256" i="1"/>
  <c r="L256" i="1"/>
  <c r="J256" i="1"/>
  <c r="A259" i="1"/>
  <c r="F259" i="1" s="1"/>
  <c r="D258" i="1"/>
  <c r="C258" i="1"/>
  <c r="B258" i="1"/>
  <c r="E257" i="1"/>
  <c r="N256" i="1" l="1"/>
  <c r="E258" i="1"/>
  <c r="M257" i="1"/>
  <c r="H257" i="1"/>
  <c r="K257" i="1"/>
  <c r="I257" i="1"/>
  <c r="G257" i="1"/>
  <c r="L257" i="1"/>
  <c r="J257" i="1"/>
  <c r="A260" i="1"/>
  <c r="F260" i="1" s="1"/>
  <c r="C259" i="1"/>
  <c r="D259" i="1"/>
  <c r="B259" i="1"/>
  <c r="N257" i="1" l="1"/>
  <c r="E259" i="1"/>
  <c r="H258" i="1"/>
  <c r="M258" i="1"/>
  <c r="G258" i="1"/>
  <c r="I258" i="1"/>
  <c r="K258" i="1"/>
  <c r="J258" i="1"/>
  <c r="L258" i="1"/>
  <c r="A261" i="1"/>
  <c r="F261" i="1" s="1"/>
  <c r="C260" i="1"/>
  <c r="D260" i="1"/>
  <c r="B260" i="1"/>
  <c r="N258" i="1" l="1"/>
  <c r="M259" i="1"/>
  <c r="H259" i="1"/>
  <c r="K259" i="1"/>
  <c r="I259" i="1"/>
  <c r="G259" i="1"/>
  <c r="L259" i="1"/>
  <c r="J259" i="1"/>
  <c r="E260" i="1"/>
  <c r="C261" i="1"/>
  <c r="D261" i="1"/>
  <c r="A262" i="1"/>
  <c r="F262" i="1" s="1"/>
  <c r="B261" i="1"/>
  <c r="N259" i="1" l="1"/>
  <c r="M260" i="1"/>
  <c r="H260" i="1"/>
  <c r="K260" i="1"/>
  <c r="I260" i="1"/>
  <c r="G260" i="1"/>
  <c r="J260" i="1"/>
  <c r="L260" i="1"/>
  <c r="E261" i="1"/>
  <c r="C262" i="1"/>
  <c r="D262" i="1"/>
  <c r="A263" i="1"/>
  <c r="F263" i="1" s="1"/>
  <c r="B262" i="1"/>
  <c r="N260" i="1" l="1"/>
  <c r="H261" i="1"/>
  <c r="M261" i="1"/>
  <c r="I261" i="1"/>
  <c r="K261" i="1"/>
  <c r="G261" i="1"/>
  <c r="J261" i="1"/>
  <c r="L261" i="1"/>
  <c r="E262" i="1"/>
  <c r="A264" i="1"/>
  <c r="F264" i="1" s="1"/>
  <c r="B263" i="1"/>
  <c r="C263" i="1"/>
  <c r="D263" i="1"/>
  <c r="N261" i="1" l="1"/>
  <c r="H262" i="1"/>
  <c r="M262" i="1"/>
  <c r="I262" i="1"/>
  <c r="K262" i="1"/>
  <c r="G262" i="1"/>
  <c r="J262" i="1"/>
  <c r="L262" i="1"/>
  <c r="E263" i="1"/>
  <c r="A265" i="1"/>
  <c r="F265" i="1" s="1"/>
  <c r="B264" i="1"/>
  <c r="C264" i="1"/>
  <c r="D264" i="1"/>
  <c r="N262" i="1" l="1"/>
  <c r="M263" i="1"/>
  <c r="H263" i="1"/>
  <c r="K263" i="1"/>
  <c r="I263" i="1"/>
  <c r="G263" i="1"/>
  <c r="J263" i="1"/>
  <c r="L263" i="1"/>
  <c r="E264" i="1"/>
  <c r="B265" i="1"/>
  <c r="A266" i="1"/>
  <c r="F266" i="1" s="1"/>
  <c r="C265" i="1"/>
  <c r="D265" i="1"/>
  <c r="N263" i="1" l="1"/>
  <c r="H264" i="1"/>
  <c r="M264" i="1"/>
  <c r="I264" i="1"/>
  <c r="K264" i="1"/>
  <c r="G264" i="1"/>
  <c r="L264" i="1"/>
  <c r="J264" i="1"/>
  <c r="A267" i="1"/>
  <c r="F267" i="1" s="1"/>
  <c r="C266" i="1"/>
  <c r="D266" i="1"/>
  <c r="B266" i="1"/>
  <c r="E265" i="1"/>
  <c r="E266" i="1" l="1"/>
  <c r="N264" i="1"/>
  <c r="H266" i="1"/>
  <c r="I266" i="1"/>
  <c r="M266" i="1"/>
  <c r="K266" i="1"/>
  <c r="J266" i="1"/>
  <c r="G266" i="1"/>
  <c r="L266" i="1"/>
  <c r="M265" i="1"/>
  <c r="H265" i="1"/>
  <c r="K265" i="1"/>
  <c r="I265" i="1"/>
  <c r="G265" i="1"/>
  <c r="L265" i="1"/>
  <c r="J265" i="1"/>
  <c r="A268" i="1"/>
  <c r="F268" i="1" s="1"/>
  <c r="C267" i="1"/>
  <c r="D267" i="1"/>
  <c r="B267" i="1"/>
  <c r="E267" i="1" s="1"/>
  <c r="N266" i="1" l="1"/>
  <c r="N265" i="1"/>
  <c r="M267" i="1"/>
  <c r="K267" i="1"/>
  <c r="I267" i="1"/>
  <c r="G267" i="1"/>
  <c r="H267" i="1"/>
  <c r="L267" i="1"/>
  <c r="J267" i="1"/>
  <c r="A269" i="1"/>
  <c r="F269" i="1" s="1"/>
  <c r="B268" i="1"/>
  <c r="C268" i="1"/>
  <c r="D268" i="1"/>
  <c r="N267" i="1" l="1"/>
  <c r="E268" i="1"/>
  <c r="C269" i="1"/>
  <c r="D269" i="1"/>
  <c r="A270" i="1"/>
  <c r="F270" i="1" s="1"/>
  <c r="B269" i="1"/>
  <c r="E269" i="1" s="1"/>
  <c r="M268" i="1" l="1"/>
  <c r="H268" i="1"/>
  <c r="K268" i="1"/>
  <c r="I268" i="1"/>
  <c r="G268" i="1"/>
  <c r="L268" i="1"/>
  <c r="J268" i="1"/>
  <c r="H269" i="1"/>
  <c r="M269" i="1"/>
  <c r="K269" i="1"/>
  <c r="I269" i="1"/>
  <c r="G269" i="1"/>
  <c r="J269" i="1"/>
  <c r="L269" i="1"/>
  <c r="A271" i="1"/>
  <c r="F271" i="1" s="1"/>
  <c r="B270" i="1"/>
  <c r="C270" i="1"/>
  <c r="D270" i="1"/>
  <c r="N268" i="1" l="1"/>
  <c r="N269" i="1"/>
  <c r="E270" i="1"/>
  <c r="A272" i="1"/>
  <c r="F272" i="1" s="1"/>
  <c r="C271" i="1"/>
  <c r="D271" i="1"/>
  <c r="B271" i="1"/>
  <c r="E271" i="1" s="1"/>
  <c r="H271" i="1" l="1"/>
  <c r="I271" i="1"/>
  <c r="M271" i="1"/>
  <c r="K271" i="1"/>
  <c r="G271" i="1"/>
  <c r="J271" i="1"/>
  <c r="L271" i="1"/>
  <c r="M270" i="1"/>
  <c r="H270" i="1"/>
  <c r="K270" i="1"/>
  <c r="I270" i="1"/>
  <c r="G270" i="1"/>
  <c r="L270" i="1"/>
  <c r="J270" i="1"/>
  <c r="A273" i="1"/>
  <c r="F273" i="1" s="1"/>
  <c r="C272" i="1"/>
  <c r="D272" i="1"/>
  <c r="B272" i="1"/>
  <c r="N271" i="1" l="1"/>
  <c r="N270" i="1"/>
  <c r="E272" i="1"/>
  <c r="A274" i="1"/>
  <c r="F274" i="1" s="1"/>
  <c r="C273" i="1"/>
  <c r="D273" i="1"/>
  <c r="B273" i="1"/>
  <c r="E273" i="1" s="1"/>
  <c r="H273" i="1" l="1"/>
  <c r="I273" i="1"/>
  <c r="M273" i="1"/>
  <c r="K273" i="1"/>
  <c r="G273" i="1"/>
  <c r="J273" i="1"/>
  <c r="L273" i="1"/>
  <c r="M272" i="1"/>
  <c r="H272" i="1"/>
  <c r="K272" i="1"/>
  <c r="I272" i="1"/>
  <c r="G272" i="1"/>
  <c r="L272" i="1"/>
  <c r="J272" i="1"/>
  <c r="A275" i="1"/>
  <c r="F275" i="1" s="1"/>
  <c r="C274" i="1"/>
  <c r="B274" i="1"/>
  <c r="D274" i="1"/>
  <c r="N272" i="1" l="1"/>
  <c r="N273" i="1"/>
  <c r="E274" i="1"/>
  <c r="A276" i="1"/>
  <c r="F276" i="1" s="1"/>
  <c r="B275" i="1"/>
  <c r="D275" i="1"/>
  <c r="C275" i="1"/>
  <c r="H274" i="1" l="1"/>
  <c r="M274" i="1"/>
  <c r="K274" i="1"/>
  <c r="I274" i="1"/>
  <c r="G274" i="1"/>
  <c r="J274" i="1"/>
  <c r="L274" i="1"/>
  <c r="E275" i="1"/>
  <c r="C276" i="1"/>
  <c r="A277" i="1"/>
  <c r="F277" i="1" s="1"/>
  <c r="D276" i="1"/>
  <c r="B276" i="1"/>
  <c r="E276" i="1" s="1"/>
  <c r="N274" i="1" l="1"/>
  <c r="M275" i="1"/>
  <c r="I275" i="1"/>
  <c r="K275" i="1"/>
  <c r="G275" i="1"/>
  <c r="J275" i="1"/>
  <c r="H275" i="1"/>
  <c r="L275" i="1"/>
  <c r="M276" i="1"/>
  <c r="K276" i="1"/>
  <c r="I276" i="1"/>
  <c r="H276" i="1"/>
  <c r="G276" i="1"/>
  <c r="L276" i="1"/>
  <c r="J276" i="1"/>
  <c r="A278" i="1"/>
  <c r="F278" i="1" s="1"/>
  <c r="D277" i="1"/>
  <c r="B277" i="1"/>
  <c r="C277" i="1"/>
  <c r="N276" i="1" l="1"/>
  <c r="N275" i="1"/>
  <c r="E277" i="1"/>
  <c r="A279" i="1"/>
  <c r="F279" i="1" s="1"/>
  <c r="C278" i="1"/>
  <c r="D278" i="1"/>
  <c r="B278" i="1"/>
  <c r="E278" i="1" s="1"/>
  <c r="M278" i="1" l="1"/>
  <c r="I278" i="1"/>
  <c r="H278" i="1"/>
  <c r="K278" i="1"/>
  <c r="G278" i="1"/>
  <c r="J278" i="1"/>
  <c r="L278" i="1"/>
  <c r="M277" i="1"/>
  <c r="K277" i="1"/>
  <c r="I277" i="1"/>
  <c r="G277" i="1"/>
  <c r="H277" i="1"/>
  <c r="L277" i="1"/>
  <c r="J277" i="1"/>
  <c r="A280" i="1"/>
  <c r="F280" i="1" s="1"/>
  <c r="C279" i="1"/>
  <c r="D279" i="1"/>
  <c r="B279" i="1"/>
  <c r="E279" i="1" s="1"/>
  <c r="N277" i="1" l="1"/>
  <c r="N278" i="1"/>
  <c r="M279" i="1"/>
  <c r="K279" i="1"/>
  <c r="I279" i="1"/>
  <c r="G279" i="1"/>
  <c r="L279" i="1"/>
  <c r="H279" i="1"/>
  <c r="J279" i="1"/>
  <c r="A281" i="1"/>
  <c r="F281" i="1" s="1"/>
  <c r="B280" i="1"/>
  <c r="C280" i="1"/>
  <c r="D280" i="1"/>
  <c r="N279" i="1" l="1"/>
  <c r="E280" i="1"/>
  <c r="A282" i="1"/>
  <c r="F282" i="1" s="1"/>
  <c r="D281" i="1"/>
  <c r="C281" i="1"/>
  <c r="B281" i="1"/>
  <c r="E281" i="1" s="1"/>
  <c r="M281" i="1" l="1"/>
  <c r="I281" i="1"/>
  <c r="G281" i="1"/>
  <c r="H281" i="1"/>
  <c r="K281" i="1"/>
  <c r="J281" i="1"/>
  <c r="L281" i="1"/>
  <c r="M280" i="1"/>
  <c r="I280" i="1"/>
  <c r="G280" i="1"/>
  <c r="J280" i="1"/>
  <c r="K280" i="1"/>
  <c r="H280" i="1"/>
  <c r="L280" i="1"/>
  <c r="A283" i="1"/>
  <c r="F283" i="1" s="1"/>
  <c r="C282" i="1"/>
  <c r="B282" i="1"/>
  <c r="D282" i="1"/>
  <c r="N281" i="1" l="1"/>
  <c r="N280" i="1"/>
  <c r="E282" i="1"/>
  <c r="A284" i="1"/>
  <c r="F284" i="1" s="1"/>
  <c r="C283" i="1"/>
  <c r="D283" i="1"/>
  <c r="B283" i="1"/>
  <c r="E283" i="1" s="1"/>
  <c r="M283" i="1" l="1"/>
  <c r="I283" i="1"/>
  <c r="K283" i="1"/>
  <c r="G283" i="1"/>
  <c r="J283" i="1"/>
  <c r="H283" i="1"/>
  <c r="L283" i="1"/>
  <c r="M282" i="1"/>
  <c r="I282" i="1"/>
  <c r="H282" i="1"/>
  <c r="G282" i="1"/>
  <c r="K282" i="1"/>
  <c r="J282" i="1"/>
  <c r="L282" i="1"/>
  <c r="A285" i="1"/>
  <c r="F285" i="1" s="1"/>
  <c r="C284" i="1"/>
  <c r="D284" i="1"/>
  <c r="B284" i="1"/>
  <c r="N283" i="1" l="1"/>
  <c r="N282" i="1"/>
  <c r="E284" i="1"/>
  <c r="A286" i="1"/>
  <c r="F286" i="1" s="1"/>
  <c r="C285" i="1"/>
  <c r="B285" i="1"/>
  <c r="E285" i="1" s="1"/>
  <c r="D285" i="1"/>
  <c r="M285" i="1" l="1"/>
  <c r="I285" i="1"/>
  <c r="G285" i="1"/>
  <c r="K285" i="1"/>
  <c r="J285" i="1"/>
  <c r="H285" i="1"/>
  <c r="L285" i="1"/>
  <c r="M284" i="1"/>
  <c r="K284" i="1"/>
  <c r="I284" i="1"/>
  <c r="G284" i="1"/>
  <c r="H284" i="1"/>
  <c r="J284" i="1"/>
  <c r="L284" i="1"/>
  <c r="A287" i="1"/>
  <c r="F287" i="1" s="1"/>
  <c r="C286" i="1"/>
  <c r="D286" i="1"/>
  <c r="B286" i="1"/>
  <c r="E286" i="1" s="1"/>
  <c r="N285" i="1" l="1"/>
  <c r="N284" i="1"/>
  <c r="M286" i="1"/>
  <c r="K286" i="1"/>
  <c r="I286" i="1"/>
  <c r="H286" i="1"/>
  <c r="G286" i="1"/>
  <c r="J286" i="1"/>
  <c r="L286" i="1"/>
  <c r="A288" i="1"/>
  <c r="F288" i="1" s="1"/>
  <c r="B287" i="1"/>
  <c r="D287" i="1"/>
  <c r="C287" i="1"/>
  <c r="N286" i="1" l="1"/>
  <c r="E287" i="1"/>
  <c r="C288" i="1"/>
  <c r="B288" i="1"/>
  <c r="E288" i="1" s="1"/>
  <c r="D288" i="1"/>
  <c r="A289" i="1"/>
  <c r="F289" i="1" s="1"/>
  <c r="M288" i="1" l="1"/>
  <c r="K288" i="1"/>
  <c r="I288" i="1"/>
  <c r="G288" i="1"/>
  <c r="J288" i="1"/>
  <c r="H288" i="1"/>
  <c r="L288" i="1"/>
  <c r="M287" i="1"/>
  <c r="K287" i="1"/>
  <c r="I287" i="1"/>
  <c r="H287" i="1"/>
  <c r="G287" i="1"/>
  <c r="J287" i="1"/>
  <c r="L287" i="1"/>
  <c r="C289" i="1"/>
  <c r="D289" i="1"/>
  <c r="A290" i="1"/>
  <c r="F290" i="1" s="1"/>
  <c r="B289" i="1"/>
  <c r="E289" i="1" s="1"/>
  <c r="N288" i="1" l="1"/>
  <c r="N287" i="1"/>
  <c r="M289" i="1"/>
  <c r="I289" i="1"/>
  <c r="G289" i="1"/>
  <c r="K289" i="1"/>
  <c r="H289" i="1"/>
  <c r="J289" i="1"/>
  <c r="L289" i="1"/>
  <c r="A291" i="1"/>
  <c r="F291" i="1" s="1"/>
  <c r="D290" i="1"/>
  <c r="B290" i="1"/>
  <c r="C290" i="1"/>
  <c r="N289" i="1" l="1"/>
  <c r="E290" i="1"/>
  <c r="A292" i="1"/>
  <c r="F292" i="1" s="1"/>
  <c r="C291" i="1"/>
  <c r="D291" i="1"/>
  <c r="B291" i="1"/>
  <c r="E291" i="1" s="1"/>
  <c r="M291" i="1" l="1"/>
  <c r="K291" i="1"/>
  <c r="I291" i="1"/>
  <c r="G291" i="1"/>
  <c r="H291" i="1"/>
  <c r="J291" i="1"/>
  <c r="L291" i="1"/>
  <c r="M290" i="1"/>
  <c r="I290" i="1"/>
  <c r="K290" i="1"/>
  <c r="H290" i="1"/>
  <c r="G290" i="1"/>
  <c r="J290" i="1"/>
  <c r="L290" i="1"/>
  <c r="A293" i="1"/>
  <c r="F293" i="1" s="1"/>
  <c r="B292" i="1"/>
  <c r="C292" i="1"/>
  <c r="D292" i="1"/>
  <c r="N291" i="1" l="1"/>
  <c r="N290" i="1"/>
  <c r="E292" i="1"/>
  <c r="A294" i="1"/>
  <c r="F294" i="1" s="1"/>
  <c r="C293" i="1"/>
  <c r="B293" i="1"/>
  <c r="E293" i="1" s="1"/>
  <c r="D293" i="1"/>
  <c r="I292" i="1" l="1"/>
  <c r="M292" i="1"/>
  <c r="K292" i="1"/>
  <c r="G292" i="1"/>
  <c r="J292" i="1"/>
  <c r="H292" i="1"/>
  <c r="L292" i="1"/>
  <c r="M293" i="1"/>
  <c r="K293" i="1"/>
  <c r="I293" i="1"/>
  <c r="G293" i="1"/>
  <c r="L293" i="1"/>
  <c r="H293" i="1"/>
  <c r="J293" i="1"/>
  <c r="A295" i="1"/>
  <c r="F295" i="1" s="1"/>
  <c r="B294" i="1"/>
  <c r="C294" i="1"/>
  <c r="D294" i="1"/>
  <c r="N293" i="1" l="1"/>
  <c r="N292" i="1"/>
  <c r="E294" i="1"/>
  <c r="A296" i="1"/>
  <c r="F296" i="1" s="1"/>
  <c r="C295" i="1"/>
  <c r="D295" i="1"/>
  <c r="B295" i="1"/>
  <c r="E295" i="1" s="1"/>
  <c r="M295" i="1" l="1"/>
  <c r="I295" i="1"/>
  <c r="G295" i="1"/>
  <c r="K295" i="1"/>
  <c r="J295" i="1"/>
  <c r="H295" i="1"/>
  <c r="L295" i="1"/>
  <c r="M294" i="1"/>
  <c r="K294" i="1"/>
  <c r="I294" i="1"/>
  <c r="G294" i="1"/>
  <c r="J294" i="1"/>
  <c r="H294" i="1"/>
  <c r="L294" i="1"/>
  <c r="A297" i="1"/>
  <c r="F297" i="1" s="1"/>
  <c r="C296" i="1"/>
  <c r="D296" i="1"/>
  <c r="B296" i="1"/>
  <c r="N295" i="1" l="1"/>
  <c r="N294" i="1"/>
  <c r="E296" i="1"/>
  <c r="A298" i="1"/>
  <c r="F298" i="1" s="1"/>
  <c r="C297" i="1"/>
  <c r="B297" i="1"/>
  <c r="E297" i="1" s="1"/>
  <c r="D297" i="1"/>
  <c r="M297" i="1" l="1"/>
  <c r="I297" i="1"/>
  <c r="K297" i="1"/>
  <c r="G297" i="1"/>
  <c r="H297" i="1"/>
  <c r="J297" i="1"/>
  <c r="L297" i="1"/>
  <c r="M296" i="1"/>
  <c r="I296" i="1"/>
  <c r="G296" i="1"/>
  <c r="K296" i="1"/>
  <c r="J296" i="1"/>
  <c r="L296" i="1"/>
  <c r="H296" i="1"/>
  <c r="A299" i="1"/>
  <c r="F299" i="1" s="1"/>
  <c r="C298" i="1"/>
  <c r="B298" i="1"/>
  <c r="D298" i="1"/>
  <c r="E298" i="1" l="1"/>
  <c r="N296" i="1"/>
  <c r="N297" i="1"/>
  <c r="M298" i="1"/>
  <c r="K298" i="1"/>
  <c r="I298" i="1"/>
  <c r="H298" i="1"/>
  <c r="G298" i="1"/>
  <c r="L298" i="1"/>
  <c r="J298" i="1"/>
  <c r="A300" i="1"/>
  <c r="F300" i="1" s="1"/>
  <c r="C299" i="1"/>
  <c r="B299" i="1"/>
  <c r="D299" i="1"/>
  <c r="E299" i="1" l="1"/>
  <c r="N298" i="1"/>
  <c r="M299" i="1"/>
  <c r="I299" i="1"/>
  <c r="H299" i="1"/>
  <c r="K299" i="1"/>
  <c r="G299" i="1"/>
  <c r="J299" i="1"/>
  <c r="L299" i="1"/>
  <c r="A301" i="1"/>
  <c r="F301" i="1" s="1"/>
  <c r="C300" i="1"/>
  <c r="D300" i="1"/>
  <c r="B300" i="1"/>
  <c r="E300" i="1" l="1"/>
  <c r="N299" i="1"/>
  <c r="M300" i="1"/>
  <c r="I300" i="1"/>
  <c r="G300" i="1"/>
  <c r="H300" i="1"/>
  <c r="L300" i="1"/>
  <c r="K300" i="1"/>
  <c r="J300" i="1"/>
  <c r="A302" i="1"/>
  <c r="F302" i="1" s="1"/>
  <c r="C301" i="1"/>
  <c r="D301" i="1"/>
  <c r="B301" i="1"/>
  <c r="E301" i="1" l="1"/>
  <c r="N300" i="1"/>
  <c r="M301" i="1"/>
  <c r="K301" i="1"/>
  <c r="I301" i="1"/>
  <c r="G301" i="1"/>
  <c r="J301" i="1"/>
  <c r="H301" i="1"/>
  <c r="L301" i="1"/>
  <c r="A303" i="1"/>
  <c r="F303" i="1" s="1"/>
  <c r="C302" i="1"/>
  <c r="B302" i="1"/>
  <c r="E302" i="1" s="1"/>
  <c r="D302" i="1"/>
  <c r="N301" i="1" l="1"/>
  <c r="M302" i="1"/>
  <c r="I302" i="1"/>
  <c r="K302" i="1"/>
  <c r="G302" i="1"/>
  <c r="H302" i="1"/>
  <c r="L302" i="1"/>
  <c r="J302" i="1"/>
  <c r="A304" i="1"/>
  <c r="F304" i="1" s="1"/>
  <c r="C303" i="1"/>
  <c r="B303" i="1"/>
  <c r="E303" i="1" s="1"/>
  <c r="D303" i="1"/>
  <c r="N302" i="1" l="1"/>
  <c r="M303" i="1"/>
  <c r="K303" i="1"/>
  <c r="G303" i="1"/>
  <c r="H303" i="1"/>
  <c r="J303" i="1"/>
  <c r="L303" i="1"/>
  <c r="I303" i="1"/>
  <c r="A305" i="1"/>
  <c r="F305" i="1" s="1"/>
  <c r="B304" i="1"/>
  <c r="C304" i="1"/>
  <c r="D304" i="1"/>
  <c r="N303" i="1" l="1"/>
  <c r="E304" i="1"/>
  <c r="A306" i="1"/>
  <c r="F306" i="1" s="1"/>
  <c r="C305" i="1"/>
  <c r="B305" i="1"/>
  <c r="D305" i="1"/>
  <c r="E305" i="1" l="1"/>
  <c r="M305" i="1" s="1"/>
  <c r="K305" i="1"/>
  <c r="I305" i="1"/>
  <c r="G305" i="1"/>
  <c r="L305" i="1"/>
  <c r="H305" i="1"/>
  <c r="J305" i="1"/>
  <c r="M304" i="1"/>
  <c r="K304" i="1"/>
  <c r="I304" i="1"/>
  <c r="G304" i="1"/>
  <c r="J304" i="1"/>
  <c r="H304" i="1"/>
  <c r="L304" i="1"/>
  <c r="A307" i="1"/>
  <c r="F307" i="1" s="1"/>
  <c r="B306" i="1"/>
  <c r="C306" i="1"/>
  <c r="D306" i="1"/>
  <c r="N305" i="1" l="1"/>
  <c r="N304" i="1"/>
  <c r="E306" i="1"/>
  <c r="A308" i="1"/>
  <c r="F308" i="1" s="1"/>
  <c r="C307" i="1"/>
  <c r="D307" i="1"/>
  <c r="B307" i="1"/>
  <c r="E307" i="1" s="1"/>
  <c r="I307" i="1" l="1"/>
  <c r="K307" i="1"/>
  <c r="M307" i="1"/>
  <c r="G307" i="1"/>
  <c r="H307" i="1"/>
  <c r="L307" i="1"/>
  <c r="J307" i="1"/>
  <c r="M306" i="1"/>
  <c r="I306" i="1"/>
  <c r="G306" i="1"/>
  <c r="H306" i="1"/>
  <c r="K306" i="1"/>
  <c r="J306" i="1"/>
  <c r="L306" i="1"/>
  <c r="A309" i="1"/>
  <c r="F309" i="1" s="1"/>
  <c r="C308" i="1"/>
  <c r="D308" i="1"/>
  <c r="B308" i="1"/>
  <c r="E308" i="1" l="1"/>
  <c r="N307" i="1"/>
  <c r="N306" i="1"/>
  <c r="M308" i="1"/>
  <c r="G308" i="1"/>
  <c r="I308" i="1"/>
  <c r="K308" i="1"/>
  <c r="J308" i="1"/>
  <c r="H308" i="1"/>
  <c r="L308" i="1"/>
  <c r="A310" i="1"/>
  <c r="F310" i="1" s="1"/>
  <c r="C309" i="1"/>
  <c r="B309" i="1"/>
  <c r="D309" i="1"/>
  <c r="E309" i="1" l="1"/>
  <c r="N308" i="1"/>
  <c r="M309" i="1"/>
  <c r="I309" i="1"/>
  <c r="K309" i="1"/>
  <c r="G309" i="1"/>
  <c r="H309" i="1"/>
  <c r="L309" i="1"/>
  <c r="J309" i="1"/>
  <c r="A311" i="1"/>
  <c r="F311" i="1" s="1"/>
  <c r="C310" i="1"/>
  <c r="B310" i="1"/>
  <c r="E310" i="1" s="1"/>
  <c r="D310" i="1"/>
  <c r="N309" i="1" l="1"/>
  <c r="M310" i="1"/>
  <c r="I310" i="1"/>
  <c r="G310" i="1"/>
  <c r="J310" i="1"/>
  <c r="L310" i="1"/>
  <c r="K310" i="1"/>
  <c r="H310" i="1"/>
  <c r="A312" i="1"/>
  <c r="F312" i="1" s="1"/>
  <c r="B311" i="1"/>
  <c r="C311" i="1"/>
  <c r="D311" i="1"/>
  <c r="N310" i="1" l="1"/>
  <c r="E311" i="1"/>
  <c r="A313" i="1"/>
  <c r="F313" i="1" s="1"/>
  <c r="C312" i="1"/>
  <c r="D312" i="1"/>
  <c r="B312" i="1"/>
  <c r="E312" i="1" s="1"/>
  <c r="M312" i="1" l="1"/>
  <c r="K312" i="1"/>
  <c r="I312" i="1"/>
  <c r="G312" i="1"/>
  <c r="L312" i="1"/>
  <c r="J312" i="1"/>
  <c r="H312" i="1"/>
  <c r="M311" i="1"/>
  <c r="K311" i="1"/>
  <c r="I311" i="1"/>
  <c r="H311" i="1"/>
  <c r="G311" i="1"/>
  <c r="J311" i="1"/>
  <c r="L311" i="1"/>
  <c r="C313" i="1"/>
  <c r="D313" i="1"/>
  <c r="B313" i="1"/>
  <c r="E313" i="1" s="1"/>
  <c r="A314" i="1"/>
  <c r="F314" i="1" s="1"/>
  <c r="N312" i="1" l="1"/>
  <c r="N311" i="1"/>
  <c r="M313" i="1"/>
  <c r="K313" i="1"/>
  <c r="G313" i="1"/>
  <c r="I313" i="1"/>
  <c r="J313" i="1"/>
  <c r="H313" i="1"/>
  <c r="L313" i="1"/>
  <c r="A315" i="1"/>
  <c r="F315" i="1" s="1"/>
  <c r="C314" i="1"/>
  <c r="D314" i="1"/>
  <c r="B314" i="1"/>
  <c r="E314" i="1" l="1"/>
  <c r="N313" i="1"/>
  <c r="I314" i="1"/>
  <c r="K314" i="1"/>
  <c r="M314" i="1"/>
  <c r="G314" i="1"/>
  <c r="H314" i="1"/>
  <c r="L314" i="1"/>
  <c r="J314" i="1"/>
  <c r="A316" i="1"/>
  <c r="F316" i="1" s="1"/>
  <c r="C315" i="1"/>
  <c r="B315" i="1"/>
  <c r="E315" i="1" s="1"/>
  <c r="D315" i="1"/>
  <c r="N314" i="1" l="1"/>
  <c r="M315" i="1"/>
  <c r="I315" i="1"/>
  <c r="H315" i="1"/>
  <c r="K315" i="1"/>
  <c r="G315" i="1"/>
  <c r="J315" i="1"/>
  <c r="L315" i="1"/>
  <c r="B316" i="1"/>
  <c r="A317" i="1"/>
  <c r="F317" i="1" s="1"/>
  <c r="C316" i="1"/>
  <c r="D316" i="1"/>
  <c r="N315" i="1" l="1"/>
  <c r="D317" i="1"/>
  <c r="A318" i="1"/>
  <c r="F318" i="1" s="1"/>
  <c r="B317" i="1"/>
  <c r="C317" i="1"/>
  <c r="E316" i="1"/>
  <c r="M316" i="1" l="1"/>
  <c r="I316" i="1"/>
  <c r="K316" i="1"/>
  <c r="H316" i="1"/>
  <c r="G316" i="1"/>
  <c r="L316" i="1"/>
  <c r="J316" i="1"/>
  <c r="E317" i="1"/>
  <c r="A319" i="1"/>
  <c r="F319" i="1" s="1"/>
  <c r="B318" i="1"/>
  <c r="C318" i="1"/>
  <c r="D318" i="1"/>
  <c r="N316" i="1" l="1"/>
  <c r="M317" i="1"/>
  <c r="K317" i="1"/>
  <c r="I317" i="1"/>
  <c r="G317" i="1"/>
  <c r="H317" i="1"/>
  <c r="L317" i="1"/>
  <c r="J317" i="1"/>
  <c r="E318" i="1"/>
  <c r="A320" i="1"/>
  <c r="F320" i="1" s="1"/>
  <c r="C319" i="1"/>
  <c r="D319" i="1"/>
  <c r="B319" i="1"/>
  <c r="N317" i="1" l="1"/>
  <c r="M318" i="1"/>
  <c r="K318" i="1"/>
  <c r="G318" i="1"/>
  <c r="H318" i="1"/>
  <c r="I318" i="1"/>
  <c r="L318" i="1"/>
  <c r="J318" i="1"/>
  <c r="E319" i="1"/>
  <c r="C320" i="1"/>
  <c r="B320" i="1"/>
  <c r="E320" i="1" s="1"/>
  <c r="A321" i="1"/>
  <c r="F321" i="1" s="1"/>
  <c r="D320" i="1"/>
  <c r="N318" i="1" l="1"/>
  <c r="M320" i="1"/>
  <c r="I320" i="1"/>
  <c r="K320" i="1"/>
  <c r="H320" i="1"/>
  <c r="G320" i="1"/>
  <c r="J320" i="1"/>
  <c r="L320" i="1"/>
  <c r="M319" i="1"/>
  <c r="I319" i="1"/>
  <c r="K319" i="1"/>
  <c r="H319" i="1"/>
  <c r="G319" i="1"/>
  <c r="L319" i="1"/>
  <c r="J319" i="1"/>
  <c r="A322" i="1"/>
  <c r="F322" i="1" s="1"/>
  <c r="B321" i="1"/>
  <c r="D321" i="1"/>
  <c r="C321" i="1"/>
  <c r="N320" i="1" l="1"/>
  <c r="N319" i="1"/>
  <c r="E321" i="1"/>
  <c r="A323" i="1"/>
  <c r="F323" i="1" s="1"/>
  <c r="B322" i="1"/>
  <c r="C322" i="1"/>
  <c r="D322" i="1"/>
  <c r="M321" i="1" l="1"/>
  <c r="I321" i="1"/>
  <c r="K321" i="1"/>
  <c r="G321" i="1"/>
  <c r="L321" i="1"/>
  <c r="J321" i="1"/>
  <c r="H321" i="1"/>
  <c r="E322" i="1"/>
  <c r="C323" i="1"/>
  <c r="B323" i="1"/>
  <c r="E323" i="1" s="1"/>
  <c r="A324" i="1"/>
  <c r="F324" i="1" s="1"/>
  <c r="D323" i="1"/>
  <c r="N321" i="1" l="1"/>
  <c r="M323" i="1"/>
  <c r="K323" i="1"/>
  <c r="I323" i="1"/>
  <c r="G323" i="1"/>
  <c r="L323" i="1"/>
  <c r="J323" i="1"/>
  <c r="H323" i="1"/>
  <c r="I322" i="1"/>
  <c r="M322" i="1"/>
  <c r="K322" i="1"/>
  <c r="H322" i="1"/>
  <c r="J322" i="1"/>
  <c r="L322" i="1"/>
  <c r="G322" i="1"/>
  <c r="D324" i="1"/>
  <c r="B324" i="1"/>
  <c r="A325" i="1"/>
  <c r="F325" i="1" s="1"/>
  <c r="C324" i="1"/>
  <c r="N323" i="1" l="1"/>
  <c r="N322" i="1"/>
  <c r="A326" i="1"/>
  <c r="F326" i="1" s="1"/>
  <c r="C325" i="1"/>
  <c r="D325" i="1"/>
  <c r="B325" i="1"/>
  <c r="E325" i="1" s="1"/>
  <c r="E324" i="1"/>
  <c r="M324" i="1" l="1"/>
  <c r="K324" i="1"/>
  <c r="I324" i="1"/>
  <c r="G324" i="1"/>
  <c r="H324" i="1"/>
  <c r="L324" i="1"/>
  <c r="J324" i="1"/>
  <c r="M325" i="1"/>
  <c r="I325" i="1"/>
  <c r="K325" i="1"/>
  <c r="G325" i="1"/>
  <c r="H325" i="1"/>
  <c r="L325" i="1"/>
  <c r="J325" i="1"/>
  <c r="A327" i="1"/>
  <c r="F327" i="1" s="1"/>
  <c r="D326" i="1"/>
  <c r="B326" i="1"/>
  <c r="C326" i="1"/>
  <c r="N325" i="1" l="1"/>
  <c r="N324" i="1"/>
  <c r="E326" i="1"/>
  <c r="A328" i="1"/>
  <c r="F328" i="1" s="1"/>
  <c r="C327" i="1"/>
  <c r="B327" i="1"/>
  <c r="D327" i="1"/>
  <c r="M326" i="1" l="1"/>
  <c r="I326" i="1"/>
  <c r="K326" i="1"/>
  <c r="G326" i="1"/>
  <c r="L326" i="1"/>
  <c r="H326" i="1"/>
  <c r="J326" i="1"/>
  <c r="E327" i="1"/>
  <c r="A329" i="1"/>
  <c r="F329" i="1" s="1"/>
  <c r="C328" i="1"/>
  <c r="B328" i="1"/>
  <c r="D328" i="1"/>
  <c r="N326" i="1" l="1"/>
  <c r="M327" i="1"/>
  <c r="I327" i="1"/>
  <c r="K327" i="1"/>
  <c r="H327" i="1"/>
  <c r="G327" i="1"/>
  <c r="J327" i="1"/>
  <c r="L327" i="1"/>
  <c r="E328" i="1"/>
  <c r="A330" i="1"/>
  <c r="F330" i="1" s="1"/>
  <c r="B329" i="1"/>
  <c r="C329" i="1"/>
  <c r="D329" i="1"/>
  <c r="N327" i="1" l="1"/>
  <c r="M328" i="1"/>
  <c r="I328" i="1"/>
  <c r="K328" i="1"/>
  <c r="H328" i="1"/>
  <c r="G328" i="1"/>
  <c r="L328" i="1"/>
  <c r="J328" i="1"/>
  <c r="E329" i="1"/>
  <c r="A331" i="1"/>
  <c r="F331" i="1" s="1"/>
  <c r="C330" i="1"/>
  <c r="D330" i="1"/>
  <c r="B330" i="1"/>
  <c r="N328" i="1" l="1"/>
  <c r="M329" i="1"/>
  <c r="K329" i="1"/>
  <c r="I329" i="1"/>
  <c r="H329" i="1"/>
  <c r="J329" i="1"/>
  <c r="L329" i="1"/>
  <c r="G329" i="1"/>
  <c r="E330" i="1"/>
  <c r="A332" i="1"/>
  <c r="F332" i="1" s="1"/>
  <c r="C331" i="1"/>
  <c r="D331" i="1"/>
  <c r="B331" i="1"/>
  <c r="N329" i="1" l="1"/>
  <c r="M330" i="1"/>
  <c r="I330" i="1"/>
  <c r="G330" i="1"/>
  <c r="H330" i="1"/>
  <c r="L330" i="1"/>
  <c r="K330" i="1"/>
  <c r="J330" i="1"/>
  <c r="E331" i="1"/>
  <c r="A333" i="1"/>
  <c r="F333" i="1" s="1"/>
  <c r="C332" i="1"/>
  <c r="D332" i="1"/>
  <c r="B332" i="1"/>
  <c r="N330" i="1" l="1"/>
  <c r="M331" i="1"/>
  <c r="I331" i="1"/>
  <c r="K331" i="1"/>
  <c r="H331" i="1"/>
  <c r="G331" i="1"/>
  <c r="L331" i="1"/>
  <c r="J331" i="1"/>
  <c r="E332" i="1"/>
  <c r="A334" i="1"/>
  <c r="F334" i="1" s="1"/>
  <c r="C333" i="1"/>
  <c r="B333" i="1"/>
  <c r="D333" i="1"/>
  <c r="N331" i="1" l="1"/>
  <c r="M332" i="1"/>
  <c r="I332" i="1"/>
  <c r="H332" i="1"/>
  <c r="G332" i="1"/>
  <c r="K332" i="1"/>
  <c r="J332" i="1"/>
  <c r="L332" i="1"/>
  <c r="E333" i="1"/>
  <c r="A335" i="1"/>
  <c r="F335" i="1" s="1"/>
  <c r="C334" i="1"/>
  <c r="B334" i="1"/>
  <c r="D334" i="1"/>
  <c r="N332" i="1" l="1"/>
  <c r="I333" i="1"/>
  <c r="K333" i="1"/>
  <c r="M333" i="1"/>
  <c r="H333" i="1"/>
  <c r="G333" i="1"/>
  <c r="L333" i="1"/>
  <c r="J333" i="1"/>
  <c r="E334" i="1"/>
  <c r="A336" i="1"/>
  <c r="F336" i="1" s="1"/>
  <c r="C335" i="1"/>
  <c r="D335" i="1"/>
  <c r="B335" i="1"/>
  <c r="N333" i="1" l="1"/>
  <c r="M334" i="1"/>
  <c r="I334" i="1"/>
  <c r="K334" i="1"/>
  <c r="G334" i="1"/>
  <c r="H334" i="1"/>
  <c r="J334" i="1"/>
  <c r="L334" i="1"/>
  <c r="E335" i="1"/>
  <c r="A337" i="1"/>
  <c r="F337" i="1" s="1"/>
  <c r="D336" i="1"/>
  <c r="B336" i="1"/>
  <c r="C336" i="1"/>
  <c r="N334" i="1" l="1"/>
  <c r="M335" i="1"/>
  <c r="I335" i="1"/>
  <c r="H335" i="1"/>
  <c r="K335" i="1"/>
  <c r="L335" i="1"/>
  <c r="J335" i="1"/>
  <c r="G335" i="1"/>
  <c r="E336" i="1"/>
  <c r="C337" i="1"/>
  <c r="D337" i="1"/>
  <c r="B337" i="1"/>
  <c r="E337" i="1" s="1"/>
  <c r="A338" i="1"/>
  <c r="F338" i="1" s="1"/>
  <c r="N335" i="1" l="1"/>
  <c r="M337" i="1"/>
  <c r="I337" i="1"/>
  <c r="K337" i="1"/>
  <c r="H337" i="1"/>
  <c r="G337" i="1"/>
  <c r="L337" i="1"/>
  <c r="J337" i="1"/>
  <c r="M336" i="1"/>
  <c r="H336" i="1"/>
  <c r="K336" i="1"/>
  <c r="I336" i="1"/>
  <c r="L336" i="1"/>
  <c r="J336" i="1"/>
  <c r="G336" i="1"/>
  <c r="C338" i="1"/>
  <c r="D338" i="1"/>
  <c r="A339" i="1"/>
  <c r="F339" i="1" s="1"/>
  <c r="B338" i="1"/>
  <c r="E338" i="1" s="1"/>
  <c r="N337" i="1" l="1"/>
  <c r="N336" i="1"/>
  <c r="M338" i="1"/>
  <c r="I338" i="1"/>
  <c r="G338" i="1"/>
  <c r="K338" i="1"/>
  <c r="H338" i="1"/>
  <c r="L338" i="1"/>
  <c r="J338" i="1"/>
  <c r="A340" i="1"/>
  <c r="F340" i="1" s="1"/>
  <c r="C339" i="1"/>
  <c r="B339" i="1"/>
  <c r="E339" i="1" s="1"/>
  <c r="D339" i="1"/>
  <c r="N338" i="1" l="1"/>
  <c r="M339" i="1"/>
  <c r="I339" i="1"/>
  <c r="K339" i="1"/>
  <c r="G339" i="1"/>
  <c r="H339" i="1"/>
  <c r="J339" i="1"/>
  <c r="L339" i="1"/>
  <c r="A341" i="1"/>
  <c r="F341" i="1" s="1"/>
  <c r="B340" i="1"/>
  <c r="C340" i="1"/>
  <c r="D340" i="1"/>
  <c r="N339" i="1" l="1"/>
  <c r="E340" i="1"/>
  <c r="A342" i="1"/>
  <c r="F342" i="1" s="1"/>
  <c r="B341" i="1"/>
  <c r="C341" i="1"/>
  <c r="D341" i="1"/>
  <c r="M340" i="1" l="1"/>
  <c r="I340" i="1"/>
  <c r="K340" i="1"/>
  <c r="G340" i="1"/>
  <c r="L340" i="1"/>
  <c r="J340" i="1"/>
  <c r="H340" i="1"/>
  <c r="E341" i="1"/>
  <c r="A343" i="1"/>
  <c r="F343" i="1" s="1"/>
  <c r="D342" i="1"/>
  <c r="B342" i="1"/>
  <c r="C342" i="1"/>
  <c r="N340" i="1" l="1"/>
  <c r="M341" i="1"/>
  <c r="I341" i="1"/>
  <c r="H341" i="1"/>
  <c r="G341" i="1"/>
  <c r="K341" i="1"/>
  <c r="J341" i="1"/>
  <c r="L341" i="1"/>
  <c r="E342" i="1"/>
  <c r="A344" i="1"/>
  <c r="F344" i="1" s="1"/>
  <c r="C343" i="1"/>
  <c r="D343" i="1"/>
  <c r="B343" i="1"/>
  <c r="N341" i="1" l="1"/>
  <c r="M342" i="1"/>
  <c r="I342" i="1"/>
  <c r="K342" i="1"/>
  <c r="H342" i="1"/>
  <c r="G342" i="1"/>
  <c r="L342" i="1"/>
  <c r="J342" i="1"/>
  <c r="E343" i="1"/>
  <c r="A345" i="1"/>
  <c r="F345" i="1" s="1"/>
  <c r="C344" i="1"/>
  <c r="D344" i="1"/>
  <c r="B344" i="1"/>
  <c r="N342" i="1" l="1"/>
  <c r="M343" i="1"/>
  <c r="I343" i="1"/>
  <c r="K343" i="1"/>
  <c r="G343" i="1"/>
  <c r="H343" i="1"/>
  <c r="L343" i="1"/>
  <c r="J343" i="1"/>
  <c r="E344" i="1"/>
  <c r="A346" i="1"/>
  <c r="F346" i="1" s="1"/>
  <c r="C345" i="1"/>
  <c r="D345" i="1"/>
  <c r="B345" i="1"/>
  <c r="N343" i="1" l="1"/>
  <c r="M344" i="1"/>
  <c r="I344" i="1"/>
  <c r="K344" i="1"/>
  <c r="H344" i="1"/>
  <c r="G344" i="1"/>
  <c r="L344" i="1"/>
  <c r="J344" i="1"/>
  <c r="E345" i="1"/>
  <c r="A347" i="1"/>
  <c r="F347" i="1" s="1"/>
  <c r="C346" i="1"/>
  <c r="D346" i="1"/>
  <c r="B346" i="1"/>
  <c r="N344" i="1" l="1"/>
  <c r="M345" i="1"/>
  <c r="I345" i="1"/>
  <c r="K345" i="1"/>
  <c r="H345" i="1"/>
  <c r="G345" i="1"/>
  <c r="L345" i="1"/>
  <c r="J345" i="1"/>
  <c r="E346" i="1"/>
  <c r="B347" i="1"/>
  <c r="A348" i="1"/>
  <c r="F348" i="1" s="1"/>
  <c r="C347" i="1"/>
  <c r="D347" i="1"/>
  <c r="N345" i="1" l="1"/>
  <c r="M346" i="1"/>
  <c r="I346" i="1"/>
  <c r="H346" i="1"/>
  <c r="K346" i="1"/>
  <c r="G346" i="1"/>
  <c r="J346" i="1"/>
  <c r="L346" i="1"/>
  <c r="A349" i="1"/>
  <c r="F349" i="1" s="1"/>
  <c r="C348" i="1"/>
  <c r="D348" i="1"/>
  <c r="B348" i="1"/>
  <c r="E347" i="1"/>
  <c r="N346" i="1" l="1"/>
  <c r="M347" i="1"/>
  <c r="I347" i="1"/>
  <c r="H347" i="1"/>
  <c r="K347" i="1"/>
  <c r="G347" i="1"/>
  <c r="L347" i="1"/>
  <c r="J347" i="1"/>
  <c r="E348" i="1"/>
  <c r="A350" i="1"/>
  <c r="F350" i="1" s="1"/>
  <c r="C349" i="1"/>
  <c r="D349" i="1"/>
  <c r="B349" i="1"/>
  <c r="E349" i="1" l="1"/>
  <c r="N347" i="1"/>
  <c r="M349" i="1"/>
  <c r="H349" i="1"/>
  <c r="I349" i="1"/>
  <c r="K349" i="1"/>
  <c r="G349" i="1"/>
  <c r="L349" i="1"/>
  <c r="J349" i="1"/>
  <c r="M348" i="1"/>
  <c r="K348" i="1"/>
  <c r="I348" i="1"/>
  <c r="H348" i="1"/>
  <c r="G348" i="1"/>
  <c r="J348" i="1"/>
  <c r="L348" i="1"/>
  <c r="A351" i="1"/>
  <c r="F351" i="1" s="1"/>
  <c r="C350" i="1"/>
  <c r="D350" i="1"/>
  <c r="B350" i="1"/>
  <c r="N348" i="1" l="1"/>
  <c r="N349" i="1"/>
  <c r="E350" i="1"/>
  <c r="C351" i="1"/>
  <c r="A352" i="1"/>
  <c r="F352" i="1" s="1"/>
  <c r="D351" i="1"/>
  <c r="B351" i="1"/>
  <c r="E351" i="1" s="1"/>
  <c r="M350" i="1" l="1"/>
  <c r="I350" i="1"/>
  <c r="K350" i="1"/>
  <c r="H350" i="1"/>
  <c r="G350" i="1"/>
  <c r="J350" i="1"/>
  <c r="L350" i="1"/>
  <c r="M351" i="1"/>
  <c r="I351" i="1"/>
  <c r="H351" i="1"/>
  <c r="K351" i="1"/>
  <c r="G351" i="1"/>
  <c r="L351" i="1"/>
  <c r="J351" i="1"/>
  <c r="A353" i="1"/>
  <c r="F353" i="1" s="1"/>
  <c r="B352" i="1"/>
  <c r="C352" i="1"/>
  <c r="D352" i="1"/>
  <c r="N351" i="1" l="1"/>
  <c r="N350" i="1"/>
  <c r="E352" i="1"/>
  <c r="C353" i="1"/>
  <c r="A354" i="1"/>
  <c r="F354" i="1" s="1"/>
  <c r="D353" i="1"/>
  <c r="B353" i="1"/>
  <c r="E353" i="1" s="1"/>
  <c r="I352" i="1" l="1"/>
  <c r="K352" i="1"/>
  <c r="M352" i="1"/>
  <c r="H352" i="1"/>
  <c r="L352" i="1"/>
  <c r="G352" i="1"/>
  <c r="J352" i="1"/>
  <c r="M353" i="1"/>
  <c r="I353" i="1"/>
  <c r="K353" i="1"/>
  <c r="H353" i="1"/>
  <c r="G353" i="1"/>
  <c r="J353" i="1"/>
  <c r="L353" i="1"/>
  <c r="D354" i="1"/>
  <c r="A355" i="1"/>
  <c r="F355" i="1" s="1"/>
  <c r="B354" i="1"/>
  <c r="C354" i="1"/>
  <c r="N352" i="1" l="1"/>
  <c r="N353" i="1"/>
  <c r="E354" i="1"/>
  <c r="A356" i="1"/>
  <c r="F356" i="1" s="1"/>
  <c r="C355" i="1"/>
  <c r="D355" i="1"/>
  <c r="B355" i="1"/>
  <c r="E355" i="1" s="1"/>
  <c r="M354" i="1" l="1"/>
  <c r="I354" i="1"/>
  <c r="K354" i="1"/>
  <c r="H354" i="1"/>
  <c r="L354" i="1"/>
  <c r="J354" i="1"/>
  <c r="G354" i="1"/>
  <c r="M355" i="1"/>
  <c r="I355" i="1"/>
  <c r="K355" i="1"/>
  <c r="G355" i="1"/>
  <c r="H355" i="1"/>
  <c r="J355" i="1"/>
  <c r="L355" i="1"/>
  <c r="A357" i="1"/>
  <c r="F357" i="1" s="1"/>
  <c r="C356" i="1"/>
  <c r="D356" i="1"/>
  <c r="B356" i="1"/>
  <c r="E356" i="1" s="1"/>
  <c r="N354" i="1" l="1"/>
  <c r="N355" i="1"/>
  <c r="M356" i="1"/>
  <c r="I356" i="1"/>
  <c r="K356" i="1"/>
  <c r="H356" i="1"/>
  <c r="G356" i="1"/>
  <c r="L356" i="1"/>
  <c r="J356" i="1"/>
  <c r="A358" i="1"/>
  <c r="F358" i="1" s="1"/>
  <c r="C357" i="1"/>
  <c r="D357" i="1"/>
  <c r="B357" i="1"/>
  <c r="E357" i="1" l="1"/>
  <c r="N356" i="1"/>
  <c r="M357" i="1"/>
  <c r="I357" i="1"/>
  <c r="K357" i="1"/>
  <c r="H357" i="1"/>
  <c r="G357" i="1"/>
  <c r="J357" i="1"/>
  <c r="L357" i="1"/>
  <c r="C358" i="1"/>
  <c r="D358" i="1"/>
  <c r="B358" i="1"/>
  <c r="E358" i="1" s="1"/>
  <c r="A359" i="1"/>
  <c r="F359" i="1" s="1"/>
  <c r="N357" i="1" l="1"/>
  <c r="M358" i="1"/>
  <c r="I358" i="1"/>
  <c r="K358" i="1"/>
  <c r="H358" i="1"/>
  <c r="G358" i="1"/>
  <c r="J358" i="1"/>
  <c r="L358" i="1"/>
  <c r="A360" i="1"/>
  <c r="F360" i="1" s="1"/>
  <c r="B359" i="1"/>
  <c r="C359" i="1"/>
  <c r="D359" i="1"/>
  <c r="N358" i="1" l="1"/>
  <c r="E359" i="1"/>
  <c r="C360" i="1"/>
  <c r="A361" i="1"/>
  <c r="F361" i="1" s="1"/>
  <c r="B360" i="1"/>
  <c r="D360" i="1"/>
  <c r="M359" i="1" l="1"/>
  <c r="I359" i="1"/>
  <c r="H359" i="1"/>
  <c r="K359" i="1"/>
  <c r="L359" i="1"/>
  <c r="G359" i="1"/>
  <c r="J359" i="1"/>
  <c r="E360" i="1"/>
  <c r="C361" i="1"/>
  <c r="A362" i="1"/>
  <c r="F362" i="1" s="1"/>
  <c r="D361" i="1"/>
  <c r="B361" i="1"/>
  <c r="N359" i="1" l="1"/>
  <c r="M360" i="1"/>
  <c r="I360" i="1"/>
  <c r="K360" i="1"/>
  <c r="H360" i="1"/>
  <c r="G360" i="1"/>
  <c r="L360" i="1"/>
  <c r="J360" i="1"/>
  <c r="E361" i="1"/>
  <c r="A363" i="1"/>
  <c r="F363" i="1" s="1"/>
  <c r="C362" i="1"/>
  <c r="D362" i="1"/>
  <c r="B362" i="1"/>
  <c r="N360" i="1" l="1"/>
  <c r="M361" i="1"/>
  <c r="I361" i="1"/>
  <c r="K361" i="1"/>
  <c r="H361" i="1"/>
  <c r="G361" i="1"/>
  <c r="L361" i="1"/>
  <c r="J361" i="1"/>
  <c r="E362" i="1"/>
  <c r="A364" i="1"/>
  <c r="F364" i="1" s="1"/>
  <c r="D363" i="1"/>
  <c r="B363" i="1"/>
  <c r="C363" i="1"/>
  <c r="N361" i="1" l="1"/>
  <c r="M362" i="1"/>
  <c r="H362" i="1"/>
  <c r="I362" i="1"/>
  <c r="G362" i="1"/>
  <c r="K362" i="1"/>
  <c r="L362" i="1"/>
  <c r="J362" i="1"/>
  <c r="E363" i="1"/>
  <c r="A365" i="1"/>
  <c r="F365" i="1" s="1"/>
  <c r="B364" i="1"/>
  <c r="C364" i="1"/>
  <c r="D364" i="1"/>
  <c r="N362" i="1" l="1"/>
  <c r="M363" i="1"/>
  <c r="I363" i="1"/>
  <c r="K363" i="1"/>
  <c r="L363" i="1"/>
  <c r="G363" i="1"/>
  <c r="J363" i="1"/>
  <c r="H363" i="1"/>
  <c r="E364" i="1"/>
  <c r="A366" i="1"/>
  <c r="F366" i="1" s="1"/>
  <c r="C365" i="1"/>
  <c r="D365" i="1"/>
  <c r="B365" i="1"/>
  <c r="N363" i="1" l="1"/>
  <c r="M364" i="1"/>
  <c r="I364" i="1"/>
  <c r="H364" i="1"/>
  <c r="G364" i="1"/>
  <c r="K364" i="1"/>
  <c r="J364" i="1"/>
  <c r="L364" i="1"/>
  <c r="E365" i="1"/>
  <c r="A367" i="1"/>
  <c r="F367" i="1" s="1"/>
  <c r="C366" i="1"/>
  <c r="D366" i="1"/>
  <c r="B366" i="1"/>
  <c r="N364" i="1" l="1"/>
  <c r="M365" i="1"/>
  <c r="I365" i="1"/>
  <c r="H365" i="1"/>
  <c r="G365" i="1"/>
  <c r="K365" i="1"/>
  <c r="J365" i="1"/>
  <c r="L365" i="1"/>
  <c r="E366" i="1"/>
  <c r="A368" i="1"/>
  <c r="F368" i="1" s="1"/>
  <c r="C367" i="1"/>
  <c r="D367" i="1"/>
  <c r="B367" i="1"/>
  <c r="N365" i="1" l="1"/>
  <c r="M366" i="1"/>
  <c r="I366" i="1"/>
  <c r="K366" i="1"/>
  <c r="H366" i="1"/>
  <c r="G366" i="1"/>
  <c r="J366" i="1"/>
  <c r="L366" i="1"/>
  <c r="E367" i="1"/>
  <c r="C368" i="1"/>
  <c r="D368" i="1"/>
  <c r="B368" i="1"/>
  <c r="E368" i="1" s="1"/>
  <c r="A369" i="1"/>
  <c r="F369" i="1" s="1"/>
  <c r="N366" i="1" l="1"/>
  <c r="H368" i="1"/>
  <c r="M368" i="1"/>
  <c r="I368" i="1"/>
  <c r="K368" i="1"/>
  <c r="G368" i="1"/>
  <c r="L368" i="1"/>
  <c r="J368" i="1"/>
  <c r="M367" i="1"/>
  <c r="H367" i="1"/>
  <c r="I367" i="1"/>
  <c r="K367" i="1"/>
  <c r="G367" i="1"/>
  <c r="L367" i="1"/>
  <c r="J367" i="1"/>
  <c r="B369" i="1"/>
  <c r="A370" i="1"/>
  <c r="F370" i="1" s="1"/>
  <c r="C369" i="1"/>
  <c r="D369" i="1"/>
  <c r="N368" i="1" l="1"/>
  <c r="N367" i="1"/>
  <c r="A371" i="1"/>
  <c r="F371" i="1" s="1"/>
  <c r="B370" i="1"/>
  <c r="C370" i="1"/>
  <c r="D370" i="1"/>
  <c r="E369" i="1"/>
  <c r="M369" i="1" l="1"/>
  <c r="H369" i="1"/>
  <c r="I369" i="1"/>
  <c r="G369" i="1"/>
  <c r="K369" i="1"/>
  <c r="L369" i="1"/>
  <c r="J369" i="1"/>
  <c r="E370" i="1"/>
  <c r="B371" i="1"/>
  <c r="A372" i="1"/>
  <c r="F372" i="1" s="1"/>
  <c r="C371" i="1"/>
  <c r="D371" i="1"/>
  <c r="N369" i="1" l="1"/>
  <c r="M370" i="1"/>
  <c r="H370" i="1"/>
  <c r="I370" i="1"/>
  <c r="K370" i="1"/>
  <c r="G370" i="1"/>
  <c r="J370" i="1"/>
  <c r="L370" i="1"/>
  <c r="A373" i="1"/>
  <c r="F373" i="1" s="1"/>
  <c r="B372" i="1"/>
  <c r="D372" i="1"/>
  <c r="C372" i="1"/>
  <c r="E371" i="1"/>
  <c r="N370" i="1" l="1"/>
  <c r="M371" i="1"/>
  <c r="H371" i="1"/>
  <c r="K371" i="1"/>
  <c r="I371" i="1"/>
  <c r="G371" i="1"/>
  <c r="J371" i="1"/>
  <c r="L371" i="1"/>
  <c r="E372" i="1"/>
  <c r="A374" i="1"/>
  <c r="F374" i="1" s="1"/>
  <c r="D373" i="1"/>
  <c r="B373" i="1"/>
  <c r="C373" i="1"/>
  <c r="N371" i="1" l="1"/>
  <c r="M372" i="1"/>
  <c r="H372" i="1"/>
  <c r="I372" i="1"/>
  <c r="K372" i="1"/>
  <c r="G372" i="1"/>
  <c r="L372" i="1"/>
  <c r="J372" i="1"/>
  <c r="E373" i="1"/>
  <c r="A375" i="1"/>
  <c r="F375" i="1" s="1"/>
  <c r="D374" i="1"/>
  <c r="B374" i="1"/>
  <c r="C374" i="1"/>
  <c r="N372" i="1" l="1"/>
  <c r="M373" i="1"/>
  <c r="H373" i="1"/>
  <c r="I373" i="1"/>
  <c r="K373" i="1"/>
  <c r="J373" i="1"/>
  <c r="G373" i="1"/>
  <c r="L373" i="1"/>
  <c r="E374" i="1"/>
  <c r="A376" i="1"/>
  <c r="F376" i="1" s="1"/>
  <c r="D375" i="1"/>
  <c r="B375" i="1"/>
  <c r="C375" i="1"/>
  <c r="N373" i="1" l="1"/>
  <c r="H374" i="1"/>
  <c r="M374" i="1"/>
  <c r="K374" i="1"/>
  <c r="I374" i="1"/>
  <c r="G374" i="1"/>
  <c r="L374" i="1"/>
  <c r="J374" i="1"/>
  <c r="E375" i="1"/>
  <c r="A377" i="1"/>
  <c r="F377" i="1" s="1"/>
  <c r="C376" i="1"/>
  <c r="D376" i="1"/>
  <c r="B376" i="1"/>
  <c r="N374" i="1" l="1"/>
  <c r="M375" i="1"/>
  <c r="H375" i="1"/>
  <c r="I375" i="1"/>
  <c r="K375" i="1"/>
  <c r="G375" i="1"/>
  <c r="L375" i="1"/>
  <c r="J375" i="1"/>
  <c r="E376" i="1"/>
  <c r="A378" i="1"/>
  <c r="F378" i="1" s="1"/>
  <c r="D377" i="1"/>
  <c r="C377" i="1"/>
  <c r="B377" i="1"/>
  <c r="N375" i="1" l="1"/>
  <c r="M376" i="1"/>
  <c r="H376" i="1"/>
  <c r="K376" i="1"/>
  <c r="I376" i="1"/>
  <c r="G376" i="1"/>
  <c r="L376" i="1"/>
  <c r="J376" i="1"/>
  <c r="E377" i="1"/>
  <c r="A379" i="1"/>
  <c r="F379" i="1" s="1"/>
  <c r="C378" i="1"/>
  <c r="B378" i="1"/>
  <c r="E378" i="1" s="1"/>
  <c r="D378" i="1"/>
  <c r="N376" i="1" l="1"/>
  <c r="M378" i="1"/>
  <c r="K378" i="1"/>
  <c r="H378" i="1"/>
  <c r="I378" i="1"/>
  <c r="L378" i="1"/>
  <c r="J378" i="1"/>
  <c r="G378" i="1"/>
  <c r="H377" i="1"/>
  <c r="M377" i="1"/>
  <c r="K377" i="1"/>
  <c r="I377" i="1"/>
  <c r="G377" i="1"/>
  <c r="J377" i="1"/>
  <c r="L377" i="1"/>
  <c r="A380" i="1"/>
  <c r="F380" i="1" s="1"/>
  <c r="C379" i="1"/>
  <c r="D379" i="1"/>
  <c r="B379" i="1"/>
  <c r="E379" i="1" l="1"/>
  <c r="N378" i="1"/>
  <c r="N377" i="1"/>
  <c r="M379" i="1"/>
  <c r="H379" i="1"/>
  <c r="I379" i="1"/>
  <c r="K379" i="1"/>
  <c r="G379" i="1"/>
  <c r="L379" i="1"/>
  <c r="J379" i="1"/>
  <c r="A381" i="1"/>
  <c r="F381" i="1" s="1"/>
  <c r="C380" i="1"/>
  <c r="D380" i="1"/>
  <c r="B380" i="1"/>
  <c r="E380" i="1" l="1"/>
  <c r="N379" i="1"/>
  <c r="M380" i="1"/>
  <c r="H380" i="1"/>
  <c r="I380" i="1"/>
  <c r="K380" i="1"/>
  <c r="L380" i="1"/>
  <c r="G380" i="1"/>
  <c r="J380" i="1"/>
  <c r="A382" i="1"/>
  <c r="F382" i="1" s="1"/>
  <c r="C381" i="1"/>
  <c r="B381" i="1"/>
  <c r="E381" i="1" s="1"/>
  <c r="D381" i="1"/>
  <c r="N380" i="1" l="1"/>
  <c r="M381" i="1"/>
  <c r="H381" i="1"/>
  <c r="K381" i="1"/>
  <c r="I381" i="1"/>
  <c r="G381" i="1"/>
  <c r="L381" i="1"/>
  <c r="J381" i="1"/>
  <c r="A383" i="1"/>
  <c r="F383" i="1" s="1"/>
  <c r="B382" i="1"/>
  <c r="C382" i="1"/>
  <c r="D382" i="1"/>
  <c r="N381" i="1" l="1"/>
  <c r="E382" i="1"/>
  <c r="A384" i="1"/>
  <c r="F384" i="1" s="1"/>
  <c r="B383" i="1"/>
  <c r="D383" i="1"/>
  <c r="C383" i="1"/>
  <c r="M382" i="1" l="1"/>
  <c r="H382" i="1"/>
  <c r="I382" i="1"/>
  <c r="K382" i="1"/>
  <c r="G382" i="1"/>
  <c r="J382" i="1"/>
  <c r="L382" i="1"/>
  <c r="E383" i="1"/>
  <c r="A385" i="1"/>
  <c r="F385" i="1" s="1"/>
  <c r="C384" i="1"/>
  <c r="D384" i="1"/>
  <c r="B384" i="1"/>
  <c r="N382" i="1" l="1"/>
  <c r="M383" i="1"/>
  <c r="H383" i="1"/>
  <c r="K383" i="1"/>
  <c r="I383" i="1"/>
  <c r="G383" i="1"/>
  <c r="L383" i="1"/>
  <c r="J383" i="1"/>
  <c r="E384" i="1"/>
  <c r="A386" i="1"/>
  <c r="F386" i="1" s="1"/>
  <c r="C385" i="1"/>
  <c r="D385" i="1"/>
  <c r="B385" i="1"/>
  <c r="N383" i="1" l="1"/>
  <c r="M384" i="1"/>
  <c r="H384" i="1"/>
  <c r="I384" i="1"/>
  <c r="K384" i="1"/>
  <c r="G384" i="1"/>
  <c r="L384" i="1"/>
  <c r="J384" i="1"/>
  <c r="E385" i="1"/>
  <c r="A387" i="1"/>
  <c r="F387" i="1" s="1"/>
  <c r="C386" i="1"/>
  <c r="B386" i="1"/>
  <c r="E386" i="1" s="1"/>
  <c r="D386" i="1"/>
  <c r="N384" i="1" l="1"/>
  <c r="H386" i="1"/>
  <c r="M386" i="1"/>
  <c r="K386" i="1"/>
  <c r="I386" i="1"/>
  <c r="G386" i="1"/>
  <c r="L386" i="1"/>
  <c r="J386" i="1"/>
  <c r="M385" i="1"/>
  <c r="H385" i="1"/>
  <c r="K385" i="1"/>
  <c r="I385" i="1"/>
  <c r="G385" i="1"/>
  <c r="L385" i="1"/>
  <c r="J385" i="1"/>
  <c r="A388" i="1"/>
  <c r="F388" i="1" s="1"/>
  <c r="C387" i="1"/>
  <c r="D387" i="1"/>
  <c r="B387" i="1"/>
  <c r="E387" i="1" l="1"/>
  <c r="N385" i="1"/>
  <c r="N386" i="1"/>
  <c r="M387" i="1"/>
  <c r="H387" i="1"/>
  <c r="I387" i="1"/>
  <c r="K387" i="1"/>
  <c r="G387" i="1"/>
  <c r="L387" i="1"/>
  <c r="J387" i="1"/>
  <c r="D388" i="1"/>
  <c r="A389" i="1"/>
  <c r="F389" i="1" s="1"/>
  <c r="B388" i="1"/>
  <c r="C388" i="1"/>
  <c r="N387" i="1" l="1"/>
  <c r="E388" i="1"/>
  <c r="A390" i="1"/>
  <c r="F390" i="1" s="1"/>
  <c r="B389" i="1"/>
  <c r="C389" i="1"/>
  <c r="D389" i="1"/>
  <c r="M388" i="1" l="1"/>
  <c r="H388" i="1"/>
  <c r="K388" i="1"/>
  <c r="I388" i="1"/>
  <c r="G388" i="1"/>
  <c r="L388" i="1"/>
  <c r="J388" i="1"/>
  <c r="E389" i="1"/>
  <c r="A391" i="1"/>
  <c r="F391" i="1" s="1"/>
  <c r="C390" i="1"/>
  <c r="D390" i="1"/>
  <c r="B390" i="1"/>
  <c r="E390" i="1" s="1"/>
  <c r="N388" i="1" l="1"/>
  <c r="H390" i="1"/>
  <c r="M390" i="1"/>
  <c r="K390" i="1"/>
  <c r="I390" i="1"/>
  <c r="G390" i="1"/>
  <c r="L390" i="1"/>
  <c r="J390" i="1"/>
  <c r="H389" i="1"/>
  <c r="K389" i="1"/>
  <c r="I389" i="1"/>
  <c r="J389" i="1"/>
  <c r="G389" i="1"/>
  <c r="L389" i="1"/>
  <c r="M389" i="1"/>
  <c r="A392" i="1"/>
  <c r="F392" i="1" s="1"/>
  <c r="C391" i="1"/>
  <c r="D391" i="1"/>
  <c r="B391" i="1"/>
  <c r="N390" i="1" l="1"/>
  <c r="N389" i="1"/>
  <c r="E391" i="1"/>
  <c r="A393" i="1"/>
  <c r="F393" i="1" s="1"/>
  <c r="C392" i="1"/>
  <c r="D392" i="1"/>
  <c r="B392" i="1"/>
  <c r="E392" i="1" s="1"/>
  <c r="H392" i="1" l="1"/>
  <c r="I392" i="1"/>
  <c r="G392" i="1"/>
  <c r="M392" i="1"/>
  <c r="L392" i="1"/>
  <c r="K392" i="1"/>
  <c r="J392" i="1"/>
  <c r="M391" i="1"/>
  <c r="H391" i="1"/>
  <c r="K391" i="1"/>
  <c r="I391" i="1"/>
  <c r="G391" i="1"/>
  <c r="L391" i="1"/>
  <c r="J391" i="1"/>
  <c r="A394" i="1"/>
  <c r="F394" i="1" s="1"/>
  <c r="C393" i="1"/>
  <c r="B393" i="1"/>
  <c r="E393" i="1" s="1"/>
  <c r="D393" i="1"/>
  <c r="N392" i="1" l="1"/>
  <c r="N391" i="1"/>
  <c r="H393" i="1"/>
  <c r="K393" i="1"/>
  <c r="G393" i="1"/>
  <c r="M393" i="1"/>
  <c r="I393" i="1"/>
  <c r="L393" i="1"/>
  <c r="J393" i="1"/>
  <c r="A395" i="1"/>
  <c r="F395" i="1" s="1"/>
  <c r="B394" i="1"/>
  <c r="D394" i="1"/>
  <c r="C394" i="1"/>
  <c r="N393" i="1" l="1"/>
  <c r="E394" i="1"/>
  <c r="B395" i="1"/>
  <c r="A396" i="1"/>
  <c r="F396" i="1" s="1"/>
  <c r="C395" i="1"/>
  <c r="D395" i="1"/>
  <c r="M394" i="1" l="1"/>
  <c r="I394" i="1"/>
  <c r="K394" i="1"/>
  <c r="J394" i="1"/>
  <c r="H394" i="1"/>
  <c r="G394" i="1"/>
  <c r="L394" i="1"/>
  <c r="A397" i="1"/>
  <c r="F397" i="1" s="1"/>
  <c r="B396" i="1"/>
  <c r="C396" i="1"/>
  <c r="D396" i="1"/>
  <c r="E395" i="1"/>
  <c r="N394" i="1" l="1"/>
  <c r="H395" i="1"/>
  <c r="G395" i="1"/>
  <c r="I395" i="1"/>
  <c r="M395" i="1"/>
  <c r="L395" i="1"/>
  <c r="K395" i="1"/>
  <c r="J395" i="1"/>
  <c r="E396" i="1"/>
  <c r="A398" i="1"/>
  <c r="F398" i="1" s="1"/>
  <c r="C397" i="1"/>
  <c r="D397" i="1"/>
  <c r="B397" i="1"/>
  <c r="N395" i="1" l="1"/>
  <c r="M396" i="1"/>
  <c r="K396" i="1"/>
  <c r="G396" i="1"/>
  <c r="L396" i="1"/>
  <c r="I396" i="1"/>
  <c r="H396" i="1"/>
  <c r="J396" i="1"/>
  <c r="E397" i="1"/>
  <c r="A399" i="1"/>
  <c r="F399" i="1" s="1"/>
  <c r="C398" i="1"/>
  <c r="D398" i="1"/>
  <c r="B398" i="1"/>
  <c r="N396" i="1" l="1"/>
  <c r="H397" i="1"/>
  <c r="L397" i="1"/>
  <c r="M397" i="1"/>
  <c r="K397" i="1"/>
  <c r="I397" i="1"/>
  <c r="J397" i="1"/>
  <c r="G397" i="1"/>
  <c r="E398" i="1"/>
  <c r="A400" i="1"/>
  <c r="F400" i="1" s="1"/>
  <c r="C399" i="1"/>
  <c r="B399" i="1"/>
  <c r="D399" i="1"/>
  <c r="N397" i="1" l="1"/>
  <c r="E399" i="1"/>
  <c r="G398" i="1"/>
  <c r="J398" i="1"/>
  <c r="K398" i="1"/>
  <c r="H398" i="1"/>
  <c r="I398" i="1"/>
  <c r="M398" i="1"/>
  <c r="L398" i="1"/>
  <c r="A401" i="1"/>
  <c r="F401" i="1" s="1"/>
  <c r="B400" i="1"/>
  <c r="C400" i="1"/>
  <c r="D400" i="1"/>
  <c r="N398" i="1" l="1"/>
  <c r="M399" i="1"/>
  <c r="H399" i="1"/>
  <c r="K399" i="1"/>
  <c r="L399" i="1"/>
  <c r="J399" i="1"/>
  <c r="G399" i="1"/>
  <c r="I399" i="1"/>
  <c r="E400" i="1"/>
  <c r="C401" i="1"/>
  <c r="A402" i="1"/>
  <c r="F402" i="1" s="1"/>
  <c r="B401" i="1"/>
  <c r="E401" i="1" s="1"/>
  <c r="D401" i="1"/>
  <c r="N399" i="1" l="1"/>
  <c r="K401" i="1"/>
  <c r="M401" i="1"/>
  <c r="J401" i="1"/>
  <c r="I401" i="1"/>
  <c r="H401" i="1"/>
  <c r="G401" i="1"/>
  <c r="L401" i="1"/>
  <c r="H400" i="1"/>
  <c r="K400" i="1"/>
  <c r="I400" i="1"/>
  <c r="L400" i="1"/>
  <c r="G400" i="1"/>
  <c r="J400" i="1"/>
  <c r="M400" i="1"/>
  <c r="A403" i="1"/>
  <c r="F403" i="1" s="1"/>
  <c r="C402" i="1"/>
  <c r="D402" i="1"/>
  <c r="B402" i="1"/>
  <c r="E402" i="1" s="1"/>
  <c r="N401" i="1" l="1"/>
  <c r="N400" i="1"/>
  <c r="H402" i="1"/>
  <c r="J402" i="1"/>
  <c r="I402" i="1"/>
  <c r="K402" i="1"/>
  <c r="G402" i="1"/>
  <c r="L402" i="1"/>
  <c r="M402" i="1"/>
  <c r="A404" i="1"/>
  <c r="F404" i="1" s="1"/>
  <c r="C403" i="1"/>
  <c r="D403" i="1"/>
  <c r="B403" i="1"/>
  <c r="N402" i="1" l="1"/>
  <c r="E403" i="1"/>
  <c r="A405" i="1"/>
  <c r="F405" i="1" s="1"/>
  <c r="C404" i="1"/>
  <c r="D404" i="1"/>
  <c r="B404" i="1"/>
  <c r="E404" i="1" s="1"/>
  <c r="L404" i="1" l="1"/>
  <c r="H404" i="1"/>
  <c r="G404" i="1"/>
  <c r="I404" i="1"/>
  <c r="M404" i="1"/>
  <c r="K404" i="1"/>
  <c r="J404" i="1"/>
  <c r="M403" i="1"/>
  <c r="L403" i="1"/>
  <c r="K403" i="1"/>
  <c r="I403" i="1"/>
  <c r="J403" i="1"/>
  <c r="H403" i="1"/>
  <c r="G403" i="1"/>
  <c r="B405" i="1"/>
  <c r="A406" i="1"/>
  <c r="F406" i="1" s="1"/>
  <c r="C405" i="1"/>
  <c r="D405" i="1"/>
  <c r="N403" i="1" l="1"/>
  <c r="N404" i="1"/>
  <c r="A407" i="1"/>
  <c r="F407" i="1" s="1"/>
  <c r="C406" i="1"/>
  <c r="B406" i="1"/>
  <c r="E406" i="1" s="1"/>
  <c r="D406" i="1"/>
  <c r="E405" i="1"/>
  <c r="L405" i="1" l="1"/>
  <c r="M405" i="1"/>
  <c r="K405" i="1"/>
  <c r="G405" i="1"/>
  <c r="H405" i="1"/>
  <c r="J405" i="1"/>
  <c r="I405" i="1"/>
  <c r="J406" i="1"/>
  <c r="G406" i="1"/>
  <c r="K406" i="1"/>
  <c r="L406" i="1"/>
  <c r="M406" i="1"/>
  <c r="H406" i="1"/>
  <c r="I406" i="1"/>
  <c r="A408" i="1"/>
  <c r="F408" i="1" s="1"/>
  <c r="B407" i="1"/>
  <c r="C407" i="1"/>
  <c r="D407" i="1"/>
  <c r="N406" i="1" l="1"/>
  <c r="N405" i="1"/>
  <c r="E407" i="1"/>
  <c r="A409" i="1"/>
  <c r="F409" i="1" s="1"/>
  <c r="B408" i="1"/>
  <c r="C408" i="1"/>
  <c r="D408" i="1"/>
  <c r="I407" i="1" l="1"/>
  <c r="J407" i="1"/>
  <c r="L407" i="1"/>
  <c r="K407" i="1"/>
  <c r="G407" i="1"/>
  <c r="M407" i="1"/>
  <c r="H407" i="1"/>
  <c r="E408" i="1"/>
  <c r="C409" i="1"/>
  <c r="D409" i="1"/>
  <c r="B409" i="1"/>
  <c r="E409" i="1" s="1"/>
  <c r="A410" i="1"/>
  <c r="F410" i="1" s="1"/>
  <c r="G409" i="1" l="1"/>
  <c r="H409" i="1"/>
  <c r="J409" i="1"/>
  <c r="I409" i="1"/>
  <c r="M409" i="1"/>
  <c r="K409" i="1"/>
  <c r="L409" i="1"/>
  <c r="N407" i="1"/>
  <c r="L408" i="1"/>
  <c r="I408" i="1"/>
  <c r="J408" i="1"/>
  <c r="K408" i="1"/>
  <c r="M408" i="1"/>
  <c r="G408" i="1"/>
  <c r="H408" i="1"/>
  <c r="A411" i="1"/>
  <c r="F411" i="1" s="1"/>
  <c r="C410" i="1"/>
  <c r="D410" i="1"/>
  <c r="B410" i="1"/>
  <c r="N409" i="1" l="1"/>
  <c r="N408" i="1"/>
  <c r="E410" i="1"/>
  <c r="A412" i="1"/>
  <c r="F412" i="1" s="1"/>
  <c r="C411" i="1"/>
  <c r="D411" i="1"/>
  <c r="B411" i="1"/>
  <c r="E411" i="1" s="1"/>
  <c r="H411" i="1" l="1"/>
  <c r="G411" i="1"/>
  <c r="M411" i="1"/>
  <c r="K411" i="1"/>
  <c r="I411" i="1"/>
  <c r="L411" i="1"/>
  <c r="J411" i="1"/>
  <c r="L410" i="1"/>
  <c r="M410" i="1"/>
  <c r="K410" i="1"/>
  <c r="G410" i="1"/>
  <c r="H410" i="1"/>
  <c r="I410" i="1"/>
  <c r="J410" i="1"/>
  <c r="A413" i="1"/>
  <c r="F413" i="1" s="1"/>
  <c r="B412" i="1"/>
  <c r="C412" i="1"/>
  <c r="D412" i="1"/>
  <c r="N410" i="1" l="1"/>
  <c r="N411" i="1"/>
  <c r="E412" i="1"/>
  <c r="A414" i="1"/>
  <c r="F414" i="1" s="1"/>
  <c r="B413" i="1"/>
  <c r="C413" i="1"/>
  <c r="D413" i="1"/>
  <c r="J412" i="1" l="1"/>
  <c r="K412" i="1"/>
  <c r="M412" i="1"/>
  <c r="L412" i="1"/>
  <c r="I412" i="1"/>
  <c r="H412" i="1"/>
  <c r="G412" i="1"/>
  <c r="E413" i="1"/>
  <c r="C414" i="1"/>
  <c r="A415" i="1"/>
  <c r="F415" i="1" s="1"/>
  <c r="D414" i="1"/>
  <c r="B414" i="1"/>
  <c r="N412" i="1" l="1"/>
  <c r="L413" i="1"/>
  <c r="K413" i="1"/>
  <c r="M413" i="1"/>
  <c r="H413" i="1"/>
  <c r="J413" i="1"/>
  <c r="I413" i="1"/>
  <c r="G413" i="1"/>
  <c r="E414" i="1"/>
  <c r="A416" i="1"/>
  <c r="F416" i="1" s="1"/>
  <c r="C415" i="1"/>
  <c r="D415" i="1"/>
  <c r="B415" i="1"/>
  <c r="N413" i="1" l="1"/>
  <c r="I414" i="1"/>
  <c r="K414" i="1"/>
  <c r="J414" i="1"/>
  <c r="H414" i="1"/>
  <c r="G414" i="1"/>
  <c r="M414" i="1"/>
  <c r="L414" i="1"/>
  <c r="E415" i="1"/>
  <c r="C416" i="1"/>
  <c r="D416" i="1"/>
  <c r="A417" i="1"/>
  <c r="F417" i="1" s="1"/>
  <c r="B416" i="1"/>
  <c r="N414" i="1" l="1"/>
  <c r="M415" i="1"/>
  <c r="I415" i="1"/>
  <c r="G415" i="1"/>
  <c r="J415" i="1"/>
  <c r="L415" i="1"/>
  <c r="K415" i="1"/>
  <c r="H415" i="1"/>
  <c r="E416" i="1"/>
  <c r="A418" i="1"/>
  <c r="F418" i="1" s="1"/>
  <c r="C417" i="1"/>
  <c r="D417" i="1"/>
  <c r="B417" i="1"/>
  <c r="N415" i="1" l="1"/>
  <c r="I416" i="1"/>
  <c r="H416" i="1"/>
  <c r="G416" i="1"/>
  <c r="M416" i="1"/>
  <c r="K416" i="1"/>
  <c r="L416" i="1"/>
  <c r="J416" i="1"/>
  <c r="E417" i="1"/>
  <c r="A419" i="1"/>
  <c r="F419" i="1" s="1"/>
  <c r="C418" i="1"/>
  <c r="D418" i="1"/>
  <c r="B418" i="1"/>
  <c r="N416" i="1" l="1"/>
  <c r="K417" i="1"/>
  <c r="L417" i="1"/>
  <c r="M417" i="1"/>
  <c r="H417" i="1"/>
  <c r="J417" i="1"/>
  <c r="I417" i="1"/>
  <c r="G417" i="1"/>
  <c r="E418" i="1"/>
  <c r="B419" i="1"/>
  <c r="A420" i="1"/>
  <c r="F420" i="1" s="1"/>
  <c r="C419" i="1"/>
  <c r="D419" i="1"/>
  <c r="N417" i="1" l="1"/>
  <c r="G418" i="1"/>
  <c r="J418" i="1"/>
  <c r="M418" i="1"/>
  <c r="K418" i="1"/>
  <c r="L418" i="1"/>
  <c r="I418" i="1"/>
  <c r="H418" i="1"/>
  <c r="A421" i="1"/>
  <c r="F421" i="1" s="1"/>
  <c r="B420" i="1"/>
  <c r="C420" i="1"/>
  <c r="D420" i="1"/>
  <c r="E419" i="1"/>
  <c r="N418" i="1" l="1"/>
  <c r="I419" i="1"/>
  <c r="J419" i="1"/>
  <c r="L419" i="1"/>
  <c r="K419" i="1"/>
  <c r="H419" i="1"/>
  <c r="G419" i="1"/>
  <c r="M419" i="1"/>
  <c r="E420" i="1"/>
  <c r="D421" i="1"/>
  <c r="B421" i="1"/>
  <c r="A422" i="1"/>
  <c r="F422" i="1" s="1"/>
  <c r="C421" i="1"/>
  <c r="M420" i="1" l="1"/>
  <c r="H420" i="1"/>
  <c r="K420" i="1"/>
  <c r="L420" i="1"/>
  <c r="J420" i="1"/>
  <c r="G420" i="1"/>
  <c r="I420" i="1"/>
  <c r="N419" i="1"/>
  <c r="A423" i="1"/>
  <c r="F423" i="1" s="1"/>
  <c r="C422" i="1"/>
  <c r="D422" i="1"/>
  <c r="B422" i="1"/>
  <c r="E422" i="1" s="1"/>
  <c r="E421" i="1"/>
  <c r="N420" i="1" l="1"/>
  <c r="G421" i="1"/>
  <c r="H421" i="1"/>
  <c r="J421" i="1"/>
  <c r="I421" i="1"/>
  <c r="M421" i="1"/>
  <c r="L421" i="1"/>
  <c r="K421" i="1"/>
  <c r="L422" i="1"/>
  <c r="M422" i="1"/>
  <c r="I422" i="1"/>
  <c r="K422" i="1"/>
  <c r="J422" i="1"/>
  <c r="G422" i="1"/>
  <c r="H422" i="1"/>
  <c r="A424" i="1"/>
  <c r="F424" i="1" s="1"/>
  <c r="C423" i="1"/>
  <c r="B423" i="1"/>
  <c r="E423" i="1" s="1"/>
  <c r="D423" i="1"/>
  <c r="N421" i="1" l="1"/>
  <c r="N422" i="1"/>
  <c r="H423" i="1"/>
  <c r="G423" i="1"/>
  <c r="K423" i="1"/>
  <c r="M423" i="1"/>
  <c r="L423" i="1"/>
  <c r="I423" i="1"/>
  <c r="J423" i="1"/>
  <c r="A425" i="1"/>
  <c r="F425" i="1" s="1"/>
  <c r="C424" i="1"/>
  <c r="B424" i="1"/>
  <c r="E424" i="1" s="1"/>
  <c r="D424" i="1"/>
  <c r="N423" i="1" l="1"/>
  <c r="J424" i="1"/>
  <c r="K424" i="1"/>
  <c r="M424" i="1"/>
  <c r="L424" i="1"/>
  <c r="I424" i="1"/>
  <c r="H424" i="1"/>
  <c r="G424" i="1"/>
  <c r="A426" i="1"/>
  <c r="F426" i="1" s="1"/>
  <c r="D425" i="1"/>
  <c r="C425" i="1"/>
  <c r="B425" i="1"/>
  <c r="E425" i="1" s="1"/>
  <c r="N424" i="1" l="1"/>
  <c r="L425" i="1"/>
  <c r="K425" i="1"/>
  <c r="J425" i="1"/>
  <c r="M425" i="1"/>
  <c r="I425" i="1"/>
  <c r="G425" i="1"/>
  <c r="H425" i="1"/>
  <c r="A427" i="1"/>
  <c r="F427" i="1" s="1"/>
  <c r="B426" i="1"/>
  <c r="D426" i="1"/>
  <c r="C426" i="1"/>
  <c r="N425" i="1" l="1"/>
  <c r="Y427" i="1"/>
  <c r="Z427" i="1" s="1"/>
  <c r="E426" i="1"/>
  <c r="A428" i="1"/>
  <c r="F428" i="1" s="1"/>
  <c r="C427" i="1"/>
  <c r="D427" i="1"/>
  <c r="B427" i="1"/>
  <c r="E427" i="1" s="1"/>
  <c r="M427" i="1" l="1"/>
  <c r="J427" i="1"/>
  <c r="H427" i="1"/>
  <c r="L427" i="1"/>
  <c r="K427" i="1"/>
  <c r="I427" i="1"/>
  <c r="G427" i="1"/>
  <c r="H426" i="1"/>
  <c r="I426" i="1"/>
  <c r="K426" i="1"/>
  <c r="J426" i="1"/>
  <c r="G426" i="1"/>
  <c r="L426" i="1"/>
  <c r="M426" i="1"/>
  <c r="Y428" i="1"/>
  <c r="Z428" i="1" s="1"/>
  <c r="A429" i="1"/>
  <c r="F429" i="1" s="1"/>
  <c r="C428" i="1"/>
  <c r="D428" i="1"/>
  <c r="B428" i="1"/>
  <c r="E428" i="1" s="1"/>
  <c r="N426" i="1" l="1"/>
  <c r="N427" i="1"/>
  <c r="G428" i="1"/>
  <c r="I428" i="1"/>
  <c r="H428" i="1"/>
  <c r="M428" i="1"/>
  <c r="J428" i="1"/>
  <c r="L428" i="1"/>
  <c r="K428" i="1"/>
  <c r="Y429" i="1"/>
  <c r="Z429" i="1" s="1"/>
  <c r="A430" i="1"/>
  <c r="F430" i="1" s="1"/>
  <c r="C429" i="1"/>
  <c r="D429" i="1"/>
  <c r="B429" i="1"/>
  <c r="E429" i="1" l="1"/>
  <c r="N428" i="1"/>
  <c r="Y430" i="1"/>
  <c r="Z430" i="1" s="1"/>
  <c r="K429" i="1"/>
  <c r="L429" i="1"/>
  <c r="M429" i="1"/>
  <c r="J429" i="1"/>
  <c r="I429" i="1"/>
  <c r="G429" i="1"/>
  <c r="H429" i="1"/>
  <c r="A431" i="1"/>
  <c r="F431" i="1" s="1"/>
  <c r="Y431" i="1" s="1"/>
  <c r="Z431" i="1" s="1"/>
  <c r="C430" i="1"/>
  <c r="D430" i="1"/>
  <c r="B430" i="1"/>
  <c r="E430" i="1" l="1"/>
  <c r="N429" i="1"/>
  <c r="H430" i="1"/>
  <c r="G430" i="1"/>
  <c r="K430" i="1"/>
  <c r="L430" i="1"/>
  <c r="J430" i="1"/>
  <c r="M430" i="1"/>
  <c r="I430" i="1"/>
  <c r="A432" i="1"/>
  <c r="F432" i="1" s="1"/>
  <c r="Y432" i="1" s="1"/>
  <c r="Z432" i="1" s="1"/>
  <c r="B431" i="1"/>
  <c r="C431" i="1"/>
  <c r="D431" i="1"/>
  <c r="N430" i="1" l="1"/>
  <c r="E431" i="1"/>
  <c r="A433" i="1"/>
  <c r="F433" i="1" s="1"/>
  <c r="Y433" i="1" s="1"/>
  <c r="Z433" i="1" s="1"/>
  <c r="B432" i="1"/>
  <c r="C432" i="1"/>
  <c r="D432" i="1"/>
  <c r="I431" i="1" l="1"/>
  <c r="J431" i="1"/>
  <c r="L431" i="1"/>
  <c r="K431" i="1"/>
  <c r="H431" i="1"/>
  <c r="G431" i="1"/>
  <c r="M431" i="1"/>
  <c r="E432" i="1"/>
  <c r="D433" i="1"/>
  <c r="A434" i="1"/>
  <c r="F434" i="1" s="1"/>
  <c r="Y434" i="1" s="1"/>
  <c r="Z434" i="1" s="1"/>
  <c r="C433" i="1"/>
  <c r="B433" i="1"/>
  <c r="M432" i="1" l="1"/>
  <c r="L432" i="1"/>
  <c r="J432" i="1"/>
  <c r="H432" i="1"/>
  <c r="K432" i="1"/>
  <c r="I432" i="1"/>
  <c r="G432" i="1"/>
  <c r="N431" i="1"/>
  <c r="E433" i="1"/>
  <c r="A435" i="1"/>
  <c r="F435" i="1" s="1"/>
  <c r="Y435" i="1" s="1"/>
  <c r="Z435" i="1" s="1"/>
  <c r="C434" i="1"/>
  <c r="B434" i="1"/>
  <c r="D434" i="1"/>
  <c r="N432" i="1" l="1"/>
  <c r="G433" i="1"/>
  <c r="H433" i="1"/>
  <c r="J433" i="1"/>
  <c r="I433" i="1"/>
  <c r="K433" i="1"/>
  <c r="M433" i="1"/>
  <c r="L433" i="1"/>
  <c r="E434" i="1"/>
  <c r="C435" i="1"/>
  <c r="D435" i="1"/>
  <c r="A436" i="1"/>
  <c r="F436" i="1" s="1"/>
  <c r="Y436" i="1" s="1"/>
  <c r="Z436" i="1" s="1"/>
  <c r="B435" i="1"/>
  <c r="E435" i="1" l="1"/>
  <c r="H435" i="1"/>
  <c r="G435" i="1"/>
  <c r="M435" i="1"/>
  <c r="K435" i="1"/>
  <c r="L435" i="1"/>
  <c r="I435" i="1"/>
  <c r="J435" i="1"/>
  <c r="M434" i="1"/>
  <c r="I434" i="1"/>
  <c r="H434" i="1"/>
  <c r="L434" i="1"/>
  <c r="K434" i="1"/>
  <c r="J434" i="1"/>
  <c r="G434" i="1"/>
  <c r="N433" i="1"/>
  <c r="A437" i="1"/>
  <c r="F437" i="1" s="1"/>
  <c r="Y437" i="1" s="1"/>
  <c r="Z437" i="1" s="1"/>
  <c r="B436" i="1"/>
  <c r="C436" i="1"/>
  <c r="D436" i="1"/>
  <c r="N434" i="1" l="1"/>
  <c r="N435" i="1"/>
  <c r="E436" i="1"/>
  <c r="A438" i="1"/>
  <c r="F438" i="1" s="1"/>
  <c r="Y438" i="1" s="1"/>
  <c r="Z438" i="1" s="1"/>
  <c r="B437" i="1"/>
  <c r="C437" i="1"/>
  <c r="D437" i="1"/>
  <c r="M436" i="1" l="1"/>
  <c r="L436" i="1"/>
  <c r="J436" i="1"/>
  <c r="K436" i="1"/>
  <c r="I436" i="1"/>
  <c r="H436" i="1"/>
  <c r="G436" i="1"/>
  <c r="E437" i="1"/>
  <c r="A439" i="1"/>
  <c r="F439" i="1" s="1"/>
  <c r="Y439" i="1" s="1"/>
  <c r="Z439" i="1" s="1"/>
  <c r="B438" i="1"/>
  <c r="C438" i="1"/>
  <c r="D438" i="1"/>
  <c r="N436" i="1" l="1"/>
  <c r="K437" i="1"/>
  <c r="L437" i="1"/>
  <c r="J437" i="1"/>
  <c r="H437" i="1"/>
  <c r="I437" i="1"/>
  <c r="M437" i="1"/>
  <c r="G437" i="1"/>
  <c r="E438" i="1"/>
  <c r="A440" i="1"/>
  <c r="F440" i="1" s="1"/>
  <c r="Y440" i="1" s="1"/>
  <c r="Z440" i="1" s="1"/>
  <c r="C439" i="1"/>
  <c r="D439" i="1"/>
  <c r="B439" i="1"/>
  <c r="E439" i="1" l="1"/>
  <c r="M439" i="1"/>
  <c r="I439" i="1"/>
  <c r="G439" i="1"/>
  <c r="J439" i="1"/>
  <c r="H439" i="1"/>
  <c r="L439" i="1"/>
  <c r="K439" i="1"/>
  <c r="H438" i="1"/>
  <c r="I438" i="1"/>
  <c r="K438" i="1"/>
  <c r="J438" i="1"/>
  <c r="M438" i="1"/>
  <c r="G438" i="1"/>
  <c r="L438" i="1"/>
  <c r="N437" i="1"/>
  <c r="C440" i="1"/>
  <c r="A441" i="1"/>
  <c r="F441" i="1" s="1"/>
  <c r="Y441" i="1" s="1"/>
  <c r="Z441" i="1" s="1"/>
  <c r="D440" i="1"/>
  <c r="B440" i="1"/>
  <c r="E440" i="1" s="1"/>
  <c r="N439" i="1" l="1"/>
  <c r="N438" i="1"/>
  <c r="G440" i="1"/>
  <c r="I440" i="1"/>
  <c r="H440" i="1"/>
  <c r="L440" i="1"/>
  <c r="M440" i="1"/>
  <c r="K440" i="1"/>
  <c r="J440" i="1"/>
  <c r="A442" i="1"/>
  <c r="F442" i="1" s="1"/>
  <c r="Y442" i="1" s="1"/>
  <c r="Z442" i="1" s="1"/>
  <c r="C441" i="1"/>
  <c r="B441" i="1"/>
  <c r="E441" i="1" s="1"/>
  <c r="D441" i="1"/>
  <c r="N440" i="1" l="1"/>
  <c r="K441" i="1"/>
  <c r="L441" i="1"/>
  <c r="M441" i="1"/>
  <c r="J441" i="1"/>
  <c r="I441" i="1"/>
  <c r="H441" i="1"/>
  <c r="G441" i="1"/>
  <c r="A443" i="1"/>
  <c r="F443" i="1" s="1"/>
  <c r="Y443" i="1" s="1"/>
  <c r="Z443" i="1" s="1"/>
  <c r="C442" i="1"/>
  <c r="B442" i="1"/>
  <c r="E442" i="1" s="1"/>
  <c r="D442" i="1"/>
  <c r="N441" i="1" l="1"/>
  <c r="G442" i="1"/>
  <c r="J442" i="1"/>
  <c r="M442" i="1"/>
  <c r="K442" i="1"/>
  <c r="L442" i="1"/>
  <c r="I442" i="1"/>
  <c r="H442" i="1"/>
  <c r="A444" i="1"/>
  <c r="F444" i="1" s="1"/>
  <c r="Y444" i="1" s="1"/>
  <c r="Z444" i="1" s="1"/>
  <c r="D443" i="1"/>
  <c r="B443" i="1"/>
  <c r="C443" i="1"/>
  <c r="N442" i="1" l="1"/>
  <c r="E443" i="1"/>
  <c r="A445" i="1"/>
  <c r="F445" i="1" s="1"/>
  <c r="Y445" i="1" s="1"/>
  <c r="Z445" i="1" s="1"/>
  <c r="C444" i="1"/>
  <c r="B444" i="1"/>
  <c r="D444" i="1"/>
  <c r="E444" i="1" l="1"/>
  <c r="M444" i="1"/>
  <c r="L444" i="1"/>
  <c r="H444" i="1"/>
  <c r="K444" i="1"/>
  <c r="J444" i="1"/>
  <c r="I444" i="1"/>
  <c r="G444" i="1"/>
  <c r="I443" i="1"/>
  <c r="J443" i="1"/>
  <c r="L443" i="1"/>
  <c r="K443" i="1"/>
  <c r="H443" i="1"/>
  <c r="G443" i="1"/>
  <c r="M443" i="1"/>
  <c r="A446" i="1"/>
  <c r="F446" i="1" s="1"/>
  <c r="Y446" i="1" s="1"/>
  <c r="Z446" i="1" s="1"/>
  <c r="C445" i="1"/>
  <c r="D445" i="1"/>
  <c r="B445" i="1"/>
  <c r="N444" i="1" l="1"/>
  <c r="N443" i="1"/>
  <c r="E445" i="1"/>
  <c r="A447" i="1"/>
  <c r="F447" i="1" s="1"/>
  <c r="Y447" i="1" s="1"/>
  <c r="Z447" i="1" s="1"/>
  <c r="C446" i="1"/>
  <c r="B446" i="1"/>
  <c r="E446" i="1" s="1"/>
  <c r="D446" i="1"/>
  <c r="L446" i="1" l="1"/>
  <c r="M446" i="1"/>
  <c r="I446" i="1"/>
  <c r="H446" i="1"/>
  <c r="G446" i="1"/>
  <c r="K446" i="1"/>
  <c r="J446" i="1"/>
  <c r="G445" i="1"/>
  <c r="H445" i="1"/>
  <c r="J445" i="1"/>
  <c r="I445" i="1"/>
  <c r="M445" i="1"/>
  <c r="K445" i="1"/>
  <c r="L445" i="1"/>
  <c r="A448" i="1"/>
  <c r="F448" i="1" s="1"/>
  <c r="Y448" i="1" s="1"/>
  <c r="Z448" i="1" s="1"/>
  <c r="B447" i="1"/>
  <c r="C447" i="1"/>
  <c r="D447" i="1"/>
  <c r="N445" i="1" l="1"/>
  <c r="N446" i="1"/>
  <c r="E447" i="1"/>
  <c r="A449" i="1"/>
  <c r="F449" i="1" s="1"/>
  <c r="Y449" i="1" s="1"/>
  <c r="Z449" i="1" s="1"/>
  <c r="B448" i="1"/>
  <c r="C448" i="1"/>
  <c r="D448" i="1"/>
  <c r="H447" i="1" l="1"/>
  <c r="G447" i="1"/>
  <c r="K447" i="1"/>
  <c r="L447" i="1"/>
  <c r="M447" i="1"/>
  <c r="J447" i="1"/>
  <c r="I447" i="1"/>
  <c r="E448" i="1"/>
  <c r="A450" i="1"/>
  <c r="F450" i="1" s="1"/>
  <c r="Y450" i="1" s="1"/>
  <c r="Z450" i="1" s="1"/>
  <c r="B449" i="1"/>
  <c r="C449" i="1"/>
  <c r="D449" i="1"/>
  <c r="N447" i="1" l="1"/>
  <c r="K448" i="1"/>
  <c r="J448" i="1"/>
  <c r="M448" i="1"/>
  <c r="L448" i="1"/>
  <c r="G448" i="1"/>
  <c r="I448" i="1"/>
  <c r="H448" i="1"/>
  <c r="E449" i="1"/>
  <c r="A451" i="1"/>
  <c r="F451" i="1" s="1"/>
  <c r="Y451" i="1" s="1"/>
  <c r="Z451" i="1" s="1"/>
  <c r="B450" i="1"/>
  <c r="C450" i="1"/>
  <c r="D450" i="1"/>
  <c r="N448" i="1" l="1"/>
  <c r="I449" i="1"/>
  <c r="L449" i="1"/>
  <c r="J449" i="1"/>
  <c r="M449" i="1"/>
  <c r="K449" i="1"/>
  <c r="G449" i="1"/>
  <c r="H449" i="1"/>
  <c r="E450" i="1"/>
  <c r="A452" i="1"/>
  <c r="F452" i="1" s="1"/>
  <c r="Y452" i="1" s="1"/>
  <c r="Z452" i="1" s="1"/>
  <c r="D451" i="1"/>
  <c r="B451" i="1"/>
  <c r="C451" i="1"/>
  <c r="N449" i="1" l="1"/>
  <c r="I450" i="1"/>
  <c r="H450" i="1"/>
  <c r="K450" i="1"/>
  <c r="J450" i="1"/>
  <c r="G450" i="1"/>
  <c r="L450" i="1"/>
  <c r="M450" i="1"/>
  <c r="E451" i="1"/>
  <c r="A453" i="1"/>
  <c r="F453" i="1" s="1"/>
  <c r="Y453" i="1" s="1"/>
  <c r="Z453" i="1" s="1"/>
  <c r="C452" i="1"/>
  <c r="B452" i="1"/>
  <c r="E452" i="1" s="1"/>
  <c r="D452" i="1"/>
  <c r="N450" i="1" l="1"/>
  <c r="G452" i="1"/>
  <c r="I452" i="1"/>
  <c r="H452" i="1"/>
  <c r="L452" i="1"/>
  <c r="J452" i="1"/>
  <c r="M452" i="1"/>
  <c r="K452" i="1"/>
  <c r="M451" i="1"/>
  <c r="L451" i="1"/>
  <c r="K451" i="1"/>
  <c r="J451" i="1"/>
  <c r="H451" i="1"/>
  <c r="I451" i="1"/>
  <c r="G451" i="1"/>
  <c r="A454" i="1"/>
  <c r="F454" i="1" s="1"/>
  <c r="Y454" i="1" s="1"/>
  <c r="Z454" i="1" s="1"/>
  <c r="C453" i="1"/>
  <c r="D453" i="1"/>
  <c r="B453" i="1"/>
  <c r="N451" i="1" l="1"/>
  <c r="N452" i="1"/>
  <c r="E453" i="1"/>
  <c r="A455" i="1"/>
  <c r="F455" i="1" s="1"/>
  <c r="Y455" i="1" s="1"/>
  <c r="Z455" i="1" s="1"/>
  <c r="C454" i="1"/>
  <c r="D454" i="1"/>
  <c r="B454" i="1"/>
  <c r="E454" i="1" s="1"/>
  <c r="L453" i="1" l="1"/>
  <c r="K453" i="1"/>
  <c r="M453" i="1"/>
  <c r="J453" i="1"/>
  <c r="I453" i="1"/>
  <c r="G453" i="1"/>
  <c r="H453" i="1"/>
  <c r="G454" i="1"/>
  <c r="J454" i="1"/>
  <c r="M454" i="1"/>
  <c r="L454" i="1"/>
  <c r="H454" i="1"/>
  <c r="I454" i="1"/>
  <c r="K454" i="1"/>
  <c r="A456" i="1"/>
  <c r="F456" i="1" s="1"/>
  <c r="Y456" i="1" s="1"/>
  <c r="Z456" i="1" s="1"/>
  <c r="D455" i="1"/>
  <c r="B455" i="1"/>
  <c r="C455" i="1"/>
  <c r="N454" i="1" l="1"/>
  <c r="N453" i="1"/>
  <c r="G6" i="12"/>
  <c r="G25" i="12" s="1"/>
  <c r="H6" i="12"/>
  <c r="H25" i="12" s="1"/>
  <c r="I6" i="12"/>
  <c r="I25" i="12" s="1"/>
  <c r="J6" i="12"/>
  <c r="J25" i="12" s="1"/>
  <c r="K6" i="12"/>
  <c r="K25" i="12" s="1"/>
  <c r="L6" i="12"/>
  <c r="L25" i="12" s="1"/>
  <c r="M6" i="12"/>
  <c r="M25" i="12" s="1"/>
  <c r="N6" i="12"/>
  <c r="N25" i="12" s="1"/>
  <c r="O6" i="12"/>
  <c r="O25" i="12" s="1"/>
  <c r="P6" i="12"/>
  <c r="P25" i="12" s="1"/>
  <c r="Q6" i="12"/>
  <c r="Q25" i="12" s="1"/>
  <c r="E455" i="1"/>
  <c r="C456" i="1"/>
  <c r="D456" i="1"/>
  <c r="B456" i="1"/>
  <c r="I14" i="12" l="1"/>
  <c r="M14" i="12"/>
  <c r="G14" i="12"/>
  <c r="J14" i="12"/>
  <c r="N14" i="12"/>
  <c r="K14" i="12"/>
  <c r="F14" i="12"/>
  <c r="H14" i="12"/>
  <c r="H24" i="12" s="1"/>
  <c r="C14" i="12"/>
  <c r="E14" i="12"/>
  <c r="L14" i="12"/>
  <c r="L24" i="12" s="1"/>
  <c r="O14" i="12"/>
  <c r="O24" i="12" s="1"/>
  <c r="P14" i="12"/>
  <c r="D71" i="12"/>
  <c r="C71" i="12"/>
  <c r="F71" i="12"/>
  <c r="E71" i="12"/>
  <c r="G71" i="12"/>
  <c r="H71" i="12"/>
  <c r="I71" i="12"/>
  <c r="J71" i="12"/>
  <c r="L71" i="12"/>
  <c r="K71" i="12"/>
  <c r="M71" i="12"/>
  <c r="O71" i="12"/>
  <c r="N71" i="12"/>
  <c r="S71" i="12"/>
  <c r="P71" i="12"/>
  <c r="Q71" i="12"/>
  <c r="R71" i="12"/>
  <c r="T71" i="12"/>
  <c r="V71" i="12"/>
  <c r="U71" i="12"/>
  <c r="X71" i="12"/>
  <c r="W71" i="12"/>
  <c r="Z71" i="12"/>
  <c r="Y71" i="12"/>
  <c r="AA71" i="12"/>
  <c r="AD71" i="12"/>
  <c r="AC71" i="12"/>
  <c r="AB71" i="12"/>
  <c r="AE71" i="12"/>
  <c r="J455" i="1"/>
  <c r="I455" i="1"/>
  <c r="L455" i="1"/>
  <c r="K455" i="1"/>
  <c r="H455" i="1"/>
  <c r="G455" i="1"/>
  <c r="M455" i="1"/>
  <c r="P24" i="12"/>
  <c r="N24" i="12"/>
  <c r="M24" i="12"/>
  <c r="K24" i="12"/>
  <c r="J24" i="12"/>
  <c r="I24" i="12"/>
  <c r="G24" i="12"/>
  <c r="E456" i="1"/>
  <c r="D12" i="12"/>
  <c r="F11" i="12"/>
  <c r="F10" i="12"/>
  <c r="F8" i="12"/>
  <c r="E13" i="12"/>
  <c r="F12" i="12"/>
  <c r="D13" i="12"/>
  <c r="D8" i="12"/>
  <c r="D11" i="12"/>
  <c r="E10" i="12"/>
  <c r="D7" i="12"/>
  <c r="F7" i="12"/>
  <c r="E7" i="12"/>
  <c r="F13" i="12"/>
  <c r="G8" i="12"/>
  <c r="G18" i="12" s="1"/>
  <c r="I7" i="12"/>
  <c r="I17" i="12" s="1"/>
  <c r="E9" i="12"/>
  <c r="E8" i="12"/>
  <c r="G10" i="12"/>
  <c r="G20" i="12" s="1"/>
  <c r="I10" i="12"/>
  <c r="I20" i="12" s="1"/>
  <c r="H11" i="12"/>
  <c r="H21" i="12" s="1"/>
  <c r="H7" i="12"/>
  <c r="H17" i="12" s="1"/>
  <c r="I8" i="12"/>
  <c r="I18" i="12" s="1"/>
  <c r="G11" i="12"/>
  <c r="G21" i="12" s="1"/>
  <c r="I13" i="12"/>
  <c r="I23" i="12" s="1"/>
  <c r="G13" i="12"/>
  <c r="G23" i="12" s="1"/>
  <c r="J10" i="12"/>
  <c r="J20" i="12" s="1"/>
  <c r="I9" i="12"/>
  <c r="I19" i="12" s="1"/>
  <c r="H10" i="12"/>
  <c r="H20" i="12" s="1"/>
  <c r="J11" i="12"/>
  <c r="J21" i="12" s="1"/>
  <c r="J12" i="12"/>
  <c r="J22" i="12" s="1"/>
  <c r="H12" i="12"/>
  <c r="H22" i="12" s="1"/>
  <c r="J8" i="12"/>
  <c r="J18" i="12" s="1"/>
  <c r="J9" i="12"/>
  <c r="J19" i="12" s="1"/>
  <c r="G12" i="12"/>
  <c r="G22" i="12" s="1"/>
  <c r="L8" i="12"/>
  <c r="L18" i="12" s="1"/>
  <c r="J13" i="12"/>
  <c r="J23" i="12" s="1"/>
  <c r="I11" i="12"/>
  <c r="I21" i="12" s="1"/>
  <c r="H13" i="12"/>
  <c r="H23" i="12" s="1"/>
  <c r="I12" i="12"/>
  <c r="I22" i="12" s="1"/>
  <c r="M12" i="12"/>
  <c r="M22" i="12" s="1"/>
  <c r="K10" i="12"/>
  <c r="K20" i="12" s="1"/>
  <c r="K12" i="12"/>
  <c r="K22" i="12" s="1"/>
  <c r="L13" i="12"/>
  <c r="L23" i="12" s="1"/>
  <c r="J7" i="12"/>
  <c r="J17" i="12" s="1"/>
  <c r="K9" i="12"/>
  <c r="K19" i="12" s="1"/>
  <c r="L12" i="12"/>
  <c r="L22" i="12" s="1"/>
  <c r="M9" i="12"/>
  <c r="M19" i="12" s="1"/>
  <c r="K8" i="12"/>
  <c r="K18" i="12" s="1"/>
  <c r="L11" i="12"/>
  <c r="L21" i="12" s="1"/>
  <c r="K11" i="12"/>
  <c r="K21" i="12" s="1"/>
  <c r="K13" i="12"/>
  <c r="K23" i="12" s="1"/>
  <c r="M13" i="12"/>
  <c r="M23" i="12" s="1"/>
  <c r="K7" i="12"/>
  <c r="K17" i="12" s="1"/>
  <c r="L7" i="12"/>
  <c r="L17" i="12" s="1"/>
  <c r="M11" i="12"/>
  <c r="M21" i="12" s="1"/>
  <c r="M10" i="12"/>
  <c r="M20" i="12" s="1"/>
  <c r="L9" i="12"/>
  <c r="L19" i="12" s="1"/>
  <c r="L10" i="12"/>
  <c r="L20" i="12" s="1"/>
  <c r="P12" i="12"/>
  <c r="P22" i="12" s="1"/>
  <c r="N12" i="12"/>
  <c r="N22" i="12" s="1"/>
  <c r="M7" i="12"/>
  <c r="M17" i="12" s="1"/>
  <c r="M8" i="12"/>
  <c r="M18" i="12" s="1"/>
  <c r="N8" i="12"/>
  <c r="N18" i="12" s="1"/>
  <c r="N7" i="12"/>
  <c r="N17" i="12" s="1"/>
  <c r="O12" i="12"/>
  <c r="O22" i="12" s="1"/>
  <c r="N13" i="12"/>
  <c r="N23" i="12" s="1"/>
  <c r="O10" i="12"/>
  <c r="O20" i="12" s="1"/>
  <c r="O13" i="12"/>
  <c r="O23" i="12" s="1"/>
  <c r="P8" i="12"/>
  <c r="P18" i="12" s="1"/>
  <c r="P13" i="12"/>
  <c r="P23" i="12" s="1"/>
  <c r="O8" i="12"/>
  <c r="O18" i="12" s="1"/>
  <c r="O9" i="12"/>
  <c r="O19" i="12" s="1"/>
  <c r="P10" i="12"/>
  <c r="P20" i="12" s="1"/>
  <c r="P7" i="12"/>
  <c r="P17" i="12" s="1"/>
  <c r="P9" i="12"/>
  <c r="P19" i="12" s="1"/>
  <c r="O7" i="12"/>
  <c r="O17" i="12" s="1"/>
  <c r="O11" i="12"/>
  <c r="O21" i="12" s="1"/>
  <c r="P11" i="12"/>
  <c r="P21" i="12" s="1"/>
  <c r="D63" i="12"/>
  <c r="AB70" i="12"/>
  <c r="AB66" i="12"/>
  <c r="D64" i="12"/>
  <c r="L70" i="12"/>
  <c r="V66" i="12"/>
  <c r="L66" i="12"/>
  <c r="V70" i="12"/>
  <c r="O65" i="12"/>
  <c r="L65" i="12"/>
  <c r="Y68" i="12"/>
  <c r="E63" i="12"/>
  <c r="T69" i="12"/>
  <c r="I68" i="12"/>
  <c r="AA64" i="12"/>
  <c r="M70" i="12"/>
  <c r="W69" i="12"/>
  <c r="K65" i="12"/>
  <c r="N70" i="12"/>
  <c r="P64" i="12"/>
  <c r="T68" i="12"/>
  <c r="R69" i="12"/>
  <c r="M69" i="12"/>
  <c r="Y66" i="12"/>
  <c r="L63" i="12"/>
  <c r="L82" i="12" s="1"/>
  <c r="J65" i="12"/>
  <c r="N63" i="12"/>
  <c r="R63" i="12"/>
  <c r="V65" i="12"/>
  <c r="O68" i="12"/>
  <c r="AA63" i="12"/>
  <c r="AA82" i="12" s="1"/>
  <c r="AG63" i="12"/>
  <c r="AG82" i="12" s="1"/>
  <c r="J64" i="12"/>
  <c r="AF63" i="12"/>
  <c r="AF82" i="12" s="1"/>
  <c r="W63" i="12"/>
  <c r="W82" i="12" s="1"/>
  <c r="AD70" i="12"/>
  <c r="C69" i="12"/>
  <c r="U68" i="12"/>
  <c r="U64" i="12"/>
  <c r="M63" i="12"/>
  <c r="M82" i="12" s="1"/>
  <c r="J68" i="12"/>
  <c r="Z66" i="12"/>
  <c r="Q69" i="12"/>
  <c r="L64" i="12"/>
  <c r="AC70" i="12"/>
  <c r="J67" i="12"/>
  <c r="O64" i="12"/>
  <c r="R66" i="12"/>
  <c r="M66" i="12"/>
  <c r="W70" i="12"/>
  <c r="J69" i="12"/>
  <c r="N65" i="12"/>
  <c r="K70" i="12"/>
  <c r="M65" i="12"/>
  <c r="Z69" i="12"/>
  <c r="X68" i="12"/>
  <c r="AA65" i="12"/>
  <c r="M64" i="12"/>
  <c r="T63" i="12"/>
  <c r="X69" i="12"/>
  <c r="F67" i="12"/>
  <c r="Z68" i="12"/>
  <c r="U70" i="12"/>
  <c r="AD68" i="12"/>
  <c r="P70" i="12"/>
  <c r="Q67" i="12"/>
  <c r="AC68" i="12"/>
  <c r="J66" i="12"/>
  <c r="Q64" i="12"/>
  <c r="L68" i="12"/>
  <c r="L78" i="12" s="1"/>
  <c r="C68" i="12"/>
  <c r="G63" i="12"/>
  <c r="K69" i="12"/>
  <c r="AB63" i="12"/>
  <c r="AB82" i="12" s="1"/>
  <c r="N64" i="12"/>
  <c r="AA67" i="12"/>
  <c r="U69" i="12"/>
  <c r="Q68" i="12"/>
  <c r="F68" i="12"/>
  <c r="C67" i="12"/>
  <c r="E69" i="12"/>
  <c r="E79" i="12" s="1"/>
  <c r="AB68" i="12"/>
  <c r="N67" i="12"/>
  <c r="AB65" i="12"/>
  <c r="K68" i="12"/>
  <c r="AE63" i="12"/>
  <c r="AE82" i="12" s="1"/>
  <c r="S64" i="12"/>
  <c r="F70" i="12"/>
  <c r="C66" i="12"/>
  <c r="T70" i="12"/>
  <c r="O66" i="12"/>
  <c r="W68" i="12"/>
  <c r="W78" i="12" s="1"/>
  <c r="Y67" i="12"/>
  <c r="AA70" i="12"/>
  <c r="S67" i="12"/>
  <c r="F66" i="12"/>
  <c r="Z63" i="12"/>
  <c r="Z82" i="12" s="1"/>
  <c r="F65" i="12"/>
  <c r="P67" i="12"/>
  <c r="T67" i="12"/>
  <c r="S66" i="12"/>
  <c r="S65" i="12"/>
  <c r="S69" i="12"/>
  <c r="L69" i="12"/>
  <c r="L79" i="12" s="1"/>
  <c r="X64" i="12"/>
  <c r="V69" i="12"/>
  <c r="W66" i="12"/>
  <c r="W76" i="12" s="1"/>
  <c r="AB69" i="12"/>
  <c r="C65" i="12"/>
  <c r="P63" i="12"/>
  <c r="AA69" i="12"/>
  <c r="R70" i="12"/>
  <c r="Q63" i="12"/>
  <c r="AD63" i="12"/>
  <c r="U63" i="12"/>
  <c r="AC63" i="12"/>
  <c r="R65" i="12"/>
  <c r="J63" i="12"/>
  <c r="J82" i="12" s="1"/>
  <c r="W65" i="12"/>
  <c r="W75" i="12" s="1"/>
  <c r="V63" i="12"/>
  <c r="V82" i="12" s="1"/>
  <c r="Y65" i="12"/>
  <c r="P66" i="12"/>
  <c r="M67" i="12"/>
  <c r="X65" i="12"/>
  <c r="AB64" i="12"/>
  <c r="E70" i="12"/>
  <c r="AB67" i="12"/>
  <c r="L67" i="12"/>
  <c r="L77" i="12" s="1"/>
  <c r="AD66" i="12"/>
  <c r="N68" i="12"/>
  <c r="K67" i="12"/>
  <c r="Q66" i="12"/>
  <c r="K66" i="12"/>
  <c r="AD69" i="12"/>
  <c r="F69" i="12"/>
  <c r="I63" i="12"/>
  <c r="S70" i="12"/>
  <c r="H63" i="12"/>
  <c r="C64" i="12"/>
  <c r="R67" i="12"/>
  <c r="X70" i="12"/>
  <c r="AD67" i="12"/>
  <c r="G66" i="12"/>
  <c r="Z64" i="12"/>
  <c r="U66" i="12"/>
  <c r="AA66" i="12"/>
  <c r="W64" i="12"/>
  <c r="W74" i="12" s="1"/>
  <c r="E64" i="12"/>
  <c r="E74" i="12" s="1"/>
  <c r="AC67" i="12"/>
  <c r="E65" i="12"/>
  <c r="E75" i="12" s="1"/>
  <c r="P69" i="12"/>
  <c r="AC64" i="12"/>
  <c r="T64" i="12"/>
  <c r="S68" i="12"/>
  <c r="K63" i="12"/>
  <c r="K82" i="12" s="1"/>
  <c r="D68" i="12"/>
  <c r="D78" i="12" s="1"/>
  <c r="W67" i="12"/>
  <c r="G65" i="12"/>
  <c r="C70" i="12"/>
  <c r="AC65" i="12"/>
  <c r="E68" i="12"/>
  <c r="E78" i="12" s="1"/>
  <c r="O70" i="12"/>
  <c r="Z65" i="12"/>
  <c r="Z70" i="12"/>
  <c r="G67" i="12"/>
  <c r="AA68" i="12"/>
  <c r="F63" i="12"/>
  <c r="T65" i="12"/>
  <c r="AD64" i="12"/>
  <c r="E66" i="12"/>
  <c r="E76" i="12" s="1"/>
  <c r="Y63" i="12"/>
  <c r="V64" i="12"/>
  <c r="D69" i="12"/>
  <c r="D79" i="12" s="1"/>
  <c r="Q65" i="12"/>
  <c r="U65" i="12"/>
  <c r="D65" i="12"/>
  <c r="D75" i="12" s="1"/>
  <c r="AC69" i="12"/>
  <c r="O67" i="12"/>
  <c r="V67" i="12"/>
  <c r="Q70" i="12"/>
  <c r="E67" i="12"/>
  <c r="E77" i="12" s="1"/>
  <c r="X67" i="12"/>
  <c r="C63" i="12"/>
  <c r="O63" i="12"/>
  <c r="Y69" i="12"/>
  <c r="X66" i="12"/>
  <c r="P68" i="12"/>
  <c r="Z67" i="12"/>
  <c r="U67" i="12"/>
  <c r="D70" i="12"/>
  <c r="D80" i="12" s="1"/>
  <c r="T66" i="12"/>
  <c r="T76" i="12" s="1"/>
  <c r="G68" i="12"/>
  <c r="M68" i="12"/>
  <c r="N69" i="12"/>
  <c r="AC66" i="12"/>
  <c r="G70" i="12"/>
  <c r="S63" i="12"/>
  <c r="G64" i="12"/>
  <c r="P65" i="12"/>
  <c r="V68" i="12"/>
  <c r="G69" i="12"/>
  <c r="G79" i="12" s="1"/>
  <c r="K64" i="12"/>
  <c r="K74" i="12" s="1"/>
  <c r="D66" i="12"/>
  <c r="D76" i="12" s="1"/>
  <c r="Y64" i="12"/>
  <c r="D67" i="12"/>
  <c r="D77" i="12" s="1"/>
  <c r="H65" i="12"/>
  <c r="H66" i="12"/>
  <c r="O69" i="12"/>
  <c r="Y70" i="12"/>
  <c r="X63" i="12"/>
  <c r="X82" i="12" s="1"/>
  <c r="H67" i="12"/>
  <c r="R64" i="12"/>
  <c r="H69" i="12"/>
  <c r="R68" i="12"/>
  <c r="H64" i="12"/>
  <c r="N66" i="12"/>
  <c r="H68" i="12"/>
  <c r="AD65" i="12"/>
  <c r="F64" i="12"/>
  <c r="I65" i="12"/>
  <c r="D10" i="12"/>
  <c r="D9" i="12"/>
  <c r="E11" i="12"/>
  <c r="H8" i="12"/>
  <c r="H18" i="12" s="1"/>
  <c r="H9" i="12"/>
  <c r="H19" i="12" s="1"/>
  <c r="G7" i="12"/>
  <c r="G17" i="12" s="1"/>
  <c r="G9" i="12"/>
  <c r="G19" i="12" s="1"/>
  <c r="E12" i="12"/>
  <c r="F9" i="12"/>
  <c r="N11" i="12"/>
  <c r="N21" i="12" s="1"/>
  <c r="N9" i="12"/>
  <c r="N19" i="12" s="1"/>
  <c r="N10" i="12"/>
  <c r="N20" i="12" s="1"/>
  <c r="AE70" i="12"/>
  <c r="AE65" i="12"/>
  <c r="AE68" i="12"/>
  <c r="AE64" i="12"/>
  <c r="AE74" i="12" s="1"/>
  <c r="F6" i="12"/>
  <c r="F25" i="12" s="1"/>
  <c r="E6" i="12"/>
  <c r="E25" i="12" s="1"/>
  <c r="D6" i="12"/>
  <c r="D25" i="12" s="1"/>
  <c r="C6" i="12"/>
  <c r="C25" i="12" s="1"/>
  <c r="AE78" i="12" l="1"/>
  <c r="AB77" i="12"/>
  <c r="AE75" i="12"/>
  <c r="AE80" i="12"/>
  <c r="AB74" i="12"/>
  <c r="R80" i="12"/>
  <c r="U81" i="12"/>
  <c r="U82" i="12"/>
  <c r="H81" i="12"/>
  <c r="H82" i="12"/>
  <c r="AD81" i="12"/>
  <c r="AD82" i="12"/>
  <c r="S81" i="12"/>
  <c r="S82" i="12"/>
  <c r="Q81" i="12"/>
  <c r="Q82" i="12"/>
  <c r="I81" i="12"/>
  <c r="I82" i="12"/>
  <c r="R81" i="12"/>
  <c r="R82" i="12"/>
  <c r="C81" i="12"/>
  <c r="C82" i="12"/>
  <c r="N81" i="12"/>
  <c r="N82" i="12"/>
  <c r="P81" i="12"/>
  <c r="P82" i="12"/>
  <c r="O81" i="12"/>
  <c r="O82" i="12"/>
  <c r="Y81" i="12"/>
  <c r="Y82" i="12"/>
  <c r="D81" i="12"/>
  <c r="D82" i="12"/>
  <c r="S25" i="12"/>
  <c r="G81" i="12"/>
  <c r="G82" i="12"/>
  <c r="E81" i="12"/>
  <c r="E82" i="12"/>
  <c r="F81" i="12"/>
  <c r="F82" i="12"/>
  <c r="T81" i="12"/>
  <c r="T82" i="12"/>
  <c r="AC81" i="12"/>
  <c r="AC82" i="12"/>
  <c r="R78" i="12"/>
  <c r="J81" i="12"/>
  <c r="R75" i="12"/>
  <c r="R74" i="12"/>
  <c r="R77" i="12"/>
  <c r="V81" i="12"/>
  <c r="T74" i="12"/>
  <c r="T75" i="12"/>
  <c r="W77" i="12"/>
  <c r="X81" i="12"/>
  <c r="M77" i="12"/>
  <c r="L81" i="12"/>
  <c r="AA81" i="12"/>
  <c r="AE81" i="12"/>
  <c r="AB81" i="12"/>
  <c r="AB79" i="12"/>
  <c r="AA77" i="12"/>
  <c r="AA79" i="12"/>
  <c r="AD75" i="12"/>
  <c r="AA76" i="12"/>
  <c r="P76" i="12"/>
  <c r="AD74" i="12"/>
  <c r="U76" i="12"/>
  <c r="AA78" i="12"/>
  <c r="AA80" i="12"/>
  <c r="U77" i="12"/>
  <c r="U75" i="12"/>
  <c r="N455" i="1"/>
  <c r="AF71" i="12" s="1"/>
  <c r="AF81" i="12" s="1"/>
  <c r="Z81" i="12"/>
  <c r="K81" i="12"/>
  <c r="W81" i="12"/>
  <c r="M81" i="12"/>
  <c r="H76" i="12"/>
  <c r="H75" i="12"/>
  <c r="M78" i="12"/>
  <c r="H78" i="12"/>
  <c r="H74" i="12"/>
  <c r="H79" i="12"/>
  <c r="H77" i="12"/>
  <c r="E80" i="12"/>
  <c r="T77" i="12"/>
  <c r="O79" i="12"/>
  <c r="R76" i="12"/>
  <c r="P75" i="12"/>
  <c r="P78" i="12"/>
  <c r="T80" i="12"/>
  <c r="M75" i="12"/>
  <c r="H456" i="1"/>
  <c r="AG65" i="12" s="1"/>
  <c r="AG75" i="12" s="1"/>
  <c r="M456" i="1"/>
  <c r="AG70" i="12" s="1"/>
  <c r="AG80" i="12" s="1"/>
  <c r="L456" i="1"/>
  <c r="J456" i="1"/>
  <c r="AG67" i="12" s="1"/>
  <c r="AG77" i="12" s="1"/>
  <c r="K456" i="1"/>
  <c r="AG68" i="12" s="1"/>
  <c r="AG78" i="12" s="1"/>
  <c r="I456" i="1"/>
  <c r="AG66" i="12" s="1"/>
  <c r="AG76" i="12" s="1"/>
  <c r="G456" i="1"/>
  <c r="AG64" i="12" s="1"/>
  <c r="AG74" i="12" s="1"/>
  <c r="AB78" i="12"/>
  <c r="M74" i="12"/>
  <c r="P79" i="12"/>
  <c r="Q75" i="12"/>
  <c r="I75" i="12"/>
  <c r="Q80" i="12"/>
  <c r="Y74" i="12"/>
  <c r="D74" i="12"/>
  <c r="AC79" i="12"/>
  <c r="AC74" i="12"/>
  <c r="AC77" i="12"/>
  <c r="AC76" i="12"/>
  <c r="AC75" i="12"/>
  <c r="L74" i="12"/>
  <c r="Q76" i="12"/>
  <c r="W80" i="12"/>
  <c r="AD77" i="12"/>
  <c r="AD76" i="12"/>
  <c r="Y80" i="12"/>
  <c r="AD79" i="12"/>
  <c r="O77" i="12"/>
  <c r="G76" i="12"/>
  <c r="M76" i="12"/>
  <c r="AA75" i="12"/>
  <c r="Y79" i="12"/>
  <c r="V78" i="12"/>
  <c r="Z77" i="12"/>
  <c r="G77" i="12"/>
  <c r="N78" i="12"/>
  <c r="N77" i="12"/>
  <c r="Z80" i="12"/>
  <c r="G74" i="12"/>
  <c r="Z75" i="12"/>
  <c r="G80" i="12"/>
  <c r="F74" i="12"/>
  <c r="V74" i="12"/>
  <c r="N79" i="12"/>
  <c r="G75" i="12"/>
  <c r="N76" i="12"/>
  <c r="G78" i="12"/>
  <c r="N74" i="12"/>
  <c r="V77" i="12"/>
  <c r="Z74" i="12"/>
  <c r="N75" i="12"/>
  <c r="C75" i="12"/>
  <c r="K78" i="12"/>
  <c r="K79" i="12"/>
  <c r="F77" i="12"/>
  <c r="U78" i="12"/>
  <c r="W79" i="12"/>
  <c r="L80" i="12"/>
  <c r="S78" i="12"/>
  <c r="K77" i="12"/>
  <c r="F76" i="12"/>
  <c r="AB75" i="12"/>
  <c r="X79" i="12"/>
  <c r="C79" i="12"/>
  <c r="J75" i="12"/>
  <c r="M80" i="12"/>
  <c r="X80" i="12"/>
  <c r="S77" i="12"/>
  <c r="C78" i="12"/>
  <c r="O74" i="12"/>
  <c r="AD80" i="12"/>
  <c r="AA74" i="12"/>
  <c r="AB76" i="12"/>
  <c r="V79" i="12"/>
  <c r="J77" i="12"/>
  <c r="Y76" i="12"/>
  <c r="I78" i="12"/>
  <c r="AB80" i="12"/>
  <c r="X76" i="12"/>
  <c r="C74" i="12"/>
  <c r="X74" i="12"/>
  <c r="Y77" i="12"/>
  <c r="Q74" i="12"/>
  <c r="AC80" i="12"/>
  <c r="T79" i="12"/>
  <c r="O80" i="12"/>
  <c r="C77" i="12"/>
  <c r="J76" i="12"/>
  <c r="X78" i="12"/>
  <c r="J74" i="12"/>
  <c r="M79" i="12"/>
  <c r="S80" i="12"/>
  <c r="S79" i="12"/>
  <c r="O76" i="12"/>
  <c r="F78" i="12"/>
  <c r="AC78" i="12"/>
  <c r="Z79" i="12"/>
  <c r="Q79" i="12"/>
  <c r="R79" i="12"/>
  <c r="Y78" i="12"/>
  <c r="S75" i="12"/>
  <c r="Q78" i="12"/>
  <c r="Q77" i="12"/>
  <c r="Z76" i="12"/>
  <c r="T78" i="12"/>
  <c r="L75" i="12"/>
  <c r="X77" i="12"/>
  <c r="C80" i="12"/>
  <c r="F79" i="12"/>
  <c r="X75" i="12"/>
  <c r="S76" i="12"/>
  <c r="C76" i="12"/>
  <c r="U79" i="12"/>
  <c r="P80" i="12"/>
  <c r="K80" i="12"/>
  <c r="J78" i="12"/>
  <c r="P74" i="12"/>
  <c r="O75" i="12"/>
  <c r="F80" i="12"/>
  <c r="AD78" i="12"/>
  <c r="O78" i="12"/>
  <c r="N80" i="12"/>
  <c r="V80" i="12"/>
  <c r="K76" i="12"/>
  <c r="P77" i="12"/>
  <c r="S74" i="12"/>
  <c r="U80" i="12"/>
  <c r="J79" i="12"/>
  <c r="V75" i="12"/>
  <c r="K75" i="12"/>
  <c r="L76" i="12"/>
  <c r="Y75" i="12"/>
  <c r="F75" i="12"/>
  <c r="Z78" i="12"/>
  <c r="U74" i="12"/>
  <c r="V76" i="12"/>
  <c r="E17" i="12"/>
  <c r="D22" i="12"/>
  <c r="F17" i="12"/>
  <c r="F24" i="12"/>
  <c r="D17" i="12"/>
  <c r="E20" i="12"/>
  <c r="E21" i="12"/>
  <c r="D21" i="12"/>
  <c r="D19" i="12"/>
  <c r="D18" i="12"/>
  <c r="D23" i="12"/>
  <c r="D20" i="12"/>
  <c r="E18" i="12"/>
  <c r="F22" i="12"/>
  <c r="E19" i="12"/>
  <c r="E23" i="12"/>
  <c r="E24" i="12"/>
  <c r="F18" i="12"/>
  <c r="F19" i="12"/>
  <c r="F20" i="12"/>
  <c r="C24" i="12"/>
  <c r="E22" i="12"/>
  <c r="F23" i="12"/>
  <c r="F21" i="12"/>
  <c r="AE67" i="12"/>
  <c r="AE77" i="12" s="1"/>
  <c r="AE69" i="12"/>
  <c r="AE79" i="12" s="1"/>
  <c r="AE66" i="12"/>
  <c r="AE76" i="12" s="1"/>
  <c r="AI82" i="12" l="1"/>
  <c r="Q11" i="12"/>
  <c r="Q21" i="12" s="1"/>
  <c r="Q13" i="12"/>
  <c r="Q23" i="12" s="1"/>
  <c r="Q7" i="12"/>
  <c r="Q17" i="12" s="1"/>
  <c r="N456" i="1"/>
  <c r="AG69" i="12"/>
  <c r="AG79" i="12" s="1"/>
  <c r="C8" i="12"/>
  <c r="C18" i="12" s="1"/>
  <c r="AF65" i="12"/>
  <c r="AF75" i="12" s="1"/>
  <c r="AI75" i="12" s="1"/>
  <c r="Q8" i="12"/>
  <c r="Q18" i="12" s="1"/>
  <c r="C9" i="12"/>
  <c r="C19" i="12" s="1"/>
  <c r="I66" i="12"/>
  <c r="I76" i="12" s="1"/>
  <c r="AF66" i="12"/>
  <c r="AF76" i="12" s="1"/>
  <c r="I69" i="12"/>
  <c r="I79" i="12" s="1"/>
  <c r="C12" i="12"/>
  <c r="C22" i="12" s="1"/>
  <c r="AF69" i="12"/>
  <c r="AF79" i="12" s="1"/>
  <c r="I67" i="12"/>
  <c r="I77" i="12" s="1"/>
  <c r="C10" i="12"/>
  <c r="C20" i="12" s="1"/>
  <c r="AF67" i="12"/>
  <c r="AF77" i="12" s="1"/>
  <c r="C13" i="12"/>
  <c r="C23" i="12" s="1"/>
  <c r="H70" i="12"/>
  <c r="H80" i="12" s="1"/>
  <c r="J70" i="12"/>
  <c r="J80" i="12" s="1"/>
  <c r="I70" i="12"/>
  <c r="I80" i="12" s="1"/>
  <c r="AF70" i="12"/>
  <c r="AF80" i="12" s="1"/>
  <c r="Q10" i="12"/>
  <c r="Q20" i="12" s="1"/>
  <c r="I64" i="12"/>
  <c r="I74" i="12" s="1"/>
  <c r="C7" i="12"/>
  <c r="C17" i="12" s="1"/>
  <c r="AF64" i="12"/>
  <c r="AF74" i="12" s="1"/>
  <c r="Q9" i="12"/>
  <c r="Q19" i="12" s="1"/>
  <c r="C11" i="12"/>
  <c r="C21" i="12" s="1"/>
  <c r="AF68" i="12"/>
  <c r="AF78" i="12" s="1"/>
  <c r="AI78" i="12" s="1"/>
  <c r="Q12" i="12"/>
  <c r="Q22" i="12" s="1"/>
  <c r="S17" i="12" l="1"/>
  <c r="S21" i="12"/>
  <c r="S23" i="12"/>
  <c r="D14" i="12"/>
  <c r="D24" i="12" s="1"/>
  <c r="AG71" i="12"/>
  <c r="AG81" i="12" s="1"/>
  <c r="AI81" i="12" s="1"/>
  <c r="Q14" i="12"/>
  <c r="Q24" i="12" s="1"/>
  <c r="AI77" i="12"/>
  <c r="AI74" i="12"/>
  <c r="AI79" i="12"/>
  <c r="AI76" i="12"/>
  <c r="AI80" i="12"/>
  <c r="S19" i="12"/>
  <c r="S18" i="12"/>
  <c r="S20" i="12"/>
  <c r="S22" i="12"/>
  <c r="S24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BC8EC-4B3F-4407-90FB-74AE34296AB5}" keepAlive="1" name="Query - m1_crossvalid" description="Connection to the 'm1_crossvalid' query in the workbook." type="5" refreshedVersion="8" background="1" saveData="1">
    <dbPr connection="Provider=Microsoft.Mashup.OleDb.1;Data Source=$Workbook$;Location=m1_crossvalid;Extended Properties=&quot;&quot;" command="SELECT * FROM [m1_crossvalid]"/>
  </connection>
  <connection id="2" xr16:uid="{6F98798B-CF1A-4AA1-AAAC-1D40A10F0C98}" keepAlive="1" name="Query - m2_crossvalid" description="Connection to the 'm2_crossvalid' query in the workbook." type="5" refreshedVersion="8" background="1" saveData="1">
    <dbPr connection="Provider=Microsoft.Mashup.OleDb.1;Data Source=$Workbook$;Location=m2_crossvalid;Extended Properties=&quot;&quot;" command="SELECT * FROM [m2_crossvalid]"/>
  </connection>
  <connection id="3" xr16:uid="{7F1A5EB2-42B0-49A8-B108-1E3B2D1D8603}" keepAlive="1" name="Query - m3_crossvalid" description="Connection to the 'm3_crossvalid' query in the workbook." type="5" refreshedVersion="8" background="1" saveData="1">
    <dbPr connection="Provider=Microsoft.Mashup.OleDb.1;Data Source=$Workbook$;Location=m3_crossvalid;Extended Properties=&quot;&quot;" command="SELECT * FROM [m3_crossvalid]"/>
  </connection>
  <connection id="4" xr16:uid="{3D25AC86-1BEC-4DD5-BDEC-F011B0944D96}" keepAlive="1" name="Query - m4_crossvalid" description="Connection to the 'm4_crossvalid' query in the workbook." type="5" refreshedVersion="8" background="1" saveData="1">
    <dbPr connection="Provider=Microsoft.Mashup.OleDb.1;Data Source=$Workbook$;Location=m4_crossvalid;Extended Properties=&quot;&quot;" command="SELECT * FROM [m4_crossvalid]"/>
  </connection>
  <connection id="5" xr16:uid="{5B604287-C1FD-43C5-881A-F8049CA387FF}" keepAlive="1" name="Query - m5_crossvalid" description="Connection to the 'm5_crossvalid' query in the workbook." type="5" refreshedVersion="8" background="1" saveData="1">
    <dbPr connection="Provider=Microsoft.Mashup.OleDb.1;Data Source=$Workbook$;Location=m5_crossvalid;Extended Properties=&quot;&quot;" command="SELECT * FROM [m5_crossvalid]"/>
  </connection>
  <connection id="6" xr16:uid="{62CC73F8-7A50-48B8-A9E2-378A43533994}" keepAlive="1" name="Query - m6_crossvalid" description="Connection to the 'm6_crossvalid' query in the workbook." type="5" refreshedVersion="8" background="1" saveData="1">
    <dbPr connection="Provider=Microsoft.Mashup.OleDb.1;Data Source=$Workbook$;Location=m6_crossvalid;Extended Properties=&quot;&quot;" command="SELECT * FROM [m6_crossvalid]"/>
  </connection>
  <connection id="7" xr16:uid="{E4A77E77-9EDC-41B5-90AE-207635629A96}" keepAlive="1" name="Query - m7_crossvalid" description="Connection to the 'm7_crossvalid' query in the workbook." type="5" refreshedVersion="8" background="1" saveData="1">
    <dbPr connection="Provider=Microsoft.Mashup.OleDb.1;Data Source=$Workbook$;Location=m7_crossvalid;Extended Properties=&quot;&quot;" command="SELECT * FROM [m7_crossvalid]"/>
  </connection>
  <connection id="8" xr16:uid="{2886089A-7170-4F9C-AC61-9D82559391E1}" keepAlive="1" name="Query - m8_crossvalid" description="Connection to the 'm8_crossvalid' query in the workbook." type="5" refreshedVersion="8" background="1" saveData="1">
    <dbPr connection="Provider=Microsoft.Mashup.OleDb.1;Data Source=$Workbook$;Location=m8_crossvalid;Extended Properties=&quot;&quot;" command="SELECT * FROM [m8_crossvalid]"/>
  </connection>
</connections>
</file>

<file path=xl/sharedStrings.xml><?xml version="1.0" encoding="utf-8"?>
<sst xmlns="http://schemas.openxmlformats.org/spreadsheetml/2006/main" count="137" uniqueCount="31">
  <si>
    <t>y</t>
  </si>
  <si>
    <t>ds</t>
  </si>
  <si>
    <t>yhat</t>
  </si>
  <si>
    <t>yhat_lower</t>
  </si>
  <si>
    <t>yhat_upper</t>
  </si>
  <si>
    <t>cutoff</t>
  </si>
  <si>
    <t>Cutoff</t>
  </si>
  <si>
    <t>Date</t>
  </si>
  <si>
    <t>Year</t>
  </si>
  <si>
    <t>Month</t>
  </si>
  <si>
    <t>Day</t>
  </si>
  <si>
    <t>Actual</t>
  </si>
  <si>
    <t>M1</t>
  </si>
  <si>
    <t>M2</t>
  </si>
  <si>
    <t>M3</t>
  </si>
  <si>
    <t>M4</t>
  </si>
  <si>
    <t>M5</t>
  </si>
  <si>
    <t>M6</t>
  </si>
  <si>
    <t>M7</t>
  </si>
  <si>
    <t>ds_Date</t>
  </si>
  <si>
    <t>cutoff_Date</t>
  </si>
  <si>
    <t>Yearly Seasonality Cross-Validation</t>
  </si>
  <si>
    <t>Monthly Seasonality Cross-Validation</t>
  </si>
  <si>
    <t>M6xM7</t>
  </si>
  <si>
    <t>MSE</t>
  </si>
  <si>
    <t>Diff</t>
  </si>
  <si>
    <t>Adj</t>
  </si>
  <si>
    <t>Adj NoDiff</t>
  </si>
  <si>
    <t>Adj No Diff</t>
  </si>
  <si>
    <t>Cumulative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</si>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</sst>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165" fontId="0" fillId="0" borderId="0" xfId="1" applyNumberFormat="1" applyFont="1"/>
    <xf numFmtId="0" fontId="2" fillId="3" borderId="0" xfId="0" applyFont="1" applyFill="1" applyAlignment="1">
      <alignment horizontal="center"/>
    </xf>
    <xf numFmtId="9" fontId="0" fillId="0" borderId="0" xfId="2" applyFont="1"/>
    <xf numFmtId="11" fontId="0" fillId="0" borderId="0" xfId="0" applyNumberFormat="1"/>
    <xf numFmtId="0" fontId="0" fillId="4" borderId="0" xfId="0" applyFill="1"/>
    <xf numFmtId="0" fontId="0" fillId="0" borderId="1" xfId="0" applyBorder="1"/>
    <xf numFmtId="0" fontId="0" fillId="5" borderId="0" xfId="0" applyFill="1"/>
    <xf numFmtId="0" fontId="0" fillId="5" borderId="1" xfId="0" applyFill="1" applyBorder="1"/>
    <xf numFmtId="0" fontId="2" fillId="5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16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Charts!$C$6:$Q$6</c:f>
              <c:numCache>
                <c:formatCode>General</c:formatCode>
                <c:ptCount val="15"/>
                <c:pt idx="0">
                  <c:v>53930</c:v>
                </c:pt>
                <c:pt idx="1">
                  <c:v>67327</c:v>
                </c:pt>
                <c:pt idx="2">
                  <c:v>77121</c:v>
                </c:pt>
                <c:pt idx="3">
                  <c:v>65200</c:v>
                </c:pt>
                <c:pt idx="4">
                  <c:v>74393</c:v>
                </c:pt>
                <c:pt idx="5">
                  <c:v>58858</c:v>
                </c:pt>
                <c:pt idx="6">
                  <c:v>75663</c:v>
                </c:pt>
                <c:pt idx="7">
                  <c:v>78978</c:v>
                </c:pt>
                <c:pt idx="8">
                  <c:v>62598</c:v>
                </c:pt>
                <c:pt idx="9">
                  <c:v>81413</c:v>
                </c:pt>
                <c:pt idx="10">
                  <c:v>77876</c:v>
                </c:pt>
                <c:pt idx="11">
                  <c:v>96970</c:v>
                </c:pt>
                <c:pt idx="12">
                  <c:v>67995</c:v>
                </c:pt>
                <c:pt idx="13">
                  <c:v>56690</c:v>
                </c:pt>
                <c:pt idx="14">
                  <c:v>67846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E-48D0-B9EE-2FF302A5141B}"/>
            </c:ext>
          </c:extLst>
        </c:ser>
        <c:ser>
          <c:idx val="1"/>
          <c:order val="1"/>
          <c:tx>
            <c:strRef>
              <c:f>Charts!$B$7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Charts!$C$7:$Q$7</c:f>
              <c:numCache>
                <c:formatCode>General</c:formatCode>
                <c:ptCount val="15"/>
                <c:pt idx="0">
                  <c:v>73955</c:v>
                </c:pt>
                <c:pt idx="1">
                  <c:v>68102</c:v>
                </c:pt>
                <c:pt idx="2">
                  <c:v>85688</c:v>
                </c:pt>
                <c:pt idx="3">
                  <c:v>75093</c:v>
                </c:pt>
                <c:pt idx="4">
                  <c:v>75430</c:v>
                </c:pt>
                <c:pt idx="5">
                  <c:v>75499</c:v>
                </c:pt>
                <c:pt idx="6">
                  <c:v>77712</c:v>
                </c:pt>
                <c:pt idx="7">
                  <c:v>82371</c:v>
                </c:pt>
                <c:pt idx="8">
                  <c:v>76731</c:v>
                </c:pt>
                <c:pt idx="9">
                  <c:v>84925</c:v>
                </c:pt>
                <c:pt idx="10">
                  <c:v>76079</c:v>
                </c:pt>
                <c:pt idx="11">
                  <c:v>91725</c:v>
                </c:pt>
                <c:pt idx="12">
                  <c:v>70726</c:v>
                </c:pt>
                <c:pt idx="13">
                  <c:v>69871</c:v>
                </c:pt>
                <c:pt idx="14">
                  <c:v>88381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E-48D0-B9EE-2FF302A5141B}"/>
            </c:ext>
          </c:extLst>
        </c:ser>
        <c:ser>
          <c:idx val="2"/>
          <c:order val="2"/>
          <c:tx>
            <c:strRef>
              <c:f>Charts!$B$8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Charts!$C$8:$Q$8</c:f>
              <c:numCache>
                <c:formatCode>General</c:formatCode>
                <c:ptCount val="15"/>
                <c:pt idx="0">
                  <c:v>73148</c:v>
                </c:pt>
                <c:pt idx="1">
                  <c:v>58587</c:v>
                </c:pt>
                <c:pt idx="2">
                  <c:v>83786</c:v>
                </c:pt>
                <c:pt idx="3">
                  <c:v>70245</c:v>
                </c:pt>
                <c:pt idx="4">
                  <c:v>74723</c:v>
                </c:pt>
                <c:pt idx="5">
                  <c:v>70027</c:v>
                </c:pt>
                <c:pt idx="6">
                  <c:v>78078</c:v>
                </c:pt>
                <c:pt idx="7">
                  <c:v>79767</c:v>
                </c:pt>
                <c:pt idx="8">
                  <c:v>72231</c:v>
                </c:pt>
                <c:pt idx="9">
                  <c:v>84170</c:v>
                </c:pt>
                <c:pt idx="10">
                  <c:v>71388</c:v>
                </c:pt>
                <c:pt idx="11">
                  <c:v>90831</c:v>
                </c:pt>
                <c:pt idx="12">
                  <c:v>71943</c:v>
                </c:pt>
                <c:pt idx="13">
                  <c:v>60011</c:v>
                </c:pt>
                <c:pt idx="14">
                  <c:v>88468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8E-48D0-B9EE-2FF302A5141B}"/>
            </c:ext>
          </c:extLst>
        </c:ser>
        <c:ser>
          <c:idx val="3"/>
          <c:order val="3"/>
          <c:tx>
            <c:strRef>
              <c:f>Charts!$B$9</c:f>
              <c:strCache>
                <c:ptCount val="1"/>
                <c:pt idx="0">
                  <c:v>M3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Charts!$C$9:$Q$9</c:f>
              <c:numCache>
                <c:formatCode>General</c:formatCode>
                <c:ptCount val="15"/>
                <c:pt idx="0">
                  <c:v>71732</c:v>
                </c:pt>
                <c:pt idx="1">
                  <c:v>59376</c:v>
                </c:pt>
                <c:pt idx="2">
                  <c:v>79445</c:v>
                </c:pt>
                <c:pt idx="3">
                  <c:v>71266</c:v>
                </c:pt>
                <c:pt idx="4">
                  <c:v>76738</c:v>
                </c:pt>
                <c:pt idx="5">
                  <c:v>67278</c:v>
                </c:pt>
                <c:pt idx="6">
                  <c:v>83376</c:v>
                </c:pt>
                <c:pt idx="7">
                  <c:v>77931</c:v>
                </c:pt>
                <c:pt idx="8">
                  <c:v>66522</c:v>
                </c:pt>
                <c:pt idx="9">
                  <c:v>83546</c:v>
                </c:pt>
                <c:pt idx="10">
                  <c:v>74282</c:v>
                </c:pt>
                <c:pt idx="11">
                  <c:v>92691</c:v>
                </c:pt>
                <c:pt idx="12">
                  <c:v>74900</c:v>
                </c:pt>
                <c:pt idx="13">
                  <c:v>53677</c:v>
                </c:pt>
                <c:pt idx="14">
                  <c:v>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8E-48D0-B9EE-2FF302A5141B}"/>
            </c:ext>
          </c:extLst>
        </c:ser>
        <c:ser>
          <c:idx val="4"/>
          <c:order val="4"/>
          <c:tx>
            <c:strRef>
              <c:f>Charts!$B$10</c:f>
              <c:strCache>
                <c:ptCount val="1"/>
                <c:pt idx="0">
                  <c:v>M4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Charts!$C$10:$Q$10</c:f>
              <c:numCache>
                <c:formatCode>General</c:formatCode>
                <c:ptCount val="15"/>
                <c:pt idx="0">
                  <c:v>71428</c:v>
                </c:pt>
                <c:pt idx="1">
                  <c:v>59336</c:v>
                </c:pt>
                <c:pt idx="2">
                  <c:v>79613</c:v>
                </c:pt>
                <c:pt idx="3">
                  <c:v>71388</c:v>
                </c:pt>
                <c:pt idx="4">
                  <c:v>76741</c:v>
                </c:pt>
                <c:pt idx="5">
                  <c:v>67298</c:v>
                </c:pt>
                <c:pt idx="6">
                  <c:v>83116</c:v>
                </c:pt>
                <c:pt idx="7">
                  <c:v>77954</c:v>
                </c:pt>
                <c:pt idx="8">
                  <c:v>66671</c:v>
                </c:pt>
                <c:pt idx="9">
                  <c:v>83438</c:v>
                </c:pt>
                <c:pt idx="10">
                  <c:v>74076</c:v>
                </c:pt>
                <c:pt idx="11">
                  <c:v>92644</c:v>
                </c:pt>
                <c:pt idx="12">
                  <c:v>74796</c:v>
                </c:pt>
                <c:pt idx="13">
                  <c:v>53613</c:v>
                </c:pt>
                <c:pt idx="14">
                  <c:v>71386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8E-48D0-B9EE-2FF302A5141B}"/>
            </c:ext>
          </c:extLst>
        </c:ser>
        <c:ser>
          <c:idx val="5"/>
          <c:order val="5"/>
          <c:tx>
            <c:strRef>
              <c:f>Charts!$B$11</c:f>
              <c:strCache>
                <c:ptCount val="1"/>
                <c:pt idx="0">
                  <c:v>M5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Charts!$C$11:$Q$11</c:f>
              <c:numCache>
                <c:formatCode>General</c:formatCode>
                <c:ptCount val="15"/>
                <c:pt idx="0">
                  <c:v>70203</c:v>
                </c:pt>
                <c:pt idx="1">
                  <c:v>63569</c:v>
                </c:pt>
                <c:pt idx="2">
                  <c:v>75150</c:v>
                </c:pt>
                <c:pt idx="3">
                  <c:v>71274</c:v>
                </c:pt>
                <c:pt idx="4">
                  <c:v>73475</c:v>
                </c:pt>
                <c:pt idx="5">
                  <c:v>66262</c:v>
                </c:pt>
                <c:pt idx="6">
                  <c:v>78310</c:v>
                </c:pt>
                <c:pt idx="7">
                  <c:v>75780</c:v>
                </c:pt>
                <c:pt idx="8">
                  <c:v>66375</c:v>
                </c:pt>
                <c:pt idx="9">
                  <c:v>79786</c:v>
                </c:pt>
                <c:pt idx="10">
                  <c:v>74444</c:v>
                </c:pt>
                <c:pt idx="11">
                  <c:v>89451</c:v>
                </c:pt>
                <c:pt idx="12">
                  <c:v>73853</c:v>
                </c:pt>
                <c:pt idx="13">
                  <c:v>62458</c:v>
                </c:pt>
                <c:pt idx="14">
                  <c:v>66279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8E-48D0-B9EE-2FF302A5141B}"/>
            </c:ext>
          </c:extLst>
        </c:ser>
        <c:ser>
          <c:idx val="6"/>
          <c:order val="6"/>
          <c:tx>
            <c:strRef>
              <c:f>Charts!$B$12</c:f>
              <c:strCache>
                <c:ptCount val="1"/>
                <c:pt idx="0">
                  <c:v>M6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Charts!$C$12:$Q$12</c:f>
              <c:numCache>
                <c:formatCode>General</c:formatCode>
                <c:ptCount val="15"/>
                <c:pt idx="0">
                  <c:v>67095</c:v>
                </c:pt>
                <c:pt idx="1">
                  <c:v>83768</c:v>
                </c:pt>
                <c:pt idx="2">
                  <c:v>59748</c:v>
                </c:pt>
                <c:pt idx="3">
                  <c:v>78274</c:v>
                </c:pt>
                <c:pt idx="4">
                  <c:v>61223</c:v>
                </c:pt>
                <c:pt idx="5">
                  <c:v>59177</c:v>
                </c:pt>
                <c:pt idx="6">
                  <c:v>87952</c:v>
                </c:pt>
                <c:pt idx="7">
                  <c:v>68742</c:v>
                </c:pt>
                <c:pt idx="8">
                  <c:v>65115</c:v>
                </c:pt>
                <c:pt idx="9">
                  <c:v>87037</c:v>
                </c:pt>
                <c:pt idx="10">
                  <c:v>58652</c:v>
                </c:pt>
                <c:pt idx="11">
                  <c:v>81657</c:v>
                </c:pt>
                <c:pt idx="12">
                  <c:v>74947</c:v>
                </c:pt>
                <c:pt idx="13">
                  <c:v>59445</c:v>
                </c:pt>
                <c:pt idx="14">
                  <c:v>64232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8E-48D0-B9EE-2FF302A5141B}"/>
            </c:ext>
          </c:extLst>
        </c:ser>
        <c:ser>
          <c:idx val="7"/>
          <c:order val="7"/>
          <c:tx>
            <c:strRef>
              <c:f>Charts!$B$13</c:f>
              <c:strCache>
                <c:ptCount val="1"/>
                <c:pt idx="0">
                  <c:v>M7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Charts!$C$13:$Q$13</c:f>
              <c:numCache>
                <c:formatCode>General</c:formatCode>
                <c:ptCount val="15"/>
                <c:pt idx="0">
                  <c:v>69912</c:v>
                </c:pt>
                <c:pt idx="1">
                  <c:v>64223</c:v>
                </c:pt>
                <c:pt idx="2">
                  <c:v>75344</c:v>
                </c:pt>
                <c:pt idx="3">
                  <c:v>71290</c:v>
                </c:pt>
                <c:pt idx="4">
                  <c:v>73818</c:v>
                </c:pt>
                <c:pt idx="5">
                  <c:v>66365</c:v>
                </c:pt>
                <c:pt idx="6">
                  <c:v>78407</c:v>
                </c:pt>
                <c:pt idx="7">
                  <c:v>75947</c:v>
                </c:pt>
                <c:pt idx="8">
                  <c:v>66463</c:v>
                </c:pt>
                <c:pt idx="9">
                  <c:v>79516</c:v>
                </c:pt>
                <c:pt idx="10">
                  <c:v>74846</c:v>
                </c:pt>
                <c:pt idx="11">
                  <c:v>89497</c:v>
                </c:pt>
                <c:pt idx="12">
                  <c:v>73560</c:v>
                </c:pt>
                <c:pt idx="13">
                  <c:v>62304</c:v>
                </c:pt>
                <c:pt idx="14">
                  <c:v>66831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8E-48D0-B9EE-2FF302A5141B}"/>
            </c:ext>
          </c:extLst>
        </c:ser>
        <c:ser>
          <c:idx val="8"/>
          <c:order val="8"/>
          <c:tx>
            <c:strRef>
              <c:f>Charts!$B$14</c:f>
              <c:strCache>
                <c:ptCount val="1"/>
                <c:pt idx="0">
                  <c:v>M6xM7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Charts!$C$14:$Q$14</c:f>
              <c:numCache>
                <c:formatCode>General</c:formatCode>
                <c:ptCount val="15"/>
                <c:pt idx="0">
                  <c:v>70408</c:v>
                </c:pt>
                <c:pt idx="1">
                  <c:v>87127</c:v>
                </c:pt>
                <c:pt idx="2">
                  <c:v>78400</c:v>
                </c:pt>
                <c:pt idx="3">
                  <c:v>67869</c:v>
                </c:pt>
                <c:pt idx="4">
                  <c:v>69392</c:v>
                </c:pt>
                <c:pt idx="5">
                  <c:v>63271</c:v>
                </c:pt>
                <c:pt idx="6">
                  <c:v>73169</c:v>
                </c:pt>
                <c:pt idx="7">
                  <c:v>78324</c:v>
                </c:pt>
                <c:pt idx="8">
                  <c:v>61443</c:v>
                </c:pt>
                <c:pt idx="9">
                  <c:v>76770</c:v>
                </c:pt>
                <c:pt idx="10">
                  <c:v>75043</c:v>
                </c:pt>
                <c:pt idx="11">
                  <c:v>78488</c:v>
                </c:pt>
                <c:pt idx="12">
                  <c:v>74039</c:v>
                </c:pt>
                <c:pt idx="13">
                  <c:v>65951</c:v>
                </c:pt>
                <c:pt idx="14">
                  <c:v>53840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8E-48D0-B9EE-2FF302A5141B}"/>
            </c:ext>
          </c:extLst>
        </c:ser>
        <c:ser>
          <c:idx val="9"/>
          <c:order val="9"/>
          <c:tx>
            <c:strRef>
              <c:f>Charts!$B$15</c:f>
              <c:strCache>
                <c:ptCount val="1"/>
                <c:pt idx="0">
                  <c:v>M8</c:v>
                </c:pt>
              </c:strCache>
            </c:strRef>
          </c:tx>
          <c:spPr>
            <a:ln w="19050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multiLvlStrRef>
              <c:f>Charts!$C$4:$Q$5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  <c:pt idx="14">
                    <c:v>2026</c:v>
                  </c:pt>
                </c:lvl>
              </c:multiLvlStrCache>
            </c:multiLvlStrRef>
          </c:cat>
          <c:val>
            <c:numRef>
              <c:f>Charts!$C$15:$Q$15</c:f>
              <c:numCache>
                <c:formatCode>General</c:formatCode>
                <c:ptCount val="15"/>
                <c:pt idx="0">
                  <c:v>72807</c:v>
                </c:pt>
                <c:pt idx="1">
                  <c:v>67581</c:v>
                </c:pt>
                <c:pt idx="2">
                  <c:v>78391</c:v>
                </c:pt>
                <c:pt idx="3">
                  <c:v>66854</c:v>
                </c:pt>
                <c:pt idx="4">
                  <c:v>75555</c:v>
                </c:pt>
                <c:pt idx="5">
                  <c:v>66709</c:v>
                </c:pt>
                <c:pt idx="6">
                  <c:v>80872</c:v>
                </c:pt>
                <c:pt idx="7">
                  <c:v>77569</c:v>
                </c:pt>
                <c:pt idx="8">
                  <c:v>70027</c:v>
                </c:pt>
                <c:pt idx="9">
                  <c:v>81108</c:v>
                </c:pt>
                <c:pt idx="10">
                  <c:v>75429</c:v>
                </c:pt>
                <c:pt idx="11">
                  <c:v>90135</c:v>
                </c:pt>
                <c:pt idx="12">
                  <c:v>73799</c:v>
                </c:pt>
                <c:pt idx="13">
                  <c:v>61667</c:v>
                </c:pt>
                <c:pt idx="14">
                  <c:v>66298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3-4F8D-99CC-8CF02701F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502143"/>
        <c:axId val="1239505503"/>
      </c:lineChart>
      <c:catAx>
        <c:axId val="12395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5503"/>
        <c:crosses val="autoZero"/>
        <c:auto val="1"/>
        <c:lblAlgn val="ctr"/>
        <c:lblOffset val="100"/>
        <c:noMultiLvlLbl val="0"/>
      </c:catAx>
      <c:valAx>
        <c:axId val="1239505503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Charts!$B$63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Charts!$C$63:$AG$63</c:f>
              <c:numCache>
                <c:formatCode>_(* #,##0_);_(* \(#,##0\);_(* "-"??_);_(@_)</c:formatCode>
                <c:ptCount val="31"/>
                <c:pt idx="0">
                  <c:v>385.53333333333336</c:v>
                </c:pt>
                <c:pt idx="1">
                  <c:v>454.33333333333331</c:v>
                </c:pt>
                <c:pt idx="2">
                  <c:v>558.4</c:v>
                </c:pt>
                <c:pt idx="3">
                  <c:v>654.4</c:v>
                </c:pt>
                <c:pt idx="4">
                  <c:v>755.4666666666667</c:v>
                </c:pt>
                <c:pt idx="5">
                  <c:v>865.6</c:v>
                </c:pt>
                <c:pt idx="6">
                  <c:v>822.66666666666663</c:v>
                </c:pt>
                <c:pt idx="7">
                  <c:v>875.26666666666665</c:v>
                </c:pt>
                <c:pt idx="8">
                  <c:v>1185.5333333333333</c:v>
                </c:pt>
                <c:pt idx="9">
                  <c:v>1537.5333333333333</c:v>
                </c:pt>
                <c:pt idx="10">
                  <c:v>1506.4666666666667</c:v>
                </c:pt>
                <c:pt idx="11">
                  <c:v>1624.1333333333334</c:v>
                </c:pt>
                <c:pt idx="12">
                  <c:v>1729.2666666666667</c:v>
                </c:pt>
                <c:pt idx="13">
                  <c:v>1766.6</c:v>
                </c:pt>
                <c:pt idx="14">
                  <c:v>1543.8666666666666</c:v>
                </c:pt>
                <c:pt idx="15">
                  <c:v>1863.6666666666667</c:v>
                </c:pt>
                <c:pt idx="16">
                  <c:v>2483</c:v>
                </c:pt>
                <c:pt idx="17">
                  <c:v>2168.2666666666669</c:v>
                </c:pt>
                <c:pt idx="18">
                  <c:v>2256.0666666666666</c:v>
                </c:pt>
                <c:pt idx="19">
                  <c:v>1948.2666666666667</c:v>
                </c:pt>
                <c:pt idx="20">
                  <c:v>2252.2666666666669</c:v>
                </c:pt>
                <c:pt idx="21">
                  <c:v>2200.7333333333331</c:v>
                </c:pt>
                <c:pt idx="22">
                  <c:v>2563.9333333333334</c:v>
                </c:pt>
                <c:pt idx="23">
                  <c:v>3148.9333333333334</c:v>
                </c:pt>
                <c:pt idx="24">
                  <c:v>2965.2666666666669</c:v>
                </c:pt>
                <c:pt idx="25">
                  <c:v>3921.6666666666665</c:v>
                </c:pt>
                <c:pt idx="26">
                  <c:v>4421.4666666666662</c:v>
                </c:pt>
                <c:pt idx="27">
                  <c:v>5782.8666666666668</c:v>
                </c:pt>
                <c:pt idx="28">
                  <c:v>5638.6153846153848</c:v>
                </c:pt>
                <c:pt idx="29">
                  <c:v>7961.3076923076924</c:v>
                </c:pt>
                <c:pt idx="30">
                  <c:v>8048.5555555555557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B-4D36-B66C-7934F719A04C}"/>
            </c:ext>
          </c:extLst>
        </c:ser>
        <c:ser>
          <c:idx val="1"/>
          <c:order val="1"/>
          <c:tx>
            <c:strRef>
              <c:f>Charts!$B$64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Charts!$C$64:$AG$64</c:f>
              <c:numCache>
                <c:formatCode>_(* #,##0_);_(* \(#,##0\);_(* "-"??_);_(@_)</c:formatCode>
                <c:ptCount val="31"/>
                <c:pt idx="0">
                  <c:v>2482.0666666666666</c:v>
                </c:pt>
                <c:pt idx="1">
                  <c:v>2754.4</c:v>
                </c:pt>
                <c:pt idx="2">
                  <c:v>2975</c:v>
                </c:pt>
                <c:pt idx="3">
                  <c:v>2882</c:v>
                </c:pt>
                <c:pt idx="4">
                  <c:v>2823.3333333333335</c:v>
                </c:pt>
                <c:pt idx="5">
                  <c:v>2831.0666666666666</c:v>
                </c:pt>
                <c:pt idx="6">
                  <c:v>2660.5333333333333</c:v>
                </c:pt>
                <c:pt idx="7">
                  <c:v>2446.3333333333335</c:v>
                </c:pt>
                <c:pt idx="8">
                  <c:v>2692.7333333333331</c:v>
                </c:pt>
                <c:pt idx="9">
                  <c:v>2888.9333333333334</c:v>
                </c:pt>
                <c:pt idx="10">
                  <c:v>2773.6666666666665</c:v>
                </c:pt>
                <c:pt idx="11">
                  <c:v>2695.1333333333332</c:v>
                </c:pt>
                <c:pt idx="12">
                  <c:v>2686.1333333333332</c:v>
                </c:pt>
                <c:pt idx="13">
                  <c:v>2502</c:v>
                </c:pt>
                <c:pt idx="14">
                  <c:v>2277.3333333333335</c:v>
                </c:pt>
                <c:pt idx="15">
                  <c:v>2517.4666666666667</c:v>
                </c:pt>
                <c:pt idx="16">
                  <c:v>2711.0666666666666</c:v>
                </c:pt>
                <c:pt idx="17">
                  <c:v>2596.7333333333331</c:v>
                </c:pt>
                <c:pt idx="18">
                  <c:v>2522.9333333333334</c:v>
                </c:pt>
                <c:pt idx="19">
                  <c:v>2522.1333333333332</c:v>
                </c:pt>
                <c:pt idx="20">
                  <c:v>2349.1999999999998</c:v>
                </c:pt>
                <c:pt idx="21">
                  <c:v>2138.9333333333334</c:v>
                </c:pt>
                <c:pt idx="22">
                  <c:v>2395.8000000000002</c:v>
                </c:pt>
                <c:pt idx="23">
                  <c:v>2607.9333333333334</c:v>
                </c:pt>
                <c:pt idx="24">
                  <c:v>2513.8000000000002</c:v>
                </c:pt>
                <c:pt idx="25">
                  <c:v>2461.1333333333332</c:v>
                </c:pt>
                <c:pt idx="26">
                  <c:v>2488.9333333333334</c:v>
                </c:pt>
                <c:pt idx="27">
                  <c:v>2330.6</c:v>
                </c:pt>
                <c:pt idx="28">
                  <c:v>2331.7692307692309</c:v>
                </c:pt>
                <c:pt idx="29">
                  <c:v>2512.3846153846152</c:v>
                </c:pt>
                <c:pt idx="30">
                  <c:v>2378.2222222222222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B-4D36-B66C-7934F719A04C}"/>
            </c:ext>
          </c:extLst>
        </c:ser>
        <c:ser>
          <c:idx val="2"/>
          <c:order val="2"/>
          <c:tx>
            <c:strRef>
              <c:f>Charts!$B$65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Charts!$C$65:$AG$65</c:f>
              <c:numCache>
                <c:formatCode>_(* #,##0_);_(* \(#,##0\);_(* "-"??_);_(@_)</c:formatCode>
                <c:ptCount val="31"/>
                <c:pt idx="0">
                  <c:v>4603.4666666666662</c:v>
                </c:pt>
                <c:pt idx="1">
                  <c:v>3469.0666666666666</c:v>
                </c:pt>
                <c:pt idx="2">
                  <c:v>2075.3333333333335</c:v>
                </c:pt>
                <c:pt idx="3">
                  <c:v>1295.5333333333333</c:v>
                </c:pt>
                <c:pt idx="4">
                  <c:v>1051.2</c:v>
                </c:pt>
                <c:pt idx="5">
                  <c:v>1217.4666666666667</c:v>
                </c:pt>
                <c:pt idx="6">
                  <c:v>1236.8</c:v>
                </c:pt>
                <c:pt idx="7">
                  <c:v>1203.4000000000001</c:v>
                </c:pt>
                <c:pt idx="8">
                  <c:v>1392</c:v>
                </c:pt>
                <c:pt idx="9">
                  <c:v>1585.2</c:v>
                </c:pt>
                <c:pt idx="10">
                  <c:v>1648.4</c:v>
                </c:pt>
                <c:pt idx="11">
                  <c:v>1730.2</c:v>
                </c:pt>
                <c:pt idx="12">
                  <c:v>1860.3333333333333</c:v>
                </c:pt>
                <c:pt idx="13">
                  <c:v>1691.8</c:v>
                </c:pt>
                <c:pt idx="14">
                  <c:v>1536.4666666666667</c:v>
                </c:pt>
                <c:pt idx="15">
                  <c:v>1874.4666666666667</c:v>
                </c:pt>
                <c:pt idx="16">
                  <c:v>2267.8666666666668</c:v>
                </c:pt>
                <c:pt idx="17">
                  <c:v>2326.9333333333334</c:v>
                </c:pt>
                <c:pt idx="18">
                  <c:v>2302.5333333333333</c:v>
                </c:pt>
                <c:pt idx="19">
                  <c:v>2283.9333333333334</c:v>
                </c:pt>
                <c:pt idx="20">
                  <c:v>2172.9333333333334</c:v>
                </c:pt>
                <c:pt idx="21">
                  <c:v>2190</c:v>
                </c:pt>
                <c:pt idx="22">
                  <c:v>2713.2666666666669</c:v>
                </c:pt>
                <c:pt idx="23">
                  <c:v>3083.3333333333335</c:v>
                </c:pt>
                <c:pt idx="24">
                  <c:v>3005.6666666666665</c:v>
                </c:pt>
                <c:pt idx="25">
                  <c:v>3030.3333333333335</c:v>
                </c:pt>
                <c:pt idx="26">
                  <c:v>3465.9333333333334</c:v>
                </c:pt>
                <c:pt idx="27">
                  <c:v>4145.666666666667</c:v>
                </c:pt>
                <c:pt idx="28">
                  <c:v>4981.2307692307695</c:v>
                </c:pt>
                <c:pt idx="29">
                  <c:v>5837.6153846153848</c:v>
                </c:pt>
                <c:pt idx="30">
                  <c:v>5540.5555555555557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1B-4D36-B66C-7934F719A04C}"/>
            </c:ext>
          </c:extLst>
        </c:ser>
        <c:ser>
          <c:idx val="3"/>
          <c:order val="3"/>
          <c:tx>
            <c:strRef>
              <c:f>Charts!$B$66</c:f>
              <c:strCache>
                <c:ptCount val="1"/>
                <c:pt idx="0">
                  <c:v>M3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Charts!$C$66:$AG$66</c:f>
              <c:numCache>
                <c:formatCode>_(* #,##0_);_(* \(#,##0\);_(* "-"??_);_(@_)</c:formatCode>
                <c:ptCount val="31"/>
                <c:pt idx="0">
                  <c:v>4041.4666666666667</c:v>
                </c:pt>
                <c:pt idx="1">
                  <c:v>3444.6666666666665</c:v>
                </c:pt>
                <c:pt idx="2">
                  <c:v>2119.2666666666669</c:v>
                </c:pt>
                <c:pt idx="3">
                  <c:v>1368.9333333333334</c:v>
                </c:pt>
                <c:pt idx="4">
                  <c:v>1091.0666666666666</c:v>
                </c:pt>
                <c:pt idx="5">
                  <c:v>1223.5333333333333</c:v>
                </c:pt>
                <c:pt idx="6">
                  <c:v>1226.9333333333334</c:v>
                </c:pt>
                <c:pt idx="7">
                  <c:v>1153.8</c:v>
                </c:pt>
                <c:pt idx="8">
                  <c:v>1451</c:v>
                </c:pt>
                <c:pt idx="9">
                  <c:v>1617.4666666666667</c:v>
                </c:pt>
                <c:pt idx="10">
                  <c:v>1587</c:v>
                </c:pt>
                <c:pt idx="11">
                  <c:v>1753.1333333333334</c:v>
                </c:pt>
                <c:pt idx="12">
                  <c:v>1932.8666666666666</c:v>
                </c:pt>
                <c:pt idx="13">
                  <c:v>1797.2</c:v>
                </c:pt>
                <c:pt idx="14">
                  <c:v>1474.9333333333334</c:v>
                </c:pt>
                <c:pt idx="15">
                  <c:v>1803.6</c:v>
                </c:pt>
                <c:pt idx="16">
                  <c:v>2165</c:v>
                </c:pt>
                <c:pt idx="17">
                  <c:v>2132.0666666666666</c:v>
                </c:pt>
                <c:pt idx="18">
                  <c:v>2426.5333333333333</c:v>
                </c:pt>
                <c:pt idx="19">
                  <c:v>2013.4666666666667</c:v>
                </c:pt>
                <c:pt idx="20">
                  <c:v>2110.5333333333333</c:v>
                </c:pt>
                <c:pt idx="21">
                  <c:v>2149.4</c:v>
                </c:pt>
                <c:pt idx="22">
                  <c:v>2542.7333333333331</c:v>
                </c:pt>
                <c:pt idx="23">
                  <c:v>3034.5333333333333</c:v>
                </c:pt>
                <c:pt idx="24">
                  <c:v>2789</c:v>
                </c:pt>
                <c:pt idx="25">
                  <c:v>3176.0666666666666</c:v>
                </c:pt>
                <c:pt idx="26">
                  <c:v>3374.3333333333335</c:v>
                </c:pt>
                <c:pt idx="27">
                  <c:v>4138.666666666667</c:v>
                </c:pt>
                <c:pt idx="28">
                  <c:v>4906</c:v>
                </c:pt>
                <c:pt idx="29">
                  <c:v>5812</c:v>
                </c:pt>
                <c:pt idx="30">
                  <c:v>5326.333333333333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1B-4D36-B66C-7934F719A04C}"/>
            </c:ext>
          </c:extLst>
        </c:ser>
        <c:ser>
          <c:idx val="4"/>
          <c:order val="4"/>
          <c:tx>
            <c:strRef>
              <c:f>Charts!$B$67</c:f>
              <c:strCache>
                <c:ptCount val="1"/>
                <c:pt idx="0">
                  <c:v>M4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Charts!$C$67:$AG$67</c:f>
              <c:numCache>
                <c:formatCode>_(* #,##0_);_(* \(#,##0\);_(* "-"??_);_(@_)</c:formatCode>
                <c:ptCount val="31"/>
                <c:pt idx="0">
                  <c:v>4038.9333333333334</c:v>
                </c:pt>
                <c:pt idx="1">
                  <c:v>3442.1333333333332</c:v>
                </c:pt>
                <c:pt idx="2">
                  <c:v>2120.3333333333335</c:v>
                </c:pt>
                <c:pt idx="3">
                  <c:v>1369.3333333333333</c:v>
                </c:pt>
                <c:pt idx="4">
                  <c:v>1089.8666666666666</c:v>
                </c:pt>
                <c:pt idx="5">
                  <c:v>1221.7333333333333</c:v>
                </c:pt>
                <c:pt idx="6">
                  <c:v>1224.5999999999999</c:v>
                </c:pt>
                <c:pt idx="7">
                  <c:v>1153.5333333333333</c:v>
                </c:pt>
                <c:pt idx="8">
                  <c:v>1449.4666666666667</c:v>
                </c:pt>
                <c:pt idx="9">
                  <c:v>1615.6666666666667</c:v>
                </c:pt>
                <c:pt idx="10">
                  <c:v>1586.0666666666666</c:v>
                </c:pt>
                <c:pt idx="11">
                  <c:v>1752.4</c:v>
                </c:pt>
                <c:pt idx="12">
                  <c:v>1931.0666666666666</c:v>
                </c:pt>
                <c:pt idx="13">
                  <c:v>1794.7333333333333</c:v>
                </c:pt>
                <c:pt idx="14">
                  <c:v>1474.9333333333334</c:v>
                </c:pt>
                <c:pt idx="15">
                  <c:v>1804</c:v>
                </c:pt>
                <c:pt idx="16">
                  <c:v>2162.4666666666667</c:v>
                </c:pt>
                <c:pt idx="17">
                  <c:v>2129.2666666666669</c:v>
                </c:pt>
                <c:pt idx="18">
                  <c:v>2424.8000000000002</c:v>
                </c:pt>
                <c:pt idx="19">
                  <c:v>2010.1333333333334</c:v>
                </c:pt>
                <c:pt idx="20">
                  <c:v>2108.1999999999998</c:v>
                </c:pt>
                <c:pt idx="21">
                  <c:v>2147.2666666666669</c:v>
                </c:pt>
                <c:pt idx="22">
                  <c:v>2541.1333333333332</c:v>
                </c:pt>
                <c:pt idx="23">
                  <c:v>3032.2</c:v>
                </c:pt>
                <c:pt idx="24">
                  <c:v>2788.0666666666666</c:v>
                </c:pt>
                <c:pt idx="25">
                  <c:v>3172.7333333333331</c:v>
                </c:pt>
                <c:pt idx="26">
                  <c:v>3371</c:v>
                </c:pt>
                <c:pt idx="27">
                  <c:v>4135.666666666667</c:v>
                </c:pt>
                <c:pt idx="28">
                  <c:v>4900.3076923076924</c:v>
                </c:pt>
                <c:pt idx="29">
                  <c:v>5808.8461538461543</c:v>
                </c:pt>
                <c:pt idx="30">
                  <c:v>5322.5555555555557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1B-4D36-B66C-7934F719A04C}"/>
            </c:ext>
          </c:extLst>
        </c:ser>
        <c:ser>
          <c:idx val="5"/>
          <c:order val="5"/>
          <c:tx>
            <c:strRef>
              <c:f>Charts!$B$68</c:f>
              <c:strCache>
                <c:ptCount val="1"/>
                <c:pt idx="0">
                  <c:v>M5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Charts!$C$68:$AG$68</c:f>
              <c:numCache>
                <c:formatCode>_(* #,##0_);_(* \(#,##0\);_(* "-"??_);_(@_)</c:formatCode>
                <c:ptCount val="31"/>
                <c:pt idx="0">
                  <c:v>1052.3333333333333</c:v>
                </c:pt>
                <c:pt idx="1">
                  <c:v>1237</c:v>
                </c:pt>
                <c:pt idx="2">
                  <c:v>1130.0666666666666</c:v>
                </c:pt>
                <c:pt idx="3">
                  <c:v>1156.8666666666666</c:v>
                </c:pt>
                <c:pt idx="4">
                  <c:v>1131</c:v>
                </c:pt>
                <c:pt idx="5">
                  <c:v>1175.2</c:v>
                </c:pt>
                <c:pt idx="6">
                  <c:v>1025.2666666666667</c:v>
                </c:pt>
                <c:pt idx="7">
                  <c:v>1308.6666666666667</c:v>
                </c:pt>
                <c:pt idx="8">
                  <c:v>1593.5333333333333</c:v>
                </c:pt>
                <c:pt idx="9">
                  <c:v>1696.6</c:v>
                </c:pt>
                <c:pt idx="10">
                  <c:v>1581.2666666666667</c:v>
                </c:pt>
                <c:pt idx="11">
                  <c:v>1661.1333333333334</c:v>
                </c:pt>
                <c:pt idx="12">
                  <c:v>1799.3333333333333</c:v>
                </c:pt>
                <c:pt idx="13">
                  <c:v>1689.9333333333334</c:v>
                </c:pt>
                <c:pt idx="14">
                  <c:v>1462.8666666666666</c:v>
                </c:pt>
                <c:pt idx="15">
                  <c:v>1841.0666666666666</c:v>
                </c:pt>
                <c:pt idx="16">
                  <c:v>2159.8000000000002</c:v>
                </c:pt>
                <c:pt idx="17">
                  <c:v>2052.4</c:v>
                </c:pt>
                <c:pt idx="18">
                  <c:v>2330.3333333333335</c:v>
                </c:pt>
                <c:pt idx="19">
                  <c:v>1990.3333333333333</c:v>
                </c:pt>
                <c:pt idx="20">
                  <c:v>2167.1333333333332</c:v>
                </c:pt>
                <c:pt idx="21">
                  <c:v>2179.4</c:v>
                </c:pt>
                <c:pt idx="22">
                  <c:v>2481.6666666666665</c:v>
                </c:pt>
                <c:pt idx="23">
                  <c:v>3108.8666666666668</c:v>
                </c:pt>
                <c:pt idx="24">
                  <c:v>2822.7333333333331</c:v>
                </c:pt>
                <c:pt idx="25">
                  <c:v>3516.6</c:v>
                </c:pt>
                <c:pt idx="26">
                  <c:v>4431.9333333333334</c:v>
                </c:pt>
                <c:pt idx="27">
                  <c:v>4890.4666666666662</c:v>
                </c:pt>
                <c:pt idx="28">
                  <c:v>4959.7692307692305</c:v>
                </c:pt>
                <c:pt idx="29">
                  <c:v>7419.4615384615381</c:v>
                </c:pt>
                <c:pt idx="30">
                  <c:v>8403.5555555555547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1B-4D36-B66C-7934F719A04C}"/>
            </c:ext>
          </c:extLst>
        </c:ser>
        <c:ser>
          <c:idx val="6"/>
          <c:order val="6"/>
          <c:tx>
            <c:strRef>
              <c:f>Charts!$B$69</c:f>
              <c:strCache>
                <c:ptCount val="1"/>
                <c:pt idx="0">
                  <c:v>M6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Charts!$C$69:$AG$69</c:f>
              <c:numCache>
                <c:formatCode>_(* #,##0_);_(* \(#,##0\);_(* "-"??_);_(@_)</c:formatCode>
                <c:ptCount val="31"/>
                <c:pt idx="0">
                  <c:v>345.86666666666667</c:v>
                </c:pt>
                <c:pt idx="1">
                  <c:v>383.6</c:v>
                </c:pt>
                <c:pt idx="2">
                  <c:v>660.73333333333335</c:v>
                </c:pt>
                <c:pt idx="3">
                  <c:v>646.5333333333333</c:v>
                </c:pt>
                <c:pt idx="4">
                  <c:v>592.93333333333328</c:v>
                </c:pt>
                <c:pt idx="5">
                  <c:v>611.06666666666672</c:v>
                </c:pt>
                <c:pt idx="6">
                  <c:v>594.93333333333328</c:v>
                </c:pt>
                <c:pt idx="7">
                  <c:v>1047.8666666666666</c:v>
                </c:pt>
                <c:pt idx="8">
                  <c:v>1197</c:v>
                </c:pt>
                <c:pt idx="9">
                  <c:v>1319.8666666666666</c:v>
                </c:pt>
                <c:pt idx="10">
                  <c:v>1201.9333333333334</c:v>
                </c:pt>
                <c:pt idx="11">
                  <c:v>1305.5333333333333</c:v>
                </c:pt>
                <c:pt idx="12">
                  <c:v>1460.5333333333333</c:v>
                </c:pt>
                <c:pt idx="13">
                  <c:v>1450.8</c:v>
                </c:pt>
                <c:pt idx="14">
                  <c:v>1328.8</c:v>
                </c:pt>
                <c:pt idx="15">
                  <c:v>1570.8</c:v>
                </c:pt>
                <c:pt idx="16">
                  <c:v>1857.1333333333334</c:v>
                </c:pt>
                <c:pt idx="17">
                  <c:v>1740.6666666666667</c:v>
                </c:pt>
                <c:pt idx="18">
                  <c:v>2138.1333333333332</c:v>
                </c:pt>
                <c:pt idx="19">
                  <c:v>1845.7333333333333</c:v>
                </c:pt>
                <c:pt idx="20">
                  <c:v>2066.2666666666669</c:v>
                </c:pt>
                <c:pt idx="21">
                  <c:v>2051.0666666666666</c:v>
                </c:pt>
                <c:pt idx="22">
                  <c:v>2354.3333333333335</c:v>
                </c:pt>
                <c:pt idx="23">
                  <c:v>3199.8</c:v>
                </c:pt>
                <c:pt idx="24">
                  <c:v>2967.4</c:v>
                </c:pt>
                <c:pt idx="25">
                  <c:v>4165.8666666666668</c:v>
                </c:pt>
                <c:pt idx="26">
                  <c:v>5842.666666666667</c:v>
                </c:pt>
                <c:pt idx="27">
                  <c:v>5893.8</c:v>
                </c:pt>
                <c:pt idx="28">
                  <c:v>4955.3846153846152</c:v>
                </c:pt>
                <c:pt idx="29">
                  <c:v>9049.3846153846152</c:v>
                </c:pt>
                <c:pt idx="30">
                  <c:v>10819.666666666666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1B-4D36-B66C-7934F719A04C}"/>
            </c:ext>
          </c:extLst>
        </c:ser>
        <c:ser>
          <c:idx val="7"/>
          <c:order val="7"/>
          <c:tx>
            <c:strRef>
              <c:f>Charts!$B$70</c:f>
              <c:strCache>
                <c:ptCount val="1"/>
                <c:pt idx="0">
                  <c:v>M7</c:v>
                </c:pt>
              </c:strCache>
            </c:strRef>
          </c:tx>
          <c:spPr>
            <a:ln w="1905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Charts!$C$70:$AG$70</c:f>
              <c:numCache>
                <c:formatCode>_(* #,##0_);_(* \(#,##0\);_(* "-"??_);_(@_)</c:formatCode>
                <c:ptCount val="31"/>
                <c:pt idx="0">
                  <c:v>1080.8</c:v>
                </c:pt>
                <c:pt idx="1">
                  <c:v>1105.5999999999999</c:v>
                </c:pt>
                <c:pt idx="2">
                  <c:v>1070.1333333333334</c:v>
                </c:pt>
                <c:pt idx="3">
                  <c:v>1188.4000000000001</c:v>
                </c:pt>
                <c:pt idx="4">
                  <c:v>1131.2</c:v>
                </c:pt>
                <c:pt idx="5">
                  <c:v>1148.4666666666667</c:v>
                </c:pt>
                <c:pt idx="6">
                  <c:v>1005.2</c:v>
                </c:pt>
                <c:pt idx="7">
                  <c:v>1314.9333333333334</c:v>
                </c:pt>
                <c:pt idx="8">
                  <c:v>1616.1333333333334</c:v>
                </c:pt>
                <c:pt idx="9">
                  <c:v>1689.8</c:v>
                </c:pt>
                <c:pt idx="10">
                  <c:v>1547.8666666666666</c:v>
                </c:pt>
                <c:pt idx="11">
                  <c:v>1650.6</c:v>
                </c:pt>
                <c:pt idx="12">
                  <c:v>1810.6666666666667</c:v>
                </c:pt>
                <c:pt idx="13">
                  <c:v>1698.0666666666666</c:v>
                </c:pt>
                <c:pt idx="14">
                  <c:v>1466.4</c:v>
                </c:pt>
                <c:pt idx="15">
                  <c:v>1845.0666666666666</c:v>
                </c:pt>
                <c:pt idx="16">
                  <c:v>2164.5333333333333</c:v>
                </c:pt>
                <c:pt idx="17">
                  <c:v>2033.0666666666666</c:v>
                </c:pt>
                <c:pt idx="18">
                  <c:v>2307.3333333333335</c:v>
                </c:pt>
                <c:pt idx="19">
                  <c:v>2020.0666666666666</c:v>
                </c:pt>
                <c:pt idx="20">
                  <c:v>2210.7333333333331</c:v>
                </c:pt>
                <c:pt idx="21">
                  <c:v>2157.0666666666666</c:v>
                </c:pt>
                <c:pt idx="22">
                  <c:v>2425.5333333333333</c:v>
                </c:pt>
                <c:pt idx="23">
                  <c:v>3126.4666666666667</c:v>
                </c:pt>
                <c:pt idx="24">
                  <c:v>2897.1333333333332</c:v>
                </c:pt>
                <c:pt idx="25">
                  <c:v>3588.0666666666666</c:v>
                </c:pt>
                <c:pt idx="26">
                  <c:v>4443.3999999999996</c:v>
                </c:pt>
                <c:pt idx="27">
                  <c:v>4848.666666666667</c:v>
                </c:pt>
                <c:pt idx="28">
                  <c:v>4916.2307692307695</c:v>
                </c:pt>
                <c:pt idx="29">
                  <c:v>7555.0769230769229</c:v>
                </c:pt>
                <c:pt idx="30">
                  <c:v>8591.6666666666661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1B-4D36-B66C-7934F719A04C}"/>
            </c:ext>
          </c:extLst>
        </c:ser>
        <c:ser>
          <c:idx val="8"/>
          <c:order val="8"/>
          <c:tx>
            <c:strRef>
              <c:f>Charts!$B$71</c:f>
              <c:strCache>
                <c:ptCount val="1"/>
                <c:pt idx="0">
                  <c:v>M6xM7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Charts!$C$71:$AG$71</c:f>
              <c:numCache>
                <c:formatCode>_(* #,##0_);_(* \(#,##0\);_(* "-"??_);_(@_)</c:formatCode>
                <c:ptCount val="31"/>
                <c:pt idx="0">
                  <c:v>345.86666666666667</c:v>
                </c:pt>
                <c:pt idx="1">
                  <c:v>383.6</c:v>
                </c:pt>
                <c:pt idx="2">
                  <c:v>660.73333333333335</c:v>
                </c:pt>
                <c:pt idx="3">
                  <c:v>646.5333333333333</c:v>
                </c:pt>
                <c:pt idx="4">
                  <c:v>700.5333333333333</c:v>
                </c:pt>
                <c:pt idx="5">
                  <c:v>880.06666666666672</c:v>
                </c:pt>
                <c:pt idx="6">
                  <c:v>800.4</c:v>
                </c:pt>
                <c:pt idx="7">
                  <c:v>1181.5333333333333</c:v>
                </c:pt>
                <c:pt idx="8">
                  <c:v>1406.8</c:v>
                </c:pt>
                <c:pt idx="9">
                  <c:v>1505.1333333333334</c:v>
                </c:pt>
                <c:pt idx="10">
                  <c:v>1444.1333333333334</c:v>
                </c:pt>
                <c:pt idx="11">
                  <c:v>1547.1333333333334</c:v>
                </c:pt>
                <c:pt idx="12">
                  <c:v>1705.6</c:v>
                </c:pt>
                <c:pt idx="13">
                  <c:v>1698.0666666666666</c:v>
                </c:pt>
                <c:pt idx="14">
                  <c:v>1466.4</c:v>
                </c:pt>
                <c:pt idx="15">
                  <c:v>1845.0666666666666</c:v>
                </c:pt>
                <c:pt idx="16">
                  <c:v>2164.5333333333333</c:v>
                </c:pt>
                <c:pt idx="17">
                  <c:v>2033.0666666666666</c:v>
                </c:pt>
                <c:pt idx="18">
                  <c:v>2307.3333333333335</c:v>
                </c:pt>
                <c:pt idx="19">
                  <c:v>2020.0666666666666</c:v>
                </c:pt>
                <c:pt idx="20">
                  <c:v>2210.7333333333331</c:v>
                </c:pt>
                <c:pt idx="21">
                  <c:v>2157.0666666666666</c:v>
                </c:pt>
                <c:pt idx="22">
                  <c:v>2425.5333333333333</c:v>
                </c:pt>
                <c:pt idx="23">
                  <c:v>3199.8</c:v>
                </c:pt>
                <c:pt idx="24">
                  <c:v>2967.4</c:v>
                </c:pt>
                <c:pt idx="25">
                  <c:v>4165.8666666666668</c:v>
                </c:pt>
                <c:pt idx="26">
                  <c:v>5842.666666666667</c:v>
                </c:pt>
                <c:pt idx="27">
                  <c:v>5893.8</c:v>
                </c:pt>
                <c:pt idx="28">
                  <c:v>4916.2307692307695</c:v>
                </c:pt>
                <c:pt idx="29">
                  <c:v>7555.0769230769229</c:v>
                </c:pt>
                <c:pt idx="30">
                  <c:v>8591.6666666666661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1B-4D36-B66C-7934F719A04C}"/>
            </c:ext>
          </c:extLst>
        </c:ser>
        <c:ser>
          <c:idx val="9"/>
          <c:order val="9"/>
          <c:tx>
            <c:strRef>
              <c:f>Charts!$B$72</c:f>
              <c:strCache>
                <c:ptCount val="1"/>
                <c:pt idx="0">
                  <c:v>M8</c:v>
                </c:pt>
              </c:strCache>
            </c:strRef>
          </c:tx>
          <c:spPr>
            <a:ln w="19050" cap="rnd">
              <a:solidFill>
                <a:srgbClr val="C0000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Charts!$C$62:$AG$62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Charts!$C$72:$AG$72</c:f>
              <c:numCache>
                <c:formatCode>_(* #,##0_);_(* \(#,##0\);_(* "-"??_);_(@_)</c:formatCode>
                <c:ptCount val="31"/>
                <c:pt idx="0">
                  <c:v>1089.4666666666667</c:v>
                </c:pt>
                <c:pt idx="1">
                  <c:v>1129.9333333333334</c:v>
                </c:pt>
                <c:pt idx="2">
                  <c:v>1187.6666666666667</c:v>
                </c:pt>
                <c:pt idx="3">
                  <c:v>1273.4000000000001</c:v>
                </c:pt>
                <c:pt idx="4">
                  <c:v>1201.6666666666667</c:v>
                </c:pt>
                <c:pt idx="5">
                  <c:v>1200.0666666666666</c:v>
                </c:pt>
                <c:pt idx="6">
                  <c:v>1019.8666666666667</c:v>
                </c:pt>
                <c:pt idx="7">
                  <c:v>1690.8</c:v>
                </c:pt>
                <c:pt idx="8">
                  <c:v>1863.3333333333333</c:v>
                </c:pt>
                <c:pt idx="9">
                  <c:v>1803.4</c:v>
                </c:pt>
                <c:pt idx="10">
                  <c:v>1603.6666666666667</c:v>
                </c:pt>
                <c:pt idx="11">
                  <c:v>1694.4666666666667</c:v>
                </c:pt>
                <c:pt idx="12">
                  <c:v>1872.4666666666667</c:v>
                </c:pt>
                <c:pt idx="13">
                  <c:v>1741.7333333333333</c:v>
                </c:pt>
                <c:pt idx="14">
                  <c:v>1510.7333333333333</c:v>
                </c:pt>
                <c:pt idx="15">
                  <c:v>1890.2</c:v>
                </c:pt>
                <c:pt idx="16">
                  <c:v>2208.6666666666665</c:v>
                </c:pt>
                <c:pt idx="17">
                  <c:v>2075.7333333333331</c:v>
                </c:pt>
                <c:pt idx="18">
                  <c:v>2351.8000000000002</c:v>
                </c:pt>
                <c:pt idx="19">
                  <c:v>2062.4666666666667</c:v>
                </c:pt>
                <c:pt idx="20">
                  <c:v>2251.9333333333334</c:v>
                </c:pt>
                <c:pt idx="21">
                  <c:v>2198.5333333333333</c:v>
                </c:pt>
                <c:pt idx="22">
                  <c:v>2466.0666666666666</c:v>
                </c:pt>
                <c:pt idx="23">
                  <c:v>3099.0666666666666</c:v>
                </c:pt>
                <c:pt idx="24">
                  <c:v>2877.1333333333332</c:v>
                </c:pt>
                <c:pt idx="25">
                  <c:v>3544.2</c:v>
                </c:pt>
                <c:pt idx="26">
                  <c:v>4223.3999999999996</c:v>
                </c:pt>
                <c:pt idx="27">
                  <c:v>4706.2666666666664</c:v>
                </c:pt>
                <c:pt idx="28">
                  <c:v>4922.3846153846152</c:v>
                </c:pt>
                <c:pt idx="29">
                  <c:v>7429.9230769230771</c:v>
                </c:pt>
                <c:pt idx="30">
                  <c:v>8516.5555555555547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3-4628-8B44-424350294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502143"/>
        <c:axId val="1239505503"/>
      </c:lineChart>
      <c:catAx>
        <c:axId val="12395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5503"/>
        <c:crosses val="autoZero"/>
        <c:auto val="1"/>
        <c:lblAlgn val="ctr"/>
        <c:lblOffset val="100"/>
        <c:noMultiLvlLbl val="0"/>
      </c:catAx>
      <c:valAx>
        <c:axId val="123950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50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Consolidated!$W$426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Consolidated!$W$427:$W$456</c:f>
              <c:numCache>
                <c:formatCode>General</c:formatCode>
                <c:ptCount val="30"/>
                <c:pt idx="0">
                  <c:v>931</c:v>
                </c:pt>
                <c:pt idx="1">
                  <c:v>2344</c:v>
                </c:pt>
                <c:pt idx="2">
                  <c:v>3529</c:v>
                </c:pt>
                <c:pt idx="3">
                  <c:v>4610</c:v>
                </c:pt>
                <c:pt idx="4">
                  <c:v>5599</c:v>
                </c:pt>
                <c:pt idx="5">
                  <c:v>5618</c:v>
                </c:pt>
                <c:pt idx="6">
                  <c:v>5746</c:v>
                </c:pt>
                <c:pt idx="7">
                  <c:v>7444</c:v>
                </c:pt>
                <c:pt idx="8">
                  <c:v>9551</c:v>
                </c:pt>
                <c:pt idx="9">
                  <c:v>12172</c:v>
                </c:pt>
                <c:pt idx="10">
                  <c:v>14795</c:v>
                </c:pt>
                <c:pt idx="11">
                  <c:v>17572</c:v>
                </c:pt>
                <c:pt idx="12">
                  <c:v>18238</c:v>
                </c:pt>
                <c:pt idx="13">
                  <c:v>18402</c:v>
                </c:pt>
                <c:pt idx="14">
                  <c:v>21106</c:v>
                </c:pt>
                <c:pt idx="15">
                  <c:v>24198</c:v>
                </c:pt>
                <c:pt idx="16">
                  <c:v>27498</c:v>
                </c:pt>
                <c:pt idx="17">
                  <c:v>30953</c:v>
                </c:pt>
                <c:pt idx="18">
                  <c:v>30953</c:v>
                </c:pt>
                <c:pt idx="19">
                  <c:v>30953</c:v>
                </c:pt>
                <c:pt idx="20">
                  <c:v>30953</c:v>
                </c:pt>
                <c:pt idx="21">
                  <c:v>30953</c:v>
                </c:pt>
                <c:pt idx="22">
                  <c:v>33038</c:v>
                </c:pt>
                <c:pt idx="23">
                  <c:v>35946</c:v>
                </c:pt>
                <c:pt idx="24">
                  <c:v>39808</c:v>
                </c:pt>
                <c:pt idx="25">
                  <c:v>41815</c:v>
                </c:pt>
                <c:pt idx="26">
                  <c:v>42581</c:v>
                </c:pt>
                <c:pt idx="27">
                  <c:v>42581</c:v>
                </c:pt>
                <c:pt idx="28">
                  <c:v>48848</c:v>
                </c:pt>
                <c:pt idx="29">
                  <c:v>59875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4-450B-AA3F-D8707A5CAE25}"/>
            </c:ext>
          </c:extLst>
        </c:ser>
        <c:ser>
          <c:idx val="1"/>
          <c:order val="1"/>
          <c:tx>
            <c:strRef>
              <c:f>Consolidated!$X$426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Consolidated!$X$427:$X$456</c:f>
              <c:numCache>
                <c:formatCode>General</c:formatCode>
                <c:ptCount val="30"/>
                <c:pt idx="0">
                  <c:v>931</c:v>
                </c:pt>
                <c:pt idx="1">
                  <c:v>2344</c:v>
                </c:pt>
                <c:pt idx="2">
                  <c:v>3529</c:v>
                </c:pt>
                <c:pt idx="3">
                  <c:v>4610</c:v>
                </c:pt>
                <c:pt idx="4">
                  <c:v>5599</c:v>
                </c:pt>
                <c:pt idx="5">
                  <c:v>5618</c:v>
                </c:pt>
                <c:pt idx="6">
                  <c:v>5746</c:v>
                </c:pt>
                <c:pt idx="7">
                  <c:v>7444</c:v>
                </c:pt>
                <c:pt idx="8">
                  <c:v>9551</c:v>
                </c:pt>
                <c:pt idx="9">
                  <c:v>12561</c:v>
                </c:pt>
                <c:pt idx="10">
                  <c:v>15573</c:v>
                </c:pt>
                <c:pt idx="11">
                  <c:v>18762</c:v>
                </c:pt>
                <c:pt idx="12">
                  <c:v>19527</c:v>
                </c:pt>
                <c:pt idx="13">
                  <c:v>19715</c:v>
                </c:pt>
                <c:pt idx="14">
                  <c:v>22820</c:v>
                </c:pt>
                <c:pt idx="15">
                  <c:v>26370</c:v>
                </c:pt>
                <c:pt idx="16">
                  <c:v>30159</c:v>
                </c:pt>
                <c:pt idx="17">
                  <c:v>34126</c:v>
                </c:pt>
                <c:pt idx="18">
                  <c:v>34126</c:v>
                </c:pt>
                <c:pt idx="19">
                  <c:v>34126</c:v>
                </c:pt>
                <c:pt idx="20">
                  <c:v>34126</c:v>
                </c:pt>
                <c:pt idx="21">
                  <c:v>34126</c:v>
                </c:pt>
                <c:pt idx="22">
                  <c:v>36520</c:v>
                </c:pt>
                <c:pt idx="23">
                  <c:v>39859</c:v>
                </c:pt>
                <c:pt idx="24">
                  <c:v>44294</c:v>
                </c:pt>
                <c:pt idx="25">
                  <c:v>46599</c:v>
                </c:pt>
                <c:pt idx="26">
                  <c:v>47479</c:v>
                </c:pt>
                <c:pt idx="27">
                  <c:v>47479</c:v>
                </c:pt>
                <c:pt idx="28">
                  <c:v>54675</c:v>
                </c:pt>
                <c:pt idx="29">
                  <c:v>67336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4-450B-AA3F-D8707A5CAE25}"/>
            </c:ext>
          </c:extLst>
        </c:ser>
        <c:ser>
          <c:idx val="2"/>
          <c:order val="2"/>
          <c:tx>
            <c:strRef>
              <c:f>Consolidated!$Y$426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Consolidated!$Y$427:$Y$456</c:f>
              <c:numCache>
                <c:formatCode>General</c:formatCode>
                <c:ptCount val="30"/>
                <c:pt idx="0">
                  <c:v>657</c:v>
                </c:pt>
                <c:pt idx="1">
                  <c:v>1456</c:v>
                </c:pt>
                <c:pt idx="2">
                  <c:v>2451</c:v>
                </c:pt>
                <c:pt idx="3">
                  <c:v>3765</c:v>
                </c:pt>
                <c:pt idx="4">
                  <c:v>5382</c:v>
                </c:pt>
                <c:pt idx="5">
                  <c:v>5602</c:v>
                </c:pt>
                <c:pt idx="6">
                  <c:v>5645</c:v>
                </c:pt>
                <c:pt idx="7">
                  <c:v>7411</c:v>
                </c:pt>
                <c:pt idx="8">
                  <c:v>9581</c:v>
                </c:pt>
                <c:pt idx="9">
                  <c:v>12488</c:v>
                </c:pt>
                <c:pt idx="10">
                  <c:v>15508</c:v>
                </c:pt>
                <c:pt idx="11">
                  <c:v>19059</c:v>
                </c:pt>
                <c:pt idx="12">
                  <c:v>20147</c:v>
                </c:pt>
                <c:pt idx="13">
                  <c:v>20375</c:v>
                </c:pt>
                <c:pt idx="14">
                  <c:v>24325</c:v>
                </c:pt>
                <c:pt idx="15">
                  <c:v>30132</c:v>
                </c:pt>
                <c:pt idx="16">
                  <c:v>35427</c:v>
                </c:pt>
                <c:pt idx="17">
                  <c:v>38984</c:v>
                </c:pt>
                <c:pt idx="18">
                  <c:v>39045</c:v>
                </c:pt>
                <c:pt idx="19">
                  <c:v>39048</c:v>
                </c:pt>
                <c:pt idx="20">
                  <c:v>39054</c:v>
                </c:pt>
                <c:pt idx="21">
                  <c:v>39077</c:v>
                </c:pt>
                <c:pt idx="22">
                  <c:v>40051</c:v>
                </c:pt>
                <c:pt idx="23">
                  <c:v>41803</c:v>
                </c:pt>
                <c:pt idx="24">
                  <c:v>44687</c:v>
                </c:pt>
                <c:pt idx="25">
                  <c:v>48284</c:v>
                </c:pt>
                <c:pt idx="26">
                  <c:v>49491</c:v>
                </c:pt>
                <c:pt idx="27">
                  <c:v>49674</c:v>
                </c:pt>
                <c:pt idx="28">
                  <c:v>54633</c:v>
                </c:pt>
                <c:pt idx="29">
                  <c:v>67846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4-450B-AA3F-D8707A5CA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5656271"/>
        <c:axId val="1615656751"/>
      </c:lineChart>
      <c:catAx>
        <c:axId val="16156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56751"/>
        <c:crosses val="autoZero"/>
        <c:auto val="1"/>
        <c:lblAlgn val="ctr"/>
        <c:lblOffset val="100"/>
        <c:noMultiLvlLbl val="0"/>
      </c:catAx>
      <c:valAx>
        <c:axId val="16156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F6FF0-8FD0-F9C3-41A4-91B12224A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84</xdr:row>
      <xdr:rowOff>0</xdr:rowOff>
    </xdr:from>
    <xdr:to>
      <xdr:col>21</xdr:col>
      <xdr:colOff>0</xdr:colOff>
      <xdr:row>115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155C5D-931B-4A85-86D6-E97C5B85E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429</xdr:row>
      <xdr:rowOff>0</xdr:rowOff>
    </xdr:from>
    <xdr:to>
      <xdr:col>36</xdr:col>
      <xdr:colOff>0</xdr:colOff>
      <xdr:row>450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4229A-16B9-BB3A-523B-8193948A4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6D43EE-BF26-426C-A112-0339AAB6003C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0D002B-373D-44A4-93D6-1BBCB6B8CC0E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0963B3F-F4F3-4826-9315-064DE7E360D3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F85173B-6DE3-4E11-A56E-C35C539707B2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4639AEF-4A2E-45A7-8A39-F98ED0DFF74A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9EBC0E3-02BC-4273-8084-47B0001F9168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70538F0-EA2A-4B5A-8F7D-315D2675C227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6C1E57C-2EA6-46E7-AD64-FF08A580F526}" autoFormatId="16" applyNumberFormats="0" applyBorderFormats="0" applyFontFormats="0" applyPatternFormats="0" applyAlignmentFormats="0" applyWidthHeightFormats="0">
  <queryTableRefresh nextId="7">
    <queryTableFields count="6">
      <queryTableField id="1" name="y" tableColumnId="1"/>
      <queryTableField id="2" name="ds" tableColumnId="2"/>
      <queryTableField id="3" name="yhat" tableColumnId="3"/>
      <queryTableField id="4" name="yhat_lower" tableColumnId="4"/>
      <queryTableField id="5" name="yhat_upper" tableColumnId="5"/>
      <queryTableField id="6" name="cutoff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1BB5C-715A-457A-BC48-4FB47F61B0B7}" name="m1_crossvalid" displayName="m1_crossvalid" ref="C1:H466" tableType="queryTable" totalsRowShown="0">
  <autoFilter ref="C1:H466" xr:uid="{3E61BB5C-715A-457A-BC48-4FB47F61B0B7}"/>
  <tableColumns count="6">
    <tableColumn id="1" xr3:uid="{CCBD5760-1DE2-4356-8832-533612D54EA4}" uniqueName="1" name="y" queryTableFieldId="1"/>
    <tableColumn id="2" xr3:uid="{9CEECA89-5080-4B36-8809-D075D217F6BF}" uniqueName="2" name="ds" queryTableFieldId="2" dataDxfId="15"/>
    <tableColumn id="3" xr3:uid="{0B2ED828-1E61-4343-A974-829C945901B2}" uniqueName="3" name="yhat" queryTableFieldId="3"/>
    <tableColumn id="4" xr3:uid="{F2491E67-B08A-463E-8343-530316DB1318}" uniqueName="4" name="yhat_lower" queryTableFieldId="4"/>
    <tableColumn id="5" xr3:uid="{75516A46-F4F0-4A07-845F-7F99D21FF77C}" uniqueName="5" name="yhat_upper" queryTableFieldId="5"/>
    <tableColumn id="6" xr3:uid="{340566BA-EFE6-466F-A19B-1D146A3C3AE3}" uniqueName="6" name="cutoff" queryTableFieldId="6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EB23C5-3020-4C45-9D2D-A1CDAD9B6996}" name="m2_crossvalid" displayName="m2_crossvalid" ref="C1:H466" tableType="queryTable" totalsRowShown="0">
  <autoFilter ref="C1:H466" xr:uid="{44EB23C5-3020-4C45-9D2D-A1CDAD9B6996}"/>
  <tableColumns count="6">
    <tableColumn id="1" xr3:uid="{E9767CF7-F26B-4301-B358-E78296543FF0}" uniqueName="1" name="y" queryTableFieldId="1"/>
    <tableColumn id="2" xr3:uid="{A4604EB9-653B-435F-91EA-F0D76C1C1848}" uniqueName="2" name="ds" queryTableFieldId="2" dataDxfId="13"/>
    <tableColumn id="3" xr3:uid="{94AD0398-CD6B-43B6-A25D-B4367A481058}" uniqueName="3" name="yhat" queryTableFieldId="3"/>
    <tableColumn id="4" xr3:uid="{11A8FC64-E7E8-4C83-A801-18E464C0B2B2}" uniqueName="4" name="yhat_lower" queryTableFieldId="4"/>
    <tableColumn id="5" xr3:uid="{1F5F5BD7-F2F4-4E18-8D79-E92EBF2B8CAA}" uniqueName="5" name="yhat_upper" queryTableFieldId="5"/>
    <tableColumn id="6" xr3:uid="{44EE5EFC-2812-48E8-8D9F-D7ED89FC2127}" uniqueName="6" name="cutoff" queryTableFieldId="6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1E792-1EA0-4E09-95D8-CAA6E1C7D036}" name="m3_crossvalid" displayName="m3_crossvalid" ref="C1:H466" tableType="queryTable" totalsRowShown="0">
  <autoFilter ref="C1:H466" xr:uid="{2DC1E792-1EA0-4E09-95D8-CAA6E1C7D036}"/>
  <tableColumns count="6">
    <tableColumn id="1" xr3:uid="{BA0BA192-D057-438C-B9D9-8977C84C12B3}" uniqueName="1" name="y" queryTableFieldId="1"/>
    <tableColumn id="2" xr3:uid="{839F49CF-7C4B-4E1C-9CB4-664BD03167D6}" uniqueName="2" name="ds" queryTableFieldId="2" dataDxfId="11"/>
    <tableColumn id="3" xr3:uid="{BA7639FC-ABD4-4789-A8B4-B7415065ABBD}" uniqueName="3" name="yhat" queryTableFieldId="3"/>
    <tableColumn id="4" xr3:uid="{4B0C6DB9-869A-4037-B7C4-E15F4FFCB065}" uniqueName="4" name="yhat_lower" queryTableFieldId="4"/>
    <tableColumn id="5" xr3:uid="{892C2503-C93B-4442-B6FB-BA46255A40C1}" uniqueName="5" name="yhat_upper" queryTableFieldId="5"/>
    <tableColumn id="6" xr3:uid="{4FEEE012-69E3-43B4-93CC-7629CFB4B591}" uniqueName="6" name="cutoff" queryTableFieldId="6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B98ED-7198-4023-8F96-BB50D59131D8}" name="m4_crossvalid" displayName="m4_crossvalid" ref="C1:H466" tableType="queryTable" totalsRowShown="0">
  <autoFilter ref="C1:H466" xr:uid="{6CDB98ED-7198-4023-8F96-BB50D59131D8}"/>
  <tableColumns count="6">
    <tableColumn id="1" xr3:uid="{FA05686E-8536-4F07-B86C-D36FE8FD3EA9}" uniqueName="1" name="y" queryTableFieldId="1"/>
    <tableColumn id="2" xr3:uid="{CBFFA5C2-4AC0-4C41-ABA8-86D62220EFC8}" uniqueName="2" name="ds" queryTableFieldId="2" dataDxfId="9"/>
    <tableColumn id="3" xr3:uid="{7689AB0B-5A00-460E-9183-B01AD201DC02}" uniqueName="3" name="yhat" queryTableFieldId="3"/>
    <tableColumn id="4" xr3:uid="{3990862C-44C3-4D83-9E7D-87A7F824E197}" uniqueName="4" name="yhat_lower" queryTableFieldId="4"/>
    <tableColumn id="5" xr3:uid="{E1A7289D-33DB-45D3-811B-19CD8B5CCCB3}" uniqueName="5" name="yhat_upper" queryTableFieldId="5"/>
    <tableColumn id="6" xr3:uid="{EFBE31E5-FF88-4596-863A-C1AAC8DCFE47}" uniqueName="6" name="cutoff" queryTableFieldId="6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6D0D9-12C4-4733-AA4B-A8F00ADDB992}" name="m5_crossvalid" displayName="m5_crossvalid" ref="C1:H466" tableType="queryTable" totalsRowShown="0">
  <autoFilter ref="C1:H466" xr:uid="{9496D0D9-12C4-4733-AA4B-A8F00ADDB992}"/>
  <tableColumns count="6">
    <tableColumn id="1" xr3:uid="{7CF17BC0-081E-453E-A47D-4916AF53E6EC}" uniqueName="1" name="y" queryTableFieldId="1"/>
    <tableColumn id="2" xr3:uid="{13F3D4E4-7125-4D3F-8E2A-B64FE41CF010}" uniqueName="2" name="ds" queryTableFieldId="2" dataDxfId="7"/>
    <tableColumn id="3" xr3:uid="{49E48BED-F790-4EDC-A28C-EBAEF18E5630}" uniqueName="3" name="yhat" queryTableFieldId="3"/>
    <tableColumn id="4" xr3:uid="{FDEFA3A8-330A-4663-B532-77F3D96D4132}" uniqueName="4" name="yhat_lower" queryTableFieldId="4"/>
    <tableColumn id="5" xr3:uid="{005E1F6D-791F-463C-9227-EADA7F932F7D}" uniqueName="5" name="yhat_upper" queryTableFieldId="5"/>
    <tableColumn id="6" xr3:uid="{A1CF5187-23CA-41F6-A3C0-26CA22142C4C}" uniqueName="6" name="cutoff" queryTableFieldId="6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14DA53-1B54-400C-BC2B-186ACABBC0D9}" name="m6_crossvalid" displayName="m6_crossvalid" ref="C1:H466" tableType="queryTable" totalsRowShown="0">
  <autoFilter ref="C1:H466" xr:uid="{BD14DA53-1B54-400C-BC2B-186ACABBC0D9}"/>
  <tableColumns count="6">
    <tableColumn id="1" xr3:uid="{6CF33ADB-9F4D-401D-BBBA-52353E1EA2F3}" uniqueName="1" name="y" queryTableFieldId="1"/>
    <tableColumn id="2" xr3:uid="{59890D8B-5C7D-43FD-B318-B1779EB1FD6D}" uniqueName="2" name="ds" queryTableFieldId="2" dataDxfId="5"/>
    <tableColumn id="3" xr3:uid="{C126F6E3-D9A3-4EED-B57E-2991D23F3B31}" uniqueName="3" name="yhat" queryTableFieldId="3"/>
    <tableColumn id="4" xr3:uid="{4C789294-CB80-4C55-B763-1DE09B97FD63}" uniqueName="4" name="yhat_lower" queryTableFieldId="4"/>
    <tableColumn id="5" xr3:uid="{6955C262-8E6D-42DD-A54E-98DD76D23D75}" uniqueName="5" name="yhat_upper" queryTableFieldId="5"/>
    <tableColumn id="6" xr3:uid="{F4C51E0E-5FB4-40FE-990B-72AEB198EC7C}" uniqueName="6" name="cutoff" queryTableFieldId="6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3FD98F-E10D-41FC-80D4-D24EF4223C8D}" name="m7_crossvalid" displayName="m7_crossvalid" ref="C1:H466" tableType="queryTable" totalsRowShown="0">
  <autoFilter ref="C1:H466" xr:uid="{6E3FD98F-E10D-41FC-80D4-D24EF4223C8D}"/>
  <tableColumns count="6">
    <tableColumn id="1" xr3:uid="{46AA8957-082A-4B23-B1B9-B65A41FB5557}" uniqueName="1" name="y" queryTableFieldId="1"/>
    <tableColumn id="2" xr3:uid="{E6EE2838-AEA8-4FE1-ABC5-95A2F63B2FFF}" uniqueName="2" name="ds" queryTableFieldId="2" dataDxfId="3"/>
    <tableColumn id="3" xr3:uid="{49935305-389F-4C0A-A3E3-699504663F54}" uniqueName="3" name="yhat" queryTableFieldId="3"/>
    <tableColumn id="4" xr3:uid="{7FA60CFA-19D9-4B75-A8A4-8DDE3E87079B}" uniqueName="4" name="yhat_lower" queryTableFieldId="4"/>
    <tableColumn id="5" xr3:uid="{0595D1C4-0027-4D77-B7B2-FF2298217936}" uniqueName="5" name="yhat_upper" queryTableFieldId="5"/>
    <tableColumn id="6" xr3:uid="{F16E752C-CCCC-4D30-870B-4A2C3452C8AC}" uniqueName="6" name="cutoff" queryTableFieldId="6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F711A6-2334-4230-A081-8A1BB9046EB6}" name="m8_crossvalid" displayName="m8_crossvalid" ref="C1:H466" tableType="queryTable" totalsRowShown="0">
  <autoFilter ref="C1:H466" xr:uid="{79F711A6-2334-4230-A081-8A1BB9046EB6}"/>
  <tableColumns count="6">
    <tableColumn id="1" xr3:uid="{EA098824-E84A-495E-8001-8BACDA37683A}" uniqueName="1" name="y" queryTableFieldId="1"/>
    <tableColumn id="2" xr3:uid="{1D4F0B45-DCF6-4412-A876-55A063F3F733}" uniqueName="2" name="ds" queryTableFieldId="2" dataDxfId="1"/>
    <tableColumn id="3" xr3:uid="{EA16E02A-9EA1-4CEC-BBBD-3447E7058B09}" uniqueName="3" name="yhat" queryTableFieldId="3"/>
    <tableColumn id="4" xr3:uid="{9AD1F4D7-6669-4B95-B452-625EDB0DBE38}" uniqueName="4" name="yhat_lower" queryTableFieldId="4"/>
    <tableColumn id="5" xr3:uid="{FAE2D587-96F2-4B9F-8382-238C907F4B19}" uniqueName="5" name="yhat_upper" queryTableFieldId="5"/>
    <tableColumn id="6" xr3:uid="{37E73111-1C92-4817-9E11-A808F3F975F8}" uniqueName="6" name="cutoff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D443-B544-41F2-8649-AFAA7E9F360E}">
  <dimension ref="A2:AI116"/>
  <sheetViews>
    <sheetView showGridLines="0" tabSelected="1" topLeftCell="A10" zoomScaleNormal="100" workbookViewId="0">
      <selection activeCell="J20" sqref="J20"/>
    </sheetView>
  </sheetViews>
  <sheetFormatPr defaultRowHeight="15" outlineLevelRow="1" x14ac:dyDescent="0.25"/>
  <cols>
    <col min="3" max="3" width="10" bestFit="1" customWidth="1"/>
    <col min="4" max="10" width="9.28515625" bestFit="1" customWidth="1"/>
    <col min="11" max="18" width="9.85546875" bestFit="1" customWidth="1"/>
    <col min="19" max="19" width="10.5703125" bestFit="1" customWidth="1"/>
    <col min="20" max="33" width="9.85546875" bestFit="1" customWidth="1"/>
  </cols>
  <sheetData>
    <row r="2" spans="1:17" x14ac:dyDescent="0.25">
      <c r="A2" s="4" t="s">
        <v>21</v>
      </c>
    </row>
    <row r="4" spans="1:17" x14ac:dyDescent="0.25">
      <c r="B4" s="9" t="s">
        <v>8</v>
      </c>
      <c r="C4" s="9">
        <v>2025</v>
      </c>
      <c r="D4" s="9">
        <f>IF(C5=12,C4+1,C4)</f>
        <v>2025</v>
      </c>
      <c r="E4" s="9">
        <f t="shared" ref="E4:Q4" si="0">IF(D5=12,D4+1,D4)</f>
        <v>2025</v>
      </c>
      <c r="F4" s="9">
        <f t="shared" si="0"/>
        <v>2025</v>
      </c>
      <c r="G4" s="9">
        <f t="shared" si="0"/>
        <v>2025</v>
      </c>
      <c r="H4" s="9">
        <f t="shared" si="0"/>
        <v>2025</v>
      </c>
      <c r="I4" s="9">
        <f t="shared" si="0"/>
        <v>2025</v>
      </c>
      <c r="J4" s="9">
        <f t="shared" si="0"/>
        <v>2025</v>
      </c>
      <c r="K4" s="9">
        <f t="shared" si="0"/>
        <v>2025</v>
      </c>
      <c r="L4" s="9">
        <f t="shared" si="0"/>
        <v>2025</v>
      </c>
      <c r="M4" s="9">
        <f t="shared" si="0"/>
        <v>2025</v>
      </c>
      <c r="N4" s="9">
        <f t="shared" si="0"/>
        <v>2025</v>
      </c>
      <c r="O4" s="9">
        <f t="shared" si="0"/>
        <v>2026</v>
      </c>
      <c r="P4" s="9">
        <f t="shared" si="0"/>
        <v>2026</v>
      </c>
      <c r="Q4" s="9">
        <f t="shared" si="0"/>
        <v>2026</v>
      </c>
    </row>
    <row r="5" spans="1:17" x14ac:dyDescent="0.25">
      <c r="B5" s="9" t="s">
        <v>9</v>
      </c>
      <c r="C5" s="9">
        <v>1</v>
      </c>
      <c r="D5" s="9">
        <f>IF(C5=12,1,C5+1)</f>
        <v>2</v>
      </c>
      <c r="E5" s="9">
        <f t="shared" ref="E5:Q5" si="1">IF(D5=12,1,D5+1)</f>
        <v>3</v>
      </c>
      <c r="F5" s="9">
        <f t="shared" si="1"/>
        <v>4</v>
      </c>
      <c r="G5" s="9">
        <f t="shared" si="1"/>
        <v>5</v>
      </c>
      <c r="H5" s="9">
        <f t="shared" si="1"/>
        <v>6</v>
      </c>
      <c r="I5" s="9">
        <f t="shared" si="1"/>
        <v>7</v>
      </c>
      <c r="J5" s="9">
        <f t="shared" si="1"/>
        <v>8</v>
      </c>
      <c r="K5" s="9">
        <f t="shared" si="1"/>
        <v>9</v>
      </c>
      <c r="L5" s="9">
        <f t="shared" si="1"/>
        <v>10</v>
      </c>
      <c r="M5" s="9">
        <f t="shared" si="1"/>
        <v>11</v>
      </c>
      <c r="N5" s="9">
        <f t="shared" si="1"/>
        <v>12</v>
      </c>
      <c r="O5" s="9">
        <f t="shared" si="1"/>
        <v>1</v>
      </c>
      <c r="P5" s="9">
        <f t="shared" si="1"/>
        <v>2</v>
      </c>
      <c r="Q5" s="9">
        <f t="shared" si="1"/>
        <v>3</v>
      </c>
    </row>
    <row r="6" spans="1:17" x14ac:dyDescent="0.25">
      <c r="B6" t="s">
        <v>11</v>
      </c>
      <c r="C6">
        <f>SUMIFS(Consolidated!$F:$F,Consolidated!$B:$B,C$4,Consolidated!$C:$C,C$5)</f>
        <v>53930</v>
      </c>
      <c r="D6">
        <f>SUMIFS(Consolidated!$F:$F,Consolidated!$B:$B,D$4,Consolidated!$C:$C,D$5)</f>
        <v>67327</v>
      </c>
      <c r="E6">
        <f>SUMIFS(Consolidated!$F:$F,Consolidated!$B:$B,E$4,Consolidated!$C:$C,E$5)</f>
        <v>77121</v>
      </c>
      <c r="F6">
        <f>SUMIFS(Consolidated!$F:$F,Consolidated!$B:$B,F$4,Consolidated!$C:$C,F$5)</f>
        <v>65200</v>
      </c>
      <c r="G6">
        <f>SUMIFS(Consolidated!$F:$F,Consolidated!$B:$B,G$4,Consolidated!$C:$C,G$5)</f>
        <v>74393</v>
      </c>
      <c r="H6">
        <f>SUMIFS(Consolidated!$F:$F,Consolidated!$B:$B,H$4,Consolidated!$C:$C,H$5)</f>
        <v>58858</v>
      </c>
      <c r="I6">
        <f>SUMIFS(Consolidated!$F:$F,Consolidated!$B:$B,I$4,Consolidated!$C:$C,I$5)</f>
        <v>75663</v>
      </c>
      <c r="J6">
        <f>SUMIFS(Consolidated!$F:$F,Consolidated!$B:$B,J$4,Consolidated!$C:$C,J$5)</f>
        <v>78978</v>
      </c>
      <c r="K6">
        <f>SUMIFS(Consolidated!$F:$F,Consolidated!$B:$B,K$4,Consolidated!$C:$C,K$5)</f>
        <v>62598</v>
      </c>
      <c r="L6">
        <f>SUMIFS(Consolidated!$F:$F,Consolidated!$B:$B,L$4,Consolidated!$C:$C,L$5)</f>
        <v>81413</v>
      </c>
      <c r="M6">
        <f>SUMIFS(Consolidated!$F:$F,Consolidated!$B:$B,M$4,Consolidated!$C:$C,M$5)</f>
        <v>77876</v>
      </c>
      <c r="N6">
        <f>SUMIFS(Consolidated!$F:$F,Consolidated!$B:$B,N$4,Consolidated!$C:$C,N$5)</f>
        <v>96970</v>
      </c>
      <c r="O6">
        <f>SUMIFS(Consolidated!$F:$F,Consolidated!$B:$B,O$4,Consolidated!$C:$C,O$5)</f>
        <v>67995</v>
      </c>
      <c r="P6">
        <f>SUMIFS(Consolidated!$F:$F,Consolidated!$B:$B,P$4,Consolidated!$C:$C,P$5)</f>
        <v>56690</v>
      </c>
      <c r="Q6">
        <f>SUMIFS(Consolidated!$F:$F,Consolidated!$B:$B,Q$4,Consolidated!$C:$C,Q$5)</f>
        <v>67846</v>
      </c>
    </row>
    <row r="7" spans="1:17" x14ac:dyDescent="0.25">
      <c r="B7" t="s">
        <v>12</v>
      </c>
      <c r="C7">
        <f>SUMIFS(Consolidated!$G:$G,Consolidated!$B:$B,C$4,Consolidated!$C:$C,C$5)</f>
        <v>73955</v>
      </c>
      <c r="D7">
        <f>SUMIFS(Consolidated!$G:$G,Consolidated!$B:$B,D$4,Consolidated!$C:$C,D$5)</f>
        <v>68102</v>
      </c>
      <c r="E7">
        <f>SUMIFS(Consolidated!$G:$G,Consolidated!$B:$B,E$4,Consolidated!$C:$C,E$5)</f>
        <v>85688</v>
      </c>
      <c r="F7">
        <f>SUMIFS(Consolidated!$G:$G,Consolidated!$B:$B,F$4,Consolidated!$C:$C,F$5)</f>
        <v>75093</v>
      </c>
      <c r="G7">
        <f>SUMIFS(Consolidated!$G:$G,Consolidated!$B:$B,G$4,Consolidated!$C:$C,G$5)</f>
        <v>75430</v>
      </c>
      <c r="H7">
        <f>SUMIFS(Consolidated!$G:$G,Consolidated!$B:$B,H$4,Consolidated!$C:$C,H$5)</f>
        <v>75499</v>
      </c>
      <c r="I7">
        <f>SUMIFS(Consolidated!$G:$G,Consolidated!$B:$B,I$4,Consolidated!$C:$C,I$5)</f>
        <v>77712</v>
      </c>
      <c r="J7">
        <f>SUMIFS(Consolidated!$G:$G,Consolidated!$B:$B,J$4,Consolidated!$C:$C,J$5)</f>
        <v>82371</v>
      </c>
      <c r="K7">
        <f>SUMIFS(Consolidated!$G:$G,Consolidated!$B:$B,K$4,Consolidated!$C:$C,K$5)</f>
        <v>76731</v>
      </c>
      <c r="L7">
        <f>SUMIFS(Consolidated!$G:$G,Consolidated!$B:$B,L$4,Consolidated!$C:$C,L$5)</f>
        <v>84925</v>
      </c>
      <c r="M7">
        <f>SUMIFS(Consolidated!$G:$G,Consolidated!$B:$B,M$4,Consolidated!$C:$C,M$5)</f>
        <v>76079</v>
      </c>
      <c r="N7">
        <f>SUMIFS(Consolidated!$G:$G,Consolidated!$B:$B,N$4,Consolidated!$C:$C,N$5)</f>
        <v>91725</v>
      </c>
      <c r="O7">
        <f>SUMIFS(Consolidated!$G:$G,Consolidated!$B:$B,O$4,Consolidated!$C:$C,O$5)</f>
        <v>70726</v>
      </c>
      <c r="P7">
        <f>SUMIFS(Consolidated!$G:$G,Consolidated!$B:$B,P$4,Consolidated!$C:$C,P$5)</f>
        <v>69871</v>
      </c>
      <c r="Q7">
        <f>SUMIFS(Consolidated!$G:$G,Consolidated!$B:$B,Q$4,Consolidated!$C:$C,Q$5)</f>
        <v>88381</v>
      </c>
    </row>
    <row r="8" spans="1:17" x14ac:dyDescent="0.25">
      <c r="B8" t="s">
        <v>13</v>
      </c>
      <c r="C8">
        <f>SUMIFS(Consolidated!$H:$H,Consolidated!$B:$B,C$4,Consolidated!$C:$C,C$5)</f>
        <v>73148</v>
      </c>
      <c r="D8">
        <f>SUMIFS(Consolidated!$H:$H,Consolidated!$B:$B,D$4,Consolidated!$C:$C,D$5)</f>
        <v>58587</v>
      </c>
      <c r="E8">
        <f>SUMIFS(Consolidated!$H:$H,Consolidated!$B:$B,E$4,Consolidated!$C:$C,E$5)</f>
        <v>83786</v>
      </c>
      <c r="F8">
        <f>SUMIFS(Consolidated!$H:$H,Consolidated!$B:$B,F$4,Consolidated!$C:$C,F$5)</f>
        <v>70245</v>
      </c>
      <c r="G8">
        <f>SUMIFS(Consolidated!$H:$H,Consolidated!$B:$B,G$4,Consolidated!$C:$C,G$5)</f>
        <v>74723</v>
      </c>
      <c r="H8">
        <f>SUMIFS(Consolidated!$H:$H,Consolidated!$B:$B,H$4,Consolidated!$C:$C,H$5)</f>
        <v>70027</v>
      </c>
      <c r="I8">
        <f>SUMIFS(Consolidated!$H:$H,Consolidated!$B:$B,I$4,Consolidated!$C:$C,I$5)</f>
        <v>78078</v>
      </c>
      <c r="J8">
        <f>SUMIFS(Consolidated!$H:$H,Consolidated!$B:$B,J$4,Consolidated!$C:$C,J$5)</f>
        <v>79767</v>
      </c>
      <c r="K8">
        <f>SUMIFS(Consolidated!$H:$H,Consolidated!$B:$B,K$4,Consolidated!$C:$C,K$5)</f>
        <v>72231</v>
      </c>
      <c r="L8">
        <f>SUMIFS(Consolidated!$H:$H,Consolidated!$B:$B,L$4,Consolidated!$C:$C,L$5)</f>
        <v>84170</v>
      </c>
      <c r="M8">
        <f>SUMIFS(Consolidated!$H:$H,Consolidated!$B:$B,M$4,Consolidated!$C:$C,M$5)</f>
        <v>71388</v>
      </c>
      <c r="N8">
        <f>SUMIFS(Consolidated!$H:$H,Consolidated!$B:$B,N$4,Consolidated!$C:$C,N$5)</f>
        <v>90831</v>
      </c>
      <c r="O8">
        <f>SUMIFS(Consolidated!$H:$H,Consolidated!$B:$B,O$4,Consolidated!$C:$C,O$5)</f>
        <v>71943</v>
      </c>
      <c r="P8">
        <f>SUMIFS(Consolidated!$H:$H,Consolidated!$B:$B,P$4,Consolidated!$C:$C,P$5)</f>
        <v>60011</v>
      </c>
      <c r="Q8">
        <f>SUMIFS(Consolidated!$H:$H,Consolidated!$B:$B,Q$4,Consolidated!$C:$C,Q$5)</f>
        <v>88468</v>
      </c>
    </row>
    <row r="9" spans="1:17" x14ac:dyDescent="0.25">
      <c r="B9" t="s">
        <v>14</v>
      </c>
      <c r="C9">
        <f>SUMIFS(Consolidated!$I:$I,Consolidated!$B:$B,C$4,Consolidated!$C:$C,C$5)</f>
        <v>71732</v>
      </c>
      <c r="D9">
        <f>SUMIFS(Consolidated!$I:$I,Consolidated!$B:$B,D$4,Consolidated!$C:$C,D$5)</f>
        <v>59376</v>
      </c>
      <c r="E9">
        <f>SUMIFS(Consolidated!$I:$I,Consolidated!$B:$B,E$4,Consolidated!$C:$C,E$5)</f>
        <v>79445</v>
      </c>
      <c r="F9">
        <f>SUMIFS(Consolidated!$I:$I,Consolidated!$B:$B,F$4,Consolidated!$C:$C,F$5)</f>
        <v>71266</v>
      </c>
      <c r="G9">
        <f>SUMIFS(Consolidated!$I:$I,Consolidated!$B:$B,G$4,Consolidated!$C:$C,G$5)</f>
        <v>76738</v>
      </c>
      <c r="H9">
        <f>SUMIFS(Consolidated!$I:$I,Consolidated!$B:$B,H$4,Consolidated!$C:$C,H$5)</f>
        <v>67278</v>
      </c>
      <c r="I9">
        <f>SUMIFS(Consolidated!$I:$I,Consolidated!$B:$B,I$4,Consolidated!$C:$C,I$5)</f>
        <v>83376</v>
      </c>
      <c r="J9">
        <f>SUMIFS(Consolidated!$I:$I,Consolidated!$B:$B,J$4,Consolidated!$C:$C,J$5)</f>
        <v>77931</v>
      </c>
      <c r="K9">
        <f>SUMIFS(Consolidated!$I:$I,Consolidated!$B:$B,K$4,Consolidated!$C:$C,K$5)</f>
        <v>66522</v>
      </c>
      <c r="L9">
        <f>SUMIFS(Consolidated!$I:$I,Consolidated!$B:$B,L$4,Consolidated!$C:$C,L$5)</f>
        <v>83546</v>
      </c>
      <c r="M9">
        <f>SUMIFS(Consolidated!$I:$I,Consolidated!$B:$B,M$4,Consolidated!$C:$C,M$5)</f>
        <v>74282</v>
      </c>
      <c r="N9">
        <f>SUMIFS(Consolidated!$I:$I,Consolidated!$B:$B,N$4,Consolidated!$C:$C,N$5)</f>
        <v>92691</v>
      </c>
      <c r="O9">
        <f>SUMIFS(Consolidated!$I:$I,Consolidated!$B:$B,O$4,Consolidated!$C:$C,O$5)</f>
        <v>74900</v>
      </c>
      <c r="P9">
        <f>SUMIFS(Consolidated!$I:$I,Consolidated!$B:$B,P$4,Consolidated!$C:$C,P$5)</f>
        <v>53677</v>
      </c>
      <c r="Q9">
        <f>SUMIFS(Consolidated!$I:$I,Consolidated!$B:$B,Q$4,Consolidated!$C:$C,Q$5)</f>
        <v>71599</v>
      </c>
    </row>
    <row r="10" spans="1:17" x14ac:dyDescent="0.25">
      <c r="B10" t="s">
        <v>15</v>
      </c>
      <c r="C10">
        <f>SUMIFS(Consolidated!$J:$J,Consolidated!$B:$B,C$4,Consolidated!$C:$C,C$5)</f>
        <v>71428</v>
      </c>
      <c r="D10">
        <f>SUMIFS(Consolidated!$J:$J,Consolidated!$B:$B,D$4,Consolidated!$C:$C,D$5)</f>
        <v>59336</v>
      </c>
      <c r="E10">
        <f>SUMIFS(Consolidated!$J:$J,Consolidated!$B:$B,E$4,Consolidated!$C:$C,E$5)</f>
        <v>79613</v>
      </c>
      <c r="F10">
        <f>SUMIFS(Consolidated!$J:$J,Consolidated!$B:$B,F$4,Consolidated!$C:$C,F$5)</f>
        <v>71388</v>
      </c>
      <c r="G10">
        <f>SUMIFS(Consolidated!$J:$J,Consolidated!$B:$B,G$4,Consolidated!$C:$C,G$5)</f>
        <v>76741</v>
      </c>
      <c r="H10">
        <f>SUMIFS(Consolidated!$J:$J,Consolidated!$B:$B,H$4,Consolidated!$C:$C,H$5)</f>
        <v>67298</v>
      </c>
      <c r="I10">
        <f>SUMIFS(Consolidated!$J:$J,Consolidated!$B:$B,I$4,Consolidated!$C:$C,I$5)</f>
        <v>83116</v>
      </c>
      <c r="J10">
        <f>SUMIFS(Consolidated!$J:$J,Consolidated!$B:$B,J$4,Consolidated!$C:$C,J$5)</f>
        <v>77954</v>
      </c>
      <c r="K10">
        <f>SUMIFS(Consolidated!$J:$J,Consolidated!$B:$B,K$4,Consolidated!$C:$C,K$5)</f>
        <v>66671</v>
      </c>
      <c r="L10">
        <f>SUMIFS(Consolidated!$J:$J,Consolidated!$B:$B,L$4,Consolidated!$C:$C,L$5)</f>
        <v>83438</v>
      </c>
      <c r="M10">
        <f>SUMIFS(Consolidated!$J:$J,Consolidated!$B:$B,M$4,Consolidated!$C:$C,M$5)</f>
        <v>74076</v>
      </c>
      <c r="N10">
        <f>SUMIFS(Consolidated!$J:$J,Consolidated!$B:$B,N$4,Consolidated!$C:$C,N$5)</f>
        <v>92644</v>
      </c>
      <c r="O10">
        <f>SUMIFS(Consolidated!$J:$J,Consolidated!$B:$B,O$4,Consolidated!$C:$C,O$5)</f>
        <v>74796</v>
      </c>
      <c r="P10">
        <f>SUMIFS(Consolidated!$J:$J,Consolidated!$B:$B,P$4,Consolidated!$C:$C,P$5)</f>
        <v>53613</v>
      </c>
      <c r="Q10">
        <f>SUMIFS(Consolidated!$J:$J,Consolidated!$B:$B,Q$4,Consolidated!$C:$C,Q$5)</f>
        <v>71386</v>
      </c>
    </row>
    <row r="11" spans="1:17" x14ac:dyDescent="0.25">
      <c r="B11" t="s">
        <v>16</v>
      </c>
      <c r="C11">
        <f>SUMIFS(Consolidated!$K:$K,Consolidated!$B:$B,C$4,Consolidated!$C:$C,C$5)</f>
        <v>70203</v>
      </c>
      <c r="D11">
        <f>SUMIFS(Consolidated!$K:$K,Consolidated!$B:$B,D$4,Consolidated!$C:$C,D$5)</f>
        <v>63569</v>
      </c>
      <c r="E11">
        <f>SUMIFS(Consolidated!$K:$K,Consolidated!$B:$B,E$4,Consolidated!$C:$C,E$5)</f>
        <v>75150</v>
      </c>
      <c r="F11">
        <f>SUMIFS(Consolidated!$K:$K,Consolidated!$B:$B,F$4,Consolidated!$C:$C,F$5)</f>
        <v>71274</v>
      </c>
      <c r="G11">
        <f>SUMIFS(Consolidated!$K:$K,Consolidated!$B:$B,G$4,Consolidated!$C:$C,G$5)</f>
        <v>73475</v>
      </c>
      <c r="H11">
        <f>SUMIFS(Consolidated!$K:$K,Consolidated!$B:$B,H$4,Consolidated!$C:$C,H$5)</f>
        <v>66262</v>
      </c>
      <c r="I11">
        <f>SUMIFS(Consolidated!$K:$K,Consolidated!$B:$B,I$4,Consolidated!$C:$C,I$5)</f>
        <v>78310</v>
      </c>
      <c r="J11">
        <f>SUMIFS(Consolidated!$K:$K,Consolidated!$B:$B,J$4,Consolidated!$C:$C,J$5)</f>
        <v>75780</v>
      </c>
      <c r="K11">
        <f>SUMIFS(Consolidated!$K:$K,Consolidated!$B:$B,K$4,Consolidated!$C:$C,K$5)</f>
        <v>66375</v>
      </c>
      <c r="L11">
        <f>SUMIFS(Consolidated!$K:$K,Consolidated!$B:$B,L$4,Consolidated!$C:$C,L$5)</f>
        <v>79786</v>
      </c>
      <c r="M11">
        <f>SUMIFS(Consolidated!$K:$K,Consolidated!$B:$B,M$4,Consolidated!$C:$C,M$5)</f>
        <v>74444</v>
      </c>
      <c r="N11">
        <f>SUMIFS(Consolidated!$K:$K,Consolidated!$B:$B,N$4,Consolidated!$C:$C,N$5)</f>
        <v>89451</v>
      </c>
      <c r="O11">
        <f>SUMIFS(Consolidated!$K:$K,Consolidated!$B:$B,O$4,Consolidated!$C:$C,O$5)</f>
        <v>73853</v>
      </c>
      <c r="P11">
        <f>SUMIFS(Consolidated!$K:$K,Consolidated!$B:$B,P$4,Consolidated!$C:$C,P$5)</f>
        <v>62458</v>
      </c>
      <c r="Q11">
        <f>SUMIFS(Consolidated!$K:$K,Consolidated!$B:$B,Q$4,Consolidated!$C:$C,Q$5)</f>
        <v>66279</v>
      </c>
    </row>
    <row r="12" spans="1:17" x14ac:dyDescent="0.25">
      <c r="B12" t="s">
        <v>17</v>
      </c>
      <c r="C12">
        <f>SUMIFS(Consolidated!$L:$L,Consolidated!$B:$B,C$4,Consolidated!$C:$C,C$5)</f>
        <v>67095</v>
      </c>
      <c r="D12">
        <f>SUMIFS(Consolidated!$L:$L,Consolidated!$B:$B,D$4,Consolidated!$C:$C,D$5)</f>
        <v>83768</v>
      </c>
      <c r="E12">
        <f>SUMIFS(Consolidated!$L:$L,Consolidated!$B:$B,E$4,Consolidated!$C:$C,E$5)</f>
        <v>59748</v>
      </c>
      <c r="F12">
        <f>SUMIFS(Consolidated!$L:$L,Consolidated!$B:$B,F$4,Consolidated!$C:$C,F$5)</f>
        <v>78274</v>
      </c>
      <c r="G12">
        <f>SUMIFS(Consolidated!$L:$L,Consolidated!$B:$B,G$4,Consolidated!$C:$C,G$5)</f>
        <v>61223</v>
      </c>
      <c r="H12">
        <f>SUMIFS(Consolidated!$L:$L,Consolidated!$B:$B,H$4,Consolidated!$C:$C,H$5)</f>
        <v>59177</v>
      </c>
      <c r="I12">
        <f>SUMIFS(Consolidated!$L:$L,Consolidated!$B:$B,I$4,Consolidated!$C:$C,I$5)</f>
        <v>87952</v>
      </c>
      <c r="J12">
        <f>SUMIFS(Consolidated!$L:$L,Consolidated!$B:$B,J$4,Consolidated!$C:$C,J$5)</f>
        <v>68742</v>
      </c>
      <c r="K12">
        <f>SUMIFS(Consolidated!$L:$L,Consolidated!$B:$B,K$4,Consolidated!$C:$C,K$5)</f>
        <v>65115</v>
      </c>
      <c r="L12">
        <f>SUMIFS(Consolidated!$L:$L,Consolidated!$B:$B,L$4,Consolidated!$C:$C,L$5)</f>
        <v>87037</v>
      </c>
      <c r="M12">
        <f>SUMIFS(Consolidated!$L:$L,Consolidated!$B:$B,M$4,Consolidated!$C:$C,M$5)</f>
        <v>58652</v>
      </c>
      <c r="N12">
        <f>SUMIFS(Consolidated!$L:$L,Consolidated!$B:$B,N$4,Consolidated!$C:$C,N$5)</f>
        <v>81657</v>
      </c>
      <c r="O12">
        <f>SUMIFS(Consolidated!$L:$L,Consolidated!$B:$B,O$4,Consolidated!$C:$C,O$5)</f>
        <v>74947</v>
      </c>
      <c r="P12">
        <f>SUMIFS(Consolidated!$L:$L,Consolidated!$B:$B,P$4,Consolidated!$C:$C,P$5)</f>
        <v>59445</v>
      </c>
      <c r="Q12">
        <f>SUMIFS(Consolidated!$L:$L,Consolidated!$B:$B,Q$4,Consolidated!$C:$C,Q$5)</f>
        <v>64232</v>
      </c>
    </row>
    <row r="13" spans="1:17" x14ac:dyDescent="0.25">
      <c r="B13" t="s">
        <v>18</v>
      </c>
      <c r="C13">
        <f>SUMIFS(Consolidated!$M:$M,Consolidated!$B:$B,C$4,Consolidated!$C:$C,C$5)</f>
        <v>69912</v>
      </c>
      <c r="D13">
        <f>SUMIFS(Consolidated!$M:$M,Consolidated!$B:$B,D$4,Consolidated!$C:$C,D$5)</f>
        <v>64223</v>
      </c>
      <c r="E13">
        <f>SUMIFS(Consolidated!$M:$M,Consolidated!$B:$B,E$4,Consolidated!$C:$C,E$5)</f>
        <v>75344</v>
      </c>
      <c r="F13">
        <f>SUMIFS(Consolidated!$M:$M,Consolidated!$B:$B,F$4,Consolidated!$C:$C,F$5)</f>
        <v>71290</v>
      </c>
      <c r="G13">
        <f>SUMIFS(Consolidated!$M:$M,Consolidated!$B:$B,G$4,Consolidated!$C:$C,G$5)</f>
        <v>73818</v>
      </c>
      <c r="H13">
        <f>SUMIFS(Consolidated!$M:$M,Consolidated!$B:$B,H$4,Consolidated!$C:$C,H$5)</f>
        <v>66365</v>
      </c>
      <c r="I13">
        <f>SUMIFS(Consolidated!$M:$M,Consolidated!$B:$B,I$4,Consolidated!$C:$C,I$5)</f>
        <v>78407</v>
      </c>
      <c r="J13">
        <f>SUMIFS(Consolidated!$M:$M,Consolidated!$B:$B,J$4,Consolidated!$C:$C,J$5)</f>
        <v>75947</v>
      </c>
      <c r="K13">
        <f>SUMIFS(Consolidated!$M:$M,Consolidated!$B:$B,K$4,Consolidated!$C:$C,K$5)</f>
        <v>66463</v>
      </c>
      <c r="L13">
        <f>SUMIFS(Consolidated!$M:$M,Consolidated!$B:$B,L$4,Consolidated!$C:$C,L$5)</f>
        <v>79516</v>
      </c>
      <c r="M13">
        <f>SUMIFS(Consolidated!$M:$M,Consolidated!$B:$B,M$4,Consolidated!$C:$C,M$5)</f>
        <v>74846</v>
      </c>
      <c r="N13">
        <f>SUMIFS(Consolidated!$M:$M,Consolidated!$B:$B,N$4,Consolidated!$C:$C,N$5)</f>
        <v>89497</v>
      </c>
      <c r="O13">
        <f>SUMIFS(Consolidated!$M:$M,Consolidated!$B:$B,O$4,Consolidated!$C:$C,O$5)</f>
        <v>73560</v>
      </c>
      <c r="P13">
        <f>SUMIFS(Consolidated!$M:$M,Consolidated!$B:$B,P$4,Consolidated!$C:$C,P$5)</f>
        <v>62304</v>
      </c>
      <c r="Q13">
        <f>SUMIFS(Consolidated!$M:$M,Consolidated!$B:$B,Q$4,Consolidated!$C:$C,Q$5)</f>
        <v>66831</v>
      </c>
    </row>
    <row r="14" spans="1:17" x14ac:dyDescent="0.25">
      <c r="B14" t="s">
        <v>23</v>
      </c>
      <c r="C14">
        <f>SUMIFS(Consolidated!$N:$N,Consolidated!$B:$B,C$4,Consolidated!$C:$C,C$5)</f>
        <v>70408</v>
      </c>
      <c r="D14">
        <f>SUMIFS(Consolidated!$N:$N,Consolidated!$B:$B,D$4,Consolidated!$C:$C,D$5)</f>
        <v>87127</v>
      </c>
      <c r="E14">
        <f>SUMIFS(Consolidated!$N:$N,Consolidated!$B:$B,E$4,Consolidated!$C:$C,E$5)</f>
        <v>78400</v>
      </c>
      <c r="F14">
        <f>SUMIFS(Consolidated!$N:$N,Consolidated!$B:$B,F$4,Consolidated!$C:$C,F$5)</f>
        <v>67869</v>
      </c>
      <c r="G14">
        <f>SUMIFS(Consolidated!$N:$N,Consolidated!$B:$B,G$4,Consolidated!$C:$C,G$5)</f>
        <v>69392</v>
      </c>
      <c r="H14">
        <f>SUMIFS(Consolidated!$N:$N,Consolidated!$B:$B,H$4,Consolidated!$C:$C,H$5)</f>
        <v>63271</v>
      </c>
      <c r="I14">
        <f>SUMIFS(Consolidated!$N:$N,Consolidated!$B:$B,I$4,Consolidated!$C:$C,I$5)</f>
        <v>73169</v>
      </c>
      <c r="J14">
        <f>SUMIFS(Consolidated!$N:$N,Consolidated!$B:$B,J$4,Consolidated!$C:$C,J$5)</f>
        <v>78324</v>
      </c>
      <c r="K14">
        <f>SUMIFS(Consolidated!$N:$N,Consolidated!$B:$B,K$4,Consolidated!$C:$C,K$5)</f>
        <v>61443</v>
      </c>
      <c r="L14">
        <f>SUMIFS(Consolidated!$N:$N,Consolidated!$B:$B,L$4,Consolidated!$C:$C,L$5)</f>
        <v>76770</v>
      </c>
      <c r="M14">
        <f>SUMIFS(Consolidated!$N:$N,Consolidated!$B:$B,M$4,Consolidated!$C:$C,M$5)</f>
        <v>75043</v>
      </c>
      <c r="N14">
        <f>SUMIFS(Consolidated!$N:$N,Consolidated!$B:$B,N$4,Consolidated!$C:$C,N$5)</f>
        <v>78488</v>
      </c>
      <c r="O14">
        <f>SUMIFS(Consolidated!$N:$N,Consolidated!$B:$B,O$4,Consolidated!$C:$C,O$5)</f>
        <v>74039</v>
      </c>
      <c r="P14">
        <f>SUMIFS(Consolidated!$N:$N,Consolidated!$B:$B,P$4,Consolidated!$C:$C,P$5)</f>
        <v>65951</v>
      </c>
      <c r="Q14">
        <f>SUMIFS(Consolidated!$N:$N,Consolidated!$B:$B,Q$4,Consolidated!$C:$C,Q$5)</f>
        <v>53840</v>
      </c>
    </row>
    <row r="15" spans="1:17" x14ac:dyDescent="0.25">
      <c r="B15" t="s">
        <v>30</v>
      </c>
      <c r="C15">
        <f>SUMIFS(Consolidated!$O:$O,Consolidated!$B:$B,C$4,Consolidated!$C:$C,C$5)</f>
        <v>72807</v>
      </c>
      <c r="D15">
        <f>SUMIFS(Consolidated!$O:$O,Consolidated!$B:$B,D$4,Consolidated!$C:$C,D$5)</f>
        <v>67581</v>
      </c>
      <c r="E15">
        <f>SUMIFS(Consolidated!$O:$O,Consolidated!$B:$B,E$4,Consolidated!$C:$C,E$5)</f>
        <v>78391</v>
      </c>
      <c r="F15">
        <f>SUMIFS(Consolidated!$O:$O,Consolidated!$B:$B,F$4,Consolidated!$C:$C,F$5)</f>
        <v>66854</v>
      </c>
      <c r="G15">
        <f>SUMIFS(Consolidated!$O:$O,Consolidated!$B:$B,G$4,Consolidated!$C:$C,G$5)</f>
        <v>75555</v>
      </c>
      <c r="H15">
        <f>SUMIFS(Consolidated!$O:$O,Consolidated!$B:$B,H$4,Consolidated!$C:$C,H$5)</f>
        <v>66709</v>
      </c>
      <c r="I15">
        <f>SUMIFS(Consolidated!$O:$O,Consolidated!$B:$B,I$4,Consolidated!$C:$C,I$5)</f>
        <v>80872</v>
      </c>
      <c r="J15">
        <f>SUMIFS(Consolidated!$O:$O,Consolidated!$B:$B,J$4,Consolidated!$C:$C,J$5)</f>
        <v>77569</v>
      </c>
      <c r="K15">
        <f>SUMIFS(Consolidated!$O:$O,Consolidated!$B:$B,K$4,Consolidated!$C:$C,K$5)</f>
        <v>70027</v>
      </c>
      <c r="L15">
        <f>SUMIFS(Consolidated!$O:$O,Consolidated!$B:$B,L$4,Consolidated!$C:$C,L$5)</f>
        <v>81108</v>
      </c>
      <c r="M15">
        <f>SUMIFS(Consolidated!$O:$O,Consolidated!$B:$B,M$4,Consolidated!$C:$C,M$5)</f>
        <v>75429</v>
      </c>
      <c r="N15">
        <f>SUMIFS(Consolidated!$O:$O,Consolidated!$B:$B,N$4,Consolidated!$C:$C,N$5)</f>
        <v>90135</v>
      </c>
      <c r="O15">
        <f>SUMIFS(Consolidated!$O:$O,Consolidated!$B:$B,O$4,Consolidated!$C:$C,O$5)</f>
        <v>73799</v>
      </c>
      <c r="P15">
        <f>SUMIFS(Consolidated!$O:$O,Consolidated!$B:$B,P$4,Consolidated!$C:$C,P$5)</f>
        <v>61667</v>
      </c>
      <c r="Q15">
        <f>SUMIFS(Consolidated!$O:$O,Consolidated!$B:$B,Q$4,Consolidated!$C:$C,Q$5)</f>
        <v>66298</v>
      </c>
    </row>
    <row r="16" spans="1:17" x14ac:dyDescent="0.25">
      <c r="A16" s="4" t="s">
        <v>24</v>
      </c>
    </row>
    <row r="17" spans="2:21" outlineLevel="1" x14ac:dyDescent="0.25">
      <c r="B17" t="s">
        <v>12</v>
      </c>
      <c r="C17" s="11">
        <f>(C7-C$6)^2</f>
        <v>401000625</v>
      </c>
      <c r="D17" s="11">
        <f t="shared" ref="D17:Q17" si="2">(D7-D$6)^2</f>
        <v>600625</v>
      </c>
      <c r="E17" s="11">
        <f t="shared" si="2"/>
        <v>73393489</v>
      </c>
      <c r="F17" s="11">
        <f t="shared" si="2"/>
        <v>97871449</v>
      </c>
      <c r="G17" s="11">
        <f t="shared" si="2"/>
        <v>1075369</v>
      </c>
      <c r="H17" s="11">
        <f t="shared" si="2"/>
        <v>276922881</v>
      </c>
      <c r="I17" s="11">
        <f t="shared" si="2"/>
        <v>4198401</v>
      </c>
      <c r="J17" s="11">
        <f t="shared" si="2"/>
        <v>11512449</v>
      </c>
      <c r="K17" s="11">
        <f t="shared" si="2"/>
        <v>199741689</v>
      </c>
      <c r="L17" s="11">
        <f t="shared" si="2"/>
        <v>12334144</v>
      </c>
      <c r="M17" s="11">
        <f t="shared" si="2"/>
        <v>3229209</v>
      </c>
      <c r="N17" s="11">
        <f t="shared" si="2"/>
        <v>27510025</v>
      </c>
      <c r="O17" s="11">
        <f t="shared" si="2"/>
        <v>7458361</v>
      </c>
      <c r="P17" s="11">
        <f t="shared" si="2"/>
        <v>173738761</v>
      </c>
      <c r="Q17" s="11">
        <f t="shared" si="2"/>
        <v>421686225</v>
      </c>
      <c r="S17" s="8">
        <f>SQRT(AVERAGE(C17:Q17))</f>
        <v>10684.174284114488</v>
      </c>
      <c r="U17">
        <f>LN(4900)</f>
        <v>8.4969904840987187</v>
      </c>
    </row>
    <row r="18" spans="2:21" outlineLevel="1" x14ac:dyDescent="0.25">
      <c r="B18" t="s">
        <v>13</v>
      </c>
      <c r="C18" s="11">
        <f t="shared" ref="C18:Q18" si="3">(C8-C$6)^2</f>
        <v>369331524</v>
      </c>
      <c r="D18" s="11">
        <f t="shared" si="3"/>
        <v>76387600</v>
      </c>
      <c r="E18" s="11">
        <f t="shared" si="3"/>
        <v>44422225</v>
      </c>
      <c r="F18" s="11">
        <f t="shared" si="3"/>
        <v>25452025</v>
      </c>
      <c r="G18" s="11">
        <f t="shared" si="3"/>
        <v>108900</v>
      </c>
      <c r="H18" s="11">
        <f t="shared" si="3"/>
        <v>124746561</v>
      </c>
      <c r="I18" s="11">
        <f t="shared" si="3"/>
        <v>5832225</v>
      </c>
      <c r="J18" s="11">
        <f t="shared" si="3"/>
        <v>622521</v>
      </c>
      <c r="K18" s="11">
        <f t="shared" si="3"/>
        <v>92794689</v>
      </c>
      <c r="L18" s="11">
        <f t="shared" si="3"/>
        <v>7601049</v>
      </c>
      <c r="M18" s="11">
        <f t="shared" si="3"/>
        <v>42094144</v>
      </c>
      <c r="N18" s="11">
        <f t="shared" si="3"/>
        <v>37687321</v>
      </c>
      <c r="O18" s="11">
        <f t="shared" si="3"/>
        <v>15586704</v>
      </c>
      <c r="P18" s="11">
        <f t="shared" si="3"/>
        <v>11029041</v>
      </c>
      <c r="Q18" s="11">
        <f t="shared" si="3"/>
        <v>425266884</v>
      </c>
      <c r="S18" s="8">
        <f t="shared" ref="S18:S24" si="4">SQRT(AVERAGE(C18:Q18))</f>
        <v>9233.8630882926427</v>
      </c>
      <c r="U18">
        <f>900000/365</f>
        <v>2465.7534246575342</v>
      </c>
    </row>
    <row r="19" spans="2:21" outlineLevel="1" x14ac:dyDescent="0.25">
      <c r="B19" t="s">
        <v>14</v>
      </c>
      <c r="C19" s="11">
        <f t="shared" ref="C19:Q19" si="5">(C9-C$6)^2</f>
        <v>316911204</v>
      </c>
      <c r="D19" s="11">
        <f t="shared" si="5"/>
        <v>63218401</v>
      </c>
      <c r="E19" s="11">
        <f t="shared" si="5"/>
        <v>5400976</v>
      </c>
      <c r="F19" s="11">
        <f t="shared" si="5"/>
        <v>36796356</v>
      </c>
      <c r="G19" s="11">
        <f t="shared" si="5"/>
        <v>5499025</v>
      </c>
      <c r="H19" s="11">
        <f t="shared" si="5"/>
        <v>70896400</v>
      </c>
      <c r="I19" s="11">
        <f t="shared" si="5"/>
        <v>59490369</v>
      </c>
      <c r="J19" s="11">
        <f t="shared" si="5"/>
        <v>1096209</v>
      </c>
      <c r="K19" s="11">
        <f t="shared" si="5"/>
        <v>15397776</v>
      </c>
      <c r="L19" s="11">
        <f t="shared" si="5"/>
        <v>4549689</v>
      </c>
      <c r="M19" s="11">
        <f t="shared" si="5"/>
        <v>12916836</v>
      </c>
      <c r="N19" s="11">
        <f t="shared" si="5"/>
        <v>18309841</v>
      </c>
      <c r="O19" s="11">
        <f t="shared" si="5"/>
        <v>47679025</v>
      </c>
      <c r="P19" s="11">
        <f t="shared" si="5"/>
        <v>9078169</v>
      </c>
      <c r="Q19" s="11">
        <f t="shared" si="5"/>
        <v>14085009</v>
      </c>
      <c r="S19" s="8">
        <f t="shared" si="4"/>
        <v>6739.561236955019</v>
      </c>
      <c r="U19">
        <f>LN(U18)</f>
        <v>7.8102526887239563</v>
      </c>
    </row>
    <row r="20" spans="2:21" outlineLevel="1" x14ac:dyDescent="0.25">
      <c r="B20" t="s">
        <v>15</v>
      </c>
      <c r="C20" s="11">
        <f t="shared" ref="C20:Q20" si="6">(C10-C$6)^2</f>
        <v>306180004</v>
      </c>
      <c r="D20" s="11">
        <f t="shared" si="6"/>
        <v>63856081</v>
      </c>
      <c r="E20" s="11">
        <f t="shared" si="6"/>
        <v>6210064</v>
      </c>
      <c r="F20" s="11">
        <f t="shared" si="6"/>
        <v>38291344</v>
      </c>
      <c r="G20" s="11">
        <f t="shared" si="6"/>
        <v>5513104</v>
      </c>
      <c r="H20" s="11">
        <f t="shared" si="6"/>
        <v>71233600</v>
      </c>
      <c r="I20" s="11">
        <f t="shared" si="6"/>
        <v>55547209</v>
      </c>
      <c r="J20" s="11">
        <f t="shared" si="6"/>
        <v>1048576</v>
      </c>
      <c r="K20" s="11">
        <f t="shared" si="6"/>
        <v>16589329</v>
      </c>
      <c r="L20" s="11">
        <f t="shared" si="6"/>
        <v>4100625</v>
      </c>
      <c r="M20" s="11">
        <f t="shared" si="6"/>
        <v>14440000</v>
      </c>
      <c r="N20" s="11">
        <f t="shared" si="6"/>
        <v>18714276</v>
      </c>
      <c r="O20" s="11">
        <f t="shared" si="6"/>
        <v>46253601</v>
      </c>
      <c r="P20" s="11">
        <f t="shared" si="6"/>
        <v>9467929</v>
      </c>
      <c r="Q20" s="11">
        <f t="shared" si="6"/>
        <v>12531600</v>
      </c>
      <c r="S20" s="8">
        <f t="shared" si="4"/>
        <v>6683.1995431330142</v>
      </c>
    </row>
    <row r="21" spans="2:21" outlineLevel="1" x14ac:dyDescent="0.25">
      <c r="B21" t="s">
        <v>16</v>
      </c>
      <c r="C21" s="11">
        <f t="shared" ref="C21:Q21" si="7">(C11-C$6)^2</f>
        <v>264810529</v>
      </c>
      <c r="D21" s="11">
        <f t="shared" si="7"/>
        <v>14122564</v>
      </c>
      <c r="E21" s="11">
        <f t="shared" si="7"/>
        <v>3884841</v>
      </c>
      <c r="F21" s="11">
        <f t="shared" si="7"/>
        <v>36893476</v>
      </c>
      <c r="G21" s="11">
        <f t="shared" si="7"/>
        <v>842724</v>
      </c>
      <c r="H21" s="11">
        <f t="shared" si="7"/>
        <v>54819216</v>
      </c>
      <c r="I21" s="11">
        <f t="shared" si="7"/>
        <v>7006609</v>
      </c>
      <c r="J21" s="11">
        <f t="shared" si="7"/>
        <v>10227204</v>
      </c>
      <c r="K21" s="11">
        <f t="shared" si="7"/>
        <v>14265729</v>
      </c>
      <c r="L21" s="11">
        <f t="shared" si="7"/>
        <v>2647129</v>
      </c>
      <c r="M21" s="11">
        <f t="shared" si="7"/>
        <v>11778624</v>
      </c>
      <c r="N21" s="11">
        <f t="shared" si="7"/>
        <v>56535361</v>
      </c>
      <c r="O21" s="11">
        <f t="shared" si="7"/>
        <v>34316164</v>
      </c>
      <c r="P21" s="11">
        <f t="shared" si="7"/>
        <v>33269824</v>
      </c>
      <c r="Q21" s="11">
        <f t="shared" si="7"/>
        <v>2455489</v>
      </c>
      <c r="S21" s="8">
        <f t="shared" si="4"/>
        <v>6043.5943113349367</v>
      </c>
    </row>
    <row r="22" spans="2:21" outlineLevel="1" x14ac:dyDescent="0.25">
      <c r="B22" t="s">
        <v>17</v>
      </c>
      <c r="C22" s="11">
        <f t="shared" ref="C22:P22" si="8">(C12-C$6)^2</f>
        <v>173317225</v>
      </c>
      <c r="D22" s="11">
        <f t="shared" si="8"/>
        <v>270306481</v>
      </c>
      <c r="E22" s="11">
        <f t="shared" si="8"/>
        <v>301821129</v>
      </c>
      <c r="F22" s="11">
        <f t="shared" si="8"/>
        <v>170929476</v>
      </c>
      <c r="G22" s="11">
        <f t="shared" si="8"/>
        <v>173448900</v>
      </c>
      <c r="H22" s="11">
        <f t="shared" si="8"/>
        <v>101761</v>
      </c>
      <c r="I22" s="11">
        <f t="shared" si="8"/>
        <v>151019521</v>
      </c>
      <c r="J22" s="11">
        <f t="shared" si="8"/>
        <v>104775696</v>
      </c>
      <c r="K22" s="11">
        <f t="shared" si="8"/>
        <v>6335289</v>
      </c>
      <c r="L22" s="11">
        <f t="shared" si="8"/>
        <v>31629376</v>
      </c>
      <c r="M22" s="11">
        <f t="shared" si="8"/>
        <v>369562176</v>
      </c>
      <c r="N22" s="11">
        <f t="shared" si="8"/>
        <v>234487969</v>
      </c>
      <c r="O22" s="11">
        <f t="shared" si="8"/>
        <v>48330304</v>
      </c>
      <c r="P22" s="11">
        <f t="shared" si="8"/>
        <v>7590025</v>
      </c>
      <c r="Q22" s="11">
        <f>(Q12-Q$6)^2</f>
        <v>13060996</v>
      </c>
      <c r="S22" s="8">
        <f t="shared" si="4"/>
        <v>11709.58673907837</v>
      </c>
    </row>
    <row r="23" spans="2:21" outlineLevel="1" x14ac:dyDescent="0.25">
      <c r="B23" t="s">
        <v>18</v>
      </c>
      <c r="C23" s="11">
        <f t="shared" ref="C23:Q23" si="9">(C13-C$6)^2</f>
        <v>255424324</v>
      </c>
      <c r="D23" s="11">
        <f t="shared" si="9"/>
        <v>9634816</v>
      </c>
      <c r="E23" s="11">
        <f t="shared" si="9"/>
        <v>3157729</v>
      </c>
      <c r="F23" s="11">
        <f t="shared" si="9"/>
        <v>37088100</v>
      </c>
      <c r="G23" s="11">
        <f t="shared" si="9"/>
        <v>330625</v>
      </c>
      <c r="H23" s="11">
        <f t="shared" si="9"/>
        <v>56355049</v>
      </c>
      <c r="I23" s="11">
        <f t="shared" si="9"/>
        <v>7529536</v>
      </c>
      <c r="J23" s="11">
        <f t="shared" si="9"/>
        <v>9186961</v>
      </c>
      <c r="K23" s="11">
        <f t="shared" si="9"/>
        <v>14938225</v>
      </c>
      <c r="L23" s="11">
        <f t="shared" si="9"/>
        <v>3598609</v>
      </c>
      <c r="M23" s="11">
        <f t="shared" si="9"/>
        <v>9180900</v>
      </c>
      <c r="N23" s="11">
        <f t="shared" si="9"/>
        <v>55845729</v>
      </c>
      <c r="O23" s="11">
        <f t="shared" si="9"/>
        <v>30969225</v>
      </c>
      <c r="P23" s="11">
        <f t="shared" si="9"/>
        <v>31516996</v>
      </c>
      <c r="Q23" s="11">
        <f t="shared" si="9"/>
        <v>1030225</v>
      </c>
      <c r="S23" s="8">
        <f t="shared" si="4"/>
        <v>5920.5126410922667</v>
      </c>
    </row>
    <row r="24" spans="2:21" outlineLevel="1" x14ac:dyDescent="0.25">
      <c r="B24" t="s">
        <v>23</v>
      </c>
      <c r="C24" s="11">
        <f t="shared" ref="C24:Q25" si="10">(C14-C$6)^2</f>
        <v>271524484</v>
      </c>
      <c r="D24" s="11">
        <f t="shared" si="10"/>
        <v>392040000</v>
      </c>
      <c r="E24" s="11">
        <f t="shared" si="10"/>
        <v>1635841</v>
      </c>
      <c r="F24" s="11">
        <f t="shared" si="10"/>
        <v>7123561</v>
      </c>
      <c r="G24" s="11">
        <f t="shared" si="10"/>
        <v>25010001</v>
      </c>
      <c r="H24" s="11">
        <f t="shared" si="10"/>
        <v>19474569</v>
      </c>
      <c r="I24" s="11">
        <f t="shared" si="10"/>
        <v>6220036</v>
      </c>
      <c r="J24" s="11">
        <f t="shared" si="10"/>
        <v>427716</v>
      </c>
      <c r="K24" s="11">
        <f t="shared" si="10"/>
        <v>1334025</v>
      </c>
      <c r="L24" s="11">
        <f t="shared" si="10"/>
        <v>21557449</v>
      </c>
      <c r="M24" s="11">
        <f t="shared" si="10"/>
        <v>8025889</v>
      </c>
      <c r="N24" s="11">
        <f t="shared" si="10"/>
        <v>341584324</v>
      </c>
      <c r="O24" s="11">
        <f t="shared" si="10"/>
        <v>36529936</v>
      </c>
      <c r="P24" s="11">
        <f t="shared" si="10"/>
        <v>85766121</v>
      </c>
      <c r="Q24" s="11">
        <f t="shared" si="10"/>
        <v>196168036</v>
      </c>
      <c r="S24" s="8">
        <f t="shared" si="4"/>
        <v>9710.5509215491984</v>
      </c>
    </row>
    <row r="25" spans="2:21" outlineLevel="1" x14ac:dyDescent="0.25">
      <c r="B25" t="s">
        <v>30</v>
      </c>
      <c r="C25" s="11">
        <f t="shared" si="10"/>
        <v>356341129</v>
      </c>
      <c r="D25" s="11">
        <f t="shared" si="10"/>
        <v>64516</v>
      </c>
      <c r="E25" s="11">
        <f t="shared" si="10"/>
        <v>1612900</v>
      </c>
      <c r="F25" s="11">
        <f t="shared" si="10"/>
        <v>2735716</v>
      </c>
      <c r="G25" s="11">
        <f t="shared" si="10"/>
        <v>1350244</v>
      </c>
      <c r="H25" s="11">
        <f t="shared" si="10"/>
        <v>61638201</v>
      </c>
      <c r="I25" s="11">
        <f t="shared" si="10"/>
        <v>27133681</v>
      </c>
      <c r="J25" s="11">
        <f t="shared" si="10"/>
        <v>1985281</v>
      </c>
      <c r="K25" s="11">
        <f t="shared" si="10"/>
        <v>55190041</v>
      </c>
      <c r="L25" s="11">
        <f t="shared" si="10"/>
        <v>93025</v>
      </c>
      <c r="M25" s="11">
        <f t="shared" si="10"/>
        <v>5987809</v>
      </c>
      <c r="N25" s="11">
        <f t="shared" si="10"/>
        <v>46717225</v>
      </c>
      <c r="O25" s="11">
        <f t="shared" si="10"/>
        <v>33686416</v>
      </c>
      <c r="P25" s="11">
        <f t="shared" si="10"/>
        <v>24770529</v>
      </c>
      <c r="Q25" s="11">
        <f t="shared" si="10"/>
        <v>2396304</v>
      </c>
      <c r="S25" s="8">
        <f t="shared" ref="S25" si="11">SQRT(AVERAGE(C25:Q25))</f>
        <v>6437.9241840829409</v>
      </c>
    </row>
    <row r="60" spans="1:33" x14ac:dyDescent="0.25">
      <c r="A60" s="4" t="s">
        <v>22</v>
      </c>
    </row>
    <row r="62" spans="1:33" x14ac:dyDescent="0.25">
      <c r="B62" s="9" t="s">
        <v>10</v>
      </c>
      <c r="C62" s="9">
        <v>1</v>
      </c>
      <c r="D62" s="9">
        <f>C62+1</f>
        <v>2</v>
      </c>
      <c r="E62" s="9">
        <f t="shared" ref="E62:AG62" si="12">D62+1</f>
        <v>3</v>
      </c>
      <c r="F62" s="9">
        <f t="shared" si="12"/>
        <v>4</v>
      </c>
      <c r="G62" s="9">
        <f t="shared" si="12"/>
        <v>5</v>
      </c>
      <c r="H62" s="9">
        <f t="shared" si="12"/>
        <v>6</v>
      </c>
      <c r="I62" s="9">
        <f t="shared" si="12"/>
        <v>7</v>
      </c>
      <c r="J62" s="9">
        <f t="shared" si="12"/>
        <v>8</v>
      </c>
      <c r="K62" s="9">
        <f t="shared" si="12"/>
        <v>9</v>
      </c>
      <c r="L62" s="9">
        <f t="shared" si="12"/>
        <v>10</v>
      </c>
      <c r="M62" s="9">
        <f t="shared" si="12"/>
        <v>11</v>
      </c>
      <c r="N62" s="9">
        <f t="shared" si="12"/>
        <v>12</v>
      </c>
      <c r="O62" s="9">
        <f t="shared" si="12"/>
        <v>13</v>
      </c>
      <c r="P62" s="9">
        <f t="shared" si="12"/>
        <v>14</v>
      </c>
      <c r="Q62" s="9">
        <f t="shared" si="12"/>
        <v>15</v>
      </c>
      <c r="R62" s="9">
        <f t="shared" si="12"/>
        <v>16</v>
      </c>
      <c r="S62" s="9">
        <f t="shared" si="12"/>
        <v>17</v>
      </c>
      <c r="T62" s="9">
        <f t="shared" si="12"/>
        <v>18</v>
      </c>
      <c r="U62" s="9">
        <f t="shared" si="12"/>
        <v>19</v>
      </c>
      <c r="V62" s="9">
        <f t="shared" si="12"/>
        <v>20</v>
      </c>
      <c r="W62" s="9">
        <f t="shared" si="12"/>
        <v>21</v>
      </c>
      <c r="X62" s="9">
        <f t="shared" si="12"/>
        <v>22</v>
      </c>
      <c r="Y62" s="9">
        <f t="shared" si="12"/>
        <v>23</v>
      </c>
      <c r="Z62" s="9">
        <f t="shared" si="12"/>
        <v>24</v>
      </c>
      <c r="AA62" s="9">
        <f t="shared" si="12"/>
        <v>25</v>
      </c>
      <c r="AB62" s="9">
        <f t="shared" si="12"/>
        <v>26</v>
      </c>
      <c r="AC62" s="9">
        <f t="shared" si="12"/>
        <v>27</v>
      </c>
      <c r="AD62" s="9">
        <f t="shared" si="12"/>
        <v>28</v>
      </c>
      <c r="AE62" s="9">
        <f t="shared" si="12"/>
        <v>29</v>
      </c>
      <c r="AF62" s="9">
        <f t="shared" si="12"/>
        <v>30</v>
      </c>
      <c r="AG62" s="9">
        <f t="shared" si="12"/>
        <v>31</v>
      </c>
    </row>
    <row r="63" spans="1:33" x14ac:dyDescent="0.25">
      <c r="B63" t="s">
        <v>11</v>
      </c>
      <c r="C63" s="8">
        <f>AVERAGEIFS(Consolidated!$F:$F,Consolidated!$D:$D,C$62)</f>
        <v>385.53333333333336</v>
      </c>
      <c r="D63" s="8">
        <f>AVERAGEIFS(Consolidated!$F:$F,Consolidated!$D:$D,D$62)</f>
        <v>454.33333333333331</v>
      </c>
      <c r="E63" s="8">
        <f>AVERAGEIFS(Consolidated!$F:$F,Consolidated!$D:$D,E$62)</f>
        <v>558.4</v>
      </c>
      <c r="F63" s="8">
        <f>AVERAGEIFS(Consolidated!$F:$F,Consolidated!$D:$D,F$62)</f>
        <v>654.4</v>
      </c>
      <c r="G63" s="8">
        <f>AVERAGEIFS(Consolidated!$F:$F,Consolidated!$D:$D,G$62)</f>
        <v>755.4666666666667</v>
      </c>
      <c r="H63" s="8">
        <f>AVERAGEIFS(Consolidated!$F:$F,Consolidated!$D:$D,H$62)</f>
        <v>865.6</v>
      </c>
      <c r="I63" s="8">
        <f>AVERAGEIFS(Consolidated!$F:$F,Consolidated!$D:$D,I$62)</f>
        <v>822.66666666666663</v>
      </c>
      <c r="J63" s="8">
        <f>AVERAGEIFS(Consolidated!$F:$F,Consolidated!$D:$D,J$62)</f>
        <v>875.26666666666665</v>
      </c>
      <c r="K63" s="8">
        <f>AVERAGEIFS(Consolidated!$F:$F,Consolidated!$D:$D,K$62)</f>
        <v>1185.5333333333333</v>
      </c>
      <c r="L63" s="8">
        <f>AVERAGEIFS(Consolidated!$F:$F,Consolidated!$D:$D,L$62)</f>
        <v>1537.5333333333333</v>
      </c>
      <c r="M63" s="8">
        <f>AVERAGEIFS(Consolidated!$F:$F,Consolidated!$D:$D,M$62)</f>
        <v>1506.4666666666667</v>
      </c>
      <c r="N63" s="8">
        <f>AVERAGEIFS(Consolidated!$F:$F,Consolidated!$D:$D,N$62)</f>
        <v>1624.1333333333334</v>
      </c>
      <c r="O63" s="8">
        <f>AVERAGEIFS(Consolidated!$F:$F,Consolidated!$D:$D,O$62)</f>
        <v>1729.2666666666667</v>
      </c>
      <c r="P63" s="8">
        <f>AVERAGEIFS(Consolidated!$F:$F,Consolidated!$D:$D,P$62)</f>
        <v>1766.6</v>
      </c>
      <c r="Q63" s="8">
        <f>AVERAGEIFS(Consolidated!$F:$F,Consolidated!$D:$D,Q$62)</f>
        <v>1543.8666666666666</v>
      </c>
      <c r="R63" s="8">
        <f>AVERAGEIFS(Consolidated!$F:$F,Consolidated!$D:$D,R$62)</f>
        <v>1863.6666666666667</v>
      </c>
      <c r="S63" s="8">
        <f>AVERAGEIFS(Consolidated!$F:$F,Consolidated!$D:$D,S$62)</f>
        <v>2483</v>
      </c>
      <c r="T63" s="8">
        <f>AVERAGEIFS(Consolidated!$F:$F,Consolidated!$D:$D,T$62)</f>
        <v>2168.2666666666669</v>
      </c>
      <c r="U63" s="8">
        <f>AVERAGEIFS(Consolidated!$F:$F,Consolidated!$D:$D,U$62)</f>
        <v>2256.0666666666666</v>
      </c>
      <c r="V63" s="8">
        <f>AVERAGEIFS(Consolidated!$F:$F,Consolidated!$D:$D,V$62)</f>
        <v>1948.2666666666667</v>
      </c>
      <c r="W63" s="8">
        <f>AVERAGEIFS(Consolidated!$F:$F,Consolidated!$D:$D,W$62)</f>
        <v>2252.2666666666669</v>
      </c>
      <c r="X63" s="8">
        <f>AVERAGEIFS(Consolidated!$F:$F,Consolidated!$D:$D,X$62)</f>
        <v>2200.7333333333331</v>
      </c>
      <c r="Y63" s="8">
        <f>AVERAGEIFS(Consolidated!$F:$F,Consolidated!$D:$D,Y$62)</f>
        <v>2563.9333333333334</v>
      </c>
      <c r="Z63" s="8">
        <f>AVERAGEIFS(Consolidated!$F:$F,Consolidated!$D:$D,Z$62)</f>
        <v>3148.9333333333334</v>
      </c>
      <c r="AA63" s="8">
        <f>AVERAGEIFS(Consolidated!$F:$F,Consolidated!$D:$D,AA$62)</f>
        <v>2965.2666666666669</v>
      </c>
      <c r="AB63" s="8">
        <f>AVERAGEIFS(Consolidated!$F:$F,Consolidated!$D:$D,AB$62)</f>
        <v>3921.6666666666665</v>
      </c>
      <c r="AC63" s="8">
        <f>AVERAGEIFS(Consolidated!$F:$F,Consolidated!$D:$D,AC$62)</f>
        <v>4421.4666666666662</v>
      </c>
      <c r="AD63" s="8">
        <f>AVERAGEIFS(Consolidated!$F:$F,Consolidated!$D:$D,AD$62)</f>
        <v>5782.8666666666668</v>
      </c>
      <c r="AE63" s="8">
        <f>AVERAGEIFS(Consolidated!$F:$F,Consolidated!$D:$D,AE$62)</f>
        <v>5638.6153846153848</v>
      </c>
      <c r="AF63" s="8">
        <f>AVERAGEIFS(Consolidated!$F:$F,Consolidated!$D:$D,AF$62)</f>
        <v>7961.3076923076924</v>
      </c>
      <c r="AG63" s="8">
        <f>AVERAGEIFS(Consolidated!$F:$F,Consolidated!$D:$D,AG$62)</f>
        <v>8048.5555555555557</v>
      </c>
    </row>
    <row r="64" spans="1:33" x14ac:dyDescent="0.25">
      <c r="B64" t="s">
        <v>12</v>
      </c>
      <c r="C64" s="8">
        <f>AVERAGEIFS(Consolidated!$G:$G,Consolidated!$D:$D,C$62)</f>
        <v>2482.0666666666666</v>
      </c>
      <c r="D64" s="8">
        <f>AVERAGEIFS(Consolidated!$G:$G,Consolidated!$D:$D,D$62)</f>
        <v>2754.4</v>
      </c>
      <c r="E64" s="8">
        <f>AVERAGEIFS(Consolidated!$G:$G,Consolidated!$D:$D,E$62)</f>
        <v>2975</v>
      </c>
      <c r="F64" s="8">
        <f>AVERAGEIFS(Consolidated!$G:$G,Consolidated!$D:$D,F$62)</f>
        <v>2882</v>
      </c>
      <c r="G64" s="8">
        <f>AVERAGEIFS(Consolidated!$G:$G,Consolidated!$D:$D,G$62)</f>
        <v>2823.3333333333335</v>
      </c>
      <c r="H64" s="8">
        <f>AVERAGEIFS(Consolidated!$G:$G,Consolidated!$D:$D,H$62)</f>
        <v>2831.0666666666666</v>
      </c>
      <c r="I64" s="8">
        <f>AVERAGEIFS(Consolidated!$G:$G,Consolidated!$D:$D,I$62)</f>
        <v>2660.5333333333333</v>
      </c>
      <c r="J64" s="8">
        <f>AVERAGEIFS(Consolidated!$G:$G,Consolidated!$D:$D,J$62)</f>
        <v>2446.3333333333335</v>
      </c>
      <c r="K64" s="8">
        <f>AVERAGEIFS(Consolidated!$G:$G,Consolidated!$D:$D,K$62)</f>
        <v>2692.7333333333331</v>
      </c>
      <c r="L64" s="8">
        <f>AVERAGEIFS(Consolidated!$G:$G,Consolidated!$D:$D,L$62)</f>
        <v>2888.9333333333334</v>
      </c>
      <c r="M64" s="8">
        <f>AVERAGEIFS(Consolidated!$G:$G,Consolidated!$D:$D,M$62)</f>
        <v>2773.6666666666665</v>
      </c>
      <c r="N64" s="8">
        <f>AVERAGEIFS(Consolidated!$G:$G,Consolidated!$D:$D,N$62)</f>
        <v>2695.1333333333332</v>
      </c>
      <c r="O64" s="8">
        <f>AVERAGEIFS(Consolidated!$G:$G,Consolidated!$D:$D,O$62)</f>
        <v>2686.1333333333332</v>
      </c>
      <c r="P64" s="8">
        <f>AVERAGEIFS(Consolidated!$G:$G,Consolidated!$D:$D,P$62)</f>
        <v>2502</v>
      </c>
      <c r="Q64" s="8">
        <f>AVERAGEIFS(Consolidated!$G:$G,Consolidated!$D:$D,Q$62)</f>
        <v>2277.3333333333335</v>
      </c>
      <c r="R64" s="8">
        <f>AVERAGEIFS(Consolidated!$G:$G,Consolidated!$D:$D,R$62)</f>
        <v>2517.4666666666667</v>
      </c>
      <c r="S64" s="8">
        <f>AVERAGEIFS(Consolidated!$G:$G,Consolidated!$D:$D,S$62)</f>
        <v>2711.0666666666666</v>
      </c>
      <c r="T64" s="8">
        <f>AVERAGEIFS(Consolidated!$G:$G,Consolidated!$D:$D,T$62)</f>
        <v>2596.7333333333331</v>
      </c>
      <c r="U64" s="8">
        <f>AVERAGEIFS(Consolidated!$G:$G,Consolidated!$D:$D,U$62)</f>
        <v>2522.9333333333334</v>
      </c>
      <c r="V64" s="8">
        <f>AVERAGEIFS(Consolidated!$G:$G,Consolidated!$D:$D,V$62)</f>
        <v>2522.1333333333332</v>
      </c>
      <c r="W64" s="8">
        <f>AVERAGEIFS(Consolidated!$G:$G,Consolidated!$D:$D,W$62)</f>
        <v>2349.1999999999998</v>
      </c>
      <c r="X64" s="8">
        <f>AVERAGEIFS(Consolidated!$G:$G,Consolidated!$D:$D,X$62)</f>
        <v>2138.9333333333334</v>
      </c>
      <c r="Y64" s="8">
        <f>AVERAGEIFS(Consolidated!$G:$G,Consolidated!$D:$D,Y$62)</f>
        <v>2395.8000000000002</v>
      </c>
      <c r="Z64" s="8">
        <f>AVERAGEIFS(Consolidated!$G:$G,Consolidated!$D:$D,Z$62)</f>
        <v>2607.9333333333334</v>
      </c>
      <c r="AA64" s="8">
        <f>AVERAGEIFS(Consolidated!$G:$G,Consolidated!$D:$D,AA$62)</f>
        <v>2513.8000000000002</v>
      </c>
      <c r="AB64" s="8">
        <f>AVERAGEIFS(Consolidated!$G:$G,Consolidated!$D:$D,AB$62)</f>
        <v>2461.1333333333332</v>
      </c>
      <c r="AC64" s="8">
        <f>AVERAGEIFS(Consolidated!$G:$G,Consolidated!$D:$D,AC$62)</f>
        <v>2488.9333333333334</v>
      </c>
      <c r="AD64" s="8">
        <f>AVERAGEIFS(Consolidated!$G:$G,Consolidated!$D:$D,AD$62)</f>
        <v>2330.6</v>
      </c>
      <c r="AE64" s="8">
        <f>AVERAGEIFS(Consolidated!$G:$G,Consolidated!$D:$D,AE$62)</f>
        <v>2331.7692307692309</v>
      </c>
      <c r="AF64" s="8">
        <f>AVERAGEIFS(Consolidated!$G:$G,Consolidated!$D:$D,AF$62)</f>
        <v>2512.3846153846152</v>
      </c>
      <c r="AG64" s="8">
        <f>AVERAGEIFS(Consolidated!$G:$G,Consolidated!$D:$D,AG$62)</f>
        <v>2378.2222222222222</v>
      </c>
    </row>
    <row r="65" spans="1:35" x14ac:dyDescent="0.25">
      <c r="B65" t="s">
        <v>13</v>
      </c>
      <c r="C65" s="8">
        <f>AVERAGEIFS(Consolidated!$H:$H,Consolidated!$D:$D,C$62)</f>
        <v>4603.4666666666662</v>
      </c>
      <c r="D65" s="8">
        <f>AVERAGEIFS(Consolidated!$H:$H,Consolidated!$D:$D,D$62)</f>
        <v>3469.0666666666666</v>
      </c>
      <c r="E65" s="8">
        <f>AVERAGEIFS(Consolidated!$H:$H,Consolidated!$D:$D,E$62)</f>
        <v>2075.3333333333335</v>
      </c>
      <c r="F65" s="8">
        <f>AVERAGEIFS(Consolidated!$H:$H,Consolidated!$D:$D,F$62)</f>
        <v>1295.5333333333333</v>
      </c>
      <c r="G65" s="8">
        <f>AVERAGEIFS(Consolidated!$H:$H,Consolidated!$D:$D,G$62)</f>
        <v>1051.2</v>
      </c>
      <c r="H65" s="8">
        <f>AVERAGEIFS(Consolidated!$H:$H,Consolidated!$D:$D,H$62)</f>
        <v>1217.4666666666667</v>
      </c>
      <c r="I65" s="8">
        <f>AVERAGEIFS(Consolidated!$H:$H,Consolidated!$D:$D,I$62)</f>
        <v>1236.8</v>
      </c>
      <c r="J65" s="8">
        <f>AVERAGEIFS(Consolidated!$H:$H,Consolidated!$D:$D,J$62)</f>
        <v>1203.4000000000001</v>
      </c>
      <c r="K65" s="8">
        <f>AVERAGEIFS(Consolidated!$H:$H,Consolidated!$D:$D,K$62)</f>
        <v>1392</v>
      </c>
      <c r="L65" s="8">
        <f>AVERAGEIFS(Consolidated!$H:$H,Consolidated!$D:$D,L$62)</f>
        <v>1585.2</v>
      </c>
      <c r="M65" s="8">
        <f>AVERAGEIFS(Consolidated!$H:$H,Consolidated!$D:$D,M$62)</f>
        <v>1648.4</v>
      </c>
      <c r="N65" s="8">
        <f>AVERAGEIFS(Consolidated!$H:$H,Consolidated!$D:$D,N$62)</f>
        <v>1730.2</v>
      </c>
      <c r="O65" s="8">
        <f>AVERAGEIFS(Consolidated!$H:$H,Consolidated!$D:$D,O$62)</f>
        <v>1860.3333333333333</v>
      </c>
      <c r="P65" s="8">
        <f>AVERAGEIFS(Consolidated!$H:$H,Consolidated!$D:$D,P$62)</f>
        <v>1691.8</v>
      </c>
      <c r="Q65" s="8">
        <f>AVERAGEIFS(Consolidated!$H:$H,Consolidated!$D:$D,Q$62)</f>
        <v>1536.4666666666667</v>
      </c>
      <c r="R65" s="8">
        <f>AVERAGEIFS(Consolidated!$H:$H,Consolidated!$D:$D,R$62)</f>
        <v>1874.4666666666667</v>
      </c>
      <c r="S65" s="8">
        <f>AVERAGEIFS(Consolidated!$H:$H,Consolidated!$D:$D,S$62)</f>
        <v>2267.8666666666668</v>
      </c>
      <c r="T65" s="8">
        <f>AVERAGEIFS(Consolidated!$H:$H,Consolidated!$D:$D,T$62)</f>
        <v>2326.9333333333334</v>
      </c>
      <c r="U65" s="8">
        <f>AVERAGEIFS(Consolidated!$H:$H,Consolidated!$D:$D,U$62)</f>
        <v>2302.5333333333333</v>
      </c>
      <c r="V65" s="8">
        <f>AVERAGEIFS(Consolidated!$H:$H,Consolidated!$D:$D,V$62)</f>
        <v>2283.9333333333334</v>
      </c>
      <c r="W65" s="8">
        <f>AVERAGEIFS(Consolidated!$H:$H,Consolidated!$D:$D,W$62)</f>
        <v>2172.9333333333334</v>
      </c>
      <c r="X65" s="8">
        <f>AVERAGEIFS(Consolidated!$H:$H,Consolidated!$D:$D,X$62)</f>
        <v>2190</v>
      </c>
      <c r="Y65" s="8">
        <f>AVERAGEIFS(Consolidated!$H:$H,Consolidated!$D:$D,Y$62)</f>
        <v>2713.2666666666669</v>
      </c>
      <c r="Z65" s="8">
        <f>AVERAGEIFS(Consolidated!$H:$H,Consolidated!$D:$D,Z$62)</f>
        <v>3083.3333333333335</v>
      </c>
      <c r="AA65" s="8">
        <f>AVERAGEIFS(Consolidated!$H:$H,Consolidated!$D:$D,AA$62)</f>
        <v>3005.6666666666665</v>
      </c>
      <c r="AB65" s="8">
        <f>AVERAGEIFS(Consolidated!$H:$H,Consolidated!$D:$D,AB$62)</f>
        <v>3030.3333333333335</v>
      </c>
      <c r="AC65" s="8">
        <f>AVERAGEIFS(Consolidated!$H:$H,Consolidated!$D:$D,AC$62)</f>
        <v>3465.9333333333334</v>
      </c>
      <c r="AD65" s="8">
        <f>AVERAGEIFS(Consolidated!$H:$H,Consolidated!$D:$D,AD$62)</f>
        <v>4145.666666666667</v>
      </c>
      <c r="AE65" s="8">
        <f>AVERAGEIFS(Consolidated!$H:$H,Consolidated!$D:$D,AE$62)</f>
        <v>4981.2307692307695</v>
      </c>
      <c r="AF65" s="8">
        <f>AVERAGEIFS(Consolidated!$H:$H,Consolidated!$D:$D,AF$62)</f>
        <v>5837.6153846153848</v>
      </c>
      <c r="AG65" s="8">
        <f>AVERAGEIFS(Consolidated!$H:$H,Consolidated!$D:$D,AG$62)</f>
        <v>5540.5555555555557</v>
      </c>
    </row>
    <row r="66" spans="1:35" x14ac:dyDescent="0.25">
      <c r="B66" t="s">
        <v>14</v>
      </c>
      <c r="C66" s="8">
        <f>AVERAGEIFS(Consolidated!$I:$I,Consolidated!$D:$D,C$62)</f>
        <v>4041.4666666666667</v>
      </c>
      <c r="D66" s="8">
        <f>AVERAGEIFS(Consolidated!$I:$I,Consolidated!$D:$D,D$62)</f>
        <v>3444.6666666666665</v>
      </c>
      <c r="E66" s="8">
        <f>AVERAGEIFS(Consolidated!$I:$I,Consolidated!$D:$D,E$62)</f>
        <v>2119.2666666666669</v>
      </c>
      <c r="F66" s="8">
        <f>AVERAGEIFS(Consolidated!$I:$I,Consolidated!$D:$D,F$62)</f>
        <v>1368.9333333333334</v>
      </c>
      <c r="G66" s="8">
        <f>AVERAGEIFS(Consolidated!$I:$I,Consolidated!$D:$D,G$62)</f>
        <v>1091.0666666666666</v>
      </c>
      <c r="H66" s="8">
        <f>AVERAGEIFS(Consolidated!$I:$I,Consolidated!$D:$D,H$62)</f>
        <v>1223.5333333333333</v>
      </c>
      <c r="I66" s="8">
        <f>AVERAGEIFS(Consolidated!$I:$I,Consolidated!$D:$D,I$62)</f>
        <v>1226.9333333333334</v>
      </c>
      <c r="J66" s="8">
        <f>AVERAGEIFS(Consolidated!$I:$I,Consolidated!$D:$D,J$62)</f>
        <v>1153.8</v>
      </c>
      <c r="K66" s="8">
        <f>AVERAGEIFS(Consolidated!$I:$I,Consolidated!$D:$D,K$62)</f>
        <v>1451</v>
      </c>
      <c r="L66" s="8">
        <f>AVERAGEIFS(Consolidated!$I:$I,Consolidated!$D:$D,L$62)</f>
        <v>1617.4666666666667</v>
      </c>
      <c r="M66" s="8">
        <f>AVERAGEIFS(Consolidated!$I:$I,Consolidated!$D:$D,M$62)</f>
        <v>1587</v>
      </c>
      <c r="N66" s="8">
        <f>AVERAGEIFS(Consolidated!$I:$I,Consolidated!$D:$D,N$62)</f>
        <v>1753.1333333333334</v>
      </c>
      <c r="O66" s="8">
        <f>AVERAGEIFS(Consolidated!$I:$I,Consolidated!$D:$D,O$62)</f>
        <v>1932.8666666666666</v>
      </c>
      <c r="P66" s="8">
        <f>AVERAGEIFS(Consolidated!$I:$I,Consolidated!$D:$D,P$62)</f>
        <v>1797.2</v>
      </c>
      <c r="Q66" s="8">
        <f>AVERAGEIFS(Consolidated!$I:$I,Consolidated!$D:$D,Q$62)</f>
        <v>1474.9333333333334</v>
      </c>
      <c r="R66" s="8">
        <f>AVERAGEIFS(Consolidated!$I:$I,Consolidated!$D:$D,R$62)</f>
        <v>1803.6</v>
      </c>
      <c r="S66" s="8">
        <f>AVERAGEIFS(Consolidated!$I:$I,Consolidated!$D:$D,S$62)</f>
        <v>2165</v>
      </c>
      <c r="T66" s="8">
        <f>AVERAGEIFS(Consolidated!$I:$I,Consolidated!$D:$D,T$62)</f>
        <v>2132.0666666666666</v>
      </c>
      <c r="U66" s="8">
        <f>AVERAGEIFS(Consolidated!$I:$I,Consolidated!$D:$D,U$62)</f>
        <v>2426.5333333333333</v>
      </c>
      <c r="V66" s="8">
        <f>AVERAGEIFS(Consolidated!$I:$I,Consolidated!$D:$D,V$62)</f>
        <v>2013.4666666666667</v>
      </c>
      <c r="W66" s="8">
        <f>AVERAGEIFS(Consolidated!$I:$I,Consolidated!$D:$D,W$62)</f>
        <v>2110.5333333333333</v>
      </c>
      <c r="X66" s="8">
        <f>AVERAGEIFS(Consolidated!$I:$I,Consolidated!$D:$D,X$62)</f>
        <v>2149.4</v>
      </c>
      <c r="Y66" s="8">
        <f>AVERAGEIFS(Consolidated!$I:$I,Consolidated!$D:$D,Y$62)</f>
        <v>2542.7333333333331</v>
      </c>
      <c r="Z66" s="8">
        <f>AVERAGEIFS(Consolidated!$I:$I,Consolidated!$D:$D,Z$62)</f>
        <v>3034.5333333333333</v>
      </c>
      <c r="AA66" s="8">
        <f>AVERAGEIFS(Consolidated!$I:$I,Consolidated!$D:$D,AA$62)</f>
        <v>2789</v>
      </c>
      <c r="AB66" s="8">
        <f>AVERAGEIFS(Consolidated!$I:$I,Consolidated!$D:$D,AB$62)</f>
        <v>3176.0666666666666</v>
      </c>
      <c r="AC66" s="8">
        <f>AVERAGEIFS(Consolidated!$I:$I,Consolidated!$D:$D,AC$62)</f>
        <v>3374.3333333333335</v>
      </c>
      <c r="AD66" s="8">
        <f>AVERAGEIFS(Consolidated!$I:$I,Consolidated!$D:$D,AD$62)</f>
        <v>4138.666666666667</v>
      </c>
      <c r="AE66" s="8">
        <f>AVERAGEIFS(Consolidated!$I:$I,Consolidated!$D:$D,AE$62)</f>
        <v>4906</v>
      </c>
      <c r="AF66" s="8">
        <f>AVERAGEIFS(Consolidated!$I:$I,Consolidated!$D:$D,AF$62)</f>
        <v>5812</v>
      </c>
      <c r="AG66" s="8">
        <f>AVERAGEIFS(Consolidated!$I:$I,Consolidated!$D:$D,AG$62)</f>
        <v>5326.333333333333</v>
      </c>
    </row>
    <row r="67" spans="1:35" x14ac:dyDescent="0.25">
      <c r="B67" t="s">
        <v>15</v>
      </c>
      <c r="C67" s="8">
        <f>AVERAGEIFS(Consolidated!$J:$J,Consolidated!$D:$D,C$62)</f>
        <v>4038.9333333333334</v>
      </c>
      <c r="D67" s="8">
        <f>AVERAGEIFS(Consolidated!$J:$J,Consolidated!$D:$D,D$62)</f>
        <v>3442.1333333333332</v>
      </c>
      <c r="E67" s="8">
        <f>AVERAGEIFS(Consolidated!$J:$J,Consolidated!$D:$D,E$62)</f>
        <v>2120.3333333333335</v>
      </c>
      <c r="F67" s="8">
        <f>AVERAGEIFS(Consolidated!$J:$J,Consolidated!$D:$D,F$62)</f>
        <v>1369.3333333333333</v>
      </c>
      <c r="G67" s="8">
        <f>AVERAGEIFS(Consolidated!$J:$J,Consolidated!$D:$D,G$62)</f>
        <v>1089.8666666666666</v>
      </c>
      <c r="H67" s="8">
        <f>AVERAGEIFS(Consolidated!$J:$J,Consolidated!$D:$D,H$62)</f>
        <v>1221.7333333333333</v>
      </c>
      <c r="I67" s="8">
        <f>AVERAGEIFS(Consolidated!$J:$J,Consolidated!$D:$D,I$62)</f>
        <v>1224.5999999999999</v>
      </c>
      <c r="J67" s="8">
        <f>AVERAGEIFS(Consolidated!$J:$J,Consolidated!$D:$D,J$62)</f>
        <v>1153.5333333333333</v>
      </c>
      <c r="K67" s="8">
        <f>AVERAGEIFS(Consolidated!$J:$J,Consolidated!$D:$D,K$62)</f>
        <v>1449.4666666666667</v>
      </c>
      <c r="L67" s="8">
        <f>AVERAGEIFS(Consolidated!$J:$J,Consolidated!$D:$D,L$62)</f>
        <v>1615.6666666666667</v>
      </c>
      <c r="M67" s="8">
        <f>AVERAGEIFS(Consolidated!$J:$J,Consolidated!$D:$D,M$62)</f>
        <v>1586.0666666666666</v>
      </c>
      <c r="N67" s="8">
        <f>AVERAGEIFS(Consolidated!$J:$J,Consolidated!$D:$D,N$62)</f>
        <v>1752.4</v>
      </c>
      <c r="O67" s="8">
        <f>AVERAGEIFS(Consolidated!$J:$J,Consolidated!$D:$D,O$62)</f>
        <v>1931.0666666666666</v>
      </c>
      <c r="P67" s="8">
        <f>AVERAGEIFS(Consolidated!$J:$J,Consolidated!$D:$D,P$62)</f>
        <v>1794.7333333333333</v>
      </c>
      <c r="Q67" s="8">
        <f>AVERAGEIFS(Consolidated!$J:$J,Consolidated!$D:$D,Q$62)</f>
        <v>1474.9333333333334</v>
      </c>
      <c r="R67" s="8">
        <f>AVERAGEIFS(Consolidated!$J:$J,Consolidated!$D:$D,R$62)</f>
        <v>1804</v>
      </c>
      <c r="S67" s="8">
        <f>AVERAGEIFS(Consolidated!$J:$J,Consolidated!$D:$D,S$62)</f>
        <v>2162.4666666666667</v>
      </c>
      <c r="T67" s="8">
        <f>AVERAGEIFS(Consolidated!$J:$J,Consolidated!$D:$D,T$62)</f>
        <v>2129.2666666666669</v>
      </c>
      <c r="U67" s="8">
        <f>AVERAGEIFS(Consolidated!$J:$J,Consolidated!$D:$D,U$62)</f>
        <v>2424.8000000000002</v>
      </c>
      <c r="V67" s="8">
        <f>AVERAGEIFS(Consolidated!$J:$J,Consolidated!$D:$D,V$62)</f>
        <v>2010.1333333333334</v>
      </c>
      <c r="W67" s="8">
        <f>AVERAGEIFS(Consolidated!$J:$J,Consolidated!$D:$D,W$62)</f>
        <v>2108.1999999999998</v>
      </c>
      <c r="X67" s="8">
        <f>AVERAGEIFS(Consolidated!$J:$J,Consolidated!$D:$D,X$62)</f>
        <v>2147.2666666666669</v>
      </c>
      <c r="Y67" s="8">
        <f>AVERAGEIFS(Consolidated!$J:$J,Consolidated!$D:$D,Y$62)</f>
        <v>2541.1333333333332</v>
      </c>
      <c r="Z67" s="8">
        <f>AVERAGEIFS(Consolidated!$J:$J,Consolidated!$D:$D,Z$62)</f>
        <v>3032.2</v>
      </c>
      <c r="AA67" s="8">
        <f>AVERAGEIFS(Consolidated!$J:$J,Consolidated!$D:$D,AA$62)</f>
        <v>2788.0666666666666</v>
      </c>
      <c r="AB67" s="8">
        <f>AVERAGEIFS(Consolidated!$J:$J,Consolidated!$D:$D,AB$62)</f>
        <v>3172.7333333333331</v>
      </c>
      <c r="AC67" s="8">
        <f>AVERAGEIFS(Consolidated!$J:$J,Consolidated!$D:$D,AC$62)</f>
        <v>3371</v>
      </c>
      <c r="AD67" s="8">
        <f>AVERAGEIFS(Consolidated!$J:$J,Consolidated!$D:$D,AD$62)</f>
        <v>4135.666666666667</v>
      </c>
      <c r="AE67" s="8">
        <f>AVERAGEIFS(Consolidated!$J:$J,Consolidated!$D:$D,AE$62)</f>
        <v>4900.3076923076924</v>
      </c>
      <c r="AF67" s="8">
        <f>AVERAGEIFS(Consolidated!$J:$J,Consolidated!$D:$D,AF$62)</f>
        <v>5808.8461538461543</v>
      </c>
      <c r="AG67" s="8">
        <f>AVERAGEIFS(Consolidated!$J:$J,Consolidated!$D:$D,AG$62)</f>
        <v>5322.5555555555557</v>
      </c>
    </row>
    <row r="68" spans="1:35" x14ac:dyDescent="0.25">
      <c r="B68" t="s">
        <v>16</v>
      </c>
      <c r="C68" s="8">
        <f>AVERAGEIFS(Consolidated!$K:$K,Consolidated!$D:$D,C$62)</f>
        <v>1052.3333333333333</v>
      </c>
      <c r="D68" s="8">
        <f>AVERAGEIFS(Consolidated!$K:$K,Consolidated!$D:$D,D$62)</f>
        <v>1237</v>
      </c>
      <c r="E68" s="8">
        <f>AVERAGEIFS(Consolidated!$K:$K,Consolidated!$D:$D,E$62)</f>
        <v>1130.0666666666666</v>
      </c>
      <c r="F68" s="8">
        <f>AVERAGEIFS(Consolidated!$K:$K,Consolidated!$D:$D,F$62)</f>
        <v>1156.8666666666666</v>
      </c>
      <c r="G68" s="8">
        <f>AVERAGEIFS(Consolidated!$K:$K,Consolidated!$D:$D,G$62)</f>
        <v>1131</v>
      </c>
      <c r="H68" s="8">
        <f>AVERAGEIFS(Consolidated!$K:$K,Consolidated!$D:$D,H$62)</f>
        <v>1175.2</v>
      </c>
      <c r="I68" s="8">
        <f>AVERAGEIFS(Consolidated!$K:$K,Consolidated!$D:$D,I$62)</f>
        <v>1025.2666666666667</v>
      </c>
      <c r="J68" s="8">
        <f>AVERAGEIFS(Consolidated!$K:$K,Consolidated!$D:$D,J$62)</f>
        <v>1308.6666666666667</v>
      </c>
      <c r="K68" s="8">
        <f>AVERAGEIFS(Consolidated!$K:$K,Consolidated!$D:$D,K$62)</f>
        <v>1593.5333333333333</v>
      </c>
      <c r="L68" s="8">
        <f>AVERAGEIFS(Consolidated!$K:$K,Consolidated!$D:$D,L$62)</f>
        <v>1696.6</v>
      </c>
      <c r="M68" s="8">
        <f>AVERAGEIFS(Consolidated!$K:$K,Consolidated!$D:$D,M$62)</f>
        <v>1581.2666666666667</v>
      </c>
      <c r="N68" s="8">
        <f>AVERAGEIFS(Consolidated!$K:$K,Consolidated!$D:$D,N$62)</f>
        <v>1661.1333333333334</v>
      </c>
      <c r="O68" s="8">
        <f>AVERAGEIFS(Consolidated!$K:$K,Consolidated!$D:$D,O$62)</f>
        <v>1799.3333333333333</v>
      </c>
      <c r="P68" s="8">
        <f>AVERAGEIFS(Consolidated!$K:$K,Consolidated!$D:$D,P$62)</f>
        <v>1689.9333333333334</v>
      </c>
      <c r="Q68" s="8">
        <f>AVERAGEIFS(Consolidated!$K:$K,Consolidated!$D:$D,Q$62)</f>
        <v>1462.8666666666666</v>
      </c>
      <c r="R68" s="8">
        <f>AVERAGEIFS(Consolidated!$K:$K,Consolidated!$D:$D,R$62)</f>
        <v>1841.0666666666666</v>
      </c>
      <c r="S68" s="8">
        <f>AVERAGEIFS(Consolidated!$K:$K,Consolidated!$D:$D,S$62)</f>
        <v>2159.8000000000002</v>
      </c>
      <c r="T68" s="8">
        <f>AVERAGEIFS(Consolidated!$K:$K,Consolidated!$D:$D,T$62)</f>
        <v>2052.4</v>
      </c>
      <c r="U68" s="8">
        <f>AVERAGEIFS(Consolidated!$K:$K,Consolidated!$D:$D,U$62)</f>
        <v>2330.3333333333335</v>
      </c>
      <c r="V68" s="8">
        <f>AVERAGEIFS(Consolidated!$K:$K,Consolidated!$D:$D,V$62)</f>
        <v>1990.3333333333333</v>
      </c>
      <c r="W68" s="8">
        <f>AVERAGEIFS(Consolidated!$K:$K,Consolidated!$D:$D,W$62)</f>
        <v>2167.1333333333332</v>
      </c>
      <c r="X68" s="8">
        <f>AVERAGEIFS(Consolidated!$K:$K,Consolidated!$D:$D,X$62)</f>
        <v>2179.4</v>
      </c>
      <c r="Y68" s="8">
        <f>AVERAGEIFS(Consolidated!$K:$K,Consolidated!$D:$D,Y$62)</f>
        <v>2481.6666666666665</v>
      </c>
      <c r="Z68" s="8">
        <f>AVERAGEIFS(Consolidated!$K:$K,Consolidated!$D:$D,Z$62)</f>
        <v>3108.8666666666668</v>
      </c>
      <c r="AA68" s="8">
        <f>AVERAGEIFS(Consolidated!$K:$K,Consolidated!$D:$D,AA$62)</f>
        <v>2822.7333333333331</v>
      </c>
      <c r="AB68" s="8">
        <f>AVERAGEIFS(Consolidated!$K:$K,Consolidated!$D:$D,AB$62)</f>
        <v>3516.6</v>
      </c>
      <c r="AC68" s="8">
        <f>AVERAGEIFS(Consolidated!$K:$K,Consolidated!$D:$D,AC$62)</f>
        <v>4431.9333333333334</v>
      </c>
      <c r="AD68" s="8">
        <f>AVERAGEIFS(Consolidated!$K:$K,Consolidated!$D:$D,AD$62)</f>
        <v>4890.4666666666662</v>
      </c>
      <c r="AE68" s="8">
        <f>AVERAGEIFS(Consolidated!$K:$K,Consolidated!$D:$D,AE$62)</f>
        <v>4959.7692307692305</v>
      </c>
      <c r="AF68" s="8">
        <f>AVERAGEIFS(Consolidated!$K:$K,Consolidated!$D:$D,AF$62)</f>
        <v>7419.4615384615381</v>
      </c>
      <c r="AG68" s="8">
        <f>AVERAGEIFS(Consolidated!$K:$K,Consolidated!$D:$D,AG$62)</f>
        <v>8403.5555555555547</v>
      </c>
    </row>
    <row r="69" spans="1:35" x14ac:dyDescent="0.25">
      <c r="B69" t="s">
        <v>17</v>
      </c>
      <c r="C69" s="8">
        <f>AVERAGEIFS(Consolidated!$L:$L,Consolidated!$D:$D,C$62)</f>
        <v>345.86666666666667</v>
      </c>
      <c r="D69" s="8">
        <f>AVERAGEIFS(Consolidated!$L:$L,Consolidated!$D:$D,D$62)</f>
        <v>383.6</v>
      </c>
      <c r="E69" s="8">
        <f>AVERAGEIFS(Consolidated!$L:$L,Consolidated!$D:$D,E$62)</f>
        <v>660.73333333333335</v>
      </c>
      <c r="F69" s="8">
        <f>AVERAGEIFS(Consolidated!$L:$L,Consolidated!$D:$D,F$62)</f>
        <v>646.5333333333333</v>
      </c>
      <c r="G69" s="8">
        <f>AVERAGEIFS(Consolidated!$L:$L,Consolidated!$D:$D,G$62)</f>
        <v>592.93333333333328</v>
      </c>
      <c r="H69" s="8">
        <f>AVERAGEIFS(Consolidated!$L:$L,Consolidated!$D:$D,H$62)</f>
        <v>611.06666666666672</v>
      </c>
      <c r="I69" s="8">
        <f>AVERAGEIFS(Consolidated!$L:$L,Consolidated!$D:$D,I$62)</f>
        <v>594.93333333333328</v>
      </c>
      <c r="J69" s="8">
        <f>AVERAGEIFS(Consolidated!$L:$L,Consolidated!$D:$D,J$62)</f>
        <v>1047.8666666666666</v>
      </c>
      <c r="K69" s="8">
        <f>AVERAGEIFS(Consolidated!$L:$L,Consolidated!$D:$D,K$62)</f>
        <v>1197</v>
      </c>
      <c r="L69" s="8">
        <f>AVERAGEIFS(Consolidated!$L:$L,Consolidated!$D:$D,L$62)</f>
        <v>1319.8666666666666</v>
      </c>
      <c r="M69" s="8">
        <f>AVERAGEIFS(Consolidated!$L:$L,Consolidated!$D:$D,M$62)</f>
        <v>1201.9333333333334</v>
      </c>
      <c r="N69" s="8">
        <f>AVERAGEIFS(Consolidated!$L:$L,Consolidated!$D:$D,N$62)</f>
        <v>1305.5333333333333</v>
      </c>
      <c r="O69" s="8">
        <f>AVERAGEIFS(Consolidated!$L:$L,Consolidated!$D:$D,O$62)</f>
        <v>1460.5333333333333</v>
      </c>
      <c r="P69" s="8">
        <f>AVERAGEIFS(Consolidated!$L:$L,Consolidated!$D:$D,P$62)</f>
        <v>1450.8</v>
      </c>
      <c r="Q69" s="8">
        <f>AVERAGEIFS(Consolidated!$L:$L,Consolidated!$D:$D,Q$62)</f>
        <v>1328.8</v>
      </c>
      <c r="R69" s="8">
        <f>AVERAGEIFS(Consolidated!$L:$L,Consolidated!$D:$D,R$62)</f>
        <v>1570.8</v>
      </c>
      <c r="S69" s="8">
        <f>AVERAGEIFS(Consolidated!$L:$L,Consolidated!$D:$D,S$62)</f>
        <v>1857.1333333333334</v>
      </c>
      <c r="T69" s="8">
        <f>AVERAGEIFS(Consolidated!$L:$L,Consolidated!$D:$D,T$62)</f>
        <v>1740.6666666666667</v>
      </c>
      <c r="U69" s="8">
        <f>AVERAGEIFS(Consolidated!$L:$L,Consolidated!$D:$D,U$62)</f>
        <v>2138.1333333333332</v>
      </c>
      <c r="V69" s="8">
        <f>AVERAGEIFS(Consolidated!$L:$L,Consolidated!$D:$D,V$62)</f>
        <v>1845.7333333333333</v>
      </c>
      <c r="W69" s="8">
        <f>AVERAGEIFS(Consolidated!$L:$L,Consolidated!$D:$D,W$62)</f>
        <v>2066.2666666666669</v>
      </c>
      <c r="X69" s="8">
        <f>AVERAGEIFS(Consolidated!$L:$L,Consolidated!$D:$D,X$62)</f>
        <v>2051.0666666666666</v>
      </c>
      <c r="Y69" s="8">
        <f>AVERAGEIFS(Consolidated!$L:$L,Consolidated!$D:$D,Y$62)</f>
        <v>2354.3333333333335</v>
      </c>
      <c r="Z69" s="8">
        <f>AVERAGEIFS(Consolidated!$L:$L,Consolidated!$D:$D,Z$62)</f>
        <v>3199.8</v>
      </c>
      <c r="AA69" s="8">
        <f>AVERAGEIFS(Consolidated!$L:$L,Consolidated!$D:$D,AA$62)</f>
        <v>2967.4</v>
      </c>
      <c r="AB69" s="8">
        <f>AVERAGEIFS(Consolidated!$L:$L,Consolidated!$D:$D,AB$62)</f>
        <v>4165.8666666666668</v>
      </c>
      <c r="AC69" s="8">
        <f>AVERAGEIFS(Consolidated!$L:$L,Consolidated!$D:$D,AC$62)</f>
        <v>5842.666666666667</v>
      </c>
      <c r="AD69" s="8">
        <f>AVERAGEIFS(Consolidated!$L:$L,Consolidated!$D:$D,AD$62)</f>
        <v>5893.8</v>
      </c>
      <c r="AE69" s="8">
        <f>AVERAGEIFS(Consolidated!$L:$L,Consolidated!$D:$D,AE$62)</f>
        <v>4955.3846153846152</v>
      </c>
      <c r="AF69" s="8">
        <f>AVERAGEIFS(Consolidated!$L:$L,Consolidated!$D:$D,AF$62)</f>
        <v>9049.3846153846152</v>
      </c>
      <c r="AG69" s="8">
        <f>AVERAGEIFS(Consolidated!$L:$L,Consolidated!$D:$D,AG$62)</f>
        <v>10819.666666666666</v>
      </c>
    </row>
    <row r="70" spans="1:35" x14ac:dyDescent="0.25">
      <c r="B70" t="s">
        <v>18</v>
      </c>
      <c r="C70" s="8">
        <f>AVERAGEIFS(Consolidated!$M:$M,Consolidated!$D:$D,C$62)</f>
        <v>1080.8</v>
      </c>
      <c r="D70" s="8">
        <f>AVERAGEIFS(Consolidated!$M:$M,Consolidated!$D:$D,D$62)</f>
        <v>1105.5999999999999</v>
      </c>
      <c r="E70" s="8">
        <f>AVERAGEIFS(Consolidated!$M:$M,Consolidated!$D:$D,E$62)</f>
        <v>1070.1333333333334</v>
      </c>
      <c r="F70" s="8">
        <f>AVERAGEIFS(Consolidated!$M:$M,Consolidated!$D:$D,F$62)</f>
        <v>1188.4000000000001</v>
      </c>
      <c r="G70" s="8">
        <f>AVERAGEIFS(Consolidated!$M:$M,Consolidated!$D:$D,G$62)</f>
        <v>1131.2</v>
      </c>
      <c r="H70" s="8">
        <f>AVERAGEIFS(Consolidated!$M:$M,Consolidated!$D:$D,H$62)</f>
        <v>1148.4666666666667</v>
      </c>
      <c r="I70" s="8">
        <f>AVERAGEIFS(Consolidated!$M:$M,Consolidated!$D:$D,I$62)</f>
        <v>1005.2</v>
      </c>
      <c r="J70" s="8">
        <f>AVERAGEIFS(Consolidated!$M:$M,Consolidated!$D:$D,J$62)</f>
        <v>1314.9333333333334</v>
      </c>
      <c r="K70" s="8">
        <f>AVERAGEIFS(Consolidated!$M:$M,Consolidated!$D:$D,K$62)</f>
        <v>1616.1333333333334</v>
      </c>
      <c r="L70" s="8">
        <f>AVERAGEIFS(Consolidated!$M:$M,Consolidated!$D:$D,L$62)</f>
        <v>1689.8</v>
      </c>
      <c r="M70" s="8">
        <f>AVERAGEIFS(Consolidated!$M:$M,Consolidated!$D:$D,M$62)</f>
        <v>1547.8666666666666</v>
      </c>
      <c r="N70" s="8">
        <f>AVERAGEIFS(Consolidated!$M:$M,Consolidated!$D:$D,N$62)</f>
        <v>1650.6</v>
      </c>
      <c r="O70" s="8">
        <f>AVERAGEIFS(Consolidated!$M:$M,Consolidated!$D:$D,O$62)</f>
        <v>1810.6666666666667</v>
      </c>
      <c r="P70" s="8">
        <f>AVERAGEIFS(Consolidated!$M:$M,Consolidated!$D:$D,P$62)</f>
        <v>1698.0666666666666</v>
      </c>
      <c r="Q70" s="8">
        <f>AVERAGEIFS(Consolidated!$M:$M,Consolidated!$D:$D,Q$62)</f>
        <v>1466.4</v>
      </c>
      <c r="R70" s="8">
        <f>AVERAGEIFS(Consolidated!$M:$M,Consolidated!$D:$D,R$62)</f>
        <v>1845.0666666666666</v>
      </c>
      <c r="S70" s="8">
        <f>AVERAGEIFS(Consolidated!$M:$M,Consolidated!$D:$D,S$62)</f>
        <v>2164.5333333333333</v>
      </c>
      <c r="T70" s="8">
        <f>AVERAGEIFS(Consolidated!$M:$M,Consolidated!$D:$D,T$62)</f>
        <v>2033.0666666666666</v>
      </c>
      <c r="U70" s="8">
        <f>AVERAGEIFS(Consolidated!$M:$M,Consolidated!$D:$D,U$62)</f>
        <v>2307.3333333333335</v>
      </c>
      <c r="V70" s="8">
        <f>AVERAGEIFS(Consolidated!$M:$M,Consolidated!$D:$D,V$62)</f>
        <v>2020.0666666666666</v>
      </c>
      <c r="W70" s="8">
        <f>AVERAGEIFS(Consolidated!$M:$M,Consolidated!$D:$D,W$62)</f>
        <v>2210.7333333333331</v>
      </c>
      <c r="X70" s="8">
        <f>AVERAGEIFS(Consolidated!$M:$M,Consolidated!$D:$D,X$62)</f>
        <v>2157.0666666666666</v>
      </c>
      <c r="Y70" s="8">
        <f>AVERAGEIFS(Consolidated!$M:$M,Consolidated!$D:$D,Y$62)</f>
        <v>2425.5333333333333</v>
      </c>
      <c r="Z70" s="8">
        <f>AVERAGEIFS(Consolidated!$M:$M,Consolidated!$D:$D,Z$62)</f>
        <v>3126.4666666666667</v>
      </c>
      <c r="AA70" s="8">
        <f>AVERAGEIFS(Consolidated!$M:$M,Consolidated!$D:$D,AA$62)</f>
        <v>2897.1333333333332</v>
      </c>
      <c r="AB70" s="8">
        <f>AVERAGEIFS(Consolidated!$M:$M,Consolidated!$D:$D,AB$62)</f>
        <v>3588.0666666666666</v>
      </c>
      <c r="AC70" s="8">
        <f>AVERAGEIFS(Consolidated!$M:$M,Consolidated!$D:$D,AC$62)</f>
        <v>4443.3999999999996</v>
      </c>
      <c r="AD70" s="8">
        <f>AVERAGEIFS(Consolidated!$M:$M,Consolidated!$D:$D,AD$62)</f>
        <v>4848.666666666667</v>
      </c>
      <c r="AE70" s="8">
        <f>AVERAGEIFS(Consolidated!$M:$M,Consolidated!$D:$D,AE$62)</f>
        <v>4916.2307692307695</v>
      </c>
      <c r="AF70" s="8">
        <f>AVERAGEIFS(Consolidated!$M:$M,Consolidated!$D:$D,AF$62)</f>
        <v>7555.0769230769229</v>
      </c>
      <c r="AG70" s="8">
        <f>AVERAGEIFS(Consolidated!$M:$M,Consolidated!$D:$D,AG$62)</f>
        <v>8591.6666666666661</v>
      </c>
    </row>
    <row r="71" spans="1:35" x14ac:dyDescent="0.25">
      <c r="B71" t="s">
        <v>23</v>
      </c>
      <c r="C71" s="8">
        <f>AVERAGEIFS(Consolidated!$N:$N,Consolidated!$D:$D,C$62)</f>
        <v>345.86666666666667</v>
      </c>
      <c r="D71" s="8">
        <f>AVERAGEIFS(Consolidated!$N:$N,Consolidated!$D:$D,D$62)</f>
        <v>383.6</v>
      </c>
      <c r="E71" s="8">
        <f>AVERAGEIFS(Consolidated!$N:$N,Consolidated!$D:$D,E$62)</f>
        <v>660.73333333333335</v>
      </c>
      <c r="F71" s="8">
        <f>AVERAGEIFS(Consolidated!$N:$N,Consolidated!$D:$D,F$62)</f>
        <v>646.5333333333333</v>
      </c>
      <c r="G71" s="8">
        <f>AVERAGEIFS(Consolidated!$N:$N,Consolidated!$D:$D,G$62)</f>
        <v>700.5333333333333</v>
      </c>
      <c r="H71" s="8">
        <f>AVERAGEIFS(Consolidated!$N:$N,Consolidated!$D:$D,H$62)</f>
        <v>880.06666666666672</v>
      </c>
      <c r="I71" s="8">
        <f>AVERAGEIFS(Consolidated!$N:$N,Consolidated!$D:$D,I$62)</f>
        <v>800.4</v>
      </c>
      <c r="J71" s="8">
        <f>AVERAGEIFS(Consolidated!$N:$N,Consolidated!$D:$D,J$62)</f>
        <v>1181.5333333333333</v>
      </c>
      <c r="K71" s="8">
        <f>AVERAGEIFS(Consolidated!$N:$N,Consolidated!$D:$D,K$62)</f>
        <v>1406.8</v>
      </c>
      <c r="L71" s="8">
        <f>AVERAGEIFS(Consolidated!$N:$N,Consolidated!$D:$D,L$62)</f>
        <v>1505.1333333333334</v>
      </c>
      <c r="M71" s="8">
        <f>AVERAGEIFS(Consolidated!$N:$N,Consolidated!$D:$D,M$62)</f>
        <v>1444.1333333333334</v>
      </c>
      <c r="N71" s="8">
        <f>AVERAGEIFS(Consolidated!$N:$N,Consolidated!$D:$D,N$62)</f>
        <v>1547.1333333333334</v>
      </c>
      <c r="O71" s="8">
        <f>AVERAGEIFS(Consolidated!$N:$N,Consolidated!$D:$D,O$62)</f>
        <v>1705.6</v>
      </c>
      <c r="P71" s="8">
        <f>AVERAGEIFS(Consolidated!$N:$N,Consolidated!$D:$D,P$62)</f>
        <v>1698.0666666666666</v>
      </c>
      <c r="Q71" s="8">
        <f>AVERAGEIFS(Consolidated!$N:$N,Consolidated!$D:$D,Q$62)</f>
        <v>1466.4</v>
      </c>
      <c r="R71" s="8">
        <f>AVERAGEIFS(Consolidated!$N:$N,Consolidated!$D:$D,R$62)</f>
        <v>1845.0666666666666</v>
      </c>
      <c r="S71" s="8">
        <f>AVERAGEIFS(Consolidated!$N:$N,Consolidated!$D:$D,S$62)</f>
        <v>2164.5333333333333</v>
      </c>
      <c r="T71" s="8">
        <f>AVERAGEIFS(Consolidated!$N:$N,Consolidated!$D:$D,T$62)</f>
        <v>2033.0666666666666</v>
      </c>
      <c r="U71" s="8">
        <f>AVERAGEIFS(Consolidated!$N:$N,Consolidated!$D:$D,U$62)</f>
        <v>2307.3333333333335</v>
      </c>
      <c r="V71" s="8">
        <f>AVERAGEIFS(Consolidated!$N:$N,Consolidated!$D:$D,V$62)</f>
        <v>2020.0666666666666</v>
      </c>
      <c r="W71" s="8">
        <f>AVERAGEIFS(Consolidated!$N:$N,Consolidated!$D:$D,W$62)</f>
        <v>2210.7333333333331</v>
      </c>
      <c r="X71" s="8">
        <f>AVERAGEIFS(Consolidated!$N:$N,Consolidated!$D:$D,X$62)</f>
        <v>2157.0666666666666</v>
      </c>
      <c r="Y71" s="8">
        <f>AVERAGEIFS(Consolidated!$N:$N,Consolidated!$D:$D,Y$62)</f>
        <v>2425.5333333333333</v>
      </c>
      <c r="Z71" s="8">
        <f>AVERAGEIFS(Consolidated!$N:$N,Consolidated!$D:$D,Z$62)</f>
        <v>3199.8</v>
      </c>
      <c r="AA71" s="8">
        <f>AVERAGEIFS(Consolidated!$N:$N,Consolidated!$D:$D,AA$62)</f>
        <v>2967.4</v>
      </c>
      <c r="AB71" s="8">
        <f>AVERAGEIFS(Consolidated!$N:$N,Consolidated!$D:$D,AB$62)</f>
        <v>4165.8666666666668</v>
      </c>
      <c r="AC71" s="8">
        <f>AVERAGEIFS(Consolidated!$N:$N,Consolidated!$D:$D,AC$62)</f>
        <v>5842.666666666667</v>
      </c>
      <c r="AD71" s="8">
        <f>AVERAGEIFS(Consolidated!$N:$N,Consolidated!$D:$D,AD$62)</f>
        <v>5893.8</v>
      </c>
      <c r="AE71" s="8">
        <f>AVERAGEIFS(Consolidated!$N:$N,Consolidated!$D:$D,AE$62)</f>
        <v>4916.2307692307695</v>
      </c>
      <c r="AF71" s="8">
        <f>AVERAGEIFS(Consolidated!$N:$N,Consolidated!$D:$D,AF$62)</f>
        <v>7555.0769230769229</v>
      </c>
      <c r="AG71" s="8">
        <f>AVERAGEIFS(Consolidated!$N:$N,Consolidated!$D:$D,AG$62)</f>
        <v>8591.6666666666661</v>
      </c>
    </row>
    <row r="72" spans="1:35" x14ac:dyDescent="0.25">
      <c r="B72" t="s">
        <v>30</v>
      </c>
      <c r="C72" s="8">
        <f>AVERAGEIFS(Consolidated!$O:$O,Consolidated!$D:$D,C$62)</f>
        <v>1089.4666666666667</v>
      </c>
      <c r="D72" s="8">
        <f>AVERAGEIFS(Consolidated!$O:$O,Consolidated!$D:$D,D$62)</f>
        <v>1129.9333333333334</v>
      </c>
      <c r="E72" s="8">
        <f>AVERAGEIFS(Consolidated!$O:$O,Consolidated!$D:$D,E$62)</f>
        <v>1187.6666666666667</v>
      </c>
      <c r="F72" s="8">
        <f>AVERAGEIFS(Consolidated!$O:$O,Consolidated!$D:$D,F$62)</f>
        <v>1273.4000000000001</v>
      </c>
      <c r="G72" s="8">
        <f>AVERAGEIFS(Consolidated!$O:$O,Consolidated!$D:$D,G$62)</f>
        <v>1201.6666666666667</v>
      </c>
      <c r="H72" s="8">
        <f>AVERAGEIFS(Consolidated!$O:$O,Consolidated!$D:$D,H$62)</f>
        <v>1200.0666666666666</v>
      </c>
      <c r="I72" s="8">
        <f>AVERAGEIFS(Consolidated!$O:$O,Consolidated!$D:$D,I$62)</f>
        <v>1019.8666666666667</v>
      </c>
      <c r="J72" s="8">
        <f>AVERAGEIFS(Consolidated!$O:$O,Consolidated!$D:$D,J$62)</f>
        <v>1690.8</v>
      </c>
      <c r="K72" s="8">
        <f>AVERAGEIFS(Consolidated!$O:$O,Consolidated!$D:$D,K$62)</f>
        <v>1863.3333333333333</v>
      </c>
      <c r="L72" s="8">
        <f>AVERAGEIFS(Consolidated!$O:$O,Consolidated!$D:$D,L$62)</f>
        <v>1803.4</v>
      </c>
      <c r="M72" s="8">
        <f>AVERAGEIFS(Consolidated!$O:$O,Consolidated!$D:$D,M$62)</f>
        <v>1603.6666666666667</v>
      </c>
      <c r="N72" s="8">
        <f>AVERAGEIFS(Consolidated!$O:$O,Consolidated!$D:$D,N$62)</f>
        <v>1694.4666666666667</v>
      </c>
      <c r="O72" s="8">
        <f>AVERAGEIFS(Consolidated!$O:$O,Consolidated!$D:$D,O$62)</f>
        <v>1872.4666666666667</v>
      </c>
      <c r="P72" s="8">
        <f>AVERAGEIFS(Consolidated!$O:$O,Consolidated!$D:$D,P$62)</f>
        <v>1741.7333333333333</v>
      </c>
      <c r="Q72" s="8">
        <f>AVERAGEIFS(Consolidated!$O:$O,Consolidated!$D:$D,Q$62)</f>
        <v>1510.7333333333333</v>
      </c>
      <c r="R72" s="8">
        <f>AVERAGEIFS(Consolidated!$O:$O,Consolidated!$D:$D,R$62)</f>
        <v>1890.2</v>
      </c>
      <c r="S72" s="8">
        <f>AVERAGEIFS(Consolidated!$O:$O,Consolidated!$D:$D,S$62)</f>
        <v>2208.6666666666665</v>
      </c>
      <c r="T72" s="8">
        <f>AVERAGEIFS(Consolidated!$O:$O,Consolidated!$D:$D,T$62)</f>
        <v>2075.7333333333331</v>
      </c>
      <c r="U72" s="8">
        <f>AVERAGEIFS(Consolidated!$O:$O,Consolidated!$D:$D,U$62)</f>
        <v>2351.8000000000002</v>
      </c>
      <c r="V72" s="8">
        <f>AVERAGEIFS(Consolidated!$O:$O,Consolidated!$D:$D,V$62)</f>
        <v>2062.4666666666667</v>
      </c>
      <c r="W72" s="8">
        <f>AVERAGEIFS(Consolidated!$O:$O,Consolidated!$D:$D,W$62)</f>
        <v>2251.9333333333334</v>
      </c>
      <c r="X72" s="8">
        <f>AVERAGEIFS(Consolidated!$O:$O,Consolidated!$D:$D,X$62)</f>
        <v>2198.5333333333333</v>
      </c>
      <c r="Y72" s="8">
        <f>AVERAGEIFS(Consolidated!$O:$O,Consolidated!$D:$D,Y$62)</f>
        <v>2466.0666666666666</v>
      </c>
      <c r="Z72" s="8">
        <f>AVERAGEIFS(Consolidated!$O:$O,Consolidated!$D:$D,Z$62)</f>
        <v>3099.0666666666666</v>
      </c>
      <c r="AA72" s="8">
        <f>AVERAGEIFS(Consolidated!$O:$O,Consolidated!$D:$D,AA$62)</f>
        <v>2877.1333333333332</v>
      </c>
      <c r="AB72" s="8">
        <f>AVERAGEIFS(Consolidated!$O:$O,Consolidated!$D:$D,AB$62)</f>
        <v>3544.2</v>
      </c>
      <c r="AC72" s="8">
        <f>AVERAGEIFS(Consolidated!$O:$O,Consolidated!$D:$D,AC$62)</f>
        <v>4223.3999999999996</v>
      </c>
      <c r="AD72" s="8">
        <f>AVERAGEIFS(Consolidated!$O:$O,Consolidated!$D:$D,AD$62)</f>
        <v>4706.2666666666664</v>
      </c>
      <c r="AE72" s="8">
        <f>AVERAGEIFS(Consolidated!$O:$O,Consolidated!$D:$D,AE$62)</f>
        <v>4922.3846153846152</v>
      </c>
      <c r="AF72" s="8">
        <f>AVERAGEIFS(Consolidated!$O:$O,Consolidated!$D:$D,AF$62)</f>
        <v>7429.9230769230771</v>
      </c>
      <c r="AG72" s="8">
        <f>AVERAGEIFS(Consolidated!$O:$O,Consolidated!$D:$D,AG$62)</f>
        <v>8516.5555555555547</v>
      </c>
    </row>
    <row r="73" spans="1:35" x14ac:dyDescent="0.25">
      <c r="A73" s="4" t="s">
        <v>24</v>
      </c>
    </row>
    <row r="74" spans="1:35" outlineLevel="1" x14ac:dyDescent="0.25">
      <c r="B74" t="s">
        <v>12</v>
      </c>
      <c r="C74" s="11">
        <f t="shared" ref="C74:C82" si="13">(C64-C$63)^2</f>
        <v>4395452.0177777773</v>
      </c>
      <c r="D74" s="11">
        <f t="shared" ref="D74:Q74" si="14">(D64-D$63)^2</f>
        <v>5290306.6711111106</v>
      </c>
      <c r="E74" s="11">
        <f t="shared" si="14"/>
        <v>5839955.5599999996</v>
      </c>
      <c r="F74" s="11">
        <f t="shared" si="14"/>
        <v>4962201.76</v>
      </c>
      <c r="G74" s="11">
        <f t="shared" si="14"/>
        <v>4276072.5511111114</v>
      </c>
      <c r="H74" s="11">
        <f t="shared" si="14"/>
        <v>3863059.2177777779</v>
      </c>
      <c r="I74" s="11">
        <f t="shared" si="14"/>
        <v>3377753.8844444449</v>
      </c>
      <c r="J74" s="11">
        <f t="shared" si="14"/>
        <v>2468250.4711111118</v>
      </c>
      <c r="K74" s="11">
        <f t="shared" si="14"/>
        <v>2271651.8399999994</v>
      </c>
      <c r="L74" s="11">
        <f t="shared" si="14"/>
        <v>1826281.9600000002</v>
      </c>
      <c r="M74" s="11">
        <f t="shared" si="14"/>
        <v>1605795.8399999996</v>
      </c>
      <c r="N74" s="11">
        <f t="shared" si="14"/>
        <v>1147040.9999999995</v>
      </c>
      <c r="O74" s="11">
        <f t="shared" si="14"/>
        <v>915593.81777777756</v>
      </c>
      <c r="P74" s="11">
        <f t="shared" si="14"/>
        <v>540813.16000000015</v>
      </c>
      <c r="Q74" s="11">
        <f t="shared" si="14"/>
        <v>537973.35111111146</v>
      </c>
      <c r="R74" s="11">
        <f t="shared" ref="R74:AG74" si="15">(R64-R$63)^2</f>
        <v>427454.43999999994</v>
      </c>
      <c r="S74" s="11">
        <f t="shared" si="15"/>
        <v>52014.404444444415</v>
      </c>
      <c r="T74" s="11">
        <f t="shared" si="15"/>
        <v>183583.68444444408</v>
      </c>
      <c r="U74" s="11">
        <f t="shared" si="15"/>
        <v>71217.817777777847</v>
      </c>
      <c r="V74" s="11">
        <f t="shared" si="15"/>
        <v>329322.95111111098</v>
      </c>
      <c r="W74" s="11">
        <f t="shared" si="15"/>
        <v>9396.071111111034</v>
      </c>
      <c r="X74" s="11">
        <f t="shared" si="15"/>
        <v>3819.2399999999661</v>
      </c>
      <c r="Y74" s="11">
        <f t="shared" si="15"/>
        <v>28268.817777777738</v>
      </c>
      <c r="Z74" s="11">
        <f t="shared" si="15"/>
        <v>292681</v>
      </c>
      <c r="AA74" s="11">
        <f t="shared" si="15"/>
        <v>203822.15111111113</v>
      </c>
      <c r="AB74" s="11">
        <f t="shared" si="15"/>
        <v>2133157.6177777778</v>
      </c>
      <c r="AC74" s="11">
        <f t="shared" si="15"/>
        <v>3734685.0844444428</v>
      </c>
      <c r="AD74" s="11">
        <f t="shared" si="15"/>
        <v>11918145.137777779</v>
      </c>
      <c r="AE74" s="11">
        <f t="shared" si="15"/>
        <v>10935231.485207099</v>
      </c>
      <c r="AF74" s="11">
        <f t="shared" si="15"/>
        <v>29690762.698224854</v>
      </c>
      <c r="AG74" s="11">
        <f t="shared" si="15"/>
        <v>32152680.111111119</v>
      </c>
      <c r="AI74" s="8">
        <f>SQRT(AVERAGE(C74:AG74))</f>
        <v>2090.5659506500911</v>
      </c>
    </row>
    <row r="75" spans="1:35" outlineLevel="1" x14ac:dyDescent="0.25">
      <c r="B75" t="s">
        <v>13</v>
      </c>
      <c r="C75" s="11">
        <f t="shared" si="13"/>
        <v>17790961.604444437</v>
      </c>
      <c r="D75" s="11">
        <f t="shared" ref="D75:Q75" si="16">(D65-D$63)^2</f>
        <v>9088617.0711111091</v>
      </c>
      <c r="E75" s="11">
        <f t="shared" si="16"/>
        <v>2301086.7377777779</v>
      </c>
      <c r="F75" s="11">
        <f t="shared" si="16"/>
        <v>411051.95111111109</v>
      </c>
      <c r="G75" s="11">
        <f t="shared" si="16"/>
        <v>87458.204444444447</v>
      </c>
      <c r="H75" s="11">
        <f t="shared" si="16"/>
        <v>123810.15111111112</v>
      </c>
      <c r="I75" s="11">
        <f t="shared" si="16"/>
        <v>171506.41777777777</v>
      </c>
      <c r="J75" s="11">
        <f t="shared" si="16"/>
        <v>107671.48444444452</v>
      </c>
      <c r="K75" s="11">
        <f t="shared" si="16"/>
        <v>42628.484444444453</v>
      </c>
      <c r="L75" s="11">
        <f t="shared" si="16"/>
        <v>2272.1111111111181</v>
      </c>
      <c r="M75" s="11">
        <f t="shared" si="16"/>
        <v>20145.071111111127</v>
      </c>
      <c r="N75" s="11">
        <f t="shared" si="16"/>
        <v>11250.137777777765</v>
      </c>
      <c r="O75" s="11">
        <f t="shared" si="16"/>
        <v>17178.471111111096</v>
      </c>
      <c r="P75" s="11">
        <f t="shared" si="16"/>
        <v>5595.0399999999936</v>
      </c>
      <c r="Q75" s="11">
        <f t="shared" si="16"/>
        <v>54.75999999999798</v>
      </c>
      <c r="R75" s="11">
        <f t="shared" ref="R75:AG75" si="17">(R65-R$63)^2</f>
        <v>116.63999999999902</v>
      </c>
      <c r="S75" s="11">
        <f t="shared" si="17"/>
        <v>46282.351111111057</v>
      </c>
      <c r="T75" s="11">
        <f t="shared" si="17"/>
        <v>25175.111111111062</v>
      </c>
      <c r="U75" s="11">
        <f t="shared" si="17"/>
        <v>2159.151111111114</v>
      </c>
      <c r="V75" s="11">
        <f t="shared" si="17"/>
        <v>112672.11111111117</v>
      </c>
      <c r="W75" s="11">
        <f t="shared" si="17"/>
        <v>6293.7777777778019</v>
      </c>
      <c r="X75" s="11">
        <f t="shared" si="17"/>
        <v>115.20444444443989</v>
      </c>
      <c r="Y75" s="11">
        <f t="shared" si="17"/>
        <v>22300.444444444489</v>
      </c>
      <c r="Z75" s="11">
        <f t="shared" si="17"/>
        <v>4303.3599999999878</v>
      </c>
      <c r="AA75" s="11">
        <f t="shared" si="17"/>
        <v>1632.1599999999705</v>
      </c>
      <c r="AB75" s="11">
        <f t="shared" si="17"/>
        <v>794475.11111111054</v>
      </c>
      <c r="AC75" s="11">
        <f t="shared" si="17"/>
        <v>913043.95111111016</v>
      </c>
      <c r="AD75" s="11">
        <f t="shared" si="17"/>
        <v>2680423.8399999994</v>
      </c>
      <c r="AE75" s="11">
        <f t="shared" si="17"/>
        <v>432154.53254437854</v>
      </c>
      <c r="AF75" s="11">
        <f t="shared" si="17"/>
        <v>4510069.0177514786</v>
      </c>
      <c r="AG75" s="11">
        <f t="shared" si="17"/>
        <v>6290064</v>
      </c>
      <c r="AI75" s="8">
        <f t="shared" ref="AI75:AI81" si="18">SQRT(AVERAGE(C75:AG75))</f>
        <v>1218.4412101640485</v>
      </c>
    </row>
    <row r="76" spans="1:35" outlineLevel="1" x14ac:dyDescent="0.25">
      <c r="B76" t="s">
        <v>14</v>
      </c>
      <c r="C76" s="11">
        <f t="shared" si="13"/>
        <v>13365848.537777778</v>
      </c>
      <c r="D76" s="11">
        <f t="shared" ref="D76:Q76" si="19">(D66-D$63)^2</f>
        <v>8942093.4444444422</v>
      </c>
      <c r="E76" s="11">
        <f t="shared" si="19"/>
        <v>2436304.7511111116</v>
      </c>
      <c r="F76" s="11">
        <f t="shared" si="19"/>
        <v>510557.88444444456</v>
      </c>
      <c r="G76" s="11">
        <f t="shared" si="19"/>
        <v>112627.35999999994</v>
      </c>
      <c r="H76" s="11">
        <f t="shared" si="19"/>
        <v>128116.27111111107</v>
      </c>
      <c r="I76" s="11">
        <f t="shared" si="19"/>
        <v>163431.53777777785</v>
      </c>
      <c r="J76" s="11">
        <f t="shared" si="19"/>
        <v>77580.81777777776</v>
      </c>
      <c r="K76" s="11">
        <f t="shared" si="19"/>
        <v>70472.551111111126</v>
      </c>
      <c r="L76" s="11">
        <f t="shared" si="19"/>
        <v>6389.3377777777878</v>
      </c>
      <c r="M76" s="11">
        <f t="shared" si="19"/>
        <v>6485.617777777773</v>
      </c>
      <c r="N76" s="11">
        <f t="shared" si="19"/>
        <v>16641</v>
      </c>
      <c r="O76" s="11">
        <f t="shared" si="19"/>
        <v>41452.959999999963</v>
      </c>
      <c r="P76" s="11">
        <f t="shared" si="19"/>
        <v>936.36000000000831</v>
      </c>
      <c r="Q76" s="11">
        <f t="shared" si="19"/>
        <v>4751.8044444444213</v>
      </c>
      <c r="R76" s="11">
        <f t="shared" ref="R76:AG76" si="20">(R66-R$63)^2</f>
        <v>3608.0044444444643</v>
      </c>
      <c r="S76" s="11">
        <f t="shared" si="20"/>
        <v>101124</v>
      </c>
      <c r="T76" s="11">
        <f t="shared" si="20"/>
        <v>1310.4400000000198</v>
      </c>
      <c r="U76" s="11">
        <f t="shared" si="20"/>
        <v>29058.884444444455</v>
      </c>
      <c r="V76" s="11">
        <f t="shared" si="20"/>
        <v>4251.0400000000063</v>
      </c>
      <c r="W76" s="11">
        <f t="shared" si="20"/>
        <v>20088.337777777848</v>
      </c>
      <c r="X76" s="11">
        <f t="shared" si="20"/>
        <v>2635.1111111110799</v>
      </c>
      <c r="Y76" s="11">
        <f t="shared" si="20"/>
        <v>449.44000000001159</v>
      </c>
      <c r="Z76" s="11">
        <f t="shared" si="20"/>
        <v>13087.360000000021</v>
      </c>
      <c r="AA76" s="11">
        <f t="shared" si="20"/>
        <v>31069.937777777854</v>
      </c>
      <c r="AB76" s="11">
        <f t="shared" si="20"/>
        <v>555919.35999999987</v>
      </c>
      <c r="AC76" s="11">
        <f t="shared" si="20"/>
        <v>1096488.2177777765</v>
      </c>
      <c r="AD76" s="11">
        <f t="shared" si="20"/>
        <v>2703393.6399999992</v>
      </c>
      <c r="AE76" s="11">
        <f t="shared" si="20"/>
        <v>536725.30177514814</v>
      </c>
      <c r="AF76" s="11">
        <f t="shared" si="20"/>
        <v>4619523.5562130185</v>
      </c>
      <c r="AG76" s="11">
        <f t="shared" si="20"/>
        <v>7410493.8271604963</v>
      </c>
      <c r="AI76" s="8">
        <f t="shared" si="18"/>
        <v>1177.9276046273587</v>
      </c>
    </row>
    <row r="77" spans="1:35" outlineLevel="1" x14ac:dyDescent="0.25">
      <c r="B77" t="s">
        <v>15</v>
      </c>
      <c r="C77" s="11">
        <f t="shared" si="13"/>
        <v>13347331.560000001</v>
      </c>
      <c r="D77" s="11">
        <f t="shared" ref="D77:Q77" si="21">(D67-D$63)^2</f>
        <v>8926948.839999998</v>
      </c>
      <c r="E77" s="11">
        <f t="shared" si="21"/>
        <v>2439635.7377777779</v>
      </c>
      <c r="F77" s="11">
        <f t="shared" si="21"/>
        <v>511129.67111111106</v>
      </c>
      <c r="G77" s="11">
        <f t="shared" si="21"/>
        <v>111823.35999999991</v>
      </c>
      <c r="H77" s="11">
        <f t="shared" si="21"/>
        <v>126830.95111111111</v>
      </c>
      <c r="I77" s="11">
        <f t="shared" si="21"/>
        <v>161550.4044444444</v>
      </c>
      <c r="J77" s="11">
        <f t="shared" si="21"/>
        <v>77432.337777777764</v>
      </c>
      <c r="K77" s="11">
        <f t="shared" si="21"/>
        <v>69660.804444444482</v>
      </c>
      <c r="L77" s="11">
        <f t="shared" si="21"/>
        <v>6104.8177777777946</v>
      </c>
      <c r="M77" s="11">
        <f t="shared" si="21"/>
        <v>6336.1599999999853</v>
      </c>
      <c r="N77" s="11">
        <f t="shared" si="21"/>
        <v>16452.337777777775</v>
      </c>
      <c r="O77" s="11">
        <f t="shared" si="21"/>
        <v>40723.239999999983</v>
      </c>
      <c r="P77" s="11">
        <f t="shared" si="21"/>
        <v>791.48444444445045</v>
      </c>
      <c r="Q77" s="11">
        <f t="shared" si="21"/>
        <v>4751.8044444444213</v>
      </c>
      <c r="R77" s="11">
        <f t="shared" ref="R77:AG77" si="22">(R67-R$63)^2</f>
        <v>3560.11111111112</v>
      </c>
      <c r="S77" s="11">
        <f t="shared" si="22"/>
        <v>102741.61777777776</v>
      </c>
      <c r="T77" s="11">
        <f t="shared" si="22"/>
        <v>1521</v>
      </c>
      <c r="U77" s="11">
        <f t="shared" si="22"/>
        <v>28470.937777777861</v>
      </c>
      <c r="V77" s="11">
        <f t="shared" si="22"/>
        <v>3827.4844444444593</v>
      </c>
      <c r="W77" s="11">
        <f t="shared" si="22"/>
        <v>20755.204444444556</v>
      </c>
      <c r="X77" s="11">
        <f t="shared" si="22"/>
        <v>2858.6844444443991</v>
      </c>
      <c r="Y77" s="11">
        <f t="shared" si="22"/>
        <v>519.84000000000833</v>
      </c>
      <c r="Z77" s="11">
        <f t="shared" si="22"/>
        <v>13626.671111111167</v>
      </c>
      <c r="AA77" s="11">
        <f t="shared" si="22"/>
        <v>31399.840000000098</v>
      </c>
      <c r="AB77" s="11">
        <f t="shared" si="22"/>
        <v>560901.13777777785</v>
      </c>
      <c r="AC77" s="11">
        <f t="shared" si="22"/>
        <v>1103480.217777777</v>
      </c>
      <c r="AD77" s="11">
        <f t="shared" si="22"/>
        <v>2713267.8399999994</v>
      </c>
      <c r="AE77" s="11">
        <f t="shared" si="22"/>
        <v>545098.24852071016</v>
      </c>
      <c r="AF77" s="11">
        <f t="shared" si="22"/>
        <v>4633090.6745562116</v>
      </c>
      <c r="AG77" s="11">
        <f t="shared" si="22"/>
        <v>7431076</v>
      </c>
      <c r="AI77" s="8">
        <f t="shared" si="18"/>
        <v>1178.3490230095542</v>
      </c>
    </row>
    <row r="78" spans="1:35" outlineLevel="1" x14ac:dyDescent="0.25">
      <c r="B78" t="s">
        <v>16</v>
      </c>
      <c r="C78" s="11">
        <f t="shared" si="13"/>
        <v>444622.23999999993</v>
      </c>
      <c r="D78" s="11">
        <f t="shared" ref="D78:Q78" si="23">(D68-D$63)^2</f>
        <v>612567.11111111124</v>
      </c>
      <c r="E78" s="11">
        <f t="shared" si="23"/>
        <v>326802.77777777775</v>
      </c>
      <c r="F78" s="11">
        <f t="shared" si="23"/>
        <v>252472.75111111102</v>
      </c>
      <c r="G78" s="11">
        <f t="shared" si="23"/>
        <v>141025.28444444443</v>
      </c>
      <c r="H78" s="11">
        <f t="shared" si="23"/>
        <v>95852.160000000018</v>
      </c>
      <c r="I78" s="11">
        <f t="shared" si="23"/>
        <v>41046.760000000009</v>
      </c>
      <c r="J78" s="11">
        <f t="shared" si="23"/>
        <v>187835.56000000008</v>
      </c>
      <c r="K78" s="11">
        <f t="shared" si="23"/>
        <v>166464</v>
      </c>
      <c r="L78" s="11">
        <f t="shared" si="23"/>
        <v>25302.204444444425</v>
      </c>
      <c r="M78" s="11">
        <f t="shared" si="23"/>
        <v>5595.0399999999936</v>
      </c>
      <c r="N78" s="11">
        <f t="shared" si="23"/>
        <v>1369</v>
      </c>
      <c r="O78" s="11">
        <f t="shared" si="23"/>
        <v>4909.3377777777696</v>
      </c>
      <c r="P78" s="11">
        <f t="shared" si="23"/>
        <v>5877.7777777777546</v>
      </c>
      <c r="Q78" s="11">
        <f t="shared" si="23"/>
        <v>6561</v>
      </c>
      <c r="R78" s="11">
        <f t="shared" ref="R78:AG78" si="24">(R68-R$63)^2</f>
        <v>510.76000000000619</v>
      </c>
      <c r="S78" s="11">
        <f t="shared" si="24"/>
        <v>104458.23999999989</v>
      </c>
      <c r="T78" s="11">
        <f t="shared" si="24"/>
        <v>13425.084444444472</v>
      </c>
      <c r="U78" s="11">
        <f t="shared" si="24"/>
        <v>5515.5377777778094</v>
      </c>
      <c r="V78" s="11">
        <f t="shared" si="24"/>
        <v>1769.6044444444394</v>
      </c>
      <c r="W78" s="11">
        <f t="shared" si="24"/>
        <v>7247.6844444445014</v>
      </c>
      <c r="X78" s="11">
        <f t="shared" si="24"/>
        <v>455.11111111109818</v>
      </c>
      <c r="Y78" s="11">
        <f t="shared" si="24"/>
        <v>6767.8044444444795</v>
      </c>
      <c r="Z78" s="11">
        <f t="shared" si="24"/>
        <v>1605.337777777773</v>
      </c>
      <c r="AA78" s="11">
        <f t="shared" si="24"/>
        <v>20315.751111111233</v>
      </c>
      <c r="AB78" s="11">
        <f t="shared" si="24"/>
        <v>164079.00444444441</v>
      </c>
      <c r="AC78" s="11">
        <f t="shared" si="24"/>
        <v>109.55111111112126</v>
      </c>
      <c r="AD78" s="11">
        <f t="shared" si="24"/>
        <v>796377.76000000094</v>
      </c>
      <c r="AE78" s="11">
        <f t="shared" si="24"/>
        <v>460832.10059171653</v>
      </c>
      <c r="AF78" s="11">
        <f t="shared" si="24"/>
        <v>293597.25443787029</v>
      </c>
      <c r="AG78" s="11">
        <f t="shared" si="24"/>
        <v>126024.99999999936</v>
      </c>
      <c r="AI78" s="8">
        <f t="shared" si="18"/>
        <v>373.36286036876578</v>
      </c>
    </row>
    <row r="79" spans="1:35" outlineLevel="1" x14ac:dyDescent="0.25">
      <c r="B79" t="s">
        <v>17</v>
      </c>
      <c r="C79" s="11">
        <f t="shared" si="13"/>
        <v>1573.4444444444459</v>
      </c>
      <c r="D79" s="11">
        <f t="shared" ref="D79:Q79" si="25">(D69-D$63)^2</f>
        <v>5003.2044444444382</v>
      </c>
      <c r="E79" s="11">
        <f t="shared" si="25"/>
        <v>10472.111111111119</v>
      </c>
      <c r="F79" s="11">
        <f t="shared" si="25"/>
        <v>61.884444444444561</v>
      </c>
      <c r="G79" s="11">
        <f t="shared" si="25"/>
        <v>26417.08444444447</v>
      </c>
      <c r="H79" s="11">
        <f t="shared" si="25"/>
        <v>64787.217777777762</v>
      </c>
      <c r="I79" s="11">
        <f t="shared" si="25"/>
        <v>51862.471111111117</v>
      </c>
      <c r="J79" s="11">
        <f t="shared" si="25"/>
        <v>29790.759999999969</v>
      </c>
      <c r="K79" s="11">
        <f t="shared" si="25"/>
        <v>131.48444444444513</v>
      </c>
      <c r="L79" s="11">
        <f t="shared" si="25"/>
        <v>47378.77777777781</v>
      </c>
      <c r="M79" s="11">
        <f t="shared" si="25"/>
        <v>92740.551111111097</v>
      </c>
      <c r="N79" s="11">
        <f t="shared" si="25"/>
        <v>101505.96000000009</v>
      </c>
      <c r="O79" s="11">
        <f t="shared" si="25"/>
        <v>72217.604444444456</v>
      </c>
      <c r="P79" s="11">
        <f t="shared" si="25"/>
        <v>99729.63999999997</v>
      </c>
      <c r="Q79" s="11">
        <f t="shared" si="25"/>
        <v>46253.671111111085</v>
      </c>
      <c r="R79" s="11">
        <f t="shared" ref="R79:AG79" si="26">(R69-R$63)^2</f>
        <v>85770.884444444513</v>
      </c>
      <c r="S79" s="11">
        <f t="shared" si="26"/>
        <v>391709.08444444434</v>
      </c>
      <c r="T79" s="11">
        <f t="shared" si="26"/>
        <v>182841.76000000013</v>
      </c>
      <c r="U79" s="11">
        <f t="shared" si="26"/>
        <v>13908.271111111126</v>
      </c>
      <c r="V79" s="11">
        <f t="shared" si="26"/>
        <v>10513.084444444437</v>
      </c>
      <c r="W79" s="11">
        <f t="shared" si="26"/>
        <v>34596</v>
      </c>
      <c r="X79" s="11">
        <f t="shared" si="26"/>
        <v>22400.111111111066</v>
      </c>
      <c r="Y79" s="11">
        <f t="shared" si="26"/>
        <v>43932.15999999996</v>
      </c>
      <c r="Z79" s="11">
        <f t="shared" si="26"/>
        <v>2587.41777777779</v>
      </c>
      <c r="AA79" s="11">
        <f t="shared" si="26"/>
        <v>4.5511111111105933</v>
      </c>
      <c r="AB79" s="11">
        <f t="shared" si="26"/>
        <v>59633.64000000013</v>
      </c>
      <c r="AC79" s="11">
        <f t="shared" si="26"/>
        <v>2019809.440000002</v>
      </c>
      <c r="AD79" s="11">
        <f t="shared" si="26"/>
        <v>12306.204444444458</v>
      </c>
      <c r="AE79" s="11">
        <f t="shared" si="26"/>
        <v>466804.28402366902</v>
      </c>
      <c r="AF79" s="11">
        <f t="shared" si="26"/>
        <v>1183911.3905325439</v>
      </c>
      <c r="AG79" s="11">
        <f t="shared" si="26"/>
        <v>7679056.7901234524</v>
      </c>
      <c r="AI79" s="8">
        <f t="shared" si="18"/>
        <v>644.07249993217238</v>
      </c>
    </row>
    <row r="80" spans="1:35" outlineLevel="1" x14ac:dyDescent="0.25">
      <c r="B80" t="s">
        <v>18</v>
      </c>
      <c r="C80" s="11">
        <f t="shared" si="13"/>
        <v>483395.73777777777</v>
      </c>
      <c r="D80" s="11">
        <f t="shared" ref="D80:Q80" si="27">(D70-D$63)^2</f>
        <v>424148.2711111111</v>
      </c>
      <c r="E80" s="11">
        <f t="shared" si="27"/>
        <v>261871.00444444458</v>
      </c>
      <c r="F80" s="11">
        <f t="shared" si="27"/>
        <v>285156.00000000012</v>
      </c>
      <c r="G80" s="11">
        <f t="shared" si="27"/>
        <v>141175.53777777779</v>
      </c>
      <c r="H80" s="11">
        <f t="shared" si="27"/>
        <v>80013.551111111112</v>
      </c>
      <c r="I80" s="11">
        <f t="shared" si="27"/>
        <v>33318.41777777781</v>
      </c>
      <c r="J80" s="11">
        <f t="shared" si="27"/>
        <v>193306.77777777784</v>
      </c>
      <c r="K80" s="11">
        <f t="shared" si="27"/>
        <v>185416.36000000013</v>
      </c>
      <c r="L80" s="11">
        <f t="shared" si="27"/>
        <v>23185.137777777774</v>
      </c>
      <c r="M80" s="11">
        <f t="shared" si="27"/>
        <v>1713.9599999999887</v>
      </c>
      <c r="N80" s="11">
        <f t="shared" si="27"/>
        <v>700.48444444443396</v>
      </c>
      <c r="O80" s="11">
        <f t="shared" si="27"/>
        <v>6625.9600000000146</v>
      </c>
      <c r="P80" s="11">
        <f t="shared" si="27"/>
        <v>4696.8177777777737</v>
      </c>
      <c r="Q80" s="11">
        <f t="shared" si="27"/>
        <v>6001.0844444444137</v>
      </c>
      <c r="R80" s="11">
        <f t="shared" ref="R80:AG80" si="28">(R70-R$63)^2</f>
        <v>345.9600000000051</v>
      </c>
      <c r="S80" s="11">
        <f t="shared" si="28"/>
        <v>101421.0177777778</v>
      </c>
      <c r="T80" s="11">
        <f t="shared" si="28"/>
        <v>18279.040000000074</v>
      </c>
      <c r="U80" s="11">
        <f t="shared" si="28"/>
        <v>2628.271111111133</v>
      </c>
      <c r="V80" s="11">
        <f t="shared" si="28"/>
        <v>5155.2399999999934</v>
      </c>
      <c r="W80" s="11">
        <f t="shared" si="28"/>
        <v>1725.0177777778131</v>
      </c>
      <c r="X80" s="11">
        <f t="shared" si="28"/>
        <v>1906.7777777777646</v>
      </c>
      <c r="Y80" s="11">
        <f t="shared" si="28"/>
        <v>19154.560000000027</v>
      </c>
      <c r="Z80" s="11">
        <f t="shared" si="28"/>
        <v>504.75111111111249</v>
      </c>
      <c r="AA80" s="11">
        <f t="shared" si="28"/>
        <v>4642.1511111111568</v>
      </c>
      <c r="AB80" s="11">
        <f t="shared" si="28"/>
        <v>111288.95999999993</v>
      </c>
      <c r="AC80" s="11">
        <f t="shared" si="28"/>
        <v>481.07111111111379</v>
      </c>
      <c r="AD80" s="11">
        <f t="shared" si="28"/>
        <v>872729.63999999966</v>
      </c>
      <c r="AE80" s="11">
        <f t="shared" si="28"/>
        <v>521839.53254437848</v>
      </c>
      <c r="AF80" s="11">
        <f t="shared" si="28"/>
        <v>165023.43786982272</v>
      </c>
      <c r="AG80" s="11">
        <f t="shared" si="28"/>
        <v>294969.67901234492</v>
      </c>
      <c r="AI80" s="8">
        <f t="shared" si="18"/>
        <v>370.38864546740484</v>
      </c>
    </row>
    <row r="81" spans="2:35" outlineLevel="1" x14ac:dyDescent="0.25">
      <c r="B81" t="s">
        <v>23</v>
      </c>
      <c r="C81" s="11">
        <f t="shared" si="13"/>
        <v>1573.4444444444459</v>
      </c>
      <c r="D81" s="11">
        <f t="shared" ref="D81:Q81" si="29">(D71-D$63)^2</f>
        <v>5003.2044444444382</v>
      </c>
      <c r="E81" s="11">
        <f t="shared" si="29"/>
        <v>10472.111111111119</v>
      </c>
      <c r="F81" s="11">
        <f t="shared" si="29"/>
        <v>61.884444444444561</v>
      </c>
      <c r="G81" s="11">
        <f t="shared" si="29"/>
        <v>3017.6711111111176</v>
      </c>
      <c r="H81" s="11">
        <f t="shared" si="29"/>
        <v>209.28444444444531</v>
      </c>
      <c r="I81" s="11">
        <f t="shared" si="29"/>
        <v>495.80444444444379</v>
      </c>
      <c r="J81" s="11">
        <f t="shared" si="29"/>
        <v>93799.271111111098</v>
      </c>
      <c r="K81" s="11">
        <f t="shared" si="29"/>
        <v>48958.93777777777</v>
      </c>
      <c r="L81" s="11">
        <f t="shared" si="29"/>
        <v>1049.7599999999911</v>
      </c>
      <c r="M81" s="11">
        <f t="shared" si="29"/>
        <v>3885.4444444444348</v>
      </c>
      <c r="N81" s="11">
        <f t="shared" si="29"/>
        <v>5929</v>
      </c>
      <c r="O81" s="11">
        <f t="shared" si="29"/>
        <v>560.11111111111472</v>
      </c>
      <c r="P81" s="11">
        <f t="shared" si="29"/>
        <v>4696.8177777777737</v>
      </c>
      <c r="Q81" s="11">
        <f t="shared" si="29"/>
        <v>6001.0844444444137</v>
      </c>
      <c r="R81" s="11">
        <f t="shared" ref="R81:AG82" si="30">(R71-R$63)^2</f>
        <v>345.9600000000051</v>
      </c>
      <c r="S81" s="11">
        <f t="shared" si="30"/>
        <v>101421.0177777778</v>
      </c>
      <c r="T81" s="11">
        <f t="shared" si="30"/>
        <v>18279.040000000074</v>
      </c>
      <c r="U81" s="11">
        <f t="shared" si="30"/>
        <v>2628.271111111133</v>
      </c>
      <c r="V81" s="11">
        <f t="shared" si="30"/>
        <v>5155.2399999999934</v>
      </c>
      <c r="W81" s="11">
        <f t="shared" si="30"/>
        <v>1725.0177777778131</v>
      </c>
      <c r="X81" s="11">
        <f t="shared" si="30"/>
        <v>1906.7777777777646</v>
      </c>
      <c r="Y81" s="11">
        <f t="shared" si="30"/>
        <v>19154.560000000027</v>
      </c>
      <c r="Z81" s="11">
        <f t="shared" si="30"/>
        <v>2587.41777777779</v>
      </c>
      <c r="AA81" s="11">
        <f t="shared" si="30"/>
        <v>4.5511111111105933</v>
      </c>
      <c r="AB81" s="11">
        <f t="shared" si="30"/>
        <v>59633.64000000013</v>
      </c>
      <c r="AC81" s="11">
        <f t="shared" si="30"/>
        <v>2019809.440000002</v>
      </c>
      <c r="AD81" s="11">
        <f t="shared" si="30"/>
        <v>12306.204444444458</v>
      </c>
      <c r="AE81" s="11">
        <f t="shared" si="30"/>
        <v>521839.53254437848</v>
      </c>
      <c r="AF81" s="11">
        <f t="shared" si="30"/>
        <v>165023.43786982272</v>
      </c>
      <c r="AG81" s="11">
        <f t="shared" si="30"/>
        <v>294969.67901234492</v>
      </c>
      <c r="AI81" s="8">
        <f t="shared" si="18"/>
        <v>331.78420981285882</v>
      </c>
    </row>
    <row r="82" spans="2:35" outlineLevel="1" x14ac:dyDescent="0.25">
      <c r="B82" t="s">
        <v>30</v>
      </c>
      <c r="C82" s="11">
        <f t="shared" si="13"/>
        <v>495522.13777777785</v>
      </c>
      <c r="D82" s="11">
        <f t="shared" ref="D82:Q82" si="31">(D72-D$63)^2</f>
        <v>456435.36000000016</v>
      </c>
      <c r="E82" s="11">
        <f t="shared" si="31"/>
        <v>395976.53777777788</v>
      </c>
      <c r="F82" s="11">
        <f t="shared" si="31"/>
        <v>383161.00000000012</v>
      </c>
      <c r="G82" s="11">
        <f t="shared" si="31"/>
        <v>199094.44000000003</v>
      </c>
      <c r="H82" s="11">
        <f t="shared" si="31"/>
        <v>111867.95111111106</v>
      </c>
      <c r="I82" s="11">
        <f t="shared" si="31"/>
        <v>38887.840000000018</v>
      </c>
      <c r="J82" s="11">
        <f t="shared" si="31"/>
        <v>665094.61777777772</v>
      </c>
      <c r="K82" s="11">
        <f t="shared" si="31"/>
        <v>459412.83999999997</v>
      </c>
      <c r="L82" s="11">
        <f t="shared" si="31"/>
        <v>70685.08444444451</v>
      </c>
      <c r="M82" s="11">
        <f t="shared" si="31"/>
        <v>9447.8400000000092</v>
      </c>
      <c r="N82" s="11">
        <f t="shared" si="31"/>
        <v>4946.7777777777674</v>
      </c>
      <c r="O82" s="11">
        <f t="shared" si="31"/>
        <v>20506.240000000013</v>
      </c>
      <c r="P82" s="11">
        <f t="shared" si="31"/>
        <v>618.35111111110587</v>
      </c>
      <c r="Q82" s="11">
        <f t="shared" si="31"/>
        <v>1097.8177777777698</v>
      </c>
      <c r="R82" s="11">
        <f t="shared" si="30"/>
        <v>704.01777777777613</v>
      </c>
      <c r="S82" s="11">
        <f t="shared" si="30"/>
        <v>75258.777777777854</v>
      </c>
      <c r="T82" s="11">
        <f t="shared" si="30"/>
        <v>8562.4177777778568</v>
      </c>
      <c r="U82" s="11">
        <f t="shared" si="30"/>
        <v>9164.871111111157</v>
      </c>
      <c r="V82" s="11">
        <f t="shared" si="30"/>
        <v>13041.64000000001</v>
      </c>
      <c r="W82" s="11">
        <f t="shared" si="30"/>
        <v>0.11111111111121216</v>
      </c>
      <c r="X82" s="11">
        <f t="shared" si="30"/>
        <v>4.8399999999991996</v>
      </c>
      <c r="Y82" s="11">
        <f t="shared" si="30"/>
        <v>9577.8844444444676</v>
      </c>
      <c r="Z82" s="11">
        <f t="shared" si="30"/>
        <v>2486.6844444444564</v>
      </c>
      <c r="AA82" s="11">
        <f t="shared" si="30"/>
        <v>7767.4844444445034</v>
      </c>
      <c r="AB82" s="11">
        <f t="shared" si="30"/>
        <v>142481.08444444448</v>
      </c>
      <c r="AC82" s="11">
        <f t="shared" si="30"/>
        <v>39230.404444444423</v>
      </c>
      <c r="AD82" s="11">
        <f t="shared" si="30"/>
        <v>1159067.5600000008</v>
      </c>
      <c r="AE82" s="11">
        <f t="shared" si="30"/>
        <v>512986.51479289983</v>
      </c>
      <c r="AF82" s="11">
        <f t="shared" si="30"/>
        <v>282369.60946745548</v>
      </c>
      <c r="AG82" s="11">
        <f t="shared" si="30"/>
        <v>219023.99999999916</v>
      </c>
      <c r="AI82" s="8">
        <f t="shared" ref="AI82" si="32">SQRT(AVERAGE(C82:AG82))</f>
        <v>432.34106673654446</v>
      </c>
    </row>
    <row r="85" spans="2:35" x14ac:dyDescent="0.25">
      <c r="W85" s="5"/>
      <c r="X85" s="5" t="s">
        <v>17</v>
      </c>
      <c r="Y85" s="5" t="s">
        <v>18</v>
      </c>
    </row>
    <row r="86" spans="2:35" x14ac:dyDescent="0.25">
      <c r="W86">
        <v>1</v>
      </c>
      <c r="X86" s="10">
        <v>1</v>
      </c>
      <c r="Y86" s="10">
        <f t="shared" ref="Y86:Y116" si="33">1-X86</f>
        <v>0</v>
      </c>
    </row>
    <row r="87" spans="2:35" x14ac:dyDescent="0.25">
      <c r="W87">
        <f t="shared" ref="W87:W116" si="34">W86+1</f>
        <v>2</v>
      </c>
      <c r="X87" s="10">
        <v>1</v>
      </c>
      <c r="Y87" s="10">
        <f t="shared" si="33"/>
        <v>0</v>
      </c>
    </row>
    <row r="88" spans="2:35" x14ac:dyDescent="0.25">
      <c r="W88">
        <f t="shared" si="34"/>
        <v>3</v>
      </c>
      <c r="X88" s="10">
        <v>1</v>
      </c>
      <c r="Y88" s="10">
        <f t="shared" si="33"/>
        <v>0</v>
      </c>
    </row>
    <row r="89" spans="2:35" x14ac:dyDescent="0.25">
      <c r="W89">
        <f t="shared" si="34"/>
        <v>4</v>
      </c>
      <c r="X89" s="10">
        <v>1</v>
      </c>
      <c r="Y89" s="10">
        <f t="shared" si="33"/>
        <v>0</v>
      </c>
    </row>
    <row r="90" spans="2:35" x14ac:dyDescent="0.25">
      <c r="W90">
        <f t="shared" si="34"/>
        <v>5</v>
      </c>
      <c r="X90" s="10">
        <v>0.8</v>
      </c>
      <c r="Y90" s="10">
        <f t="shared" si="33"/>
        <v>0.19999999999999996</v>
      </c>
    </row>
    <row r="91" spans="2:35" x14ac:dyDescent="0.25">
      <c r="W91">
        <f t="shared" si="34"/>
        <v>6</v>
      </c>
      <c r="X91" s="10">
        <v>0.5</v>
      </c>
      <c r="Y91" s="10">
        <f t="shared" si="33"/>
        <v>0.5</v>
      </c>
    </row>
    <row r="92" spans="2:35" x14ac:dyDescent="0.25">
      <c r="W92">
        <f t="shared" si="34"/>
        <v>7</v>
      </c>
      <c r="X92" s="10">
        <v>0.5</v>
      </c>
      <c r="Y92" s="10">
        <f t="shared" si="33"/>
        <v>0.5</v>
      </c>
    </row>
    <row r="93" spans="2:35" x14ac:dyDescent="0.25">
      <c r="W93">
        <f t="shared" si="34"/>
        <v>8</v>
      </c>
      <c r="X93" s="10">
        <v>0.5</v>
      </c>
      <c r="Y93" s="10">
        <f t="shared" si="33"/>
        <v>0.5</v>
      </c>
    </row>
    <row r="94" spans="2:35" x14ac:dyDescent="0.25">
      <c r="W94">
        <f t="shared" si="34"/>
        <v>9</v>
      </c>
      <c r="X94" s="10">
        <v>0.5</v>
      </c>
      <c r="Y94" s="10">
        <f t="shared" si="33"/>
        <v>0.5</v>
      </c>
    </row>
    <row r="95" spans="2:35" x14ac:dyDescent="0.25">
      <c r="W95">
        <f t="shared" si="34"/>
        <v>10</v>
      </c>
      <c r="X95" s="10">
        <v>0.5</v>
      </c>
      <c r="Y95" s="10">
        <f t="shared" si="33"/>
        <v>0.5</v>
      </c>
    </row>
    <row r="96" spans="2:35" x14ac:dyDescent="0.25">
      <c r="W96">
        <f t="shared" si="34"/>
        <v>11</v>
      </c>
      <c r="X96" s="10">
        <v>0.3</v>
      </c>
      <c r="Y96" s="10">
        <f t="shared" si="33"/>
        <v>0.7</v>
      </c>
    </row>
    <row r="97" spans="23:25" x14ac:dyDescent="0.25">
      <c r="W97">
        <f t="shared" si="34"/>
        <v>12</v>
      </c>
      <c r="X97" s="10">
        <v>0.3</v>
      </c>
      <c r="Y97" s="10">
        <f t="shared" si="33"/>
        <v>0.7</v>
      </c>
    </row>
    <row r="98" spans="23:25" x14ac:dyDescent="0.25">
      <c r="W98">
        <f t="shared" si="34"/>
        <v>13</v>
      </c>
      <c r="X98" s="10">
        <v>0.3</v>
      </c>
      <c r="Y98" s="10">
        <f t="shared" si="33"/>
        <v>0.7</v>
      </c>
    </row>
    <row r="99" spans="23:25" x14ac:dyDescent="0.25">
      <c r="W99">
        <f t="shared" si="34"/>
        <v>14</v>
      </c>
      <c r="X99" s="10">
        <v>0</v>
      </c>
      <c r="Y99" s="10">
        <f t="shared" si="33"/>
        <v>1</v>
      </c>
    </row>
    <row r="100" spans="23:25" x14ac:dyDescent="0.25">
      <c r="W100">
        <f t="shared" si="34"/>
        <v>15</v>
      </c>
      <c r="X100" s="10">
        <v>0</v>
      </c>
      <c r="Y100" s="10">
        <f t="shared" si="33"/>
        <v>1</v>
      </c>
    </row>
    <row r="101" spans="23:25" x14ac:dyDescent="0.25">
      <c r="W101">
        <f t="shared" si="34"/>
        <v>16</v>
      </c>
      <c r="X101" s="10">
        <v>0</v>
      </c>
      <c r="Y101" s="10">
        <f t="shared" si="33"/>
        <v>1</v>
      </c>
    </row>
    <row r="102" spans="23:25" x14ac:dyDescent="0.25">
      <c r="W102">
        <f t="shared" si="34"/>
        <v>17</v>
      </c>
      <c r="X102" s="10">
        <v>0</v>
      </c>
      <c r="Y102" s="10">
        <f t="shared" si="33"/>
        <v>1</v>
      </c>
    </row>
    <row r="103" spans="23:25" x14ac:dyDescent="0.25">
      <c r="W103">
        <f t="shared" si="34"/>
        <v>18</v>
      </c>
      <c r="X103" s="10">
        <v>0</v>
      </c>
      <c r="Y103" s="10">
        <f t="shared" si="33"/>
        <v>1</v>
      </c>
    </row>
    <row r="104" spans="23:25" x14ac:dyDescent="0.25">
      <c r="W104">
        <f t="shared" si="34"/>
        <v>19</v>
      </c>
      <c r="X104" s="10">
        <v>0</v>
      </c>
      <c r="Y104" s="10">
        <f t="shared" si="33"/>
        <v>1</v>
      </c>
    </row>
    <row r="105" spans="23:25" x14ac:dyDescent="0.25">
      <c r="W105">
        <f t="shared" si="34"/>
        <v>20</v>
      </c>
      <c r="X105" s="10">
        <v>0</v>
      </c>
      <c r="Y105" s="10">
        <f t="shared" si="33"/>
        <v>1</v>
      </c>
    </row>
    <row r="106" spans="23:25" x14ac:dyDescent="0.25">
      <c r="W106">
        <f t="shared" si="34"/>
        <v>21</v>
      </c>
      <c r="X106" s="10">
        <v>0</v>
      </c>
      <c r="Y106" s="10">
        <f t="shared" si="33"/>
        <v>1</v>
      </c>
    </row>
    <row r="107" spans="23:25" x14ac:dyDescent="0.25">
      <c r="W107">
        <f t="shared" si="34"/>
        <v>22</v>
      </c>
      <c r="X107" s="10">
        <v>0</v>
      </c>
      <c r="Y107" s="10">
        <f t="shared" si="33"/>
        <v>1</v>
      </c>
    </row>
    <row r="108" spans="23:25" x14ac:dyDescent="0.25">
      <c r="W108">
        <f t="shared" si="34"/>
        <v>23</v>
      </c>
      <c r="X108" s="10">
        <v>0</v>
      </c>
      <c r="Y108" s="10">
        <f t="shared" si="33"/>
        <v>1</v>
      </c>
    </row>
    <row r="109" spans="23:25" x14ac:dyDescent="0.25">
      <c r="W109">
        <f t="shared" si="34"/>
        <v>24</v>
      </c>
      <c r="X109" s="10">
        <v>1</v>
      </c>
      <c r="Y109" s="10">
        <f t="shared" si="33"/>
        <v>0</v>
      </c>
    </row>
    <row r="110" spans="23:25" x14ac:dyDescent="0.25">
      <c r="W110">
        <f t="shared" si="34"/>
        <v>25</v>
      </c>
      <c r="X110" s="10">
        <v>1</v>
      </c>
      <c r="Y110" s="10">
        <f t="shared" si="33"/>
        <v>0</v>
      </c>
    </row>
    <row r="111" spans="23:25" x14ac:dyDescent="0.25">
      <c r="W111">
        <f t="shared" si="34"/>
        <v>26</v>
      </c>
      <c r="X111" s="10">
        <v>1</v>
      </c>
      <c r="Y111" s="10">
        <f t="shared" si="33"/>
        <v>0</v>
      </c>
    </row>
    <row r="112" spans="23:25" x14ac:dyDescent="0.25">
      <c r="W112">
        <f t="shared" si="34"/>
        <v>27</v>
      </c>
      <c r="X112" s="10">
        <v>1</v>
      </c>
      <c r="Y112" s="10">
        <f t="shared" si="33"/>
        <v>0</v>
      </c>
    </row>
    <row r="113" spans="23:25" x14ac:dyDescent="0.25">
      <c r="W113">
        <f t="shared" si="34"/>
        <v>28</v>
      </c>
      <c r="X113" s="10">
        <v>1</v>
      </c>
      <c r="Y113" s="10">
        <f t="shared" si="33"/>
        <v>0</v>
      </c>
    </row>
    <row r="114" spans="23:25" x14ac:dyDescent="0.25">
      <c r="W114">
        <f t="shared" si="34"/>
        <v>29</v>
      </c>
      <c r="X114" s="10">
        <v>0</v>
      </c>
      <c r="Y114" s="10">
        <f t="shared" si="33"/>
        <v>1</v>
      </c>
    </row>
    <row r="115" spans="23:25" x14ac:dyDescent="0.25">
      <c r="W115">
        <f t="shared" si="34"/>
        <v>30</v>
      </c>
      <c r="X115" s="10">
        <v>0</v>
      </c>
      <c r="Y115" s="10">
        <f t="shared" si="33"/>
        <v>1</v>
      </c>
    </row>
    <row r="116" spans="23:25" x14ac:dyDescent="0.25">
      <c r="W116">
        <f t="shared" si="34"/>
        <v>31</v>
      </c>
      <c r="X116" s="10">
        <v>0</v>
      </c>
      <c r="Y116" s="10">
        <f t="shared" si="33"/>
        <v>1</v>
      </c>
    </row>
  </sheetData>
  <phoneticPr fontId="3" type="noConversion"/>
  <conditionalFormatting sqref="S17:S2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{BA440AAF-89E2-4EF8-9DFB-4B22BAB2B970}</x14:id>
        </ext>
      </extLst>
    </cfRule>
  </conditionalFormatting>
  <conditionalFormatting sqref="AI74:AI8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{A3FF20E9-3889-497B-BFC3-4911E539C39E}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440AAF-89E2-4EF8-9DFB-4B22BAB2B9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S17:S25</xm:sqref>
        </x14:conditionalFormatting>
        <x14:conditionalFormatting xmlns:xm="http://schemas.microsoft.com/office/excel/2006/main">
          <x14:cfRule type="dataBar" id="{A3FF20E9-3889-497B-BFC3-4911E539C3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AI74:AI82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28D5-E78B-4B73-B990-591C587F86FC}">
  <dimension ref="A1:Z459"/>
  <sheetViews>
    <sheetView showGridLines="0" workbookViewId="0">
      <pane ySplit="1" topLeftCell="A416" activePane="bottomLeft" state="frozen"/>
      <selection pane="bottomLeft" activeCell="T454" sqref="T454"/>
    </sheetView>
  </sheetViews>
  <sheetFormatPr defaultRowHeight="15" x14ac:dyDescent="0.25"/>
  <cols>
    <col min="1" max="1" width="14.5703125" bestFit="1" customWidth="1"/>
    <col min="5" max="5" width="10.42578125" bestFit="1" customWidth="1"/>
    <col min="23" max="25" width="11.42578125" bestFit="1" customWidth="1"/>
    <col min="26" max="26" width="11" customWidth="1"/>
  </cols>
  <sheetData>
    <row r="1" spans="1:15" s="5" customFormat="1" x14ac:dyDescent="0.25">
      <c r="A1" s="9" t="s">
        <v>7</v>
      </c>
      <c r="B1" s="9" t="s">
        <v>8</v>
      </c>
      <c r="C1" s="9" t="s">
        <v>9</v>
      </c>
      <c r="D1" s="9" t="s">
        <v>10</v>
      </c>
      <c r="E1" s="9" t="s">
        <v>6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23</v>
      </c>
      <c r="O1" s="9" t="s">
        <v>30</v>
      </c>
    </row>
    <row r="2" spans="1:15" x14ac:dyDescent="0.25">
      <c r="A2" s="3">
        <v>45658</v>
      </c>
      <c r="B2">
        <f>YEAR($A2)</f>
        <v>2025</v>
      </c>
      <c r="C2">
        <f>MONTH($A2)</f>
        <v>1</v>
      </c>
      <c r="D2">
        <f>DAY($A2)</f>
        <v>1</v>
      </c>
      <c r="E2" s="2">
        <f>DATE($B2,$C2,1)-1</f>
        <v>45657</v>
      </c>
      <c r="F2" s="12">
        <f>_xlfn.XLOOKUP($A2,m1_cv!$B:$B,m1_cv!$C:$C)</f>
        <v>90</v>
      </c>
      <c r="G2">
        <f>MAX(0,ROUND(SUMIFS(m1_cv!$E:$E,m1_cv!$A:$A,$E2,m1_cv!$B:$B,$A2),0))</f>
        <v>3522</v>
      </c>
      <c r="H2">
        <f>MAX(0,ROUND(SUMIFS(m2_cv!$E:$E,m2_cv!$A:$A,$E2,m2_cv!$B:$B,$A2),0))</f>
        <v>4096</v>
      </c>
      <c r="I2">
        <f>MAX(0,ROUND(SUMIFS(m3_cv!$E:$E,m3_cv!$A:$A,$E2,m3_cv!$B:$B,$A2),0))</f>
        <v>2895</v>
      </c>
      <c r="J2">
        <f>MAX(0,ROUND(SUMIFS(m4_cv!$E:$E,m4_cv!$A:$A,$E2,m4_cv!$B:$B,$A2),0))</f>
        <v>2889</v>
      </c>
      <c r="K2">
        <f>MAX(0,ROUND(SUMIFS(m5_cv!$E:$E,m5_cv!$A:$A,$E2,m5_cv!$B:$B,$A2),0))</f>
        <v>626</v>
      </c>
      <c r="L2">
        <f>MAX(0,ROUND(SUMIFS(m6_cv!$E:$E,m6_cv!$A:$A,$E2,m6_cv!$B:$B,$A2),0))</f>
        <v>93</v>
      </c>
      <c r="M2">
        <f>MAX(0,ROUND(SUMIFS(m7_cv!$E:$E,m7_cv!$A:$A,$E2,m7_cv!$B:$B,$A2),0))</f>
        <v>490</v>
      </c>
      <c r="N2">
        <f>ROUND(_xlfn.XLOOKUP($D2,Charts!$W$86:$W$116,Charts!$X$86:$X$116)*$L2+_xlfn.XLOOKUP($D2,Charts!$W$86:$W$116,Charts!$Y$86:$Y$116)*$M2,0)</f>
        <v>93</v>
      </c>
      <c r="O2">
        <f>MAX(0,ROUND(SUMIFS(m8_cv!$E:$E,m8_cv!$A:$A,$E2,m8_cv!$B:$B,$A2),0))</f>
        <v>553</v>
      </c>
    </row>
    <row r="3" spans="1:15" x14ac:dyDescent="0.25">
      <c r="A3" s="3">
        <f>A2+1</f>
        <v>45659</v>
      </c>
      <c r="B3">
        <f t="shared" ref="B3:B66" si="0">YEAR(A3)</f>
        <v>2025</v>
      </c>
      <c r="C3">
        <f t="shared" ref="C3:C66" si="1">MONTH($A3)</f>
        <v>1</v>
      </c>
      <c r="D3">
        <f t="shared" ref="D3:D66" si="2">DAY($A3)</f>
        <v>2</v>
      </c>
      <c r="E3" s="2">
        <f t="shared" ref="E3:E66" si="3">DATE($B3,$C3,1)-1</f>
        <v>45657</v>
      </c>
      <c r="F3" s="12">
        <f>_xlfn.XLOOKUP($A3,m1_cv!$B:$B,m1_cv!$C:$C)</f>
        <v>541</v>
      </c>
      <c r="G3">
        <f>MAX(0,ROUND(SUMIFS(m1_cv!$E:$E,m1_cv!$A:$A,$E3,m1_cv!$B:$B,$A3),0))</f>
        <v>3467</v>
      </c>
      <c r="H3">
        <f>MAX(0,ROUND(SUMIFS(m2_cv!$E:$E,m2_cv!$A:$A,$E3,m2_cv!$B:$B,$A3),0))</f>
        <v>2253</v>
      </c>
      <c r="I3">
        <f>MAX(0,ROUND(SUMIFS(m3_cv!$E:$E,m3_cv!$A:$A,$E3,m3_cv!$B:$B,$A3),0))</f>
        <v>2572</v>
      </c>
      <c r="J3">
        <f>MAX(0,ROUND(SUMIFS(m4_cv!$E:$E,m4_cv!$A:$A,$E3,m4_cv!$B:$B,$A3),0))</f>
        <v>2563</v>
      </c>
      <c r="K3">
        <f>MAX(0,ROUND(SUMIFS(m5_cv!$E:$E,m5_cv!$A:$A,$E3,m5_cv!$B:$B,$A3),0))</f>
        <v>1723</v>
      </c>
      <c r="L3">
        <f>MAX(0,ROUND(SUMIFS(m6_cv!$E:$E,m6_cv!$A:$A,$E3,m6_cv!$B:$B,$A3),0))</f>
        <v>556</v>
      </c>
      <c r="M3">
        <f>MAX(0,ROUND(SUMIFS(m7_cv!$E:$E,m7_cv!$A:$A,$E3,m7_cv!$B:$B,$A3),0))</f>
        <v>1782</v>
      </c>
      <c r="N3">
        <f>ROUND(_xlfn.XLOOKUP($D3,Charts!$W$86:$W$116,Charts!$X$86:$X$116)*$L3+_xlfn.XLOOKUP($D3,Charts!$W$86:$W$116,Charts!$Y$86:$Y$116)*$M3,0)</f>
        <v>556</v>
      </c>
      <c r="O3">
        <f>MAX(0,ROUND(SUMIFS(m8_cv!$E:$E,m8_cv!$A:$A,$E3,m8_cv!$B:$B,$A3),0))</f>
        <v>1882</v>
      </c>
    </row>
    <row r="4" spans="1:15" x14ac:dyDescent="0.25">
      <c r="A4" s="3">
        <f t="shared" ref="A4:A67" si="4">A3+1</f>
        <v>45660</v>
      </c>
      <c r="B4">
        <f t="shared" si="0"/>
        <v>2025</v>
      </c>
      <c r="C4">
        <f t="shared" si="1"/>
        <v>1</v>
      </c>
      <c r="D4">
        <f t="shared" si="2"/>
        <v>3</v>
      </c>
      <c r="E4" s="2">
        <f t="shared" si="3"/>
        <v>45657</v>
      </c>
      <c r="F4" s="12">
        <f>_xlfn.XLOOKUP($A4,m1_cv!$B:$B,m1_cv!$C:$C)</f>
        <v>563</v>
      </c>
      <c r="G4">
        <f>MAX(0,ROUND(SUMIFS(m1_cv!$E:$E,m1_cv!$A:$A,$E4,m1_cv!$B:$B,$A4),0))</f>
        <v>3307</v>
      </c>
      <c r="H4">
        <f>MAX(0,ROUND(SUMIFS(m2_cv!$E:$E,m2_cv!$A:$A,$E4,m2_cv!$B:$B,$A4),0))</f>
        <v>1153</v>
      </c>
      <c r="I4">
        <f>MAX(0,ROUND(SUMIFS(m3_cv!$E:$E,m3_cv!$A:$A,$E4,m3_cv!$B:$B,$A4),0))</f>
        <v>1356</v>
      </c>
      <c r="J4">
        <f>MAX(0,ROUND(SUMIFS(m4_cv!$E:$E,m4_cv!$A:$A,$E4,m4_cv!$B:$B,$A4),0))</f>
        <v>1348</v>
      </c>
      <c r="K4">
        <f>MAX(0,ROUND(SUMIFS(m5_cv!$E:$E,m5_cv!$A:$A,$E4,m5_cv!$B:$B,$A4),0))</f>
        <v>1710</v>
      </c>
      <c r="L4">
        <f>MAX(0,ROUND(SUMIFS(m6_cv!$E:$E,m6_cv!$A:$A,$E4,m6_cv!$B:$B,$A4),0))</f>
        <v>640</v>
      </c>
      <c r="M4">
        <f>MAX(0,ROUND(SUMIFS(m7_cv!$E:$E,m7_cv!$A:$A,$E4,m7_cv!$B:$B,$A4),0))</f>
        <v>1824</v>
      </c>
      <c r="N4">
        <f>ROUND(_xlfn.XLOOKUP($D4,Charts!$W$86:$W$116,Charts!$X$86:$X$116)*$L4+_xlfn.XLOOKUP($D4,Charts!$W$86:$W$116,Charts!$Y$86:$Y$116)*$M4,0)</f>
        <v>640</v>
      </c>
      <c r="O4">
        <f>MAX(0,ROUND(SUMIFS(m8_cv!$E:$E,m8_cv!$A:$A,$E4,m8_cv!$B:$B,$A4),0))</f>
        <v>2003</v>
      </c>
    </row>
    <row r="5" spans="1:15" x14ac:dyDescent="0.25">
      <c r="A5" s="3">
        <f t="shared" si="4"/>
        <v>45661</v>
      </c>
      <c r="B5">
        <f t="shared" si="0"/>
        <v>2025</v>
      </c>
      <c r="C5">
        <f t="shared" si="1"/>
        <v>1</v>
      </c>
      <c r="D5">
        <f t="shared" si="2"/>
        <v>4</v>
      </c>
      <c r="E5" s="2">
        <f t="shared" si="3"/>
        <v>45657</v>
      </c>
      <c r="F5" s="12">
        <f>_xlfn.XLOOKUP($A5,m1_cv!$B:$B,m1_cv!$C:$C)</f>
        <v>42</v>
      </c>
      <c r="G5">
        <f>MAX(0,ROUND(SUMIFS(m1_cv!$E:$E,m1_cv!$A:$A,$E5,m1_cv!$B:$B,$A5),0))</f>
        <v>1098</v>
      </c>
      <c r="H5">
        <f>MAX(0,ROUND(SUMIFS(m2_cv!$E:$E,m2_cv!$A:$A,$E5,m2_cv!$B:$B,$A5),0))</f>
        <v>0</v>
      </c>
      <c r="I5">
        <f>MAX(0,ROUND(SUMIFS(m3_cv!$E:$E,m3_cv!$A:$A,$E5,m3_cv!$B:$B,$A5),0))</f>
        <v>0</v>
      </c>
      <c r="J5">
        <f>MAX(0,ROUND(SUMIFS(m4_cv!$E:$E,m4_cv!$A:$A,$E5,m4_cv!$B:$B,$A5),0))</f>
        <v>0</v>
      </c>
      <c r="K5">
        <f>MAX(0,ROUND(SUMIFS(m5_cv!$E:$E,m5_cv!$A:$A,$E5,m5_cv!$B:$B,$A5),0))</f>
        <v>0</v>
      </c>
      <c r="L5">
        <f>MAX(0,ROUND(SUMIFS(m6_cv!$E:$E,m6_cv!$A:$A,$E5,m6_cv!$B:$B,$A5),0))</f>
        <v>108</v>
      </c>
      <c r="M5">
        <f>MAX(0,ROUND(SUMIFS(m7_cv!$E:$E,m7_cv!$A:$A,$E5,m7_cv!$B:$B,$A5),0))</f>
        <v>0</v>
      </c>
      <c r="N5">
        <f>ROUND(_xlfn.XLOOKUP($D5,Charts!$W$86:$W$116,Charts!$X$86:$X$116)*$L5+_xlfn.XLOOKUP($D5,Charts!$W$86:$W$116,Charts!$Y$86:$Y$116)*$M5,0)</f>
        <v>108</v>
      </c>
      <c r="O5">
        <f>MAX(0,ROUND(SUMIFS(m8_cv!$E:$E,m8_cv!$A:$A,$E5,m8_cv!$B:$B,$A5),0))</f>
        <v>0</v>
      </c>
    </row>
    <row r="6" spans="1:15" x14ac:dyDescent="0.25">
      <c r="A6" s="3">
        <f t="shared" si="4"/>
        <v>45662</v>
      </c>
      <c r="B6">
        <f t="shared" si="0"/>
        <v>2025</v>
      </c>
      <c r="C6">
        <f t="shared" si="1"/>
        <v>1</v>
      </c>
      <c r="D6">
        <f t="shared" si="2"/>
        <v>5</v>
      </c>
      <c r="E6" s="2">
        <f t="shared" si="3"/>
        <v>45657</v>
      </c>
      <c r="F6" s="12">
        <f>_xlfn.XLOOKUP($A6,m1_cv!$B:$B,m1_cv!$C:$C)</f>
        <v>22</v>
      </c>
      <c r="G6">
        <f>MAX(0,ROUND(SUMIFS(m1_cv!$E:$E,m1_cv!$A:$A,$E6,m1_cv!$B:$B,$A6),0))</f>
        <v>505</v>
      </c>
      <c r="H6">
        <f>MAX(0,ROUND(SUMIFS(m2_cv!$E:$E,m2_cv!$A:$A,$E6,m2_cv!$B:$B,$A6),0))</f>
        <v>0</v>
      </c>
      <c r="I6">
        <f>MAX(0,ROUND(SUMIFS(m3_cv!$E:$E,m3_cv!$A:$A,$E6,m3_cv!$B:$B,$A6),0))</f>
        <v>0</v>
      </c>
      <c r="J6">
        <f>MAX(0,ROUND(SUMIFS(m4_cv!$E:$E,m4_cv!$A:$A,$E6,m4_cv!$B:$B,$A6),0))</f>
        <v>0</v>
      </c>
      <c r="K6">
        <f>MAX(0,ROUND(SUMIFS(m5_cv!$E:$E,m5_cv!$A:$A,$E6,m5_cv!$B:$B,$A6),0))</f>
        <v>0</v>
      </c>
      <c r="L6">
        <f>MAX(0,ROUND(SUMIFS(m6_cv!$E:$E,m6_cv!$A:$A,$E6,m6_cv!$B:$B,$A6),0))</f>
        <v>48</v>
      </c>
      <c r="M6">
        <f>MAX(0,ROUND(SUMIFS(m7_cv!$E:$E,m7_cv!$A:$A,$E6,m7_cv!$B:$B,$A6),0))</f>
        <v>0</v>
      </c>
      <c r="N6">
        <f>ROUND(_xlfn.XLOOKUP($D6,Charts!$W$86:$W$116,Charts!$X$86:$X$116)*$L6+_xlfn.XLOOKUP($D6,Charts!$W$86:$W$116,Charts!$Y$86:$Y$116)*$M6,0)</f>
        <v>38</v>
      </c>
      <c r="O6">
        <f>MAX(0,ROUND(SUMIFS(m8_cv!$E:$E,m8_cv!$A:$A,$E6,m8_cv!$B:$B,$A6),0))</f>
        <v>0</v>
      </c>
    </row>
    <row r="7" spans="1:15" x14ac:dyDescent="0.25">
      <c r="A7" s="3">
        <f t="shared" si="4"/>
        <v>45663</v>
      </c>
      <c r="B7">
        <f t="shared" si="0"/>
        <v>2025</v>
      </c>
      <c r="C7">
        <f t="shared" si="1"/>
        <v>1</v>
      </c>
      <c r="D7">
        <f t="shared" si="2"/>
        <v>6</v>
      </c>
      <c r="E7" s="2">
        <f t="shared" si="3"/>
        <v>45657</v>
      </c>
      <c r="F7" s="12">
        <f>_xlfn.XLOOKUP($A7,m1_cv!$B:$B,m1_cv!$C:$C)</f>
        <v>533</v>
      </c>
      <c r="G7">
        <f>MAX(0,ROUND(SUMIFS(m1_cv!$E:$E,m1_cv!$A:$A,$E7,m1_cv!$B:$B,$A7),0))</f>
        <v>2745</v>
      </c>
      <c r="H7">
        <f>MAX(0,ROUND(SUMIFS(m2_cv!$E:$E,m2_cv!$A:$A,$E7,m2_cv!$B:$B,$A7),0))</f>
        <v>1504</v>
      </c>
      <c r="I7">
        <f>MAX(0,ROUND(SUMIFS(m3_cv!$E:$E,m3_cv!$A:$A,$E7,m3_cv!$B:$B,$A7),0))</f>
        <v>1781</v>
      </c>
      <c r="J7">
        <f>MAX(0,ROUND(SUMIFS(m4_cv!$E:$E,m4_cv!$A:$A,$E7,m4_cv!$B:$B,$A7),0))</f>
        <v>1771</v>
      </c>
      <c r="K7">
        <f>MAX(0,ROUND(SUMIFS(m5_cv!$E:$E,m5_cv!$A:$A,$E7,m5_cv!$B:$B,$A7),0))</f>
        <v>1412</v>
      </c>
      <c r="L7">
        <f>MAX(0,ROUND(SUMIFS(m6_cv!$E:$E,m6_cv!$A:$A,$E7,m6_cv!$B:$B,$A7),0))</f>
        <v>604</v>
      </c>
      <c r="M7">
        <f>MAX(0,ROUND(SUMIFS(m7_cv!$E:$E,m7_cv!$A:$A,$E7,m7_cv!$B:$B,$A7),0))</f>
        <v>1410</v>
      </c>
      <c r="N7">
        <f>ROUND(_xlfn.XLOOKUP($D7,Charts!$W$86:$W$116,Charts!$X$86:$X$116)*$L7+_xlfn.XLOOKUP($D7,Charts!$W$86:$W$116,Charts!$Y$86:$Y$116)*$M7,0)</f>
        <v>1007</v>
      </c>
      <c r="O7">
        <f>MAX(0,ROUND(SUMIFS(m8_cv!$E:$E,m8_cv!$A:$A,$E7,m8_cv!$B:$B,$A7),0))</f>
        <v>1568</v>
      </c>
    </row>
    <row r="8" spans="1:15" x14ac:dyDescent="0.25">
      <c r="A8" s="3">
        <f t="shared" si="4"/>
        <v>45664</v>
      </c>
      <c r="B8">
        <f t="shared" si="0"/>
        <v>2025</v>
      </c>
      <c r="C8">
        <f t="shared" si="1"/>
        <v>1</v>
      </c>
      <c r="D8">
        <f t="shared" si="2"/>
        <v>7</v>
      </c>
      <c r="E8" s="2">
        <f t="shared" si="3"/>
        <v>45657</v>
      </c>
      <c r="F8" s="12">
        <f>_xlfn.XLOOKUP($A8,m1_cv!$B:$B,m1_cv!$C:$C)</f>
        <v>712</v>
      </c>
      <c r="G8">
        <f>MAX(0,ROUND(SUMIFS(m1_cv!$E:$E,m1_cv!$A:$A,$E8,m1_cv!$B:$B,$A8),0))</f>
        <v>3284</v>
      </c>
      <c r="H8">
        <f>MAX(0,ROUND(SUMIFS(m2_cv!$E:$E,m2_cv!$A:$A,$E8,m2_cv!$B:$B,$A8),0))</f>
        <v>2043</v>
      </c>
      <c r="I8">
        <f>MAX(0,ROUND(SUMIFS(m3_cv!$E:$E,m3_cv!$A:$A,$E8,m3_cv!$B:$B,$A8),0))</f>
        <v>2024</v>
      </c>
      <c r="J8">
        <f>MAX(0,ROUND(SUMIFS(m4_cv!$E:$E,m4_cv!$A:$A,$E8,m4_cv!$B:$B,$A8),0))</f>
        <v>2016</v>
      </c>
      <c r="K8">
        <f>MAX(0,ROUND(SUMIFS(m5_cv!$E:$E,m5_cv!$A:$A,$E8,m5_cv!$B:$B,$A8),0))</f>
        <v>1550</v>
      </c>
      <c r="L8">
        <f>MAX(0,ROUND(SUMIFS(m6_cv!$E:$E,m6_cv!$A:$A,$E8,m6_cv!$B:$B,$A8),0))</f>
        <v>717</v>
      </c>
      <c r="M8">
        <f>MAX(0,ROUND(SUMIFS(m7_cv!$E:$E,m7_cv!$A:$A,$E8,m7_cv!$B:$B,$A8),0))</f>
        <v>1644</v>
      </c>
      <c r="N8">
        <f>ROUND(_xlfn.XLOOKUP($D8,Charts!$W$86:$W$116,Charts!$X$86:$X$116)*$L8+_xlfn.XLOOKUP($D8,Charts!$W$86:$W$116,Charts!$Y$86:$Y$116)*$M8,0)</f>
        <v>1181</v>
      </c>
      <c r="O8">
        <f>MAX(0,ROUND(SUMIFS(m8_cv!$E:$E,m8_cv!$A:$A,$E8,m8_cv!$B:$B,$A8),0))</f>
        <v>1611</v>
      </c>
    </row>
    <row r="9" spans="1:15" x14ac:dyDescent="0.25">
      <c r="A9" s="3">
        <f t="shared" si="4"/>
        <v>45665</v>
      </c>
      <c r="B9">
        <f t="shared" si="0"/>
        <v>2025</v>
      </c>
      <c r="C9">
        <f t="shared" si="1"/>
        <v>1</v>
      </c>
      <c r="D9">
        <f t="shared" si="2"/>
        <v>8</v>
      </c>
      <c r="E9" s="2">
        <f t="shared" si="3"/>
        <v>45657</v>
      </c>
      <c r="F9" s="12">
        <f>_xlfn.XLOOKUP($A9,m1_cv!$B:$B,m1_cv!$C:$C)</f>
        <v>904</v>
      </c>
      <c r="G9">
        <f>MAX(0,ROUND(SUMIFS(m1_cv!$E:$E,m1_cv!$A:$A,$E9,m1_cv!$B:$B,$A9),0))</f>
        <v>3230</v>
      </c>
      <c r="H9">
        <f>MAX(0,ROUND(SUMIFS(m2_cv!$E:$E,m2_cv!$A:$A,$E9,m2_cv!$B:$B,$A9),0))</f>
        <v>1850</v>
      </c>
      <c r="I9">
        <f>MAX(0,ROUND(SUMIFS(m3_cv!$E:$E,m3_cv!$A:$A,$E9,m3_cv!$B:$B,$A9),0))</f>
        <v>1871</v>
      </c>
      <c r="J9">
        <f>MAX(0,ROUND(SUMIFS(m4_cv!$E:$E,m4_cv!$A:$A,$E9,m4_cv!$B:$B,$A9),0))</f>
        <v>1860</v>
      </c>
      <c r="K9">
        <f>MAX(0,ROUND(SUMIFS(m5_cv!$E:$E,m5_cv!$A:$A,$E9,m5_cv!$B:$B,$A9),0))</f>
        <v>2144</v>
      </c>
      <c r="L9">
        <f>MAX(0,ROUND(SUMIFS(m6_cv!$E:$E,m6_cv!$A:$A,$E9,m6_cv!$B:$B,$A9),0))</f>
        <v>1304</v>
      </c>
      <c r="M9">
        <f>MAX(0,ROUND(SUMIFS(m7_cv!$E:$E,m7_cv!$A:$A,$E9,m7_cv!$B:$B,$A9),0))</f>
        <v>2144</v>
      </c>
      <c r="N9">
        <f>ROUND(_xlfn.XLOOKUP($D9,Charts!$W$86:$W$116,Charts!$X$86:$X$116)*$L9+_xlfn.XLOOKUP($D9,Charts!$W$86:$W$116,Charts!$Y$86:$Y$116)*$M9,0)</f>
        <v>1724</v>
      </c>
      <c r="O9">
        <f>MAX(0,ROUND(SUMIFS(m8_cv!$E:$E,m8_cv!$A:$A,$E9,m8_cv!$B:$B,$A9),0))</f>
        <v>2435</v>
      </c>
    </row>
    <row r="10" spans="1:15" x14ac:dyDescent="0.25">
      <c r="A10" s="3">
        <f t="shared" si="4"/>
        <v>45666</v>
      </c>
      <c r="B10">
        <f t="shared" si="0"/>
        <v>2025</v>
      </c>
      <c r="C10">
        <f t="shared" si="1"/>
        <v>1</v>
      </c>
      <c r="D10">
        <f t="shared" si="2"/>
        <v>9</v>
      </c>
      <c r="E10" s="2">
        <f t="shared" si="3"/>
        <v>45657</v>
      </c>
      <c r="F10" s="12">
        <f>_xlfn.XLOOKUP($A10,m1_cv!$B:$B,m1_cv!$C:$C)</f>
        <v>1135</v>
      </c>
      <c r="G10">
        <f>MAX(0,ROUND(SUMIFS(m1_cv!$E:$E,m1_cv!$A:$A,$E10,m1_cv!$B:$B,$A10),0))</f>
        <v>3181</v>
      </c>
      <c r="H10">
        <f>MAX(0,ROUND(SUMIFS(m2_cv!$E:$E,m2_cv!$A:$A,$E10,m2_cv!$B:$B,$A10),0))</f>
        <v>1773</v>
      </c>
      <c r="I10">
        <f>MAX(0,ROUND(SUMIFS(m3_cv!$E:$E,m3_cv!$A:$A,$E10,m3_cv!$B:$B,$A10),0))</f>
        <v>1784</v>
      </c>
      <c r="J10">
        <f>MAX(0,ROUND(SUMIFS(m4_cv!$E:$E,m4_cv!$A:$A,$E10,m4_cv!$B:$B,$A10),0))</f>
        <v>1773</v>
      </c>
      <c r="K10">
        <f>MAX(0,ROUND(SUMIFS(m5_cv!$E:$E,m5_cv!$A:$A,$E10,m5_cv!$B:$B,$A10),0))</f>
        <v>2039</v>
      </c>
      <c r="L10">
        <f>MAX(0,ROUND(SUMIFS(m6_cv!$E:$E,m6_cv!$A:$A,$E10,m6_cv!$B:$B,$A10),0))</f>
        <v>1292</v>
      </c>
      <c r="M10">
        <f>MAX(0,ROUND(SUMIFS(m7_cv!$E:$E,m7_cv!$A:$A,$E10,m7_cv!$B:$B,$A10),0))</f>
        <v>1968</v>
      </c>
      <c r="N10">
        <f>ROUND(_xlfn.XLOOKUP($D10,Charts!$W$86:$W$116,Charts!$X$86:$X$116)*$L10+_xlfn.XLOOKUP($D10,Charts!$W$86:$W$116,Charts!$Y$86:$Y$116)*$M10,0)</f>
        <v>1630</v>
      </c>
      <c r="O10">
        <f>MAX(0,ROUND(SUMIFS(m8_cv!$E:$E,m8_cv!$A:$A,$E10,m8_cv!$B:$B,$A10),0))</f>
        <v>2129</v>
      </c>
    </row>
    <row r="11" spans="1:15" x14ac:dyDescent="0.25">
      <c r="A11" s="3">
        <f t="shared" si="4"/>
        <v>45667</v>
      </c>
      <c r="B11">
        <f t="shared" si="0"/>
        <v>2025</v>
      </c>
      <c r="C11">
        <f t="shared" si="1"/>
        <v>1</v>
      </c>
      <c r="D11">
        <f t="shared" si="2"/>
        <v>10</v>
      </c>
      <c r="E11" s="2">
        <f t="shared" si="3"/>
        <v>45657</v>
      </c>
      <c r="F11" s="12">
        <f>_xlfn.XLOOKUP($A11,m1_cv!$B:$B,m1_cv!$C:$C)</f>
        <v>1270</v>
      </c>
      <c r="G11">
        <f>MAX(0,ROUND(SUMIFS(m1_cv!$E:$E,m1_cv!$A:$A,$E11,m1_cv!$B:$B,$A11),0))</f>
        <v>3030</v>
      </c>
      <c r="H11">
        <f>MAX(0,ROUND(SUMIFS(m2_cv!$E:$E,m2_cv!$A:$A,$E11,m2_cv!$B:$B,$A11),0))</f>
        <v>1814</v>
      </c>
      <c r="I11">
        <f>MAX(0,ROUND(SUMIFS(m3_cv!$E:$E,m3_cv!$A:$A,$E11,m3_cv!$B:$B,$A11),0))</f>
        <v>1785</v>
      </c>
      <c r="J11">
        <f>MAX(0,ROUND(SUMIFS(m4_cv!$E:$E,m4_cv!$A:$A,$E11,m4_cv!$B:$B,$A11),0))</f>
        <v>1775</v>
      </c>
      <c r="K11">
        <f>MAX(0,ROUND(SUMIFS(m5_cv!$E:$E,m5_cv!$A:$A,$E11,m5_cv!$B:$B,$A11),0))</f>
        <v>1918</v>
      </c>
      <c r="L11">
        <f>MAX(0,ROUND(SUMIFS(m6_cv!$E:$E,m6_cv!$A:$A,$E11,m6_cv!$B:$B,$A11),0))</f>
        <v>1182</v>
      </c>
      <c r="M11">
        <f>MAX(0,ROUND(SUMIFS(m7_cv!$E:$E,m7_cv!$A:$A,$E11,m7_cv!$B:$B,$A11),0))</f>
        <v>1907</v>
      </c>
      <c r="N11">
        <f>ROUND(_xlfn.XLOOKUP($D11,Charts!$W$86:$W$116,Charts!$X$86:$X$116)*$L11+_xlfn.XLOOKUP($D11,Charts!$W$86:$W$116,Charts!$Y$86:$Y$116)*$M11,0)</f>
        <v>1545</v>
      </c>
      <c r="O11">
        <f>MAX(0,ROUND(SUMIFS(m8_cv!$E:$E,m8_cv!$A:$A,$E11,m8_cv!$B:$B,$A11),0))</f>
        <v>2049</v>
      </c>
    </row>
    <row r="12" spans="1:15" x14ac:dyDescent="0.25">
      <c r="A12" s="3">
        <f t="shared" si="4"/>
        <v>45668</v>
      </c>
      <c r="B12">
        <f t="shared" si="0"/>
        <v>2025</v>
      </c>
      <c r="C12">
        <f t="shared" si="1"/>
        <v>1</v>
      </c>
      <c r="D12">
        <f t="shared" si="2"/>
        <v>11</v>
      </c>
      <c r="E12" s="2">
        <f t="shared" si="3"/>
        <v>45657</v>
      </c>
      <c r="F12" s="12">
        <f>_xlfn.XLOOKUP($A12,m1_cv!$B:$B,m1_cv!$C:$C)</f>
        <v>203</v>
      </c>
      <c r="G12">
        <f>MAX(0,ROUND(SUMIFS(m1_cv!$E:$E,m1_cv!$A:$A,$E12,m1_cv!$B:$B,$A12),0))</f>
        <v>834</v>
      </c>
      <c r="H12">
        <f>MAX(0,ROUND(SUMIFS(m2_cv!$E:$E,m2_cv!$A:$A,$E12,m2_cv!$B:$B,$A12),0))</f>
        <v>0</v>
      </c>
      <c r="I12">
        <f>MAX(0,ROUND(SUMIFS(m3_cv!$E:$E,m3_cv!$A:$A,$E12,m3_cv!$B:$B,$A12),0))</f>
        <v>0</v>
      </c>
      <c r="J12">
        <f>MAX(0,ROUND(SUMIFS(m4_cv!$E:$E,m4_cv!$A:$A,$E12,m4_cv!$B:$B,$A12),0))</f>
        <v>0</v>
      </c>
      <c r="K12">
        <f>MAX(0,ROUND(SUMIFS(m5_cv!$E:$E,m5_cv!$A:$A,$E12,m5_cv!$B:$B,$A12),0))</f>
        <v>0</v>
      </c>
      <c r="L12">
        <f>MAX(0,ROUND(SUMIFS(m6_cv!$E:$E,m6_cv!$A:$A,$E12,m6_cv!$B:$B,$A12),0))</f>
        <v>224</v>
      </c>
      <c r="M12">
        <f>MAX(0,ROUND(SUMIFS(m7_cv!$E:$E,m7_cv!$A:$A,$E12,m7_cv!$B:$B,$A12),0))</f>
        <v>0</v>
      </c>
      <c r="N12">
        <f>ROUND(_xlfn.XLOOKUP($D12,Charts!$W$86:$W$116,Charts!$X$86:$X$116)*$L12+_xlfn.XLOOKUP($D12,Charts!$W$86:$W$116,Charts!$Y$86:$Y$116)*$M12,0)</f>
        <v>67</v>
      </c>
      <c r="O12">
        <f>MAX(0,ROUND(SUMIFS(m8_cv!$E:$E,m8_cv!$A:$A,$E12,m8_cv!$B:$B,$A12),0))</f>
        <v>0</v>
      </c>
    </row>
    <row r="13" spans="1:15" x14ac:dyDescent="0.25">
      <c r="A13" s="3">
        <f t="shared" si="4"/>
        <v>45669</v>
      </c>
      <c r="B13">
        <f t="shared" si="0"/>
        <v>2025</v>
      </c>
      <c r="C13">
        <f t="shared" si="1"/>
        <v>1</v>
      </c>
      <c r="D13">
        <f t="shared" si="2"/>
        <v>12</v>
      </c>
      <c r="E13" s="2">
        <f t="shared" si="3"/>
        <v>45657</v>
      </c>
      <c r="F13" s="12">
        <f>_xlfn.XLOOKUP($A13,m1_cv!$B:$B,m1_cv!$C:$C)</f>
        <v>41</v>
      </c>
      <c r="G13">
        <f>MAX(0,ROUND(SUMIFS(m1_cv!$E:$E,m1_cv!$A:$A,$E13,m1_cv!$B:$B,$A13),0))</f>
        <v>257</v>
      </c>
      <c r="H13">
        <f>MAX(0,ROUND(SUMIFS(m2_cv!$E:$E,m2_cv!$A:$A,$E13,m2_cv!$B:$B,$A13),0))</f>
        <v>0</v>
      </c>
      <c r="I13">
        <f>MAX(0,ROUND(SUMIFS(m3_cv!$E:$E,m3_cv!$A:$A,$E13,m3_cv!$B:$B,$A13),0))</f>
        <v>0</v>
      </c>
      <c r="J13">
        <f>MAX(0,ROUND(SUMIFS(m4_cv!$E:$E,m4_cv!$A:$A,$E13,m4_cv!$B:$B,$A13),0))</f>
        <v>0</v>
      </c>
      <c r="K13">
        <f>MAX(0,ROUND(SUMIFS(m5_cv!$E:$E,m5_cv!$A:$A,$E13,m5_cv!$B:$B,$A13),0))</f>
        <v>0</v>
      </c>
      <c r="L13">
        <f>MAX(0,ROUND(SUMIFS(m6_cv!$E:$E,m6_cv!$A:$A,$E13,m6_cv!$B:$B,$A13),0))</f>
        <v>106</v>
      </c>
      <c r="M13">
        <f>MAX(0,ROUND(SUMIFS(m7_cv!$E:$E,m7_cv!$A:$A,$E13,m7_cv!$B:$B,$A13),0))</f>
        <v>0</v>
      </c>
      <c r="N13">
        <f>ROUND(_xlfn.XLOOKUP($D13,Charts!$W$86:$W$116,Charts!$X$86:$X$116)*$L13+_xlfn.XLOOKUP($D13,Charts!$W$86:$W$116,Charts!$Y$86:$Y$116)*$M13,0)</f>
        <v>32</v>
      </c>
      <c r="O13">
        <f>MAX(0,ROUND(SUMIFS(m8_cv!$E:$E,m8_cv!$A:$A,$E13,m8_cv!$B:$B,$A13),0))</f>
        <v>0</v>
      </c>
    </row>
    <row r="14" spans="1:15" x14ac:dyDescent="0.25">
      <c r="A14" s="3">
        <f t="shared" si="4"/>
        <v>45670</v>
      </c>
      <c r="B14">
        <f t="shared" si="0"/>
        <v>2025</v>
      </c>
      <c r="C14">
        <f t="shared" si="1"/>
        <v>1</v>
      </c>
      <c r="D14">
        <f t="shared" si="2"/>
        <v>13</v>
      </c>
      <c r="E14" s="2">
        <f t="shared" si="3"/>
        <v>45657</v>
      </c>
      <c r="F14" s="12">
        <f>_xlfn.XLOOKUP($A14,m1_cv!$B:$B,m1_cv!$C:$C)</f>
        <v>1313</v>
      </c>
      <c r="G14">
        <f>MAX(0,ROUND(SUMIFS(m1_cv!$E:$E,m1_cv!$A:$A,$E14,m1_cv!$B:$B,$A14),0))</f>
        <v>2515</v>
      </c>
      <c r="H14">
        <f>MAX(0,ROUND(SUMIFS(m2_cv!$E:$E,m2_cv!$A:$A,$E14,m2_cv!$B:$B,$A14),0))</f>
        <v>1705</v>
      </c>
      <c r="I14">
        <f>MAX(0,ROUND(SUMIFS(m3_cv!$E:$E,m3_cv!$A:$A,$E14,m3_cv!$B:$B,$A14),0))</f>
        <v>1860</v>
      </c>
      <c r="J14">
        <f>MAX(0,ROUND(SUMIFS(m4_cv!$E:$E,m4_cv!$A:$A,$E14,m4_cv!$B:$B,$A14),0))</f>
        <v>1848</v>
      </c>
      <c r="K14">
        <f>MAX(0,ROUND(SUMIFS(m5_cv!$E:$E,m5_cv!$A:$A,$E14,m5_cv!$B:$B,$A14),0))</f>
        <v>1804</v>
      </c>
      <c r="L14">
        <f>MAX(0,ROUND(SUMIFS(m6_cv!$E:$E,m6_cv!$A:$A,$E14,m6_cv!$B:$B,$A14),0))</f>
        <v>1386</v>
      </c>
      <c r="M14">
        <f>MAX(0,ROUND(SUMIFS(m7_cv!$E:$E,m7_cv!$A:$A,$E14,m7_cv!$B:$B,$A14),0))</f>
        <v>1794</v>
      </c>
      <c r="N14">
        <f>ROUND(_xlfn.XLOOKUP($D14,Charts!$W$86:$W$116,Charts!$X$86:$X$116)*$L14+_xlfn.XLOOKUP($D14,Charts!$W$86:$W$116,Charts!$Y$86:$Y$116)*$M14,0)</f>
        <v>1672</v>
      </c>
      <c r="O14">
        <f>MAX(0,ROUND(SUMIFS(m8_cv!$E:$E,m8_cv!$A:$A,$E14,m8_cv!$B:$B,$A14),0))</f>
        <v>1919</v>
      </c>
    </row>
    <row r="15" spans="1:15" x14ac:dyDescent="0.25">
      <c r="A15" s="3">
        <f t="shared" si="4"/>
        <v>45671</v>
      </c>
      <c r="B15">
        <f t="shared" si="0"/>
        <v>2025</v>
      </c>
      <c r="C15">
        <f t="shared" si="1"/>
        <v>1</v>
      </c>
      <c r="D15">
        <f t="shared" si="2"/>
        <v>14</v>
      </c>
      <c r="E15" s="2">
        <f t="shared" si="3"/>
        <v>45657</v>
      </c>
      <c r="F15" s="12">
        <f>_xlfn.XLOOKUP($A15,m1_cv!$B:$B,m1_cv!$C:$C)</f>
        <v>1609</v>
      </c>
      <c r="G15">
        <f>MAX(0,ROUND(SUMIFS(m1_cv!$E:$E,m1_cv!$A:$A,$E15,m1_cv!$B:$B,$A15),0))</f>
        <v>3074</v>
      </c>
      <c r="H15">
        <f>MAX(0,ROUND(SUMIFS(m2_cv!$E:$E,m2_cv!$A:$A,$E15,m2_cv!$B:$B,$A15),0))</f>
        <v>2224</v>
      </c>
      <c r="I15">
        <f>MAX(0,ROUND(SUMIFS(m3_cv!$E:$E,m3_cv!$A:$A,$E15,m3_cv!$B:$B,$A15),0))</f>
        <v>2086</v>
      </c>
      <c r="J15">
        <f>MAX(0,ROUND(SUMIFS(m4_cv!$E:$E,m4_cv!$A:$A,$E15,m4_cv!$B:$B,$A15),0))</f>
        <v>2075</v>
      </c>
      <c r="K15">
        <f>MAX(0,ROUND(SUMIFS(m5_cv!$E:$E,m5_cv!$A:$A,$E15,m5_cv!$B:$B,$A15),0))</f>
        <v>2198</v>
      </c>
      <c r="L15">
        <f>MAX(0,ROUND(SUMIFS(m6_cv!$E:$E,m6_cv!$A:$A,$E15,m6_cv!$B:$B,$A15),0))</f>
        <v>1796</v>
      </c>
      <c r="M15">
        <f>MAX(0,ROUND(SUMIFS(m7_cv!$E:$E,m7_cv!$A:$A,$E15,m7_cv!$B:$B,$A15),0))</f>
        <v>2187</v>
      </c>
      <c r="N15">
        <f>ROUND(_xlfn.XLOOKUP($D15,Charts!$W$86:$W$116,Charts!$X$86:$X$116)*$L15+_xlfn.XLOOKUP($D15,Charts!$W$86:$W$116,Charts!$Y$86:$Y$116)*$M15,0)</f>
        <v>2187</v>
      </c>
      <c r="O15">
        <f>MAX(0,ROUND(SUMIFS(m8_cv!$E:$E,m8_cv!$A:$A,$E15,m8_cv!$B:$B,$A15),0))</f>
        <v>2295</v>
      </c>
    </row>
    <row r="16" spans="1:15" x14ac:dyDescent="0.25">
      <c r="A16" s="3">
        <f t="shared" si="4"/>
        <v>45672</v>
      </c>
      <c r="B16">
        <f t="shared" si="0"/>
        <v>2025</v>
      </c>
      <c r="C16">
        <f t="shared" si="1"/>
        <v>1</v>
      </c>
      <c r="D16">
        <f t="shared" si="2"/>
        <v>15</v>
      </c>
      <c r="E16" s="2">
        <f t="shared" si="3"/>
        <v>45657</v>
      </c>
      <c r="F16" s="12">
        <f>_xlfn.XLOOKUP($A16,m1_cv!$B:$B,m1_cv!$C:$C)</f>
        <v>2010</v>
      </c>
      <c r="G16">
        <f>MAX(0,ROUND(SUMIFS(m1_cv!$E:$E,m1_cv!$A:$A,$E16,m1_cv!$B:$B,$A16),0))</f>
        <v>3041</v>
      </c>
      <c r="H16">
        <f>MAX(0,ROUND(SUMIFS(m2_cv!$E:$E,m2_cv!$A:$A,$E16,m2_cv!$B:$B,$A16),0))</f>
        <v>2348</v>
      </c>
      <c r="I16">
        <f>MAX(0,ROUND(SUMIFS(m3_cv!$E:$E,m3_cv!$A:$A,$E16,m3_cv!$B:$B,$A16),0))</f>
        <v>2271</v>
      </c>
      <c r="J16">
        <f>MAX(0,ROUND(SUMIFS(m4_cv!$E:$E,m4_cv!$A:$A,$E16,m4_cv!$B:$B,$A16),0))</f>
        <v>2257</v>
      </c>
      <c r="K16">
        <f>MAX(0,ROUND(SUMIFS(m5_cv!$E:$E,m5_cv!$A:$A,$E16,m5_cv!$B:$B,$A16),0))</f>
        <v>2387</v>
      </c>
      <c r="L16">
        <f>MAX(0,ROUND(SUMIFS(m6_cv!$E:$E,m6_cv!$A:$A,$E16,m6_cv!$B:$B,$A16),0))</f>
        <v>1969</v>
      </c>
      <c r="M16">
        <f>MAX(0,ROUND(SUMIFS(m7_cv!$E:$E,m7_cv!$A:$A,$E16,m7_cv!$B:$B,$A16),0))</f>
        <v>2411</v>
      </c>
      <c r="N16">
        <f>ROUND(_xlfn.XLOOKUP($D16,Charts!$W$86:$W$116,Charts!$X$86:$X$116)*$L16+_xlfn.XLOOKUP($D16,Charts!$W$86:$W$116,Charts!$Y$86:$Y$116)*$M16,0)</f>
        <v>2411</v>
      </c>
      <c r="O16">
        <f>MAX(0,ROUND(SUMIFS(m8_cv!$E:$E,m8_cv!$A:$A,$E16,m8_cv!$B:$B,$A16),0))</f>
        <v>2516</v>
      </c>
    </row>
    <row r="17" spans="1:15" x14ac:dyDescent="0.25">
      <c r="A17" s="3">
        <f t="shared" si="4"/>
        <v>45673</v>
      </c>
      <c r="B17">
        <f t="shared" si="0"/>
        <v>2025</v>
      </c>
      <c r="C17">
        <f t="shared" si="1"/>
        <v>1</v>
      </c>
      <c r="D17">
        <f t="shared" si="2"/>
        <v>16</v>
      </c>
      <c r="E17" s="2">
        <f t="shared" si="3"/>
        <v>45657</v>
      </c>
      <c r="F17" s="12">
        <f>_xlfn.XLOOKUP($A17,m1_cv!$B:$B,m1_cv!$C:$C)</f>
        <v>2206</v>
      </c>
      <c r="G17">
        <f>MAX(0,ROUND(SUMIFS(m1_cv!$E:$E,m1_cv!$A:$A,$E17,m1_cv!$B:$B,$A17),0))</f>
        <v>3015</v>
      </c>
      <c r="H17">
        <f>MAX(0,ROUND(SUMIFS(m2_cv!$E:$E,m2_cv!$A:$A,$E17,m2_cv!$B:$B,$A17),0))</f>
        <v>2575</v>
      </c>
      <c r="I17">
        <f>MAX(0,ROUND(SUMIFS(m3_cv!$E:$E,m3_cv!$A:$A,$E17,m3_cv!$B:$B,$A17),0))</f>
        <v>2522</v>
      </c>
      <c r="J17">
        <f>MAX(0,ROUND(SUMIFS(m4_cv!$E:$E,m4_cv!$A:$A,$E17,m4_cv!$B:$B,$A17),0))</f>
        <v>2509</v>
      </c>
      <c r="K17">
        <f>MAX(0,ROUND(SUMIFS(m5_cv!$E:$E,m5_cv!$A:$A,$E17,m5_cv!$B:$B,$A17),0))</f>
        <v>2536</v>
      </c>
      <c r="L17">
        <f>MAX(0,ROUND(SUMIFS(m6_cv!$E:$E,m6_cv!$A:$A,$E17,m6_cv!$B:$B,$A17),0))</f>
        <v>2275</v>
      </c>
      <c r="M17">
        <f>MAX(0,ROUND(SUMIFS(m7_cv!$E:$E,m7_cv!$A:$A,$E17,m7_cv!$B:$B,$A17),0))</f>
        <v>2560</v>
      </c>
      <c r="N17">
        <f>ROUND(_xlfn.XLOOKUP($D17,Charts!$W$86:$W$116,Charts!$X$86:$X$116)*$L17+_xlfn.XLOOKUP($D17,Charts!$W$86:$W$116,Charts!$Y$86:$Y$116)*$M17,0)</f>
        <v>2560</v>
      </c>
      <c r="O17">
        <f>MAX(0,ROUND(SUMIFS(m8_cv!$E:$E,m8_cv!$A:$A,$E17,m8_cv!$B:$B,$A17),0))</f>
        <v>2659</v>
      </c>
    </row>
    <row r="18" spans="1:15" x14ac:dyDescent="0.25">
      <c r="A18" s="3">
        <f t="shared" si="4"/>
        <v>45674</v>
      </c>
      <c r="B18">
        <f t="shared" si="0"/>
        <v>2025</v>
      </c>
      <c r="C18">
        <f t="shared" si="1"/>
        <v>1</v>
      </c>
      <c r="D18">
        <f t="shared" si="2"/>
        <v>17</v>
      </c>
      <c r="E18" s="2">
        <f t="shared" si="3"/>
        <v>45657</v>
      </c>
      <c r="F18" s="12">
        <f>_xlfn.XLOOKUP($A18,m1_cv!$B:$B,m1_cv!$C:$C)</f>
        <v>2291</v>
      </c>
      <c r="G18">
        <f>MAX(0,ROUND(SUMIFS(m1_cv!$E:$E,m1_cv!$A:$A,$E18,m1_cv!$B:$B,$A18),0))</f>
        <v>2888</v>
      </c>
      <c r="H18">
        <f>MAX(0,ROUND(SUMIFS(m2_cv!$E:$E,m2_cv!$A:$A,$E18,m2_cv!$B:$B,$A18),0))</f>
        <v>2614</v>
      </c>
      <c r="I18">
        <f>MAX(0,ROUND(SUMIFS(m3_cv!$E:$E,m3_cv!$A:$A,$E18,m3_cv!$B:$B,$A18),0))</f>
        <v>2547</v>
      </c>
      <c r="J18">
        <f>MAX(0,ROUND(SUMIFS(m4_cv!$E:$E,m4_cv!$A:$A,$E18,m4_cv!$B:$B,$A18),0))</f>
        <v>2535</v>
      </c>
      <c r="K18">
        <f>MAX(0,ROUND(SUMIFS(m5_cv!$E:$E,m5_cv!$A:$A,$E18,m5_cv!$B:$B,$A18),0))</f>
        <v>2498</v>
      </c>
      <c r="L18">
        <f>MAX(0,ROUND(SUMIFS(m6_cv!$E:$E,m6_cv!$A:$A,$E18,m6_cv!$B:$B,$A18),0))</f>
        <v>2276</v>
      </c>
      <c r="M18">
        <f>MAX(0,ROUND(SUMIFS(m7_cv!$E:$E,m7_cv!$A:$A,$E18,m7_cv!$B:$B,$A18),0))</f>
        <v>2453</v>
      </c>
      <c r="N18">
        <f>ROUND(_xlfn.XLOOKUP($D18,Charts!$W$86:$W$116,Charts!$X$86:$X$116)*$L18+_xlfn.XLOOKUP($D18,Charts!$W$86:$W$116,Charts!$Y$86:$Y$116)*$M18,0)</f>
        <v>2453</v>
      </c>
      <c r="O18">
        <f>MAX(0,ROUND(SUMIFS(m8_cv!$E:$E,m8_cv!$A:$A,$E18,m8_cv!$B:$B,$A18),0))</f>
        <v>2542</v>
      </c>
    </row>
    <row r="19" spans="1:15" x14ac:dyDescent="0.25">
      <c r="A19" s="3">
        <f t="shared" si="4"/>
        <v>45675</v>
      </c>
      <c r="B19">
        <f t="shared" si="0"/>
        <v>2025</v>
      </c>
      <c r="C19">
        <f t="shared" si="1"/>
        <v>1</v>
      </c>
      <c r="D19">
        <f t="shared" si="2"/>
        <v>18</v>
      </c>
      <c r="E19" s="2">
        <f t="shared" si="3"/>
        <v>45657</v>
      </c>
      <c r="F19" s="12">
        <f>_xlfn.XLOOKUP($A19,m1_cv!$B:$B,m1_cv!$C:$C)</f>
        <v>401</v>
      </c>
      <c r="G19">
        <f>MAX(0,ROUND(SUMIFS(m1_cv!$E:$E,m1_cv!$A:$A,$E19,m1_cv!$B:$B,$A19),0))</f>
        <v>716</v>
      </c>
      <c r="H19">
        <f>MAX(0,ROUND(SUMIFS(m2_cv!$E:$E,m2_cv!$A:$A,$E19,m2_cv!$B:$B,$A19),0))</f>
        <v>420</v>
      </c>
      <c r="I19">
        <f>MAX(0,ROUND(SUMIFS(m3_cv!$E:$E,m3_cv!$A:$A,$E19,m3_cv!$B:$B,$A19),0))</f>
        <v>392</v>
      </c>
      <c r="J19">
        <f>MAX(0,ROUND(SUMIFS(m4_cv!$E:$E,m4_cv!$A:$A,$E19,m4_cv!$B:$B,$A19),0))</f>
        <v>377</v>
      </c>
      <c r="K19">
        <f>MAX(0,ROUND(SUMIFS(m5_cv!$E:$E,m5_cv!$A:$A,$E19,m5_cv!$B:$B,$A19),0))</f>
        <v>319</v>
      </c>
      <c r="L19">
        <f>MAX(0,ROUND(SUMIFS(m6_cv!$E:$E,m6_cv!$A:$A,$E19,m6_cv!$B:$B,$A19),0))</f>
        <v>429</v>
      </c>
      <c r="M19">
        <f>MAX(0,ROUND(SUMIFS(m7_cv!$E:$E,m7_cv!$A:$A,$E19,m7_cv!$B:$B,$A19),0))</f>
        <v>293</v>
      </c>
      <c r="N19">
        <f>ROUND(_xlfn.XLOOKUP($D19,Charts!$W$86:$W$116,Charts!$X$86:$X$116)*$L19+_xlfn.XLOOKUP($D19,Charts!$W$86:$W$116,Charts!$Y$86:$Y$116)*$M19,0)</f>
        <v>293</v>
      </c>
      <c r="O19">
        <f>MAX(0,ROUND(SUMIFS(m8_cv!$E:$E,m8_cv!$A:$A,$E19,m8_cv!$B:$B,$A19),0))</f>
        <v>371</v>
      </c>
    </row>
    <row r="20" spans="1:15" x14ac:dyDescent="0.25">
      <c r="A20" s="3">
        <f t="shared" si="4"/>
        <v>45676</v>
      </c>
      <c r="B20">
        <f t="shared" si="0"/>
        <v>2025</v>
      </c>
      <c r="C20">
        <f t="shared" si="1"/>
        <v>1</v>
      </c>
      <c r="D20">
        <f t="shared" si="2"/>
        <v>19</v>
      </c>
      <c r="E20" s="2">
        <f t="shared" si="3"/>
        <v>45657</v>
      </c>
      <c r="F20" s="12">
        <f>_xlfn.XLOOKUP($A20,m1_cv!$B:$B,m1_cv!$C:$C)</f>
        <v>129</v>
      </c>
      <c r="G20">
        <f>MAX(0,ROUND(SUMIFS(m1_cv!$E:$E,m1_cv!$A:$A,$E20,m1_cv!$B:$B,$A20),0))</f>
        <v>162</v>
      </c>
      <c r="H20">
        <f>MAX(0,ROUND(SUMIFS(m2_cv!$E:$E,m2_cv!$A:$A,$E20,m2_cv!$B:$B,$A20),0))</f>
        <v>0</v>
      </c>
      <c r="I20">
        <f>MAX(0,ROUND(SUMIFS(m3_cv!$E:$E,m3_cv!$A:$A,$E20,m3_cv!$B:$B,$A20),0))</f>
        <v>0</v>
      </c>
      <c r="J20">
        <f>MAX(0,ROUND(SUMIFS(m4_cv!$E:$E,m4_cv!$A:$A,$E20,m4_cv!$B:$B,$A20),0))</f>
        <v>0</v>
      </c>
      <c r="K20">
        <f>MAX(0,ROUND(SUMIFS(m5_cv!$E:$E,m5_cv!$A:$A,$E20,m5_cv!$B:$B,$A20),0))</f>
        <v>0</v>
      </c>
      <c r="L20">
        <f>MAX(0,ROUND(SUMIFS(m6_cv!$E:$E,m6_cv!$A:$A,$E20,m6_cv!$B:$B,$A20),0))</f>
        <v>191</v>
      </c>
      <c r="M20">
        <f>MAX(0,ROUND(SUMIFS(m7_cv!$E:$E,m7_cv!$A:$A,$E20,m7_cv!$B:$B,$A20),0))</f>
        <v>0</v>
      </c>
      <c r="N20">
        <f>ROUND(_xlfn.XLOOKUP($D20,Charts!$W$86:$W$116,Charts!$X$86:$X$116)*$L20+_xlfn.XLOOKUP($D20,Charts!$W$86:$W$116,Charts!$Y$86:$Y$116)*$M20,0)</f>
        <v>0</v>
      </c>
      <c r="O20">
        <f>MAX(0,ROUND(SUMIFS(m8_cv!$E:$E,m8_cv!$A:$A,$E20,m8_cv!$B:$B,$A20),0))</f>
        <v>0</v>
      </c>
    </row>
    <row r="21" spans="1:15" x14ac:dyDescent="0.25">
      <c r="A21" s="3">
        <f t="shared" si="4"/>
        <v>45677</v>
      </c>
      <c r="B21">
        <f t="shared" si="0"/>
        <v>2025</v>
      </c>
      <c r="C21">
        <f t="shared" si="1"/>
        <v>1</v>
      </c>
      <c r="D21">
        <f t="shared" si="2"/>
        <v>20</v>
      </c>
      <c r="E21" s="2">
        <f t="shared" si="3"/>
        <v>45657</v>
      </c>
      <c r="F21" s="12">
        <f>_xlfn.XLOOKUP($A21,m1_cv!$B:$B,m1_cv!$C:$C)</f>
        <v>2385</v>
      </c>
      <c r="G21">
        <f>MAX(0,ROUND(SUMIFS(m1_cv!$E:$E,m1_cv!$A:$A,$E21,m1_cv!$B:$B,$A21),0))</f>
        <v>2443</v>
      </c>
      <c r="H21">
        <f>MAX(0,ROUND(SUMIFS(m2_cv!$E:$E,m2_cv!$A:$A,$E21,m2_cv!$B:$B,$A21),0))</f>
        <v>2130</v>
      </c>
      <c r="I21">
        <f>MAX(0,ROUND(SUMIFS(m3_cv!$E:$E,m3_cv!$A:$A,$E21,m3_cv!$B:$B,$A21),0))</f>
        <v>2244</v>
      </c>
      <c r="J21">
        <f>MAX(0,ROUND(SUMIFS(m4_cv!$E:$E,m4_cv!$A:$A,$E21,m4_cv!$B:$B,$A21),0))</f>
        <v>2229</v>
      </c>
      <c r="K21">
        <f>MAX(0,ROUND(SUMIFS(m5_cv!$E:$E,m5_cv!$A:$A,$E21,m5_cv!$B:$B,$A21),0))</f>
        <v>2357</v>
      </c>
      <c r="L21">
        <f>MAX(0,ROUND(SUMIFS(m6_cv!$E:$E,m6_cv!$A:$A,$E21,m6_cv!$B:$B,$A21),0))</f>
        <v>2380</v>
      </c>
      <c r="M21">
        <f>MAX(0,ROUND(SUMIFS(m7_cv!$E:$E,m7_cv!$A:$A,$E21,m7_cv!$B:$B,$A21),0))</f>
        <v>2389</v>
      </c>
      <c r="N21">
        <f>ROUND(_xlfn.XLOOKUP($D21,Charts!$W$86:$W$116,Charts!$X$86:$X$116)*$L21+_xlfn.XLOOKUP($D21,Charts!$W$86:$W$116,Charts!$Y$86:$Y$116)*$M21,0)</f>
        <v>2389</v>
      </c>
      <c r="O21">
        <f>MAX(0,ROUND(SUMIFS(m8_cv!$E:$E,m8_cv!$A:$A,$E21,m8_cv!$B:$B,$A21),0))</f>
        <v>2469</v>
      </c>
    </row>
    <row r="22" spans="1:15" x14ac:dyDescent="0.25">
      <c r="A22" s="3">
        <f t="shared" si="4"/>
        <v>45678</v>
      </c>
      <c r="B22">
        <f t="shared" si="0"/>
        <v>2025</v>
      </c>
      <c r="C22">
        <f t="shared" si="1"/>
        <v>1</v>
      </c>
      <c r="D22">
        <f t="shared" si="2"/>
        <v>21</v>
      </c>
      <c r="E22" s="2">
        <f t="shared" si="3"/>
        <v>45657</v>
      </c>
      <c r="F22" s="12">
        <f>_xlfn.XLOOKUP($A22,m1_cv!$B:$B,m1_cv!$C:$C)</f>
        <v>3051</v>
      </c>
      <c r="G22">
        <f>MAX(0,ROUND(SUMIFS(m1_cv!$E:$E,m1_cv!$A:$A,$E22,m1_cv!$B:$B,$A22),0))</f>
        <v>3024</v>
      </c>
      <c r="H22">
        <f>MAX(0,ROUND(SUMIFS(m2_cv!$E:$E,m2_cv!$A:$A,$E22,m2_cv!$B:$B,$A22),0))</f>
        <v>2973</v>
      </c>
      <c r="I22">
        <f>MAX(0,ROUND(SUMIFS(m3_cv!$E:$E,m3_cv!$A:$A,$E22,m3_cv!$B:$B,$A22),0))</f>
        <v>2831</v>
      </c>
      <c r="J22">
        <f>MAX(0,ROUND(SUMIFS(m4_cv!$E:$E,m4_cv!$A:$A,$E22,m4_cv!$B:$B,$A22),0))</f>
        <v>2819</v>
      </c>
      <c r="K22">
        <f>MAX(0,ROUND(SUMIFS(m5_cv!$E:$E,m5_cv!$A:$A,$E22,m5_cv!$B:$B,$A22),0))</f>
        <v>2882</v>
      </c>
      <c r="L22">
        <f>MAX(0,ROUND(SUMIFS(m6_cv!$E:$E,m6_cv!$A:$A,$E22,m6_cv!$B:$B,$A22),0))</f>
        <v>3184</v>
      </c>
      <c r="M22">
        <f>MAX(0,ROUND(SUMIFS(m7_cv!$E:$E,m7_cv!$A:$A,$E22,m7_cv!$B:$B,$A22),0))</f>
        <v>2850</v>
      </c>
      <c r="N22">
        <f>ROUND(_xlfn.XLOOKUP($D22,Charts!$W$86:$W$116,Charts!$X$86:$X$116)*$L22+_xlfn.XLOOKUP($D22,Charts!$W$86:$W$116,Charts!$Y$86:$Y$116)*$M22,0)</f>
        <v>2850</v>
      </c>
      <c r="O22">
        <f>MAX(0,ROUND(SUMIFS(m8_cv!$E:$E,m8_cv!$A:$A,$E22,m8_cv!$B:$B,$A22),0))</f>
        <v>2912</v>
      </c>
    </row>
    <row r="23" spans="1:15" x14ac:dyDescent="0.25">
      <c r="A23" s="3">
        <f t="shared" si="4"/>
        <v>45679</v>
      </c>
      <c r="B23">
        <f t="shared" si="0"/>
        <v>2025</v>
      </c>
      <c r="C23">
        <f t="shared" si="1"/>
        <v>1</v>
      </c>
      <c r="D23">
        <f t="shared" si="2"/>
        <v>22</v>
      </c>
      <c r="E23" s="2">
        <f t="shared" si="3"/>
        <v>45657</v>
      </c>
      <c r="F23" s="12">
        <f>_xlfn.XLOOKUP($A23,m1_cv!$B:$B,m1_cv!$C:$C)</f>
        <v>2878</v>
      </c>
      <c r="G23">
        <f>MAX(0,ROUND(SUMIFS(m1_cv!$E:$E,m1_cv!$A:$A,$E23,m1_cv!$B:$B,$A23),0))</f>
        <v>3013</v>
      </c>
      <c r="H23">
        <f>MAX(0,ROUND(SUMIFS(m2_cv!$E:$E,m2_cv!$A:$A,$E23,m2_cv!$B:$B,$A23),0))</f>
        <v>3325</v>
      </c>
      <c r="I23">
        <f>MAX(0,ROUND(SUMIFS(m3_cv!$E:$E,m3_cv!$A:$A,$E23,m3_cv!$B:$B,$A23),0))</f>
        <v>3307</v>
      </c>
      <c r="J23">
        <f>MAX(0,ROUND(SUMIFS(m4_cv!$E:$E,m4_cv!$A:$A,$E23,m4_cv!$B:$B,$A23),0))</f>
        <v>3293</v>
      </c>
      <c r="K23">
        <f>MAX(0,ROUND(SUMIFS(m5_cv!$E:$E,m5_cv!$A:$A,$E23,m5_cv!$B:$B,$A23),0))</f>
        <v>3176</v>
      </c>
      <c r="L23">
        <f>MAX(0,ROUND(SUMIFS(m6_cv!$E:$E,m6_cv!$A:$A,$E23,m6_cv!$B:$B,$A23),0))</f>
        <v>3794</v>
      </c>
      <c r="M23">
        <f>MAX(0,ROUND(SUMIFS(m7_cv!$E:$E,m7_cv!$A:$A,$E23,m7_cv!$B:$B,$A23),0))</f>
        <v>3173</v>
      </c>
      <c r="N23">
        <f>ROUND(_xlfn.XLOOKUP($D23,Charts!$W$86:$W$116,Charts!$X$86:$X$116)*$L23+_xlfn.XLOOKUP($D23,Charts!$W$86:$W$116,Charts!$Y$86:$Y$116)*$M23,0)</f>
        <v>3173</v>
      </c>
      <c r="O23">
        <f>MAX(0,ROUND(SUMIFS(m8_cv!$E:$E,m8_cv!$A:$A,$E23,m8_cv!$B:$B,$A23),0))</f>
        <v>3245</v>
      </c>
    </row>
    <row r="24" spans="1:15" x14ac:dyDescent="0.25">
      <c r="A24" s="3">
        <f t="shared" si="4"/>
        <v>45680</v>
      </c>
      <c r="B24">
        <f t="shared" si="0"/>
        <v>2025</v>
      </c>
      <c r="C24">
        <f t="shared" si="1"/>
        <v>1</v>
      </c>
      <c r="D24">
        <f t="shared" si="2"/>
        <v>23</v>
      </c>
      <c r="E24" s="2">
        <f t="shared" si="3"/>
        <v>45657</v>
      </c>
      <c r="F24" s="12">
        <f>_xlfn.XLOOKUP($A24,m1_cv!$B:$B,m1_cv!$C:$C)</f>
        <v>4853</v>
      </c>
      <c r="G24">
        <f>MAX(0,ROUND(SUMIFS(m1_cv!$E:$E,m1_cv!$A:$A,$E24,m1_cv!$B:$B,$A24),0))</f>
        <v>3007</v>
      </c>
      <c r="H24">
        <f>MAX(0,ROUND(SUMIFS(m2_cv!$E:$E,m2_cv!$A:$A,$E24,m2_cv!$B:$B,$A24),0))</f>
        <v>3455</v>
      </c>
      <c r="I24">
        <f>MAX(0,ROUND(SUMIFS(m3_cv!$E:$E,m3_cv!$A:$A,$E24,m3_cv!$B:$B,$A24),0))</f>
        <v>3522</v>
      </c>
      <c r="J24">
        <f>MAX(0,ROUND(SUMIFS(m4_cv!$E:$E,m4_cv!$A:$A,$E24,m4_cv!$B:$B,$A24),0))</f>
        <v>3510</v>
      </c>
      <c r="K24">
        <f>MAX(0,ROUND(SUMIFS(m5_cv!$E:$E,m5_cv!$A:$A,$E24,m5_cv!$B:$B,$A24),0))</f>
        <v>3337</v>
      </c>
      <c r="L24">
        <f>MAX(0,ROUND(SUMIFS(m6_cv!$E:$E,m6_cv!$A:$A,$E24,m6_cv!$B:$B,$A24),0))</f>
        <v>4655</v>
      </c>
      <c r="M24">
        <f>MAX(0,ROUND(SUMIFS(m7_cv!$E:$E,m7_cv!$A:$A,$E24,m7_cv!$B:$B,$A24),0))</f>
        <v>3318</v>
      </c>
      <c r="N24">
        <f>ROUND(_xlfn.XLOOKUP($D24,Charts!$W$86:$W$116,Charts!$X$86:$X$116)*$L24+_xlfn.XLOOKUP($D24,Charts!$W$86:$W$116,Charts!$Y$86:$Y$116)*$M24,0)</f>
        <v>3318</v>
      </c>
      <c r="O24">
        <f>MAX(0,ROUND(SUMIFS(m8_cv!$E:$E,m8_cv!$A:$A,$E24,m8_cv!$B:$B,$A24),0))</f>
        <v>3388</v>
      </c>
    </row>
    <row r="25" spans="1:15" x14ac:dyDescent="0.25">
      <c r="A25" s="3">
        <f t="shared" si="4"/>
        <v>45681</v>
      </c>
      <c r="B25">
        <f t="shared" si="0"/>
        <v>2025</v>
      </c>
      <c r="C25">
        <f t="shared" si="1"/>
        <v>1</v>
      </c>
      <c r="D25">
        <f t="shared" si="2"/>
        <v>24</v>
      </c>
      <c r="E25" s="2">
        <f t="shared" si="3"/>
        <v>45657</v>
      </c>
      <c r="F25" s="12">
        <f>_xlfn.XLOOKUP($A25,m1_cv!$B:$B,m1_cv!$C:$C)</f>
        <v>5202</v>
      </c>
      <c r="G25">
        <f>MAX(0,ROUND(SUMIFS(m1_cv!$E:$E,m1_cv!$A:$A,$E25,m1_cv!$B:$B,$A25),0))</f>
        <v>2898</v>
      </c>
      <c r="H25">
        <f>MAX(0,ROUND(SUMIFS(m2_cv!$E:$E,m2_cv!$A:$A,$E25,m2_cv!$B:$B,$A25),0))</f>
        <v>3204</v>
      </c>
      <c r="I25">
        <f>MAX(0,ROUND(SUMIFS(m3_cv!$E:$E,m3_cv!$A:$A,$E25,m3_cv!$B:$B,$A25),0))</f>
        <v>3298</v>
      </c>
      <c r="J25">
        <f>MAX(0,ROUND(SUMIFS(m4_cv!$E:$E,m4_cv!$A:$A,$E25,m4_cv!$B:$B,$A25),0))</f>
        <v>3288</v>
      </c>
      <c r="K25">
        <f>MAX(0,ROUND(SUMIFS(m5_cv!$E:$E,m5_cv!$A:$A,$E25,m5_cv!$B:$B,$A25),0))</f>
        <v>3262</v>
      </c>
      <c r="L25">
        <f>MAX(0,ROUND(SUMIFS(m6_cv!$E:$E,m6_cv!$A:$A,$E25,m6_cv!$B:$B,$A25),0))</f>
        <v>4558</v>
      </c>
      <c r="M25">
        <f>MAX(0,ROUND(SUMIFS(m7_cv!$E:$E,m7_cv!$A:$A,$E25,m7_cv!$B:$B,$A25),0))</f>
        <v>3270</v>
      </c>
      <c r="N25">
        <f>ROUND(_xlfn.XLOOKUP($D25,Charts!$W$86:$W$116,Charts!$X$86:$X$116)*$L25+_xlfn.XLOOKUP($D25,Charts!$W$86:$W$116,Charts!$Y$86:$Y$116)*$M25,0)</f>
        <v>4558</v>
      </c>
      <c r="O25">
        <f>MAX(0,ROUND(SUMIFS(m8_cv!$E:$E,m8_cv!$A:$A,$E25,m8_cv!$B:$B,$A25),0))</f>
        <v>3317</v>
      </c>
    </row>
    <row r="26" spans="1:15" x14ac:dyDescent="0.25">
      <c r="A26" s="3">
        <f t="shared" si="4"/>
        <v>45682</v>
      </c>
      <c r="B26">
        <f t="shared" si="0"/>
        <v>2025</v>
      </c>
      <c r="C26">
        <f t="shared" si="1"/>
        <v>1</v>
      </c>
      <c r="D26">
        <f t="shared" si="2"/>
        <v>25</v>
      </c>
      <c r="E26" s="2">
        <f t="shared" si="3"/>
        <v>45657</v>
      </c>
      <c r="F26" s="12">
        <f>_xlfn.XLOOKUP($A26,m1_cv!$B:$B,m1_cv!$C:$C)</f>
        <v>1624</v>
      </c>
      <c r="G26">
        <f>MAX(0,ROUND(SUMIFS(m1_cv!$E:$E,m1_cv!$A:$A,$E26,m1_cv!$B:$B,$A26),0))</f>
        <v>743</v>
      </c>
      <c r="H26">
        <f>MAX(0,ROUND(SUMIFS(m2_cv!$E:$E,m2_cv!$A:$A,$E26,m2_cv!$B:$B,$A26),0))</f>
        <v>956</v>
      </c>
      <c r="I26">
        <f>MAX(0,ROUND(SUMIFS(m3_cv!$E:$E,m3_cv!$A:$A,$E26,m3_cv!$B:$B,$A26),0))</f>
        <v>1110</v>
      </c>
      <c r="J26">
        <f>MAX(0,ROUND(SUMIFS(m4_cv!$E:$E,m4_cv!$A:$A,$E26,m4_cv!$B:$B,$A26),0))</f>
        <v>1098</v>
      </c>
      <c r="K26">
        <f>MAX(0,ROUND(SUMIFS(m5_cv!$E:$E,m5_cv!$A:$A,$E26,m5_cv!$B:$B,$A26),0))</f>
        <v>1106</v>
      </c>
      <c r="L26">
        <f>MAX(0,ROUND(SUMIFS(m6_cv!$E:$E,m6_cv!$A:$A,$E26,m6_cv!$B:$B,$A26),0))</f>
        <v>777</v>
      </c>
      <c r="M26">
        <f>MAX(0,ROUND(SUMIFS(m7_cv!$E:$E,m7_cv!$A:$A,$E26,m7_cv!$B:$B,$A26),0))</f>
        <v>1209</v>
      </c>
      <c r="N26">
        <f>ROUND(_xlfn.XLOOKUP($D26,Charts!$W$86:$W$116,Charts!$X$86:$X$116)*$L26+_xlfn.XLOOKUP($D26,Charts!$W$86:$W$116,Charts!$Y$86:$Y$116)*$M26,0)</f>
        <v>777</v>
      </c>
      <c r="O26">
        <f>MAX(0,ROUND(SUMIFS(m8_cv!$E:$E,m8_cv!$A:$A,$E26,m8_cv!$B:$B,$A26),0))</f>
        <v>1320</v>
      </c>
    </row>
    <row r="27" spans="1:15" x14ac:dyDescent="0.25">
      <c r="A27" s="3">
        <f t="shared" si="4"/>
        <v>45683</v>
      </c>
      <c r="B27">
        <f t="shared" si="0"/>
        <v>2025</v>
      </c>
      <c r="C27">
        <f t="shared" si="1"/>
        <v>1</v>
      </c>
      <c r="D27">
        <f t="shared" si="2"/>
        <v>26</v>
      </c>
      <c r="E27" s="2">
        <f t="shared" si="3"/>
        <v>45657</v>
      </c>
      <c r="F27" s="12">
        <f>_xlfn.XLOOKUP($A27,m1_cv!$B:$B,m1_cv!$C:$C)</f>
        <v>454</v>
      </c>
      <c r="G27">
        <f>MAX(0,ROUND(SUMIFS(m1_cv!$E:$E,m1_cv!$A:$A,$E27,m1_cv!$B:$B,$A27),0))</f>
        <v>204</v>
      </c>
      <c r="H27">
        <f>MAX(0,ROUND(SUMIFS(m2_cv!$E:$E,m2_cv!$A:$A,$E27,m2_cv!$B:$B,$A27),0))</f>
        <v>844</v>
      </c>
      <c r="I27">
        <f>MAX(0,ROUND(SUMIFS(m3_cv!$E:$E,m3_cv!$A:$A,$E27,m3_cv!$B:$B,$A27),0))</f>
        <v>1017</v>
      </c>
      <c r="J27">
        <f>MAX(0,ROUND(SUMIFS(m4_cv!$E:$E,m4_cv!$A:$A,$E27,m4_cv!$B:$B,$A27),0))</f>
        <v>1007</v>
      </c>
      <c r="K27">
        <f>MAX(0,ROUND(SUMIFS(m5_cv!$E:$E,m5_cv!$A:$A,$E27,m5_cv!$B:$B,$A27),0))</f>
        <v>739</v>
      </c>
      <c r="L27">
        <f>MAX(0,ROUND(SUMIFS(m6_cv!$E:$E,m6_cv!$A:$A,$E27,m6_cv!$B:$B,$A27),0))</f>
        <v>304</v>
      </c>
      <c r="M27">
        <f>MAX(0,ROUND(SUMIFS(m7_cv!$E:$E,m7_cv!$A:$A,$E27,m7_cv!$B:$B,$A27),0))</f>
        <v>684</v>
      </c>
      <c r="N27">
        <f>ROUND(_xlfn.XLOOKUP($D27,Charts!$W$86:$W$116,Charts!$X$86:$X$116)*$L27+_xlfn.XLOOKUP($D27,Charts!$W$86:$W$116,Charts!$Y$86:$Y$116)*$M27,0)</f>
        <v>304</v>
      </c>
      <c r="O27">
        <f>MAX(0,ROUND(SUMIFS(m8_cv!$E:$E,m8_cv!$A:$A,$E27,m8_cv!$B:$B,$A27),0))</f>
        <v>1004</v>
      </c>
    </row>
    <row r="28" spans="1:15" x14ac:dyDescent="0.25">
      <c r="A28" s="3">
        <f t="shared" si="4"/>
        <v>45684</v>
      </c>
      <c r="B28">
        <f t="shared" si="0"/>
        <v>2025</v>
      </c>
      <c r="C28">
        <f t="shared" si="1"/>
        <v>1</v>
      </c>
      <c r="D28">
        <f t="shared" si="2"/>
        <v>27</v>
      </c>
      <c r="E28" s="2">
        <f t="shared" si="3"/>
        <v>45657</v>
      </c>
      <c r="F28" s="12">
        <f>_xlfn.XLOOKUP($A28,m1_cv!$B:$B,m1_cv!$C:$C)</f>
        <v>5598</v>
      </c>
      <c r="G28">
        <f>MAX(0,ROUND(SUMIFS(m1_cv!$E:$E,m1_cv!$A:$A,$E28,m1_cv!$B:$B,$A28),0))</f>
        <v>2498</v>
      </c>
      <c r="H28">
        <f>MAX(0,ROUND(SUMIFS(m2_cv!$E:$E,m2_cv!$A:$A,$E28,m2_cv!$B:$B,$A28),0))</f>
        <v>4229</v>
      </c>
      <c r="I28">
        <f>MAX(0,ROUND(SUMIFS(m3_cv!$E:$E,m3_cv!$A:$A,$E28,m3_cv!$B:$B,$A28),0))</f>
        <v>4565</v>
      </c>
      <c r="J28">
        <f>MAX(0,ROUND(SUMIFS(m4_cv!$E:$E,m4_cv!$A:$A,$E28,m4_cv!$B:$B,$A28),0))</f>
        <v>4552</v>
      </c>
      <c r="K28">
        <f>MAX(0,ROUND(SUMIFS(m5_cv!$E:$E,m5_cv!$A:$A,$E28,m5_cv!$B:$B,$A28),0))</f>
        <v>4615</v>
      </c>
      <c r="L28">
        <f>MAX(0,ROUND(SUMIFS(m6_cv!$E:$E,m6_cv!$A:$A,$E28,m6_cv!$B:$B,$A28),0))</f>
        <v>6569</v>
      </c>
      <c r="M28">
        <f>MAX(0,ROUND(SUMIFS(m7_cv!$E:$E,m7_cv!$A:$A,$E28,m7_cv!$B:$B,$A28),0))</f>
        <v>4452</v>
      </c>
      <c r="N28">
        <f>ROUND(_xlfn.XLOOKUP($D28,Charts!$W$86:$W$116,Charts!$X$86:$X$116)*$L28+_xlfn.XLOOKUP($D28,Charts!$W$86:$W$116,Charts!$Y$86:$Y$116)*$M28,0)</f>
        <v>6569</v>
      </c>
      <c r="O28">
        <f>MAX(0,ROUND(SUMIFS(m8_cv!$E:$E,m8_cv!$A:$A,$E28,m8_cv!$B:$B,$A28),0))</f>
        <v>4482</v>
      </c>
    </row>
    <row r="29" spans="1:15" x14ac:dyDescent="0.25">
      <c r="A29" s="3">
        <f t="shared" si="4"/>
        <v>45685</v>
      </c>
      <c r="B29">
        <f t="shared" si="0"/>
        <v>2025</v>
      </c>
      <c r="C29">
        <f t="shared" si="1"/>
        <v>1</v>
      </c>
      <c r="D29">
        <f t="shared" si="2"/>
        <v>28</v>
      </c>
      <c r="E29" s="2">
        <f t="shared" si="3"/>
        <v>45657</v>
      </c>
      <c r="F29" s="12">
        <f>_xlfn.XLOOKUP($A29,m1_cv!$B:$B,m1_cv!$C:$C)</f>
        <v>5264</v>
      </c>
      <c r="G29">
        <f>MAX(0,ROUND(SUMIFS(m1_cv!$E:$E,m1_cv!$A:$A,$E29,m1_cv!$B:$B,$A29),0))</f>
        <v>3090</v>
      </c>
      <c r="H29">
        <f>MAX(0,ROUND(SUMIFS(m2_cv!$E:$E,m2_cv!$A:$A,$E29,m2_cv!$B:$B,$A29),0))</f>
        <v>6074</v>
      </c>
      <c r="I29">
        <f>MAX(0,ROUND(SUMIFS(m3_cv!$E:$E,m3_cv!$A:$A,$E29,m3_cv!$B:$B,$A29),0))</f>
        <v>6172</v>
      </c>
      <c r="J29">
        <f>MAX(0,ROUND(SUMIFS(m4_cv!$E:$E,m4_cv!$A:$A,$E29,m4_cv!$B:$B,$A29),0))</f>
        <v>6159</v>
      </c>
      <c r="K29">
        <f>MAX(0,ROUND(SUMIFS(m5_cv!$E:$E,m5_cv!$A:$A,$E29,m5_cv!$B:$B,$A29),0))</f>
        <v>5199</v>
      </c>
      <c r="L29">
        <f>MAX(0,ROUND(SUMIFS(m6_cv!$E:$E,m6_cv!$A:$A,$E29,m6_cv!$B:$B,$A29),0))</f>
        <v>7796</v>
      </c>
      <c r="M29">
        <f>MAX(0,ROUND(SUMIFS(m7_cv!$E:$E,m7_cv!$A:$A,$E29,m7_cv!$B:$B,$A29),0))</f>
        <v>5223</v>
      </c>
      <c r="N29">
        <f>ROUND(_xlfn.XLOOKUP($D29,Charts!$W$86:$W$116,Charts!$X$86:$X$116)*$L29+_xlfn.XLOOKUP($D29,Charts!$W$86:$W$116,Charts!$Y$86:$Y$116)*$M29,0)</f>
        <v>7796</v>
      </c>
      <c r="O29">
        <f>MAX(0,ROUND(SUMIFS(m8_cv!$E:$E,m8_cv!$A:$A,$E29,m8_cv!$B:$B,$A29),0))</f>
        <v>5290</v>
      </c>
    </row>
    <row r="30" spans="1:15" x14ac:dyDescent="0.25">
      <c r="A30" s="3">
        <f t="shared" si="4"/>
        <v>45686</v>
      </c>
      <c r="B30">
        <f t="shared" si="0"/>
        <v>2025</v>
      </c>
      <c r="C30">
        <f t="shared" si="1"/>
        <v>1</v>
      </c>
      <c r="D30">
        <f t="shared" si="2"/>
        <v>29</v>
      </c>
      <c r="E30" s="2">
        <f t="shared" si="3"/>
        <v>45657</v>
      </c>
      <c r="F30" s="12">
        <f>_xlfn.XLOOKUP($A30,m1_cv!$B:$B,m1_cv!$C:$C)</f>
        <v>310</v>
      </c>
      <c r="G30">
        <f>MAX(0,ROUND(SUMIFS(m1_cv!$E:$E,m1_cv!$A:$A,$E30,m1_cv!$B:$B,$A30),0))</f>
        <v>3088</v>
      </c>
      <c r="H30">
        <f>MAX(0,ROUND(SUMIFS(m2_cv!$E:$E,m2_cv!$A:$A,$E30,m2_cv!$B:$B,$A30),0))</f>
        <v>6770</v>
      </c>
      <c r="I30">
        <f>MAX(0,ROUND(SUMIFS(m3_cv!$E:$E,m3_cv!$A:$A,$E30,m3_cv!$B:$B,$A30),0))</f>
        <v>5792</v>
      </c>
      <c r="J30">
        <f>MAX(0,ROUND(SUMIFS(m4_cv!$E:$E,m4_cv!$A:$A,$E30,m4_cv!$B:$B,$A30),0))</f>
        <v>5776</v>
      </c>
      <c r="K30">
        <f>MAX(0,ROUND(SUMIFS(m5_cv!$E:$E,m5_cv!$A:$A,$E30,m5_cv!$B:$B,$A30),0))</f>
        <v>4209</v>
      </c>
      <c r="L30">
        <f>MAX(0,ROUND(SUMIFS(m6_cv!$E:$E,m6_cv!$A:$A,$E30,m6_cv!$B:$B,$A30),0))</f>
        <v>110</v>
      </c>
      <c r="M30">
        <f>MAX(0,ROUND(SUMIFS(m7_cv!$E:$E,m7_cv!$A:$A,$E30,m7_cv!$B:$B,$A30),0))</f>
        <v>4408</v>
      </c>
      <c r="N30">
        <f>ROUND(_xlfn.XLOOKUP($D30,Charts!$W$86:$W$116,Charts!$X$86:$X$116)*$L30+_xlfn.XLOOKUP($D30,Charts!$W$86:$W$116,Charts!$Y$86:$Y$116)*$M30,0)</f>
        <v>4408</v>
      </c>
      <c r="O30">
        <f>MAX(0,ROUND(SUMIFS(m8_cv!$E:$E,m8_cv!$A:$A,$E30,m8_cv!$B:$B,$A30),0))</f>
        <v>4590</v>
      </c>
    </row>
    <row r="31" spans="1:15" x14ac:dyDescent="0.25">
      <c r="A31" s="3">
        <f t="shared" si="4"/>
        <v>45687</v>
      </c>
      <c r="B31">
        <f t="shared" si="0"/>
        <v>2025</v>
      </c>
      <c r="C31">
        <f t="shared" si="1"/>
        <v>1</v>
      </c>
      <c r="D31">
        <f t="shared" si="2"/>
        <v>30</v>
      </c>
      <c r="E31" s="2">
        <f t="shared" si="3"/>
        <v>45657</v>
      </c>
      <c r="F31" s="12">
        <f>_xlfn.XLOOKUP($A31,m1_cv!$B:$B,m1_cv!$C:$C)</f>
        <v>255</v>
      </c>
      <c r="G31">
        <f>MAX(0,ROUND(SUMIFS(m1_cv!$E:$E,m1_cv!$A:$A,$E31,m1_cv!$B:$B,$A31),0))</f>
        <v>3090</v>
      </c>
      <c r="H31">
        <f>MAX(0,ROUND(SUMIFS(m2_cv!$E:$E,m2_cv!$A:$A,$E31,m2_cv!$B:$B,$A31),0))</f>
        <v>6266</v>
      </c>
      <c r="I31">
        <f>MAX(0,ROUND(SUMIFS(m3_cv!$E:$E,m3_cv!$A:$A,$E31,m3_cv!$B:$B,$A31),0))</f>
        <v>5336</v>
      </c>
      <c r="J31">
        <f>MAX(0,ROUND(SUMIFS(m4_cv!$E:$E,m4_cv!$A:$A,$E31,m4_cv!$B:$B,$A31),0))</f>
        <v>5321</v>
      </c>
      <c r="K31">
        <f>MAX(0,ROUND(SUMIFS(m5_cv!$E:$E,m5_cv!$A:$A,$E31,m5_cv!$B:$B,$A31),0))</f>
        <v>6108</v>
      </c>
      <c r="L31">
        <f>MAX(0,ROUND(SUMIFS(m6_cv!$E:$E,m6_cv!$A:$A,$E31,m6_cv!$B:$B,$A31),0))</f>
        <v>207</v>
      </c>
      <c r="M31">
        <f>MAX(0,ROUND(SUMIFS(m7_cv!$E:$E,m7_cv!$A:$A,$E31,m7_cv!$B:$B,$A31),0))</f>
        <v>5919</v>
      </c>
      <c r="N31">
        <f>ROUND(_xlfn.XLOOKUP($D31,Charts!$W$86:$W$116,Charts!$X$86:$X$116)*$L31+_xlfn.XLOOKUP($D31,Charts!$W$86:$W$116,Charts!$Y$86:$Y$116)*$M31,0)</f>
        <v>5919</v>
      </c>
      <c r="O31">
        <f>MAX(0,ROUND(SUMIFS(m8_cv!$E:$E,m8_cv!$A:$A,$E31,m8_cv!$B:$B,$A31),0))</f>
        <v>6045</v>
      </c>
    </row>
    <row r="32" spans="1:15" x14ac:dyDescent="0.25">
      <c r="A32" s="3">
        <f t="shared" si="4"/>
        <v>45688</v>
      </c>
      <c r="B32">
        <f t="shared" si="0"/>
        <v>2025</v>
      </c>
      <c r="C32">
        <f t="shared" si="1"/>
        <v>1</v>
      </c>
      <c r="D32">
        <f t="shared" si="2"/>
        <v>31</v>
      </c>
      <c r="E32" s="2">
        <f t="shared" si="3"/>
        <v>45657</v>
      </c>
      <c r="F32" s="12">
        <f>_xlfn.XLOOKUP($A32,m1_cv!$B:$B,m1_cv!$C:$C)</f>
        <v>6041</v>
      </c>
      <c r="G32">
        <f>MAX(0,ROUND(SUMIFS(m1_cv!$E:$E,m1_cv!$A:$A,$E32,m1_cv!$B:$B,$A32),0))</f>
        <v>2986</v>
      </c>
      <c r="H32">
        <f>MAX(0,ROUND(SUMIFS(m2_cv!$E:$E,m2_cv!$A:$A,$E32,m2_cv!$B:$B,$A32),0))</f>
        <v>4550</v>
      </c>
      <c r="I32">
        <f>MAX(0,ROUND(SUMIFS(m3_cv!$E:$E,m3_cv!$A:$A,$E32,m3_cv!$B:$B,$A32),0))</f>
        <v>4792</v>
      </c>
      <c r="J32">
        <f>MAX(0,ROUND(SUMIFS(m4_cv!$E:$E,m4_cv!$A:$A,$E32,m4_cv!$B:$B,$A32),0))</f>
        <v>4780</v>
      </c>
      <c r="K32">
        <f>MAX(0,ROUND(SUMIFS(m5_cv!$E:$E,m5_cv!$A:$A,$E32,m5_cv!$B:$B,$A32),0))</f>
        <v>8349</v>
      </c>
      <c r="L32">
        <f>MAX(0,ROUND(SUMIFS(m6_cv!$E:$E,m6_cv!$A:$A,$E32,m6_cv!$B:$B,$A32),0))</f>
        <v>15565</v>
      </c>
      <c r="M32">
        <f>MAX(0,ROUND(SUMIFS(m7_cv!$E:$E,m7_cv!$A:$A,$E32,m7_cv!$B:$B,$A32),0))</f>
        <v>8150</v>
      </c>
      <c r="N32">
        <f>ROUND(_xlfn.XLOOKUP($D32,Charts!$W$86:$W$116,Charts!$X$86:$X$116)*$L32+_xlfn.XLOOKUP($D32,Charts!$W$86:$W$116,Charts!$Y$86:$Y$116)*$M32,0)</f>
        <v>8150</v>
      </c>
      <c r="O32">
        <f>MAX(0,ROUND(SUMIFS(m8_cv!$E:$E,m8_cv!$A:$A,$E32,m8_cv!$B:$B,$A32),0))</f>
        <v>8213</v>
      </c>
    </row>
    <row r="33" spans="1:15" x14ac:dyDescent="0.25">
      <c r="A33" s="3">
        <f t="shared" si="4"/>
        <v>45689</v>
      </c>
      <c r="B33">
        <f t="shared" si="0"/>
        <v>2025</v>
      </c>
      <c r="C33">
        <f t="shared" si="1"/>
        <v>2</v>
      </c>
      <c r="D33">
        <f t="shared" si="2"/>
        <v>1</v>
      </c>
      <c r="E33" s="2">
        <f t="shared" si="3"/>
        <v>45688</v>
      </c>
      <c r="F33" s="12">
        <f>_xlfn.XLOOKUP($A33,m1_cv!$B:$B,m1_cv!$C:$C)</f>
        <v>47</v>
      </c>
      <c r="G33">
        <f>MAX(0,ROUND(SUMIFS(m1_cv!$E:$E,m1_cv!$A:$A,$E33,m1_cv!$B:$B,$A33),0))</f>
        <v>933</v>
      </c>
      <c r="H33">
        <f>MAX(0,ROUND(SUMIFS(m2_cv!$E:$E,m2_cv!$A:$A,$E33,m2_cv!$B:$B,$A33),0))</f>
        <v>215</v>
      </c>
      <c r="I33">
        <f>MAX(0,ROUND(SUMIFS(m3_cv!$E:$E,m3_cv!$A:$A,$E33,m3_cv!$B:$B,$A33),0))</f>
        <v>0</v>
      </c>
      <c r="J33">
        <f>MAX(0,ROUND(SUMIFS(m4_cv!$E:$E,m4_cv!$A:$A,$E33,m4_cv!$B:$B,$A33),0))</f>
        <v>0</v>
      </c>
      <c r="K33">
        <f>MAX(0,ROUND(SUMIFS(m5_cv!$E:$E,m5_cv!$A:$A,$E33,m5_cv!$B:$B,$A33),0))</f>
        <v>0</v>
      </c>
      <c r="L33">
        <f>MAX(0,ROUND(SUMIFS(m6_cv!$E:$E,m6_cv!$A:$A,$E33,m6_cv!$B:$B,$A33),0))</f>
        <v>16</v>
      </c>
      <c r="M33">
        <f>MAX(0,ROUND(SUMIFS(m7_cv!$E:$E,m7_cv!$A:$A,$E33,m7_cv!$B:$B,$A33),0))</f>
        <v>0</v>
      </c>
      <c r="N33">
        <f>ROUND(_xlfn.XLOOKUP($D33,Charts!$W$86:$W$116,Charts!$X$86:$X$116)*$L33+_xlfn.XLOOKUP($D33,Charts!$W$86:$W$116,Charts!$Y$86:$Y$116)*$M33,0)</f>
        <v>16</v>
      </c>
      <c r="O33">
        <f>MAX(0,ROUND(SUMIFS(m8_cv!$E:$E,m8_cv!$A:$A,$E33,m8_cv!$B:$B,$A33),0))</f>
        <v>0</v>
      </c>
    </row>
    <row r="34" spans="1:15" x14ac:dyDescent="0.25">
      <c r="A34" s="3">
        <f t="shared" si="4"/>
        <v>45690</v>
      </c>
      <c r="B34">
        <f t="shared" si="0"/>
        <v>2025</v>
      </c>
      <c r="C34">
        <f t="shared" si="1"/>
        <v>2</v>
      </c>
      <c r="D34">
        <f t="shared" si="2"/>
        <v>2</v>
      </c>
      <c r="E34" s="2">
        <f t="shared" si="3"/>
        <v>45688</v>
      </c>
      <c r="F34" s="12">
        <f>_xlfn.XLOOKUP($A34,m1_cv!$B:$B,m1_cv!$C:$C)</f>
        <v>14</v>
      </c>
      <c r="G34">
        <f>MAX(0,ROUND(SUMIFS(m1_cv!$E:$E,m1_cv!$A:$A,$E34,m1_cv!$B:$B,$A34),0))</f>
        <v>392</v>
      </c>
      <c r="H34">
        <f>MAX(0,ROUND(SUMIFS(m2_cv!$E:$E,m2_cv!$A:$A,$E34,m2_cv!$B:$B,$A34),0))</f>
        <v>0</v>
      </c>
      <c r="I34">
        <f>MAX(0,ROUND(SUMIFS(m3_cv!$E:$E,m3_cv!$A:$A,$E34,m3_cv!$B:$B,$A34),0))</f>
        <v>0</v>
      </c>
      <c r="J34">
        <f>MAX(0,ROUND(SUMIFS(m4_cv!$E:$E,m4_cv!$A:$A,$E34,m4_cv!$B:$B,$A34),0))</f>
        <v>0</v>
      </c>
      <c r="K34">
        <f>MAX(0,ROUND(SUMIFS(m5_cv!$E:$E,m5_cv!$A:$A,$E34,m5_cv!$B:$B,$A34),0))</f>
        <v>0</v>
      </c>
      <c r="L34">
        <f>MAX(0,ROUND(SUMIFS(m6_cv!$E:$E,m6_cv!$A:$A,$E34,m6_cv!$B:$B,$A34),0))</f>
        <v>40</v>
      </c>
      <c r="M34">
        <f>MAX(0,ROUND(SUMIFS(m7_cv!$E:$E,m7_cv!$A:$A,$E34,m7_cv!$B:$B,$A34),0))</f>
        <v>0</v>
      </c>
      <c r="N34">
        <f>ROUND(_xlfn.XLOOKUP($D34,Charts!$W$86:$W$116,Charts!$X$86:$X$116)*$L34+_xlfn.XLOOKUP($D34,Charts!$W$86:$W$116,Charts!$Y$86:$Y$116)*$M34,0)</f>
        <v>40</v>
      </c>
      <c r="O34">
        <f>MAX(0,ROUND(SUMIFS(m8_cv!$E:$E,m8_cv!$A:$A,$E34,m8_cv!$B:$B,$A34),0))</f>
        <v>0</v>
      </c>
    </row>
    <row r="35" spans="1:15" x14ac:dyDescent="0.25">
      <c r="A35" s="3">
        <f t="shared" si="4"/>
        <v>45691</v>
      </c>
      <c r="B35">
        <f t="shared" si="0"/>
        <v>2025</v>
      </c>
      <c r="C35">
        <f t="shared" si="1"/>
        <v>2</v>
      </c>
      <c r="D35">
        <f t="shared" si="2"/>
        <v>3</v>
      </c>
      <c r="E35" s="2">
        <f t="shared" si="3"/>
        <v>45688</v>
      </c>
      <c r="F35" s="12">
        <f>_xlfn.XLOOKUP($A35,m1_cv!$B:$B,m1_cv!$C:$C)</f>
        <v>454</v>
      </c>
      <c r="G35">
        <f>MAX(0,ROUND(SUMIFS(m1_cv!$E:$E,m1_cv!$A:$A,$E35,m1_cv!$B:$B,$A35),0))</f>
        <v>2676</v>
      </c>
      <c r="H35">
        <f>MAX(0,ROUND(SUMIFS(m2_cv!$E:$E,m2_cv!$A:$A,$E35,m2_cv!$B:$B,$A35),0))</f>
        <v>260</v>
      </c>
      <c r="I35">
        <f>MAX(0,ROUND(SUMIFS(m3_cv!$E:$E,m3_cv!$A:$A,$E35,m3_cv!$B:$B,$A35),0))</f>
        <v>905</v>
      </c>
      <c r="J35">
        <f>MAX(0,ROUND(SUMIFS(m4_cv!$E:$E,m4_cv!$A:$A,$E35,m4_cv!$B:$B,$A35),0))</f>
        <v>904</v>
      </c>
      <c r="K35">
        <f>MAX(0,ROUND(SUMIFS(m5_cv!$E:$E,m5_cv!$A:$A,$E35,m5_cv!$B:$B,$A35),0))</f>
        <v>1125</v>
      </c>
      <c r="L35">
        <f>MAX(0,ROUND(SUMIFS(m6_cv!$E:$E,m6_cv!$A:$A,$E35,m6_cv!$B:$B,$A35),0))</f>
        <v>696</v>
      </c>
      <c r="M35">
        <f>MAX(0,ROUND(SUMIFS(m7_cv!$E:$E,m7_cv!$A:$A,$E35,m7_cv!$B:$B,$A35),0))</f>
        <v>1223</v>
      </c>
      <c r="N35">
        <f>ROUND(_xlfn.XLOOKUP($D35,Charts!$W$86:$W$116,Charts!$X$86:$X$116)*$L35+_xlfn.XLOOKUP($D35,Charts!$W$86:$W$116,Charts!$Y$86:$Y$116)*$M35,0)</f>
        <v>696</v>
      </c>
      <c r="O35">
        <f>MAX(0,ROUND(SUMIFS(m8_cv!$E:$E,m8_cv!$A:$A,$E35,m8_cv!$B:$B,$A35),0))</f>
        <v>1431</v>
      </c>
    </row>
    <row r="36" spans="1:15" x14ac:dyDescent="0.25">
      <c r="A36" s="3">
        <f t="shared" si="4"/>
        <v>45692</v>
      </c>
      <c r="B36">
        <f t="shared" si="0"/>
        <v>2025</v>
      </c>
      <c r="C36">
        <f t="shared" si="1"/>
        <v>2</v>
      </c>
      <c r="D36">
        <f t="shared" si="2"/>
        <v>4</v>
      </c>
      <c r="E36" s="2">
        <f t="shared" si="3"/>
        <v>45688</v>
      </c>
      <c r="F36" s="12">
        <f>_xlfn.XLOOKUP($A36,m1_cv!$B:$B,m1_cv!$C:$C)</f>
        <v>626</v>
      </c>
      <c r="G36">
        <f>MAX(0,ROUND(SUMIFS(m1_cv!$E:$E,m1_cv!$A:$A,$E36,m1_cv!$B:$B,$A36),0))</f>
        <v>3246</v>
      </c>
      <c r="H36">
        <f>MAX(0,ROUND(SUMIFS(m2_cv!$E:$E,m2_cv!$A:$A,$E36,m2_cv!$B:$B,$A36),0))</f>
        <v>1150</v>
      </c>
      <c r="I36">
        <f>MAX(0,ROUND(SUMIFS(m3_cv!$E:$E,m3_cv!$A:$A,$E36,m3_cv!$B:$B,$A36),0))</f>
        <v>1546</v>
      </c>
      <c r="J36">
        <f>MAX(0,ROUND(SUMIFS(m4_cv!$E:$E,m4_cv!$A:$A,$E36,m4_cv!$B:$B,$A36),0))</f>
        <v>1545</v>
      </c>
      <c r="K36">
        <f>MAX(0,ROUND(SUMIFS(m5_cv!$E:$E,m5_cv!$A:$A,$E36,m5_cv!$B:$B,$A36),0))</f>
        <v>1614</v>
      </c>
      <c r="L36">
        <f>MAX(0,ROUND(SUMIFS(m6_cv!$E:$E,m6_cv!$A:$A,$E36,m6_cv!$B:$B,$A36),0))</f>
        <v>929</v>
      </c>
      <c r="M36">
        <f>MAX(0,ROUND(SUMIFS(m7_cv!$E:$E,m7_cv!$A:$A,$E36,m7_cv!$B:$B,$A36),0))</f>
        <v>1536</v>
      </c>
      <c r="N36">
        <f>ROUND(_xlfn.XLOOKUP($D36,Charts!$W$86:$W$116,Charts!$X$86:$X$116)*$L36+_xlfn.XLOOKUP($D36,Charts!$W$86:$W$116,Charts!$Y$86:$Y$116)*$M36,0)</f>
        <v>929</v>
      </c>
      <c r="O36">
        <f>MAX(0,ROUND(SUMIFS(m8_cv!$E:$E,m8_cv!$A:$A,$E36,m8_cv!$B:$B,$A36),0))</f>
        <v>1722</v>
      </c>
    </row>
    <row r="37" spans="1:15" x14ac:dyDescent="0.25">
      <c r="A37" s="3">
        <f t="shared" si="4"/>
        <v>45693</v>
      </c>
      <c r="B37">
        <f t="shared" si="0"/>
        <v>2025</v>
      </c>
      <c r="C37">
        <f t="shared" si="1"/>
        <v>2</v>
      </c>
      <c r="D37">
        <f t="shared" si="2"/>
        <v>5</v>
      </c>
      <c r="E37" s="2">
        <f t="shared" si="3"/>
        <v>45688</v>
      </c>
      <c r="F37" s="12">
        <f>_xlfn.XLOOKUP($A37,m1_cv!$B:$B,m1_cv!$C:$C)</f>
        <v>886</v>
      </c>
      <c r="G37">
        <f>MAX(0,ROUND(SUMIFS(m1_cv!$E:$E,m1_cv!$A:$A,$E37,m1_cv!$B:$B,$A37),0))</f>
        <v>3179</v>
      </c>
      <c r="H37">
        <f>MAX(0,ROUND(SUMIFS(m2_cv!$E:$E,m2_cv!$A:$A,$E37,m2_cv!$B:$B,$A37),0))</f>
        <v>1575</v>
      </c>
      <c r="I37">
        <f>MAX(0,ROUND(SUMIFS(m3_cv!$E:$E,m3_cv!$A:$A,$E37,m3_cv!$B:$B,$A37),0))</f>
        <v>2019</v>
      </c>
      <c r="J37">
        <f>MAX(0,ROUND(SUMIFS(m4_cv!$E:$E,m4_cv!$A:$A,$E37,m4_cv!$B:$B,$A37),0))</f>
        <v>2018</v>
      </c>
      <c r="K37">
        <f>MAX(0,ROUND(SUMIFS(m5_cv!$E:$E,m5_cv!$A:$A,$E37,m5_cv!$B:$B,$A37),0))</f>
        <v>1693</v>
      </c>
      <c r="L37">
        <f>MAX(0,ROUND(SUMIFS(m6_cv!$E:$E,m6_cv!$A:$A,$E37,m6_cv!$B:$B,$A37),0))</f>
        <v>1086</v>
      </c>
      <c r="M37">
        <f>MAX(0,ROUND(SUMIFS(m7_cv!$E:$E,m7_cv!$A:$A,$E37,m7_cv!$B:$B,$A37),0))</f>
        <v>1611</v>
      </c>
      <c r="N37">
        <f>ROUND(_xlfn.XLOOKUP($D37,Charts!$W$86:$W$116,Charts!$X$86:$X$116)*$L37+_xlfn.XLOOKUP($D37,Charts!$W$86:$W$116,Charts!$Y$86:$Y$116)*$M37,0)</f>
        <v>1191</v>
      </c>
      <c r="O37">
        <f>MAX(0,ROUND(SUMIFS(m8_cv!$E:$E,m8_cv!$A:$A,$E37,m8_cv!$B:$B,$A37),0))</f>
        <v>1849</v>
      </c>
    </row>
    <row r="38" spans="1:15" x14ac:dyDescent="0.25">
      <c r="A38" s="3">
        <f t="shared" si="4"/>
        <v>45694</v>
      </c>
      <c r="B38">
        <f t="shared" si="0"/>
        <v>2025</v>
      </c>
      <c r="C38">
        <f t="shared" si="1"/>
        <v>2</v>
      </c>
      <c r="D38">
        <f t="shared" si="2"/>
        <v>6</v>
      </c>
      <c r="E38" s="2">
        <f t="shared" si="3"/>
        <v>45688</v>
      </c>
      <c r="F38" s="12">
        <f>_xlfn.XLOOKUP($A38,m1_cv!$B:$B,m1_cv!$C:$C)</f>
        <v>1159</v>
      </c>
      <c r="G38">
        <f>MAX(0,ROUND(SUMIFS(m1_cv!$E:$E,m1_cv!$A:$A,$E38,m1_cv!$B:$B,$A38),0))</f>
        <v>3181</v>
      </c>
      <c r="H38">
        <f>MAX(0,ROUND(SUMIFS(m2_cv!$E:$E,m2_cv!$A:$A,$E38,m2_cv!$B:$B,$A38),0))</f>
        <v>1786</v>
      </c>
      <c r="I38">
        <f>MAX(0,ROUND(SUMIFS(m3_cv!$E:$E,m3_cv!$A:$A,$E38,m3_cv!$B:$B,$A38),0))</f>
        <v>2138</v>
      </c>
      <c r="J38">
        <f>MAX(0,ROUND(SUMIFS(m4_cv!$E:$E,m4_cv!$A:$A,$E38,m4_cv!$B:$B,$A38),0))</f>
        <v>2137</v>
      </c>
      <c r="K38">
        <f>MAX(0,ROUND(SUMIFS(m5_cv!$E:$E,m5_cv!$A:$A,$E38,m5_cv!$B:$B,$A38),0))</f>
        <v>1552</v>
      </c>
      <c r="L38">
        <f>MAX(0,ROUND(SUMIFS(m6_cv!$E:$E,m6_cv!$A:$A,$E38,m6_cv!$B:$B,$A38),0))</f>
        <v>1169</v>
      </c>
      <c r="M38">
        <f>MAX(0,ROUND(SUMIFS(m7_cv!$E:$E,m7_cv!$A:$A,$E38,m7_cv!$B:$B,$A38),0))</f>
        <v>1626</v>
      </c>
      <c r="N38">
        <f>ROUND(_xlfn.XLOOKUP($D38,Charts!$W$86:$W$116,Charts!$X$86:$X$116)*$L38+_xlfn.XLOOKUP($D38,Charts!$W$86:$W$116,Charts!$Y$86:$Y$116)*$M38,0)</f>
        <v>1398</v>
      </c>
      <c r="O38">
        <f>MAX(0,ROUND(SUMIFS(m8_cv!$E:$E,m8_cv!$A:$A,$E38,m8_cv!$B:$B,$A38),0))</f>
        <v>1780</v>
      </c>
    </row>
    <row r="39" spans="1:15" x14ac:dyDescent="0.25">
      <c r="A39" s="3">
        <f t="shared" si="4"/>
        <v>45695</v>
      </c>
      <c r="B39">
        <f t="shared" si="0"/>
        <v>2025</v>
      </c>
      <c r="C39">
        <f t="shared" si="1"/>
        <v>2</v>
      </c>
      <c r="D39">
        <f t="shared" si="2"/>
        <v>7</v>
      </c>
      <c r="E39" s="2">
        <f t="shared" si="3"/>
        <v>45688</v>
      </c>
      <c r="F39" s="12">
        <f>_xlfn.XLOOKUP($A39,m1_cv!$B:$B,m1_cv!$C:$C)</f>
        <v>1342</v>
      </c>
      <c r="G39">
        <f>MAX(0,ROUND(SUMIFS(m1_cv!$E:$E,m1_cv!$A:$A,$E39,m1_cv!$B:$B,$A39),0))</f>
        <v>3102</v>
      </c>
      <c r="H39">
        <f>MAX(0,ROUND(SUMIFS(m2_cv!$E:$E,m2_cv!$A:$A,$E39,m2_cv!$B:$B,$A39),0))</f>
        <v>1624</v>
      </c>
      <c r="I39">
        <f>MAX(0,ROUND(SUMIFS(m3_cv!$E:$E,m3_cv!$A:$A,$E39,m3_cv!$B:$B,$A39),0))</f>
        <v>1844</v>
      </c>
      <c r="J39">
        <f>MAX(0,ROUND(SUMIFS(m4_cv!$E:$E,m4_cv!$A:$A,$E39,m4_cv!$B:$B,$A39),0))</f>
        <v>1843</v>
      </c>
      <c r="K39">
        <f>MAX(0,ROUND(SUMIFS(m5_cv!$E:$E,m5_cv!$A:$A,$E39,m5_cv!$B:$B,$A39),0))</f>
        <v>1248</v>
      </c>
      <c r="L39">
        <f>MAX(0,ROUND(SUMIFS(m6_cv!$E:$E,m6_cv!$A:$A,$E39,m6_cv!$B:$B,$A39),0))</f>
        <v>937</v>
      </c>
      <c r="M39">
        <f>MAX(0,ROUND(SUMIFS(m7_cv!$E:$E,m7_cv!$A:$A,$E39,m7_cv!$B:$B,$A39),0))</f>
        <v>1370</v>
      </c>
      <c r="N39">
        <f>ROUND(_xlfn.XLOOKUP($D39,Charts!$W$86:$W$116,Charts!$X$86:$X$116)*$L39+_xlfn.XLOOKUP($D39,Charts!$W$86:$W$116,Charts!$Y$86:$Y$116)*$M39,0)</f>
        <v>1154</v>
      </c>
      <c r="O39">
        <f>MAX(0,ROUND(SUMIFS(m8_cv!$E:$E,m8_cv!$A:$A,$E39,m8_cv!$B:$B,$A39),0))</f>
        <v>1252</v>
      </c>
    </row>
    <row r="40" spans="1:15" x14ac:dyDescent="0.25">
      <c r="A40" s="3">
        <f t="shared" si="4"/>
        <v>45696</v>
      </c>
      <c r="B40">
        <f t="shared" si="0"/>
        <v>2025</v>
      </c>
      <c r="C40">
        <f t="shared" si="1"/>
        <v>2</v>
      </c>
      <c r="D40">
        <f t="shared" si="2"/>
        <v>8</v>
      </c>
      <c r="E40" s="2">
        <f t="shared" si="3"/>
        <v>45688</v>
      </c>
      <c r="F40" s="12">
        <f>_xlfn.XLOOKUP($A40,m1_cv!$B:$B,m1_cv!$C:$C)</f>
        <v>301</v>
      </c>
      <c r="G40">
        <f>MAX(0,ROUND(SUMIFS(m1_cv!$E:$E,m1_cv!$A:$A,$E40,m1_cv!$B:$B,$A40),0))</f>
        <v>927</v>
      </c>
      <c r="H40">
        <f>MAX(0,ROUND(SUMIFS(m2_cv!$E:$E,m2_cv!$A:$A,$E40,m2_cv!$B:$B,$A40),0))</f>
        <v>0</v>
      </c>
      <c r="I40">
        <f>MAX(0,ROUND(SUMIFS(m3_cv!$E:$E,m3_cv!$A:$A,$E40,m3_cv!$B:$B,$A40),0))</f>
        <v>0</v>
      </c>
      <c r="J40">
        <f>MAX(0,ROUND(SUMIFS(m4_cv!$E:$E,m4_cv!$A:$A,$E40,m4_cv!$B:$B,$A40),0))</f>
        <v>0</v>
      </c>
      <c r="K40">
        <f>MAX(0,ROUND(SUMIFS(m5_cv!$E:$E,m5_cv!$A:$A,$E40,m5_cv!$B:$B,$A40),0))</f>
        <v>0</v>
      </c>
      <c r="L40">
        <f>MAX(0,ROUND(SUMIFS(m6_cv!$E:$E,m6_cv!$A:$A,$E40,m6_cv!$B:$B,$A40),0))</f>
        <v>262</v>
      </c>
      <c r="M40">
        <f>MAX(0,ROUND(SUMIFS(m7_cv!$E:$E,m7_cv!$A:$A,$E40,m7_cv!$B:$B,$A40),0))</f>
        <v>0</v>
      </c>
      <c r="N40">
        <f>ROUND(_xlfn.XLOOKUP($D40,Charts!$W$86:$W$116,Charts!$X$86:$X$116)*$L40+_xlfn.XLOOKUP($D40,Charts!$W$86:$W$116,Charts!$Y$86:$Y$116)*$M40,0)</f>
        <v>131</v>
      </c>
      <c r="O40">
        <f>MAX(0,ROUND(SUMIFS(m8_cv!$E:$E,m8_cv!$A:$A,$E40,m8_cv!$B:$B,$A40),0))</f>
        <v>2</v>
      </c>
    </row>
    <row r="41" spans="1:15" x14ac:dyDescent="0.25">
      <c r="A41" s="3">
        <f t="shared" si="4"/>
        <v>45697</v>
      </c>
      <c r="B41">
        <f t="shared" si="0"/>
        <v>2025</v>
      </c>
      <c r="C41">
        <f t="shared" si="1"/>
        <v>2</v>
      </c>
      <c r="D41">
        <f t="shared" si="2"/>
        <v>9</v>
      </c>
      <c r="E41" s="2">
        <f t="shared" si="3"/>
        <v>45688</v>
      </c>
      <c r="F41" s="12">
        <f>_xlfn.XLOOKUP($A41,m1_cv!$B:$B,m1_cv!$C:$C)</f>
        <v>54</v>
      </c>
      <c r="G41">
        <f>MAX(0,ROUND(SUMIFS(m1_cv!$E:$E,m1_cv!$A:$A,$E41,m1_cv!$B:$B,$A41),0))</f>
        <v>376</v>
      </c>
      <c r="H41">
        <f>MAX(0,ROUND(SUMIFS(m2_cv!$E:$E,m2_cv!$A:$A,$E41,m2_cv!$B:$B,$A41),0))</f>
        <v>0</v>
      </c>
      <c r="I41">
        <f>MAX(0,ROUND(SUMIFS(m3_cv!$E:$E,m3_cv!$A:$A,$E41,m3_cv!$B:$B,$A41),0))</f>
        <v>0</v>
      </c>
      <c r="J41">
        <f>MAX(0,ROUND(SUMIFS(m4_cv!$E:$E,m4_cv!$A:$A,$E41,m4_cv!$B:$B,$A41),0))</f>
        <v>0</v>
      </c>
      <c r="K41">
        <f>MAX(0,ROUND(SUMIFS(m5_cv!$E:$E,m5_cv!$A:$A,$E41,m5_cv!$B:$B,$A41),0))</f>
        <v>0</v>
      </c>
      <c r="L41">
        <f>MAX(0,ROUND(SUMIFS(m6_cv!$E:$E,m6_cv!$A:$A,$E41,m6_cv!$B:$B,$A41),0))</f>
        <v>100</v>
      </c>
      <c r="M41">
        <f>MAX(0,ROUND(SUMIFS(m7_cv!$E:$E,m7_cv!$A:$A,$E41,m7_cv!$B:$B,$A41),0))</f>
        <v>0</v>
      </c>
      <c r="N41">
        <f>ROUND(_xlfn.XLOOKUP($D41,Charts!$W$86:$W$116,Charts!$X$86:$X$116)*$L41+_xlfn.XLOOKUP($D41,Charts!$W$86:$W$116,Charts!$Y$86:$Y$116)*$M41,0)</f>
        <v>50</v>
      </c>
      <c r="O41">
        <f>MAX(0,ROUND(SUMIFS(m8_cv!$E:$E,m8_cv!$A:$A,$E41,m8_cv!$B:$B,$A41),0))</f>
        <v>0</v>
      </c>
    </row>
    <row r="42" spans="1:15" x14ac:dyDescent="0.25">
      <c r="A42" s="3">
        <f t="shared" si="4"/>
        <v>45698</v>
      </c>
      <c r="B42">
        <f t="shared" si="0"/>
        <v>2025</v>
      </c>
      <c r="C42">
        <f t="shared" si="1"/>
        <v>2</v>
      </c>
      <c r="D42">
        <f t="shared" si="2"/>
        <v>10</v>
      </c>
      <c r="E42" s="2">
        <f t="shared" si="3"/>
        <v>45688</v>
      </c>
      <c r="F42" s="12">
        <f>_xlfn.XLOOKUP($A42,m1_cv!$B:$B,m1_cv!$C:$C)</f>
        <v>1577</v>
      </c>
      <c r="G42">
        <f>MAX(0,ROUND(SUMIFS(m1_cv!$E:$E,m1_cv!$A:$A,$E42,m1_cv!$B:$B,$A42),0))</f>
        <v>2654</v>
      </c>
      <c r="H42">
        <f>MAX(0,ROUND(SUMIFS(m2_cv!$E:$E,m2_cv!$A:$A,$E42,m2_cv!$B:$B,$A42),0))</f>
        <v>1547</v>
      </c>
      <c r="I42">
        <f>MAX(0,ROUND(SUMIFS(m3_cv!$E:$E,m3_cv!$A:$A,$E42,m3_cv!$B:$B,$A42),0))</f>
        <v>2087</v>
      </c>
      <c r="J42">
        <f>MAX(0,ROUND(SUMIFS(m4_cv!$E:$E,m4_cv!$A:$A,$E42,m4_cv!$B:$B,$A42),0))</f>
        <v>2085</v>
      </c>
      <c r="K42">
        <f>MAX(0,ROUND(SUMIFS(m5_cv!$E:$E,m5_cv!$A:$A,$E42,m5_cv!$B:$B,$A42),0))</f>
        <v>1856</v>
      </c>
      <c r="L42">
        <f>MAX(0,ROUND(SUMIFS(m6_cv!$E:$E,m6_cv!$A:$A,$E42,m6_cv!$B:$B,$A42),0))</f>
        <v>1263</v>
      </c>
      <c r="M42">
        <f>MAX(0,ROUND(SUMIFS(m7_cv!$E:$E,m7_cv!$A:$A,$E42,m7_cv!$B:$B,$A42),0))</f>
        <v>1877</v>
      </c>
      <c r="N42">
        <f>ROUND(_xlfn.XLOOKUP($D42,Charts!$W$86:$W$116,Charts!$X$86:$X$116)*$L42+_xlfn.XLOOKUP($D42,Charts!$W$86:$W$116,Charts!$Y$86:$Y$116)*$M42,0)</f>
        <v>1570</v>
      </c>
      <c r="O42">
        <f>MAX(0,ROUND(SUMIFS(m8_cv!$E:$E,m8_cv!$A:$A,$E42,m8_cv!$B:$B,$A42),0))</f>
        <v>2135</v>
      </c>
    </row>
    <row r="43" spans="1:15" x14ac:dyDescent="0.25">
      <c r="A43" s="3">
        <f t="shared" si="4"/>
        <v>45699</v>
      </c>
      <c r="B43">
        <f t="shared" si="0"/>
        <v>2025</v>
      </c>
      <c r="C43">
        <f t="shared" si="1"/>
        <v>2</v>
      </c>
      <c r="D43">
        <f t="shared" si="2"/>
        <v>11</v>
      </c>
      <c r="E43" s="2">
        <f t="shared" si="3"/>
        <v>45688</v>
      </c>
      <c r="F43" s="12">
        <f>_xlfn.XLOOKUP($A43,m1_cv!$B:$B,m1_cv!$C:$C)</f>
        <v>555</v>
      </c>
      <c r="G43">
        <f>MAX(0,ROUND(SUMIFS(m1_cv!$E:$E,m1_cv!$A:$A,$E43,m1_cv!$B:$B,$A43),0))</f>
        <v>3221</v>
      </c>
      <c r="H43">
        <f>MAX(0,ROUND(SUMIFS(m2_cv!$E:$E,m2_cv!$A:$A,$E43,m2_cv!$B:$B,$A43),0))</f>
        <v>2321</v>
      </c>
      <c r="I43">
        <f>MAX(0,ROUND(SUMIFS(m3_cv!$E:$E,m3_cv!$A:$A,$E43,m3_cv!$B:$B,$A43),0))</f>
        <v>1040</v>
      </c>
      <c r="J43">
        <f>MAX(0,ROUND(SUMIFS(m4_cv!$E:$E,m4_cv!$A:$A,$E43,m4_cv!$B:$B,$A43),0))</f>
        <v>1035</v>
      </c>
      <c r="K43">
        <f>MAX(0,ROUND(SUMIFS(m5_cv!$E:$E,m5_cv!$A:$A,$E43,m5_cv!$B:$B,$A43),0))</f>
        <v>701</v>
      </c>
      <c r="L43">
        <f>MAX(0,ROUND(SUMIFS(m6_cv!$E:$E,m6_cv!$A:$A,$E43,m6_cv!$B:$B,$A43),0))</f>
        <v>202</v>
      </c>
      <c r="M43">
        <f>MAX(0,ROUND(SUMIFS(m7_cv!$E:$E,m7_cv!$A:$A,$E43,m7_cv!$B:$B,$A43),0))</f>
        <v>694</v>
      </c>
      <c r="N43">
        <f>ROUND(_xlfn.XLOOKUP($D43,Charts!$W$86:$W$116,Charts!$X$86:$X$116)*$L43+_xlfn.XLOOKUP($D43,Charts!$W$86:$W$116,Charts!$Y$86:$Y$116)*$M43,0)</f>
        <v>546</v>
      </c>
      <c r="O43">
        <f>MAX(0,ROUND(SUMIFS(m8_cv!$E:$E,m8_cv!$A:$A,$E43,m8_cv!$B:$B,$A43),0))</f>
        <v>921</v>
      </c>
    </row>
    <row r="44" spans="1:15" x14ac:dyDescent="0.25">
      <c r="A44" s="3">
        <f t="shared" si="4"/>
        <v>45700</v>
      </c>
      <c r="B44">
        <f t="shared" si="0"/>
        <v>2025</v>
      </c>
      <c r="C44">
        <f t="shared" si="1"/>
        <v>2</v>
      </c>
      <c r="D44">
        <f t="shared" si="2"/>
        <v>12</v>
      </c>
      <c r="E44" s="2">
        <f t="shared" si="3"/>
        <v>45688</v>
      </c>
      <c r="F44" s="12">
        <f>_xlfn.XLOOKUP($A44,m1_cv!$B:$B,m1_cv!$C:$C)</f>
        <v>1823</v>
      </c>
      <c r="G44">
        <f>MAX(0,ROUND(SUMIFS(m1_cv!$E:$E,m1_cv!$A:$A,$E44,m1_cv!$B:$B,$A44),0))</f>
        <v>3154</v>
      </c>
      <c r="H44">
        <f>MAX(0,ROUND(SUMIFS(m2_cv!$E:$E,m2_cv!$A:$A,$E44,m2_cv!$B:$B,$A44),0))</f>
        <v>2307</v>
      </c>
      <c r="I44">
        <f>MAX(0,ROUND(SUMIFS(m3_cv!$E:$E,m3_cv!$A:$A,$E44,m3_cv!$B:$B,$A44),0))</f>
        <v>2630</v>
      </c>
      <c r="J44">
        <f>MAX(0,ROUND(SUMIFS(m4_cv!$E:$E,m4_cv!$A:$A,$E44,m4_cv!$B:$B,$A44),0))</f>
        <v>2629</v>
      </c>
      <c r="K44">
        <f>MAX(0,ROUND(SUMIFS(m5_cv!$E:$E,m5_cv!$A:$A,$E44,m5_cv!$B:$B,$A44),0))</f>
        <v>2334</v>
      </c>
      <c r="L44">
        <f>MAX(0,ROUND(SUMIFS(m6_cv!$E:$E,m6_cv!$A:$A,$E44,m6_cv!$B:$B,$A44),0))</f>
        <v>2057</v>
      </c>
      <c r="M44">
        <f>MAX(0,ROUND(SUMIFS(m7_cv!$E:$E,m7_cv!$A:$A,$E44,m7_cv!$B:$B,$A44),0))</f>
        <v>2347</v>
      </c>
      <c r="N44">
        <f>ROUND(_xlfn.XLOOKUP($D44,Charts!$W$86:$W$116,Charts!$X$86:$X$116)*$L44+_xlfn.XLOOKUP($D44,Charts!$W$86:$W$116,Charts!$Y$86:$Y$116)*$M44,0)</f>
        <v>2260</v>
      </c>
      <c r="O44">
        <f>MAX(0,ROUND(SUMIFS(m8_cv!$E:$E,m8_cv!$A:$A,$E44,m8_cv!$B:$B,$A44),0))</f>
        <v>2598</v>
      </c>
    </row>
    <row r="45" spans="1:15" x14ac:dyDescent="0.25">
      <c r="A45" s="3">
        <f t="shared" si="4"/>
        <v>45701</v>
      </c>
      <c r="B45">
        <f t="shared" si="0"/>
        <v>2025</v>
      </c>
      <c r="C45">
        <f t="shared" si="1"/>
        <v>2</v>
      </c>
      <c r="D45">
        <f t="shared" si="2"/>
        <v>13</v>
      </c>
      <c r="E45" s="2">
        <f t="shared" si="3"/>
        <v>45688</v>
      </c>
      <c r="F45" s="12">
        <f>_xlfn.XLOOKUP($A45,m1_cv!$B:$B,m1_cv!$C:$C)</f>
        <v>2210</v>
      </c>
      <c r="G45">
        <f>MAX(0,ROUND(SUMIFS(m1_cv!$E:$E,m1_cv!$A:$A,$E45,m1_cv!$B:$B,$A45),0))</f>
        <v>3161</v>
      </c>
      <c r="H45">
        <f>MAX(0,ROUND(SUMIFS(m2_cv!$E:$E,m2_cv!$A:$A,$E45,m2_cv!$B:$B,$A45),0))</f>
        <v>2281</v>
      </c>
      <c r="I45">
        <f>MAX(0,ROUND(SUMIFS(m3_cv!$E:$E,m3_cv!$A:$A,$E45,m3_cv!$B:$B,$A45),0))</f>
        <v>2463</v>
      </c>
      <c r="J45">
        <f>MAX(0,ROUND(SUMIFS(m4_cv!$E:$E,m4_cv!$A:$A,$E45,m4_cv!$B:$B,$A45),0))</f>
        <v>2462</v>
      </c>
      <c r="K45">
        <f>MAX(0,ROUND(SUMIFS(m5_cv!$E:$E,m5_cv!$A:$A,$E45,m5_cv!$B:$B,$A45),0))</f>
        <v>2337</v>
      </c>
      <c r="L45">
        <f>MAX(0,ROUND(SUMIFS(m6_cv!$E:$E,m6_cv!$A:$A,$E45,m6_cv!$B:$B,$A45),0))</f>
        <v>2259</v>
      </c>
      <c r="M45">
        <f>MAX(0,ROUND(SUMIFS(m7_cv!$E:$E,m7_cv!$A:$A,$E45,m7_cv!$B:$B,$A45),0))</f>
        <v>2321</v>
      </c>
      <c r="N45">
        <f>ROUND(_xlfn.XLOOKUP($D45,Charts!$W$86:$W$116,Charts!$X$86:$X$116)*$L45+_xlfn.XLOOKUP($D45,Charts!$W$86:$W$116,Charts!$Y$86:$Y$116)*$M45,0)</f>
        <v>2302</v>
      </c>
      <c r="O45">
        <f>MAX(0,ROUND(SUMIFS(m8_cv!$E:$E,m8_cv!$A:$A,$E45,m8_cv!$B:$B,$A45),0))</f>
        <v>2577</v>
      </c>
    </row>
    <row r="46" spans="1:15" x14ac:dyDescent="0.25">
      <c r="A46" s="3">
        <f t="shared" si="4"/>
        <v>45702</v>
      </c>
      <c r="B46">
        <f t="shared" si="0"/>
        <v>2025</v>
      </c>
      <c r="C46">
        <f t="shared" si="1"/>
        <v>2</v>
      </c>
      <c r="D46">
        <f t="shared" si="2"/>
        <v>14</v>
      </c>
      <c r="E46" s="2">
        <f t="shared" si="3"/>
        <v>45688</v>
      </c>
      <c r="F46" s="12">
        <f>_xlfn.XLOOKUP($A46,m1_cv!$B:$B,m1_cv!$C:$C)</f>
        <v>2308</v>
      </c>
      <c r="G46">
        <f>MAX(0,ROUND(SUMIFS(m1_cv!$E:$E,m1_cv!$A:$A,$E46,m1_cv!$B:$B,$A46),0))</f>
        <v>3090</v>
      </c>
      <c r="H46">
        <f>MAX(0,ROUND(SUMIFS(m2_cv!$E:$E,m2_cv!$A:$A,$E46,m2_cv!$B:$B,$A46),0))</f>
        <v>2279</v>
      </c>
      <c r="I46">
        <f>MAX(0,ROUND(SUMIFS(m3_cv!$E:$E,m3_cv!$A:$A,$E46,m3_cv!$B:$B,$A46),0))</f>
        <v>2295</v>
      </c>
      <c r="J46">
        <f>MAX(0,ROUND(SUMIFS(m4_cv!$E:$E,m4_cv!$A:$A,$E46,m4_cv!$B:$B,$A46),0))</f>
        <v>2294</v>
      </c>
      <c r="K46">
        <f>MAX(0,ROUND(SUMIFS(m5_cv!$E:$E,m5_cv!$A:$A,$E46,m5_cv!$B:$B,$A46),0))</f>
        <v>2314</v>
      </c>
      <c r="L46">
        <f>MAX(0,ROUND(SUMIFS(m6_cv!$E:$E,m6_cv!$A:$A,$E46,m6_cv!$B:$B,$A46),0))</f>
        <v>1973</v>
      </c>
      <c r="M46">
        <f>MAX(0,ROUND(SUMIFS(m7_cv!$E:$E,m7_cv!$A:$A,$E46,m7_cv!$B:$B,$A46),0))</f>
        <v>2326</v>
      </c>
      <c r="N46">
        <f>ROUND(_xlfn.XLOOKUP($D46,Charts!$W$86:$W$116,Charts!$X$86:$X$116)*$L46+_xlfn.XLOOKUP($D46,Charts!$W$86:$W$116,Charts!$Y$86:$Y$116)*$M46,0)</f>
        <v>2326</v>
      </c>
      <c r="O46">
        <f>MAX(0,ROUND(SUMIFS(m8_cv!$E:$E,m8_cv!$A:$A,$E46,m8_cv!$B:$B,$A46),0))</f>
        <v>2578</v>
      </c>
    </row>
    <row r="47" spans="1:15" x14ac:dyDescent="0.25">
      <c r="A47" s="3">
        <f t="shared" si="4"/>
        <v>45703</v>
      </c>
      <c r="B47">
        <f t="shared" si="0"/>
        <v>2025</v>
      </c>
      <c r="C47">
        <f t="shared" si="1"/>
        <v>2</v>
      </c>
      <c r="D47">
        <f t="shared" si="2"/>
        <v>15</v>
      </c>
      <c r="E47" s="2">
        <f t="shared" si="3"/>
        <v>45688</v>
      </c>
      <c r="F47" s="12">
        <f>_xlfn.XLOOKUP($A47,m1_cv!$B:$B,m1_cv!$C:$C)</f>
        <v>485</v>
      </c>
      <c r="G47">
        <f>MAX(0,ROUND(SUMIFS(m1_cv!$E:$E,m1_cv!$A:$A,$E47,m1_cv!$B:$B,$A47),0))</f>
        <v>924</v>
      </c>
      <c r="H47">
        <f>MAX(0,ROUND(SUMIFS(m2_cv!$E:$E,m2_cv!$A:$A,$E47,m2_cv!$B:$B,$A47),0))</f>
        <v>346</v>
      </c>
      <c r="I47">
        <f>MAX(0,ROUND(SUMIFS(m3_cv!$E:$E,m3_cv!$A:$A,$E47,m3_cv!$B:$B,$A47),0))</f>
        <v>366</v>
      </c>
      <c r="J47">
        <f>MAX(0,ROUND(SUMIFS(m4_cv!$E:$E,m4_cv!$A:$A,$E47,m4_cv!$B:$B,$A47),0))</f>
        <v>364</v>
      </c>
      <c r="K47">
        <f>MAX(0,ROUND(SUMIFS(m5_cv!$E:$E,m5_cv!$A:$A,$E47,m5_cv!$B:$B,$A47),0))</f>
        <v>311</v>
      </c>
      <c r="L47">
        <f>MAX(0,ROUND(SUMIFS(m6_cv!$E:$E,m6_cv!$A:$A,$E47,m6_cv!$B:$B,$A47),0))</f>
        <v>335</v>
      </c>
      <c r="M47">
        <f>MAX(0,ROUND(SUMIFS(m7_cv!$E:$E,m7_cv!$A:$A,$E47,m7_cv!$B:$B,$A47),0))</f>
        <v>361</v>
      </c>
      <c r="N47">
        <f>ROUND(_xlfn.XLOOKUP($D47,Charts!$W$86:$W$116,Charts!$X$86:$X$116)*$L47+_xlfn.XLOOKUP($D47,Charts!$W$86:$W$116,Charts!$Y$86:$Y$116)*$M47,0)</f>
        <v>361</v>
      </c>
      <c r="O47">
        <f>MAX(0,ROUND(SUMIFS(m8_cv!$E:$E,m8_cv!$A:$A,$E47,m8_cv!$B:$B,$A47),0))</f>
        <v>611</v>
      </c>
    </row>
    <row r="48" spans="1:15" x14ac:dyDescent="0.25">
      <c r="A48" s="3">
        <f t="shared" si="4"/>
        <v>45704</v>
      </c>
      <c r="B48">
        <f t="shared" si="0"/>
        <v>2025</v>
      </c>
      <c r="C48">
        <f t="shared" si="1"/>
        <v>2</v>
      </c>
      <c r="D48">
        <f t="shared" si="2"/>
        <v>16</v>
      </c>
      <c r="E48" s="2">
        <f t="shared" si="3"/>
        <v>45688</v>
      </c>
      <c r="F48" s="12">
        <f>_xlfn.XLOOKUP($A48,m1_cv!$B:$B,m1_cv!$C:$C)</f>
        <v>118</v>
      </c>
      <c r="G48">
        <f>MAX(0,ROUND(SUMIFS(m1_cv!$E:$E,m1_cv!$A:$A,$E48,m1_cv!$B:$B,$A48),0))</f>
        <v>386</v>
      </c>
      <c r="H48">
        <f>MAX(0,ROUND(SUMIFS(m2_cv!$E:$E,m2_cv!$A:$A,$E48,m2_cv!$B:$B,$A48),0))</f>
        <v>71</v>
      </c>
      <c r="I48">
        <f>MAX(0,ROUND(SUMIFS(m3_cv!$E:$E,m3_cv!$A:$A,$E48,m3_cv!$B:$B,$A48),0))</f>
        <v>146</v>
      </c>
      <c r="J48">
        <f>MAX(0,ROUND(SUMIFS(m4_cv!$E:$E,m4_cv!$A:$A,$E48,m4_cv!$B:$B,$A48),0))</f>
        <v>144</v>
      </c>
      <c r="K48">
        <f>MAX(0,ROUND(SUMIFS(m5_cv!$E:$E,m5_cv!$A:$A,$E48,m5_cv!$B:$B,$A48),0))</f>
        <v>0</v>
      </c>
      <c r="L48">
        <f>MAX(0,ROUND(SUMIFS(m6_cv!$E:$E,m6_cv!$A:$A,$E48,m6_cv!$B:$B,$A48),0))</f>
        <v>145</v>
      </c>
      <c r="M48">
        <f>MAX(0,ROUND(SUMIFS(m7_cv!$E:$E,m7_cv!$A:$A,$E48,m7_cv!$B:$B,$A48),0))</f>
        <v>0</v>
      </c>
      <c r="N48">
        <f>ROUND(_xlfn.XLOOKUP($D48,Charts!$W$86:$W$116,Charts!$X$86:$X$116)*$L48+_xlfn.XLOOKUP($D48,Charts!$W$86:$W$116,Charts!$Y$86:$Y$116)*$M48,0)</f>
        <v>0</v>
      </c>
      <c r="O48">
        <f>MAX(0,ROUND(SUMIFS(m8_cv!$E:$E,m8_cv!$A:$A,$E48,m8_cv!$B:$B,$A48),0))</f>
        <v>204</v>
      </c>
    </row>
    <row r="49" spans="1:15" x14ac:dyDescent="0.25">
      <c r="A49" s="3">
        <f t="shared" si="4"/>
        <v>45705</v>
      </c>
      <c r="B49">
        <f t="shared" si="0"/>
        <v>2025</v>
      </c>
      <c r="C49">
        <f t="shared" si="1"/>
        <v>2</v>
      </c>
      <c r="D49">
        <f t="shared" si="2"/>
        <v>17</v>
      </c>
      <c r="E49" s="2">
        <f t="shared" si="3"/>
        <v>45688</v>
      </c>
      <c r="F49" s="12">
        <f>_xlfn.XLOOKUP($A49,m1_cv!$B:$B,m1_cv!$C:$C)</f>
        <v>2482</v>
      </c>
      <c r="G49">
        <f>MAX(0,ROUND(SUMIFS(m1_cv!$E:$E,m1_cv!$A:$A,$E49,m1_cv!$B:$B,$A49),0))</f>
        <v>2679</v>
      </c>
      <c r="H49">
        <f>MAX(0,ROUND(SUMIFS(m2_cv!$E:$E,m2_cv!$A:$A,$E49,m2_cv!$B:$B,$A49),0))</f>
        <v>2475</v>
      </c>
      <c r="I49">
        <f>MAX(0,ROUND(SUMIFS(m3_cv!$E:$E,m3_cv!$A:$A,$E49,m3_cv!$B:$B,$A49),0))</f>
        <v>2751</v>
      </c>
      <c r="J49">
        <f>MAX(0,ROUND(SUMIFS(m4_cv!$E:$E,m4_cv!$A:$A,$E49,m4_cv!$B:$B,$A49),0))</f>
        <v>2749</v>
      </c>
      <c r="K49">
        <f>MAX(0,ROUND(SUMIFS(m5_cv!$E:$E,m5_cv!$A:$A,$E49,m5_cv!$B:$B,$A49),0))</f>
        <v>2473</v>
      </c>
      <c r="L49">
        <f>MAX(0,ROUND(SUMIFS(m6_cv!$E:$E,m6_cv!$A:$A,$E49,m6_cv!$B:$B,$A49),0))</f>
        <v>1888</v>
      </c>
      <c r="M49">
        <f>MAX(0,ROUND(SUMIFS(m7_cv!$E:$E,m7_cv!$A:$A,$E49,m7_cv!$B:$B,$A49),0))</f>
        <v>2419</v>
      </c>
      <c r="N49">
        <f>ROUND(_xlfn.XLOOKUP($D49,Charts!$W$86:$W$116,Charts!$X$86:$X$116)*$L49+_xlfn.XLOOKUP($D49,Charts!$W$86:$W$116,Charts!$Y$86:$Y$116)*$M49,0)</f>
        <v>2419</v>
      </c>
      <c r="O49">
        <f>MAX(0,ROUND(SUMIFS(m8_cv!$E:$E,m8_cv!$A:$A,$E49,m8_cv!$B:$B,$A49),0))</f>
        <v>2670</v>
      </c>
    </row>
    <row r="50" spans="1:15" x14ac:dyDescent="0.25">
      <c r="A50" s="3">
        <f t="shared" si="4"/>
        <v>45706</v>
      </c>
      <c r="B50">
        <f t="shared" si="0"/>
        <v>2025</v>
      </c>
      <c r="C50">
        <f t="shared" si="1"/>
        <v>2</v>
      </c>
      <c r="D50">
        <f t="shared" si="2"/>
        <v>18</v>
      </c>
      <c r="E50" s="2">
        <f t="shared" si="3"/>
        <v>45688</v>
      </c>
      <c r="F50" s="12">
        <f>_xlfn.XLOOKUP($A50,m1_cv!$B:$B,m1_cv!$C:$C)</f>
        <v>2913</v>
      </c>
      <c r="G50">
        <f>MAX(0,ROUND(SUMIFS(m1_cv!$E:$E,m1_cv!$A:$A,$E50,m1_cv!$B:$B,$A50),0))</f>
        <v>3262</v>
      </c>
      <c r="H50">
        <f>MAX(0,ROUND(SUMIFS(m2_cv!$E:$E,m2_cv!$A:$A,$E50,m2_cv!$B:$B,$A50),0))</f>
        <v>2946</v>
      </c>
      <c r="I50">
        <f>MAX(0,ROUND(SUMIFS(m3_cv!$E:$E,m3_cv!$A:$A,$E50,m3_cv!$B:$B,$A50),0))</f>
        <v>2938</v>
      </c>
      <c r="J50">
        <f>MAX(0,ROUND(SUMIFS(m4_cv!$E:$E,m4_cv!$A:$A,$E50,m4_cv!$B:$B,$A50),0))</f>
        <v>2936</v>
      </c>
      <c r="K50">
        <f>MAX(0,ROUND(SUMIFS(m5_cv!$E:$E,m5_cv!$A:$A,$E50,m5_cv!$B:$B,$A50),0))</f>
        <v>2781</v>
      </c>
      <c r="L50">
        <f>MAX(0,ROUND(SUMIFS(m6_cv!$E:$E,m6_cv!$A:$A,$E50,m6_cv!$B:$B,$A50),0))</f>
        <v>2519</v>
      </c>
      <c r="M50">
        <f>MAX(0,ROUND(SUMIFS(m7_cv!$E:$E,m7_cv!$A:$A,$E50,m7_cv!$B:$B,$A50),0))</f>
        <v>2817</v>
      </c>
      <c r="N50">
        <f>ROUND(_xlfn.XLOOKUP($D50,Charts!$W$86:$W$116,Charts!$X$86:$X$116)*$L50+_xlfn.XLOOKUP($D50,Charts!$W$86:$W$116,Charts!$Y$86:$Y$116)*$M50,0)</f>
        <v>2817</v>
      </c>
      <c r="O50">
        <f>MAX(0,ROUND(SUMIFS(m8_cv!$E:$E,m8_cv!$A:$A,$E50,m8_cv!$B:$B,$A50),0))</f>
        <v>3057</v>
      </c>
    </row>
    <row r="51" spans="1:15" x14ac:dyDescent="0.25">
      <c r="A51" s="3">
        <f t="shared" si="4"/>
        <v>45707</v>
      </c>
      <c r="B51">
        <f t="shared" si="0"/>
        <v>2025</v>
      </c>
      <c r="C51">
        <f t="shared" si="1"/>
        <v>2</v>
      </c>
      <c r="D51">
        <f t="shared" si="2"/>
        <v>19</v>
      </c>
      <c r="E51" s="2">
        <f t="shared" si="3"/>
        <v>45688</v>
      </c>
      <c r="F51" s="12">
        <f>_xlfn.XLOOKUP($A51,m1_cv!$B:$B,m1_cv!$C:$C)</f>
        <v>3106</v>
      </c>
      <c r="G51">
        <f>MAX(0,ROUND(SUMIFS(m1_cv!$E:$E,m1_cv!$A:$A,$E51,m1_cv!$B:$B,$A51),0))</f>
        <v>3213</v>
      </c>
      <c r="H51">
        <f>MAX(0,ROUND(SUMIFS(m2_cv!$E:$E,m2_cv!$A:$A,$E51,m2_cv!$B:$B,$A51),0))</f>
        <v>2843</v>
      </c>
      <c r="I51">
        <f>MAX(0,ROUND(SUMIFS(m3_cv!$E:$E,m3_cv!$A:$A,$E51,m3_cv!$B:$B,$A51),0))</f>
        <v>2818</v>
      </c>
      <c r="J51">
        <f>MAX(0,ROUND(SUMIFS(m4_cv!$E:$E,m4_cv!$A:$A,$E51,m4_cv!$B:$B,$A51),0))</f>
        <v>2816</v>
      </c>
      <c r="K51">
        <f>MAX(0,ROUND(SUMIFS(m5_cv!$E:$E,m5_cv!$A:$A,$E51,m5_cv!$B:$B,$A51),0))</f>
        <v>2820</v>
      </c>
      <c r="L51">
        <f>MAX(0,ROUND(SUMIFS(m6_cv!$E:$E,m6_cv!$A:$A,$E51,m6_cv!$B:$B,$A51),0))</f>
        <v>2779</v>
      </c>
      <c r="M51">
        <f>MAX(0,ROUND(SUMIFS(m7_cv!$E:$E,m7_cv!$A:$A,$E51,m7_cv!$B:$B,$A51),0))</f>
        <v>2900</v>
      </c>
      <c r="N51">
        <f>ROUND(_xlfn.XLOOKUP($D51,Charts!$W$86:$W$116,Charts!$X$86:$X$116)*$L51+_xlfn.XLOOKUP($D51,Charts!$W$86:$W$116,Charts!$Y$86:$Y$116)*$M51,0)</f>
        <v>2900</v>
      </c>
      <c r="O51">
        <f>MAX(0,ROUND(SUMIFS(m8_cv!$E:$E,m8_cv!$A:$A,$E51,m8_cv!$B:$B,$A51),0))</f>
        <v>3141</v>
      </c>
    </row>
    <row r="52" spans="1:15" x14ac:dyDescent="0.25">
      <c r="A52" s="3">
        <f t="shared" si="4"/>
        <v>45708</v>
      </c>
      <c r="B52">
        <f t="shared" si="0"/>
        <v>2025</v>
      </c>
      <c r="C52">
        <f t="shared" si="1"/>
        <v>2</v>
      </c>
      <c r="D52">
        <f t="shared" si="2"/>
        <v>20</v>
      </c>
      <c r="E52" s="2">
        <f t="shared" si="3"/>
        <v>45688</v>
      </c>
      <c r="F52" s="12">
        <f>_xlfn.XLOOKUP($A52,m1_cv!$B:$B,m1_cv!$C:$C)</f>
        <v>3104</v>
      </c>
      <c r="G52">
        <f>MAX(0,ROUND(SUMIFS(m1_cv!$E:$E,m1_cv!$A:$A,$E52,m1_cv!$B:$B,$A52),0))</f>
        <v>3237</v>
      </c>
      <c r="H52">
        <f>MAX(0,ROUND(SUMIFS(m2_cv!$E:$E,m2_cv!$A:$A,$E52,m2_cv!$B:$B,$A52),0))</f>
        <v>3042</v>
      </c>
      <c r="I52">
        <f>MAX(0,ROUND(SUMIFS(m3_cv!$E:$E,m3_cv!$A:$A,$E52,m3_cv!$B:$B,$A52),0))</f>
        <v>2891</v>
      </c>
      <c r="J52">
        <f>MAX(0,ROUND(SUMIFS(m4_cv!$E:$E,m4_cv!$A:$A,$E52,m4_cv!$B:$B,$A52),0))</f>
        <v>2889</v>
      </c>
      <c r="K52">
        <f>MAX(0,ROUND(SUMIFS(m5_cv!$E:$E,m5_cv!$A:$A,$E52,m5_cv!$B:$B,$A52),0))</f>
        <v>2931</v>
      </c>
      <c r="L52">
        <f>MAX(0,ROUND(SUMIFS(m6_cv!$E:$E,m6_cv!$A:$A,$E52,m6_cv!$B:$B,$A52),0))</f>
        <v>3059</v>
      </c>
      <c r="M52">
        <f>MAX(0,ROUND(SUMIFS(m7_cv!$E:$E,m7_cv!$A:$A,$E52,m7_cv!$B:$B,$A52),0))</f>
        <v>2916</v>
      </c>
      <c r="N52">
        <f>ROUND(_xlfn.XLOOKUP($D52,Charts!$W$86:$W$116,Charts!$X$86:$X$116)*$L52+_xlfn.XLOOKUP($D52,Charts!$W$86:$W$116,Charts!$Y$86:$Y$116)*$M52,0)</f>
        <v>2916</v>
      </c>
      <c r="O52">
        <f>MAX(0,ROUND(SUMIFS(m8_cv!$E:$E,m8_cv!$A:$A,$E52,m8_cv!$B:$B,$A52),0))</f>
        <v>3145</v>
      </c>
    </row>
    <row r="53" spans="1:15" x14ac:dyDescent="0.25">
      <c r="A53" s="3">
        <f t="shared" si="4"/>
        <v>45709</v>
      </c>
      <c r="B53">
        <f t="shared" si="0"/>
        <v>2025</v>
      </c>
      <c r="C53">
        <f t="shared" si="1"/>
        <v>2</v>
      </c>
      <c r="D53">
        <f t="shared" si="2"/>
        <v>21</v>
      </c>
      <c r="E53" s="2">
        <f t="shared" si="3"/>
        <v>45688</v>
      </c>
      <c r="F53" s="12">
        <f>_xlfn.XLOOKUP($A53,m1_cv!$B:$B,m1_cv!$C:$C)</f>
        <v>3309</v>
      </c>
      <c r="G53">
        <f>MAX(0,ROUND(SUMIFS(m1_cv!$E:$E,m1_cv!$A:$A,$E53,m1_cv!$B:$B,$A53),0))</f>
        <v>3184</v>
      </c>
      <c r="H53">
        <f>MAX(0,ROUND(SUMIFS(m2_cv!$E:$E,m2_cv!$A:$A,$E53,m2_cv!$B:$B,$A53),0))</f>
        <v>3346</v>
      </c>
      <c r="I53">
        <f>MAX(0,ROUND(SUMIFS(m3_cv!$E:$E,m3_cv!$A:$A,$E53,m3_cv!$B:$B,$A53),0))</f>
        <v>3089</v>
      </c>
      <c r="J53">
        <f>MAX(0,ROUND(SUMIFS(m4_cv!$E:$E,m4_cv!$A:$A,$E53,m4_cv!$B:$B,$A53),0))</f>
        <v>3088</v>
      </c>
      <c r="K53">
        <f>MAX(0,ROUND(SUMIFS(m5_cv!$E:$E,m5_cv!$A:$A,$E53,m5_cv!$B:$B,$A53),0))</f>
        <v>3042</v>
      </c>
      <c r="L53">
        <f>MAX(0,ROUND(SUMIFS(m6_cv!$E:$E,m6_cv!$A:$A,$E53,m6_cv!$B:$B,$A53),0))</f>
        <v>2900</v>
      </c>
      <c r="M53">
        <f>MAX(0,ROUND(SUMIFS(m7_cv!$E:$E,m7_cv!$A:$A,$E53,m7_cv!$B:$B,$A53),0))</f>
        <v>2996</v>
      </c>
      <c r="N53">
        <f>ROUND(_xlfn.XLOOKUP($D53,Charts!$W$86:$W$116,Charts!$X$86:$X$116)*$L53+_xlfn.XLOOKUP($D53,Charts!$W$86:$W$116,Charts!$Y$86:$Y$116)*$M53,0)</f>
        <v>2996</v>
      </c>
      <c r="O53">
        <f>MAX(0,ROUND(SUMIFS(m8_cv!$E:$E,m8_cv!$A:$A,$E53,m8_cv!$B:$B,$A53),0))</f>
        <v>3213</v>
      </c>
    </row>
    <row r="54" spans="1:15" x14ac:dyDescent="0.25">
      <c r="A54" s="3">
        <f t="shared" si="4"/>
        <v>45710</v>
      </c>
      <c r="B54">
        <f t="shared" si="0"/>
        <v>2025</v>
      </c>
      <c r="C54">
        <f t="shared" si="1"/>
        <v>2</v>
      </c>
      <c r="D54">
        <f t="shared" si="2"/>
        <v>22</v>
      </c>
      <c r="E54" s="2">
        <f t="shared" si="3"/>
        <v>45688</v>
      </c>
      <c r="F54" s="12">
        <f>_xlfn.XLOOKUP($A54,m1_cv!$B:$B,m1_cv!$C:$C)</f>
        <v>732</v>
      </c>
      <c r="G54">
        <f>MAX(0,ROUND(SUMIFS(m1_cv!$E:$E,m1_cv!$A:$A,$E54,m1_cv!$B:$B,$A54),0))</f>
        <v>1035</v>
      </c>
      <c r="H54">
        <f>MAX(0,ROUND(SUMIFS(m2_cv!$E:$E,m2_cv!$A:$A,$E54,m2_cv!$B:$B,$A54),0))</f>
        <v>1476</v>
      </c>
      <c r="I54">
        <f>MAX(0,ROUND(SUMIFS(m3_cv!$E:$E,m3_cv!$A:$A,$E54,m3_cv!$B:$B,$A54),0))</f>
        <v>1292</v>
      </c>
      <c r="J54">
        <f>MAX(0,ROUND(SUMIFS(m4_cv!$E:$E,m4_cv!$A:$A,$E54,m4_cv!$B:$B,$A54),0))</f>
        <v>1291</v>
      </c>
      <c r="K54">
        <f>MAX(0,ROUND(SUMIFS(m5_cv!$E:$E,m5_cv!$A:$A,$E54,m5_cv!$B:$B,$A54),0))</f>
        <v>1085</v>
      </c>
      <c r="L54">
        <f>MAX(0,ROUND(SUMIFS(m6_cv!$E:$E,m6_cv!$A:$A,$E54,m6_cv!$B:$B,$A54),0))</f>
        <v>549</v>
      </c>
      <c r="M54">
        <f>MAX(0,ROUND(SUMIFS(m7_cv!$E:$E,m7_cv!$A:$A,$E54,m7_cv!$B:$B,$A54),0))</f>
        <v>1070</v>
      </c>
      <c r="N54">
        <f>ROUND(_xlfn.XLOOKUP($D54,Charts!$W$86:$W$116,Charts!$X$86:$X$116)*$L54+_xlfn.XLOOKUP($D54,Charts!$W$86:$W$116,Charts!$Y$86:$Y$116)*$M54,0)</f>
        <v>1070</v>
      </c>
      <c r="O54">
        <f>MAX(0,ROUND(SUMIFS(m8_cv!$E:$E,m8_cv!$A:$A,$E54,m8_cv!$B:$B,$A54),0))</f>
        <v>1298</v>
      </c>
    </row>
    <row r="55" spans="1:15" x14ac:dyDescent="0.25">
      <c r="A55" s="3">
        <f t="shared" si="4"/>
        <v>45711</v>
      </c>
      <c r="B55">
        <f t="shared" si="0"/>
        <v>2025</v>
      </c>
      <c r="C55">
        <f t="shared" si="1"/>
        <v>2</v>
      </c>
      <c r="D55">
        <f t="shared" si="2"/>
        <v>23</v>
      </c>
      <c r="E55" s="2">
        <f t="shared" si="3"/>
        <v>45688</v>
      </c>
      <c r="F55" s="12">
        <f>_xlfn.XLOOKUP($A55,m1_cv!$B:$B,m1_cv!$C:$C)</f>
        <v>202</v>
      </c>
      <c r="G55">
        <f>MAX(0,ROUND(SUMIFS(m1_cv!$E:$E,m1_cv!$A:$A,$E55,m1_cv!$B:$B,$A55),0))</f>
        <v>513</v>
      </c>
      <c r="H55">
        <f>MAX(0,ROUND(SUMIFS(m2_cv!$E:$E,m2_cv!$A:$A,$E55,m2_cv!$B:$B,$A55),0))</f>
        <v>956</v>
      </c>
      <c r="I55">
        <f>MAX(0,ROUND(SUMIFS(m3_cv!$E:$E,m3_cv!$A:$A,$E55,m3_cv!$B:$B,$A55),0))</f>
        <v>874</v>
      </c>
      <c r="J55">
        <f>MAX(0,ROUND(SUMIFS(m4_cv!$E:$E,m4_cv!$A:$A,$E55,m4_cv!$B:$B,$A55),0))</f>
        <v>872</v>
      </c>
      <c r="K55">
        <f>MAX(0,ROUND(SUMIFS(m5_cv!$E:$E,m5_cv!$A:$A,$E55,m5_cv!$B:$B,$A55),0))</f>
        <v>683</v>
      </c>
      <c r="L55">
        <f>MAX(0,ROUND(SUMIFS(m6_cv!$E:$E,m6_cv!$A:$A,$E55,m6_cv!$B:$B,$A55),0))</f>
        <v>252</v>
      </c>
      <c r="M55">
        <f>MAX(0,ROUND(SUMIFS(m7_cv!$E:$E,m7_cv!$A:$A,$E55,m7_cv!$B:$B,$A55),0))</f>
        <v>686</v>
      </c>
      <c r="N55">
        <f>ROUND(_xlfn.XLOOKUP($D55,Charts!$W$86:$W$116,Charts!$X$86:$X$116)*$L55+_xlfn.XLOOKUP($D55,Charts!$W$86:$W$116,Charts!$Y$86:$Y$116)*$M55,0)</f>
        <v>686</v>
      </c>
      <c r="O55">
        <f>MAX(0,ROUND(SUMIFS(m8_cv!$E:$E,m8_cv!$A:$A,$E55,m8_cv!$B:$B,$A55),0))</f>
        <v>904</v>
      </c>
    </row>
    <row r="56" spans="1:15" x14ac:dyDescent="0.25">
      <c r="A56" s="3">
        <f t="shared" si="4"/>
        <v>45712</v>
      </c>
      <c r="B56">
        <f t="shared" si="0"/>
        <v>2025</v>
      </c>
      <c r="C56">
        <f t="shared" si="1"/>
        <v>2</v>
      </c>
      <c r="D56">
        <f t="shared" si="2"/>
        <v>24</v>
      </c>
      <c r="E56" s="2">
        <f t="shared" si="3"/>
        <v>45688</v>
      </c>
      <c r="F56" s="12">
        <f>_xlfn.XLOOKUP($A56,m1_cv!$B:$B,m1_cv!$C:$C)</f>
        <v>3545</v>
      </c>
      <c r="G56">
        <f>MAX(0,ROUND(SUMIFS(m1_cv!$E:$E,m1_cv!$A:$A,$E56,m1_cv!$B:$B,$A56),0))</f>
        <v>2820</v>
      </c>
      <c r="H56">
        <f>MAX(0,ROUND(SUMIFS(m2_cv!$E:$E,m2_cv!$A:$A,$E56,m2_cv!$B:$B,$A56),0))</f>
        <v>3116</v>
      </c>
      <c r="I56">
        <f>MAX(0,ROUND(SUMIFS(m3_cv!$E:$E,m3_cv!$A:$A,$E56,m3_cv!$B:$B,$A56),0))</f>
        <v>3255</v>
      </c>
      <c r="J56">
        <f>MAX(0,ROUND(SUMIFS(m4_cv!$E:$E,m4_cv!$A:$A,$E56,m4_cv!$B:$B,$A56),0))</f>
        <v>3253</v>
      </c>
      <c r="K56">
        <f>MAX(0,ROUND(SUMIFS(m5_cv!$E:$E,m5_cv!$A:$A,$E56,m5_cv!$B:$B,$A56),0))</f>
        <v>4298</v>
      </c>
      <c r="L56">
        <f>MAX(0,ROUND(SUMIFS(m6_cv!$E:$E,m6_cv!$A:$A,$E56,m6_cv!$B:$B,$A56),0))</f>
        <v>6124</v>
      </c>
      <c r="M56">
        <f>MAX(0,ROUND(SUMIFS(m7_cv!$E:$E,m7_cv!$A:$A,$E56,m7_cv!$B:$B,$A56),0))</f>
        <v>4528</v>
      </c>
      <c r="N56">
        <f>ROUND(_xlfn.XLOOKUP($D56,Charts!$W$86:$W$116,Charts!$X$86:$X$116)*$L56+_xlfn.XLOOKUP($D56,Charts!$W$86:$W$116,Charts!$Y$86:$Y$116)*$M56,0)</f>
        <v>6124</v>
      </c>
      <c r="O56">
        <f>MAX(0,ROUND(SUMIFS(m8_cv!$E:$E,m8_cv!$A:$A,$E56,m8_cv!$B:$B,$A56),0))</f>
        <v>4194</v>
      </c>
    </row>
    <row r="57" spans="1:15" x14ac:dyDescent="0.25">
      <c r="A57" s="3">
        <f t="shared" si="4"/>
        <v>45713</v>
      </c>
      <c r="B57">
        <f t="shared" si="0"/>
        <v>2025</v>
      </c>
      <c r="C57">
        <f t="shared" si="1"/>
        <v>2</v>
      </c>
      <c r="D57">
        <f t="shared" si="2"/>
        <v>25</v>
      </c>
      <c r="E57" s="2">
        <f t="shared" si="3"/>
        <v>45688</v>
      </c>
      <c r="F57" s="12">
        <f>_xlfn.XLOOKUP($A57,m1_cv!$B:$B,m1_cv!$C:$C)</f>
        <v>4868</v>
      </c>
      <c r="G57">
        <f>MAX(0,ROUND(SUMIFS(m1_cv!$E:$E,m1_cv!$A:$A,$E57,m1_cv!$B:$B,$A57),0))</f>
        <v>3415</v>
      </c>
      <c r="H57">
        <f>MAX(0,ROUND(SUMIFS(m2_cv!$E:$E,m2_cv!$A:$A,$E57,m2_cv!$B:$B,$A57),0))</f>
        <v>3780</v>
      </c>
      <c r="I57">
        <f>MAX(0,ROUND(SUMIFS(m3_cv!$E:$E,m3_cv!$A:$A,$E57,m3_cv!$B:$B,$A57),0))</f>
        <v>3655</v>
      </c>
      <c r="J57">
        <f>MAX(0,ROUND(SUMIFS(m4_cv!$E:$E,m4_cv!$A:$A,$E57,m4_cv!$B:$B,$A57),0))</f>
        <v>3653</v>
      </c>
      <c r="K57">
        <f>MAX(0,ROUND(SUMIFS(m5_cv!$E:$E,m5_cv!$A:$A,$E57,m5_cv!$B:$B,$A57),0))</f>
        <v>4696</v>
      </c>
      <c r="L57">
        <f>MAX(0,ROUND(SUMIFS(m6_cv!$E:$E,m6_cv!$A:$A,$E57,m6_cv!$B:$B,$A57),0))</f>
        <v>7550</v>
      </c>
      <c r="M57">
        <f>MAX(0,ROUND(SUMIFS(m7_cv!$E:$E,m7_cv!$A:$A,$E57,m7_cv!$B:$B,$A57),0))</f>
        <v>4865</v>
      </c>
      <c r="N57">
        <f>ROUND(_xlfn.XLOOKUP($D57,Charts!$W$86:$W$116,Charts!$X$86:$X$116)*$L57+_xlfn.XLOOKUP($D57,Charts!$W$86:$W$116,Charts!$Y$86:$Y$116)*$M57,0)</f>
        <v>7550</v>
      </c>
      <c r="O57">
        <f>MAX(0,ROUND(SUMIFS(m8_cv!$E:$E,m8_cv!$A:$A,$E57,m8_cv!$B:$B,$A57),0))</f>
        <v>4688</v>
      </c>
    </row>
    <row r="58" spans="1:15" x14ac:dyDescent="0.25">
      <c r="A58" s="3">
        <f t="shared" si="4"/>
        <v>45714</v>
      </c>
      <c r="B58">
        <f t="shared" si="0"/>
        <v>2025</v>
      </c>
      <c r="C58">
        <f t="shared" si="1"/>
        <v>2</v>
      </c>
      <c r="D58">
        <f t="shared" si="2"/>
        <v>26</v>
      </c>
      <c r="E58" s="2">
        <f t="shared" si="3"/>
        <v>45688</v>
      </c>
      <c r="F58" s="12">
        <f>_xlfn.XLOOKUP($A58,m1_cv!$B:$B,m1_cv!$C:$C)</f>
        <v>6187</v>
      </c>
      <c r="G58">
        <f>MAX(0,ROUND(SUMIFS(m1_cv!$E:$E,m1_cv!$A:$A,$E58,m1_cv!$B:$B,$A58),0))</f>
        <v>3376</v>
      </c>
      <c r="H58">
        <f>MAX(0,ROUND(SUMIFS(m2_cv!$E:$E,m2_cv!$A:$A,$E58,m2_cv!$B:$B,$A58),0))</f>
        <v>4461</v>
      </c>
      <c r="I58">
        <f>MAX(0,ROUND(SUMIFS(m3_cv!$E:$E,m3_cv!$A:$A,$E58,m3_cv!$B:$B,$A58),0))</f>
        <v>4358</v>
      </c>
      <c r="J58">
        <f>MAX(0,ROUND(SUMIFS(m4_cv!$E:$E,m4_cv!$A:$A,$E58,m4_cv!$B:$B,$A58),0))</f>
        <v>4356</v>
      </c>
      <c r="K58">
        <f>MAX(0,ROUND(SUMIFS(m5_cv!$E:$E,m5_cv!$A:$A,$E58,m5_cv!$B:$B,$A58),0))</f>
        <v>4922</v>
      </c>
      <c r="L58">
        <f>MAX(0,ROUND(SUMIFS(m6_cv!$E:$E,m6_cv!$A:$A,$E58,m6_cv!$B:$B,$A58),0))</f>
        <v>7687</v>
      </c>
      <c r="M58">
        <f>MAX(0,ROUND(SUMIFS(m7_cv!$E:$E,m7_cv!$A:$A,$E58,m7_cv!$B:$B,$A58),0))</f>
        <v>4816</v>
      </c>
      <c r="N58">
        <f>ROUND(_xlfn.XLOOKUP($D58,Charts!$W$86:$W$116,Charts!$X$86:$X$116)*$L58+_xlfn.XLOOKUP($D58,Charts!$W$86:$W$116,Charts!$Y$86:$Y$116)*$M58,0)</f>
        <v>7687</v>
      </c>
      <c r="O58">
        <f>MAX(0,ROUND(SUMIFS(m8_cv!$E:$E,m8_cv!$A:$A,$E58,m8_cv!$B:$B,$A58),0))</f>
        <v>4882</v>
      </c>
    </row>
    <row r="59" spans="1:15" x14ac:dyDescent="0.25">
      <c r="A59" s="3">
        <f t="shared" si="4"/>
        <v>45715</v>
      </c>
      <c r="B59">
        <f t="shared" si="0"/>
        <v>2025</v>
      </c>
      <c r="C59">
        <f t="shared" si="1"/>
        <v>2</v>
      </c>
      <c r="D59">
        <f t="shared" si="2"/>
        <v>27</v>
      </c>
      <c r="E59" s="2">
        <f t="shared" si="3"/>
        <v>45688</v>
      </c>
      <c r="F59" s="12">
        <f>_xlfn.XLOOKUP($A59,m1_cv!$B:$B,m1_cv!$C:$C)</f>
        <v>8082</v>
      </c>
      <c r="G59">
        <f>MAX(0,ROUND(SUMIFS(m1_cv!$E:$E,m1_cv!$A:$A,$E59,m1_cv!$B:$B,$A59),0))</f>
        <v>3408</v>
      </c>
      <c r="H59">
        <f>MAX(0,ROUND(SUMIFS(m2_cv!$E:$E,m2_cv!$A:$A,$E59,m2_cv!$B:$B,$A59),0))</f>
        <v>5702</v>
      </c>
      <c r="I59">
        <f>MAX(0,ROUND(SUMIFS(m3_cv!$E:$E,m3_cv!$A:$A,$E59,m3_cv!$B:$B,$A59),0))</f>
        <v>5529</v>
      </c>
      <c r="J59">
        <f>MAX(0,ROUND(SUMIFS(m4_cv!$E:$E,m4_cv!$A:$A,$E59,m4_cv!$B:$B,$A59),0))</f>
        <v>5528</v>
      </c>
      <c r="K59">
        <f>MAX(0,ROUND(SUMIFS(m5_cv!$E:$E,m5_cv!$A:$A,$E59,m5_cv!$B:$B,$A59),0))</f>
        <v>7392</v>
      </c>
      <c r="L59">
        <f>MAX(0,ROUND(SUMIFS(m6_cv!$E:$E,m6_cv!$A:$A,$E59,m6_cv!$B:$B,$A59),0))</f>
        <v>15578</v>
      </c>
      <c r="M59">
        <f>MAX(0,ROUND(SUMIFS(m7_cv!$E:$E,m7_cv!$A:$A,$E59,m7_cv!$B:$B,$A59),0))</f>
        <v>7206</v>
      </c>
      <c r="N59">
        <f>ROUND(_xlfn.XLOOKUP($D59,Charts!$W$86:$W$116,Charts!$X$86:$X$116)*$L59+_xlfn.XLOOKUP($D59,Charts!$W$86:$W$116,Charts!$Y$86:$Y$116)*$M59,0)</f>
        <v>15578</v>
      </c>
      <c r="O59">
        <f>MAX(0,ROUND(SUMIFS(m8_cv!$E:$E,m8_cv!$A:$A,$E59,m8_cv!$B:$B,$A59),0))</f>
        <v>7112</v>
      </c>
    </row>
    <row r="60" spans="1:15" x14ac:dyDescent="0.25">
      <c r="A60" s="3">
        <f t="shared" si="4"/>
        <v>45716</v>
      </c>
      <c r="B60">
        <f t="shared" si="0"/>
        <v>2025</v>
      </c>
      <c r="C60">
        <f t="shared" si="1"/>
        <v>2</v>
      </c>
      <c r="D60">
        <f t="shared" si="2"/>
        <v>28</v>
      </c>
      <c r="E60" s="2">
        <f t="shared" si="3"/>
        <v>45688</v>
      </c>
      <c r="F60" s="12">
        <f>_xlfn.XLOOKUP($A60,m1_cv!$B:$B,m1_cv!$C:$C)</f>
        <v>14838</v>
      </c>
      <c r="G60">
        <f>MAX(0,ROUND(SUMIFS(m1_cv!$E:$E,m1_cv!$A:$A,$E60,m1_cv!$B:$B,$A60),0))</f>
        <v>3358</v>
      </c>
      <c r="H60">
        <f>MAX(0,ROUND(SUMIFS(m2_cv!$E:$E,m2_cv!$A:$A,$E60,m2_cv!$B:$B,$A60),0))</f>
        <v>6682</v>
      </c>
      <c r="I60">
        <f>MAX(0,ROUND(SUMIFS(m3_cv!$E:$E,m3_cv!$A:$A,$E60,m3_cv!$B:$B,$A60),0))</f>
        <v>6447</v>
      </c>
      <c r="J60">
        <f>MAX(0,ROUND(SUMIFS(m4_cv!$E:$E,m4_cv!$A:$A,$E60,m4_cv!$B:$B,$A60),0))</f>
        <v>6445</v>
      </c>
      <c r="K60">
        <f>MAX(0,ROUND(SUMIFS(m5_cv!$E:$E,m5_cv!$A:$A,$E60,m5_cv!$B:$B,$A60),0))</f>
        <v>9361</v>
      </c>
      <c r="L60">
        <f>MAX(0,ROUND(SUMIFS(m6_cv!$E:$E,m6_cv!$A:$A,$E60,m6_cv!$B:$B,$A60),0))</f>
        <v>19414</v>
      </c>
      <c r="M60">
        <f>MAX(0,ROUND(SUMIFS(m7_cv!$E:$E,m7_cv!$A:$A,$E60,m7_cv!$B:$B,$A60),0))</f>
        <v>9712</v>
      </c>
      <c r="N60">
        <f>ROUND(_xlfn.XLOOKUP($D60,Charts!$W$86:$W$116,Charts!$X$86:$X$116)*$L60+_xlfn.XLOOKUP($D60,Charts!$W$86:$W$116,Charts!$Y$86:$Y$116)*$M60,0)</f>
        <v>19414</v>
      </c>
      <c r="O60">
        <f>MAX(0,ROUND(SUMIFS(m8_cv!$E:$E,m8_cv!$A:$A,$E60,m8_cv!$B:$B,$A60),0))</f>
        <v>9617</v>
      </c>
    </row>
    <row r="61" spans="1:15" x14ac:dyDescent="0.25">
      <c r="A61" s="3">
        <f t="shared" si="4"/>
        <v>45717</v>
      </c>
      <c r="B61">
        <f t="shared" si="0"/>
        <v>2025</v>
      </c>
      <c r="C61">
        <f t="shared" si="1"/>
        <v>3</v>
      </c>
      <c r="D61">
        <f t="shared" si="2"/>
        <v>1</v>
      </c>
      <c r="E61" s="2">
        <f t="shared" si="3"/>
        <v>45716</v>
      </c>
      <c r="F61" s="12">
        <f>_xlfn.XLOOKUP($A61,m1_cv!$B:$B,m1_cv!$C:$C)</f>
        <v>74</v>
      </c>
      <c r="G61">
        <f>MAX(0,ROUND(SUMIFS(m1_cv!$E:$E,m1_cv!$A:$A,$E61,m1_cv!$B:$B,$A61),0))</f>
        <v>1570</v>
      </c>
      <c r="H61">
        <f>MAX(0,ROUND(SUMIFS(m2_cv!$E:$E,m2_cv!$A:$A,$E61,m2_cv!$B:$B,$A61),0))</f>
        <v>4943</v>
      </c>
      <c r="I61">
        <f>MAX(0,ROUND(SUMIFS(m3_cv!$E:$E,m3_cv!$A:$A,$E61,m3_cv!$B:$B,$A61),0))</f>
        <v>4823</v>
      </c>
      <c r="J61">
        <f>MAX(0,ROUND(SUMIFS(m4_cv!$E:$E,m4_cv!$A:$A,$E61,m4_cv!$B:$B,$A61),0))</f>
        <v>4825</v>
      </c>
      <c r="K61">
        <f>MAX(0,ROUND(SUMIFS(m5_cv!$E:$E,m5_cv!$A:$A,$E61,m5_cv!$B:$B,$A61),0))</f>
        <v>994</v>
      </c>
      <c r="L61">
        <f>MAX(0,ROUND(SUMIFS(m6_cv!$E:$E,m6_cv!$A:$A,$E61,m6_cv!$B:$B,$A61),0))</f>
        <v>242</v>
      </c>
      <c r="M61">
        <f>MAX(0,ROUND(SUMIFS(m7_cv!$E:$E,m7_cv!$A:$A,$E61,m7_cv!$B:$B,$A61),0))</f>
        <v>1323</v>
      </c>
      <c r="N61">
        <f>ROUND(_xlfn.XLOOKUP($D61,Charts!$W$86:$W$116,Charts!$X$86:$X$116)*$L61+_xlfn.XLOOKUP($D61,Charts!$W$86:$W$116,Charts!$Y$86:$Y$116)*$M61,0)</f>
        <v>242</v>
      </c>
      <c r="O61">
        <f>MAX(0,ROUND(SUMIFS(m8_cv!$E:$E,m8_cv!$A:$A,$E61,m8_cv!$B:$B,$A61),0))</f>
        <v>1276</v>
      </c>
    </row>
    <row r="62" spans="1:15" x14ac:dyDescent="0.25">
      <c r="A62" s="3">
        <f t="shared" si="4"/>
        <v>45718</v>
      </c>
      <c r="B62">
        <f t="shared" si="0"/>
        <v>2025</v>
      </c>
      <c r="C62">
        <f t="shared" si="1"/>
        <v>3</v>
      </c>
      <c r="D62">
        <f t="shared" si="2"/>
        <v>2</v>
      </c>
      <c r="E62" s="2">
        <f t="shared" si="3"/>
        <v>45716</v>
      </c>
      <c r="F62" s="12">
        <f>_xlfn.XLOOKUP($A62,m1_cv!$B:$B,m1_cv!$C:$C)</f>
        <v>27</v>
      </c>
      <c r="G62">
        <f>MAX(0,ROUND(SUMIFS(m1_cv!$E:$E,m1_cv!$A:$A,$E62,m1_cv!$B:$B,$A62),0))</f>
        <v>1054</v>
      </c>
      <c r="H62">
        <f>MAX(0,ROUND(SUMIFS(m2_cv!$E:$E,m2_cv!$A:$A,$E62,m2_cv!$B:$B,$A62),0))</f>
        <v>3281</v>
      </c>
      <c r="I62">
        <f>MAX(0,ROUND(SUMIFS(m3_cv!$E:$E,m3_cv!$A:$A,$E62,m3_cv!$B:$B,$A62),0))</f>
        <v>3231</v>
      </c>
      <c r="J62">
        <f>MAX(0,ROUND(SUMIFS(m4_cv!$E:$E,m4_cv!$A:$A,$E62,m4_cv!$B:$B,$A62),0))</f>
        <v>3237</v>
      </c>
      <c r="K62">
        <f>MAX(0,ROUND(SUMIFS(m5_cv!$E:$E,m5_cv!$A:$A,$E62,m5_cv!$B:$B,$A62),0))</f>
        <v>0</v>
      </c>
      <c r="L62">
        <f>MAX(0,ROUND(SUMIFS(m6_cv!$E:$E,m6_cv!$A:$A,$E62,m6_cv!$B:$B,$A62),0))</f>
        <v>66</v>
      </c>
      <c r="M62">
        <f>MAX(0,ROUND(SUMIFS(m7_cv!$E:$E,m7_cv!$A:$A,$E62,m7_cv!$B:$B,$A62),0))</f>
        <v>0</v>
      </c>
      <c r="N62">
        <f>ROUND(_xlfn.XLOOKUP($D62,Charts!$W$86:$W$116,Charts!$X$86:$X$116)*$L62+_xlfn.XLOOKUP($D62,Charts!$W$86:$W$116,Charts!$Y$86:$Y$116)*$M62,0)</f>
        <v>66</v>
      </c>
      <c r="O62">
        <f>MAX(0,ROUND(SUMIFS(m8_cv!$E:$E,m8_cv!$A:$A,$E62,m8_cv!$B:$B,$A62),0))</f>
        <v>0</v>
      </c>
    </row>
    <row r="63" spans="1:15" x14ac:dyDescent="0.25">
      <c r="A63" s="3">
        <f t="shared" si="4"/>
        <v>45719</v>
      </c>
      <c r="B63">
        <f t="shared" si="0"/>
        <v>2025</v>
      </c>
      <c r="C63">
        <f t="shared" si="1"/>
        <v>3</v>
      </c>
      <c r="D63">
        <f t="shared" si="2"/>
        <v>3</v>
      </c>
      <c r="E63" s="2">
        <f t="shared" si="3"/>
        <v>45716</v>
      </c>
      <c r="F63" s="12">
        <f>_xlfn.XLOOKUP($A63,m1_cv!$B:$B,m1_cv!$C:$C)</f>
        <v>378</v>
      </c>
      <c r="G63">
        <f>MAX(0,ROUND(SUMIFS(m1_cv!$E:$E,m1_cv!$A:$A,$E63,m1_cv!$B:$B,$A63),0))</f>
        <v>3343</v>
      </c>
      <c r="H63">
        <f>MAX(0,ROUND(SUMIFS(m2_cv!$E:$E,m2_cv!$A:$A,$E63,m2_cv!$B:$B,$A63),0))</f>
        <v>3705</v>
      </c>
      <c r="I63">
        <f>MAX(0,ROUND(SUMIFS(m3_cv!$E:$E,m3_cv!$A:$A,$E63,m3_cv!$B:$B,$A63),0))</f>
        <v>3861</v>
      </c>
      <c r="J63">
        <f>MAX(0,ROUND(SUMIFS(m4_cv!$E:$E,m4_cv!$A:$A,$E63,m4_cv!$B:$B,$A63),0))</f>
        <v>3867</v>
      </c>
      <c r="K63">
        <f>MAX(0,ROUND(SUMIFS(m5_cv!$E:$E,m5_cv!$A:$A,$E63,m5_cv!$B:$B,$A63),0))</f>
        <v>1722</v>
      </c>
      <c r="L63">
        <f>MAX(0,ROUND(SUMIFS(m6_cv!$E:$E,m6_cv!$A:$A,$E63,m6_cv!$B:$B,$A63),0))</f>
        <v>996</v>
      </c>
      <c r="M63">
        <f>MAX(0,ROUND(SUMIFS(m7_cv!$E:$E,m7_cv!$A:$A,$E63,m7_cv!$B:$B,$A63),0))</f>
        <v>1313</v>
      </c>
      <c r="N63">
        <f>ROUND(_xlfn.XLOOKUP($D63,Charts!$W$86:$W$116,Charts!$X$86:$X$116)*$L63+_xlfn.XLOOKUP($D63,Charts!$W$86:$W$116,Charts!$Y$86:$Y$116)*$M63,0)</f>
        <v>996</v>
      </c>
      <c r="O63">
        <f>MAX(0,ROUND(SUMIFS(m8_cv!$E:$E,m8_cv!$A:$A,$E63,m8_cv!$B:$B,$A63),0))</f>
        <v>1583</v>
      </c>
    </row>
    <row r="64" spans="1:15" x14ac:dyDescent="0.25">
      <c r="A64" s="3">
        <f t="shared" si="4"/>
        <v>45720</v>
      </c>
      <c r="B64">
        <f t="shared" si="0"/>
        <v>2025</v>
      </c>
      <c r="C64">
        <f t="shared" si="1"/>
        <v>3</v>
      </c>
      <c r="D64">
        <f t="shared" si="2"/>
        <v>4</v>
      </c>
      <c r="E64" s="2">
        <f t="shared" si="3"/>
        <v>45716</v>
      </c>
      <c r="F64" s="12">
        <f>_xlfn.XLOOKUP($A64,m1_cv!$B:$B,m1_cv!$C:$C)</f>
        <v>666</v>
      </c>
      <c r="G64">
        <f>MAX(0,ROUND(SUMIFS(m1_cv!$E:$E,m1_cv!$A:$A,$E64,m1_cv!$B:$B,$A64),0))</f>
        <v>3914</v>
      </c>
      <c r="H64">
        <f>MAX(0,ROUND(SUMIFS(m2_cv!$E:$E,m2_cv!$A:$A,$E64,m2_cv!$B:$B,$A64),0))</f>
        <v>2522</v>
      </c>
      <c r="I64">
        <f>MAX(0,ROUND(SUMIFS(m3_cv!$E:$E,m3_cv!$A:$A,$E64,m3_cv!$B:$B,$A64),0))</f>
        <v>2456</v>
      </c>
      <c r="J64">
        <f>MAX(0,ROUND(SUMIFS(m4_cv!$E:$E,m4_cv!$A:$A,$E64,m4_cv!$B:$B,$A64),0))</f>
        <v>2461</v>
      </c>
      <c r="K64">
        <f>MAX(0,ROUND(SUMIFS(m5_cv!$E:$E,m5_cv!$A:$A,$E64,m5_cv!$B:$B,$A64),0))</f>
        <v>1692</v>
      </c>
      <c r="L64">
        <f>MAX(0,ROUND(SUMIFS(m6_cv!$E:$E,m6_cv!$A:$A,$E64,m6_cv!$B:$B,$A64),0))</f>
        <v>994</v>
      </c>
      <c r="M64">
        <f>MAX(0,ROUND(SUMIFS(m7_cv!$E:$E,m7_cv!$A:$A,$E64,m7_cv!$B:$B,$A64),0))</f>
        <v>1721</v>
      </c>
      <c r="N64">
        <f>ROUND(_xlfn.XLOOKUP($D64,Charts!$W$86:$W$116,Charts!$X$86:$X$116)*$L64+_xlfn.XLOOKUP($D64,Charts!$W$86:$W$116,Charts!$Y$86:$Y$116)*$M64,0)</f>
        <v>994</v>
      </c>
      <c r="O64">
        <f>MAX(0,ROUND(SUMIFS(m8_cv!$E:$E,m8_cv!$A:$A,$E64,m8_cv!$B:$B,$A64),0))</f>
        <v>1934</v>
      </c>
    </row>
    <row r="65" spans="1:15" x14ac:dyDescent="0.25">
      <c r="A65" s="3">
        <f t="shared" si="4"/>
        <v>45721</v>
      </c>
      <c r="B65">
        <f t="shared" si="0"/>
        <v>2025</v>
      </c>
      <c r="C65">
        <f t="shared" si="1"/>
        <v>3</v>
      </c>
      <c r="D65">
        <f t="shared" si="2"/>
        <v>5</v>
      </c>
      <c r="E65" s="2">
        <f t="shared" si="3"/>
        <v>45716</v>
      </c>
      <c r="F65" s="12">
        <f>_xlfn.XLOOKUP($A65,m1_cv!$B:$B,m1_cv!$C:$C)</f>
        <v>793</v>
      </c>
      <c r="G65">
        <f>MAX(0,ROUND(SUMIFS(m1_cv!$E:$E,m1_cv!$A:$A,$E65,m1_cv!$B:$B,$A65),0))</f>
        <v>3871</v>
      </c>
      <c r="H65">
        <f>MAX(0,ROUND(SUMIFS(m2_cv!$E:$E,m2_cv!$A:$A,$E65,m2_cv!$B:$B,$A65),0))</f>
        <v>1604</v>
      </c>
      <c r="I65">
        <f>MAX(0,ROUND(SUMIFS(m3_cv!$E:$E,m3_cv!$A:$A,$E65,m3_cv!$B:$B,$A65),0))</f>
        <v>1597</v>
      </c>
      <c r="J65">
        <f>MAX(0,ROUND(SUMIFS(m4_cv!$E:$E,m4_cv!$A:$A,$E65,m4_cv!$B:$B,$A65),0))</f>
        <v>1601</v>
      </c>
      <c r="K65">
        <f>MAX(0,ROUND(SUMIFS(m5_cv!$E:$E,m5_cv!$A:$A,$E65,m5_cv!$B:$B,$A65),0))</f>
        <v>1710</v>
      </c>
      <c r="L65">
        <f>MAX(0,ROUND(SUMIFS(m6_cv!$E:$E,m6_cv!$A:$A,$E65,m6_cv!$B:$B,$A65),0))</f>
        <v>941</v>
      </c>
      <c r="M65">
        <f>MAX(0,ROUND(SUMIFS(m7_cv!$E:$E,m7_cv!$A:$A,$E65,m7_cv!$B:$B,$A65),0))</f>
        <v>1833</v>
      </c>
      <c r="N65">
        <f>ROUND(_xlfn.XLOOKUP($D65,Charts!$W$86:$W$116,Charts!$X$86:$X$116)*$L65+_xlfn.XLOOKUP($D65,Charts!$W$86:$W$116,Charts!$Y$86:$Y$116)*$M65,0)</f>
        <v>1119</v>
      </c>
      <c r="O65">
        <f>MAX(0,ROUND(SUMIFS(m8_cv!$E:$E,m8_cv!$A:$A,$E65,m8_cv!$B:$B,$A65),0))</f>
        <v>1984</v>
      </c>
    </row>
    <row r="66" spans="1:15" x14ac:dyDescent="0.25">
      <c r="A66" s="3">
        <f t="shared" si="4"/>
        <v>45722</v>
      </c>
      <c r="B66">
        <f t="shared" si="0"/>
        <v>2025</v>
      </c>
      <c r="C66">
        <f t="shared" si="1"/>
        <v>3</v>
      </c>
      <c r="D66">
        <f t="shared" si="2"/>
        <v>6</v>
      </c>
      <c r="E66" s="2">
        <f t="shared" si="3"/>
        <v>45716</v>
      </c>
      <c r="F66" s="12">
        <f>_xlfn.XLOOKUP($A66,m1_cv!$B:$B,m1_cv!$C:$C)</f>
        <v>1426</v>
      </c>
      <c r="G66">
        <f>MAX(0,ROUND(SUMIFS(m1_cv!$E:$E,m1_cv!$A:$A,$E66,m1_cv!$B:$B,$A66),0))</f>
        <v>3887</v>
      </c>
      <c r="H66">
        <f>MAX(0,ROUND(SUMIFS(m2_cv!$E:$E,m2_cv!$A:$A,$E66,m2_cv!$B:$B,$A66),0))</f>
        <v>1660</v>
      </c>
      <c r="I66">
        <f>MAX(0,ROUND(SUMIFS(m3_cv!$E:$E,m3_cv!$A:$A,$E66,m3_cv!$B:$B,$A66),0))</f>
        <v>1616</v>
      </c>
      <c r="J66">
        <f>MAX(0,ROUND(SUMIFS(m4_cv!$E:$E,m4_cv!$A:$A,$E66,m4_cv!$B:$B,$A66),0))</f>
        <v>1620</v>
      </c>
      <c r="K66">
        <f>MAX(0,ROUND(SUMIFS(m5_cv!$E:$E,m5_cv!$A:$A,$E66,m5_cv!$B:$B,$A66),0))</f>
        <v>1872</v>
      </c>
      <c r="L66">
        <f>MAX(0,ROUND(SUMIFS(m6_cv!$E:$E,m6_cv!$A:$A,$E66,m6_cv!$B:$B,$A66),0))</f>
        <v>1047</v>
      </c>
      <c r="M66">
        <f>MAX(0,ROUND(SUMIFS(m7_cv!$E:$E,m7_cv!$A:$A,$E66,m7_cv!$B:$B,$A66),0))</f>
        <v>1815</v>
      </c>
      <c r="N66">
        <f>ROUND(_xlfn.XLOOKUP($D66,Charts!$W$86:$W$116,Charts!$X$86:$X$116)*$L66+_xlfn.XLOOKUP($D66,Charts!$W$86:$W$116,Charts!$Y$86:$Y$116)*$M66,0)</f>
        <v>1431</v>
      </c>
      <c r="O66">
        <f>MAX(0,ROUND(SUMIFS(m8_cv!$E:$E,m8_cv!$A:$A,$E66,m8_cv!$B:$B,$A66),0))</f>
        <v>1895</v>
      </c>
    </row>
    <row r="67" spans="1:15" x14ac:dyDescent="0.25">
      <c r="A67" s="3">
        <f t="shared" si="4"/>
        <v>45723</v>
      </c>
      <c r="B67">
        <f t="shared" ref="B67:B130" si="5">YEAR(A67)</f>
        <v>2025</v>
      </c>
      <c r="C67">
        <f t="shared" ref="C67:C130" si="6">MONTH($A67)</f>
        <v>3</v>
      </c>
      <c r="D67">
        <f t="shared" ref="D67:D130" si="7">DAY($A67)</f>
        <v>7</v>
      </c>
      <c r="E67" s="2">
        <f t="shared" ref="E67:E130" si="8">DATE($B67,$C67,1)-1</f>
        <v>45716</v>
      </c>
      <c r="F67" s="12">
        <f>_xlfn.XLOOKUP($A67,m1_cv!$B:$B,m1_cv!$C:$C)</f>
        <v>1674</v>
      </c>
      <c r="G67">
        <f>MAX(0,ROUND(SUMIFS(m1_cv!$E:$E,m1_cv!$A:$A,$E67,m1_cv!$B:$B,$A67),0))</f>
        <v>3847</v>
      </c>
      <c r="H67">
        <f>MAX(0,ROUND(SUMIFS(m2_cv!$E:$E,m2_cv!$A:$A,$E67,m2_cv!$B:$B,$A67),0))</f>
        <v>2095</v>
      </c>
      <c r="I67">
        <f>MAX(0,ROUND(SUMIFS(m3_cv!$E:$E,m3_cv!$A:$A,$E67,m3_cv!$B:$B,$A67),0))</f>
        <v>1960</v>
      </c>
      <c r="J67">
        <f>MAX(0,ROUND(SUMIFS(m4_cv!$E:$E,m4_cv!$A:$A,$E67,m4_cv!$B:$B,$A67),0))</f>
        <v>1964</v>
      </c>
      <c r="K67">
        <f>MAX(0,ROUND(SUMIFS(m5_cv!$E:$E,m5_cv!$A:$A,$E67,m5_cv!$B:$B,$A67),0))</f>
        <v>1926</v>
      </c>
      <c r="L67">
        <f>MAX(0,ROUND(SUMIFS(m6_cv!$E:$E,m6_cv!$A:$A,$E67,m6_cv!$B:$B,$A67),0))</f>
        <v>1057</v>
      </c>
      <c r="M67">
        <f>MAX(0,ROUND(SUMIFS(m7_cv!$E:$E,m7_cv!$A:$A,$E67,m7_cv!$B:$B,$A67),0))</f>
        <v>1785</v>
      </c>
      <c r="N67">
        <f>ROUND(_xlfn.XLOOKUP($D67,Charts!$W$86:$W$116,Charts!$X$86:$X$116)*$L67+_xlfn.XLOOKUP($D67,Charts!$W$86:$W$116,Charts!$Y$86:$Y$116)*$M67,0)</f>
        <v>1421</v>
      </c>
      <c r="O67">
        <f>MAX(0,ROUND(SUMIFS(m8_cv!$E:$E,m8_cv!$A:$A,$E67,m8_cv!$B:$B,$A67),0))</f>
        <v>1883</v>
      </c>
    </row>
    <row r="68" spans="1:15" x14ac:dyDescent="0.25">
      <c r="A68" s="3">
        <f t="shared" ref="A68:A131" si="9">A67+1</f>
        <v>45724</v>
      </c>
      <c r="B68">
        <f t="shared" si="5"/>
        <v>2025</v>
      </c>
      <c r="C68">
        <f t="shared" si="6"/>
        <v>3</v>
      </c>
      <c r="D68">
        <f t="shared" si="7"/>
        <v>8</v>
      </c>
      <c r="E68" s="2">
        <f t="shared" si="8"/>
        <v>45716</v>
      </c>
      <c r="F68" s="12">
        <f>_xlfn.XLOOKUP($A68,m1_cv!$B:$B,m1_cv!$C:$C)</f>
        <v>310</v>
      </c>
      <c r="G68">
        <f>MAX(0,ROUND(SUMIFS(m1_cv!$E:$E,m1_cv!$A:$A,$E68,m1_cv!$B:$B,$A68),0))</f>
        <v>1593</v>
      </c>
      <c r="H68">
        <f>MAX(0,ROUND(SUMIFS(m2_cv!$E:$E,m2_cv!$A:$A,$E68,m2_cv!$B:$B,$A68),0))</f>
        <v>225</v>
      </c>
      <c r="I68">
        <f>MAX(0,ROUND(SUMIFS(m3_cv!$E:$E,m3_cv!$A:$A,$E68,m3_cv!$B:$B,$A68),0))</f>
        <v>95</v>
      </c>
      <c r="J68">
        <f>MAX(0,ROUND(SUMIFS(m4_cv!$E:$E,m4_cv!$A:$A,$E68,m4_cv!$B:$B,$A68),0))</f>
        <v>97</v>
      </c>
      <c r="K68">
        <f>MAX(0,ROUND(SUMIFS(m5_cv!$E:$E,m5_cv!$A:$A,$E68,m5_cv!$B:$B,$A68),0))</f>
        <v>378</v>
      </c>
      <c r="L68">
        <f>MAX(0,ROUND(SUMIFS(m6_cv!$E:$E,m6_cv!$A:$A,$E68,m6_cv!$B:$B,$A68),0))</f>
        <v>373</v>
      </c>
      <c r="M68">
        <f>MAX(0,ROUND(SUMIFS(m7_cv!$E:$E,m7_cv!$A:$A,$E68,m7_cv!$B:$B,$A68),0))</f>
        <v>321</v>
      </c>
      <c r="N68">
        <f>ROUND(_xlfn.XLOOKUP($D68,Charts!$W$86:$W$116,Charts!$X$86:$X$116)*$L68+_xlfn.XLOOKUP($D68,Charts!$W$86:$W$116,Charts!$Y$86:$Y$116)*$M68,0)</f>
        <v>347</v>
      </c>
      <c r="O68">
        <f>MAX(0,ROUND(SUMIFS(m8_cv!$E:$E,m8_cv!$A:$A,$E68,m8_cv!$B:$B,$A68),0))</f>
        <v>1114</v>
      </c>
    </row>
    <row r="69" spans="1:15" x14ac:dyDescent="0.25">
      <c r="A69" s="3">
        <f t="shared" si="9"/>
        <v>45725</v>
      </c>
      <c r="B69">
        <f t="shared" si="5"/>
        <v>2025</v>
      </c>
      <c r="C69">
        <f t="shared" si="6"/>
        <v>3</v>
      </c>
      <c r="D69">
        <f t="shared" si="7"/>
        <v>9</v>
      </c>
      <c r="E69" s="2">
        <f t="shared" si="8"/>
        <v>45716</v>
      </c>
      <c r="F69" s="12">
        <f>_xlfn.XLOOKUP($A69,m1_cv!$B:$B,m1_cv!$C:$C)</f>
        <v>109</v>
      </c>
      <c r="G69">
        <f>MAX(0,ROUND(SUMIFS(m1_cv!$E:$E,m1_cv!$A:$A,$E69,m1_cv!$B:$B,$A69),0))</f>
        <v>1031</v>
      </c>
      <c r="H69">
        <f>MAX(0,ROUND(SUMIFS(m2_cv!$E:$E,m2_cv!$A:$A,$E69,m2_cv!$B:$B,$A69),0))</f>
        <v>0</v>
      </c>
      <c r="I69">
        <f>MAX(0,ROUND(SUMIFS(m3_cv!$E:$E,m3_cv!$A:$A,$E69,m3_cv!$B:$B,$A69),0))</f>
        <v>0</v>
      </c>
      <c r="J69">
        <f>MAX(0,ROUND(SUMIFS(m4_cv!$E:$E,m4_cv!$A:$A,$E69,m4_cv!$B:$B,$A69),0))</f>
        <v>0</v>
      </c>
      <c r="K69">
        <f>MAX(0,ROUND(SUMIFS(m5_cv!$E:$E,m5_cv!$A:$A,$E69,m5_cv!$B:$B,$A69),0))</f>
        <v>0</v>
      </c>
      <c r="L69">
        <f>MAX(0,ROUND(SUMIFS(m6_cv!$E:$E,m6_cv!$A:$A,$E69,m6_cv!$B:$B,$A69),0))</f>
        <v>145</v>
      </c>
      <c r="M69">
        <f>MAX(0,ROUND(SUMIFS(m7_cv!$E:$E,m7_cv!$A:$A,$E69,m7_cv!$B:$B,$A69),0))</f>
        <v>0</v>
      </c>
      <c r="N69">
        <f>ROUND(_xlfn.XLOOKUP($D69,Charts!$W$86:$W$116,Charts!$X$86:$X$116)*$L69+_xlfn.XLOOKUP($D69,Charts!$W$86:$W$116,Charts!$Y$86:$Y$116)*$M69,0)</f>
        <v>73</v>
      </c>
      <c r="O69">
        <f>MAX(0,ROUND(SUMIFS(m8_cv!$E:$E,m8_cv!$A:$A,$E69,m8_cv!$B:$B,$A69),0))</f>
        <v>387</v>
      </c>
    </row>
    <row r="70" spans="1:15" x14ac:dyDescent="0.25">
      <c r="A70" s="3">
        <f t="shared" si="9"/>
        <v>45726</v>
      </c>
      <c r="B70">
        <f t="shared" si="5"/>
        <v>2025</v>
      </c>
      <c r="C70">
        <f t="shared" si="6"/>
        <v>3</v>
      </c>
      <c r="D70">
        <f t="shared" si="7"/>
        <v>10</v>
      </c>
      <c r="E70" s="2">
        <f t="shared" si="8"/>
        <v>45716</v>
      </c>
      <c r="F70" s="12">
        <f>_xlfn.XLOOKUP($A70,m1_cv!$B:$B,m1_cv!$C:$C)</f>
        <v>1900</v>
      </c>
      <c r="G70">
        <f>MAX(0,ROUND(SUMIFS(m1_cv!$E:$E,m1_cv!$A:$A,$E70,m1_cv!$B:$B,$A70),0))</f>
        <v>3276</v>
      </c>
      <c r="H70">
        <f>MAX(0,ROUND(SUMIFS(m2_cv!$E:$E,m2_cv!$A:$A,$E70,m2_cv!$B:$B,$A70),0))</f>
        <v>1870</v>
      </c>
      <c r="I70">
        <f>MAX(0,ROUND(SUMIFS(m3_cv!$E:$E,m3_cv!$A:$A,$E70,m3_cv!$B:$B,$A70),0))</f>
        <v>1925</v>
      </c>
      <c r="J70">
        <f>MAX(0,ROUND(SUMIFS(m4_cv!$E:$E,m4_cv!$A:$A,$E70,m4_cv!$B:$B,$A70),0))</f>
        <v>1930</v>
      </c>
      <c r="K70">
        <f>MAX(0,ROUND(SUMIFS(m5_cv!$E:$E,m5_cv!$A:$A,$E70,m5_cv!$B:$B,$A70),0))</f>
        <v>2054</v>
      </c>
      <c r="L70">
        <f>MAX(0,ROUND(SUMIFS(m6_cv!$E:$E,m6_cv!$A:$A,$E70,m6_cv!$B:$B,$A70),0))</f>
        <v>1592</v>
      </c>
      <c r="M70">
        <f>MAX(0,ROUND(SUMIFS(m7_cv!$E:$E,m7_cv!$A:$A,$E70,m7_cv!$B:$B,$A70),0))</f>
        <v>2107</v>
      </c>
      <c r="N70">
        <f>ROUND(_xlfn.XLOOKUP($D70,Charts!$W$86:$W$116,Charts!$X$86:$X$116)*$L70+_xlfn.XLOOKUP($D70,Charts!$W$86:$W$116,Charts!$Y$86:$Y$116)*$M70,0)</f>
        <v>1850</v>
      </c>
      <c r="O70">
        <f>MAX(0,ROUND(SUMIFS(m8_cv!$E:$E,m8_cv!$A:$A,$E70,m8_cv!$B:$B,$A70),0))</f>
        <v>2378</v>
      </c>
    </row>
    <row r="71" spans="1:15" x14ac:dyDescent="0.25">
      <c r="A71" s="3">
        <f t="shared" si="9"/>
        <v>45727</v>
      </c>
      <c r="B71">
        <f t="shared" si="5"/>
        <v>2025</v>
      </c>
      <c r="C71">
        <f t="shared" si="6"/>
        <v>3</v>
      </c>
      <c r="D71">
        <f t="shared" si="7"/>
        <v>11</v>
      </c>
      <c r="E71" s="2">
        <f t="shared" si="8"/>
        <v>45716</v>
      </c>
      <c r="F71" s="12">
        <f>_xlfn.XLOOKUP($A71,m1_cv!$B:$B,m1_cv!$C:$C)</f>
        <v>2294</v>
      </c>
      <c r="G71">
        <f>MAX(0,ROUND(SUMIFS(m1_cv!$E:$E,m1_cv!$A:$A,$E71,m1_cv!$B:$B,$A71),0))</f>
        <v>3808</v>
      </c>
      <c r="H71">
        <f>MAX(0,ROUND(SUMIFS(m2_cv!$E:$E,m2_cv!$A:$A,$E71,m2_cv!$B:$B,$A71),0))</f>
        <v>2391</v>
      </c>
      <c r="I71">
        <f>MAX(0,ROUND(SUMIFS(m3_cv!$E:$E,m3_cv!$A:$A,$E71,m3_cv!$B:$B,$A71),0))</f>
        <v>2286</v>
      </c>
      <c r="J71">
        <f>MAX(0,ROUND(SUMIFS(m4_cv!$E:$E,m4_cv!$A:$A,$E71,m4_cv!$B:$B,$A71),0))</f>
        <v>2291</v>
      </c>
      <c r="K71">
        <f>MAX(0,ROUND(SUMIFS(m5_cv!$E:$E,m5_cv!$A:$A,$E71,m5_cv!$B:$B,$A71),0))</f>
        <v>2423</v>
      </c>
      <c r="L71">
        <f>MAX(0,ROUND(SUMIFS(m6_cv!$E:$E,m6_cv!$A:$A,$E71,m6_cv!$B:$B,$A71),0))</f>
        <v>1852</v>
      </c>
      <c r="M71">
        <f>MAX(0,ROUND(SUMIFS(m7_cv!$E:$E,m7_cv!$A:$A,$E71,m7_cv!$B:$B,$A71),0))</f>
        <v>2355</v>
      </c>
      <c r="N71">
        <f>ROUND(_xlfn.XLOOKUP($D71,Charts!$W$86:$W$116,Charts!$X$86:$X$116)*$L71+_xlfn.XLOOKUP($D71,Charts!$W$86:$W$116,Charts!$Y$86:$Y$116)*$M71,0)</f>
        <v>2204</v>
      </c>
      <c r="O71">
        <f>MAX(0,ROUND(SUMIFS(m8_cv!$E:$E,m8_cv!$A:$A,$E71,m8_cv!$B:$B,$A71),0))</f>
        <v>2471</v>
      </c>
    </row>
    <row r="72" spans="1:15" x14ac:dyDescent="0.25">
      <c r="A72" s="3">
        <f t="shared" si="9"/>
        <v>45728</v>
      </c>
      <c r="B72">
        <f t="shared" si="5"/>
        <v>2025</v>
      </c>
      <c r="C72">
        <f t="shared" si="6"/>
        <v>3</v>
      </c>
      <c r="D72">
        <f t="shared" si="7"/>
        <v>12</v>
      </c>
      <c r="E72" s="2">
        <f t="shared" si="8"/>
        <v>45716</v>
      </c>
      <c r="F72" s="12">
        <f>_xlfn.XLOOKUP($A72,m1_cv!$B:$B,m1_cv!$C:$C)</f>
        <v>2576</v>
      </c>
      <c r="G72">
        <f>MAX(0,ROUND(SUMIFS(m1_cv!$E:$E,m1_cv!$A:$A,$E72,m1_cv!$B:$B,$A72),0))</f>
        <v>3731</v>
      </c>
      <c r="H72">
        <f>MAX(0,ROUND(SUMIFS(m2_cv!$E:$E,m2_cv!$A:$A,$E72,m2_cv!$B:$B,$A72),0))</f>
        <v>2541</v>
      </c>
      <c r="I72">
        <f>MAX(0,ROUND(SUMIFS(m3_cv!$E:$E,m3_cv!$A:$A,$E72,m3_cv!$B:$B,$A72),0))</f>
        <v>2594</v>
      </c>
      <c r="J72">
        <f>MAX(0,ROUND(SUMIFS(m4_cv!$E:$E,m4_cv!$A:$A,$E72,m4_cv!$B:$B,$A72),0))</f>
        <v>2598</v>
      </c>
      <c r="K72">
        <f>MAX(0,ROUND(SUMIFS(m5_cv!$E:$E,m5_cv!$A:$A,$E72,m5_cv!$B:$B,$A72),0))</f>
        <v>2583</v>
      </c>
      <c r="L72">
        <f>MAX(0,ROUND(SUMIFS(m6_cv!$E:$E,m6_cv!$A:$A,$E72,m6_cv!$B:$B,$A72),0))</f>
        <v>2002</v>
      </c>
      <c r="M72">
        <f>MAX(0,ROUND(SUMIFS(m7_cv!$E:$E,m7_cv!$A:$A,$E72,m7_cv!$B:$B,$A72),0))</f>
        <v>2529</v>
      </c>
      <c r="N72">
        <f>ROUND(_xlfn.XLOOKUP($D72,Charts!$W$86:$W$116,Charts!$X$86:$X$116)*$L72+_xlfn.XLOOKUP($D72,Charts!$W$86:$W$116,Charts!$Y$86:$Y$116)*$M72,0)</f>
        <v>2371</v>
      </c>
      <c r="O72">
        <f>MAX(0,ROUND(SUMIFS(m8_cv!$E:$E,m8_cv!$A:$A,$E72,m8_cv!$B:$B,$A72),0))</f>
        <v>2628</v>
      </c>
    </row>
    <row r="73" spans="1:15" x14ac:dyDescent="0.25">
      <c r="A73" s="3">
        <f t="shared" si="9"/>
        <v>45729</v>
      </c>
      <c r="B73">
        <f t="shared" si="5"/>
        <v>2025</v>
      </c>
      <c r="C73">
        <f t="shared" si="6"/>
        <v>3</v>
      </c>
      <c r="D73">
        <f t="shared" si="7"/>
        <v>13</v>
      </c>
      <c r="E73" s="2">
        <f t="shared" si="8"/>
        <v>45716</v>
      </c>
      <c r="F73" s="12">
        <f>_xlfn.XLOOKUP($A73,m1_cv!$B:$B,m1_cv!$C:$C)</f>
        <v>2235</v>
      </c>
      <c r="G73">
        <f>MAX(0,ROUND(SUMIFS(m1_cv!$E:$E,m1_cv!$A:$A,$E73,m1_cv!$B:$B,$A73),0))</f>
        <v>3718</v>
      </c>
      <c r="H73">
        <f>MAX(0,ROUND(SUMIFS(m2_cv!$E:$E,m2_cv!$A:$A,$E73,m2_cv!$B:$B,$A73),0))</f>
        <v>2802</v>
      </c>
      <c r="I73">
        <f>MAX(0,ROUND(SUMIFS(m3_cv!$E:$E,m3_cv!$A:$A,$E73,m3_cv!$B:$B,$A73),0))</f>
        <v>2892</v>
      </c>
      <c r="J73">
        <f>MAX(0,ROUND(SUMIFS(m4_cv!$E:$E,m4_cv!$A:$A,$E73,m4_cv!$B:$B,$A73),0))</f>
        <v>2897</v>
      </c>
      <c r="K73">
        <f>MAX(0,ROUND(SUMIFS(m5_cv!$E:$E,m5_cv!$A:$A,$E73,m5_cv!$B:$B,$A73),0))</f>
        <v>2677</v>
      </c>
      <c r="L73">
        <f>MAX(0,ROUND(SUMIFS(m6_cv!$E:$E,m6_cv!$A:$A,$E73,m6_cv!$B:$B,$A73),0))</f>
        <v>2383</v>
      </c>
      <c r="M73">
        <f>MAX(0,ROUND(SUMIFS(m7_cv!$E:$E,m7_cv!$A:$A,$E73,m7_cv!$B:$B,$A73),0))</f>
        <v>2697</v>
      </c>
      <c r="N73">
        <f>ROUND(_xlfn.XLOOKUP($D73,Charts!$W$86:$W$116,Charts!$X$86:$X$116)*$L73+_xlfn.XLOOKUP($D73,Charts!$W$86:$W$116,Charts!$Y$86:$Y$116)*$M73,0)</f>
        <v>2603</v>
      </c>
      <c r="O73">
        <f>MAX(0,ROUND(SUMIFS(m8_cv!$E:$E,m8_cv!$A:$A,$E73,m8_cv!$B:$B,$A73),0))</f>
        <v>2786</v>
      </c>
    </row>
    <row r="74" spans="1:15" x14ac:dyDescent="0.25">
      <c r="A74" s="3">
        <f t="shared" si="9"/>
        <v>45730</v>
      </c>
      <c r="B74">
        <f t="shared" si="5"/>
        <v>2025</v>
      </c>
      <c r="C74">
        <f t="shared" si="6"/>
        <v>3</v>
      </c>
      <c r="D74">
        <f t="shared" si="7"/>
        <v>14</v>
      </c>
      <c r="E74" s="2">
        <f t="shared" si="8"/>
        <v>45716</v>
      </c>
      <c r="F74" s="12">
        <f>_xlfn.XLOOKUP($A74,m1_cv!$B:$B,m1_cv!$C:$C)</f>
        <v>3818</v>
      </c>
      <c r="G74">
        <f>MAX(0,ROUND(SUMIFS(m1_cv!$E:$E,m1_cv!$A:$A,$E74,m1_cv!$B:$B,$A74),0))</f>
        <v>3655</v>
      </c>
      <c r="H74">
        <f>MAX(0,ROUND(SUMIFS(m2_cv!$E:$E,m2_cv!$A:$A,$E74,m2_cv!$B:$B,$A74),0))</f>
        <v>2866</v>
      </c>
      <c r="I74">
        <f>MAX(0,ROUND(SUMIFS(m3_cv!$E:$E,m3_cv!$A:$A,$E74,m3_cv!$B:$B,$A74),0))</f>
        <v>2881</v>
      </c>
      <c r="J74">
        <f>MAX(0,ROUND(SUMIFS(m4_cv!$E:$E,m4_cv!$A:$A,$E74,m4_cv!$B:$B,$A74),0))</f>
        <v>2886</v>
      </c>
      <c r="K74">
        <f>MAX(0,ROUND(SUMIFS(m5_cv!$E:$E,m5_cv!$A:$A,$E74,m5_cv!$B:$B,$A74),0))</f>
        <v>2633</v>
      </c>
      <c r="L74">
        <f>MAX(0,ROUND(SUMIFS(m6_cv!$E:$E,m6_cv!$A:$A,$E74,m6_cv!$B:$B,$A74),0))</f>
        <v>2397</v>
      </c>
      <c r="M74">
        <f>MAX(0,ROUND(SUMIFS(m7_cv!$E:$E,m7_cv!$A:$A,$E74,m7_cv!$B:$B,$A74),0))</f>
        <v>2658</v>
      </c>
      <c r="N74">
        <f>ROUND(_xlfn.XLOOKUP($D74,Charts!$W$86:$W$116,Charts!$X$86:$X$116)*$L74+_xlfn.XLOOKUP($D74,Charts!$W$86:$W$116,Charts!$Y$86:$Y$116)*$M74,0)</f>
        <v>2658</v>
      </c>
      <c r="O74">
        <f>MAX(0,ROUND(SUMIFS(m8_cv!$E:$E,m8_cv!$A:$A,$E74,m8_cv!$B:$B,$A74),0))</f>
        <v>2743</v>
      </c>
    </row>
    <row r="75" spans="1:15" x14ac:dyDescent="0.25">
      <c r="A75" s="3">
        <f t="shared" si="9"/>
        <v>45731</v>
      </c>
      <c r="B75">
        <f t="shared" si="5"/>
        <v>2025</v>
      </c>
      <c r="C75">
        <f t="shared" si="6"/>
        <v>3</v>
      </c>
      <c r="D75">
        <f t="shared" si="7"/>
        <v>15</v>
      </c>
      <c r="E75" s="2">
        <f t="shared" si="8"/>
        <v>45716</v>
      </c>
      <c r="F75" s="12">
        <f>_xlfn.XLOOKUP($A75,m1_cv!$B:$B,m1_cv!$C:$C)</f>
        <v>927</v>
      </c>
      <c r="G75">
        <f>MAX(0,ROUND(SUMIFS(m1_cv!$E:$E,m1_cv!$A:$A,$E75,m1_cv!$B:$B,$A75),0))</f>
        <v>1385</v>
      </c>
      <c r="H75">
        <f>MAX(0,ROUND(SUMIFS(m2_cv!$E:$E,m2_cv!$A:$A,$E75,m2_cv!$B:$B,$A75),0))</f>
        <v>603</v>
      </c>
      <c r="I75">
        <f>MAX(0,ROUND(SUMIFS(m3_cv!$E:$E,m3_cv!$A:$A,$E75,m3_cv!$B:$B,$A75),0))</f>
        <v>591</v>
      </c>
      <c r="J75">
        <f>MAX(0,ROUND(SUMIFS(m4_cv!$E:$E,m4_cv!$A:$A,$E75,m4_cv!$B:$B,$A75),0))</f>
        <v>594</v>
      </c>
      <c r="K75">
        <f>MAX(0,ROUND(SUMIFS(m5_cv!$E:$E,m5_cv!$A:$A,$E75,m5_cv!$B:$B,$A75),0))</f>
        <v>461</v>
      </c>
      <c r="L75">
        <f>MAX(0,ROUND(SUMIFS(m6_cv!$E:$E,m6_cv!$A:$A,$E75,m6_cv!$B:$B,$A75),0))</f>
        <v>433</v>
      </c>
      <c r="M75">
        <f>MAX(0,ROUND(SUMIFS(m7_cv!$E:$E,m7_cv!$A:$A,$E75,m7_cv!$B:$B,$A75),0))</f>
        <v>463</v>
      </c>
      <c r="N75">
        <f>ROUND(_xlfn.XLOOKUP($D75,Charts!$W$86:$W$116,Charts!$X$86:$X$116)*$L75+_xlfn.XLOOKUP($D75,Charts!$W$86:$W$116,Charts!$Y$86:$Y$116)*$M75,0)</f>
        <v>463</v>
      </c>
      <c r="O75">
        <f>MAX(0,ROUND(SUMIFS(m8_cv!$E:$E,m8_cv!$A:$A,$E75,m8_cv!$B:$B,$A75),0))</f>
        <v>553</v>
      </c>
    </row>
    <row r="76" spans="1:15" x14ac:dyDescent="0.25">
      <c r="A76" s="3">
        <f t="shared" si="9"/>
        <v>45732</v>
      </c>
      <c r="B76">
        <f t="shared" si="5"/>
        <v>2025</v>
      </c>
      <c r="C76">
        <f t="shared" si="6"/>
        <v>3</v>
      </c>
      <c r="D76">
        <f t="shared" si="7"/>
        <v>16</v>
      </c>
      <c r="E76" s="2">
        <f t="shared" si="8"/>
        <v>45716</v>
      </c>
      <c r="F76" s="12">
        <f>_xlfn.XLOOKUP($A76,m1_cv!$B:$B,m1_cv!$C:$C)</f>
        <v>263</v>
      </c>
      <c r="G76">
        <f>MAX(0,ROUND(SUMIFS(m1_cv!$E:$E,m1_cv!$A:$A,$E76,m1_cv!$B:$B,$A76),0))</f>
        <v>813</v>
      </c>
      <c r="H76">
        <f>MAX(0,ROUND(SUMIFS(m2_cv!$E:$E,m2_cv!$A:$A,$E76,m2_cv!$B:$B,$A76),0))</f>
        <v>55</v>
      </c>
      <c r="I76">
        <f>MAX(0,ROUND(SUMIFS(m3_cv!$E:$E,m3_cv!$A:$A,$E76,m3_cv!$B:$B,$A76),0))</f>
        <v>0</v>
      </c>
      <c r="J76">
        <f>MAX(0,ROUND(SUMIFS(m4_cv!$E:$E,m4_cv!$A:$A,$E76,m4_cv!$B:$B,$A76),0))</f>
        <v>4</v>
      </c>
      <c r="K76">
        <f>MAX(0,ROUND(SUMIFS(m5_cv!$E:$E,m5_cv!$A:$A,$E76,m5_cv!$B:$B,$A76),0))</f>
        <v>24</v>
      </c>
      <c r="L76">
        <f>MAX(0,ROUND(SUMIFS(m6_cv!$E:$E,m6_cv!$A:$A,$E76,m6_cv!$B:$B,$A76),0))</f>
        <v>172</v>
      </c>
      <c r="M76">
        <f>MAX(0,ROUND(SUMIFS(m7_cv!$E:$E,m7_cv!$A:$A,$E76,m7_cv!$B:$B,$A76),0))</f>
        <v>8</v>
      </c>
      <c r="N76">
        <f>ROUND(_xlfn.XLOOKUP($D76,Charts!$W$86:$W$116,Charts!$X$86:$X$116)*$L76+_xlfn.XLOOKUP($D76,Charts!$W$86:$W$116,Charts!$Y$86:$Y$116)*$M76,0)</f>
        <v>8</v>
      </c>
      <c r="O76">
        <f>MAX(0,ROUND(SUMIFS(m8_cv!$E:$E,m8_cv!$A:$A,$E76,m8_cv!$B:$B,$A76),0))</f>
        <v>105</v>
      </c>
    </row>
    <row r="77" spans="1:15" x14ac:dyDescent="0.25">
      <c r="A77" s="3">
        <f t="shared" si="9"/>
        <v>45733</v>
      </c>
      <c r="B77">
        <f t="shared" si="5"/>
        <v>2025</v>
      </c>
      <c r="C77">
        <f t="shared" si="6"/>
        <v>3</v>
      </c>
      <c r="D77">
        <f t="shared" si="7"/>
        <v>17</v>
      </c>
      <c r="E77" s="2">
        <f t="shared" si="8"/>
        <v>45716</v>
      </c>
      <c r="F77" s="12">
        <f>_xlfn.XLOOKUP($A77,m1_cv!$B:$B,m1_cv!$C:$C)</f>
        <v>4812</v>
      </c>
      <c r="G77">
        <f>MAX(0,ROUND(SUMIFS(m1_cv!$E:$E,m1_cv!$A:$A,$E77,m1_cv!$B:$B,$A77),0))</f>
        <v>3055</v>
      </c>
      <c r="H77">
        <f>MAX(0,ROUND(SUMIFS(m2_cv!$E:$E,m2_cv!$A:$A,$E77,m2_cv!$B:$B,$A77),0))</f>
        <v>2490</v>
      </c>
      <c r="I77">
        <f>MAX(0,ROUND(SUMIFS(m3_cv!$E:$E,m3_cv!$A:$A,$E77,m3_cv!$B:$B,$A77),0))</f>
        <v>2602</v>
      </c>
      <c r="J77">
        <f>MAX(0,ROUND(SUMIFS(m4_cv!$E:$E,m4_cv!$A:$A,$E77,m4_cv!$B:$B,$A77),0))</f>
        <v>2608</v>
      </c>
      <c r="K77">
        <f>MAX(0,ROUND(SUMIFS(m5_cv!$E:$E,m5_cv!$A:$A,$E77,m5_cv!$B:$B,$A77),0))</f>
        <v>2617</v>
      </c>
      <c r="L77">
        <f>MAX(0,ROUND(SUMIFS(m6_cv!$E:$E,m6_cv!$A:$A,$E77,m6_cv!$B:$B,$A77),0))</f>
        <v>2042</v>
      </c>
      <c r="M77">
        <f>MAX(0,ROUND(SUMIFS(m7_cv!$E:$E,m7_cv!$A:$A,$E77,m7_cv!$B:$B,$A77),0))</f>
        <v>2629</v>
      </c>
      <c r="N77">
        <f>ROUND(_xlfn.XLOOKUP($D77,Charts!$W$86:$W$116,Charts!$X$86:$X$116)*$L77+_xlfn.XLOOKUP($D77,Charts!$W$86:$W$116,Charts!$Y$86:$Y$116)*$M77,0)</f>
        <v>2629</v>
      </c>
      <c r="O77">
        <f>MAX(0,ROUND(SUMIFS(m8_cv!$E:$E,m8_cv!$A:$A,$E77,m8_cv!$B:$B,$A77),0))</f>
        <v>2723</v>
      </c>
    </row>
    <row r="78" spans="1:15" x14ac:dyDescent="0.25">
      <c r="A78" s="3">
        <f t="shared" si="9"/>
        <v>45734</v>
      </c>
      <c r="B78">
        <f t="shared" si="5"/>
        <v>2025</v>
      </c>
      <c r="C78">
        <f t="shared" si="6"/>
        <v>3</v>
      </c>
      <c r="D78">
        <f t="shared" si="7"/>
        <v>18</v>
      </c>
      <c r="E78" s="2">
        <f t="shared" si="8"/>
        <v>45716</v>
      </c>
      <c r="F78" s="12">
        <f>_xlfn.XLOOKUP($A78,m1_cv!$B:$B,m1_cv!$C:$C)</f>
        <v>1459</v>
      </c>
      <c r="G78">
        <f>MAX(0,ROUND(SUMIFS(m1_cv!$E:$E,m1_cv!$A:$A,$E78,m1_cv!$B:$B,$A78),0))</f>
        <v>3590</v>
      </c>
      <c r="H78">
        <f>MAX(0,ROUND(SUMIFS(m2_cv!$E:$E,m2_cv!$A:$A,$E78,m2_cv!$B:$B,$A78),0))</f>
        <v>3262</v>
      </c>
      <c r="I78">
        <f>MAX(0,ROUND(SUMIFS(m3_cv!$E:$E,m3_cv!$A:$A,$E78,m3_cv!$B:$B,$A78),0))</f>
        <v>1657</v>
      </c>
      <c r="J78">
        <f>MAX(0,ROUND(SUMIFS(m4_cv!$E:$E,m4_cv!$A:$A,$E78,m4_cv!$B:$B,$A78),0))</f>
        <v>1654</v>
      </c>
      <c r="K78">
        <f>MAX(0,ROUND(SUMIFS(m5_cv!$E:$E,m5_cv!$A:$A,$E78,m5_cv!$B:$B,$A78),0))</f>
        <v>1591</v>
      </c>
      <c r="L78">
        <f>MAX(0,ROUND(SUMIFS(m6_cv!$E:$E,m6_cv!$A:$A,$E78,m6_cv!$B:$B,$A78),0))</f>
        <v>320</v>
      </c>
      <c r="M78">
        <f>MAX(0,ROUND(SUMIFS(m7_cv!$E:$E,m7_cv!$A:$A,$E78,m7_cv!$B:$B,$A78),0))</f>
        <v>1547</v>
      </c>
      <c r="N78">
        <f>ROUND(_xlfn.XLOOKUP($D78,Charts!$W$86:$W$116,Charts!$X$86:$X$116)*$L78+_xlfn.XLOOKUP($D78,Charts!$W$86:$W$116,Charts!$Y$86:$Y$116)*$M78,0)</f>
        <v>1547</v>
      </c>
      <c r="O78">
        <f>MAX(0,ROUND(SUMIFS(m8_cv!$E:$E,m8_cv!$A:$A,$E78,m8_cv!$B:$B,$A78),0))</f>
        <v>1617</v>
      </c>
    </row>
    <row r="79" spans="1:15" x14ac:dyDescent="0.25">
      <c r="A79" s="3">
        <f t="shared" si="9"/>
        <v>45735</v>
      </c>
      <c r="B79">
        <f t="shared" si="5"/>
        <v>2025</v>
      </c>
      <c r="C79">
        <f t="shared" si="6"/>
        <v>3</v>
      </c>
      <c r="D79">
        <f t="shared" si="7"/>
        <v>19</v>
      </c>
      <c r="E79" s="2">
        <f t="shared" si="8"/>
        <v>45716</v>
      </c>
      <c r="F79" s="12">
        <f>_xlfn.XLOOKUP($A79,m1_cv!$B:$B,m1_cv!$C:$C)</f>
        <v>3508</v>
      </c>
      <c r="G79">
        <f>MAX(0,ROUND(SUMIFS(m1_cv!$E:$E,m1_cv!$A:$A,$E79,m1_cv!$B:$B,$A79),0))</f>
        <v>3523</v>
      </c>
      <c r="H79">
        <f>MAX(0,ROUND(SUMIFS(m2_cv!$E:$E,m2_cv!$A:$A,$E79,m2_cv!$B:$B,$A79),0))</f>
        <v>3368</v>
      </c>
      <c r="I79">
        <f>MAX(0,ROUND(SUMIFS(m3_cv!$E:$E,m3_cv!$A:$A,$E79,m3_cv!$B:$B,$A79),0))</f>
        <v>3433</v>
      </c>
      <c r="J79">
        <f>MAX(0,ROUND(SUMIFS(m4_cv!$E:$E,m4_cv!$A:$A,$E79,m4_cv!$B:$B,$A79),0))</f>
        <v>3439</v>
      </c>
      <c r="K79">
        <f>MAX(0,ROUND(SUMIFS(m5_cv!$E:$E,m5_cv!$A:$A,$E79,m5_cv!$B:$B,$A79),0))</f>
        <v>3235</v>
      </c>
      <c r="L79">
        <f>MAX(0,ROUND(SUMIFS(m6_cv!$E:$E,m6_cv!$A:$A,$E79,m6_cv!$B:$B,$A79),0))</f>
        <v>3019</v>
      </c>
      <c r="M79">
        <f>MAX(0,ROUND(SUMIFS(m7_cv!$E:$E,m7_cv!$A:$A,$E79,m7_cv!$B:$B,$A79),0))</f>
        <v>3187</v>
      </c>
      <c r="N79">
        <f>ROUND(_xlfn.XLOOKUP($D79,Charts!$W$86:$W$116,Charts!$X$86:$X$116)*$L79+_xlfn.XLOOKUP($D79,Charts!$W$86:$W$116,Charts!$Y$86:$Y$116)*$M79,0)</f>
        <v>3187</v>
      </c>
      <c r="O79">
        <f>MAX(0,ROUND(SUMIFS(m8_cv!$E:$E,m8_cv!$A:$A,$E79,m8_cv!$B:$B,$A79),0))</f>
        <v>3284</v>
      </c>
    </row>
    <row r="80" spans="1:15" x14ac:dyDescent="0.25">
      <c r="A80" s="3">
        <f t="shared" si="9"/>
        <v>45736</v>
      </c>
      <c r="B80">
        <f t="shared" si="5"/>
        <v>2025</v>
      </c>
      <c r="C80">
        <f t="shared" si="6"/>
        <v>3</v>
      </c>
      <c r="D80">
        <f t="shared" si="7"/>
        <v>20</v>
      </c>
      <c r="E80" s="2">
        <f t="shared" si="8"/>
        <v>45716</v>
      </c>
      <c r="F80" s="12">
        <f>_xlfn.XLOOKUP($A80,m1_cv!$B:$B,m1_cv!$C:$C)</f>
        <v>3947</v>
      </c>
      <c r="G80">
        <f>MAX(0,ROUND(SUMIFS(m1_cv!$E:$E,m1_cv!$A:$A,$E80,m1_cv!$B:$B,$A80),0))</f>
        <v>3525</v>
      </c>
      <c r="H80">
        <f>MAX(0,ROUND(SUMIFS(m2_cv!$E:$E,m2_cv!$A:$A,$E80,m2_cv!$B:$B,$A80),0))</f>
        <v>3349</v>
      </c>
      <c r="I80">
        <f>MAX(0,ROUND(SUMIFS(m3_cv!$E:$E,m3_cv!$A:$A,$E80,m3_cv!$B:$B,$A80),0))</f>
        <v>3395</v>
      </c>
      <c r="J80">
        <f>MAX(0,ROUND(SUMIFS(m4_cv!$E:$E,m4_cv!$A:$A,$E80,m4_cv!$B:$B,$A80),0))</f>
        <v>3402</v>
      </c>
      <c r="K80">
        <f>MAX(0,ROUND(SUMIFS(m5_cv!$E:$E,m5_cv!$A:$A,$E80,m5_cv!$B:$B,$A80),0))</f>
        <v>3203</v>
      </c>
      <c r="L80">
        <f>MAX(0,ROUND(SUMIFS(m6_cv!$E:$E,m6_cv!$A:$A,$E80,m6_cv!$B:$B,$A80),0))</f>
        <v>3462</v>
      </c>
      <c r="M80">
        <f>MAX(0,ROUND(SUMIFS(m7_cv!$E:$E,m7_cv!$A:$A,$E80,m7_cv!$B:$B,$A80),0))</f>
        <v>3182</v>
      </c>
      <c r="N80">
        <f>ROUND(_xlfn.XLOOKUP($D80,Charts!$W$86:$W$116,Charts!$X$86:$X$116)*$L80+_xlfn.XLOOKUP($D80,Charts!$W$86:$W$116,Charts!$Y$86:$Y$116)*$M80,0)</f>
        <v>3182</v>
      </c>
      <c r="O80">
        <f>MAX(0,ROUND(SUMIFS(m8_cv!$E:$E,m8_cv!$A:$A,$E80,m8_cv!$B:$B,$A80),0))</f>
        <v>3271</v>
      </c>
    </row>
    <row r="81" spans="1:15" x14ac:dyDescent="0.25">
      <c r="A81" s="3">
        <f t="shared" si="9"/>
        <v>45737</v>
      </c>
      <c r="B81">
        <f t="shared" si="5"/>
        <v>2025</v>
      </c>
      <c r="C81">
        <f t="shared" si="6"/>
        <v>3</v>
      </c>
      <c r="D81">
        <f t="shared" si="7"/>
        <v>21</v>
      </c>
      <c r="E81" s="2">
        <f t="shared" si="8"/>
        <v>45716</v>
      </c>
      <c r="F81" s="12">
        <f>_xlfn.XLOOKUP($A81,m1_cv!$B:$B,m1_cv!$C:$C)</f>
        <v>4280</v>
      </c>
      <c r="G81">
        <f>MAX(0,ROUND(SUMIFS(m1_cv!$E:$E,m1_cv!$A:$A,$E81,m1_cv!$B:$B,$A81),0))</f>
        <v>3482</v>
      </c>
      <c r="H81">
        <f>MAX(0,ROUND(SUMIFS(m2_cv!$E:$E,m2_cv!$A:$A,$E81,m2_cv!$B:$B,$A81),0))</f>
        <v>3206</v>
      </c>
      <c r="I81">
        <f>MAX(0,ROUND(SUMIFS(m3_cv!$E:$E,m3_cv!$A:$A,$E81,m3_cv!$B:$B,$A81),0))</f>
        <v>3117</v>
      </c>
      <c r="J81">
        <f>MAX(0,ROUND(SUMIFS(m4_cv!$E:$E,m4_cv!$A:$A,$E81,m4_cv!$B:$B,$A81),0))</f>
        <v>3123</v>
      </c>
      <c r="K81">
        <f>MAX(0,ROUND(SUMIFS(m5_cv!$E:$E,m5_cv!$A:$A,$E81,m5_cv!$B:$B,$A81),0))</f>
        <v>3098</v>
      </c>
      <c r="L81">
        <f>MAX(0,ROUND(SUMIFS(m6_cv!$E:$E,m6_cv!$A:$A,$E81,m6_cv!$B:$B,$A81),0))</f>
        <v>3178</v>
      </c>
      <c r="M81">
        <f>MAX(0,ROUND(SUMIFS(m7_cv!$E:$E,m7_cv!$A:$A,$E81,m7_cv!$B:$B,$A81),0))</f>
        <v>3179</v>
      </c>
      <c r="N81">
        <f>ROUND(_xlfn.XLOOKUP($D81,Charts!$W$86:$W$116,Charts!$X$86:$X$116)*$L81+_xlfn.XLOOKUP($D81,Charts!$W$86:$W$116,Charts!$Y$86:$Y$116)*$M81,0)</f>
        <v>3179</v>
      </c>
      <c r="O81">
        <f>MAX(0,ROUND(SUMIFS(m8_cv!$E:$E,m8_cv!$A:$A,$E81,m8_cv!$B:$B,$A81),0))</f>
        <v>3276</v>
      </c>
    </row>
    <row r="82" spans="1:15" x14ac:dyDescent="0.25">
      <c r="A82" s="3">
        <f t="shared" si="9"/>
        <v>45738</v>
      </c>
      <c r="B82">
        <f t="shared" si="5"/>
        <v>2025</v>
      </c>
      <c r="C82">
        <f t="shared" si="6"/>
        <v>3</v>
      </c>
      <c r="D82">
        <f t="shared" si="7"/>
        <v>22</v>
      </c>
      <c r="E82" s="2">
        <f t="shared" si="8"/>
        <v>45716</v>
      </c>
      <c r="F82" s="12">
        <f>_xlfn.XLOOKUP($A82,m1_cv!$B:$B,m1_cv!$C:$C)</f>
        <v>1076</v>
      </c>
      <c r="G82">
        <f>MAX(0,ROUND(SUMIFS(m1_cv!$E:$E,m1_cv!$A:$A,$E82,m1_cv!$B:$B,$A82),0))</f>
        <v>1235</v>
      </c>
      <c r="H82">
        <f>MAX(0,ROUND(SUMIFS(m2_cv!$E:$E,m2_cv!$A:$A,$E82,m2_cv!$B:$B,$A82),0))</f>
        <v>1034</v>
      </c>
      <c r="I82">
        <f>MAX(0,ROUND(SUMIFS(m3_cv!$E:$E,m3_cv!$A:$A,$E82,m3_cv!$B:$B,$A82),0))</f>
        <v>892</v>
      </c>
      <c r="J82">
        <f>MAX(0,ROUND(SUMIFS(m4_cv!$E:$E,m4_cv!$A:$A,$E82,m4_cv!$B:$B,$A82),0))</f>
        <v>897</v>
      </c>
      <c r="K82">
        <f>MAX(0,ROUND(SUMIFS(m5_cv!$E:$E,m5_cv!$A:$A,$E82,m5_cv!$B:$B,$A82),0))</f>
        <v>986</v>
      </c>
      <c r="L82">
        <f>MAX(0,ROUND(SUMIFS(m6_cv!$E:$E,m6_cv!$A:$A,$E82,m6_cv!$B:$B,$A82),0))</f>
        <v>540</v>
      </c>
      <c r="M82">
        <f>MAX(0,ROUND(SUMIFS(m7_cv!$E:$E,m7_cv!$A:$A,$E82,m7_cv!$B:$B,$A82),0))</f>
        <v>1012</v>
      </c>
      <c r="N82">
        <f>ROUND(_xlfn.XLOOKUP($D82,Charts!$W$86:$W$116,Charts!$X$86:$X$116)*$L82+_xlfn.XLOOKUP($D82,Charts!$W$86:$W$116,Charts!$Y$86:$Y$116)*$M82,0)</f>
        <v>1012</v>
      </c>
      <c r="O82">
        <f>MAX(0,ROUND(SUMIFS(m8_cv!$E:$E,m8_cv!$A:$A,$E82,m8_cv!$B:$B,$A82),0))</f>
        <v>1110</v>
      </c>
    </row>
    <row r="83" spans="1:15" x14ac:dyDescent="0.25">
      <c r="A83" s="3">
        <f t="shared" si="9"/>
        <v>45739</v>
      </c>
      <c r="B83">
        <f t="shared" si="5"/>
        <v>2025</v>
      </c>
      <c r="C83">
        <f t="shared" si="6"/>
        <v>3</v>
      </c>
      <c r="D83">
        <f t="shared" si="7"/>
        <v>23</v>
      </c>
      <c r="E83" s="2">
        <f t="shared" si="8"/>
        <v>45716</v>
      </c>
      <c r="F83" s="12">
        <f>_xlfn.XLOOKUP($A83,m1_cv!$B:$B,m1_cv!$C:$C)</f>
        <v>301</v>
      </c>
      <c r="G83">
        <f>MAX(0,ROUND(SUMIFS(m1_cv!$E:$E,m1_cv!$A:$A,$E83,m1_cv!$B:$B,$A83),0))</f>
        <v>691</v>
      </c>
      <c r="H83">
        <f>MAX(0,ROUND(SUMIFS(m2_cv!$E:$E,m2_cv!$A:$A,$E83,m2_cv!$B:$B,$A83),0))</f>
        <v>786</v>
      </c>
      <c r="I83">
        <f>MAX(0,ROUND(SUMIFS(m3_cv!$E:$E,m3_cv!$A:$A,$E83,m3_cv!$B:$B,$A83),0))</f>
        <v>622</v>
      </c>
      <c r="J83">
        <f>MAX(0,ROUND(SUMIFS(m4_cv!$E:$E,m4_cv!$A:$A,$E83,m4_cv!$B:$B,$A83),0))</f>
        <v>629</v>
      </c>
      <c r="K83">
        <f>MAX(0,ROUND(SUMIFS(m5_cv!$E:$E,m5_cv!$A:$A,$E83,m5_cv!$B:$B,$A83),0))</f>
        <v>657</v>
      </c>
      <c r="L83">
        <f>MAX(0,ROUND(SUMIFS(m6_cv!$E:$E,m6_cv!$A:$A,$E83,m6_cv!$B:$B,$A83),0))</f>
        <v>219</v>
      </c>
      <c r="M83">
        <f>MAX(0,ROUND(SUMIFS(m7_cv!$E:$E,m7_cv!$A:$A,$E83,m7_cv!$B:$B,$A83),0))</f>
        <v>576</v>
      </c>
      <c r="N83">
        <f>ROUND(_xlfn.XLOOKUP($D83,Charts!$W$86:$W$116,Charts!$X$86:$X$116)*$L83+_xlfn.XLOOKUP($D83,Charts!$W$86:$W$116,Charts!$Y$86:$Y$116)*$M83,0)</f>
        <v>576</v>
      </c>
      <c r="O83">
        <f>MAX(0,ROUND(SUMIFS(m8_cv!$E:$E,m8_cv!$A:$A,$E83,m8_cv!$B:$B,$A83),0))</f>
        <v>676</v>
      </c>
    </row>
    <row r="84" spans="1:15" x14ac:dyDescent="0.25">
      <c r="A84" s="3">
        <f t="shared" si="9"/>
        <v>45740</v>
      </c>
      <c r="B84">
        <f t="shared" si="5"/>
        <v>2025</v>
      </c>
      <c r="C84">
        <f t="shared" si="6"/>
        <v>3</v>
      </c>
      <c r="D84">
        <f t="shared" si="7"/>
        <v>24</v>
      </c>
      <c r="E84" s="2">
        <f t="shared" si="8"/>
        <v>45716</v>
      </c>
      <c r="F84" s="12">
        <f>_xlfn.XLOOKUP($A84,m1_cv!$B:$B,m1_cv!$C:$C)</f>
        <v>4292</v>
      </c>
      <c r="G84">
        <f>MAX(0,ROUND(SUMIFS(m1_cv!$E:$E,m1_cv!$A:$A,$E84,m1_cv!$B:$B,$A84),0))</f>
        <v>2962</v>
      </c>
      <c r="H84">
        <f>MAX(0,ROUND(SUMIFS(m2_cv!$E:$E,m2_cv!$A:$A,$E84,m2_cv!$B:$B,$A84),0))</f>
        <v>3414</v>
      </c>
      <c r="I84">
        <f>MAX(0,ROUND(SUMIFS(m3_cv!$E:$E,m3_cv!$A:$A,$E84,m3_cv!$B:$B,$A84),0))</f>
        <v>3468</v>
      </c>
      <c r="J84">
        <f>MAX(0,ROUND(SUMIFS(m4_cv!$E:$E,m4_cv!$A:$A,$E84,m4_cv!$B:$B,$A84),0))</f>
        <v>3476</v>
      </c>
      <c r="K84">
        <f>MAX(0,ROUND(SUMIFS(m5_cv!$E:$E,m5_cv!$A:$A,$E84,m5_cv!$B:$B,$A84),0))</f>
        <v>3288</v>
      </c>
      <c r="L84">
        <f>MAX(0,ROUND(SUMIFS(m6_cv!$E:$E,m6_cv!$A:$A,$E84,m6_cv!$B:$B,$A84),0))</f>
        <v>2839</v>
      </c>
      <c r="M84">
        <f>MAX(0,ROUND(SUMIFS(m7_cv!$E:$E,m7_cv!$A:$A,$E84,m7_cv!$B:$B,$A84),0))</f>
        <v>3259</v>
      </c>
      <c r="N84">
        <f>ROUND(_xlfn.XLOOKUP($D84,Charts!$W$86:$W$116,Charts!$X$86:$X$116)*$L84+_xlfn.XLOOKUP($D84,Charts!$W$86:$W$116,Charts!$Y$86:$Y$116)*$M84,0)</f>
        <v>2839</v>
      </c>
      <c r="O84">
        <f>MAX(0,ROUND(SUMIFS(m8_cv!$E:$E,m8_cv!$A:$A,$E84,m8_cv!$B:$B,$A84),0))</f>
        <v>3366</v>
      </c>
    </row>
    <row r="85" spans="1:15" x14ac:dyDescent="0.25">
      <c r="A85" s="3">
        <f t="shared" si="9"/>
        <v>45741</v>
      </c>
      <c r="B85">
        <f t="shared" si="5"/>
        <v>2025</v>
      </c>
      <c r="C85">
        <f t="shared" si="6"/>
        <v>3</v>
      </c>
      <c r="D85">
        <f t="shared" si="7"/>
        <v>25</v>
      </c>
      <c r="E85" s="2">
        <f t="shared" si="8"/>
        <v>45716</v>
      </c>
      <c r="F85" s="12">
        <f>_xlfn.XLOOKUP($A85,m1_cv!$B:$B,m1_cv!$C:$C)</f>
        <v>5571</v>
      </c>
      <c r="G85">
        <f>MAX(0,ROUND(SUMIFS(m1_cv!$E:$E,m1_cv!$A:$A,$E85,m1_cv!$B:$B,$A85),0))</f>
        <v>3527</v>
      </c>
      <c r="H85">
        <f>MAX(0,ROUND(SUMIFS(m2_cv!$E:$E,m2_cv!$A:$A,$E85,m2_cv!$B:$B,$A85),0))</f>
        <v>4065</v>
      </c>
      <c r="I85">
        <f>MAX(0,ROUND(SUMIFS(m3_cv!$E:$E,m3_cv!$A:$A,$E85,m3_cv!$B:$B,$A85),0))</f>
        <v>3984</v>
      </c>
      <c r="J85">
        <f>MAX(0,ROUND(SUMIFS(m4_cv!$E:$E,m4_cv!$A:$A,$E85,m4_cv!$B:$B,$A85),0))</f>
        <v>3991</v>
      </c>
      <c r="K85">
        <f>MAX(0,ROUND(SUMIFS(m5_cv!$E:$E,m5_cv!$A:$A,$E85,m5_cv!$B:$B,$A85),0))</f>
        <v>3733</v>
      </c>
      <c r="L85">
        <f>MAX(0,ROUND(SUMIFS(m6_cv!$E:$E,m6_cv!$A:$A,$E85,m6_cv!$B:$B,$A85),0))</f>
        <v>3969</v>
      </c>
      <c r="M85">
        <f>MAX(0,ROUND(SUMIFS(m7_cv!$E:$E,m7_cv!$A:$A,$E85,m7_cv!$B:$B,$A85),0))</f>
        <v>3737</v>
      </c>
      <c r="N85">
        <f>ROUND(_xlfn.XLOOKUP($D85,Charts!$W$86:$W$116,Charts!$X$86:$X$116)*$L85+_xlfn.XLOOKUP($D85,Charts!$W$86:$W$116,Charts!$Y$86:$Y$116)*$M85,0)</f>
        <v>3969</v>
      </c>
      <c r="O85">
        <f>MAX(0,ROUND(SUMIFS(m8_cv!$E:$E,m8_cv!$A:$A,$E85,m8_cv!$B:$B,$A85),0))</f>
        <v>3850</v>
      </c>
    </row>
    <row r="86" spans="1:15" x14ac:dyDescent="0.25">
      <c r="A86" s="3">
        <f t="shared" si="9"/>
        <v>45742</v>
      </c>
      <c r="B86">
        <f t="shared" si="5"/>
        <v>2025</v>
      </c>
      <c r="C86">
        <f t="shared" si="6"/>
        <v>3</v>
      </c>
      <c r="D86">
        <f t="shared" si="7"/>
        <v>26</v>
      </c>
      <c r="E86" s="2">
        <f t="shared" si="8"/>
        <v>45716</v>
      </c>
      <c r="F86" s="12">
        <f>_xlfn.XLOOKUP($A86,m1_cv!$B:$B,m1_cv!$C:$C)</f>
        <v>6352</v>
      </c>
      <c r="G86">
        <f>MAX(0,ROUND(SUMIFS(m1_cv!$E:$E,m1_cv!$A:$A,$E86,m1_cv!$B:$B,$A86),0))</f>
        <v>3490</v>
      </c>
      <c r="H86">
        <f>MAX(0,ROUND(SUMIFS(m2_cv!$E:$E,m2_cv!$A:$A,$E86,m2_cv!$B:$B,$A86),0))</f>
        <v>3887</v>
      </c>
      <c r="I86">
        <f>MAX(0,ROUND(SUMIFS(m3_cv!$E:$E,m3_cv!$A:$A,$E86,m3_cv!$B:$B,$A86),0))</f>
        <v>3940</v>
      </c>
      <c r="J86">
        <f>MAX(0,ROUND(SUMIFS(m4_cv!$E:$E,m4_cv!$A:$A,$E86,m4_cv!$B:$B,$A86),0))</f>
        <v>3948</v>
      </c>
      <c r="K86">
        <f>MAX(0,ROUND(SUMIFS(m5_cv!$E:$E,m5_cv!$A:$A,$E86,m5_cv!$B:$B,$A86),0))</f>
        <v>3789</v>
      </c>
      <c r="L86">
        <f>MAX(0,ROUND(SUMIFS(m6_cv!$E:$E,m6_cv!$A:$A,$E86,m6_cv!$B:$B,$A86),0))</f>
        <v>4544</v>
      </c>
      <c r="M86">
        <f>MAX(0,ROUND(SUMIFS(m7_cv!$E:$E,m7_cv!$A:$A,$E86,m7_cv!$B:$B,$A86),0))</f>
        <v>3830</v>
      </c>
      <c r="N86">
        <f>ROUND(_xlfn.XLOOKUP($D86,Charts!$W$86:$W$116,Charts!$X$86:$X$116)*$L86+_xlfn.XLOOKUP($D86,Charts!$W$86:$W$116,Charts!$Y$86:$Y$116)*$M86,0)</f>
        <v>4544</v>
      </c>
      <c r="O86">
        <f>MAX(0,ROUND(SUMIFS(m8_cv!$E:$E,m8_cv!$A:$A,$E86,m8_cv!$B:$B,$A86),0))</f>
        <v>3926</v>
      </c>
    </row>
    <row r="87" spans="1:15" x14ac:dyDescent="0.25">
      <c r="A87" s="3">
        <f t="shared" si="9"/>
        <v>45743</v>
      </c>
      <c r="B87">
        <f t="shared" si="5"/>
        <v>2025</v>
      </c>
      <c r="C87">
        <f t="shared" si="6"/>
        <v>3</v>
      </c>
      <c r="D87">
        <f t="shared" si="7"/>
        <v>27</v>
      </c>
      <c r="E87" s="2">
        <f t="shared" si="8"/>
        <v>45716</v>
      </c>
      <c r="F87" s="12">
        <f>_xlfn.XLOOKUP($A87,m1_cv!$B:$B,m1_cv!$C:$C)</f>
        <v>8836</v>
      </c>
      <c r="G87">
        <f>MAX(0,ROUND(SUMIFS(m1_cv!$E:$E,m1_cv!$A:$A,$E87,m1_cv!$B:$B,$A87),0))</f>
        <v>3521</v>
      </c>
      <c r="H87">
        <f>MAX(0,ROUND(SUMIFS(m2_cv!$E:$E,m2_cv!$A:$A,$E87,m2_cv!$B:$B,$A87),0))</f>
        <v>3846</v>
      </c>
      <c r="I87">
        <f>MAX(0,ROUND(SUMIFS(m3_cv!$E:$E,m3_cv!$A:$A,$E87,m3_cv!$B:$B,$A87),0))</f>
        <v>3869</v>
      </c>
      <c r="J87">
        <f>MAX(0,ROUND(SUMIFS(m4_cv!$E:$E,m4_cv!$A:$A,$E87,m4_cv!$B:$B,$A87),0))</f>
        <v>3878</v>
      </c>
      <c r="K87">
        <f>MAX(0,ROUND(SUMIFS(m5_cv!$E:$E,m5_cv!$A:$A,$E87,m5_cv!$B:$B,$A87),0))</f>
        <v>4868</v>
      </c>
      <c r="L87">
        <f>MAX(0,ROUND(SUMIFS(m6_cv!$E:$E,m6_cv!$A:$A,$E87,m6_cv!$B:$B,$A87),0))</f>
        <v>9029</v>
      </c>
      <c r="M87">
        <f>MAX(0,ROUND(SUMIFS(m7_cv!$E:$E,m7_cv!$A:$A,$E87,m7_cv!$B:$B,$A87),0))</f>
        <v>5077</v>
      </c>
      <c r="N87">
        <f>ROUND(_xlfn.XLOOKUP($D87,Charts!$W$86:$W$116,Charts!$X$86:$X$116)*$L87+_xlfn.XLOOKUP($D87,Charts!$W$86:$W$116,Charts!$Y$86:$Y$116)*$M87,0)</f>
        <v>9029</v>
      </c>
      <c r="O87">
        <f>MAX(0,ROUND(SUMIFS(m8_cv!$E:$E,m8_cv!$A:$A,$E87,m8_cv!$B:$B,$A87),0))</f>
        <v>4715</v>
      </c>
    </row>
    <row r="88" spans="1:15" x14ac:dyDescent="0.25">
      <c r="A88" s="3">
        <f t="shared" si="9"/>
        <v>45744</v>
      </c>
      <c r="B88">
        <f t="shared" si="5"/>
        <v>2025</v>
      </c>
      <c r="C88">
        <f t="shared" si="6"/>
        <v>3</v>
      </c>
      <c r="D88">
        <f t="shared" si="7"/>
        <v>28</v>
      </c>
      <c r="E88" s="2">
        <f t="shared" si="8"/>
        <v>45716</v>
      </c>
      <c r="F88" s="12">
        <f>_xlfn.XLOOKUP($A88,m1_cv!$B:$B,m1_cv!$C:$C)</f>
        <v>9717</v>
      </c>
      <c r="G88">
        <f>MAX(0,ROUND(SUMIFS(m1_cv!$E:$E,m1_cv!$A:$A,$E88,m1_cv!$B:$B,$A88),0))</f>
        <v>3505</v>
      </c>
      <c r="H88">
        <f>MAX(0,ROUND(SUMIFS(m2_cv!$E:$E,m2_cv!$A:$A,$E88,m2_cv!$B:$B,$A88),0))</f>
        <v>4260</v>
      </c>
      <c r="I88">
        <f>MAX(0,ROUND(SUMIFS(m3_cv!$E:$E,m3_cv!$A:$A,$E88,m3_cv!$B:$B,$A88),0))</f>
        <v>4150</v>
      </c>
      <c r="J88">
        <f>MAX(0,ROUND(SUMIFS(m4_cv!$E:$E,m4_cv!$A:$A,$E88,m4_cv!$B:$B,$A88),0))</f>
        <v>4158</v>
      </c>
      <c r="K88">
        <f>MAX(0,ROUND(SUMIFS(m5_cv!$E:$E,m5_cv!$A:$A,$E88,m5_cv!$B:$B,$A88),0))</f>
        <v>4972</v>
      </c>
      <c r="L88">
        <f>MAX(0,ROUND(SUMIFS(m6_cv!$E:$E,m6_cv!$A:$A,$E88,m6_cv!$B:$B,$A88),0))</f>
        <v>7618</v>
      </c>
      <c r="M88">
        <f>MAX(0,ROUND(SUMIFS(m7_cv!$E:$E,m7_cv!$A:$A,$E88,m7_cv!$B:$B,$A88),0))</f>
        <v>4958</v>
      </c>
      <c r="N88">
        <f>ROUND(_xlfn.XLOOKUP($D88,Charts!$W$86:$W$116,Charts!$X$86:$X$116)*$L88+_xlfn.XLOOKUP($D88,Charts!$W$86:$W$116,Charts!$Y$86:$Y$116)*$M88,0)</f>
        <v>7618</v>
      </c>
      <c r="O88">
        <f>MAX(0,ROUND(SUMIFS(m8_cv!$E:$E,m8_cv!$A:$A,$E88,m8_cv!$B:$B,$A88),0))</f>
        <v>4830</v>
      </c>
    </row>
    <row r="89" spans="1:15" x14ac:dyDescent="0.25">
      <c r="A89" s="3">
        <f t="shared" si="9"/>
        <v>45745</v>
      </c>
      <c r="B89">
        <f t="shared" si="5"/>
        <v>2025</v>
      </c>
      <c r="C89">
        <f t="shared" si="6"/>
        <v>3</v>
      </c>
      <c r="D89">
        <f t="shared" si="7"/>
        <v>29</v>
      </c>
      <c r="E89" s="2">
        <f t="shared" si="8"/>
        <v>45716</v>
      </c>
      <c r="F89" s="12">
        <f>_xlfn.XLOOKUP($A89,m1_cv!$B:$B,m1_cv!$C:$C)</f>
        <v>3249</v>
      </c>
      <c r="G89">
        <f>MAX(0,ROUND(SUMIFS(m1_cv!$E:$E,m1_cv!$A:$A,$E89,m1_cv!$B:$B,$A89),0))</f>
        <v>1283</v>
      </c>
      <c r="H89">
        <f>MAX(0,ROUND(SUMIFS(m2_cv!$E:$E,m2_cv!$A:$A,$E89,m2_cv!$B:$B,$A89),0))</f>
        <v>3112</v>
      </c>
      <c r="I89">
        <f>MAX(0,ROUND(SUMIFS(m3_cv!$E:$E,m3_cv!$A:$A,$E89,m3_cv!$B:$B,$A89),0))</f>
        <v>2975</v>
      </c>
      <c r="J89">
        <f>MAX(0,ROUND(SUMIFS(m4_cv!$E:$E,m4_cv!$A:$A,$E89,m4_cv!$B:$B,$A89),0))</f>
        <v>2980</v>
      </c>
      <c r="K89">
        <f>MAX(0,ROUND(SUMIFS(m5_cv!$E:$E,m5_cv!$A:$A,$E89,m5_cv!$B:$B,$A89),0))</f>
        <v>3060</v>
      </c>
      <c r="L89">
        <f>MAX(0,ROUND(SUMIFS(m6_cv!$E:$E,m6_cv!$A:$A,$E89,m6_cv!$B:$B,$A89),0))</f>
        <v>1222</v>
      </c>
      <c r="M89">
        <f>MAX(0,ROUND(SUMIFS(m7_cv!$E:$E,m7_cv!$A:$A,$E89,m7_cv!$B:$B,$A89),0))</f>
        <v>2855</v>
      </c>
      <c r="N89">
        <f>ROUND(_xlfn.XLOOKUP($D89,Charts!$W$86:$W$116,Charts!$X$86:$X$116)*$L89+_xlfn.XLOOKUP($D89,Charts!$W$86:$W$116,Charts!$Y$86:$Y$116)*$M89,0)</f>
        <v>2855</v>
      </c>
      <c r="O89">
        <f>MAX(0,ROUND(SUMIFS(m8_cv!$E:$E,m8_cv!$A:$A,$E89,m8_cv!$B:$B,$A89),0))</f>
        <v>2913</v>
      </c>
    </row>
    <row r="90" spans="1:15" x14ac:dyDescent="0.25">
      <c r="A90" s="3">
        <f t="shared" si="9"/>
        <v>45746</v>
      </c>
      <c r="B90">
        <f t="shared" si="5"/>
        <v>2025</v>
      </c>
      <c r="C90">
        <f t="shared" si="6"/>
        <v>3</v>
      </c>
      <c r="D90">
        <f t="shared" si="7"/>
        <v>30</v>
      </c>
      <c r="E90" s="2">
        <f t="shared" si="8"/>
        <v>45716</v>
      </c>
      <c r="F90" s="12">
        <f>_xlfn.XLOOKUP($A90,m1_cv!$B:$B,m1_cv!$C:$C)</f>
        <v>198</v>
      </c>
      <c r="G90">
        <f>MAX(0,ROUND(SUMIFS(m1_cv!$E:$E,m1_cv!$A:$A,$E90,m1_cv!$B:$B,$A90),0))</f>
        <v>758</v>
      </c>
      <c r="H90">
        <f>MAX(0,ROUND(SUMIFS(m2_cv!$E:$E,m2_cv!$A:$A,$E90,m2_cv!$B:$B,$A90),0))</f>
        <v>3819</v>
      </c>
      <c r="I90">
        <f>MAX(0,ROUND(SUMIFS(m3_cv!$E:$E,m3_cv!$A:$A,$E90,m3_cv!$B:$B,$A90),0))</f>
        <v>3692</v>
      </c>
      <c r="J90">
        <f>MAX(0,ROUND(SUMIFS(m4_cv!$E:$E,m4_cv!$A:$A,$E90,m4_cv!$B:$B,$A90),0))</f>
        <v>3699</v>
      </c>
      <c r="K90">
        <f>MAX(0,ROUND(SUMIFS(m5_cv!$E:$E,m5_cv!$A:$A,$E90,m5_cv!$B:$B,$A90),0))</f>
        <v>5065</v>
      </c>
      <c r="L90">
        <f>MAX(0,ROUND(SUMIFS(m6_cv!$E:$E,m6_cv!$A:$A,$E90,m6_cv!$B:$B,$A90),0))</f>
        <v>903</v>
      </c>
      <c r="M90">
        <f>MAX(0,ROUND(SUMIFS(m7_cv!$E:$E,m7_cv!$A:$A,$E90,m7_cv!$B:$B,$A90),0))</f>
        <v>5114</v>
      </c>
      <c r="N90">
        <f>ROUND(_xlfn.XLOOKUP($D90,Charts!$W$86:$W$116,Charts!$X$86:$X$116)*$L90+_xlfn.XLOOKUP($D90,Charts!$W$86:$W$116,Charts!$Y$86:$Y$116)*$M90,0)</f>
        <v>5114</v>
      </c>
      <c r="O90">
        <f>MAX(0,ROUND(SUMIFS(m8_cv!$E:$E,m8_cv!$A:$A,$E90,m8_cv!$B:$B,$A90),0))</f>
        <v>4990</v>
      </c>
    </row>
    <row r="91" spans="1:15" x14ac:dyDescent="0.25">
      <c r="A91" s="3">
        <f t="shared" si="9"/>
        <v>45747</v>
      </c>
      <c r="B91">
        <f t="shared" si="5"/>
        <v>2025</v>
      </c>
      <c r="C91">
        <f t="shared" si="6"/>
        <v>3</v>
      </c>
      <c r="D91">
        <f t="shared" si="7"/>
        <v>31</v>
      </c>
      <c r="E91" s="2">
        <f t="shared" si="8"/>
        <v>45716</v>
      </c>
      <c r="F91" s="12">
        <f>_xlfn.XLOOKUP($A91,m1_cv!$B:$B,m1_cv!$C:$C)</f>
        <v>53</v>
      </c>
      <c r="G91">
        <f>MAX(0,ROUND(SUMIFS(m1_cv!$E:$E,m1_cv!$A:$A,$E91,m1_cv!$B:$B,$A91),0))</f>
        <v>3045</v>
      </c>
      <c r="H91">
        <f>MAX(0,ROUND(SUMIFS(m2_cv!$E:$E,m2_cv!$A:$A,$E91,m2_cv!$B:$B,$A91),0))</f>
        <v>6725</v>
      </c>
      <c r="I91">
        <f>MAX(0,ROUND(SUMIFS(m3_cv!$E:$E,m3_cv!$A:$A,$E91,m3_cv!$B:$B,$A91),0))</f>
        <v>4841</v>
      </c>
      <c r="J91">
        <f>MAX(0,ROUND(SUMIFS(m4_cv!$E:$E,m4_cv!$A:$A,$E91,m4_cv!$B:$B,$A91),0))</f>
        <v>4859</v>
      </c>
      <c r="K91">
        <f>MAX(0,ROUND(SUMIFS(m5_cv!$E:$E,m5_cv!$A:$A,$E91,m5_cv!$B:$B,$A91),0))</f>
        <v>7839</v>
      </c>
      <c r="L91">
        <f>MAX(0,ROUND(SUMIFS(m6_cv!$E:$E,m6_cv!$A:$A,$E91,m6_cv!$B:$B,$A91),0))</f>
        <v>152</v>
      </c>
      <c r="M91">
        <f>MAX(0,ROUND(SUMIFS(m7_cv!$E:$E,m7_cv!$A:$A,$E91,m7_cv!$B:$B,$A91),0))</f>
        <v>8274</v>
      </c>
      <c r="N91">
        <f>ROUND(_xlfn.XLOOKUP($D91,Charts!$W$86:$W$116,Charts!$X$86:$X$116)*$L91+_xlfn.XLOOKUP($D91,Charts!$W$86:$W$116,Charts!$Y$86:$Y$116)*$M91,0)</f>
        <v>8274</v>
      </c>
      <c r="O91">
        <f>MAX(0,ROUND(SUMIFS(m8_cv!$E:$E,m8_cv!$A:$A,$E91,m8_cv!$B:$B,$A91),0))</f>
        <v>8124</v>
      </c>
    </row>
    <row r="92" spans="1:15" x14ac:dyDescent="0.25">
      <c r="A92" s="3">
        <f t="shared" si="9"/>
        <v>45748</v>
      </c>
      <c r="B92">
        <f t="shared" si="5"/>
        <v>2025</v>
      </c>
      <c r="C92">
        <f t="shared" si="6"/>
        <v>4</v>
      </c>
      <c r="D92">
        <f t="shared" si="7"/>
        <v>1</v>
      </c>
      <c r="E92" s="2">
        <f t="shared" si="8"/>
        <v>45747</v>
      </c>
      <c r="F92" s="12">
        <f>_xlfn.XLOOKUP($A92,m1_cv!$B:$B,m1_cv!$C:$C)</f>
        <v>2</v>
      </c>
      <c r="G92">
        <f>MAX(0,ROUND(SUMIFS(m1_cv!$E:$E,m1_cv!$A:$A,$E92,m1_cv!$B:$B,$A92),0))</f>
        <v>3864</v>
      </c>
      <c r="H92">
        <f>MAX(0,ROUND(SUMIFS(m2_cv!$E:$E,m2_cv!$A:$A,$E92,m2_cv!$B:$B,$A92),0))</f>
        <v>6563</v>
      </c>
      <c r="I92">
        <f>MAX(0,ROUND(SUMIFS(m3_cv!$E:$E,m3_cv!$A:$A,$E92,m3_cv!$B:$B,$A92),0))</f>
        <v>3441</v>
      </c>
      <c r="J92">
        <f>MAX(0,ROUND(SUMIFS(m4_cv!$E:$E,m4_cv!$A:$A,$E92,m4_cv!$B:$B,$A92),0))</f>
        <v>3398</v>
      </c>
      <c r="K92">
        <f>MAX(0,ROUND(SUMIFS(m5_cv!$E:$E,m5_cv!$A:$A,$E92,m5_cv!$B:$B,$A92),0))</f>
        <v>0</v>
      </c>
      <c r="L92">
        <f>MAX(0,ROUND(SUMIFS(m6_cv!$E:$E,m6_cv!$A:$A,$E92,m6_cv!$B:$B,$A92),0))</f>
        <v>2</v>
      </c>
      <c r="M92">
        <f>MAX(0,ROUND(SUMIFS(m7_cv!$E:$E,m7_cv!$A:$A,$E92,m7_cv!$B:$B,$A92),0))</f>
        <v>0</v>
      </c>
      <c r="N92">
        <f>ROUND(_xlfn.XLOOKUP($D92,Charts!$W$86:$W$116,Charts!$X$86:$X$116)*$L92+_xlfn.XLOOKUP($D92,Charts!$W$86:$W$116,Charts!$Y$86:$Y$116)*$M92,0)</f>
        <v>2</v>
      </c>
      <c r="O92">
        <f>MAX(0,ROUND(SUMIFS(m8_cv!$E:$E,m8_cv!$A:$A,$E92,m8_cv!$B:$B,$A92),0))</f>
        <v>0</v>
      </c>
    </row>
    <row r="93" spans="1:15" x14ac:dyDescent="0.25">
      <c r="A93" s="3">
        <f t="shared" si="9"/>
        <v>45749</v>
      </c>
      <c r="B93">
        <f t="shared" si="5"/>
        <v>2025</v>
      </c>
      <c r="C93">
        <f t="shared" si="6"/>
        <v>4</v>
      </c>
      <c r="D93">
        <f t="shared" si="7"/>
        <v>2</v>
      </c>
      <c r="E93" s="2">
        <f t="shared" si="8"/>
        <v>45747</v>
      </c>
      <c r="F93" s="12">
        <f>_xlfn.XLOOKUP($A93,m1_cv!$B:$B,m1_cv!$C:$C)</f>
        <v>105</v>
      </c>
      <c r="G93">
        <f>MAX(0,ROUND(SUMIFS(m1_cv!$E:$E,m1_cv!$A:$A,$E93,m1_cv!$B:$B,$A93),0))</f>
        <v>3835</v>
      </c>
      <c r="H93">
        <f>MAX(0,ROUND(SUMIFS(m2_cv!$E:$E,m2_cv!$A:$A,$E93,m2_cv!$B:$B,$A93),0))</f>
        <v>4955</v>
      </c>
      <c r="I93">
        <f>MAX(0,ROUND(SUMIFS(m3_cv!$E:$E,m3_cv!$A:$A,$E93,m3_cv!$B:$B,$A93),0))</f>
        <v>4409</v>
      </c>
      <c r="J93">
        <f>MAX(0,ROUND(SUMIFS(m4_cv!$E:$E,m4_cv!$A:$A,$E93,m4_cv!$B:$B,$A93),0))</f>
        <v>4390</v>
      </c>
      <c r="K93">
        <f>MAX(0,ROUND(SUMIFS(m5_cv!$E:$E,m5_cv!$A:$A,$E93,m5_cv!$B:$B,$A93),0))</f>
        <v>1522</v>
      </c>
      <c r="L93">
        <f>MAX(0,ROUND(SUMIFS(m6_cv!$E:$E,m6_cv!$A:$A,$E93,m6_cv!$B:$B,$A93),0))</f>
        <v>131</v>
      </c>
      <c r="M93">
        <f>MAX(0,ROUND(SUMIFS(m7_cv!$E:$E,m7_cv!$A:$A,$E93,m7_cv!$B:$B,$A93),0))</f>
        <v>1150</v>
      </c>
      <c r="N93">
        <f>ROUND(_xlfn.XLOOKUP($D93,Charts!$W$86:$W$116,Charts!$X$86:$X$116)*$L93+_xlfn.XLOOKUP($D93,Charts!$W$86:$W$116,Charts!$Y$86:$Y$116)*$M93,0)</f>
        <v>131</v>
      </c>
      <c r="O93">
        <f>MAX(0,ROUND(SUMIFS(m8_cv!$E:$E,m8_cv!$A:$A,$E93,m8_cv!$B:$B,$A93),0))</f>
        <v>1025</v>
      </c>
    </row>
    <row r="94" spans="1:15" x14ac:dyDescent="0.25">
      <c r="A94" s="3">
        <f t="shared" si="9"/>
        <v>45750</v>
      </c>
      <c r="B94">
        <f t="shared" si="5"/>
        <v>2025</v>
      </c>
      <c r="C94">
        <f t="shared" si="6"/>
        <v>4</v>
      </c>
      <c r="D94">
        <f t="shared" si="7"/>
        <v>3</v>
      </c>
      <c r="E94" s="2">
        <f t="shared" si="8"/>
        <v>45747</v>
      </c>
      <c r="F94" s="12">
        <f>_xlfn.XLOOKUP($A94,m1_cv!$B:$B,m1_cv!$C:$C)</f>
        <v>284</v>
      </c>
      <c r="G94">
        <f>MAX(0,ROUND(SUMIFS(m1_cv!$E:$E,m1_cv!$A:$A,$E94,m1_cv!$B:$B,$A94),0))</f>
        <v>3863</v>
      </c>
      <c r="H94">
        <f>MAX(0,ROUND(SUMIFS(m2_cv!$E:$E,m2_cv!$A:$A,$E94,m2_cv!$B:$B,$A94),0))</f>
        <v>3119</v>
      </c>
      <c r="I94">
        <f>MAX(0,ROUND(SUMIFS(m3_cv!$E:$E,m3_cv!$A:$A,$E94,m3_cv!$B:$B,$A94),0))</f>
        <v>2042</v>
      </c>
      <c r="J94">
        <f>MAX(0,ROUND(SUMIFS(m4_cv!$E:$E,m4_cv!$A:$A,$E94,m4_cv!$B:$B,$A94),0))</f>
        <v>2083</v>
      </c>
      <c r="K94">
        <f>MAX(0,ROUND(SUMIFS(m5_cv!$E:$E,m5_cv!$A:$A,$E94,m5_cv!$B:$B,$A94),0))</f>
        <v>192</v>
      </c>
      <c r="L94">
        <f>MAX(0,ROUND(SUMIFS(m6_cv!$E:$E,m6_cv!$A:$A,$E94,m6_cv!$B:$B,$A94),0))</f>
        <v>420</v>
      </c>
      <c r="M94">
        <f>MAX(0,ROUND(SUMIFS(m7_cv!$E:$E,m7_cv!$A:$A,$E94,m7_cv!$B:$B,$A94),0))</f>
        <v>12</v>
      </c>
      <c r="N94">
        <f>ROUND(_xlfn.XLOOKUP($D94,Charts!$W$86:$W$116,Charts!$X$86:$X$116)*$L94+_xlfn.XLOOKUP($D94,Charts!$W$86:$W$116,Charts!$Y$86:$Y$116)*$M94,0)</f>
        <v>420</v>
      </c>
      <c r="O94">
        <f>MAX(0,ROUND(SUMIFS(m8_cv!$E:$E,m8_cv!$A:$A,$E94,m8_cv!$B:$B,$A94),0))</f>
        <v>0</v>
      </c>
    </row>
    <row r="95" spans="1:15" x14ac:dyDescent="0.25">
      <c r="A95" s="3">
        <f t="shared" si="9"/>
        <v>45751</v>
      </c>
      <c r="B95">
        <f t="shared" si="5"/>
        <v>2025</v>
      </c>
      <c r="C95">
        <f t="shared" si="6"/>
        <v>4</v>
      </c>
      <c r="D95">
        <f t="shared" si="7"/>
        <v>4</v>
      </c>
      <c r="E95" s="2">
        <f t="shared" si="8"/>
        <v>45747</v>
      </c>
      <c r="F95" s="12">
        <f>_xlfn.XLOOKUP($A95,m1_cv!$B:$B,m1_cv!$C:$C)</f>
        <v>403</v>
      </c>
      <c r="G95">
        <f>MAX(0,ROUND(SUMIFS(m1_cv!$E:$E,m1_cv!$A:$A,$E95,m1_cv!$B:$B,$A95),0))</f>
        <v>3835</v>
      </c>
      <c r="H95">
        <f>MAX(0,ROUND(SUMIFS(m2_cv!$E:$E,m2_cv!$A:$A,$E95,m2_cv!$B:$B,$A95),0))</f>
        <v>1762</v>
      </c>
      <c r="I95">
        <f>MAX(0,ROUND(SUMIFS(m3_cv!$E:$E,m3_cv!$A:$A,$E95,m3_cv!$B:$B,$A95),0))</f>
        <v>1085</v>
      </c>
      <c r="J95">
        <f>MAX(0,ROUND(SUMIFS(m4_cv!$E:$E,m4_cv!$A:$A,$E95,m4_cv!$B:$B,$A95),0))</f>
        <v>1110</v>
      </c>
      <c r="K95">
        <f>MAX(0,ROUND(SUMIFS(m5_cv!$E:$E,m5_cv!$A:$A,$E95,m5_cv!$B:$B,$A95),0))</f>
        <v>1036</v>
      </c>
      <c r="L95">
        <f>MAX(0,ROUND(SUMIFS(m6_cv!$E:$E,m6_cv!$A:$A,$E95,m6_cv!$B:$B,$A95),0))</f>
        <v>419</v>
      </c>
      <c r="M95">
        <f>MAX(0,ROUND(SUMIFS(m7_cv!$E:$E,m7_cv!$A:$A,$E95,m7_cv!$B:$B,$A95),0))</f>
        <v>1133</v>
      </c>
      <c r="N95">
        <f>ROUND(_xlfn.XLOOKUP($D95,Charts!$W$86:$W$116,Charts!$X$86:$X$116)*$L95+_xlfn.XLOOKUP($D95,Charts!$W$86:$W$116,Charts!$Y$86:$Y$116)*$M95,0)</f>
        <v>419</v>
      </c>
      <c r="O95">
        <f>MAX(0,ROUND(SUMIFS(m8_cv!$E:$E,m8_cv!$A:$A,$E95,m8_cv!$B:$B,$A95),0))</f>
        <v>1084</v>
      </c>
    </row>
    <row r="96" spans="1:15" x14ac:dyDescent="0.25">
      <c r="A96" s="3">
        <f t="shared" si="9"/>
        <v>45752</v>
      </c>
      <c r="B96">
        <f t="shared" si="5"/>
        <v>2025</v>
      </c>
      <c r="C96">
        <f t="shared" si="6"/>
        <v>4</v>
      </c>
      <c r="D96">
        <f t="shared" si="7"/>
        <v>5</v>
      </c>
      <c r="E96" s="2">
        <f t="shared" si="8"/>
        <v>45747</v>
      </c>
      <c r="F96" s="12">
        <f>_xlfn.XLOOKUP($A96,m1_cv!$B:$B,m1_cv!$C:$C)</f>
        <v>47</v>
      </c>
      <c r="G96">
        <f>MAX(0,ROUND(SUMIFS(m1_cv!$E:$E,m1_cv!$A:$A,$E96,m1_cv!$B:$B,$A96),0))</f>
        <v>1535</v>
      </c>
      <c r="H96">
        <f>MAX(0,ROUND(SUMIFS(m2_cv!$E:$E,m2_cv!$A:$A,$E96,m2_cv!$B:$B,$A96),0))</f>
        <v>0</v>
      </c>
      <c r="I96">
        <f>MAX(0,ROUND(SUMIFS(m3_cv!$E:$E,m3_cv!$A:$A,$E96,m3_cv!$B:$B,$A96),0))</f>
        <v>0</v>
      </c>
      <c r="J96">
        <f>MAX(0,ROUND(SUMIFS(m4_cv!$E:$E,m4_cv!$A:$A,$E96,m4_cv!$B:$B,$A96),0))</f>
        <v>0</v>
      </c>
      <c r="K96">
        <f>MAX(0,ROUND(SUMIFS(m5_cv!$E:$E,m5_cv!$A:$A,$E96,m5_cv!$B:$B,$A96),0))</f>
        <v>0</v>
      </c>
      <c r="L96">
        <f>MAX(0,ROUND(SUMIFS(m6_cv!$E:$E,m6_cv!$A:$A,$E96,m6_cv!$B:$B,$A96),0))</f>
        <v>65</v>
      </c>
      <c r="M96">
        <f>MAX(0,ROUND(SUMIFS(m7_cv!$E:$E,m7_cv!$A:$A,$E96,m7_cv!$B:$B,$A96),0))</f>
        <v>0</v>
      </c>
      <c r="N96">
        <f>ROUND(_xlfn.XLOOKUP($D96,Charts!$W$86:$W$116,Charts!$X$86:$X$116)*$L96+_xlfn.XLOOKUP($D96,Charts!$W$86:$W$116,Charts!$Y$86:$Y$116)*$M96,0)</f>
        <v>52</v>
      </c>
      <c r="O96">
        <f>MAX(0,ROUND(SUMIFS(m8_cv!$E:$E,m8_cv!$A:$A,$E96,m8_cv!$B:$B,$A96),0))</f>
        <v>0</v>
      </c>
    </row>
    <row r="97" spans="1:15" x14ac:dyDescent="0.25">
      <c r="A97" s="3">
        <f t="shared" si="9"/>
        <v>45753</v>
      </c>
      <c r="B97">
        <f t="shared" si="5"/>
        <v>2025</v>
      </c>
      <c r="C97">
        <f t="shared" si="6"/>
        <v>4</v>
      </c>
      <c r="D97">
        <f t="shared" si="7"/>
        <v>6</v>
      </c>
      <c r="E97" s="2">
        <f t="shared" si="8"/>
        <v>45747</v>
      </c>
      <c r="F97" s="12">
        <f>_xlfn.XLOOKUP($A97,m1_cv!$B:$B,m1_cv!$C:$C)</f>
        <v>11</v>
      </c>
      <c r="G97">
        <f>MAX(0,ROUND(SUMIFS(m1_cv!$E:$E,m1_cv!$A:$A,$E97,m1_cv!$B:$B,$A97),0))</f>
        <v>949</v>
      </c>
      <c r="H97">
        <f>MAX(0,ROUND(SUMIFS(m2_cv!$E:$E,m2_cv!$A:$A,$E97,m2_cv!$B:$B,$A97),0))</f>
        <v>0</v>
      </c>
      <c r="I97">
        <f>MAX(0,ROUND(SUMIFS(m3_cv!$E:$E,m3_cv!$A:$A,$E97,m3_cv!$B:$B,$A97),0))</f>
        <v>0</v>
      </c>
      <c r="J97">
        <f>MAX(0,ROUND(SUMIFS(m4_cv!$E:$E,m4_cv!$A:$A,$E97,m4_cv!$B:$B,$A97),0))</f>
        <v>0</v>
      </c>
      <c r="K97">
        <f>MAX(0,ROUND(SUMIFS(m5_cv!$E:$E,m5_cv!$A:$A,$E97,m5_cv!$B:$B,$A97),0))</f>
        <v>0</v>
      </c>
      <c r="L97">
        <f>MAX(0,ROUND(SUMIFS(m6_cv!$E:$E,m6_cv!$A:$A,$E97,m6_cv!$B:$B,$A97),0))</f>
        <v>43</v>
      </c>
      <c r="M97">
        <f>MAX(0,ROUND(SUMIFS(m7_cv!$E:$E,m7_cv!$A:$A,$E97,m7_cv!$B:$B,$A97),0))</f>
        <v>0</v>
      </c>
      <c r="N97">
        <f>ROUND(_xlfn.XLOOKUP($D97,Charts!$W$86:$W$116,Charts!$X$86:$X$116)*$L97+_xlfn.XLOOKUP($D97,Charts!$W$86:$W$116,Charts!$Y$86:$Y$116)*$M97,0)</f>
        <v>22</v>
      </c>
      <c r="O97">
        <f>MAX(0,ROUND(SUMIFS(m8_cv!$E:$E,m8_cv!$A:$A,$E97,m8_cv!$B:$B,$A97),0))</f>
        <v>0</v>
      </c>
    </row>
    <row r="98" spans="1:15" x14ac:dyDescent="0.25">
      <c r="A98" s="3">
        <f t="shared" si="9"/>
        <v>45754</v>
      </c>
      <c r="B98">
        <f t="shared" si="5"/>
        <v>2025</v>
      </c>
      <c r="C98">
        <f t="shared" si="6"/>
        <v>4</v>
      </c>
      <c r="D98">
        <f t="shared" si="7"/>
        <v>7</v>
      </c>
      <c r="E98" s="2">
        <f t="shared" si="8"/>
        <v>45747</v>
      </c>
      <c r="F98" s="12">
        <f>_xlfn.XLOOKUP($A98,m1_cv!$B:$B,m1_cv!$C:$C)</f>
        <v>477</v>
      </c>
      <c r="G98">
        <f>MAX(0,ROUND(SUMIFS(m1_cv!$E:$E,m1_cv!$A:$A,$E98,m1_cv!$B:$B,$A98),0))</f>
        <v>3179</v>
      </c>
      <c r="H98">
        <f>MAX(0,ROUND(SUMIFS(m2_cv!$E:$E,m2_cv!$A:$A,$E98,m2_cv!$B:$B,$A98),0))</f>
        <v>1551</v>
      </c>
      <c r="I98">
        <f>MAX(0,ROUND(SUMIFS(m3_cv!$E:$E,m3_cv!$A:$A,$E98,m3_cv!$B:$B,$A98),0))</f>
        <v>305</v>
      </c>
      <c r="J98">
        <f>MAX(0,ROUND(SUMIFS(m4_cv!$E:$E,m4_cv!$A:$A,$E98,m4_cv!$B:$B,$A98),0))</f>
        <v>303</v>
      </c>
      <c r="K98">
        <f>MAX(0,ROUND(SUMIFS(m5_cv!$E:$E,m5_cv!$A:$A,$E98,m5_cv!$B:$B,$A98),0))</f>
        <v>0</v>
      </c>
      <c r="L98">
        <f>MAX(0,ROUND(SUMIFS(m6_cv!$E:$E,m6_cv!$A:$A,$E98,m6_cv!$B:$B,$A98),0))</f>
        <v>739</v>
      </c>
      <c r="M98">
        <f>MAX(0,ROUND(SUMIFS(m7_cv!$E:$E,m7_cv!$A:$A,$E98,m7_cv!$B:$B,$A98),0))</f>
        <v>0</v>
      </c>
      <c r="N98">
        <f>ROUND(_xlfn.XLOOKUP($D98,Charts!$W$86:$W$116,Charts!$X$86:$X$116)*$L98+_xlfn.XLOOKUP($D98,Charts!$W$86:$W$116,Charts!$Y$86:$Y$116)*$M98,0)</f>
        <v>370</v>
      </c>
      <c r="O98">
        <f>MAX(0,ROUND(SUMIFS(m8_cv!$E:$E,m8_cv!$A:$A,$E98,m8_cv!$B:$B,$A98),0))</f>
        <v>0</v>
      </c>
    </row>
    <row r="99" spans="1:15" x14ac:dyDescent="0.25">
      <c r="A99" s="3">
        <f t="shared" si="9"/>
        <v>45755</v>
      </c>
      <c r="B99">
        <f t="shared" si="5"/>
        <v>2025</v>
      </c>
      <c r="C99">
        <f t="shared" si="6"/>
        <v>4</v>
      </c>
      <c r="D99">
        <f t="shared" si="7"/>
        <v>8</v>
      </c>
      <c r="E99" s="2">
        <f t="shared" si="8"/>
        <v>45747</v>
      </c>
      <c r="F99" s="12">
        <f>_xlfn.XLOOKUP($A99,m1_cv!$B:$B,m1_cv!$C:$C)</f>
        <v>775</v>
      </c>
      <c r="G99">
        <f>MAX(0,ROUND(SUMIFS(m1_cv!$E:$E,m1_cv!$A:$A,$E99,m1_cv!$B:$B,$A99),0))</f>
        <v>3694</v>
      </c>
      <c r="H99">
        <f>MAX(0,ROUND(SUMIFS(m2_cv!$E:$E,m2_cv!$A:$A,$E99,m2_cv!$B:$B,$A99),0))</f>
        <v>2269</v>
      </c>
      <c r="I99">
        <f>MAX(0,ROUND(SUMIFS(m3_cv!$E:$E,m3_cv!$A:$A,$E99,m3_cv!$B:$B,$A99),0))</f>
        <v>890</v>
      </c>
      <c r="J99">
        <f>MAX(0,ROUND(SUMIFS(m4_cv!$E:$E,m4_cv!$A:$A,$E99,m4_cv!$B:$B,$A99),0))</f>
        <v>915</v>
      </c>
      <c r="K99">
        <f>MAX(0,ROUND(SUMIFS(m5_cv!$E:$E,m5_cv!$A:$A,$E99,m5_cv!$B:$B,$A99),0))</f>
        <v>1094</v>
      </c>
      <c r="L99">
        <f>MAX(0,ROUND(SUMIFS(m6_cv!$E:$E,m6_cv!$A:$A,$E99,m6_cv!$B:$B,$A99),0))</f>
        <v>1783</v>
      </c>
      <c r="M99">
        <f>MAX(0,ROUND(SUMIFS(m7_cv!$E:$E,m7_cv!$A:$A,$E99,m7_cv!$B:$B,$A99),0))</f>
        <v>1228</v>
      </c>
      <c r="N99">
        <f>ROUND(_xlfn.XLOOKUP($D99,Charts!$W$86:$W$116,Charts!$X$86:$X$116)*$L99+_xlfn.XLOOKUP($D99,Charts!$W$86:$W$116,Charts!$Y$86:$Y$116)*$M99,0)</f>
        <v>1506</v>
      </c>
      <c r="O99">
        <f>MAX(0,ROUND(SUMIFS(m8_cv!$E:$E,m8_cv!$A:$A,$E99,m8_cv!$B:$B,$A99),0))</f>
        <v>932</v>
      </c>
    </row>
    <row r="100" spans="1:15" x14ac:dyDescent="0.25">
      <c r="A100" s="3">
        <f t="shared" si="9"/>
        <v>45756</v>
      </c>
      <c r="B100">
        <f t="shared" si="5"/>
        <v>2025</v>
      </c>
      <c r="C100">
        <f t="shared" si="6"/>
        <v>4</v>
      </c>
      <c r="D100">
        <f t="shared" si="7"/>
        <v>9</v>
      </c>
      <c r="E100" s="2">
        <f t="shared" si="8"/>
        <v>45747</v>
      </c>
      <c r="F100" s="12">
        <f>_xlfn.XLOOKUP($A100,m1_cv!$B:$B,m1_cv!$C:$C)</f>
        <v>1016</v>
      </c>
      <c r="G100">
        <f>MAX(0,ROUND(SUMIFS(m1_cv!$E:$E,m1_cv!$A:$A,$E100,m1_cv!$B:$B,$A100),0))</f>
        <v>3619</v>
      </c>
      <c r="H100">
        <f>MAX(0,ROUND(SUMIFS(m2_cv!$E:$E,m2_cv!$A:$A,$E100,m2_cv!$B:$B,$A100),0))</f>
        <v>2124</v>
      </c>
      <c r="I100">
        <f>MAX(0,ROUND(SUMIFS(m3_cv!$E:$E,m3_cv!$A:$A,$E100,m3_cv!$B:$B,$A100),0))</f>
        <v>2185</v>
      </c>
      <c r="J100">
        <f>MAX(0,ROUND(SUMIFS(m4_cv!$E:$E,m4_cv!$A:$A,$E100,m4_cv!$B:$B,$A100),0))</f>
        <v>2193</v>
      </c>
      <c r="K100">
        <f>MAX(0,ROUND(SUMIFS(m5_cv!$E:$E,m5_cv!$A:$A,$E100,m5_cv!$B:$B,$A100),0))</f>
        <v>2425</v>
      </c>
      <c r="L100">
        <f>MAX(0,ROUND(SUMIFS(m6_cv!$E:$E,m6_cv!$A:$A,$E100,m6_cv!$B:$B,$A100),0))</f>
        <v>2409</v>
      </c>
      <c r="M100">
        <f>MAX(0,ROUND(SUMIFS(m7_cv!$E:$E,m7_cv!$A:$A,$E100,m7_cv!$B:$B,$A100),0))</f>
        <v>2478</v>
      </c>
      <c r="N100">
        <f>ROUND(_xlfn.XLOOKUP($D100,Charts!$W$86:$W$116,Charts!$X$86:$X$116)*$L100+_xlfn.XLOOKUP($D100,Charts!$W$86:$W$116,Charts!$Y$86:$Y$116)*$M100,0)</f>
        <v>2444</v>
      </c>
      <c r="O100">
        <f>MAX(0,ROUND(SUMIFS(m8_cv!$E:$E,m8_cv!$A:$A,$E100,m8_cv!$B:$B,$A100),0))</f>
        <v>2301</v>
      </c>
    </row>
    <row r="101" spans="1:15" x14ac:dyDescent="0.25">
      <c r="A101" s="3">
        <f t="shared" si="9"/>
        <v>45757</v>
      </c>
      <c r="B101">
        <f t="shared" si="5"/>
        <v>2025</v>
      </c>
      <c r="C101">
        <f t="shared" si="6"/>
        <v>4</v>
      </c>
      <c r="D101">
        <f t="shared" si="7"/>
        <v>10</v>
      </c>
      <c r="E101" s="2">
        <f t="shared" si="8"/>
        <v>45747</v>
      </c>
      <c r="F101" s="12">
        <f>_xlfn.XLOOKUP($A101,m1_cv!$B:$B,m1_cv!$C:$C)</f>
        <v>1422</v>
      </c>
      <c r="G101">
        <f>MAX(0,ROUND(SUMIFS(m1_cv!$E:$E,m1_cv!$A:$A,$E101,m1_cv!$B:$B,$A101),0))</f>
        <v>3602</v>
      </c>
      <c r="H101">
        <f>MAX(0,ROUND(SUMIFS(m2_cv!$E:$E,m2_cv!$A:$A,$E101,m2_cv!$B:$B,$A101),0))</f>
        <v>2030</v>
      </c>
      <c r="I101">
        <f>MAX(0,ROUND(SUMIFS(m3_cv!$E:$E,m3_cv!$A:$A,$E101,m3_cv!$B:$B,$A101),0))</f>
        <v>2112</v>
      </c>
      <c r="J101">
        <f>MAX(0,ROUND(SUMIFS(m4_cv!$E:$E,m4_cv!$A:$A,$E101,m4_cv!$B:$B,$A101),0))</f>
        <v>2121</v>
      </c>
      <c r="K101">
        <f>MAX(0,ROUND(SUMIFS(m5_cv!$E:$E,m5_cv!$A:$A,$E101,m5_cv!$B:$B,$A101),0))</f>
        <v>2330</v>
      </c>
      <c r="L101">
        <f>MAX(0,ROUND(SUMIFS(m6_cv!$E:$E,m6_cv!$A:$A,$E101,m6_cv!$B:$B,$A101),0))</f>
        <v>2332</v>
      </c>
      <c r="M101">
        <f>MAX(0,ROUND(SUMIFS(m7_cv!$E:$E,m7_cv!$A:$A,$E101,m7_cv!$B:$B,$A101),0))</f>
        <v>2304</v>
      </c>
      <c r="N101">
        <f>ROUND(_xlfn.XLOOKUP($D101,Charts!$W$86:$W$116,Charts!$X$86:$X$116)*$L101+_xlfn.XLOOKUP($D101,Charts!$W$86:$W$116,Charts!$Y$86:$Y$116)*$M101,0)</f>
        <v>2318</v>
      </c>
      <c r="O101">
        <f>MAX(0,ROUND(SUMIFS(m8_cv!$E:$E,m8_cv!$A:$A,$E101,m8_cv!$B:$B,$A101),0))</f>
        <v>2117</v>
      </c>
    </row>
    <row r="102" spans="1:15" x14ac:dyDescent="0.25">
      <c r="A102" s="3">
        <f t="shared" si="9"/>
        <v>45758</v>
      </c>
      <c r="B102">
        <f t="shared" si="5"/>
        <v>2025</v>
      </c>
      <c r="C102">
        <f t="shared" si="6"/>
        <v>4</v>
      </c>
      <c r="D102">
        <f t="shared" si="7"/>
        <v>11</v>
      </c>
      <c r="E102" s="2">
        <f t="shared" si="8"/>
        <v>45747</v>
      </c>
      <c r="F102" s="12">
        <f>_xlfn.XLOOKUP($A102,m1_cv!$B:$B,m1_cv!$C:$C)</f>
        <v>1565</v>
      </c>
      <c r="G102">
        <f>MAX(0,ROUND(SUMIFS(m1_cv!$E:$E,m1_cv!$A:$A,$E102,m1_cv!$B:$B,$A102),0))</f>
        <v>3531</v>
      </c>
      <c r="H102">
        <f>MAX(0,ROUND(SUMIFS(m2_cv!$E:$E,m2_cv!$A:$A,$E102,m2_cv!$B:$B,$A102),0))</f>
        <v>2077</v>
      </c>
      <c r="I102">
        <f>MAX(0,ROUND(SUMIFS(m3_cv!$E:$E,m3_cv!$A:$A,$E102,m3_cv!$B:$B,$A102),0))</f>
        <v>2180</v>
      </c>
      <c r="J102">
        <f>MAX(0,ROUND(SUMIFS(m4_cv!$E:$E,m4_cv!$A:$A,$E102,m4_cv!$B:$B,$A102),0))</f>
        <v>2190</v>
      </c>
      <c r="K102">
        <f>MAX(0,ROUND(SUMIFS(m5_cv!$E:$E,m5_cv!$A:$A,$E102,m5_cv!$B:$B,$A102),0))</f>
        <v>2327</v>
      </c>
      <c r="L102">
        <f>MAX(0,ROUND(SUMIFS(m6_cv!$E:$E,m6_cv!$A:$A,$E102,m6_cv!$B:$B,$A102),0))</f>
        <v>2022</v>
      </c>
      <c r="M102">
        <f>MAX(0,ROUND(SUMIFS(m7_cv!$E:$E,m7_cv!$A:$A,$E102,m7_cv!$B:$B,$A102),0))</f>
        <v>2273</v>
      </c>
      <c r="N102">
        <f>ROUND(_xlfn.XLOOKUP($D102,Charts!$W$86:$W$116,Charts!$X$86:$X$116)*$L102+_xlfn.XLOOKUP($D102,Charts!$W$86:$W$116,Charts!$Y$86:$Y$116)*$M102,0)</f>
        <v>2198</v>
      </c>
      <c r="O102">
        <f>MAX(0,ROUND(SUMIFS(m8_cv!$E:$E,m8_cv!$A:$A,$E102,m8_cv!$B:$B,$A102),0))</f>
        <v>2084</v>
      </c>
    </row>
    <row r="103" spans="1:15" x14ac:dyDescent="0.25">
      <c r="A103" s="3">
        <f t="shared" si="9"/>
        <v>45759</v>
      </c>
      <c r="B103">
        <f t="shared" si="5"/>
        <v>2025</v>
      </c>
      <c r="C103">
        <f t="shared" si="6"/>
        <v>4</v>
      </c>
      <c r="D103">
        <f t="shared" si="7"/>
        <v>12</v>
      </c>
      <c r="E103" s="2">
        <f t="shared" si="8"/>
        <v>45747</v>
      </c>
      <c r="F103" s="12">
        <f>_xlfn.XLOOKUP($A103,m1_cv!$B:$B,m1_cv!$C:$C)</f>
        <v>276</v>
      </c>
      <c r="G103">
        <f>MAX(0,ROUND(SUMIFS(m1_cv!$E:$E,m1_cv!$A:$A,$E103,m1_cv!$B:$B,$A103),0))</f>
        <v>1191</v>
      </c>
      <c r="H103">
        <f>MAX(0,ROUND(SUMIFS(m2_cv!$E:$E,m2_cv!$A:$A,$E103,m2_cv!$B:$B,$A103),0))</f>
        <v>14</v>
      </c>
      <c r="I103">
        <f>MAX(0,ROUND(SUMIFS(m3_cv!$E:$E,m3_cv!$A:$A,$E103,m3_cv!$B:$B,$A103),0))</f>
        <v>244</v>
      </c>
      <c r="J103">
        <f>MAX(0,ROUND(SUMIFS(m4_cv!$E:$E,m4_cv!$A:$A,$E103,m4_cv!$B:$B,$A103),0))</f>
        <v>254</v>
      </c>
      <c r="K103">
        <f>MAX(0,ROUND(SUMIFS(m5_cv!$E:$E,m5_cv!$A:$A,$E103,m5_cv!$B:$B,$A103),0))</f>
        <v>229</v>
      </c>
      <c r="L103">
        <f>MAX(0,ROUND(SUMIFS(m6_cv!$E:$E,m6_cv!$A:$A,$E103,m6_cv!$B:$B,$A103),0))</f>
        <v>367</v>
      </c>
      <c r="M103">
        <f>MAX(0,ROUND(SUMIFS(m7_cv!$E:$E,m7_cv!$A:$A,$E103,m7_cv!$B:$B,$A103),0))</f>
        <v>232</v>
      </c>
      <c r="N103">
        <f>ROUND(_xlfn.XLOOKUP($D103,Charts!$W$86:$W$116,Charts!$X$86:$X$116)*$L103+_xlfn.XLOOKUP($D103,Charts!$W$86:$W$116,Charts!$Y$86:$Y$116)*$M103,0)</f>
        <v>273</v>
      </c>
      <c r="O103">
        <f>MAX(0,ROUND(SUMIFS(m8_cv!$E:$E,m8_cv!$A:$A,$E103,m8_cv!$B:$B,$A103),0))</f>
        <v>43</v>
      </c>
    </row>
    <row r="104" spans="1:15" x14ac:dyDescent="0.25">
      <c r="A104" s="3">
        <f t="shared" si="9"/>
        <v>45760</v>
      </c>
      <c r="B104">
        <f t="shared" si="5"/>
        <v>2025</v>
      </c>
      <c r="C104">
        <f t="shared" si="6"/>
        <v>4</v>
      </c>
      <c r="D104">
        <f t="shared" si="7"/>
        <v>13</v>
      </c>
      <c r="E104" s="2">
        <f t="shared" si="8"/>
        <v>45747</v>
      </c>
      <c r="F104" s="12">
        <f>_xlfn.XLOOKUP($A104,m1_cv!$B:$B,m1_cv!$C:$C)</f>
        <v>55</v>
      </c>
      <c r="G104">
        <f>MAX(0,ROUND(SUMIFS(m1_cv!$E:$E,m1_cv!$A:$A,$E104,m1_cv!$B:$B,$A104),0))</f>
        <v>571</v>
      </c>
      <c r="H104">
        <f>MAX(0,ROUND(SUMIFS(m2_cv!$E:$E,m2_cv!$A:$A,$E104,m2_cv!$B:$B,$A104),0))</f>
        <v>0</v>
      </c>
      <c r="I104">
        <f>MAX(0,ROUND(SUMIFS(m3_cv!$E:$E,m3_cv!$A:$A,$E104,m3_cv!$B:$B,$A104),0))</f>
        <v>0</v>
      </c>
      <c r="J104">
        <f>MAX(0,ROUND(SUMIFS(m4_cv!$E:$E,m4_cv!$A:$A,$E104,m4_cv!$B:$B,$A104),0))</f>
        <v>0</v>
      </c>
      <c r="K104">
        <f>MAX(0,ROUND(SUMIFS(m5_cv!$E:$E,m5_cv!$A:$A,$E104,m5_cv!$B:$B,$A104),0))</f>
        <v>0</v>
      </c>
      <c r="L104">
        <f>MAX(0,ROUND(SUMIFS(m6_cv!$E:$E,m6_cv!$A:$A,$E104,m6_cv!$B:$B,$A104),0))</f>
        <v>164</v>
      </c>
      <c r="M104">
        <f>MAX(0,ROUND(SUMIFS(m7_cv!$E:$E,m7_cv!$A:$A,$E104,m7_cv!$B:$B,$A104),0))</f>
        <v>0</v>
      </c>
      <c r="N104">
        <f>ROUND(_xlfn.XLOOKUP($D104,Charts!$W$86:$W$116,Charts!$X$86:$X$116)*$L104+_xlfn.XLOOKUP($D104,Charts!$W$86:$W$116,Charts!$Y$86:$Y$116)*$M104,0)</f>
        <v>49</v>
      </c>
      <c r="O104">
        <f>MAX(0,ROUND(SUMIFS(m8_cv!$E:$E,m8_cv!$A:$A,$E104,m8_cv!$B:$B,$A104),0))</f>
        <v>0</v>
      </c>
    </row>
    <row r="105" spans="1:15" x14ac:dyDescent="0.25">
      <c r="A105" s="3">
        <f t="shared" si="9"/>
        <v>45761</v>
      </c>
      <c r="B105">
        <f t="shared" si="5"/>
        <v>2025</v>
      </c>
      <c r="C105">
        <f t="shared" si="6"/>
        <v>4</v>
      </c>
      <c r="D105">
        <f t="shared" si="7"/>
        <v>14</v>
      </c>
      <c r="E105" s="2">
        <f t="shared" si="8"/>
        <v>45747</v>
      </c>
      <c r="F105" s="12">
        <f>_xlfn.XLOOKUP($A105,m1_cv!$B:$B,m1_cv!$C:$C)</f>
        <v>1634</v>
      </c>
      <c r="G105">
        <f>MAX(0,ROUND(SUMIFS(m1_cv!$E:$E,m1_cv!$A:$A,$E105,m1_cv!$B:$B,$A105),0))</f>
        <v>2771</v>
      </c>
      <c r="H105">
        <f>MAX(0,ROUND(SUMIFS(m2_cv!$E:$E,m2_cv!$A:$A,$E105,m2_cv!$B:$B,$A105),0))</f>
        <v>1940</v>
      </c>
      <c r="I105">
        <f>MAX(0,ROUND(SUMIFS(m3_cv!$E:$E,m3_cv!$A:$A,$E105,m3_cv!$B:$B,$A105),0))</f>
        <v>2480</v>
      </c>
      <c r="J105">
        <f>MAX(0,ROUND(SUMIFS(m4_cv!$E:$E,m4_cv!$A:$A,$E105,m4_cv!$B:$B,$A105),0))</f>
        <v>2486</v>
      </c>
      <c r="K105">
        <f>MAX(0,ROUND(SUMIFS(m5_cv!$E:$E,m5_cv!$A:$A,$E105,m5_cv!$B:$B,$A105),0))</f>
        <v>2327</v>
      </c>
      <c r="L105">
        <f>MAX(0,ROUND(SUMIFS(m6_cv!$E:$E,m6_cv!$A:$A,$E105,m6_cv!$B:$B,$A105),0))</f>
        <v>2241</v>
      </c>
      <c r="M105">
        <f>MAX(0,ROUND(SUMIFS(m7_cv!$E:$E,m7_cv!$A:$A,$E105,m7_cv!$B:$B,$A105),0))</f>
        <v>2322</v>
      </c>
      <c r="N105">
        <f>ROUND(_xlfn.XLOOKUP($D105,Charts!$W$86:$W$116,Charts!$X$86:$X$116)*$L105+_xlfn.XLOOKUP($D105,Charts!$W$86:$W$116,Charts!$Y$86:$Y$116)*$M105,0)</f>
        <v>2322</v>
      </c>
      <c r="O105">
        <f>MAX(0,ROUND(SUMIFS(m8_cv!$E:$E,m8_cv!$A:$A,$E105,m8_cv!$B:$B,$A105),0))</f>
        <v>2131</v>
      </c>
    </row>
    <row r="106" spans="1:15" x14ac:dyDescent="0.25">
      <c r="A106" s="3">
        <f t="shared" si="9"/>
        <v>45762</v>
      </c>
      <c r="B106">
        <f t="shared" si="5"/>
        <v>2025</v>
      </c>
      <c r="C106">
        <f t="shared" si="6"/>
        <v>4</v>
      </c>
      <c r="D106">
        <f t="shared" si="7"/>
        <v>15</v>
      </c>
      <c r="E106" s="2">
        <f t="shared" si="8"/>
        <v>45747</v>
      </c>
      <c r="F106" s="12">
        <f>_xlfn.XLOOKUP($A106,m1_cv!$B:$B,m1_cv!$C:$C)</f>
        <v>1965</v>
      </c>
      <c r="G106">
        <f>MAX(0,ROUND(SUMIFS(m1_cv!$E:$E,m1_cv!$A:$A,$E106,m1_cv!$B:$B,$A106),0))</f>
        <v>3261</v>
      </c>
      <c r="H106">
        <f>MAX(0,ROUND(SUMIFS(m2_cv!$E:$E,m2_cv!$A:$A,$E106,m2_cv!$B:$B,$A106),0))</f>
        <v>2414</v>
      </c>
      <c r="I106">
        <f>MAX(0,ROUND(SUMIFS(m3_cv!$E:$E,m3_cv!$A:$A,$E106,m3_cv!$B:$B,$A106),0))</f>
        <v>2689</v>
      </c>
      <c r="J106">
        <f>MAX(0,ROUND(SUMIFS(m4_cv!$E:$E,m4_cv!$A:$A,$E106,m4_cv!$B:$B,$A106),0))</f>
        <v>2697</v>
      </c>
      <c r="K106">
        <f>MAX(0,ROUND(SUMIFS(m5_cv!$E:$E,m5_cv!$A:$A,$E106,m5_cv!$B:$B,$A106),0))</f>
        <v>2708</v>
      </c>
      <c r="L106">
        <f>MAX(0,ROUND(SUMIFS(m6_cv!$E:$E,m6_cv!$A:$A,$E106,m6_cv!$B:$B,$A106),0))</f>
        <v>2978</v>
      </c>
      <c r="M106">
        <f>MAX(0,ROUND(SUMIFS(m7_cv!$E:$E,m7_cv!$A:$A,$E106,m7_cv!$B:$B,$A106),0))</f>
        <v>2676</v>
      </c>
      <c r="N106">
        <f>ROUND(_xlfn.XLOOKUP($D106,Charts!$W$86:$W$116,Charts!$X$86:$X$116)*$L106+_xlfn.XLOOKUP($D106,Charts!$W$86:$W$116,Charts!$Y$86:$Y$116)*$M106,0)</f>
        <v>2676</v>
      </c>
      <c r="O106">
        <f>MAX(0,ROUND(SUMIFS(m8_cv!$E:$E,m8_cv!$A:$A,$E106,m8_cv!$B:$B,$A106),0))</f>
        <v>2485</v>
      </c>
    </row>
    <row r="107" spans="1:15" x14ac:dyDescent="0.25">
      <c r="A107" s="3">
        <f t="shared" si="9"/>
        <v>45763</v>
      </c>
      <c r="B107">
        <f t="shared" si="5"/>
        <v>2025</v>
      </c>
      <c r="C107">
        <f t="shared" si="6"/>
        <v>4</v>
      </c>
      <c r="D107">
        <f t="shared" si="7"/>
        <v>16</v>
      </c>
      <c r="E107" s="2">
        <f t="shared" si="8"/>
        <v>45747</v>
      </c>
      <c r="F107" s="12">
        <f>_xlfn.XLOOKUP($A107,m1_cv!$B:$B,m1_cv!$C:$C)</f>
        <v>2361</v>
      </c>
      <c r="G107">
        <f>MAX(0,ROUND(SUMIFS(m1_cv!$E:$E,m1_cv!$A:$A,$E107,m1_cv!$B:$B,$A107),0))</f>
        <v>3167</v>
      </c>
      <c r="H107">
        <f>MAX(0,ROUND(SUMIFS(m2_cv!$E:$E,m2_cv!$A:$A,$E107,m2_cv!$B:$B,$A107),0))</f>
        <v>2402</v>
      </c>
      <c r="I107">
        <f>MAX(0,ROUND(SUMIFS(m3_cv!$E:$E,m3_cv!$A:$A,$E107,m3_cv!$B:$B,$A107),0))</f>
        <v>2741</v>
      </c>
      <c r="J107">
        <f>MAX(0,ROUND(SUMIFS(m4_cv!$E:$E,m4_cv!$A:$A,$E107,m4_cv!$B:$B,$A107),0))</f>
        <v>2746</v>
      </c>
      <c r="K107">
        <f>MAX(0,ROUND(SUMIFS(m5_cv!$E:$E,m5_cv!$A:$A,$E107,m5_cv!$B:$B,$A107),0))</f>
        <v>2861</v>
      </c>
      <c r="L107">
        <f>MAX(0,ROUND(SUMIFS(m6_cv!$E:$E,m6_cv!$A:$A,$E107,m6_cv!$B:$B,$A107),0))</f>
        <v>3119</v>
      </c>
      <c r="M107">
        <f>MAX(0,ROUND(SUMIFS(m7_cv!$E:$E,m7_cv!$A:$A,$E107,m7_cv!$B:$B,$A107),0))</f>
        <v>2884</v>
      </c>
      <c r="N107">
        <f>ROUND(_xlfn.XLOOKUP($D107,Charts!$W$86:$W$116,Charts!$X$86:$X$116)*$L107+_xlfn.XLOOKUP($D107,Charts!$W$86:$W$116,Charts!$Y$86:$Y$116)*$M107,0)</f>
        <v>2884</v>
      </c>
      <c r="O107">
        <f>MAX(0,ROUND(SUMIFS(m8_cv!$E:$E,m8_cv!$A:$A,$E107,m8_cv!$B:$B,$A107),0))</f>
        <v>2690</v>
      </c>
    </row>
    <row r="108" spans="1:15" x14ac:dyDescent="0.25">
      <c r="A108" s="3">
        <f t="shared" si="9"/>
        <v>45764</v>
      </c>
      <c r="B108">
        <f t="shared" si="5"/>
        <v>2025</v>
      </c>
      <c r="C108">
        <f t="shared" si="6"/>
        <v>4</v>
      </c>
      <c r="D108">
        <f t="shared" si="7"/>
        <v>17</v>
      </c>
      <c r="E108" s="2">
        <f t="shared" si="8"/>
        <v>45747</v>
      </c>
      <c r="F108" s="12">
        <f>_xlfn.XLOOKUP($A108,m1_cv!$B:$B,m1_cv!$C:$C)</f>
        <v>2761</v>
      </c>
      <c r="G108">
        <f>MAX(0,ROUND(SUMIFS(m1_cv!$E:$E,m1_cv!$A:$A,$E108,m1_cv!$B:$B,$A108),0))</f>
        <v>3139</v>
      </c>
      <c r="H108">
        <f>MAX(0,ROUND(SUMIFS(m2_cv!$E:$E,m2_cv!$A:$A,$E108,m2_cv!$B:$B,$A108),0))</f>
        <v>2609</v>
      </c>
      <c r="I108">
        <f>MAX(0,ROUND(SUMIFS(m3_cv!$E:$E,m3_cv!$A:$A,$E108,m3_cv!$B:$B,$A108),0))</f>
        <v>2975</v>
      </c>
      <c r="J108">
        <f>MAX(0,ROUND(SUMIFS(m4_cv!$E:$E,m4_cv!$A:$A,$E108,m4_cv!$B:$B,$A108),0))</f>
        <v>2980</v>
      </c>
      <c r="K108">
        <f>MAX(0,ROUND(SUMIFS(m5_cv!$E:$E,m5_cv!$A:$A,$E108,m5_cv!$B:$B,$A108),0))</f>
        <v>3024</v>
      </c>
      <c r="L108">
        <f>MAX(0,ROUND(SUMIFS(m6_cv!$E:$E,m6_cv!$A:$A,$E108,m6_cv!$B:$B,$A108),0))</f>
        <v>3337</v>
      </c>
      <c r="M108">
        <f>MAX(0,ROUND(SUMIFS(m7_cv!$E:$E,m7_cv!$A:$A,$E108,m7_cv!$B:$B,$A108),0))</f>
        <v>3081</v>
      </c>
      <c r="N108">
        <f>ROUND(_xlfn.XLOOKUP($D108,Charts!$W$86:$W$116,Charts!$X$86:$X$116)*$L108+_xlfn.XLOOKUP($D108,Charts!$W$86:$W$116,Charts!$Y$86:$Y$116)*$M108,0)</f>
        <v>3081</v>
      </c>
      <c r="O108">
        <f>MAX(0,ROUND(SUMIFS(m8_cv!$E:$E,m8_cv!$A:$A,$E108,m8_cv!$B:$B,$A108),0))</f>
        <v>2891</v>
      </c>
    </row>
    <row r="109" spans="1:15" x14ac:dyDescent="0.25">
      <c r="A109" s="3">
        <f t="shared" si="9"/>
        <v>45765</v>
      </c>
      <c r="B109">
        <f t="shared" si="5"/>
        <v>2025</v>
      </c>
      <c r="C109">
        <f t="shared" si="6"/>
        <v>4</v>
      </c>
      <c r="D109">
        <f t="shared" si="7"/>
        <v>18</v>
      </c>
      <c r="E109" s="2">
        <f t="shared" si="8"/>
        <v>45747</v>
      </c>
      <c r="F109" s="12">
        <f>_xlfn.XLOOKUP($A109,m1_cv!$B:$B,m1_cv!$C:$C)</f>
        <v>2721</v>
      </c>
      <c r="G109">
        <f>MAX(0,ROUND(SUMIFS(m1_cv!$E:$E,m1_cv!$A:$A,$E109,m1_cv!$B:$B,$A109),0))</f>
        <v>3064</v>
      </c>
      <c r="H109">
        <f>MAX(0,ROUND(SUMIFS(m2_cv!$E:$E,m2_cv!$A:$A,$E109,m2_cv!$B:$B,$A109),0))</f>
        <v>2784</v>
      </c>
      <c r="I109">
        <f>MAX(0,ROUND(SUMIFS(m3_cv!$E:$E,m3_cv!$A:$A,$E109,m3_cv!$B:$B,$A109),0))</f>
        <v>3166</v>
      </c>
      <c r="J109">
        <f>MAX(0,ROUND(SUMIFS(m4_cv!$E:$E,m4_cv!$A:$A,$E109,m4_cv!$B:$B,$A109),0))</f>
        <v>3171</v>
      </c>
      <c r="K109">
        <f>MAX(0,ROUND(SUMIFS(m5_cv!$E:$E,m5_cv!$A:$A,$E109,m5_cv!$B:$B,$A109),0))</f>
        <v>3123</v>
      </c>
      <c r="L109">
        <f>MAX(0,ROUND(SUMIFS(m6_cv!$E:$E,m6_cv!$A:$A,$E109,m6_cv!$B:$B,$A109),0))</f>
        <v>3124</v>
      </c>
      <c r="M109">
        <f>MAX(0,ROUND(SUMIFS(m7_cv!$E:$E,m7_cv!$A:$A,$E109,m7_cv!$B:$B,$A109),0))</f>
        <v>3102</v>
      </c>
      <c r="N109">
        <f>ROUND(_xlfn.XLOOKUP($D109,Charts!$W$86:$W$116,Charts!$X$86:$X$116)*$L109+_xlfn.XLOOKUP($D109,Charts!$W$86:$W$116,Charts!$Y$86:$Y$116)*$M109,0)</f>
        <v>3102</v>
      </c>
      <c r="O109">
        <f>MAX(0,ROUND(SUMIFS(m8_cv!$E:$E,m8_cv!$A:$A,$E109,m8_cv!$B:$B,$A109),0))</f>
        <v>2912</v>
      </c>
    </row>
    <row r="110" spans="1:15" x14ac:dyDescent="0.25">
      <c r="A110" s="3">
        <f t="shared" si="9"/>
        <v>45766</v>
      </c>
      <c r="B110">
        <f t="shared" si="5"/>
        <v>2025</v>
      </c>
      <c r="C110">
        <f t="shared" si="6"/>
        <v>4</v>
      </c>
      <c r="D110">
        <f t="shared" si="7"/>
        <v>19</v>
      </c>
      <c r="E110" s="2">
        <f t="shared" si="8"/>
        <v>45747</v>
      </c>
      <c r="F110" s="12">
        <f>_xlfn.XLOOKUP($A110,m1_cv!$B:$B,m1_cv!$C:$C)</f>
        <v>420</v>
      </c>
      <c r="G110">
        <f>MAX(0,ROUND(SUMIFS(m1_cv!$E:$E,m1_cv!$A:$A,$E110,m1_cv!$B:$B,$A110),0))</f>
        <v>727</v>
      </c>
      <c r="H110">
        <f>MAX(0,ROUND(SUMIFS(m2_cv!$E:$E,m2_cv!$A:$A,$E110,m2_cv!$B:$B,$A110),0))</f>
        <v>548</v>
      </c>
      <c r="I110">
        <f>MAX(0,ROUND(SUMIFS(m3_cv!$E:$E,m3_cv!$A:$A,$E110,m3_cv!$B:$B,$A110),0))</f>
        <v>1021</v>
      </c>
      <c r="J110">
        <f>MAX(0,ROUND(SUMIFS(m4_cv!$E:$E,m4_cv!$A:$A,$E110,m4_cv!$B:$B,$A110),0))</f>
        <v>1026</v>
      </c>
      <c r="K110">
        <f>MAX(0,ROUND(SUMIFS(m5_cv!$E:$E,m5_cv!$A:$A,$E110,m5_cv!$B:$B,$A110),0))</f>
        <v>952</v>
      </c>
      <c r="L110">
        <f>MAX(0,ROUND(SUMIFS(m6_cv!$E:$E,m6_cv!$A:$A,$E110,m6_cv!$B:$B,$A110),0))</f>
        <v>561</v>
      </c>
      <c r="M110">
        <f>MAX(0,ROUND(SUMIFS(m7_cv!$E:$E,m7_cv!$A:$A,$E110,m7_cv!$B:$B,$A110),0))</f>
        <v>876</v>
      </c>
      <c r="N110">
        <f>ROUND(_xlfn.XLOOKUP($D110,Charts!$W$86:$W$116,Charts!$X$86:$X$116)*$L110+_xlfn.XLOOKUP($D110,Charts!$W$86:$W$116,Charts!$Y$86:$Y$116)*$M110,0)</f>
        <v>876</v>
      </c>
      <c r="O110">
        <f>MAX(0,ROUND(SUMIFS(m8_cv!$E:$E,m8_cv!$A:$A,$E110,m8_cv!$B:$B,$A110),0))</f>
        <v>687</v>
      </c>
    </row>
    <row r="111" spans="1:15" x14ac:dyDescent="0.25">
      <c r="A111" s="3">
        <f t="shared" si="9"/>
        <v>45767</v>
      </c>
      <c r="B111">
        <f t="shared" si="5"/>
        <v>2025</v>
      </c>
      <c r="C111">
        <f t="shared" si="6"/>
        <v>4</v>
      </c>
      <c r="D111">
        <f t="shared" si="7"/>
        <v>20</v>
      </c>
      <c r="E111" s="2">
        <f t="shared" si="8"/>
        <v>45747</v>
      </c>
      <c r="F111" s="12">
        <f>_xlfn.XLOOKUP($A111,m1_cv!$B:$B,m1_cv!$C:$C)</f>
        <v>166</v>
      </c>
      <c r="G111">
        <f>MAX(0,ROUND(SUMIFS(m1_cv!$E:$E,m1_cv!$A:$A,$E111,m1_cv!$B:$B,$A111),0))</f>
        <v>116</v>
      </c>
      <c r="H111">
        <f>MAX(0,ROUND(SUMIFS(m2_cv!$E:$E,m2_cv!$A:$A,$E111,m2_cv!$B:$B,$A111),0))</f>
        <v>0</v>
      </c>
      <c r="I111">
        <f>MAX(0,ROUND(SUMIFS(m3_cv!$E:$E,m3_cv!$A:$A,$E111,m3_cv!$B:$B,$A111),0))</f>
        <v>400</v>
      </c>
      <c r="J111">
        <f>MAX(0,ROUND(SUMIFS(m4_cv!$E:$E,m4_cv!$A:$A,$E111,m4_cv!$B:$B,$A111),0))</f>
        <v>405</v>
      </c>
      <c r="K111">
        <f>MAX(0,ROUND(SUMIFS(m5_cv!$E:$E,m5_cv!$A:$A,$E111,m5_cv!$B:$B,$A111),0))</f>
        <v>400</v>
      </c>
      <c r="L111">
        <f>MAX(0,ROUND(SUMIFS(m6_cv!$E:$E,m6_cv!$A:$A,$E111,m6_cv!$B:$B,$A111),0))</f>
        <v>227</v>
      </c>
      <c r="M111">
        <f>MAX(0,ROUND(SUMIFS(m7_cv!$E:$E,m7_cv!$A:$A,$E111,m7_cv!$B:$B,$A111),0))</f>
        <v>429</v>
      </c>
      <c r="N111">
        <f>ROUND(_xlfn.XLOOKUP($D111,Charts!$W$86:$W$116,Charts!$X$86:$X$116)*$L111+_xlfn.XLOOKUP($D111,Charts!$W$86:$W$116,Charts!$Y$86:$Y$116)*$M111,0)</f>
        <v>429</v>
      </c>
      <c r="O111">
        <f>MAX(0,ROUND(SUMIFS(m8_cv!$E:$E,m8_cv!$A:$A,$E111,m8_cv!$B:$B,$A111),0))</f>
        <v>244</v>
      </c>
    </row>
    <row r="112" spans="1:15" x14ac:dyDescent="0.25">
      <c r="A112" s="3">
        <f t="shared" si="9"/>
        <v>45768</v>
      </c>
      <c r="B112">
        <f t="shared" si="5"/>
        <v>2025</v>
      </c>
      <c r="C112">
        <f t="shared" si="6"/>
        <v>4</v>
      </c>
      <c r="D112">
        <f t="shared" si="7"/>
        <v>21</v>
      </c>
      <c r="E112" s="2">
        <f t="shared" si="8"/>
        <v>45747</v>
      </c>
      <c r="F112" s="12">
        <f>_xlfn.XLOOKUP($A112,m1_cv!$B:$B,m1_cv!$C:$C)</f>
        <v>2715</v>
      </c>
      <c r="G112">
        <f>MAX(0,ROUND(SUMIFS(m1_cv!$E:$E,m1_cv!$A:$A,$E112,m1_cv!$B:$B,$A112),0))</f>
        <v>2333</v>
      </c>
      <c r="H112">
        <f>MAX(0,ROUND(SUMIFS(m2_cv!$E:$E,m2_cv!$A:$A,$E112,m2_cv!$B:$B,$A112),0))</f>
        <v>2103</v>
      </c>
      <c r="I112">
        <f>MAX(0,ROUND(SUMIFS(m3_cv!$E:$E,m3_cv!$A:$A,$E112,m3_cv!$B:$B,$A112),0))</f>
        <v>2783</v>
      </c>
      <c r="J112">
        <f>MAX(0,ROUND(SUMIFS(m4_cv!$E:$E,m4_cv!$A:$A,$E112,m4_cv!$B:$B,$A112),0))</f>
        <v>2785</v>
      </c>
      <c r="K112">
        <f>MAX(0,ROUND(SUMIFS(m5_cv!$E:$E,m5_cv!$A:$A,$E112,m5_cv!$B:$B,$A112),0))</f>
        <v>2864</v>
      </c>
      <c r="L112">
        <f>MAX(0,ROUND(SUMIFS(m6_cv!$E:$E,m6_cv!$A:$A,$E112,m6_cv!$B:$B,$A112),0))</f>
        <v>2748</v>
      </c>
      <c r="M112">
        <f>MAX(0,ROUND(SUMIFS(m7_cv!$E:$E,m7_cv!$A:$A,$E112,m7_cv!$B:$B,$A112),0))</f>
        <v>2956</v>
      </c>
      <c r="N112">
        <f>ROUND(_xlfn.XLOOKUP($D112,Charts!$W$86:$W$116,Charts!$X$86:$X$116)*$L112+_xlfn.XLOOKUP($D112,Charts!$W$86:$W$116,Charts!$Y$86:$Y$116)*$M112,0)</f>
        <v>2956</v>
      </c>
      <c r="O112">
        <f>MAX(0,ROUND(SUMIFS(m8_cv!$E:$E,m8_cv!$A:$A,$E112,m8_cv!$B:$B,$A112),0))</f>
        <v>2770</v>
      </c>
    </row>
    <row r="113" spans="1:15" x14ac:dyDescent="0.25">
      <c r="A113" s="3">
        <f t="shared" si="9"/>
        <v>45769</v>
      </c>
      <c r="B113">
        <f t="shared" si="5"/>
        <v>2025</v>
      </c>
      <c r="C113">
        <f t="shared" si="6"/>
        <v>4</v>
      </c>
      <c r="D113">
        <f t="shared" si="7"/>
        <v>22</v>
      </c>
      <c r="E113" s="2">
        <f t="shared" si="8"/>
        <v>45747</v>
      </c>
      <c r="F113" s="12">
        <f>_xlfn.XLOOKUP($A113,m1_cv!$B:$B,m1_cv!$C:$C)</f>
        <v>3162</v>
      </c>
      <c r="G113">
        <f>MAX(0,ROUND(SUMIFS(m1_cv!$E:$E,m1_cv!$A:$A,$E113,m1_cv!$B:$B,$A113),0))</f>
        <v>2847</v>
      </c>
      <c r="H113">
        <f>MAX(0,ROUND(SUMIFS(m2_cv!$E:$E,m2_cv!$A:$A,$E113,m2_cv!$B:$B,$A113),0))</f>
        <v>2780</v>
      </c>
      <c r="I113">
        <f>MAX(0,ROUND(SUMIFS(m3_cv!$E:$E,m3_cv!$A:$A,$E113,m3_cv!$B:$B,$A113),0))</f>
        <v>3188</v>
      </c>
      <c r="J113">
        <f>MAX(0,ROUND(SUMIFS(m4_cv!$E:$E,m4_cv!$A:$A,$E113,m4_cv!$B:$B,$A113),0))</f>
        <v>3193</v>
      </c>
      <c r="K113">
        <f>MAX(0,ROUND(SUMIFS(m5_cv!$E:$E,m5_cv!$A:$A,$E113,m5_cv!$B:$B,$A113),0))</f>
        <v>3311</v>
      </c>
      <c r="L113">
        <f>MAX(0,ROUND(SUMIFS(m6_cv!$E:$E,m6_cv!$A:$A,$E113,m6_cv!$B:$B,$A113),0))</f>
        <v>3457</v>
      </c>
      <c r="M113">
        <f>MAX(0,ROUND(SUMIFS(m7_cv!$E:$E,m7_cv!$A:$A,$E113,m7_cv!$B:$B,$A113),0))</f>
        <v>3318</v>
      </c>
      <c r="N113">
        <f>ROUND(_xlfn.XLOOKUP($D113,Charts!$W$86:$W$116,Charts!$X$86:$X$116)*$L113+_xlfn.XLOOKUP($D113,Charts!$W$86:$W$116,Charts!$Y$86:$Y$116)*$M113,0)</f>
        <v>3318</v>
      </c>
      <c r="O113">
        <f>MAX(0,ROUND(SUMIFS(m8_cv!$E:$E,m8_cv!$A:$A,$E113,m8_cv!$B:$B,$A113),0))</f>
        <v>3129</v>
      </c>
    </row>
    <row r="114" spans="1:15" x14ac:dyDescent="0.25">
      <c r="A114" s="3">
        <f t="shared" si="9"/>
        <v>45770</v>
      </c>
      <c r="B114">
        <f t="shared" si="5"/>
        <v>2025</v>
      </c>
      <c r="C114">
        <f t="shared" si="6"/>
        <v>4</v>
      </c>
      <c r="D114">
        <f t="shared" si="7"/>
        <v>23</v>
      </c>
      <c r="E114" s="2">
        <f t="shared" si="8"/>
        <v>45747</v>
      </c>
      <c r="F114" s="12">
        <f>_xlfn.XLOOKUP($A114,m1_cv!$B:$B,m1_cv!$C:$C)</f>
        <v>3604</v>
      </c>
      <c r="G114">
        <f>MAX(0,ROUND(SUMIFS(m1_cv!$E:$E,m1_cv!$A:$A,$E114,m1_cv!$B:$B,$A114),0))</f>
        <v>2783</v>
      </c>
      <c r="H114">
        <f>MAX(0,ROUND(SUMIFS(m2_cv!$E:$E,m2_cv!$A:$A,$E114,m2_cv!$B:$B,$A114),0))</f>
        <v>3060</v>
      </c>
      <c r="I114">
        <f>MAX(0,ROUND(SUMIFS(m3_cv!$E:$E,m3_cv!$A:$A,$E114,m3_cv!$B:$B,$A114),0))</f>
        <v>3556</v>
      </c>
      <c r="J114">
        <f>MAX(0,ROUND(SUMIFS(m4_cv!$E:$E,m4_cv!$A:$A,$E114,m4_cv!$B:$B,$A114),0))</f>
        <v>3559</v>
      </c>
      <c r="K114">
        <f>MAX(0,ROUND(SUMIFS(m5_cv!$E:$E,m5_cv!$A:$A,$E114,m5_cv!$B:$B,$A114),0))</f>
        <v>3575</v>
      </c>
      <c r="L114">
        <f>MAX(0,ROUND(SUMIFS(m6_cv!$E:$E,m6_cv!$A:$A,$E114,m6_cv!$B:$B,$A114),0))</f>
        <v>3745</v>
      </c>
      <c r="M114">
        <f>MAX(0,ROUND(SUMIFS(m7_cv!$E:$E,m7_cv!$A:$A,$E114,m7_cv!$B:$B,$A114),0))</f>
        <v>3535</v>
      </c>
      <c r="N114">
        <f>ROUND(_xlfn.XLOOKUP($D114,Charts!$W$86:$W$116,Charts!$X$86:$X$116)*$L114+_xlfn.XLOOKUP($D114,Charts!$W$86:$W$116,Charts!$Y$86:$Y$116)*$M114,0)</f>
        <v>3535</v>
      </c>
      <c r="O114">
        <f>MAX(0,ROUND(SUMIFS(m8_cv!$E:$E,m8_cv!$A:$A,$E114,m8_cv!$B:$B,$A114),0))</f>
        <v>3348</v>
      </c>
    </row>
    <row r="115" spans="1:15" x14ac:dyDescent="0.25">
      <c r="A115" s="3">
        <f t="shared" si="9"/>
        <v>45771</v>
      </c>
      <c r="B115">
        <f t="shared" si="5"/>
        <v>2025</v>
      </c>
      <c r="C115">
        <f t="shared" si="6"/>
        <v>4</v>
      </c>
      <c r="D115">
        <f t="shared" si="7"/>
        <v>24</v>
      </c>
      <c r="E115" s="2">
        <f t="shared" si="8"/>
        <v>45747</v>
      </c>
      <c r="F115" s="12">
        <f>_xlfn.XLOOKUP($A115,m1_cv!$B:$B,m1_cv!$C:$C)</f>
        <v>3831</v>
      </c>
      <c r="G115">
        <f>MAX(0,ROUND(SUMIFS(m1_cv!$E:$E,m1_cv!$A:$A,$E115,m1_cv!$B:$B,$A115),0))</f>
        <v>2790</v>
      </c>
      <c r="H115">
        <f>MAX(0,ROUND(SUMIFS(m2_cv!$E:$E,m2_cv!$A:$A,$E115,m2_cv!$B:$B,$A115),0))</f>
        <v>3353</v>
      </c>
      <c r="I115">
        <f>MAX(0,ROUND(SUMIFS(m3_cv!$E:$E,m3_cv!$A:$A,$E115,m3_cv!$B:$B,$A115),0))</f>
        <v>3903</v>
      </c>
      <c r="J115">
        <f>MAX(0,ROUND(SUMIFS(m4_cv!$E:$E,m4_cv!$A:$A,$E115,m4_cv!$B:$B,$A115),0))</f>
        <v>3907</v>
      </c>
      <c r="K115">
        <f>MAX(0,ROUND(SUMIFS(m5_cv!$E:$E,m5_cv!$A:$A,$E115,m5_cv!$B:$B,$A115),0))</f>
        <v>3780</v>
      </c>
      <c r="L115">
        <f>MAX(0,ROUND(SUMIFS(m6_cv!$E:$E,m6_cv!$A:$A,$E115,m6_cv!$B:$B,$A115),0))</f>
        <v>4287</v>
      </c>
      <c r="M115">
        <f>MAX(0,ROUND(SUMIFS(m7_cv!$E:$E,m7_cv!$A:$A,$E115,m7_cv!$B:$B,$A115),0))</f>
        <v>3750</v>
      </c>
      <c r="N115">
        <f>ROUND(_xlfn.XLOOKUP($D115,Charts!$W$86:$W$116,Charts!$X$86:$X$116)*$L115+_xlfn.XLOOKUP($D115,Charts!$W$86:$W$116,Charts!$Y$86:$Y$116)*$M115,0)</f>
        <v>4287</v>
      </c>
      <c r="O115">
        <f>MAX(0,ROUND(SUMIFS(m8_cv!$E:$E,m8_cv!$A:$A,$E115,m8_cv!$B:$B,$A115),0))</f>
        <v>3568</v>
      </c>
    </row>
    <row r="116" spans="1:15" x14ac:dyDescent="0.25">
      <c r="A116" s="3">
        <f t="shared" si="9"/>
        <v>45772</v>
      </c>
      <c r="B116">
        <f t="shared" si="5"/>
        <v>2025</v>
      </c>
      <c r="C116">
        <f t="shared" si="6"/>
        <v>4</v>
      </c>
      <c r="D116">
        <f t="shared" si="7"/>
        <v>25</v>
      </c>
      <c r="E116" s="2">
        <f t="shared" si="8"/>
        <v>45747</v>
      </c>
      <c r="F116" s="12">
        <f>_xlfn.XLOOKUP($A116,m1_cv!$B:$B,m1_cv!$C:$C)</f>
        <v>4600</v>
      </c>
      <c r="G116">
        <f>MAX(0,ROUND(SUMIFS(m1_cv!$E:$E,m1_cv!$A:$A,$E116,m1_cv!$B:$B,$A116),0))</f>
        <v>2755</v>
      </c>
      <c r="H116">
        <f>MAX(0,ROUND(SUMIFS(m2_cv!$E:$E,m2_cv!$A:$A,$E116,m2_cv!$B:$B,$A116),0))</f>
        <v>3353</v>
      </c>
      <c r="I116">
        <f>MAX(0,ROUND(SUMIFS(m3_cv!$E:$E,m3_cv!$A:$A,$E116,m3_cv!$B:$B,$A116),0))</f>
        <v>3916</v>
      </c>
      <c r="J116">
        <f>MAX(0,ROUND(SUMIFS(m4_cv!$E:$E,m4_cv!$A:$A,$E116,m4_cv!$B:$B,$A116),0))</f>
        <v>3920</v>
      </c>
      <c r="K116">
        <f>MAX(0,ROUND(SUMIFS(m5_cv!$E:$E,m5_cv!$A:$A,$E116,m5_cv!$B:$B,$A116),0))</f>
        <v>3823</v>
      </c>
      <c r="L116">
        <f>MAX(0,ROUND(SUMIFS(m6_cv!$E:$E,m6_cv!$A:$A,$E116,m6_cv!$B:$B,$A116),0))</f>
        <v>4089</v>
      </c>
      <c r="M116">
        <f>MAX(0,ROUND(SUMIFS(m7_cv!$E:$E,m7_cv!$A:$A,$E116,m7_cv!$B:$B,$A116),0))</f>
        <v>3815</v>
      </c>
      <c r="N116">
        <f>ROUND(_xlfn.XLOOKUP($D116,Charts!$W$86:$W$116,Charts!$X$86:$X$116)*$L116+_xlfn.XLOOKUP($D116,Charts!$W$86:$W$116,Charts!$Y$86:$Y$116)*$M116,0)</f>
        <v>4089</v>
      </c>
      <c r="O116">
        <f>MAX(0,ROUND(SUMIFS(m8_cv!$E:$E,m8_cv!$A:$A,$E116,m8_cv!$B:$B,$A116),0))</f>
        <v>3629</v>
      </c>
    </row>
    <row r="117" spans="1:15" x14ac:dyDescent="0.25">
      <c r="A117" s="3">
        <f t="shared" si="9"/>
        <v>45773</v>
      </c>
      <c r="B117">
        <f t="shared" si="5"/>
        <v>2025</v>
      </c>
      <c r="C117">
        <f t="shared" si="6"/>
        <v>4</v>
      </c>
      <c r="D117">
        <f t="shared" si="7"/>
        <v>26</v>
      </c>
      <c r="E117" s="2">
        <f t="shared" si="8"/>
        <v>45747</v>
      </c>
      <c r="F117" s="12">
        <f>_xlfn.XLOOKUP($A117,m1_cv!$B:$B,m1_cv!$C:$C)</f>
        <v>1014</v>
      </c>
      <c r="G117">
        <f>MAX(0,ROUND(SUMIFS(m1_cv!$E:$E,m1_cv!$A:$A,$E117,m1_cv!$B:$B,$A117),0))</f>
        <v>462</v>
      </c>
      <c r="H117">
        <f>MAX(0,ROUND(SUMIFS(m2_cv!$E:$E,m2_cv!$A:$A,$E117,m2_cv!$B:$B,$A117),0))</f>
        <v>960</v>
      </c>
      <c r="I117">
        <f>MAX(0,ROUND(SUMIFS(m3_cv!$E:$E,m3_cv!$A:$A,$E117,m3_cv!$B:$B,$A117),0))</f>
        <v>1584</v>
      </c>
      <c r="J117">
        <f>MAX(0,ROUND(SUMIFS(m4_cv!$E:$E,m4_cv!$A:$A,$E117,m4_cv!$B:$B,$A117),0))</f>
        <v>1585</v>
      </c>
      <c r="K117">
        <f>MAX(0,ROUND(SUMIFS(m5_cv!$E:$E,m5_cv!$A:$A,$E117,m5_cv!$B:$B,$A117),0))</f>
        <v>3002</v>
      </c>
      <c r="L117">
        <f>MAX(0,ROUND(SUMIFS(m6_cv!$E:$E,m6_cv!$A:$A,$E117,m6_cv!$B:$B,$A117),0))</f>
        <v>1372</v>
      </c>
      <c r="M117">
        <f>MAX(0,ROUND(SUMIFS(m7_cv!$E:$E,m7_cv!$A:$A,$E117,m7_cv!$B:$B,$A117),0))</f>
        <v>3233</v>
      </c>
      <c r="N117">
        <f>ROUND(_xlfn.XLOOKUP($D117,Charts!$W$86:$W$116,Charts!$X$86:$X$116)*$L117+_xlfn.XLOOKUP($D117,Charts!$W$86:$W$116,Charts!$Y$86:$Y$116)*$M117,0)</f>
        <v>1372</v>
      </c>
      <c r="O117">
        <f>MAX(0,ROUND(SUMIFS(m8_cv!$E:$E,m8_cv!$A:$A,$E117,m8_cv!$B:$B,$A117),0))</f>
        <v>3052</v>
      </c>
    </row>
    <row r="118" spans="1:15" x14ac:dyDescent="0.25">
      <c r="A118" s="3">
        <f t="shared" si="9"/>
        <v>45774</v>
      </c>
      <c r="B118">
        <f t="shared" si="5"/>
        <v>2025</v>
      </c>
      <c r="C118">
        <f t="shared" si="6"/>
        <v>4</v>
      </c>
      <c r="D118">
        <f t="shared" si="7"/>
        <v>27</v>
      </c>
      <c r="E118" s="2">
        <f t="shared" si="8"/>
        <v>45747</v>
      </c>
      <c r="F118" s="12">
        <f>_xlfn.XLOOKUP($A118,m1_cv!$B:$B,m1_cv!$C:$C)</f>
        <v>198</v>
      </c>
      <c r="G118">
        <f>MAX(0,ROUND(SUMIFS(m1_cv!$E:$E,m1_cv!$A:$A,$E118,m1_cv!$B:$B,$A118),0))</f>
        <v>0</v>
      </c>
      <c r="H118">
        <f>MAX(0,ROUND(SUMIFS(m2_cv!$E:$E,m2_cv!$A:$A,$E118,m2_cv!$B:$B,$A118),0))</f>
        <v>561</v>
      </c>
      <c r="I118">
        <f>MAX(0,ROUND(SUMIFS(m3_cv!$E:$E,m3_cv!$A:$A,$E118,m3_cv!$B:$B,$A118),0))</f>
        <v>1182</v>
      </c>
      <c r="J118">
        <f>MAX(0,ROUND(SUMIFS(m4_cv!$E:$E,m4_cv!$A:$A,$E118,m4_cv!$B:$B,$A118),0))</f>
        <v>1182</v>
      </c>
      <c r="K118">
        <f>MAX(0,ROUND(SUMIFS(m5_cv!$E:$E,m5_cv!$A:$A,$E118,m5_cv!$B:$B,$A118),0))</f>
        <v>2429</v>
      </c>
      <c r="L118">
        <f>MAX(0,ROUND(SUMIFS(m6_cv!$E:$E,m6_cv!$A:$A,$E118,m6_cv!$B:$B,$A118),0))</f>
        <v>489</v>
      </c>
      <c r="M118">
        <f>MAX(0,ROUND(SUMIFS(m7_cv!$E:$E,m7_cv!$A:$A,$E118,m7_cv!$B:$B,$A118),0))</f>
        <v>2632</v>
      </c>
      <c r="N118">
        <f>ROUND(_xlfn.XLOOKUP($D118,Charts!$W$86:$W$116,Charts!$X$86:$X$116)*$L118+_xlfn.XLOOKUP($D118,Charts!$W$86:$W$116,Charts!$Y$86:$Y$116)*$M118,0)</f>
        <v>489</v>
      </c>
      <c r="O118">
        <f>MAX(0,ROUND(SUMIFS(m8_cv!$E:$E,m8_cv!$A:$A,$E118,m8_cv!$B:$B,$A118),0))</f>
        <v>2456</v>
      </c>
    </row>
    <row r="119" spans="1:15" x14ac:dyDescent="0.25">
      <c r="A119" s="3">
        <f t="shared" si="9"/>
        <v>45775</v>
      </c>
      <c r="B119">
        <f t="shared" si="5"/>
        <v>2025</v>
      </c>
      <c r="C119">
        <f t="shared" si="6"/>
        <v>4</v>
      </c>
      <c r="D119">
        <f t="shared" si="7"/>
        <v>28</v>
      </c>
      <c r="E119" s="2">
        <f t="shared" si="8"/>
        <v>45747</v>
      </c>
      <c r="F119" s="12">
        <f>_xlfn.XLOOKUP($A119,m1_cv!$B:$B,m1_cv!$C:$C)</f>
        <v>5133</v>
      </c>
      <c r="G119">
        <f>MAX(0,ROUND(SUMIFS(m1_cv!$E:$E,m1_cv!$A:$A,$E119,m1_cv!$B:$B,$A119),0))</f>
        <v>2165</v>
      </c>
      <c r="H119">
        <f>MAX(0,ROUND(SUMIFS(m2_cv!$E:$E,m2_cv!$A:$A,$E119,m2_cv!$B:$B,$A119),0))</f>
        <v>3555</v>
      </c>
      <c r="I119">
        <f>MAX(0,ROUND(SUMIFS(m3_cv!$E:$E,m3_cv!$A:$A,$E119,m3_cv!$B:$B,$A119),0))</f>
        <v>4337</v>
      </c>
      <c r="J119">
        <f>MAX(0,ROUND(SUMIFS(m4_cv!$E:$E,m4_cv!$A:$A,$E119,m4_cv!$B:$B,$A119),0))</f>
        <v>4335</v>
      </c>
      <c r="K119">
        <f>MAX(0,ROUND(SUMIFS(m5_cv!$E:$E,m5_cv!$A:$A,$E119,m5_cv!$B:$B,$A119),0))</f>
        <v>4928</v>
      </c>
      <c r="L119">
        <f>MAX(0,ROUND(SUMIFS(m6_cv!$E:$E,m6_cv!$A:$A,$E119,m6_cv!$B:$B,$A119),0))</f>
        <v>5213</v>
      </c>
      <c r="M119">
        <f>MAX(0,ROUND(SUMIFS(m7_cv!$E:$E,m7_cv!$A:$A,$E119,m7_cv!$B:$B,$A119),0))</f>
        <v>4835</v>
      </c>
      <c r="N119">
        <f>ROUND(_xlfn.XLOOKUP($D119,Charts!$W$86:$W$116,Charts!$X$86:$X$116)*$L119+_xlfn.XLOOKUP($D119,Charts!$W$86:$W$116,Charts!$Y$86:$Y$116)*$M119,0)</f>
        <v>5213</v>
      </c>
      <c r="O119">
        <f>MAX(0,ROUND(SUMIFS(m8_cv!$E:$E,m8_cv!$A:$A,$E119,m8_cv!$B:$B,$A119),0))</f>
        <v>4657</v>
      </c>
    </row>
    <row r="120" spans="1:15" x14ac:dyDescent="0.25">
      <c r="A120" s="3">
        <f t="shared" si="9"/>
        <v>45776</v>
      </c>
      <c r="B120">
        <f t="shared" si="5"/>
        <v>2025</v>
      </c>
      <c r="C120">
        <f t="shared" si="6"/>
        <v>4</v>
      </c>
      <c r="D120">
        <f t="shared" si="7"/>
        <v>29</v>
      </c>
      <c r="E120" s="2">
        <f t="shared" si="8"/>
        <v>45747</v>
      </c>
      <c r="F120" s="12">
        <f>_xlfn.XLOOKUP($A120,m1_cv!$B:$B,m1_cv!$C:$C)</f>
        <v>7913</v>
      </c>
      <c r="G120">
        <f>MAX(0,ROUND(SUMIFS(m1_cv!$E:$E,m1_cv!$A:$A,$E120,m1_cv!$B:$B,$A120),0))</f>
        <v>2729</v>
      </c>
      <c r="H120">
        <f>MAX(0,ROUND(SUMIFS(m2_cv!$E:$E,m2_cv!$A:$A,$E120,m2_cv!$B:$B,$A120),0))</f>
        <v>5231</v>
      </c>
      <c r="I120">
        <f>MAX(0,ROUND(SUMIFS(m3_cv!$E:$E,m3_cv!$A:$A,$E120,m3_cv!$B:$B,$A120),0))</f>
        <v>5740</v>
      </c>
      <c r="J120">
        <f>MAX(0,ROUND(SUMIFS(m4_cv!$E:$E,m4_cv!$A:$A,$E120,m4_cv!$B:$B,$A120),0))</f>
        <v>5742</v>
      </c>
      <c r="K120">
        <f>MAX(0,ROUND(SUMIFS(m5_cv!$E:$E,m5_cv!$A:$A,$E120,m5_cv!$B:$B,$A120),0))</f>
        <v>7470</v>
      </c>
      <c r="L120">
        <f>MAX(0,ROUND(SUMIFS(m6_cv!$E:$E,m6_cv!$A:$A,$E120,m6_cv!$B:$B,$A120),0))</f>
        <v>10894</v>
      </c>
      <c r="M120">
        <f>MAX(0,ROUND(SUMIFS(m7_cv!$E:$E,m7_cv!$A:$A,$E120,m7_cv!$B:$B,$A120),0))</f>
        <v>7189</v>
      </c>
      <c r="N120">
        <f>ROUND(_xlfn.XLOOKUP($D120,Charts!$W$86:$W$116,Charts!$X$86:$X$116)*$L120+_xlfn.XLOOKUP($D120,Charts!$W$86:$W$116,Charts!$Y$86:$Y$116)*$M120,0)</f>
        <v>7189</v>
      </c>
      <c r="O120">
        <f>MAX(0,ROUND(SUMIFS(m8_cv!$E:$E,m8_cv!$A:$A,$E120,m8_cv!$B:$B,$A120),0))</f>
        <v>6990</v>
      </c>
    </row>
    <row r="121" spans="1:15" x14ac:dyDescent="0.25">
      <c r="A121" s="3">
        <f t="shared" si="9"/>
        <v>45777</v>
      </c>
      <c r="B121">
        <f t="shared" si="5"/>
        <v>2025</v>
      </c>
      <c r="C121">
        <f t="shared" si="6"/>
        <v>4</v>
      </c>
      <c r="D121">
        <f t="shared" si="7"/>
        <v>30</v>
      </c>
      <c r="E121" s="2">
        <f t="shared" si="8"/>
        <v>45747</v>
      </c>
      <c r="F121" s="12">
        <f>_xlfn.XLOOKUP($A121,m1_cv!$B:$B,m1_cv!$C:$C)</f>
        <v>14564</v>
      </c>
      <c r="G121">
        <f>MAX(0,ROUND(SUMIFS(m1_cv!$E:$E,m1_cv!$A:$A,$E121,m1_cv!$B:$B,$A121),0))</f>
        <v>2716</v>
      </c>
      <c r="H121">
        <f>MAX(0,ROUND(SUMIFS(m2_cv!$E:$E,m2_cv!$A:$A,$E121,m2_cv!$B:$B,$A121),0))</f>
        <v>6128</v>
      </c>
      <c r="I121">
        <f>MAX(0,ROUND(SUMIFS(m3_cv!$E:$E,m3_cv!$A:$A,$E121,m3_cv!$B:$B,$A121),0))</f>
        <v>6712</v>
      </c>
      <c r="J121">
        <f>MAX(0,ROUND(SUMIFS(m4_cv!$E:$E,m4_cv!$A:$A,$E121,m4_cv!$B:$B,$A121),0))</f>
        <v>6712</v>
      </c>
      <c r="K121">
        <f>MAX(0,ROUND(SUMIFS(m5_cv!$E:$E,m5_cv!$A:$A,$E121,m5_cv!$B:$B,$A121),0))</f>
        <v>9542</v>
      </c>
      <c r="L121">
        <f>MAX(0,ROUND(SUMIFS(m6_cv!$E:$E,m6_cv!$A:$A,$E121,m6_cv!$B:$B,$A121),0))</f>
        <v>15497</v>
      </c>
      <c r="M121">
        <f>MAX(0,ROUND(SUMIFS(m7_cv!$E:$E,m7_cv!$A:$A,$E121,m7_cv!$B:$B,$A121),0))</f>
        <v>9847</v>
      </c>
      <c r="N121">
        <f>ROUND(_xlfn.XLOOKUP($D121,Charts!$W$86:$W$116,Charts!$X$86:$X$116)*$L121+_xlfn.XLOOKUP($D121,Charts!$W$86:$W$116,Charts!$Y$86:$Y$116)*$M121,0)</f>
        <v>9847</v>
      </c>
      <c r="O121">
        <f>MAX(0,ROUND(SUMIFS(m8_cv!$E:$E,m8_cv!$A:$A,$E121,m8_cv!$B:$B,$A121),0))</f>
        <v>9629</v>
      </c>
    </row>
    <row r="122" spans="1:15" x14ac:dyDescent="0.25">
      <c r="A122" s="3">
        <f t="shared" si="9"/>
        <v>45778</v>
      </c>
      <c r="B122">
        <f t="shared" si="5"/>
        <v>2025</v>
      </c>
      <c r="C122">
        <f t="shared" si="6"/>
        <v>5</v>
      </c>
      <c r="D122">
        <f t="shared" si="7"/>
        <v>1</v>
      </c>
      <c r="E122" s="2">
        <f t="shared" si="8"/>
        <v>45777</v>
      </c>
      <c r="F122" s="12">
        <f>_xlfn.XLOOKUP($A122,m1_cv!$B:$B,m1_cv!$C:$C)</f>
        <v>24</v>
      </c>
      <c r="G122">
        <f>MAX(0,ROUND(SUMIFS(m1_cv!$E:$E,m1_cv!$A:$A,$E122,m1_cv!$B:$B,$A122),0))</f>
        <v>3229</v>
      </c>
      <c r="H122">
        <f>MAX(0,ROUND(SUMIFS(m2_cv!$E:$E,m2_cv!$A:$A,$E122,m2_cv!$B:$B,$A122),0))</f>
        <v>6461</v>
      </c>
      <c r="I122">
        <f>MAX(0,ROUND(SUMIFS(m3_cv!$E:$E,m3_cv!$A:$A,$E122,m3_cv!$B:$B,$A122),0))</f>
        <v>5493</v>
      </c>
      <c r="J122">
        <f>MAX(0,ROUND(SUMIFS(m4_cv!$E:$E,m4_cv!$A:$A,$E122,m4_cv!$B:$B,$A122),0))</f>
        <v>5490</v>
      </c>
      <c r="K122">
        <f>MAX(0,ROUND(SUMIFS(m5_cv!$E:$E,m5_cv!$A:$A,$E122,m5_cv!$B:$B,$A122),0))</f>
        <v>1538</v>
      </c>
      <c r="L122">
        <f>MAX(0,ROUND(SUMIFS(m6_cv!$E:$E,m6_cv!$A:$A,$E122,m6_cv!$B:$B,$A122),0))</f>
        <v>141</v>
      </c>
      <c r="M122">
        <f>MAX(0,ROUND(SUMIFS(m7_cv!$E:$E,m7_cv!$A:$A,$E122,m7_cv!$B:$B,$A122),0))</f>
        <v>1846</v>
      </c>
      <c r="N122">
        <f>ROUND(_xlfn.XLOOKUP($D122,Charts!$W$86:$W$116,Charts!$X$86:$X$116)*$L122+_xlfn.XLOOKUP($D122,Charts!$W$86:$W$116,Charts!$Y$86:$Y$116)*$M122,0)</f>
        <v>141</v>
      </c>
      <c r="O122">
        <f>MAX(0,ROUND(SUMIFS(m8_cv!$E:$E,m8_cv!$A:$A,$E122,m8_cv!$B:$B,$A122),0))</f>
        <v>1851</v>
      </c>
    </row>
    <row r="123" spans="1:15" x14ac:dyDescent="0.25">
      <c r="A123" s="3">
        <f t="shared" si="9"/>
        <v>45779</v>
      </c>
      <c r="B123">
        <f t="shared" si="5"/>
        <v>2025</v>
      </c>
      <c r="C123">
        <f t="shared" si="6"/>
        <v>5</v>
      </c>
      <c r="D123">
        <f t="shared" si="7"/>
        <v>2</v>
      </c>
      <c r="E123" s="2">
        <f t="shared" si="8"/>
        <v>45777</v>
      </c>
      <c r="F123" s="12">
        <f>_xlfn.XLOOKUP($A123,m1_cv!$B:$B,m1_cv!$C:$C)</f>
        <v>750</v>
      </c>
      <c r="G123">
        <f>MAX(0,ROUND(SUMIFS(m1_cv!$E:$E,m1_cv!$A:$A,$E123,m1_cv!$B:$B,$A123),0))</f>
        <v>3240</v>
      </c>
      <c r="H123">
        <f>MAX(0,ROUND(SUMIFS(m2_cv!$E:$E,m2_cv!$A:$A,$E123,m2_cv!$B:$B,$A123),0))</f>
        <v>5252</v>
      </c>
      <c r="I123">
        <f>MAX(0,ROUND(SUMIFS(m3_cv!$E:$E,m3_cv!$A:$A,$E123,m3_cv!$B:$B,$A123),0))</f>
        <v>5775</v>
      </c>
      <c r="J123">
        <f>MAX(0,ROUND(SUMIFS(m4_cv!$E:$E,m4_cv!$A:$A,$E123,m4_cv!$B:$B,$A123),0))</f>
        <v>5782</v>
      </c>
      <c r="K123">
        <f>MAX(0,ROUND(SUMIFS(m5_cv!$E:$E,m5_cv!$A:$A,$E123,m5_cv!$B:$B,$A123),0))</f>
        <v>2399</v>
      </c>
      <c r="L123">
        <f>MAX(0,ROUND(SUMIFS(m6_cv!$E:$E,m6_cv!$A:$A,$E123,m6_cv!$B:$B,$A123),0))</f>
        <v>692</v>
      </c>
      <c r="M123">
        <f>MAX(0,ROUND(SUMIFS(m7_cv!$E:$E,m7_cv!$A:$A,$E123,m7_cv!$B:$B,$A123),0))</f>
        <v>2093</v>
      </c>
      <c r="N123">
        <f>ROUND(_xlfn.XLOOKUP($D123,Charts!$W$86:$W$116,Charts!$X$86:$X$116)*$L123+_xlfn.XLOOKUP($D123,Charts!$W$86:$W$116,Charts!$Y$86:$Y$116)*$M123,0)</f>
        <v>692</v>
      </c>
      <c r="O123">
        <f>MAX(0,ROUND(SUMIFS(m8_cv!$E:$E,m8_cv!$A:$A,$E123,m8_cv!$B:$B,$A123),0))</f>
        <v>2225</v>
      </c>
    </row>
    <row r="124" spans="1:15" x14ac:dyDescent="0.25">
      <c r="A124" s="3">
        <f t="shared" si="9"/>
        <v>45780</v>
      </c>
      <c r="B124">
        <f t="shared" si="5"/>
        <v>2025</v>
      </c>
      <c r="C124">
        <f t="shared" si="6"/>
        <v>5</v>
      </c>
      <c r="D124">
        <f t="shared" si="7"/>
        <v>3</v>
      </c>
      <c r="E124" s="2">
        <f t="shared" si="8"/>
        <v>45777</v>
      </c>
      <c r="F124" s="12">
        <f>_xlfn.XLOOKUP($A124,m1_cv!$B:$B,m1_cv!$C:$C)</f>
        <v>70</v>
      </c>
      <c r="G124">
        <f>MAX(0,ROUND(SUMIFS(m1_cv!$E:$E,m1_cv!$A:$A,$E124,m1_cv!$B:$B,$A124),0))</f>
        <v>986</v>
      </c>
      <c r="H124">
        <f>MAX(0,ROUND(SUMIFS(m2_cv!$E:$E,m2_cv!$A:$A,$E124,m2_cv!$B:$B,$A124),0))</f>
        <v>1137</v>
      </c>
      <c r="I124">
        <f>MAX(0,ROUND(SUMIFS(m3_cv!$E:$E,m3_cv!$A:$A,$E124,m3_cv!$B:$B,$A124),0))</f>
        <v>1641</v>
      </c>
      <c r="J124">
        <f>MAX(0,ROUND(SUMIFS(m4_cv!$E:$E,m4_cv!$A:$A,$E124,m4_cv!$B:$B,$A124),0))</f>
        <v>1645</v>
      </c>
      <c r="K124">
        <f>MAX(0,ROUND(SUMIFS(m5_cv!$E:$E,m5_cv!$A:$A,$E124,m5_cv!$B:$B,$A124),0))</f>
        <v>0</v>
      </c>
      <c r="L124">
        <f>MAX(0,ROUND(SUMIFS(m6_cv!$E:$E,m6_cv!$A:$A,$E124,m6_cv!$B:$B,$A124),0))</f>
        <v>142</v>
      </c>
      <c r="M124">
        <f>MAX(0,ROUND(SUMIFS(m7_cv!$E:$E,m7_cv!$A:$A,$E124,m7_cv!$B:$B,$A124),0))</f>
        <v>0</v>
      </c>
      <c r="N124">
        <f>ROUND(_xlfn.XLOOKUP($D124,Charts!$W$86:$W$116,Charts!$X$86:$X$116)*$L124+_xlfn.XLOOKUP($D124,Charts!$W$86:$W$116,Charts!$Y$86:$Y$116)*$M124,0)</f>
        <v>142</v>
      </c>
      <c r="O124">
        <f>MAX(0,ROUND(SUMIFS(m8_cv!$E:$E,m8_cv!$A:$A,$E124,m8_cv!$B:$B,$A124),0))</f>
        <v>0</v>
      </c>
    </row>
    <row r="125" spans="1:15" x14ac:dyDescent="0.25">
      <c r="A125" s="3">
        <f t="shared" si="9"/>
        <v>45781</v>
      </c>
      <c r="B125">
        <f t="shared" si="5"/>
        <v>2025</v>
      </c>
      <c r="C125">
        <f t="shared" si="6"/>
        <v>5</v>
      </c>
      <c r="D125">
        <f t="shared" si="7"/>
        <v>4</v>
      </c>
      <c r="E125" s="2">
        <f t="shared" si="8"/>
        <v>45777</v>
      </c>
      <c r="F125" s="12">
        <f>_xlfn.XLOOKUP($A125,m1_cv!$B:$B,m1_cv!$C:$C)</f>
        <v>31</v>
      </c>
      <c r="G125">
        <f>MAX(0,ROUND(SUMIFS(m1_cv!$E:$E,m1_cv!$A:$A,$E125,m1_cv!$B:$B,$A125),0))</f>
        <v>452</v>
      </c>
      <c r="H125">
        <f>MAX(0,ROUND(SUMIFS(m2_cv!$E:$E,m2_cv!$A:$A,$E125,m2_cv!$B:$B,$A125),0))</f>
        <v>0</v>
      </c>
      <c r="I125">
        <f>MAX(0,ROUND(SUMIFS(m3_cv!$E:$E,m3_cv!$A:$A,$E125,m3_cv!$B:$B,$A125),0))</f>
        <v>0</v>
      </c>
      <c r="J125">
        <f>MAX(0,ROUND(SUMIFS(m4_cv!$E:$E,m4_cv!$A:$A,$E125,m4_cv!$B:$B,$A125),0))</f>
        <v>0</v>
      </c>
      <c r="K125">
        <f>MAX(0,ROUND(SUMIFS(m5_cv!$E:$E,m5_cv!$A:$A,$E125,m5_cv!$B:$B,$A125),0))</f>
        <v>0</v>
      </c>
      <c r="L125">
        <f>MAX(0,ROUND(SUMIFS(m6_cv!$E:$E,m6_cv!$A:$A,$E125,m6_cv!$B:$B,$A125),0))</f>
        <v>42</v>
      </c>
      <c r="M125">
        <f>MAX(0,ROUND(SUMIFS(m7_cv!$E:$E,m7_cv!$A:$A,$E125,m7_cv!$B:$B,$A125),0))</f>
        <v>0</v>
      </c>
      <c r="N125">
        <f>ROUND(_xlfn.XLOOKUP($D125,Charts!$W$86:$W$116,Charts!$X$86:$X$116)*$L125+_xlfn.XLOOKUP($D125,Charts!$W$86:$W$116,Charts!$Y$86:$Y$116)*$M125,0)</f>
        <v>42</v>
      </c>
      <c r="O125">
        <f>MAX(0,ROUND(SUMIFS(m8_cv!$E:$E,m8_cv!$A:$A,$E125,m8_cv!$B:$B,$A125),0))</f>
        <v>0</v>
      </c>
    </row>
    <row r="126" spans="1:15" x14ac:dyDescent="0.25">
      <c r="A126" s="3">
        <f t="shared" si="9"/>
        <v>45782</v>
      </c>
      <c r="B126">
        <f t="shared" si="5"/>
        <v>2025</v>
      </c>
      <c r="C126">
        <f t="shared" si="6"/>
        <v>5</v>
      </c>
      <c r="D126">
        <f t="shared" si="7"/>
        <v>5</v>
      </c>
      <c r="E126" s="2">
        <f t="shared" si="8"/>
        <v>45777</v>
      </c>
      <c r="F126" s="12">
        <f>_xlfn.XLOOKUP($A126,m1_cv!$B:$B,m1_cv!$C:$C)</f>
        <v>1026</v>
      </c>
      <c r="G126">
        <f>MAX(0,ROUND(SUMIFS(m1_cv!$E:$E,m1_cv!$A:$A,$E126,m1_cv!$B:$B,$A126),0))</f>
        <v>2732</v>
      </c>
      <c r="H126">
        <f>MAX(0,ROUND(SUMIFS(m2_cv!$E:$E,m2_cv!$A:$A,$E126,m2_cv!$B:$B,$A126),0))</f>
        <v>471</v>
      </c>
      <c r="I126">
        <f>MAX(0,ROUND(SUMIFS(m3_cv!$E:$E,m3_cv!$A:$A,$E126,m3_cv!$B:$B,$A126),0))</f>
        <v>1093</v>
      </c>
      <c r="J126">
        <f>MAX(0,ROUND(SUMIFS(m4_cv!$E:$E,m4_cv!$A:$A,$E126,m4_cv!$B:$B,$A126),0))</f>
        <v>1093</v>
      </c>
      <c r="K126">
        <f>MAX(0,ROUND(SUMIFS(m5_cv!$E:$E,m5_cv!$A:$A,$E126,m5_cv!$B:$B,$A126),0))</f>
        <v>1113</v>
      </c>
      <c r="L126">
        <f>MAX(0,ROUND(SUMIFS(m6_cv!$E:$E,m6_cv!$A:$A,$E126,m6_cv!$B:$B,$A126),0))</f>
        <v>467</v>
      </c>
      <c r="M126">
        <f>MAX(0,ROUND(SUMIFS(m7_cv!$E:$E,m7_cv!$A:$A,$E126,m7_cv!$B:$B,$A126),0))</f>
        <v>1245</v>
      </c>
      <c r="N126">
        <f>ROUND(_xlfn.XLOOKUP($D126,Charts!$W$86:$W$116,Charts!$X$86:$X$116)*$L126+_xlfn.XLOOKUP($D126,Charts!$W$86:$W$116,Charts!$Y$86:$Y$116)*$M126,0)</f>
        <v>623</v>
      </c>
      <c r="O126">
        <f>MAX(0,ROUND(SUMIFS(m8_cv!$E:$E,m8_cv!$A:$A,$E126,m8_cv!$B:$B,$A126),0))</f>
        <v>1394</v>
      </c>
    </row>
    <row r="127" spans="1:15" x14ac:dyDescent="0.25">
      <c r="A127" s="3">
        <f t="shared" si="9"/>
        <v>45783</v>
      </c>
      <c r="B127">
        <f t="shared" si="5"/>
        <v>2025</v>
      </c>
      <c r="C127">
        <f t="shared" si="6"/>
        <v>5</v>
      </c>
      <c r="D127">
        <f t="shared" si="7"/>
        <v>6</v>
      </c>
      <c r="E127" s="2">
        <f t="shared" si="8"/>
        <v>45777</v>
      </c>
      <c r="F127" s="12">
        <f>_xlfn.XLOOKUP($A127,m1_cv!$B:$B,m1_cv!$C:$C)</f>
        <v>940</v>
      </c>
      <c r="G127">
        <f>MAX(0,ROUND(SUMIFS(m1_cv!$E:$E,m1_cv!$A:$A,$E127,m1_cv!$B:$B,$A127),0))</f>
        <v>3283</v>
      </c>
      <c r="H127">
        <f>MAX(0,ROUND(SUMIFS(m2_cv!$E:$E,m2_cv!$A:$A,$E127,m2_cv!$B:$B,$A127),0))</f>
        <v>1058</v>
      </c>
      <c r="I127">
        <f>MAX(0,ROUND(SUMIFS(m3_cv!$E:$E,m3_cv!$A:$A,$E127,m3_cv!$B:$B,$A127),0))</f>
        <v>1428</v>
      </c>
      <c r="J127">
        <f>MAX(0,ROUND(SUMIFS(m4_cv!$E:$E,m4_cv!$A:$A,$E127,m4_cv!$B:$B,$A127),0))</f>
        <v>1430</v>
      </c>
      <c r="K127">
        <f>MAX(0,ROUND(SUMIFS(m5_cv!$E:$E,m5_cv!$A:$A,$E127,m5_cv!$B:$B,$A127),0))</f>
        <v>1611</v>
      </c>
      <c r="L127">
        <f>MAX(0,ROUND(SUMIFS(m6_cv!$E:$E,m6_cv!$A:$A,$E127,m6_cv!$B:$B,$A127),0))</f>
        <v>602</v>
      </c>
      <c r="M127">
        <f>MAX(0,ROUND(SUMIFS(m7_cv!$E:$E,m7_cv!$A:$A,$E127,m7_cv!$B:$B,$A127),0))</f>
        <v>1556</v>
      </c>
      <c r="N127">
        <f>ROUND(_xlfn.XLOOKUP($D127,Charts!$W$86:$W$116,Charts!$X$86:$X$116)*$L127+_xlfn.XLOOKUP($D127,Charts!$W$86:$W$116,Charts!$Y$86:$Y$116)*$M127,0)</f>
        <v>1079</v>
      </c>
      <c r="O127">
        <f>MAX(0,ROUND(SUMIFS(m8_cv!$E:$E,m8_cv!$A:$A,$E127,m8_cv!$B:$B,$A127),0))</f>
        <v>1642</v>
      </c>
    </row>
    <row r="128" spans="1:15" x14ac:dyDescent="0.25">
      <c r="A128" s="3">
        <f t="shared" si="9"/>
        <v>45784</v>
      </c>
      <c r="B128">
        <f t="shared" si="5"/>
        <v>2025</v>
      </c>
      <c r="C128">
        <f t="shared" si="6"/>
        <v>5</v>
      </c>
      <c r="D128">
        <f t="shared" si="7"/>
        <v>7</v>
      </c>
      <c r="E128" s="2">
        <f t="shared" si="8"/>
        <v>45777</v>
      </c>
      <c r="F128" s="12">
        <f>_xlfn.XLOOKUP($A128,m1_cv!$B:$B,m1_cv!$C:$C)</f>
        <v>1225</v>
      </c>
      <c r="G128">
        <f>MAX(0,ROUND(SUMIFS(m1_cv!$E:$E,m1_cv!$A:$A,$E128,m1_cv!$B:$B,$A128),0))</f>
        <v>3302</v>
      </c>
      <c r="H128">
        <f>MAX(0,ROUND(SUMIFS(m2_cv!$E:$E,m2_cv!$A:$A,$E128,m2_cv!$B:$B,$A128),0))</f>
        <v>1527</v>
      </c>
      <c r="I128">
        <f>MAX(0,ROUND(SUMIFS(m3_cv!$E:$E,m3_cv!$A:$A,$E128,m3_cv!$B:$B,$A128),0))</f>
        <v>1903</v>
      </c>
      <c r="J128">
        <f>MAX(0,ROUND(SUMIFS(m4_cv!$E:$E,m4_cv!$A:$A,$E128,m4_cv!$B:$B,$A128),0))</f>
        <v>1903</v>
      </c>
      <c r="K128">
        <f>MAX(0,ROUND(SUMIFS(m5_cv!$E:$E,m5_cv!$A:$A,$E128,m5_cv!$B:$B,$A128),0))</f>
        <v>1797</v>
      </c>
      <c r="L128">
        <f>MAX(0,ROUND(SUMIFS(m6_cv!$E:$E,m6_cv!$A:$A,$E128,m6_cv!$B:$B,$A128),0))</f>
        <v>706</v>
      </c>
      <c r="M128">
        <f>MAX(0,ROUND(SUMIFS(m7_cv!$E:$E,m7_cv!$A:$A,$E128,m7_cv!$B:$B,$A128),0))</f>
        <v>1680</v>
      </c>
      <c r="N128">
        <f>ROUND(_xlfn.XLOOKUP($D128,Charts!$W$86:$W$116,Charts!$X$86:$X$116)*$L128+_xlfn.XLOOKUP($D128,Charts!$W$86:$W$116,Charts!$Y$86:$Y$116)*$M128,0)</f>
        <v>1193</v>
      </c>
      <c r="O128">
        <f>MAX(0,ROUND(SUMIFS(m8_cv!$E:$E,m8_cv!$A:$A,$E128,m8_cv!$B:$B,$A128),0))</f>
        <v>1761</v>
      </c>
    </row>
    <row r="129" spans="1:15" x14ac:dyDescent="0.25">
      <c r="A129" s="3">
        <f t="shared" si="9"/>
        <v>45785</v>
      </c>
      <c r="B129">
        <f t="shared" si="5"/>
        <v>2025</v>
      </c>
      <c r="C129">
        <f t="shared" si="6"/>
        <v>5</v>
      </c>
      <c r="D129">
        <f t="shared" si="7"/>
        <v>8</v>
      </c>
      <c r="E129" s="2">
        <f t="shared" si="8"/>
        <v>45777</v>
      </c>
      <c r="F129" s="12">
        <f>_xlfn.XLOOKUP($A129,m1_cv!$B:$B,m1_cv!$C:$C)</f>
        <v>1538</v>
      </c>
      <c r="G129">
        <f>MAX(0,ROUND(SUMIFS(m1_cv!$E:$E,m1_cv!$A:$A,$E129,m1_cv!$B:$B,$A129),0))</f>
        <v>3284</v>
      </c>
      <c r="H129">
        <f>MAX(0,ROUND(SUMIFS(m2_cv!$E:$E,m2_cv!$A:$A,$E129,m2_cv!$B:$B,$A129),0))</f>
        <v>1847</v>
      </c>
      <c r="I129">
        <f>MAX(0,ROUND(SUMIFS(m3_cv!$E:$E,m3_cv!$A:$A,$E129,m3_cv!$B:$B,$A129),0))</f>
        <v>2131</v>
      </c>
      <c r="J129">
        <f>MAX(0,ROUND(SUMIFS(m4_cv!$E:$E,m4_cv!$A:$A,$E129,m4_cv!$B:$B,$A129),0))</f>
        <v>2131</v>
      </c>
      <c r="K129">
        <f>MAX(0,ROUND(SUMIFS(m5_cv!$E:$E,m5_cv!$A:$A,$E129,m5_cv!$B:$B,$A129),0))</f>
        <v>2381</v>
      </c>
      <c r="L129">
        <f>MAX(0,ROUND(SUMIFS(m6_cv!$E:$E,m6_cv!$A:$A,$E129,m6_cv!$B:$B,$A129),0))</f>
        <v>1565</v>
      </c>
      <c r="M129">
        <f>MAX(0,ROUND(SUMIFS(m7_cv!$E:$E,m7_cv!$A:$A,$E129,m7_cv!$B:$B,$A129),0))</f>
        <v>2337</v>
      </c>
      <c r="N129">
        <f>ROUND(_xlfn.XLOOKUP($D129,Charts!$W$86:$W$116,Charts!$X$86:$X$116)*$L129+_xlfn.XLOOKUP($D129,Charts!$W$86:$W$116,Charts!$Y$86:$Y$116)*$M129,0)</f>
        <v>1951</v>
      </c>
      <c r="O129">
        <f>MAX(0,ROUND(SUMIFS(m8_cv!$E:$E,m8_cv!$A:$A,$E129,m8_cv!$B:$B,$A129),0))</f>
        <v>3127</v>
      </c>
    </row>
    <row r="130" spans="1:15" x14ac:dyDescent="0.25">
      <c r="A130" s="3">
        <f t="shared" si="9"/>
        <v>45786</v>
      </c>
      <c r="B130">
        <f t="shared" si="5"/>
        <v>2025</v>
      </c>
      <c r="C130">
        <f t="shared" si="6"/>
        <v>5</v>
      </c>
      <c r="D130">
        <f t="shared" si="7"/>
        <v>9</v>
      </c>
      <c r="E130" s="2">
        <f t="shared" si="8"/>
        <v>45777</v>
      </c>
      <c r="F130" s="12">
        <f>_xlfn.XLOOKUP($A130,m1_cv!$B:$B,m1_cv!$C:$C)</f>
        <v>1799</v>
      </c>
      <c r="G130">
        <f>MAX(0,ROUND(SUMIFS(m1_cv!$E:$E,m1_cv!$A:$A,$E130,m1_cv!$B:$B,$A130),0))</f>
        <v>3277</v>
      </c>
      <c r="H130">
        <f>MAX(0,ROUND(SUMIFS(m2_cv!$E:$E,m2_cv!$A:$A,$E130,m2_cv!$B:$B,$A130),0))</f>
        <v>1844</v>
      </c>
      <c r="I130">
        <f>MAX(0,ROUND(SUMIFS(m3_cv!$E:$E,m3_cv!$A:$A,$E130,m3_cv!$B:$B,$A130),0))</f>
        <v>1978</v>
      </c>
      <c r="J130">
        <f>MAX(0,ROUND(SUMIFS(m4_cv!$E:$E,m4_cv!$A:$A,$E130,m4_cv!$B:$B,$A130),0))</f>
        <v>1982</v>
      </c>
      <c r="K130">
        <f>MAX(0,ROUND(SUMIFS(m5_cv!$E:$E,m5_cv!$A:$A,$E130,m5_cv!$B:$B,$A130),0))</f>
        <v>2144</v>
      </c>
      <c r="L130">
        <f>MAX(0,ROUND(SUMIFS(m6_cv!$E:$E,m6_cv!$A:$A,$E130,m6_cv!$B:$B,$A130),0))</f>
        <v>1388</v>
      </c>
      <c r="M130">
        <f>MAX(0,ROUND(SUMIFS(m7_cv!$E:$E,m7_cv!$A:$A,$E130,m7_cv!$B:$B,$A130),0))</f>
        <v>2205</v>
      </c>
      <c r="N130">
        <f>ROUND(_xlfn.XLOOKUP($D130,Charts!$W$86:$W$116,Charts!$X$86:$X$116)*$L130+_xlfn.XLOOKUP($D130,Charts!$W$86:$W$116,Charts!$Y$86:$Y$116)*$M130,0)</f>
        <v>1797</v>
      </c>
      <c r="O130">
        <f>MAX(0,ROUND(SUMIFS(m8_cv!$E:$E,m8_cv!$A:$A,$E130,m8_cv!$B:$B,$A130),0))</f>
        <v>2758</v>
      </c>
    </row>
    <row r="131" spans="1:15" x14ac:dyDescent="0.25">
      <c r="A131" s="3">
        <f t="shared" si="9"/>
        <v>45787</v>
      </c>
      <c r="B131">
        <f t="shared" ref="B131:B194" si="10">YEAR(A131)</f>
        <v>2025</v>
      </c>
      <c r="C131">
        <f t="shared" ref="C131:C194" si="11">MONTH($A131)</f>
        <v>5</v>
      </c>
      <c r="D131">
        <f t="shared" ref="D131:D194" si="12">DAY($A131)</f>
        <v>10</v>
      </c>
      <c r="E131" s="2">
        <f t="shared" ref="E131:E194" si="13">DATE($B131,$C131,1)-1</f>
        <v>45777</v>
      </c>
      <c r="F131" s="12">
        <f>_xlfn.XLOOKUP($A131,m1_cv!$B:$B,m1_cv!$C:$C)</f>
        <v>415</v>
      </c>
      <c r="G131">
        <f>MAX(0,ROUND(SUMIFS(m1_cv!$E:$E,m1_cv!$A:$A,$E131,m1_cv!$B:$B,$A131),0))</f>
        <v>1004</v>
      </c>
      <c r="H131">
        <f>MAX(0,ROUND(SUMIFS(m2_cv!$E:$E,m2_cv!$A:$A,$E131,m2_cv!$B:$B,$A131),0))</f>
        <v>0</v>
      </c>
      <c r="I131">
        <f>MAX(0,ROUND(SUMIFS(m3_cv!$E:$E,m3_cv!$A:$A,$E131,m3_cv!$B:$B,$A131),0))</f>
        <v>0</v>
      </c>
      <c r="J131">
        <f>MAX(0,ROUND(SUMIFS(m4_cv!$E:$E,m4_cv!$A:$A,$E131,m4_cv!$B:$B,$A131),0))</f>
        <v>0</v>
      </c>
      <c r="K131">
        <f>MAX(0,ROUND(SUMIFS(m5_cv!$E:$E,m5_cv!$A:$A,$E131,m5_cv!$B:$B,$A131),0))</f>
        <v>0</v>
      </c>
      <c r="L131">
        <f>MAX(0,ROUND(SUMIFS(m6_cv!$E:$E,m6_cv!$A:$A,$E131,m6_cv!$B:$B,$A131),0))</f>
        <v>213</v>
      </c>
      <c r="M131">
        <f>MAX(0,ROUND(SUMIFS(m7_cv!$E:$E,m7_cv!$A:$A,$E131,m7_cv!$B:$B,$A131),0))</f>
        <v>0</v>
      </c>
      <c r="N131">
        <f>ROUND(_xlfn.XLOOKUP($D131,Charts!$W$86:$W$116,Charts!$X$86:$X$116)*$L131+_xlfn.XLOOKUP($D131,Charts!$W$86:$W$116,Charts!$Y$86:$Y$116)*$M131,0)</f>
        <v>107</v>
      </c>
      <c r="O131">
        <f>MAX(0,ROUND(SUMIFS(m8_cv!$E:$E,m8_cv!$A:$A,$E131,m8_cv!$B:$B,$A131),0))</f>
        <v>30</v>
      </c>
    </row>
    <row r="132" spans="1:15" x14ac:dyDescent="0.25">
      <c r="A132" s="3">
        <f t="shared" ref="A132:A195" si="14">A131+1</f>
        <v>45788</v>
      </c>
      <c r="B132">
        <f t="shared" si="10"/>
        <v>2025</v>
      </c>
      <c r="C132">
        <f t="shared" si="11"/>
        <v>5</v>
      </c>
      <c r="D132">
        <f t="shared" si="12"/>
        <v>11</v>
      </c>
      <c r="E132" s="2">
        <f t="shared" si="13"/>
        <v>45777</v>
      </c>
      <c r="F132" s="12">
        <f>_xlfn.XLOOKUP($A132,m1_cv!$B:$B,m1_cv!$C:$C)</f>
        <v>169</v>
      </c>
      <c r="G132">
        <f>MAX(0,ROUND(SUMIFS(m1_cv!$E:$E,m1_cv!$A:$A,$E132,m1_cv!$B:$B,$A132),0))</f>
        <v>451</v>
      </c>
      <c r="H132">
        <f>MAX(0,ROUND(SUMIFS(m2_cv!$E:$E,m2_cv!$A:$A,$E132,m2_cv!$B:$B,$A132),0))</f>
        <v>0</v>
      </c>
      <c r="I132">
        <f>MAX(0,ROUND(SUMIFS(m3_cv!$E:$E,m3_cv!$A:$A,$E132,m3_cv!$B:$B,$A132),0))</f>
        <v>0</v>
      </c>
      <c r="J132">
        <f>MAX(0,ROUND(SUMIFS(m4_cv!$E:$E,m4_cv!$A:$A,$E132,m4_cv!$B:$B,$A132),0))</f>
        <v>0</v>
      </c>
      <c r="K132">
        <f>MAX(0,ROUND(SUMIFS(m5_cv!$E:$E,m5_cv!$A:$A,$E132,m5_cv!$B:$B,$A132),0))</f>
        <v>0</v>
      </c>
      <c r="L132">
        <f>MAX(0,ROUND(SUMIFS(m6_cv!$E:$E,m6_cv!$A:$A,$E132,m6_cv!$B:$B,$A132),0))</f>
        <v>76</v>
      </c>
      <c r="M132">
        <f>MAX(0,ROUND(SUMIFS(m7_cv!$E:$E,m7_cv!$A:$A,$E132,m7_cv!$B:$B,$A132),0))</f>
        <v>0</v>
      </c>
      <c r="N132">
        <f>ROUND(_xlfn.XLOOKUP($D132,Charts!$W$86:$W$116,Charts!$X$86:$X$116)*$L132+_xlfn.XLOOKUP($D132,Charts!$W$86:$W$116,Charts!$Y$86:$Y$116)*$M132,0)</f>
        <v>23</v>
      </c>
      <c r="O132">
        <f>MAX(0,ROUND(SUMIFS(m8_cv!$E:$E,m8_cv!$A:$A,$E132,m8_cv!$B:$B,$A132),0))</f>
        <v>0</v>
      </c>
    </row>
    <row r="133" spans="1:15" x14ac:dyDescent="0.25">
      <c r="A133" s="3">
        <f t="shared" si="14"/>
        <v>45789</v>
      </c>
      <c r="B133">
        <f t="shared" si="10"/>
        <v>2025</v>
      </c>
      <c r="C133">
        <f t="shared" si="11"/>
        <v>5</v>
      </c>
      <c r="D133">
        <f t="shared" si="12"/>
        <v>12</v>
      </c>
      <c r="E133" s="2">
        <f t="shared" si="13"/>
        <v>45777</v>
      </c>
      <c r="F133" s="12">
        <f>_xlfn.XLOOKUP($A133,m1_cv!$B:$B,m1_cv!$C:$C)</f>
        <v>185</v>
      </c>
      <c r="G133">
        <f>MAX(0,ROUND(SUMIFS(m1_cv!$E:$E,m1_cv!$A:$A,$E133,m1_cv!$B:$B,$A133),0))</f>
        <v>2714</v>
      </c>
      <c r="H133">
        <f>MAX(0,ROUND(SUMIFS(m2_cv!$E:$E,m2_cv!$A:$A,$E133,m2_cv!$B:$B,$A133),0))</f>
        <v>1466</v>
      </c>
      <c r="I133">
        <f>MAX(0,ROUND(SUMIFS(m3_cv!$E:$E,m3_cv!$A:$A,$E133,m3_cv!$B:$B,$A133),0))</f>
        <v>347</v>
      </c>
      <c r="J133">
        <f>MAX(0,ROUND(SUMIFS(m4_cv!$E:$E,m4_cv!$A:$A,$E133,m4_cv!$B:$B,$A133),0))</f>
        <v>342</v>
      </c>
      <c r="K133">
        <f>MAX(0,ROUND(SUMIFS(m5_cv!$E:$E,m5_cv!$A:$A,$E133,m5_cv!$B:$B,$A133),0))</f>
        <v>280</v>
      </c>
      <c r="L133">
        <f>MAX(0,ROUND(SUMIFS(m6_cv!$E:$E,m6_cv!$A:$A,$E133,m6_cv!$B:$B,$A133),0))</f>
        <v>121</v>
      </c>
      <c r="M133">
        <f>MAX(0,ROUND(SUMIFS(m7_cv!$E:$E,m7_cv!$A:$A,$E133,m7_cv!$B:$B,$A133),0))</f>
        <v>199</v>
      </c>
      <c r="N133">
        <f>ROUND(_xlfn.XLOOKUP($D133,Charts!$W$86:$W$116,Charts!$X$86:$X$116)*$L133+_xlfn.XLOOKUP($D133,Charts!$W$86:$W$116,Charts!$Y$86:$Y$116)*$M133,0)</f>
        <v>176</v>
      </c>
      <c r="O133">
        <f>MAX(0,ROUND(SUMIFS(m8_cv!$E:$E,m8_cv!$A:$A,$E133,m8_cv!$B:$B,$A133),0))</f>
        <v>254</v>
      </c>
    </row>
    <row r="134" spans="1:15" x14ac:dyDescent="0.25">
      <c r="A134" s="3">
        <f t="shared" si="14"/>
        <v>45790</v>
      </c>
      <c r="B134">
        <f t="shared" si="10"/>
        <v>2025</v>
      </c>
      <c r="C134">
        <f t="shared" si="11"/>
        <v>5</v>
      </c>
      <c r="D134">
        <f t="shared" si="12"/>
        <v>13</v>
      </c>
      <c r="E134" s="2">
        <f t="shared" si="13"/>
        <v>45777</v>
      </c>
      <c r="F134" s="12">
        <f>_xlfn.XLOOKUP($A134,m1_cv!$B:$B,m1_cv!$C:$C)</f>
        <v>2011</v>
      </c>
      <c r="G134">
        <f>MAX(0,ROUND(SUMIFS(m1_cv!$E:$E,m1_cv!$A:$A,$E134,m1_cv!$B:$B,$A134),0))</f>
        <v>3249</v>
      </c>
      <c r="H134">
        <f>MAX(0,ROUND(SUMIFS(m2_cv!$E:$E,m2_cv!$A:$A,$E134,m2_cv!$B:$B,$A134),0))</f>
        <v>2246</v>
      </c>
      <c r="I134">
        <f>MAX(0,ROUND(SUMIFS(m3_cv!$E:$E,m3_cv!$A:$A,$E134,m3_cv!$B:$B,$A134),0))</f>
        <v>2495</v>
      </c>
      <c r="J134">
        <f>MAX(0,ROUND(SUMIFS(m4_cv!$E:$E,m4_cv!$A:$A,$E134,m4_cv!$B:$B,$A134),0))</f>
        <v>2498</v>
      </c>
      <c r="K134">
        <f>MAX(0,ROUND(SUMIFS(m5_cv!$E:$E,m5_cv!$A:$A,$E134,m5_cv!$B:$B,$A134),0))</f>
        <v>2301</v>
      </c>
      <c r="L134">
        <f>MAX(0,ROUND(SUMIFS(m6_cv!$E:$E,m6_cv!$A:$A,$E134,m6_cv!$B:$B,$A134),0))</f>
        <v>1393</v>
      </c>
      <c r="M134">
        <f>MAX(0,ROUND(SUMIFS(m7_cv!$E:$E,m7_cv!$A:$A,$E134,m7_cv!$B:$B,$A134),0))</f>
        <v>2339</v>
      </c>
      <c r="N134">
        <f>ROUND(_xlfn.XLOOKUP($D134,Charts!$W$86:$W$116,Charts!$X$86:$X$116)*$L134+_xlfn.XLOOKUP($D134,Charts!$W$86:$W$116,Charts!$Y$86:$Y$116)*$M134,0)</f>
        <v>2055</v>
      </c>
      <c r="O134">
        <f>MAX(0,ROUND(SUMIFS(m8_cv!$E:$E,m8_cv!$A:$A,$E134,m8_cv!$B:$B,$A134),0))</f>
        <v>2418</v>
      </c>
    </row>
    <row r="135" spans="1:15" x14ac:dyDescent="0.25">
      <c r="A135" s="3">
        <f t="shared" si="14"/>
        <v>45791</v>
      </c>
      <c r="B135">
        <f t="shared" si="10"/>
        <v>2025</v>
      </c>
      <c r="C135">
        <f t="shared" si="11"/>
        <v>5</v>
      </c>
      <c r="D135">
        <f t="shared" si="12"/>
        <v>14</v>
      </c>
      <c r="E135" s="2">
        <f t="shared" si="13"/>
        <v>45777</v>
      </c>
      <c r="F135" s="12">
        <f>_xlfn.XLOOKUP($A135,m1_cv!$B:$B,m1_cv!$C:$C)</f>
        <v>2630</v>
      </c>
      <c r="G135">
        <f>MAX(0,ROUND(SUMIFS(m1_cv!$E:$E,m1_cv!$A:$A,$E135,m1_cv!$B:$B,$A135),0))</f>
        <v>3254</v>
      </c>
      <c r="H135">
        <f>MAX(0,ROUND(SUMIFS(m2_cv!$E:$E,m2_cv!$A:$A,$E135,m2_cv!$B:$B,$A135),0))</f>
        <v>2378</v>
      </c>
      <c r="I135">
        <f>MAX(0,ROUND(SUMIFS(m3_cv!$E:$E,m3_cv!$A:$A,$E135,m3_cv!$B:$B,$A135),0))</f>
        <v>2650</v>
      </c>
      <c r="J135">
        <f>MAX(0,ROUND(SUMIFS(m4_cv!$E:$E,m4_cv!$A:$A,$E135,m4_cv!$B:$B,$A135),0))</f>
        <v>2651</v>
      </c>
      <c r="K135">
        <f>MAX(0,ROUND(SUMIFS(m5_cv!$E:$E,m5_cv!$A:$A,$E135,m5_cv!$B:$B,$A135),0))</f>
        <v>2427</v>
      </c>
      <c r="L135">
        <f>MAX(0,ROUND(SUMIFS(m6_cv!$E:$E,m6_cv!$A:$A,$E135,m6_cv!$B:$B,$A135),0))</f>
        <v>1701</v>
      </c>
      <c r="M135">
        <f>MAX(0,ROUND(SUMIFS(m7_cv!$E:$E,m7_cv!$A:$A,$E135,m7_cv!$B:$B,$A135),0))</f>
        <v>2448</v>
      </c>
      <c r="N135">
        <f>ROUND(_xlfn.XLOOKUP($D135,Charts!$W$86:$W$116,Charts!$X$86:$X$116)*$L135+_xlfn.XLOOKUP($D135,Charts!$W$86:$W$116,Charts!$Y$86:$Y$116)*$M135,0)</f>
        <v>2448</v>
      </c>
      <c r="O135">
        <f>MAX(0,ROUND(SUMIFS(m8_cv!$E:$E,m8_cv!$A:$A,$E135,m8_cv!$B:$B,$A135),0))</f>
        <v>2490</v>
      </c>
    </row>
    <row r="136" spans="1:15" x14ac:dyDescent="0.25">
      <c r="A136" s="3">
        <f t="shared" si="14"/>
        <v>45792</v>
      </c>
      <c r="B136">
        <f t="shared" si="10"/>
        <v>2025</v>
      </c>
      <c r="C136">
        <f t="shared" si="11"/>
        <v>5</v>
      </c>
      <c r="D136">
        <f t="shared" si="12"/>
        <v>15</v>
      </c>
      <c r="E136" s="2">
        <f t="shared" si="13"/>
        <v>45777</v>
      </c>
      <c r="F136" s="12">
        <f>_xlfn.XLOOKUP($A136,m1_cv!$B:$B,m1_cv!$C:$C)</f>
        <v>2985</v>
      </c>
      <c r="G136">
        <f>MAX(0,ROUND(SUMIFS(m1_cv!$E:$E,m1_cv!$A:$A,$E136,m1_cv!$B:$B,$A136),0))</f>
        <v>3224</v>
      </c>
      <c r="H136">
        <f>MAX(0,ROUND(SUMIFS(m2_cv!$E:$E,m2_cv!$A:$A,$E136,m2_cv!$B:$B,$A136),0))</f>
        <v>2359</v>
      </c>
      <c r="I136">
        <f>MAX(0,ROUND(SUMIFS(m3_cv!$E:$E,m3_cv!$A:$A,$E136,m3_cv!$B:$B,$A136),0))</f>
        <v>2512</v>
      </c>
      <c r="J136">
        <f>MAX(0,ROUND(SUMIFS(m4_cv!$E:$E,m4_cv!$A:$A,$E136,m4_cv!$B:$B,$A136),0))</f>
        <v>2511</v>
      </c>
      <c r="K136">
        <f>MAX(0,ROUND(SUMIFS(m5_cv!$E:$E,m5_cv!$A:$A,$E136,m5_cv!$B:$B,$A136),0))</f>
        <v>2417</v>
      </c>
      <c r="L136">
        <f>MAX(0,ROUND(SUMIFS(m6_cv!$E:$E,m6_cv!$A:$A,$E136,m6_cv!$B:$B,$A136),0))</f>
        <v>2008</v>
      </c>
      <c r="M136">
        <f>MAX(0,ROUND(SUMIFS(m7_cv!$E:$E,m7_cv!$A:$A,$E136,m7_cv!$B:$B,$A136),0))</f>
        <v>2393</v>
      </c>
      <c r="N136">
        <f>ROUND(_xlfn.XLOOKUP($D136,Charts!$W$86:$W$116,Charts!$X$86:$X$116)*$L136+_xlfn.XLOOKUP($D136,Charts!$W$86:$W$116,Charts!$Y$86:$Y$116)*$M136,0)</f>
        <v>2393</v>
      </c>
      <c r="O136">
        <f>MAX(0,ROUND(SUMIFS(m8_cv!$E:$E,m8_cv!$A:$A,$E136,m8_cv!$B:$B,$A136),0))</f>
        <v>2456</v>
      </c>
    </row>
    <row r="137" spans="1:15" x14ac:dyDescent="0.25">
      <c r="A137" s="3">
        <f t="shared" si="14"/>
        <v>45793</v>
      </c>
      <c r="B137">
        <f t="shared" si="10"/>
        <v>2025</v>
      </c>
      <c r="C137">
        <f t="shared" si="11"/>
        <v>5</v>
      </c>
      <c r="D137">
        <f t="shared" si="12"/>
        <v>16</v>
      </c>
      <c r="E137" s="2">
        <f t="shared" si="13"/>
        <v>45777</v>
      </c>
      <c r="F137" s="12">
        <f>_xlfn.XLOOKUP($A137,m1_cv!$B:$B,m1_cv!$C:$C)</f>
        <v>3081</v>
      </c>
      <c r="G137">
        <f>MAX(0,ROUND(SUMIFS(m1_cv!$E:$E,m1_cv!$A:$A,$E137,m1_cv!$B:$B,$A137),0))</f>
        <v>3209</v>
      </c>
      <c r="H137">
        <f>MAX(0,ROUND(SUMIFS(m2_cv!$E:$E,m2_cv!$A:$A,$E137,m2_cv!$B:$B,$A137),0))</f>
        <v>2359</v>
      </c>
      <c r="I137">
        <f>MAX(0,ROUND(SUMIFS(m3_cv!$E:$E,m3_cv!$A:$A,$E137,m3_cv!$B:$B,$A137),0))</f>
        <v>2343</v>
      </c>
      <c r="J137">
        <f>MAX(0,ROUND(SUMIFS(m4_cv!$E:$E,m4_cv!$A:$A,$E137,m4_cv!$B:$B,$A137),0))</f>
        <v>2345</v>
      </c>
      <c r="K137">
        <f>MAX(0,ROUND(SUMIFS(m5_cv!$E:$E,m5_cv!$A:$A,$E137,m5_cv!$B:$B,$A137),0))</f>
        <v>2434</v>
      </c>
      <c r="L137">
        <f>MAX(0,ROUND(SUMIFS(m6_cv!$E:$E,m6_cv!$A:$A,$E137,m6_cv!$B:$B,$A137),0))</f>
        <v>1875</v>
      </c>
      <c r="M137">
        <f>MAX(0,ROUND(SUMIFS(m7_cv!$E:$E,m7_cv!$A:$A,$E137,m7_cv!$B:$B,$A137),0))</f>
        <v>2429</v>
      </c>
      <c r="N137">
        <f>ROUND(_xlfn.XLOOKUP($D137,Charts!$W$86:$W$116,Charts!$X$86:$X$116)*$L137+_xlfn.XLOOKUP($D137,Charts!$W$86:$W$116,Charts!$Y$86:$Y$116)*$M137,0)</f>
        <v>2429</v>
      </c>
      <c r="O137">
        <f>MAX(0,ROUND(SUMIFS(m8_cv!$E:$E,m8_cv!$A:$A,$E137,m8_cv!$B:$B,$A137),0))</f>
        <v>2480</v>
      </c>
    </row>
    <row r="138" spans="1:15" x14ac:dyDescent="0.25">
      <c r="A138" s="3">
        <f t="shared" si="14"/>
        <v>45794</v>
      </c>
      <c r="B138">
        <f t="shared" si="10"/>
        <v>2025</v>
      </c>
      <c r="C138">
        <f t="shared" si="11"/>
        <v>5</v>
      </c>
      <c r="D138">
        <f t="shared" si="12"/>
        <v>17</v>
      </c>
      <c r="E138" s="2">
        <f t="shared" si="13"/>
        <v>45777</v>
      </c>
      <c r="F138" s="12">
        <f>_xlfn.XLOOKUP($A138,m1_cv!$B:$B,m1_cv!$C:$C)</f>
        <v>609</v>
      </c>
      <c r="G138">
        <f>MAX(0,ROUND(SUMIFS(m1_cv!$E:$E,m1_cv!$A:$A,$E138,m1_cv!$B:$B,$A138),0))</f>
        <v>930</v>
      </c>
      <c r="H138">
        <f>MAX(0,ROUND(SUMIFS(m2_cv!$E:$E,m2_cv!$A:$A,$E138,m2_cv!$B:$B,$A138),0))</f>
        <v>254</v>
      </c>
      <c r="I138">
        <f>MAX(0,ROUND(SUMIFS(m3_cv!$E:$E,m3_cv!$A:$A,$E138,m3_cv!$B:$B,$A138),0))</f>
        <v>212</v>
      </c>
      <c r="J138">
        <f>MAX(0,ROUND(SUMIFS(m4_cv!$E:$E,m4_cv!$A:$A,$E138,m4_cv!$B:$B,$A138),0))</f>
        <v>211</v>
      </c>
      <c r="K138">
        <f>MAX(0,ROUND(SUMIFS(m5_cv!$E:$E,m5_cv!$A:$A,$E138,m5_cv!$B:$B,$A138),0))</f>
        <v>341</v>
      </c>
      <c r="L138">
        <f>MAX(0,ROUND(SUMIFS(m6_cv!$E:$E,m6_cv!$A:$A,$E138,m6_cv!$B:$B,$A138),0))</f>
        <v>320</v>
      </c>
      <c r="M138">
        <f>MAX(0,ROUND(SUMIFS(m7_cv!$E:$E,m7_cv!$A:$A,$E138,m7_cv!$B:$B,$A138),0))</f>
        <v>383</v>
      </c>
      <c r="N138">
        <f>ROUND(_xlfn.XLOOKUP($D138,Charts!$W$86:$W$116,Charts!$X$86:$X$116)*$L138+_xlfn.XLOOKUP($D138,Charts!$W$86:$W$116,Charts!$Y$86:$Y$116)*$M138,0)</f>
        <v>383</v>
      </c>
      <c r="O138">
        <f>MAX(0,ROUND(SUMIFS(m8_cv!$E:$E,m8_cv!$A:$A,$E138,m8_cv!$B:$B,$A138),0))</f>
        <v>424</v>
      </c>
    </row>
    <row r="139" spans="1:15" x14ac:dyDescent="0.25">
      <c r="A139" s="3">
        <f t="shared" si="14"/>
        <v>45795</v>
      </c>
      <c r="B139">
        <f t="shared" si="10"/>
        <v>2025</v>
      </c>
      <c r="C139">
        <f t="shared" si="11"/>
        <v>5</v>
      </c>
      <c r="D139">
        <f t="shared" si="12"/>
        <v>18</v>
      </c>
      <c r="E139" s="2">
        <f t="shared" si="13"/>
        <v>45777</v>
      </c>
      <c r="F139" s="12">
        <f>_xlfn.XLOOKUP($A139,m1_cv!$B:$B,m1_cv!$C:$C)</f>
        <v>185</v>
      </c>
      <c r="G139">
        <f>MAX(0,ROUND(SUMIFS(m1_cv!$E:$E,m1_cv!$A:$A,$E139,m1_cv!$B:$B,$A139),0))</f>
        <v>375</v>
      </c>
      <c r="H139">
        <f>MAX(0,ROUND(SUMIFS(m2_cv!$E:$E,m2_cv!$A:$A,$E139,m2_cv!$B:$B,$A139),0))</f>
        <v>0</v>
      </c>
      <c r="I139">
        <f>MAX(0,ROUND(SUMIFS(m3_cv!$E:$E,m3_cv!$A:$A,$E139,m3_cv!$B:$B,$A139),0))</f>
        <v>0</v>
      </c>
      <c r="J139">
        <f>MAX(0,ROUND(SUMIFS(m4_cv!$E:$E,m4_cv!$A:$A,$E139,m4_cv!$B:$B,$A139),0))</f>
        <v>0</v>
      </c>
      <c r="K139">
        <f>MAX(0,ROUND(SUMIFS(m5_cv!$E:$E,m5_cv!$A:$A,$E139,m5_cv!$B:$B,$A139),0))</f>
        <v>0</v>
      </c>
      <c r="L139">
        <f>MAX(0,ROUND(SUMIFS(m6_cv!$E:$E,m6_cv!$A:$A,$E139,m6_cv!$B:$B,$A139),0))</f>
        <v>129</v>
      </c>
      <c r="M139">
        <f>MAX(0,ROUND(SUMIFS(m7_cv!$E:$E,m7_cv!$A:$A,$E139,m7_cv!$B:$B,$A139),0))</f>
        <v>9</v>
      </c>
      <c r="N139">
        <f>ROUND(_xlfn.XLOOKUP($D139,Charts!$W$86:$W$116,Charts!$X$86:$X$116)*$L139+_xlfn.XLOOKUP($D139,Charts!$W$86:$W$116,Charts!$Y$86:$Y$116)*$M139,0)</f>
        <v>9</v>
      </c>
      <c r="O139">
        <f>MAX(0,ROUND(SUMIFS(m8_cv!$E:$E,m8_cv!$A:$A,$E139,m8_cv!$B:$B,$A139),0))</f>
        <v>65</v>
      </c>
    </row>
    <row r="140" spans="1:15" x14ac:dyDescent="0.25">
      <c r="A140" s="3">
        <f t="shared" si="14"/>
        <v>45796</v>
      </c>
      <c r="B140">
        <f t="shared" si="10"/>
        <v>2025</v>
      </c>
      <c r="C140">
        <f t="shared" si="11"/>
        <v>5</v>
      </c>
      <c r="D140">
        <f t="shared" si="12"/>
        <v>19</v>
      </c>
      <c r="E140" s="2">
        <f t="shared" si="13"/>
        <v>45777</v>
      </c>
      <c r="F140" s="12">
        <f>_xlfn.XLOOKUP($A140,m1_cv!$B:$B,m1_cv!$C:$C)</f>
        <v>2926</v>
      </c>
      <c r="G140">
        <f>MAX(0,ROUND(SUMIFS(m1_cv!$E:$E,m1_cv!$A:$A,$E140,m1_cv!$B:$B,$A140),0))</f>
        <v>2639</v>
      </c>
      <c r="H140">
        <f>MAX(0,ROUND(SUMIFS(m2_cv!$E:$E,m2_cv!$A:$A,$E140,m2_cv!$B:$B,$A140),0))</f>
        <v>2439</v>
      </c>
      <c r="I140">
        <f>MAX(0,ROUND(SUMIFS(m3_cv!$E:$E,m3_cv!$A:$A,$E140,m3_cv!$B:$B,$A140),0))</f>
        <v>2734</v>
      </c>
      <c r="J140">
        <f>MAX(0,ROUND(SUMIFS(m4_cv!$E:$E,m4_cv!$A:$A,$E140,m4_cv!$B:$B,$A140),0))</f>
        <v>2734</v>
      </c>
      <c r="K140">
        <f>MAX(0,ROUND(SUMIFS(m5_cv!$E:$E,m5_cv!$A:$A,$E140,m5_cv!$B:$B,$A140),0))</f>
        <v>2581</v>
      </c>
      <c r="L140">
        <f>MAX(0,ROUND(SUMIFS(m6_cv!$E:$E,m6_cv!$A:$A,$E140,m6_cv!$B:$B,$A140),0))</f>
        <v>1733</v>
      </c>
      <c r="M140">
        <f>MAX(0,ROUND(SUMIFS(m7_cv!$E:$E,m7_cv!$A:$A,$E140,m7_cv!$B:$B,$A140),0))</f>
        <v>2523</v>
      </c>
      <c r="N140">
        <f>ROUND(_xlfn.XLOOKUP($D140,Charts!$W$86:$W$116,Charts!$X$86:$X$116)*$L140+_xlfn.XLOOKUP($D140,Charts!$W$86:$W$116,Charts!$Y$86:$Y$116)*$M140,0)</f>
        <v>2523</v>
      </c>
      <c r="O140">
        <f>MAX(0,ROUND(SUMIFS(m8_cv!$E:$E,m8_cv!$A:$A,$E140,m8_cv!$B:$B,$A140),0))</f>
        <v>2584</v>
      </c>
    </row>
    <row r="141" spans="1:15" x14ac:dyDescent="0.25">
      <c r="A141" s="3">
        <f t="shared" si="14"/>
        <v>45797</v>
      </c>
      <c r="B141">
        <f t="shared" si="10"/>
        <v>2025</v>
      </c>
      <c r="C141">
        <f t="shared" si="11"/>
        <v>5</v>
      </c>
      <c r="D141">
        <f t="shared" si="12"/>
        <v>20</v>
      </c>
      <c r="E141" s="2">
        <f t="shared" si="13"/>
        <v>45777</v>
      </c>
      <c r="F141" s="12">
        <f>_xlfn.XLOOKUP($A141,m1_cv!$B:$B,m1_cv!$C:$C)</f>
        <v>3213</v>
      </c>
      <c r="G141">
        <f>MAX(0,ROUND(SUMIFS(m1_cv!$E:$E,m1_cv!$A:$A,$E141,m1_cv!$B:$B,$A141),0))</f>
        <v>3178</v>
      </c>
      <c r="H141">
        <f>MAX(0,ROUND(SUMIFS(m2_cv!$E:$E,m2_cv!$A:$A,$E141,m2_cv!$B:$B,$A141),0))</f>
        <v>2943</v>
      </c>
      <c r="I141">
        <f>MAX(0,ROUND(SUMIFS(m3_cv!$E:$E,m3_cv!$A:$A,$E141,m3_cv!$B:$B,$A141),0))</f>
        <v>3033</v>
      </c>
      <c r="J141">
        <f>MAX(0,ROUND(SUMIFS(m4_cv!$E:$E,m4_cv!$A:$A,$E141,m4_cv!$B:$B,$A141),0))</f>
        <v>3035</v>
      </c>
      <c r="K141">
        <f>MAX(0,ROUND(SUMIFS(m5_cv!$E:$E,m5_cv!$A:$A,$E141,m5_cv!$B:$B,$A141),0))</f>
        <v>2922</v>
      </c>
      <c r="L141">
        <f>MAX(0,ROUND(SUMIFS(m6_cv!$E:$E,m6_cv!$A:$A,$E141,m6_cv!$B:$B,$A141),0))</f>
        <v>2382</v>
      </c>
      <c r="M141">
        <f>MAX(0,ROUND(SUMIFS(m7_cv!$E:$E,m7_cv!$A:$A,$E141,m7_cv!$B:$B,$A141),0))</f>
        <v>2897</v>
      </c>
      <c r="N141">
        <f>ROUND(_xlfn.XLOOKUP($D141,Charts!$W$86:$W$116,Charts!$X$86:$X$116)*$L141+_xlfn.XLOOKUP($D141,Charts!$W$86:$W$116,Charts!$Y$86:$Y$116)*$M141,0)</f>
        <v>2897</v>
      </c>
      <c r="O141">
        <f>MAX(0,ROUND(SUMIFS(m8_cv!$E:$E,m8_cv!$A:$A,$E141,m8_cv!$B:$B,$A141),0))</f>
        <v>2952</v>
      </c>
    </row>
    <row r="142" spans="1:15" x14ac:dyDescent="0.25">
      <c r="A142" s="3">
        <f t="shared" si="14"/>
        <v>45798</v>
      </c>
      <c r="B142">
        <f t="shared" si="10"/>
        <v>2025</v>
      </c>
      <c r="C142">
        <f t="shared" si="11"/>
        <v>5</v>
      </c>
      <c r="D142">
        <f t="shared" si="12"/>
        <v>21</v>
      </c>
      <c r="E142" s="2">
        <f t="shared" si="13"/>
        <v>45777</v>
      </c>
      <c r="F142" s="12">
        <f>_xlfn.XLOOKUP($A142,m1_cv!$B:$B,m1_cv!$C:$C)</f>
        <v>3566</v>
      </c>
      <c r="G142">
        <f>MAX(0,ROUND(SUMIFS(m1_cv!$E:$E,m1_cv!$A:$A,$E142,m1_cv!$B:$B,$A142),0))</f>
        <v>3190</v>
      </c>
      <c r="H142">
        <f>MAX(0,ROUND(SUMIFS(m2_cv!$E:$E,m2_cv!$A:$A,$E142,m2_cv!$B:$B,$A142),0))</f>
        <v>2883</v>
      </c>
      <c r="I142">
        <f>MAX(0,ROUND(SUMIFS(m3_cv!$E:$E,m3_cv!$A:$A,$E142,m3_cv!$B:$B,$A142),0))</f>
        <v>2953</v>
      </c>
      <c r="J142">
        <f>MAX(0,ROUND(SUMIFS(m4_cv!$E:$E,m4_cv!$A:$A,$E142,m4_cv!$B:$B,$A142),0))</f>
        <v>2954</v>
      </c>
      <c r="K142">
        <f>MAX(0,ROUND(SUMIFS(m5_cv!$E:$E,m5_cv!$A:$A,$E142,m5_cv!$B:$B,$A142),0))</f>
        <v>2983</v>
      </c>
      <c r="L142">
        <f>MAX(0,ROUND(SUMIFS(m6_cv!$E:$E,m6_cv!$A:$A,$E142,m6_cv!$B:$B,$A142),0))</f>
        <v>2637</v>
      </c>
      <c r="M142">
        <f>MAX(0,ROUND(SUMIFS(m7_cv!$E:$E,m7_cv!$A:$A,$E142,m7_cv!$B:$B,$A142),0))</f>
        <v>3070</v>
      </c>
      <c r="N142">
        <f>ROUND(_xlfn.XLOOKUP($D142,Charts!$W$86:$W$116,Charts!$X$86:$X$116)*$L142+_xlfn.XLOOKUP($D142,Charts!$W$86:$W$116,Charts!$Y$86:$Y$116)*$M142,0)</f>
        <v>3070</v>
      </c>
      <c r="O142">
        <f>MAX(0,ROUND(SUMIFS(m8_cv!$E:$E,m8_cv!$A:$A,$E142,m8_cv!$B:$B,$A142),0))</f>
        <v>3108</v>
      </c>
    </row>
    <row r="143" spans="1:15" x14ac:dyDescent="0.25">
      <c r="A143" s="3">
        <f t="shared" si="14"/>
        <v>45799</v>
      </c>
      <c r="B143">
        <f t="shared" si="10"/>
        <v>2025</v>
      </c>
      <c r="C143">
        <f t="shared" si="11"/>
        <v>5</v>
      </c>
      <c r="D143">
        <f t="shared" si="12"/>
        <v>22</v>
      </c>
      <c r="E143" s="2">
        <f t="shared" si="13"/>
        <v>45777</v>
      </c>
      <c r="F143" s="12">
        <f>_xlfn.XLOOKUP($A143,m1_cv!$B:$B,m1_cv!$C:$C)</f>
        <v>3706</v>
      </c>
      <c r="G143">
        <f>MAX(0,ROUND(SUMIFS(m1_cv!$E:$E,m1_cv!$A:$A,$E143,m1_cv!$B:$B,$A143),0))</f>
        <v>3171</v>
      </c>
      <c r="H143">
        <f>MAX(0,ROUND(SUMIFS(m2_cv!$E:$E,m2_cv!$A:$A,$E143,m2_cv!$B:$B,$A143),0))</f>
        <v>2965</v>
      </c>
      <c r="I143">
        <f>MAX(0,ROUND(SUMIFS(m3_cv!$E:$E,m3_cv!$A:$A,$E143,m3_cv!$B:$B,$A143),0))</f>
        <v>2919</v>
      </c>
      <c r="J143">
        <f>MAX(0,ROUND(SUMIFS(m4_cv!$E:$E,m4_cv!$A:$A,$E143,m4_cv!$B:$B,$A143),0))</f>
        <v>2918</v>
      </c>
      <c r="K143">
        <f>MAX(0,ROUND(SUMIFS(m5_cv!$E:$E,m5_cv!$A:$A,$E143,m5_cv!$B:$B,$A143),0))</f>
        <v>3042</v>
      </c>
      <c r="L143">
        <f>MAX(0,ROUND(SUMIFS(m6_cv!$E:$E,m6_cv!$A:$A,$E143,m6_cv!$B:$B,$A143),0))</f>
        <v>2886</v>
      </c>
      <c r="M143">
        <f>MAX(0,ROUND(SUMIFS(m7_cv!$E:$E,m7_cv!$A:$A,$E143,m7_cv!$B:$B,$A143),0))</f>
        <v>3091</v>
      </c>
      <c r="N143">
        <f>ROUND(_xlfn.XLOOKUP($D143,Charts!$W$86:$W$116,Charts!$X$86:$X$116)*$L143+_xlfn.XLOOKUP($D143,Charts!$W$86:$W$116,Charts!$Y$86:$Y$116)*$M143,0)</f>
        <v>3091</v>
      </c>
      <c r="O143">
        <f>MAX(0,ROUND(SUMIFS(m8_cv!$E:$E,m8_cv!$A:$A,$E143,m8_cv!$B:$B,$A143),0))</f>
        <v>3139</v>
      </c>
    </row>
    <row r="144" spans="1:15" x14ac:dyDescent="0.25">
      <c r="A144" s="3">
        <f t="shared" si="14"/>
        <v>45800</v>
      </c>
      <c r="B144">
        <f t="shared" si="10"/>
        <v>2025</v>
      </c>
      <c r="C144">
        <f t="shared" si="11"/>
        <v>5</v>
      </c>
      <c r="D144">
        <f t="shared" si="12"/>
        <v>23</v>
      </c>
      <c r="E144" s="2">
        <f t="shared" si="13"/>
        <v>45777</v>
      </c>
      <c r="F144" s="12">
        <f>_xlfn.XLOOKUP($A144,m1_cv!$B:$B,m1_cv!$C:$C)</f>
        <v>3920</v>
      </c>
      <c r="G144">
        <f>MAX(0,ROUND(SUMIFS(m1_cv!$E:$E,m1_cv!$A:$A,$E144,m1_cv!$B:$B,$A144),0))</f>
        <v>3169</v>
      </c>
      <c r="H144">
        <f>MAX(0,ROUND(SUMIFS(m2_cv!$E:$E,m2_cv!$A:$A,$E144,m2_cv!$B:$B,$A144),0))</f>
        <v>3262</v>
      </c>
      <c r="I144">
        <f>MAX(0,ROUND(SUMIFS(m3_cv!$E:$E,m3_cv!$A:$A,$E144,m3_cv!$B:$B,$A144),0))</f>
        <v>3109</v>
      </c>
      <c r="J144">
        <f>MAX(0,ROUND(SUMIFS(m4_cv!$E:$E,m4_cv!$A:$A,$E144,m4_cv!$B:$B,$A144),0))</f>
        <v>3111</v>
      </c>
      <c r="K144">
        <f>MAX(0,ROUND(SUMIFS(m5_cv!$E:$E,m5_cv!$A:$A,$E144,m5_cv!$B:$B,$A144),0))</f>
        <v>3200</v>
      </c>
      <c r="L144">
        <f>MAX(0,ROUND(SUMIFS(m6_cv!$E:$E,m6_cv!$A:$A,$E144,m6_cv!$B:$B,$A144),0))</f>
        <v>2701</v>
      </c>
      <c r="M144">
        <f>MAX(0,ROUND(SUMIFS(m7_cv!$E:$E,m7_cv!$A:$A,$E144,m7_cv!$B:$B,$A144),0))</f>
        <v>3131</v>
      </c>
      <c r="N144">
        <f>ROUND(_xlfn.XLOOKUP($D144,Charts!$W$86:$W$116,Charts!$X$86:$X$116)*$L144+_xlfn.XLOOKUP($D144,Charts!$W$86:$W$116,Charts!$Y$86:$Y$116)*$M144,0)</f>
        <v>3131</v>
      </c>
      <c r="O144">
        <f>MAX(0,ROUND(SUMIFS(m8_cv!$E:$E,m8_cv!$A:$A,$E144,m8_cv!$B:$B,$A144),0))</f>
        <v>3161</v>
      </c>
    </row>
    <row r="145" spans="1:15" x14ac:dyDescent="0.25">
      <c r="A145" s="3">
        <f t="shared" si="14"/>
        <v>45801</v>
      </c>
      <c r="B145">
        <f t="shared" si="10"/>
        <v>2025</v>
      </c>
      <c r="C145">
        <f t="shared" si="11"/>
        <v>5</v>
      </c>
      <c r="D145">
        <f t="shared" si="12"/>
        <v>24</v>
      </c>
      <c r="E145" s="2">
        <f t="shared" si="13"/>
        <v>45777</v>
      </c>
      <c r="F145" s="12">
        <f>_xlfn.XLOOKUP($A145,m1_cv!$B:$B,m1_cv!$C:$C)</f>
        <v>857</v>
      </c>
      <c r="G145">
        <f>MAX(0,ROUND(SUMIFS(m1_cv!$E:$E,m1_cv!$A:$A,$E145,m1_cv!$B:$B,$A145),0))</f>
        <v>906</v>
      </c>
      <c r="H145">
        <f>MAX(0,ROUND(SUMIFS(m2_cv!$E:$E,m2_cv!$A:$A,$E145,m2_cv!$B:$B,$A145),0))</f>
        <v>1345</v>
      </c>
      <c r="I145">
        <f>MAX(0,ROUND(SUMIFS(m3_cv!$E:$E,m3_cv!$A:$A,$E145,m3_cv!$B:$B,$A145),0))</f>
        <v>1254</v>
      </c>
      <c r="J145">
        <f>MAX(0,ROUND(SUMIFS(m4_cv!$E:$E,m4_cv!$A:$A,$E145,m4_cv!$B:$B,$A145),0))</f>
        <v>1253</v>
      </c>
      <c r="K145">
        <f>MAX(0,ROUND(SUMIFS(m5_cv!$E:$E,m5_cv!$A:$A,$E145,m5_cv!$B:$B,$A145),0))</f>
        <v>1192</v>
      </c>
      <c r="L145">
        <f>MAX(0,ROUND(SUMIFS(m6_cv!$E:$E,m6_cv!$A:$A,$E145,m6_cv!$B:$B,$A145),0))</f>
        <v>492</v>
      </c>
      <c r="M145">
        <f>MAX(0,ROUND(SUMIFS(m7_cv!$E:$E,m7_cv!$A:$A,$E145,m7_cv!$B:$B,$A145),0))</f>
        <v>1145</v>
      </c>
      <c r="N145">
        <f>ROUND(_xlfn.XLOOKUP($D145,Charts!$W$86:$W$116,Charts!$X$86:$X$116)*$L145+_xlfn.XLOOKUP($D145,Charts!$W$86:$W$116,Charts!$Y$86:$Y$116)*$M145,0)</f>
        <v>492</v>
      </c>
      <c r="O145">
        <f>MAX(0,ROUND(SUMIFS(m8_cv!$E:$E,m8_cv!$A:$A,$E145,m8_cv!$B:$B,$A145),0))</f>
        <v>1191</v>
      </c>
    </row>
    <row r="146" spans="1:15" x14ac:dyDescent="0.25">
      <c r="A146" s="3">
        <f t="shared" si="14"/>
        <v>45802</v>
      </c>
      <c r="B146">
        <f t="shared" si="10"/>
        <v>2025</v>
      </c>
      <c r="C146">
        <f t="shared" si="11"/>
        <v>5</v>
      </c>
      <c r="D146">
        <f t="shared" si="12"/>
        <v>25</v>
      </c>
      <c r="E146" s="2">
        <f t="shared" si="13"/>
        <v>45777</v>
      </c>
      <c r="F146" s="12">
        <f>_xlfn.XLOOKUP($A146,m1_cv!$B:$B,m1_cv!$C:$C)</f>
        <v>215</v>
      </c>
      <c r="G146">
        <f>MAX(0,ROUND(SUMIFS(m1_cv!$E:$E,m1_cv!$A:$A,$E146,m1_cv!$B:$B,$A146),0))</f>
        <v>368</v>
      </c>
      <c r="H146">
        <f>MAX(0,ROUND(SUMIFS(m2_cv!$E:$E,m2_cv!$A:$A,$E146,m2_cv!$B:$B,$A146),0))</f>
        <v>962</v>
      </c>
      <c r="I146">
        <f>MAX(0,ROUND(SUMIFS(m3_cv!$E:$E,m3_cv!$A:$A,$E146,m3_cv!$B:$B,$A146),0))</f>
        <v>987</v>
      </c>
      <c r="J146">
        <f>MAX(0,ROUND(SUMIFS(m4_cv!$E:$E,m4_cv!$A:$A,$E146,m4_cv!$B:$B,$A146),0))</f>
        <v>985</v>
      </c>
      <c r="K146">
        <f>MAX(0,ROUND(SUMIFS(m5_cv!$E:$E,m5_cv!$A:$A,$E146,m5_cv!$B:$B,$A146),0))</f>
        <v>816</v>
      </c>
      <c r="L146">
        <f>MAX(0,ROUND(SUMIFS(m6_cv!$E:$E,m6_cv!$A:$A,$E146,m6_cv!$B:$B,$A146),0))</f>
        <v>209</v>
      </c>
      <c r="M146">
        <f>MAX(0,ROUND(SUMIFS(m7_cv!$E:$E,m7_cv!$A:$A,$E146,m7_cv!$B:$B,$A146),0))</f>
        <v>819</v>
      </c>
      <c r="N146">
        <f>ROUND(_xlfn.XLOOKUP($D146,Charts!$W$86:$W$116,Charts!$X$86:$X$116)*$L146+_xlfn.XLOOKUP($D146,Charts!$W$86:$W$116,Charts!$Y$86:$Y$116)*$M146,0)</f>
        <v>209</v>
      </c>
      <c r="O146">
        <f>MAX(0,ROUND(SUMIFS(m8_cv!$E:$E,m8_cv!$A:$A,$E146,m8_cv!$B:$B,$A146),0))</f>
        <v>886</v>
      </c>
    </row>
    <row r="147" spans="1:15" x14ac:dyDescent="0.25">
      <c r="A147" s="3">
        <f t="shared" si="14"/>
        <v>45803</v>
      </c>
      <c r="B147">
        <f t="shared" si="10"/>
        <v>2025</v>
      </c>
      <c r="C147">
        <f t="shared" si="11"/>
        <v>5</v>
      </c>
      <c r="D147">
        <f t="shared" si="12"/>
        <v>26</v>
      </c>
      <c r="E147" s="2">
        <f t="shared" si="13"/>
        <v>45777</v>
      </c>
      <c r="F147" s="12">
        <f>_xlfn.XLOOKUP($A147,m1_cv!$B:$B,m1_cv!$C:$C)</f>
        <v>4297</v>
      </c>
      <c r="G147">
        <f>MAX(0,ROUND(SUMIFS(m1_cv!$E:$E,m1_cv!$A:$A,$E147,m1_cv!$B:$B,$A147),0))</f>
        <v>2650</v>
      </c>
      <c r="H147">
        <f>MAX(0,ROUND(SUMIFS(m2_cv!$E:$E,m2_cv!$A:$A,$E147,m2_cv!$B:$B,$A147),0))</f>
        <v>3174</v>
      </c>
      <c r="I147">
        <f>MAX(0,ROUND(SUMIFS(m3_cv!$E:$E,m3_cv!$A:$A,$E147,m3_cv!$B:$B,$A147),0))</f>
        <v>3492</v>
      </c>
      <c r="J147">
        <f>MAX(0,ROUND(SUMIFS(m4_cv!$E:$E,m4_cv!$A:$A,$E147,m4_cv!$B:$B,$A147),0))</f>
        <v>3488</v>
      </c>
      <c r="K147">
        <f>MAX(0,ROUND(SUMIFS(m5_cv!$E:$E,m5_cv!$A:$A,$E147,m5_cv!$B:$B,$A147),0))</f>
        <v>3332</v>
      </c>
      <c r="L147">
        <f>MAX(0,ROUND(SUMIFS(m6_cv!$E:$E,m6_cv!$A:$A,$E147,m6_cv!$B:$B,$A147),0))</f>
        <v>2732</v>
      </c>
      <c r="M147">
        <f>MAX(0,ROUND(SUMIFS(m7_cv!$E:$E,m7_cv!$A:$A,$E147,m7_cv!$B:$B,$A147),0))</f>
        <v>3376</v>
      </c>
      <c r="N147">
        <f>ROUND(_xlfn.XLOOKUP($D147,Charts!$W$86:$W$116,Charts!$X$86:$X$116)*$L147+_xlfn.XLOOKUP($D147,Charts!$W$86:$W$116,Charts!$Y$86:$Y$116)*$M147,0)</f>
        <v>2732</v>
      </c>
      <c r="O147">
        <f>MAX(0,ROUND(SUMIFS(m8_cv!$E:$E,m8_cv!$A:$A,$E147,m8_cv!$B:$B,$A147),0))</f>
        <v>3437</v>
      </c>
    </row>
    <row r="148" spans="1:15" x14ac:dyDescent="0.25">
      <c r="A148" s="3">
        <f t="shared" si="14"/>
        <v>45804</v>
      </c>
      <c r="B148">
        <f t="shared" si="10"/>
        <v>2025</v>
      </c>
      <c r="C148">
        <f t="shared" si="11"/>
        <v>5</v>
      </c>
      <c r="D148">
        <f t="shared" si="12"/>
        <v>27</v>
      </c>
      <c r="E148" s="2">
        <f t="shared" si="13"/>
        <v>45777</v>
      </c>
      <c r="F148" s="12">
        <f>_xlfn.XLOOKUP($A148,m1_cv!$B:$B,m1_cv!$C:$C)</f>
        <v>5188</v>
      </c>
      <c r="G148">
        <f>MAX(0,ROUND(SUMIFS(m1_cv!$E:$E,m1_cv!$A:$A,$E148,m1_cv!$B:$B,$A148),0))</f>
        <v>3210</v>
      </c>
      <c r="H148">
        <f>MAX(0,ROUND(SUMIFS(m2_cv!$E:$E,m2_cv!$A:$A,$E148,m2_cv!$B:$B,$A148),0))</f>
        <v>3694</v>
      </c>
      <c r="I148">
        <f>MAX(0,ROUND(SUMIFS(m3_cv!$E:$E,m3_cv!$A:$A,$E148,m3_cv!$B:$B,$A148),0))</f>
        <v>3790</v>
      </c>
      <c r="J148">
        <f>MAX(0,ROUND(SUMIFS(m4_cv!$E:$E,m4_cv!$A:$A,$E148,m4_cv!$B:$B,$A148),0))</f>
        <v>3788</v>
      </c>
      <c r="K148">
        <f>MAX(0,ROUND(SUMIFS(m5_cv!$E:$E,m5_cv!$A:$A,$E148,m5_cv!$B:$B,$A148),0))</f>
        <v>4927</v>
      </c>
      <c r="L148">
        <f>MAX(0,ROUND(SUMIFS(m6_cv!$E:$E,m6_cv!$A:$A,$E148,m6_cv!$B:$B,$A148),0))</f>
        <v>6693</v>
      </c>
      <c r="M148">
        <f>MAX(0,ROUND(SUMIFS(m7_cv!$E:$E,m7_cv!$A:$A,$E148,m7_cv!$B:$B,$A148),0))</f>
        <v>5129</v>
      </c>
      <c r="N148">
        <f>ROUND(_xlfn.XLOOKUP($D148,Charts!$W$86:$W$116,Charts!$X$86:$X$116)*$L148+_xlfn.XLOOKUP($D148,Charts!$W$86:$W$116,Charts!$Y$86:$Y$116)*$M148,0)</f>
        <v>6693</v>
      </c>
      <c r="O148">
        <f>MAX(0,ROUND(SUMIFS(m8_cv!$E:$E,m8_cv!$A:$A,$E148,m8_cv!$B:$B,$A148),0))</f>
        <v>4686</v>
      </c>
    </row>
    <row r="149" spans="1:15" x14ac:dyDescent="0.25">
      <c r="A149" s="3">
        <f t="shared" si="14"/>
        <v>45805</v>
      </c>
      <c r="B149">
        <f t="shared" si="10"/>
        <v>2025</v>
      </c>
      <c r="C149">
        <f t="shared" si="11"/>
        <v>5</v>
      </c>
      <c r="D149">
        <f t="shared" si="12"/>
        <v>28</v>
      </c>
      <c r="E149" s="2">
        <f t="shared" si="13"/>
        <v>45777</v>
      </c>
      <c r="F149" s="12">
        <f>_xlfn.XLOOKUP($A149,m1_cv!$B:$B,m1_cv!$C:$C)</f>
        <v>5701</v>
      </c>
      <c r="G149">
        <f>MAX(0,ROUND(SUMIFS(m1_cv!$E:$E,m1_cv!$A:$A,$E149,m1_cv!$B:$B,$A149),0))</f>
        <v>3242</v>
      </c>
      <c r="H149">
        <f>MAX(0,ROUND(SUMIFS(m2_cv!$E:$E,m2_cv!$A:$A,$E149,m2_cv!$B:$B,$A149),0))</f>
        <v>4194</v>
      </c>
      <c r="I149">
        <f>MAX(0,ROUND(SUMIFS(m3_cv!$E:$E,m3_cv!$A:$A,$E149,m3_cv!$B:$B,$A149),0))</f>
        <v>4271</v>
      </c>
      <c r="J149">
        <f>MAX(0,ROUND(SUMIFS(m4_cv!$E:$E,m4_cv!$A:$A,$E149,m4_cv!$B:$B,$A149),0))</f>
        <v>4267</v>
      </c>
      <c r="K149">
        <f>MAX(0,ROUND(SUMIFS(m5_cv!$E:$E,m5_cv!$A:$A,$E149,m5_cv!$B:$B,$A149),0))</f>
        <v>5101</v>
      </c>
      <c r="L149">
        <f>MAX(0,ROUND(SUMIFS(m6_cv!$E:$E,m6_cv!$A:$A,$E149,m6_cv!$B:$B,$A149),0))</f>
        <v>6510</v>
      </c>
      <c r="M149">
        <f>MAX(0,ROUND(SUMIFS(m7_cv!$E:$E,m7_cv!$A:$A,$E149,m7_cv!$B:$B,$A149),0))</f>
        <v>5114</v>
      </c>
      <c r="N149">
        <f>ROUND(_xlfn.XLOOKUP($D149,Charts!$W$86:$W$116,Charts!$X$86:$X$116)*$L149+_xlfn.XLOOKUP($D149,Charts!$W$86:$W$116,Charts!$Y$86:$Y$116)*$M149,0)</f>
        <v>6510</v>
      </c>
      <c r="O149">
        <f>MAX(0,ROUND(SUMIFS(m8_cv!$E:$E,m8_cv!$A:$A,$E149,m8_cv!$B:$B,$A149),0))</f>
        <v>4915</v>
      </c>
    </row>
    <row r="150" spans="1:15" x14ac:dyDescent="0.25">
      <c r="A150" s="3">
        <f t="shared" si="14"/>
        <v>45806</v>
      </c>
      <c r="B150">
        <f t="shared" si="10"/>
        <v>2025</v>
      </c>
      <c r="C150">
        <f t="shared" si="11"/>
        <v>5</v>
      </c>
      <c r="D150">
        <f t="shared" si="12"/>
        <v>29</v>
      </c>
      <c r="E150" s="2">
        <f t="shared" si="13"/>
        <v>45777</v>
      </c>
      <c r="F150" s="12">
        <f>_xlfn.XLOOKUP($A150,m1_cv!$B:$B,m1_cv!$C:$C)</f>
        <v>8103</v>
      </c>
      <c r="G150">
        <f>MAX(0,ROUND(SUMIFS(m1_cv!$E:$E,m1_cv!$A:$A,$E150,m1_cv!$B:$B,$A150),0))</f>
        <v>3242</v>
      </c>
      <c r="H150">
        <f>MAX(0,ROUND(SUMIFS(m2_cv!$E:$E,m2_cv!$A:$A,$E150,m2_cv!$B:$B,$A150),0))</f>
        <v>5238</v>
      </c>
      <c r="I150">
        <f>MAX(0,ROUND(SUMIFS(m3_cv!$E:$E,m3_cv!$A:$A,$E150,m3_cv!$B:$B,$A150),0))</f>
        <v>5240</v>
      </c>
      <c r="J150">
        <f>MAX(0,ROUND(SUMIFS(m4_cv!$E:$E,m4_cv!$A:$A,$E150,m4_cv!$B:$B,$A150),0))</f>
        <v>5236</v>
      </c>
      <c r="K150">
        <f>MAX(0,ROUND(SUMIFS(m5_cv!$E:$E,m5_cv!$A:$A,$E150,m5_cv!$B:$B,$A150),0))</f>
        <v>5261</v>
      </c>
      <c r="L150">
        <f>MAX(0,ROUND(SUMIFS(m6_cv!$E:$E,m6_cv!$A:$A,$E150,m6_cv!$B:$B,$A150),0))</f>
        <v>6375</v>
      </c>
      <c r="M150">
        <f>MAX(0,ROUND(SUMIFS(m7_cv!$E:$E,m7_cv!$A:$A,$E150,m7_cv!$B:$B,$A150),0))</f>
        <v>5064</v>
      </c>
      <c r="N150">
        <f>ROUND(_xlfn.XLOOKUP($D150,Charts!$W$86:$W$116,Charts!$X$86:$X$116)*$L150+_xlfn.XLOOKUP($D150,Charts!$W$86:$W$116,Charts!$Y$86:$Y$116)*$M150,0)</f>
        <v>5064</v>
      </c>
      <c r="O150">
        <f>MAX(0,ROUND(SUMIFS(m8_cv!$E:$E,m8_cv!$A:$A,$E150,m8_cv!$B:$B,$A150),0))</f>
        <v>5087</v>
      </c>
    </row>
    <row r="151" spans="1:15" x14ac:dyDescent="0.25">
      <c r="A151" s="3">
        <f t="shared" si="14"/>
        <v>45807</v>
      </c>
      <c r="B151">
        <f t="shared" si="10"/>
        <v>2025</v>
      </c>
      <c r="C151">
        <f t="shared" si="11"/>
        <v>5</v>
      </c>
      <c r="D151">
        <f t="shared" si="12"/>
        <v>30</v>
      </c>
      <c r="E151" s="2">
        <f t="shared" si="13"/>
        <v>45777</v>
      </c>
      <c r="F151" s="12">
        <f>_xlfn.XLOOKUP($A151,m1_cv!$B:$B,m1_cv!$C:$C)</f>
        <v>8920</v>
      </c>
      <c r="G151">
        <f>MAX(0,ROUND(SUMIFS(m1_cv!$E:$E,m1_cv!$A:$A,$E151,m1_cv!$B:$B,$A151),0))</f>
        <v>3258</v>
      </c>
      <c r="H151">
        <f>MAX(0,ROUND(SUMIFS(m2_cv!$E:$E,m2_cv!$A:$A,$E151,m2_cv!$B:$B,$A151),0))</f>
        <v>6370</v>
      </c>
      <c r="I151">
        <f>MAX(0,ROUND(SUMIFS(m3_cv!$E:$E,m3_cv!$A:$A,$E151,m3_cv!$B:$B,$A151),0))</f>
        <v>6321</v>
      </c>
      <c r="J151">
        <f>MAX(0,ROUND(SUMIFS(m4_cv!$E:$E,m4_cv!$A:$A,$E151,m4_cv!$B:$B,$A151),0))</f>
        <v>6323</v>
      </c>
      <c r="K151">
        <f>MAX(0,ROUND(SUMIFS(m5_cv!$E:$E,m5_cv!$A:$A,$E151,m5_cv!$B:$B,$A151),0))</f>
        <v>7531</v>
      </c>
      <c r="L151">
        <f>MAX(0,ROUND(SUMIFS(m6_cv!$E:$E,m6_cv!$A:$A,$E151,m6_cv!$B:$B,$A151),0))</f>
        <v>9975</v>
      </c>
      <c r="M151">
        <f>MAX(0,ROUND(SUMIFS(m7_cv!$E:$E,m7_cv!$A:$A,$E151,m7_cv!$B:$B,$A151),0))</f>
        <v>7483</v>
      </c>
      <c r="N151">
        <f>ROUND(_xlfn.XLOOKUP($D151,Charts!$W$86:$W$116,Charts!$X$86:$X$116)*$L151+_xlfn.XLOOKUP($D151,Charts!$W$86:$W$116,Charts!$Y$86:$Y$116)*$M151,0)</f>
        <v>7483</v>
      </c>
      <c r="O151">
        <f>MAX(0,ROUND(SUMIFS(m8_cv!$E:$E,m8_cv!$A:$A,$E151,m8_cv!$B:$B,$A151),0))</f>
        <v>7350</v>
      </c>
    </row>
    <row r="152" spans="1:15" x14ac:dyDescent="0.25">
      <c r="A152" s="3">
        <f t="shared" si="14"/>
        <v>45808</v>
      </c>
      <c r="B152">
        <f t="shared" si="10"/>
        <v>2025</v>
      </c>
      <c r="C152">
        <f t="shared" si="11"/>
        <v>5</v>
      </c>
      <c r="D152">
        <f t="shared" si="12"/>
        <v>31</v>
      </c>
      <c r="E152" s="2">
        <f t="shared" si="13"/>
        <v>45777</v>
      </c>
      <c r="F152" s="12">
        <f>_xlfn.XLOOKUP($A152,m1_cv!$B:$B,m1_cv!$C:$C)</f>
        <v>4108</v>
      </c>
      <c r="G152">
        <f>MAX(0,ROUND(SUMIFS(m1_cv!$E:$E,m1_cv!$A:$A,$E152,m1_cv!$B:$B,$A152),0))</f>
        <v>1012</v>
      </c>
      <c r="H152">
        <f>MAX(0,ROUND(SUMIFS(m2_cv!$E:$E,m2_cv!$A:$A,$E152,m2_cv!$B:$B,$A152),0))</f>
        <v>4595</v>
      </c>
      <c r="I152">
        <f>MAX(0,ROUND(SUMIFS(m3_cv!$E:$E,m3_cv!$A:$A,$E152,m3_cv!$B:$B,$A152),0))</f>
        <v>4634</v>
      </c>
      <c r="J152">
        <f>MAX(0,ROUND(SUMIFS(m4_cv!$E:$E,m4_cv!$A:$A,$E152,m4_cv!$B:$B,$A152),0))</f>
        <v>4635</v>
      </c>
      <c r="K152">
        <f>MAX(0,ROUND(SUMIFS(m5_cv!$E:$E,m5_cv!$A:$A,$E152,m5_cv!$B:$B,$A152),0))</f>
        <v>7404</v>
      </c>
      <c r="L152">
        <f>MAX(0,ROUND(SUMIFS(m6_cv!$E:$E,m6_cv!$A:$A,$E152,m6_cv!$B:$B,$A152),0))</f>
        <v>2317</v>
      </c>
      <c r="M152">
        <f>MAX(0,ROUND(SUMIFS(m7_cv!$E:$E,m7_cv!$A:$A,$E152,m7_cv!$B:$B,$A152),0))</f>
        <v>7814</v>
      </c>
      <c r="N152">
        <f>ROUND(_xlfn.XLOOKUP($D152,Charts!$W$86:$W$116,Charts!$X$86:$X$116)*$L152+_xlfn.XLOOKUP($D152,Charts!$W$86:$W$116,Charts!$Y$86:$Y$116)*$M152,0)</f>
        <v>7814</v>
      </c>
      <c r="O152">
        <f>MAX(0,ROUND(SUMIFS(m8_cv!$E:$E,m8_cv!$A:$A,$E152,m8_cv!$B:$B,$A152),0))</f>
        <v>7684</v>
      </c>
    </row>
    <row r="153" spans="1:15" x14ac:dyDescent="0.25">
      <c r="A153" s="3">
        <f t="shared" si="14"/>
        <v>45809</v>
      </c>
      <c r="B153">
        <f t="shared" si="10"/>
        <v>2025</v>
      </c>
      <c r="C153">
        <f t="shared" si="11"/>
        <v>6</v>
      </c>
      <c r="D153">
        <f t="shared" si="12"/>
        <v>1</v>
      </c>
      <c r="E153" s="2">
        <f t="shared" si="13"/>
        <v>45808</v>
      </c>
      <c r="F153" s="12">
        <f>_xlfn.XLOOKUP($A153,m1_cv!$B:$B,m1_cv!$C:$C)</f>
        <v>75</v>
      </c>
      <c r="G153">
        <f>MAX(0,ROUND(SUMIFS(m1_cv!$E:$E,m1_cv!$A:$A,$E153,m1_cv!$B:$B,$A153),0))</f>
        <v>864</v>
      </c>
      <c r="H153">
        <f>MAX(0,ROUND(SUMIFS(m2_cv!$E:$E,m2_cv!$A:$A,$E153,m2_cv!$B:$B,$A153),0))</f>
        <v>3509</v>
      </c>
      <c r="I153">
        <f>MAX(0,ROUND(SUMIFS(m3_cv!$E:$E,m3_cv!$A:$A,$E153,m3_cv!$B:$B,$A153),0))</f>
        <v>3640</v>
      </c>
      <c r="J153">
        <f>MAX(0,ROUND(SUMIFS(m4_cv!$E:$E,m4_cv!$A:$A,$E153,m4_cv!$B:$B,$A153),0))</f>
        <v>3641</v>
      </c>
      <c r="K153">
        <f>MAX(0,ROUND(SUMIFS(m5_cv!$E:$E,m5_cv!$A:$A,$E153,m5_cv!$B:$B,$A153),0))</f>
        <v>0</v>
      </c>
      <c r="L153">
        <f>MAX(0,ROUND(SUMIFS(m6_cv!$E:$E,m6_cv!$A:$A,$E153,m6_cv!$B:$B,$A153),0))</f>
        <v>61</v>
      </c>
      <c r="M153">
        <f>MAX(0,ROUND(SUMIFS(m7_cv!$E:$E,m7_cv!$A:$A,$E153,m7_cv!$B:$B,$A153),0))</f>
        <v>0</v>
      </c>
      <c r="N153">
        <f>ROUND(_xlfn.XLOOKUP($D153,Charts!$W$86:$W$116,Charts!$X$86:$X$116)*$L153+_xlfn.XLOOKUP($D153,Charts!$W$86:$W$116,Charts!$Y$86:$Y$116)*$M153,0)</f>
        <v>61</v>
      </c>
      <c r="O153">
        <f>MAX(0,ROUND(SUMIFS(m8_cv!$E:$E,m8_cv!$A:$A,$E153,m8_cv!$B:$B,$A153),0))</f>
        <v>0</v>
      </c>
    </row>
    <row r="154" spans="1:15" x14ac:dyDescent="0.25">
      <c r="A154" s="3">
        <f t="shared" si="14"/>
        <v>45810</v>
      </c>
      <c r="B154">
        <f t="shared" si="10"/>
        <v>2025</v>
      </c>
      <c r="C154">
        <f t="shared" si="11"/>
        <v>6</v>
      </c>
      <c r="D154">
        <f t="shared" si="12"/>
        <v>2</v>
      </c>
      <c r="E154" s="2">
        <f t="shared" si="13"/>
        <v>45808</v>
      </c>
      <c r="F154" s="12">
        <f>_xlfn.XLOOKUP($A154,m1_cv!$B:$B,m1_cv!$C:$C)</f>
        <v>3</v>
      </c>
      <c r="G154">
        <f>MAX(0,ROUND(SUMIFS(m1_cv!$E:$E,m1_cv!$A:$A,$E154,m1_cv!$B:$B,$A154),0))</f>
        <v>3138</v>
      </c>
      <c r="H154">
        <f>MAX(0,ROUND(SUMIFS(m2_cv!$E:$E,m2_cv!$A:$A,$E154,m2_cv!$B:$B,$A154),0))</f>
        <v>4193</v>
      </c>
      <c r="I154">
        <f>MAX(0,ROUND(SUMIFS(m3_cv!$E:$E,m3_cv!$A:$A,$E154,m3_cv!$B:$B,$A154),0))</f>
        <v>2924</v>
      </c>
      <c r="J154">
        <f>MAX(0,ROUND(SUMIFS(m4_cv!$E:$E,m4_cv!$A:$A,$E154,m4_cv!$B:$B,$A154),0))</f>
        <v>2926</v>
      </c>
      <c r="K154">
        <f>MAX(0,ROUND(SUMIFS(m5_cv!$E:$E,m5_cv!$A:$A,$E154,m5_cv!$B:$B,$A154),0))</f>
        <v>124</v>
      </c>
      <c r="L154">
        <f>MAX(0,ROUND(SUMIFS(m6_cv!$E:$E,m6_cv!$A:$A,$E154,m6_cv!$B:$B,$A154),0))</f>
        <v>61</v>
      </c>
      <c r="M154">
        <f>MAX(0,ROUND(SUMIFS(m7_cv!$E:$E,m7_cv!$A:$A,$E154,m7_cv!$B:$B,$A154),0))</f>
        <v>0</v>
      </c>
      <c r="N154">
        <f>ROUND(_xlfn.XLOOKUP($D154,Charts!$W$86:$W$116,Charts!$X$86:$X$116)*$L154+_xlfn.XLOOKUP($D154,Charts!$W$86:$W$116,Charts!$Y$86:$Y$116)*$M154,0)</f>
        <v>61</v>
      </c>
      <c r="O154">
        <f>MAX(0,ROUND(SUMIFS(m8_cv!$E:$E,m8_cv!$A:$A,$E154,m8_cv!$B:$B,$A154),0))</f>
        <v>0</v>
      </c>
    </row>
    <row r="155" spans="1:15" x14ac:dyDescent="0.25">
      <c r="A155" s="3">
        <f t="shared" si="14"/>
        <v>45811</v>
      </c>
      <c r="B155">
        <f t="shared" si="10"/>
        <v>2025</v>
      </c>
      <c r="C155">
        <f t="shared" si="11"/>
        <v>6</v>
      </c>
      <c r="D155">
        <f t="shared" si="12"/>
        <v>3</v>
      </c>
      <c r="E155" s="2">
        <f t="shared" si="13"/>
        <v>45808</v>
      </c>
      <c r="F155" s="12">
        <f>_xlfn.XLOOKUP($A155,m1_cv!$B:$B,m1_cv!$C:$C)</f>
        <v>578</v>
      </c>
      <c r="G155">
        <f>MAX(0,ROUND(SUMIFS(m1_cv!$E:$E,m1_cv!$A:$A,$E155,m1_cv!$B:$B,$A155),0))</f>
        <v>3694</v>
      </c>
      <c r="H155">
        <f>MAX(0,ROUND(SUMIFS(m2_cv!$E:$E,m2_cv!$A:$A,$E155,m2_cv!$B:$B,$A155),0))</f>
        <v>2924</v>
      </c>
      <c r="I155">
        <f>MAX(0,ROUND(SUMIFS(m3_cv!$E:$E,m3_cv!$A:$A,$E155,m3_cv!$B:$B,$A155),0))</f>
        <v>3052</v>
      </c>
      <c r="J155">
        <f>MAX(0,ROUND(SUMIFS(m4_cv!$E:$E,m4_cv!$A:$A,$E155,m4_cv!$B:$B,$A155),0))</f>
        <v>3053</v>
      </c>
      <c r="K155">
        <f>MAX(0,ROUND(SUMIFS(m5_cv!$E:$E,m5_cv!$A:$A,$E155,m5_cv!$B:$B,$A155),0))</f>
        <v>1733</v>
      </c>
      <c r="L155">
        <f>MAX(0,ROUND(SUMIFS(m6_cv!$E:$E,m6_cv!$A:$A,$E155,m6_cv!$B:$B,$A155),0))</f>
        <v>792</v>
      </c>
      <c r="M155">
        <f>MAX(0,ROUND(SUMIFS(m7_cv!$E:$E,m7_cv!$A:$A,$E155,m7_cv!$B:$B,$A155),0))</f>
        <v>1651</v>
      </c>
      <c r="N155">
        <f>ROUND(_xlfn.XLOOKUP($D155,Charts!$W$86:$W$116,Charts!$X$86:$X$116)*$L155+_xlfn.XLOOKUP($D155,Charts!$W$86:$W$116,Charts!$Y$86:$Y$116)*$M155,0)</f>
        <v>792</v>
      </c>
      <c r="O155">
        <f>MAX(0,ROUND(SUMIFS(m8_cv!$E:$E,m8_cv!$A:$A,$E155,m8_cv!$B:$B,$A155),0))</f>
        <v>1858</v>
      </c>
    </row>
    <row r="156" spans="1:15" x14ac:dyDescent="0.25">
      <c r="A156" s="3">
        <f t="shared" si="14"/>
        <v>45812</v>
      </c>
      <c r="B156">
        <f t="shared" si="10"/>
        <v>2025</v>
      </c>
      <c r="C156">
        <f t="shared" si="11"/>
        <v>6</v>
      </c>
      <c r="D156">
        <f t="shared" si="12"/>
        <v>4</v>
      </c>
      <c r="E156" s="2">
        <f t="shared" si="13"/>
        <v>45808</v>
      </c>
      <c r="F156" s="12">
        <f>_xlfn.XLOOKUP($A156,m1_cv!$B:$B,m1_cv!$C:$C)</f>
        <v>842</v>
      </c>
      <c r="G156">
        <f>MAX(0,ROUND(SUMIFS(m1_cv!$E:$E,m1_cv!$A:$A,$E156,m1_cv!$B:$B,$A156),0))</f>
        <v>3723</v>
      </c>
      <c r="H156">
        <f>MAX(0,ROUND(SUMIFS(m2_cv!$E:$E,m2_cv!$A:$A,$E156,m2_cv!$B:$B,$A156),0))</f>
        <v>1734</v>
      </c>
      <c r="I156">
        <f>MAX(0,ROUND(SUMIFS(m3_cv!$E:$E,m3_cv!$A:$A,$E156,m3_cv!$B:$B,$A156),0))</f>
        <v>1858</v>
      </c>
      <c r="J156">
        <f>MAX(0,ROUND(SUMIFS(m4_cv!$E:$E,m4_cv!$A:$A,$E156,m4_cv!$B:$B,$A156),0))</f>
        <v>1859</v>
      </c>
      <c r="K156">
        <f>MAX(0,ROUND(SUMIFS(m5_cv!$E:$E,m5_cv!$A:$A,$E156,m5_cv!$B:$B,$A156),0))</f>
        <v>1636</v>
      </c>
      <c r="L156">
        <f>MAX(0,ROUND(SUMIFS(m6_cv!$E:$E,m6_cv!$A:$A,$E156,m6_cv!$B:$B,$A156),0))</f>
        <v>709</v>
      </c>
      <c r="M156">
        <f>MAX(0,ROUND(SUMIFS(m7_cv!$E:$E,m7_cv!$A:$A,$E156,m7_cv!$B:$B,$A156),0))</f>
        <v>1762</v>
      </c>
      <c r="N156">
        <f>ROUND(_xlfn.XLOOKUP($D156,Charts!$W$86:$W$116,Charts!$X$86:$X$116)*$L156+_xlfn.XLOOKUP($D156,Charts!$W$86:$W$116,Charts!$Y$86:$Y$116)*$M156,0)</f>
        <v>709</v>
      </c>
      <c r="O156">
        <f>MAX(0,ROUND(SUMIFS(m8_cv!$E:$E,m8_cv!$A:$A,$E156,m8_cv!$B:$B,$A156),0))</f>
        <v>1919</v>
      </c>
    </row>
    <row r="157" spans="1:15" x14ac:dyDescent="0.25">
      <c r="A157" s="3">
        <f t="shared" si="14"/>
        <v>45813</v>
      </c>
      <c r="B157">
        <f t="shared" si="10"/>
        <v>2025</v>
      </c>
      <c r="C157">
        <f t="shared" si="11"/>
        <v>6</v>
      </c>
      <c r="D157">
        <f t="shared" si="12"/>
        <v>5</v>
      </c>
      <c r="E157" s="2">
        <f t="shared" si="13"/>
        <v>45808</v>
      </c>
      <c r="F157" s="12">
        <f>_xlfn.XLOOKUP($A157,m1_cv!$B:$B,m1_cv!$C:$C)</f>
        <v>1102</v>
      </c>
      <c r="G157">
        <f>MAX(0,ROUND(SUMIFS(m1_cv!$E:$E,m1_cv!$A:$A,$E157,m1_cv!$B:$B,$A157),0))</f>
        <v>3701</v>
      </c>
      <c r="H157">
        <f>MAX(0,ROUND(SUMIFS(m2_cv!$E:$E,m2_cv!$A:$A,$E157,m2_cv!$B:$B,$A157),0))</f>
        <v>1392</v>
      </c>
      <c r="I157">
        <f>MAX(0,ROUND(SUMIFS(m3_cv!$E:$E,m3_cv!$A:$A,$E157,m3_cv!$B:$B,$A157),0))</f>
        <v>1464</v>
      </c>
      <c r="J157">
        <f>MAX(0,ROUND(SUMIFS(m4_cv!$E:$E,m4_cv!$A:$A,$E157,m4_cv!$B:$B,$A157),0))</f>
        <v>1464</v>
      </c>
      <c r="K157">
        <f>MAX(0,ROUND(SUMIFS(m5_cv!$E:$E,m5_cv!$A:$A,$E157,m5_cv!$B:$B,$A157),0))</f>
        <v>1693</v>
      </c>
      <c r="L157">
        <f>MAX(0,ROUND(SUMIFS(m6_cv!$E:$E,m6_cv!$A:$A,$E157,m6_cv!$B:$B,$A157),0))</f>
        <v>721</v>
      </c>
      <c r="M157">
        <f>MAX(0,ROUND(SUMIFS(m7_cv!$E:$E,m7_cv!$A:$A,$E157,m7_cv!$B:$B,$A157),0))</f>
        <v>1697</v>
      </c>
      <c r="N157">
        <f>ROUND(_xlfn.XLOOKUP($D157,Charts!$W$86:$W$116,Charts!$X$86:$X$116)*$L157+_xlfn.XLOOKUP($D157,Charts!$W$86:$W$116,Charts!$Y$86:$Y$116)*$M157,0)</f>
        <v>916</v>
      </c>
      <c r="O157">
        <f>MAX(0,ROUND(SUMIFS(m8_cv!$E:$E,m8_cv!$A:$A,$E157,m8_cv!$B:$B,$A157),0))</f>
        <v>1798</v>
      </c>
    </row>
    <row r="158" spans="1:15" x14ac:dyDescent="0.25">
      <c r="A158" s="3">
        <f t="shared" si="14"/>
        <v>45814</v>
      </c>
      <c r="B158">
        <f t="shared" si="10"/>
        <v>2025</v>
      </c>
      <c r="C158">
        <f t="shared" si="11"/>
        <v>6</v>
      </c>
      <c r="D158">
        <f t="shared" si="12"/>
        <v>6</v>
      </c>
      <c r="E158" s="2">
        <f t="shared" si="13"/>
        <v>45808</v>
      </c>
      <c r="F158" s="12">
        <f>_xlfn.XLOOKUP($A158,m1_cv!$B:$B,m1_cv!$C:$C)</f>
        <v>1098</v>
      </c>
      <c r="G158">
        <f>MAX(0,ROUND(SUMIFS(m1_cv!$E:$E,m1_cv!$A:$A,$E158,m1_cv!$B:$B,$A158),0))</f>
        <v>3700</v>
      </c>
      <c r="H158">
        <f>MAX(0,ROUND(SUMIFS(m2_cv!$E:$E,m2_cv!$A:$A,$E158,m2_cv!$B:$B,$A158),0))</f>
        <v>1702</v>
      </c>
      <c r="I158">
        <f>MAX(0,ROUND(SUMIFS(m3_cv!$E:$E,m3_cv!$A:$A,$E158,m3_cv!$B:$B,$A158),0))</f>
        <v>0</v>
      </c>
      <c r="J158">
        <f>MAX(0,ROUND(SUMIFS(m4_cv!$E:$E,m4_cv!$A:$A,$E158,m4_cv!$B:$B,$A158),0))</f>
        <v>0</v>
      </c>
      <c r="K158">
        <f>MAX(0,ROUND(SUMIFS(m5_cv!$E:$E,m5_cv!$A:$A,$E158,m5_cv!$B:$B,$A158),0))</f>
        <v>0</v>
      </c>
      <c r="L158">
        <f>MAX(0,ROUND(SUMIFS(m6_cv!$E:$E,m6_cv!$A:$A,$E158,m6_cv!$B:$B,$A158),0))</f>
        <v>5</v>
      </c>
      <c r="M158">
        <f>MAX(0,ROUND(SUMIFS(m7_cv!$E:$E,m7_cv!$A:$A,$E158,m7_cv!$B:$B,$A158),0))</f>
        <v>0</v>
      </c>
      <c r="N158">
        <f>ROUND(_xlfn.XLOOKUP($D158,Charts!$W$86:$W$116,Charts!$X$86:$X$116)*$L158+_xlfn.XLOOKUP($D158,Charts!$W$86:$W$116,Charts!$Y$86:$Y$116)*$M158,0)</f>
        <v>3</v>
      </c>
      <c r="O158">
        <f>MAX(0,ROUND(SUMIFS(m8_cv!$E:$E,m8_cv!$A:$A,$E158,m8_cv!$B:$B,$A158),0))</f>
        <v>0</v>
      </c>
    </row>
    <row r="159" spans="1:15" x14ac:dyDescent="0.25">
      <c r="A159" s="3">
        <f t="shared" si="14"/>
        <v>45815</v>
      </c>
      <c r="B159">
        <f t="shared" si="10"/>
        <v>2025</v>
      </c>
      <c r="C159">
        <f t="shared" si="11"/>
        <v>6</v>
      </c>
      <c r="D159">
        <f t="shared" si="12"/>
        <v>7</v>
      </c>
      <c r="E159" s="2">
        <f t="shared" si="13"/>
        <v>45808</v>
      </c>
      <c r="F159" s="12">
        <f>_xlfn.XLOOKUP($A159,m1_cv!$B:$B,m1_cv!$C:$C)</f>
        <v>17</v>
      </c>
      <c r="G159">
        <f>MAX(0,ROUND(SUMIFS(m1_cv!$E:$E,m1_cv!$A:$A,$E159,m1_cv!$B:$B,$A159),0))</f>
        <v>1412</v>
      </c>
      <c r="H159">
        <f>MAX(0,ROUND(SUMIFS(m2_cv!$E:$E,m2_cv!$A:$A,$E159,m2_cv!$B:$B,$A159),0))</f>
        <v>0</v>
      </c>
      <c r="I159">
        <f>MAX(0,ROUND(SUMIFS(m3_cv!$E:$E,m3_cv!$A:$A,$E159,m3_cv!$B:$B,$A159),0))</f>
        <v>0</v>
      </c>
      <c r="J159">
        <f>MAX(0,ROUND(SUMIFS(m4_cv!$E:$E,m4_cv!$A:$A,$E159,m4_cv!$B:$B,$A159),0))</f>
        <v>0</v>
      </c>
      <c r="K159">
        <f>MAX(0,ROUND(SUMIFS(m5_cv!$E:$E,m5_cv!$A:$A,$E159,m5_cv!$B:$B,$A159),0))</f>
        <v>0</v>
      </c>
      <c r="L159">
        <f>MAX(0,ROUND(SUMIFS(m6_cv!$E:$E,m6_cv!$A:$A,$E159,m6_cv!$B:$B,$A159),0))</f>
        <v>107</v>
      </c>
      <c r="M159">
        <f>MAX(0,ROUND(SUMIFS(m7_cv!$E:$E,m7_cv!$A:$A,$E159,m7_cv!$B:$B,$A159),0))</f>
        <v>0</v>
      </c>
      <c r="N159">
        <f>ROUND(_xlfn.XLOOKUP($D159,Charts!$W$86:$W$116,Charts!$X$86:$X$116)*$L159+_xlfn.XLOOKUP($D159,Charts!$W$86:$W$116,Charts!$Y$86:$Y$116)*$M159,0)</f>
        <v>54</v>
      </c>
      <c r="O159">
        <f>MAX(0,ROUND(SUMIFS(m8_cv!$E:$E,m8_cv!$A:$A,$E159,m8_cv!$B:$B,$A159),0))</f>
        <v>0</v>
      </c>
    </row>
    <row r="160" spans="1:15" x14ac:dyDescent="0.25">
      <c r="A160" s="3">
        <f t="shared" si="14"/>
        <v>45816</v>
      </c>
      <c r="B160">
        <f t="shared" si="10"/>
        <v>2025</v>
      </c>
      <c r="C160">
        <f t="shared" si="11"/>
        <v>6</v>
      </c>
      <c r="D160">
        <f t="shared" si="12"/>
        <v>8</v>
      </c>
      <c r="E160" s="2">
        <f t="shared" si="13"/>
        <v>45808</v>
      </c>
      <c r="F160" s="12">
        <f>_xlfn.XLOOKUP($A160,m1_cv!$B:$B,m1_cv!$C:$C)</f>
        <v>2</v>
      </c>
      <c r="G160">
        <f>MAX(0,ROUND(SUMIFS(m1_cv!$E:$E,m1_cv!$A:$A,$E160,m1_cv!$B:$B,$A160),0))</f>
        <v>837</v>
      </c>
      <c r="H160">
        <f>MAX(0,ROUND(SUMIFS(m2_cv!$E:$E,m2_cv!$A:$A,$E160,m2_cv!$B:$B,$A160),0))</f>
        <v>0</v>
      </c>
      <c r="I160">
        <f>MAX(0,ROUND(SUMIFS(m3_cv!$E:$E,m3_cv!$A:$A,$E160,m3_cv!$B:$B,$A160),0))</f>
        <v>0</v>
      </c>
      <c r="J160">
        <f>MAX(0,ROUND(SUMIFS(m4_cv!$E:$E,m4_cv!$A:$A,$E160,m4_cv!$B:$B,$A160),0))</f>
        <v>0</v>
      </c>
      <c r="K160">
        <f>MAX(0,ROUND(SUMIFS(m5_cv!$E:$E,m5_cv!$A:$A,$E160,m5_cv!$B:$B,$A160),0))</f>
        <v>0</v>
      </c>
      <c r="L160">
        <f>MAX(0,ROUND(SUMIFS(m6_cv!$E:$E,m6_cv!$A:$A,$E160,m6_cv!$B:$B,$A160),0))</f>
        <v>72</v>
      </c>
      <c r="M160">
        <f>MAX(0,ROUND(SUMIFS(m7_cv!$E:$E,m7_cv!$A:$A,$E160,m7_cv!$B:$B,$A160),0))</f>
        <v>0</v>
      </c>
      <c r="N160">
        <f>ROUND(_xlfn.XLOOKUP($D160,Charts!$W$86:$W$116,Charts!$X$86:$X$116)*$L160+_xlfn.XLOOKUP($D160,Charts!$W$86:$W$116,Charts!$Y$86:$Y$116)*$M160,0)</f>
        <v>36</v>
      </c>
      <c r="O160">
        <f>MAX(0,ROUND(SUMIFS(m8_cv!$E:$E,m8_cv!$A:$A,$E160,m8_cv!$B:$B,$A160),0))</f>
        <v>0</v>
      </c>
    </row>
    <row r="161" spans="1:15" x14ac:dyDescent="0.25">
      <c r="A161" s="3">
        <f t="shared" si="14"/>
        <v>45817</v>
      </c>
      <c r="B161">
        <f t="shared" si="10"/>
        <v>2025</v>
      </c>
      <c r="C161">
        <f t="shared" si="11"/>
        <v>6</v>
      </c>
      <c r="D161">
        <f t="shared" si="12"/>
        <v>9</v>
      </c>
      <c r="E161" s="2">
        <f t="shared" si="13"/>
        <v>45808</v>
      </c>
      <c r="F161" s="12">
        <f>_xlfn.XLOOKUP($A161,m1_cv!$B:$B,m1_cv!$C:$C)</f>
        <v>716</v>
      </c>
      <c r="G161">
        <f>MAX(0,ROUND(SUMIFS(m1_cv!$E:$E,m1_cv!$A:$A,$E161,m1_cv!$B:$B,$A161),0))</f>
        <v>3076</v>
      </c>
      <c r="H161">
        <f>MAX(0,ROUND(SUMIFS(m2_cv!$E:$E,m2_cv!$A:$A,$E161,m2_cv!$B:$B,$A161),0))</f>
        <v>1635</v>
      </c>
      <c r="I161">
        <f>MAX(0,ROUND(SUMIFS(m3_cv!$E:$E,m3_cv!$A:$A,$E161,m3_cv!$B:$B,$A161),0))</f>
        <v>1780</v>
      </c>
      <c r="J161">
        <f>MAX(0,ROUND(SUMIFS(m4_cv!$E:$E,m4_cv!$A:$A,$E161,m4_cv!$B:$B,$A161),0))</f>
        <v>1782</v>
      </c>
      <c r="K161">
        <f>MAX(0,ROUND(SUMIFS(m5_cv!$E:$E,m5_cv!$A:$A,$E161,m5_cv!$B:$B,$A161),0))</f>
        <v>2065</v>
      </c>
      <c r="L161">
        <f>MAX(0,ROUND(SUMIFS(m6_cv!$E:$E,m6_cv!$A:$A,$E161,m6_cv!$B:$B,$A161),0))</f>
        <v>1058</v>
      </c>
      <c r="M161">
        <f>MAX(0,ROUND(SUMIFS(m7_cv!$E:$E,m7_cv!$A:$A,$E161,m7_cv!$B:$B,$A161),0))</f>
        <v>2163</v>
      </c>
      <c r="N161">
        <f>ROUND(_xlfn.XLOOKUP($D161,Charts!$W$86:$W$116,Charts!$X$86:$X$116)*$L161+_xlfn.XLOOKUP($D161,Charts!$W$86:$W$116,Charts!$Y$86:$Y$116)*$M161,0)</f>
        <v>1611</v>
      </c>
      <c r="O161">
        <f>MAX(0,ROUND(SUMIFS(m8_cv!$E:$E,m8_cv!$A:$A,$E161,m8_cv!$B:$B,$A161),0))</f>
        <v>2474</v>
      </c>
    </row>
    <row r="162" spans="1:15" x14ac:dyDescent="0.25">
      <c r="A162" s="3">
        <f t="shared" si="14"/>
        <v>45818</v>
      </c>
      <c r="B162">
        <f t="shared" si="10"/>
        <v>2025</v>
      </c>
      <c r="C162">
        <f t="shared" si="11"/>
        <v>6</v>
      </c>
      <c r="D162">
        <f t="shared" si="12"/>
        <v>10</v>
      </c>
      <c r="E162" s="2">
        <f t="shared" si="13"/>
        <v>45808</v>
      </c>
      <c r="F162" s="12">
        <f>_xlfn.XLOOKUP($A162,m1_cv!$B:$B,m1_cv!$C:$C)</f>
        <v>1129</v>
      </c>
      <c r="G162">
        <f>MAX(0,ROUND(SUMIFS(m1_cv!$E:$E,m1_cv!$A:$A,$E162,m1_cv!$B:$B,$A162),0))</f>
        <v>3598</v>
      </c>
      <c r="H162">
        <f>MAX(0,ROUND(SUMIFS(m2_cv!$E:$E,m2_cv!$A:$A,$E162,m2_cv!$B:$B,$A162),0))</f>
        <v>2079</v>
      </c>
      <c r="I162">
        <f>MAX(0,ROUND(SUMIFS(m3_cv!$E:$E,m3_cv!$A:$A,$E162,m3_cv!$B:$B,$A162),0))</f>
        <v>1485</v>
      </c>
      <c r="J162">
        <f>MAX(0,ROUND(SUMIFS(m4_cv!$E:$E,m4_cv!$A:$A,$E162,m4_cv!$B:$B,$A162),0))</f>
        <v>1486</v>
      </c>
      <c r="K162">
        <f>MAX(0,ROUND(SUMIFS(m5_cv!$E:$E,m5_cv!$A:$A,$E162,m5_cv!$B:$B,$A162),0))</f>
        <v>1641</v>
      </c>
      <c r="L162">
        <f>MAX(0,ROUND(SUMIFS(m6_cv!$E:$E,m6_cv!$A:$A,$E162,m6_cv!$B:$B,$A162),0))</f>
        <v>1183</v>
      </c>
      <c r="M162">
        <f>MAX(0,ROUND(SUMIFS(m7_cv!$E:$E,m7_cv!$A:$A,$E162,m7_cv!$B:$B,$A162),0))</f>
        <v>1580</v>
      </c>
      <c r="N162">
        <f>ROUND(_xlfn.XLOOKUP($D162,Charts!$W$86:$W$116,Charts!$X$86:$X$116)*$L162+_xlfn.XLOOKUP($D162,Charts!$W$86:$W$116,Charts!$Y$86:$Y$116)*$M162,0)</f>
        <v>1382</v>
      </c>
      <c r="O162">
        <f>MAX(0,ROUND(SUMIFS(m8_cv!$E:$E,m8_cv!$A:$A,$E162,m8_cv!$B:$B,$A162),0))</f>
        <v>1684</v>
      </c>
    </row>
    <row r="163" spans="1:15" x14ac:dyDescent="0.25">
      <c r="A163" s="3">
        <f t="shared" si="14"/>
        <v>45819</v>
      </c>
      <c r="B163">
        <f t="shared" si="10"/>
        <v>2025</v>
      </c>
      <c r="C163">
        <f t="shared" si="11"/>
        <v>6</v>
      </c>
      <c r="D163">
        <f t="shared" si="12"/>
        <v>11</v>
      </c>
      <c r="E163" s="2">
        <f t="shared" si="13"/>
        <v>45808</v>
      </c>
      <c r="F163" s="12">
        <f>_xlfn.XLOOKUP($A163,m1_cv!$B:$B,m1_cv!$C:$C)</f>
        <v>1387</v>
      </c>
      <c r="G163">
        <f>MAX(0,ROUND(SUMIFS(m1_cv!$E:$E,m1_cv!$A:$A,$E163,m1_cv!$B:$B,$A163),0))</f>
        <v>3595</v>
      </c>
      <c r="H163">
        <f>MAX(0,ROUND(SUMIFS(m2_cv!$E:$E,m2_cv!$A:$A,$E163,m2_cv!$B:$B,$A163),0))</f>
        <v>2214</v>
      </c>
      <c r="I163">
        <f>MAX(0,ROUND(SUMIFS(m3_cv!$E:$E,m3_cv!$A:$A,$E163,m3_cv!$B:$B,$A163),0))</f>
        <v>2023</v>
      </c>
      <c r="J163">
        <f>MAX(0,ROUND(SUMIFS(m4_cv!$E:$E,m4_cv!$A:$A,$E163,m4_cv!$B:$B,$A163),0))</f>
        <v>2024</v>
      </c>
      <c r="K163">
        <f>MAX(0,ROUND(SUMIFS(m5_cv!$E:$E,m5_cv!$A:$A,$E163,m5_cv!$B:$B,$A163),0))</f>
        <v>1950</v>
      </c>
      <c r="L163">
        <f>MAX(0,ROUND(SUMIFS(m6_cv!$E:$E,m6_cv!$A:$A,$E163,m6_cv!$B:$B,$A163),0))</f>
        <v>1187</v>
      </c>
      <c r="M163">
        <f>MAX(0,ROUND(SUMIFS(m7_cv!$E:$E,m7_cv!$A:$A,$E163,m7_cv!$B:$B,$A163),0))</f>
        <v>1848</v>
      </c>
      <c r="N163">
        <f>ROUND(_xlfn.XLOOKUP($D163,Charts!$W$86:$W$116,Charts!$X$86:$X$116)*$L163+_xlfn.XLOOKUP($D163,Charts!$W$86:$W$116,Charts!$Y$86:$Y$116)*$M163,0)</f>
        <v>1650</v>
      </c>
      <c r="O163">
        <f>MAX(0,ROUND(SUMIFS(m8_cv!$E:$E,m8_cv!$A:$A,$E163,m8_cv!$B:$B,$A163),0))</f>
        <v>1887</v>
      </c>
    </row>
    <row r="164" spans="1:15" x14ac:dyDescent="0.25">
      <c r="A164" s="3">
        <f t="shared" si="14"/>
        <v>45820</v>
      </c>
      <c r="B164">
        <f t="shared" si="10"/>
        <v>2025</v>
      </c>
      <c r="C164">
        <f t="shared" si="11"/>
        <v>6</v>
      </c>
      <c r="D164">
        <f t="shared" si="12"/>
        <v>12</v>
      </c>
      <c r="E164" s="2">
        <f t="shared" si="13"/>
        <v>45808</v>
      </c>
      <c r="F164" s="12">
        <f>_xlfn.XLOOKUP($A164,m1_cv!$B:$B,m1_cv!$C:$C)</f>
        <v>1689</v>
      </c>
      <c r="G164">
        <f>MAX(0,ROUND(SUMIFS(m1_cv!$E:$E,m1_cv!$A:$A,$E164,m1_cv!$B:$B,$A164),0))</f>
        <v>3542</v>
      </c>
      <c r="H164">
        <f>MAX(0,ROUND(SUMIFS(m2_cv!$E:$E,m2_cv!$A:$A,$E164,m2_cv!$B:$B,$A164),0))</f>
        <v>2427</v>
      </c>
      <c r="I164">
        <f>MAX(0,ROUND(SUMIFS(m3_cv!$E:$E,m3_cv!$A:$A,$E164,m3_cv!$B:$B,$A164),0))</f>
        <v>2522</v>
      </c>
      <c r="J164">
        <f>MAX(0,ROUND(SUMIFS(m4_cv!$E:$E,m4_cv!$A:$A,$E164,m4_cv!$B:$B,$A164),0))</f>
        <v>2523</v>
      </c>
      <c r="K164">
        <f>MAX(0,ROUND(SUMIFS(m5_cv!$E:$E,m5_cv!$A:$A,$E164,m5_cv!$B:$B,$A164),0))</f>
        <v>2345</v>
      </c>
      <c r="L164">
        <f>MAX(0,ROUND(SUMIFS(m6_cv!$E:$E,m6_cv!$A:$A,$E164,m6_cv!$B:$B,$A164),0))</f>
        <v>1499</v>
      </c>
      <c r="M164">
        <f>MAX(0,ROUND(SUMIFS(m7_cv!$E:$E,m7_cv!$A:$A,$E164,m7_cv!$B:$B,$A164),0))</f>
        <v>2359</v>
      </c>
      <c r="N164">
        <f>ROUND(_xlfn.XLOOKUP($D164,Charts!$W$86:$W$116,Charts!$X$86:$X$116)*$L164+_xlfn.XLOOKUP($D164,Charts!$W$86:$W$116,Charts!$Y$86:$Y$116)*$M164,0)</f>
        <v>2101</v>
      </c>
      <c r="O164">
        <f>MAX(0,ROUND(SUMIFS(m8_cv!$E:$E,m8_cv!$A:$A,$E164,m8_cv!$B:$B,$A164),0))</f>
        <v>2399</v>
      </c>
    </row>
    <row r="165" spans="1:15" x14ac:dyDescent="0.25">
      <c r="A165" s="3">
        <f t="shared" si="14"/>
        <v>45821</v>
      </c>
      <c r="B165">
        <f t="shared" si="10"/>
        <v>2025</v>
      </c>
      <c r="C165">
        <f t="shared" si="11"/>
        <v>6</v>
      </c>
      <c r="D165">
        <f t="shared" si="12"/>
        <v>13</v>
      </c>
      <c r="E165" s="2">
        <f t="shared" si="13"/>
        <v>45808</v>
      </c>
      <c r="F165" s="12">
        <f>_xlfn.XLOOKUP($A165,m1_cv!$B:$B,m1_cv!$C:$C)</f>
        <v>1883</v>
      </c>
      <c r="G165">
        <f>MAX(0,ROUND(SUMIFS(m1_cv!$E:$E,m1_cv!$A:$A,$E165,m1_cv!$B:$B,$A165),0))</f>
        <v>3512</v>
      </c>
      <c r="H165">
        <f>MAX(0,ROUND(SUMIFS(m2_cv!$E:$E,m2_cv!$A:$A,$E165,m2_cv!$B:$B,$A165),0))</f>
        <v>2598</v>
      </c>
      <c r="I165">
        <f>MAX(0,ROUND(SUMIFS(m3_cv!$E:$E,m3_cv!$A:$A,$E165,m3_cv!$B:$B,$A165),0))</f>
        <v>2214</v>
      </c>
      <c r="J165">
        <f>MAX(0,ROUND(SUMIFS(m4_cv!$E:$E,m4_cv!$A:$A,$E165,m4_cv!$B:$B,$A165),0))</f>
        <v>2214</v>
      </c>
      <c r="K165">
        <f>MAX(0,ROUND(SUMIFS(m5_cv!$E:$E,m5_cv!$A:$A,$E165,m5_cv!$B:$B,$A165),0))</f>
        <v>2120</v>
      </c>
      <c r="L165">
        <f>MAX(0,ROUND(SUMIFS(m6_cv!$E:$E,m6_cv!$A:$A,$E165,m6_cv!$B:$B,$A165),0))</f>
        <v>1601</v>
      </c>
      <c r="M165">
        <f>MAX(0,ROUND(SUMIFS(m7_cv!$E:$E,m7_cv!$A:$A,$E165,m7_cv!$B:$B,$A165),0))</f>
        <v>2177</v>
      </c>
      <c r="N165">
        <f>ROUND(_xlfn.XLOOKUP($D165,Charts!$W$86:$W$116,Charts!$X$86:$X$116)*$L165+_xlfn.XLOOKUP($D165,Charts!$W$86:$W$116,Charts!$Y$86:$Y$116)*$M165,0)</f>
        <v>2004</v>
      </c>
      <c r="O165">
        <f>MAX(0,ROUND(SUMIFS(m8_cv!$E:$E,m8_cv!$A:$A,$E165,m8_cv!$B:$B,$A165),0))</f>
        <v>2190</v>
      </c>
    </row>
    <row r="166" spans="1:15" x14ac:dyDescent="0.25">
      <c r="A166" s="3">
        <f t="shared" si="14"/>
        <v>45822</v>
      </c>
      <c r="B166">
        <f t="shared" si="10"/>
        <v>2025</v>
      </c>
      <c r="C166">
        <f t="shared" si="11"/>
        <v>6</v>
      </c>
      <c r="D166">
        <f t="shared" si="12"/>
        <v>14</v>
      </c>
      <c r="E166" s="2">
        <f t="shared" si="13"/>
        <v>45808</v>
      </c>
      <c r="F166" s="12">
        <f>_xlfn.XLOOKUP($A166,m1_cv!$B:$B,m1_cv!$C:$C)</f>
        <v>280</v>
      </c>
      <c r="G166">
        <f>MAX(0,ROUND(SUMIFS(m1_cv!$E:$E,m1_cv!$A:$A,$E166,m1_cv!$B:$B,$A166),0))</f>
        <v>1199</v>
      </c>
      <c r="H166">
        <f>MAX(0,ROUND(SUMIFS(m2_cv!$E:$E,m2_cv!$A:$A,$E166,m2_cv!$B:$B,$A166),0))</f>
        <v>336</v>
      </c>
      <c r="I166">
        <f>MAX(0,ROUND(SUMIFS(m3_cv!$E:$E,m3_cv!$A:$A,$E166,m3_cv!$B:$B,$A166),0))</f>
        <v>384</v>
      </c>
      <c r="J166">
        <f>MAX(0,ROUND(SUMIFS(m4_cv!$E:$E,m4_cv!$A:$A,$E166,m4_cv!$B:$B,$A166),0))</f>
        <v>385</v>
      </c>
      <c r="K166">
        <f>MAX(0,ROUND(SUMIFS(m5_cv!$E:$E,m5_cv!$A:$A,$E166,m5_cv!$B:$B,$A166),0))</f>
        <v>222</v>
      </c>
      <c r="L166">
        <f>MAX(0,ROUND(SUMIFS(m6_cv!$E:$E,m6_cv!$A:$A,$E166,m6_cv!$B:$B,$A166),0))</f>
        <v>323</v>
      </c>
      <c r="M166">
        <f>MAX(0,ROUND(SUMIFS(m7_cv!$E:$E,m7_cv!$A:$A,$E166,m7_cv!$B:$B,$A166),0))</f>
        <v>212</v>
      </c>
      <c r="N166">
        <f>ROUND(_xlfn.XLOOKUP($D166,Charts!$W$86:$W$116,Charts!$X$86:$X$116)*$L166+_xlfn.XLOOKUP($D166,Charts!$W$86:$W$116,Charts!$Y$86:$Y$116)*$M166,0)</f>
        <v>212</v>
      </c>
      <c r="O166">
        <f>MAX(0,ROUND(SUMIFS(m8_cv!$E:$E,m8_cv!$A:$A,$E166,m8_cv!$B:$B,$A166),0))</f>
        <v>271</v>
      </c>
    </row>
    <row r="167" spans="1:15" x14ac:dyDescent="0.25">
      <c r="A167" s="3">
        <f t="shared" si="14"/>
        <v>45823</v>
      </c>
      <c r="B167">
        <f t="shared" si="10"/>
        <v>2025</v>
      </c>
      <c r="C167">
        <f t="shared" si="11"/>
        <v>6</v>
      </c>
      <c r="D167">
        <f t="shared" si="12"/>
        <v>15</v>
      </c>
      <c r="E167" s="2">
        <f t="shared" si="13"/>
        <v>45808</v>
      </c>
      <c r="F167" s="12">
        <f>_xlfn.XLOOKUP($A167,m1_cv!$B:$B,m1_cv!$C:$C)</f>
        <v>71</v>
      </c>
      <c r="G167">
        <f>MAX(0,ROUND(SUMIFS(m1_cv!$E:$E,m1_cv!$A:$A,$E167,m1_cv!$B:$B,$A167),0))</f>
        <v>601</v>
      </c>
      <c r="H167">
        <f>MAX(0,ROUND(SUMIFS(m2_cv!$E:$E,m2_cv!$A:$A,$E167,m2_cv!$B:$B,$A167),0))</f>
        <v>0</v>
      </c>
      <c r="I167">
        <f>MAX(0,ROUND(SUMIFS(m3_cv!$E:$E,m3_cv!$A:$A,$E167,m3_cv!$B:$B,$A167),0))</f>
        <v>0</v>
      </c>
      <c r="J167">
        <f>MAX(0,ROUND(SUMIFS(m4_cv!$E:$E,m4_cv!$A:$A,$E167,m4_cv!$B:$B,$A167),0))</f>
        <v>0</v>
      </c>
      <c r="K167">
        <f>MAX(0,ROUND(SUMIFS(m5_cv!$E:$E,m5_cv!$A:$A,$E167,m5_cv!$B:$B,$A167),0))</f>
        <v>0</v>
      </c>
      <c r="L167">
        <f>MAX(0,ROUND(SUMIFS(m6_cv!$E:$E,m6_cv!$A:$A,$E167,m6_cv!$B:$B,$A167),0))</f>
        <v>132</v>
      </c>
      <c r="M167">
        <f>MAX(0,ROUND(SUMIFS(m7_cv!$E:$E,m7_cv!$A:$A,$E167,m7_cv!$B:$B,$A167),0))</f>
        <v>0</v>
      </c>
      <c r="N167">
        <f>ROUND(_xlfn.XLOOKUP($D167,Charts!$W$86:$W$116,Charts!$X$86:$X$116)*$L167+_xlfn.XLOOKUP($D167,Charts!$W$86:$W$116,Charts!$Y$86:$Y$116)*$M167,0)</f>
        <v>0</v>
      </c>
      <c r="O167">
        <f>MAX(0,ROUND(SUMIFS(m8_cv!$E:$E,m8_cv!$A:$A,$E167,m8_cv!$B:$B,$A167),0))</f>
        <v>0</v>
      </c>
    </row>
    <row r="168" spans="1:15" x14ac:dyDescent="0.25">
      <c r="A168" s="3">
        <f t="shared" si="14"/>
        <v>45824</v>
      </c>
      <c r="B168">
        <f t="shared" si="10"/>
        <v>2025</v>
      </c>
      <c r="C168">
        <f t="shared" si="11"/>
        <v>6</v>
      </c>
      <c r="D168">
        <f t="shared" si="12"/>
        <v>16</v>
      </c>
      <c r="E168" s="2">
        <f t="shared" si="13"/>
        <v>45808</v>
      </c>
      <c r="F168" s="12">
        <f>_xlfn.XLOOKUP($A168,m1_cv!$B:$B,m1_cv!$C:$C)</f>
        <v>1852</v>
      </c>
      <c r="G168">
        <f>MAX(0,ROUND(SUMIFS(m1_cv!$E:$E,m1_cv!$A:$A,$E168,m1_cv!$B:$B,$A168),0))</f>
        <v>2822</v>
      </c>
      <c r="H168">
        <f>MAX(0,ROUND(SUMIFS(m2_cv!$E:$E,m2_cv!$A:$A,$E168,m2_cv!$B:$B,$A168),0))</f>
        <v>2108</v>
      </c>
      <c r="I168">
        <f>MAX(0,ROUND(SUMIFS(m3_cv!$E:$E,m3_cv!$A:$A,$E168,m3_cv!$B:$B,$A168),0))</f>
        <v>2298</v>
      </c>
      <c r="J168">
        <f>MAX(0,ROUND(SUMIFS(m4_cv!$E:$E,m4_cv!$A:$A,$E168,m4_cv!$B:$B,$A168),0))</f>
        <v>2299</v>
      </c>
      <c r="K168">
        <f>MAX(0,ROUND(SUMIFS(m5_cv!$E:$E,m5_cv!$A:$A,$E168,m5_cv!$B:$B,$A168),0))</f>
        <v>2322</v>
      </c>
      <c r="L168">
        <f>MAX(0,ROUND(SUMIFS(m6_cv!$E:$E,m6_cv!$A:$A,$E168,m6_cv!$B:$B,$A168),0))</f>
        <v>1703</v>
      </c>
      <c r="M168">
        <f>MAX(0,ROUND(SUMIFS(m7_cv!$E:$E,m7_cv!$A:$A,$E168,m7_cv!$B:$B,$A168),0))</f>
        <v>2330</v>
      </c>
      <c r="N168">
        <f>ROUND(_xlfn.XLOOKUP($D168,Charts!$W$86:$W$116,Charts!$X$86:$X$116)*$L168+_xlfn.XLOOKUP($D168,Charts!$W$86:$W$116,Charts!$Y$86:$Y$116)*$M168,0)</f>
        <v>2330</v>
      </c>
      <c r="O168">
        <f>MAX(0,ROUND(SUMIFS(m8_cv!$E:$E,m8_cv!$A:$A,$E168,m8_cv!$B:$B,$A168),0))</f>
        <v>2392</v>
      </c>
    </row>
    <row r="169" spans="1:15" x14ac:dyDescent="0.25">
      <c r="A169" s="3">
        <f t="shared" si="14"/>
        <v>45825</v>
      </c>
      <c r="B169">
        <f t="shared" si="10"/>
        <v>2025</v>
      </c>
      <c r="C169">
        <f t="shared" si="11"/>
        <v>6</v>
      </c>
      <c r="D169">
        <f t="shared" si="12"/>
        <v>17</v>
      </c>
      <c r="E169" s="2">
        <f t="shared" si="13"/>
        <v>45808</v>
      </c>
      <c r="F169" s="12">
        <f>_xlfn.XLOOKUP($A169,m1_cv!$B:$B,m1_cv!$C:$C)</f>
        <v>2251</v>
      </c>
      <c r="G169">
        <f>MAX(0,ROUND(SUMIFS(m1_cv!$E:$E,m1_cv!$A:$A,$E169,m1_cv!$B:$B,$A169),0))</f>
        <v>3330</v>
      </c>
      <c r="H169">
        <f>MAX(0,ROUND(SUMIFS(m2_cv!$E:$E,m2_cv!$A:$A,$E169,m2_cv!$B:$B,$A169),0))</f>
        <v>2821</v>
      </c>
      <c r="I169">
        <f>MAX(0,ROUND(SUMIFS(m3_cv!$E:$E,m3_cv!$A:$A,$E169,m3_cv!$B:$B,$A169),0))</f>
        <v>2823</v>
      </c>
      <c r="J169">
        <f>MAX(0,ROUND(SUMIFS(m4_cv!$E:$E,m4_cv!$A:$A,$E169,m4_cv!$B:$B,$A169),0))</f>
        <v>2823</v>
      </c>
      <c r="K169">
        <f>MAX(0,ROUND(SUMIFS(m5_cv!$E:$E,m5_cv!$A:$A,$E169,m5_cv!$B:$B,$A169),0))</f>
        <v>2805</v>
      </c>
      <c r="L169">
        <f>MAX(0,ROUND(SUMIFS(m6_cv!$E:$E,m6_cv!$A:$A,$E169,m6_cv!$B:$B,$A169),0))</f>
        <v>2217</v>
      </c>
      <c r="M169">
        <f>MAX(0,ROUND(SUMIFS(m7_cv!$E:$E,m7_cv!$A:$A,$E169,m7_cv!$B:$B,$A169),0))</f>
        <v>2836</v>
      </c>
      <c r="N169">
        <f>ROUND(_xlfn.XLOOKUP($D169,Charts!$W$86:$W$116,Charts!$X$86:$X$116)*$L169+_xlfn.XLOOKUP($D169,Charts!$W$86:$W$116,Charts!$Y$86:$Y$116)*$M169,0)</f>
        <v>2836</v>
      </c>
      <c r="O169">
        <f>MAX(0,ROUND(SUMIFS(m8_cv!$E:$E,m8_cv!$A:$A,$E169,m8_cv!$B:$B,$A169),0))</f>
        <v>2898</v>
      </c>
    </row>
    <row r="170" spans="1:15" x14ac:dyDescent="0.25">
      <c r="A170" s="3">
        <f t="shared" si="14"/>
        <v>45826</v>
      </c>
      <c r="B170">
        <f t="shared" si="10"/>
        <v>2025</v>
      </c>
      <c r="C170">
        <f t="shared" si="11"/>
        <v>6</v>
      </c>
      <c r="D170">
        <f t="shared" si="12"/>
        <v>18</v>
      </c>
      <c r="E170" s="2">
        <f t="shared" si="13"/>
        <v>45808</v>
      </c>
      <c r="F170" s="12">
        <f>_xlfn.XLOOKUP($A170,m1_cv!$B:$B,m1_cv!$C:$C)</f>
        <v>2552</v>
      </c>
      <c r="G170">
        <f>MAX(0,ROUND(SUMIFS(m1_cv!$E:$E,m1_cv!$A:$A,$E170,m1_cv!$B:$B,$A170),0))</f>
        <v>3315</v>
      </c>
      <c r="H170">
        <f>MAX(0,ROUND(SUMIFS(m2_cv!$E:$E,m2_cv!$A:$A,$E170,m2_cv!$B:$B,$A170),0))</f>
        <v>3034</v>
      </c>
      <c r="I170">
        <f>MAX(0,ROUND(SUMIFS(m3_cv!$E:$E,m3_cv!$A:$A,$E170,m3_cv!$B:$B,$A170),0))</f>
        <v>3161</v>
      </c>
      <c r="J170">
        <f>MAX(0,ROUND(SUMIFS(m4_cv!$E:$E,m4_cv!$A:$A,$E170,m4_cv!$B:$B,$A170),0))</f>
        <v>3162</v>
      </c>
      <c r="K170">
        <f>MAX(0,ROUND(SUMIFS(m5_cv!$E:$E,m5_cv!$A:$A,$E170,m5_cv!$B:$B,$A170),0))</f>
        <v>3013</v>
      </c>
      <c r="L170">
        <f>MAX(0,ROUND(SUMIFS(m6_cv!$E:$E,m6_cv!$A:$A,$E170,m6_cv!$B:$B,$A170),0))</f>
        <v>2523</v>
      </c>
      <c r="M170">
        <f>MAX(0,ROUND(SUMIFS(m7_cv!$E:$E,m7_cv!$A:$A,$E170,m7_cv!$B:$B,$A170),0))</f>
        <v>2981</v>
      </c>
      <c r="N170">
        <f>ROUND(_xlfn.XLOOKUP($D170,Charts!$W$86:$W$116,Charts!$X$86:$X$116)*$L170+_xlfn.XLOOKUP($D170,Charts!$W$86:$W$116,Charts!$Y$86:$Y$116)*$M170,0)</f>
        <v>2981</v>
      </c>
      <c r="O170">
        <f>MAX(0,ROUND(SUMIFS(m8_cv!$E:$E,m8_cv!$A:$A,$E170,m8_cv!$B:$B,$A170),0))</f>
        <v>3043</v>
      </c>
    </row>
    <row r="171" spans="1:15" x14ac:dyDescent="0.25">
      <c r="A171" s="3">
        <f t="shared" si="14"/>
        <v>45827</v>
      </c>
      <c r="B171">
        <f t="shared" si="10"/>
        <v>2025</v>
      </c>
      <c r="C171">
        <f t="shared" si="11"/>
        <v>6</v>
      </c>
      <c r="D171">
        <f t="shared" si="12"/>
        <v>19</v>
      </c>
      <c r="E171" s="2">
        <f t="shared" si="13"/>
        <v>45808</v>
      </c>
      <c r="F171" s="12">
        <f>_xlfn.XLOOKUP($A171,m1_cv!$B:$B,m1_cv!$C:$C)</f>
        <v>2813</v>
      </c>
      <c r="G171">
        <f>MAX(0,ROUND(SUMIFS(m1_cv!$E:$E,m1_cv!$A:$A,$E171,m1_cv!$B:$B,$A171),0))</f>
        <v>3256</v>
      </c>
      <c r="H171">
        <f>MAX(0,ROUND(SUMIFS(m2_cv!$E:$E,m2_cv!$A:$A,$E171,m2_cv!$B:$B,$A171),0))</f>
        <v>3054</v>
      </c>
      <c r="I171">
        <f>MAX(0,ROUND(SUMIFS(m3_cv!$E:$E,m3_cv!$A:$A,$E171,m3_cv!$B:$B,$A171),0))</f>
        <v>3216</v>
      </c>
      <c r="J171">
        <f>MAX(0,ROUND(SUMIFS(m4_cv!$E:$E,m4_cv!$A:$A,$E171,m4_cv!$B:$B,$A171),0))</f>
        <v>3217</v>
      </c>
      <c r="K171">
        <f>MAX(0,ROUND(SUMIFS(m5_cv!$E:$E,m5_cv!$A:$A,$E171,m5_cv!$B:$B,$A171),0))</f>
        <v>3050</v>
      </c>
      <c r="L171">
        <f>MAX(0,ROUND(SUMIFS(m6_cv!$E:$E,m6_cv!$A:$A,$E171,m6_cv!$B:$B,$A171),0))</f>
        <v>2923</v>
      </c>
      <c r="M171">
        <f>MAX(0,ROUND(SUMIFS(m7_cv!$E:$E,m7_cv!$A:$A,$E171,m7_cv!$B:$B,$A171),0))</f>
        <v>2986</v>
      </c>
      <c r="N171">
        <f>ROUND(_xlfn.XLOOKUP($D171,Charts!$W$86:$W$116,Charts!$X$86:$X$116)*$L171+_xlfn.XLOOKUP($D171,Charts!$W$86:$W$116,Charts!$Y$86:$Y$116)*$M171,0)</f>
        <v>2986</v>
      </c>
      <c r="O171">
        <f>MAX(0,ROUND(SUMIFS(m8_cv!$E:$E,m8_cv!$A:$A,$E171,m8_cv!$B:$B,$A171),0))</f>
        <v>3044</v>
      </c>
    </row>
    <row r="172" spans="1:15" x14ac:dyDescent="0.25">
      <c r="A172" s="3">
        <f t="shared" si="14"/>
        <v>45828</v>
      </c>
      <c r="B172">
        <f t="shared" si="10"/>
        <v>2025</v>
      </c>
      <c r="C172">
        <f t="shared" si="11"/>
        <v>6</v>
      </c>
      <c r="D172">
        <f t="shared" si="12"/>
        <v>20</v>
      </c>
      <c r="E172" s="2">
        <f t="shared" si="13"/>
        <v>45808</v>
      </c>
      <c r="F172" s="12">
        <f>_xlfn.XLOOKUP($A172,m1_cv!$B:$B,m1_cv!$C:$C)</f>
        <v>3023</v>
      </c>
      <c r="G172">
        <f>MAX(0,ROUND(SUMIFS(m1_cv!$E:$E,m1_cv!$A:$A,$E172,m1_cv!$B:$B,$A172),0))</f>
        <v>3224</v>
      </c>
      <c r="H172">
        <f>MAX(0,ROUND(SUMIFS(m2_cv!$E:$E,m2_cv!$A:$A,$E172,m2_cv!$B:$B,$A172),0))</f>
        <v>2966</v>
      </c>
      <c r="I172">
        <f>MAX(0,ROUND(SUMIFS(m3_cv!$E:$E,m3_cv!$A:$A,$E172,m3_cv!$B:$B,$A172),0))</f>
        <v>3027</v>
      </c>
      <c r="J172">
        <f>MAX(0,ROUND(SUMIFS(m4_cv!$E:$E,m4_cv!$A:$A,$E172,m4_cv!$B:$B,$A172),0))</f>
        <v>3028</v>
      </c>
      <c r="K172">
        <f>MAX(0,ROUND(SUMIFS(m5_cv!$E:$E,m5_cv!$A:$A,$E172,m5_cv!$B:$B,$A172),0))</f>
        <v>2982</v>
      </c>
      <c r="L172">
        <f>MAX(0,ROUND(SUMIFS(m6_cv!$E:$E,m6_cv!$A:$A,$E172,m6_cv!$B:$B,$A172),0))</f>
        <v>2858</v>
      </c>
      <c r="M172">
        <f>MAX(0,ROUND(SUMIFS(m7_cv!$E:$E,m7_cv!$A:$A,$E172,m7_cv!$B:$B,$A172),0))</f>
        <v>3007</v>
      </c>
      <c r="N172">
        <f>ROUND(_xlfn.XLOOKUP($D172,Charts!$W$86:$W$116,Charts!$X$86:$X$116)*$L172+_xlfn.XLOOKUP($D172,Charts!$W$86:$W$116,Charts!$Y$86:$Y$116)*$M172,0)</f>
        <v>3007</v>
      </c>
      <c r="O172">
        <f>MAX(0,ROUND(SUMIFS(m8_cv!$E:$E,m8_cv!$A:$A,$E172,m8_cv!$B:$B,$A172),0))</f>
        <v>3055</v>
      </c>
    </row>
    <row r="173" spans="1:15" x14ac:dyDescent="0.25">
      <c r="A173" s="3">
        <f t="shared" si="14"/>
        <v>45829</v>
      </c>
      <c r="B173">
        <f t="shared" si="10"/>
        <v>2025</v>
      </c>
      <c r="C173">
        <f t="shared" si="11"/>
        <v>6</v>
      </c>
      <c r="D173">
        <f t="shared" si="12"/>
        <v>21</v>
      </c>
      <c r="E173" s="2">
        <f t="shared" si="13"/>
        <v>45808</v>
      </c>
      <c r="F173" s="12">
        <f>_xlfn.XLOOKUP($A173,m1_cv!$B:$B,m1_cv!$C:$C)</f>
        <v>360</v>
      </c>
      <c r="G173">
        <f>MAX(0,ROUND(SUMIFS(m1_cv!$E:$E,m1_cv!$A:$A,$E173,m1_cv!$B:$B,$A173),0))</f>
        <v>913</v>
      </c>
      <c r="H173">
        <f>MAX(0,ROUND(SUMIFS(m2_cv!$E:$E,m2_cv!$A:$A,$E173,m2_cv!$B:$B,$A173),0))</f>
        <v>650</v>
      </c>
      <c r="I173">
        <f>MAX(0,ROUND(SUMIFS(m3_cv!$E:$E,m3_cv!$A:$A,$E173,m3_cv!$B:$B,$A173),0))</f>
        <v>658</v>
      </c>
      <c r="J173">
        <f>MAX(0,ROUND(SUMIFS(m4_cv!$E:$E,m4_cv!$A:$A,$E173,m4_cv!$B:$B,$A173),0))</f>
        <v>659</v>
      </c>
      <c r="K173">
        <f>MAX(0,ROUND(SUMIFS(m5_cv!$E:$E,m5_cv!$A:$A,$E173,m5_cv!$B:$B,$A173),0))</f>
        <v>748</v>
      </c>
      <c r="L173">
        <f>MAX(0,ROUND(SUMIFS(m6_cv!$E:$E,m6_cv!$A:$A,$E173,m6_cv!$B:$B,$A173),0))</f>
        <v>502</v>
      </c>
      <c r="M173">
        <f>MAX(0,ROUND(SUMIFS(m7_cv!$E:$E,m7_cv!$A:$A,$E173,m7_cv!$B:$B,$A173),0))</f>
        <v>815</v>
      </c>
      <c r="N173">
        <f>ROUND(_xlfn.XLOOKUP($D173,Charts!$W$86:$W$116,Charts!$X$86:$X$116)*$L173+_xlfn.XLOOKUP($D173,Charts!$W$86:$W$116,Charts!$Y$86:$Y$116)*$M173,0)</f>
        <v>815</v>
      </c>
      <c r="O173">
        <f>MAX(0,ROUND(SUMIFS(m8_cv!$E:$E,m8_cv!$A:$A,$E173,m8_cv!$B:$B,$A173),0))</f>
        <v>864</v>
      </c>
    </row>
    <row r="174" spans="1:15" x14ac:dyDescent="0.25">
      <c r="A174" s="3">
        <f t="shared" si="14"/>
        <v>45830</v>
      </c>
      <c r="B174">
        <f t="shared" si="10"/>
        <v>2025</v>
      </c>
      <c r="C174">
        <f t="shared" si="11"/>
        <v>6</v>
      </c>
      <c r="D174">
        <f t="shared" si="12"/>
        <v>22</v>
      </c>
      <c r="E174" s="2">
        <f t="shared" si="13"/>
        <v>45808</v>
      </c>
      <c r="F174" s="12">
        <f>_xlfn.XLOOKUP($A174,m1_cv!$B:$B,m1_cv!$C:$C)</f>
        <v>129</v>
      </c>
      <c r="G174">
        <f>MAX(0,ROUND(SUMIFS(m1_cv!$E:$E,m1_cv!$A:$A,$E174,m1_cv!$B:$B,$A174),0))</f>
        <v>321</v>
      </c>
      <c r="H174">
        <f>MAX(0,ROUND(SUMIFS(m2_cv!$E:$E,m2_cv!$A:$A,$E174,m2_cv!$B:$B,$A174),0))</f>
        <v>286</v>
      </c>
      <c r="I174">
        <f>MAX(0,ROUND(SUMIFS(m3_cv!$E:$E,m3_cv!$A:$A,$E174,m3_cv!$B:$B,$A174),0))</f>
        <v>267</v>
      </c>
      <c r="J174">
        <f>MAX(0,ROUND(SUMIFS(m4_cv!$E:$E,m4_cv!$A:$A,$E174,m4_cv!$B:$B,$A174),0))</f>
        <v>268</v>
      </c>
      <c r="K174">
        <f>MAX(0,ROUND(SUMIFS(m5_cv!$E:$E,m5_cv!$A:$A,$E174,m5_cv!$B:$B,$A174),0))</f>
        <v>363</v>
      </c>
      <c r="L174">
        <f>MAX(0,ROUND(SUMIFS(m6_cv!$E:$E,m6_cv!$A:$A,$E174,m6_cv!$B:$B,$A174),0))</f>
        <v>199</v>
      </c>
      <c r="M174">
        <f>MAX(0,ROUND(SUMIFS(m7_cv!$E:$E,m7_cv!$A:$A,$E174,m7_cv!$B:$B,$A174),0))</f>
        <v>339</v>
      </c>
      <c r="N174">
        <f>ROUND(_xlfn.XLOOKUP($D174,Charts!$W$86:$W$116,Charts!$X$86:$X$116)*$L174+_xlfn.XLOOKUP($D174,Charts!$W$86:$W$116,Charts!$Y$86:$Y$116)*$M174,0)</f>
        <v>339</v>
      </c>
      <c r="O174">
        <f>MAX(0,ROUND(SUMIFS(m8_cv!$E:$E,m8_cv!$A:$A,$E174,m8_cv!$B:$B,$A174),0))</f>
        <v>388</v>
      </c>
    </row>
    <row r="175" spans="1:15" x14ac:dyDescent="0.25">
      <c r="A175" s="3">
        <f t="shared" si="14"/>
        <v>45831</v>
      </c>
      <c r="B175">
        <f t="shared" si="10"/>
        <v>2025</v>
      </c>
      <c r="C175">
        <f t="shared" si="11"/>
        <v>6</v>
      </c>
      <c r="D175">
        <f t="shared" si="12"/>
        <v>23</v>
      </c>
      <c r="E175" s="2">
        <f t="shared" si="13"/>
        <v>45808</v>
      </c>
      <c r="F175" s="12">
        <f>_xlfn.XLOOKUP($A175,m1_cv!$B:$B,m1_cv!$C:$C)</f>
        <v>3291</v>
      </c>
      <c r="G175">
        <f>MAX(0,ROUND(SUMIFS(m1_cv!$E:$E,m1_cv!$A:$A,$E175,m1_cv!$B:$B,$A175),0))</f>
        <v>2552</v>
      </c>
      <c r="H175">
        <f>MAX(0,ROUND(SUMIFS(m2_cv!$E:$E,m2_cv!$A:$A,$E175,m2_cv!$B:$B,$A175),0))</f>
        <v>2870</v>
      </c>
      <c r="I175">
        <f>MAX(0,ROUND(SUMIFS(m3_cv!$E:$E,m3_cv!$A:$A,$E175,m3_cv!$B:$B,$A175),0))</f>
        <v>3114</v>
      </c>
      <c r="J175">
        <f>MAX(0,ROUND(SUMIFS(m4_cv!$E:$E,m4_cv!$A:$A,$E175,m4_cv!$B:$B,$A175),0))</f>
        <v>3115</v>
      </c>
      <c r="K175">
        <f>MAX(0,ROUND(SUMIFS(m5_cv!$E:$E,m5_cv!$A:$A,$E175,m5_cv!$B:$B,$A175),0))</f>
        <v>3028</v>
      </c>
      <c r="L175">
        <f>MAX(0,ROUND(SUMIFS(m6_cv!$E:$E,m6_cv!$A:$A,$E175,m6_cv!$B:$B,$A175),0))</f>
        <v>2646</v>
      </c>
      <c r="M175">
        <f>MAX(0,ROUND(SUMIFS(m7_cv!$E:$E,m7_cv!$A:$A,$E175,m7_cv!$B:$B,$A175),0))</f>
        <v>2961</v>
      </c>
      <c r="N175">
        <f>ROUND(_xlfn.XLOOKUP($D175,Charts!$W$86:$W$116,Charts!$X$86:$X$116)*$L175+_xlfn.XLOOKUP($D175,Charts!$W$86:$W$116,Charts!$Y$86:$Y$116)*$M175,0)</f>
        <v>2961</v>
      </c>
      <c r="O175">
        <f>MAX(0,ROUND(SUMIFS(m8_cv!$E:$E,m8_cv!$A:$A,$E175,m8_cv!$B:$B,$A175),0))</f>
        <v>3008</v>
      </c>
    </row>
    <row r="176" spans="1:15" x14ac:dyDescent="0.25">
      <c r="A176" s="3">
        <f t="shared" si="14"/>
        <v>45832</v>
      </c>
      <c r="B176">
        <f t="shared" si="10"/>
        <v>2025</v>
      </c>
      <c r="C176">
        <f t="shared" si="11"/>
        <v>6</v>
      </c>
      <c r="D176">
        <f t="shared" si="12"/>
        <v>24</v>
      </c>
      <c r="E176" s="2">
        <f t="shared" si="13"/>
        <v>45808</v>
      </c>
      <c r="F176" s="12">
        <f>_xlfn.XLOOKUP($A176,m1_cv!$B:$B,m1_cv!$C:$C)</f>
        <v>3743</v>
      </c>
      <c r="G176">
        <f>MAX(0,ROUND(SUMIFS(m1_cv!$E:$E,m1_cv!$A:$A,$E176,m1_cv!$B:$B,$A176),0))</f>
        <v>3074</v>
      </c>
      <c r="H176">
        <f>MAX(0,ROUND(SUMIFS(m2_cv!$E:$E,m2_cv!$A:$A,$E176,m2_cv!$B:$B,$A176),0))</f>
        <v>3611</v>
      </c>
      <c r="I176">
        <f>MAX(0,ROUND(SUMIFS(m3_cv!$E:$E,m3_cv!$A:$A,$E176,m3_cv!$B:$B,$A176),0))</f>
        <v>3732</v>
      </c>
      <c r="J176">
        <f>MAX(0,ROUND(SUMIFS(m4_cv!$E:$E,m4_cv!$A:$A,$E176,m4_cv!$B:$B,$A176),0))</f>
        <v>3732</v>
      </c>
      <c r="K176">
        <f>MAX(0,ROUND(SUMIFS(m5_cv!$E:$E,m5_cv!$A:$A,$E176,m5_cv!$B:$B,$A176),0))</f>
        <v>3533</v>
      </c>
      <c r="L176">
        <f>MAX(0,ROUND(SUMIFS(m6_cv!$E:$E,m6_cv!$A:$A,$E176,m6_cv!$B:$B,$A176),0))</f>
        <v>3673</v>
      </c>
      <c r="M176">
        <f>MAX(0,ROUND(SUMIFS(m7_cv!$E:$E,m7_cv!$A:$A,$E176,m7_cv!$B:$B,$A176),0))</f>
        <v>3508</v>
      </c>
      <c r="N176">
        <f>ROUND(_xlfn.XLOOKUP($D176,Charts!$W$86:$W$116,Charts!$X$86:$X$116)*$L176+_xlfn.XLOOKUP($D176,Charts!$W$86:$W$116,Charts!$Y$86:$Y$116)*$M176,0)</f>
        <v>3673</v>
      </c>
      <c r="O176">
        <f>MAX(0,ROUND(SUMIFS(m8_cv!$E:$E,m8_cv!$A:$A,$E176,m8_cv!$B:$B,$A176),0))</f>
        <v>3573</v>
      </c>
    </row>
    <row r="177" spans="1:15" x14ac:dyDescent="0.25">
      <c r="A177" s="3">
        <f t="shared" si="14"/>
        <v>45833</v>
      </c>
      <c r="B177">
        <f t="shared" si="10"/>
        <v>2025</v>
      </c>
      <c r="C177">
        <f t="shared" si="11"/>
        <v>6</v>
      </c>
      <c r="D177">
        <f t="shared" si="12"/>
        <v>25</v>
      </c>
      <c r="E177" s="2">
        <f t="shared" si="13"/>
        <v>45808</v>
      </c>
      <c r="F177" s="12">
        <f>_xlfn.XLOOKUP($A177,m1_cv!$B:$B,m1_cv!$C:$C)</f>
        <v>4576</v>
      </c>
      <c r="G177">
        <f>MAX(0,ROUND(SUMIFS(m1_cv!$E:$E,m1_cv!$A:$A,$E177,m1_cv!$B:$B,$A177),0))</f>
        <v>3076</v>
      </c>
      <c r="H177">
        <f>MAX(0,ROUND(SUMIFS(m2_cv!$E:$E,m2_cv!$A:$A,$E177,m2_cv!$B:$B,$A177),0))</f>
        <v>3627</v>
      </c>
      <c r="I177">
        <f>MAX(0,ROUND(SUMIFS(m3_cv!$E:$E,m3_cv!$A:$A,$E177,m3_cv!$B:$B,$A177),0))</f>
        <v>3894</v>
      </c>
      <c r="J177">
        <f>MAX(0,ROUND(SUMIFS(m4_cv!$E:$E,m4_cv!$A:$A,$E177,m4_cv!$B:$B,$A177),0))</f>
        <v>3894</v>
      </c>
      <c r="K177">
        <f>MAX(0,ROUND(SUMIFS(m5_cv!$E:$E,m5_cv!$A:$A,$E177,m5_cv!$B:$B,$A177),0))</f>
        <v>3690</v>
      </c>
      <c r="L177">
        <f>MAX(0,ROUND(SUMIFS(m6_cv!$E:$E,m6_cv!$A:$A,$E177,m6_cv!$B:$B,$A177),0))</f>
        <v>4249</v>
      </c>
      <c r="M177">
        <f>MAX(0,ROUND(SUMIFS(m7_cv!$E:$E,m7_cv!$A:$A,$E177,m7_cv!$B:$B,$A177),0))</f>
        <v>3714</v>
      </c>
      <c r="N177">
        <f>ROUND(_xlfn.XLOOKUP($D177,Charts!$W$86:$W$116,Charts!$X$86:$X$116)*$L177+_xlfn.XLOOKUP($D177,Charts!$W$86:$W$116,Charts!$Y$86:$Y$116)*$M177,0)</f>
        <v>4249</v>
      </c>
      <c r="O177">
        <f>MAX(0,ROUND(SUMIFS(m8_cv!$E:$E,m8_cv!$A:$A,$E177,m8_cv!$B:$B,$A177),0))</f>
        <v>3767</v>
      </c>
    </row>
    <row r="178" spans="1:15" x14ac:dyDescent="0.25">
      <c r="A178" s="3">
        <f t="shared" si="14"/>
        <v>45834</v>
      </c>
      <c r="B178">
        <f t="shared" si="10"/>
        <v>2025</v>
      </c>
      <c r="C178">
        <f t="shared" si="11"/>
        <v>6</v>
      </c>
      <c r="D178">
        <f t="shared" si="12"/>
        <v>26</v>
      </c>
      <c r="E178" s="2">
        <f t="shared" si="13"/>
        <v>45808</v>
      </c>
      <c r="F178" s="12">
        <f>_xlfn.XLOOKUP($A178,m1_cv!$B:$B,m1_cv!$C:$C)</f>
        <v>6205</v>
      </c>
      <c r="G178">
        <f>MAX(0,ROUND(SUMIFS(m1_cv!$E:$E,m1_cv!$A:$A,$E178,m1_cv!$B:$B,$A178),0))</f>
        <v>3038</v>
      </c>
      <c r="H178">
        <f>MAX(0,ROUND(SUMIFS(m2_cv!$E:$E,m2_cv!$A:$A,$E178,m2_cv!$B:$B,$A178),0))</f>
        <v>3526</v>
      </c>
      <c r="I178">
        <f>MAX(0,ROUND(SUMIFS(m3_cv!$E:$E,m3_cv!$A:$A,$E178,m3_cv!$B:$B,$A178),0))</f>
        <v>3807</v>
      </c>
      <c r="J178">
        <f>MAX(0,ROUND(SUMIFS(m4_cv!$E:$E,m4_cv!$A:$A,$E178,m4_cv!$B:$B,$A178),0))</f>
        <v>3807</v>
      </c>
      <c r="K178">
        <f>MAX(0,ROUND(SUMIFS(m5_cv!$E:$E,m5_cv!$A:$A,$E178,m5_cv!$B:$B,$A178),0))</f>
        <v>5028</v>
      </c>
      <c r="L178">
        <f>MAX(0,ROUND(SUMIFS(m6_cv!$E:$E,m6_cv!$A:$A,$E178,m6_cv!$B:$B,$A178),0))</f>
        <v>9243</v>
      </c>
      <c r="M178">
        <f>MAX(0,ROUND(SUMIFS(m7_cv!$E:$E,m7_cv!$A:$A,$E178,m7_cv!$B:$B,$A178),0))</f>
        <v>5189</v>
      </c>
      <c r="N178">
        <f>ROUND(_xlfn.XLOOKUP($D178,Charts!$W$86:$W$116,Charts!$X$86:$X$116)*$L178+_xlfn.XLOOKUP($D178,Charts!$W$86:$W$116,Charts!$Y$86:$Y$116)*$M178,0)</f>
        <v>9243</v>
      </c>
      <c r="O178">
        <f>MAX(0,ROUND(SUMIFS(m8_cv!$E:$E,m8_cv!$A:$A,$E178,m8_cv!$B:$B,$A178),0))</f>
        <v>4703</v>
      </c>
    </row>
    <row r="179" spans="1:15" x14ac:dyDescent="0.25">
      <c r="A179" s="3">
        <f t="shared" si="14"/>
        <v>45835</v>
      </c>
      <c r="B179">
        <f t="shared" si="10"/>
        <v>2025</v>
      </c>
      <c r="C179">
        <f t="shared" si="11"/>
        <v>6</v>
      </c>
      <c r="D179">
        <f t="shared" si="12"/>
        <v>27</v>
      </c>
      <c r="E179" s="2">
        <f t="shared" si="13"/>
        <v>45808</v>
      </c>
      <c r="F179" s="12">
        <f>_xlfn.XLOOKUP($A179,m1_cv!$B:$B,m1_cv!$C:$C)</f>
        <v>814</v>
      </c>
      <c r="G179">
        <f>MAX(0,ROUND(SUMIFS(m1_cv!$E:$E,m1_cv!$A:$A,$E179,m1_cv!$B:$B,$A179),0))</f>
        <v>3029</v>
      </c>
      <c r="H179">
        <f>MAX(0,ROUND(SUMIFS(m2_cv!$E:$E,m2_cv!$A:$A,$E179,m2_cv!$B:$B,$A179),0))</f>
        <v>3750</v>
      </c>
      <c r="I179">
        <f>MAX(0,ROUND(SUMIFS(m3_cv!$E:$E,m3_cv!$A:$A,$E179,m3_cv!$B:$B,$A179),0))</f>
        <v>2255</v>
      </c>
      <c r="J179">
        <f>MAX(0,ROUND(SUMIFS(m4_cv!$E:$E,m4_cv!$A:$A,$E179,m4_cv!$B:$B,$A179),0))</f>
        <v>2257</v>
      </c>
      <c r="K179">
        <f>MAX(0,ROUND(SUMIFS(m5_cv!$E:$E,m5_cv!$A:$A,$E179,m5_cv!$B:$B,$A179),0))</f>
        <v>3406</v>
      </c>
      <c r="L179">
        <f>MAX(0,ROUND(SUMIFS(m6_cv!$E:$E,m6_cv!$A:$A,$E179,m6_cv!$B:$B,$A179),0))</f>
        <v>962</v>
      </c>
      <c r="M179">
        <f>MAX(0,ROUND(SUMIFS(m7_cv!$E:$E,m7_cv!$A:$A,$E179,m7_cv!$B:$B,$A179),0))</f>
        <v>3457</v>
      </c>
      <c r="N179">
        <f>ROUND(_xlfn.XLOOKUP($D179,Charts!$W$86:$W$116,Charts!$X$86:$X$116)*$L179+_xlfn.XLOOKUP($D179,Charts!$W$86:$W$116,Charts!$Y$86:$Y$116)*$M179,0)</f>
        <v>962</v>
      </c>
      <c r="O179">
        <f>MAX(0,ROUND(SUMIFS(m8_cv!$E:$E,m8_cv!$A:$A,$E179,m8_cv!$B:$B,$A179),0))</f>
        <v>3109</v>
      </c>
    </row>
    <row r="180" spans="1:15" x14ac:dyDescent="0.25">
      <c r="A180" s="3">
        <f t="shared" si="14"/>
        <v>45836</v>
      </c>
      <c r="B180">
        <f t="shared" si="10"/>
        <v>2025</v>
      </c>
      <c r="C180">
        <f t="shared" si="11"/>
        <v>6</v>
      </c>
      <c r="D180">
        <f t="shared" si="12"/>
        <v>28</v>
      </c>
      <c r="E180" s="2">
        <f t="shared" si="13"/>
        <v>45808</v>
      </c>
      <c r="F180" s="12">
        <f>_xlfn.XLOOKUP($A180,m1_cv!$B:$B,m1_cv!$C:$C)</f>
        <v>2326</v>
      </c>
      <c r="G180">
        <f>MAX(0,ROUND(SUMIFS(m1_cv!$E:$E,m1_cv!$A:$A,$E180,m1_cv!$B:$B,$A180),0))</f>
        <v>742</v>
      </c>
      <c r="H180">
        <f>MAX(0,ROUND(SUMIFS(m2_cv!$E:$E,m2_cv!$A:$A,$E180,m2_cv!$B:$B,$A180),0))</f>
        <v>2242</v>
      </c>
      <c r="I180">
        <f>MAX(0,ROUND(SUMIFS(m3_cv!$E:$E,m3_cv!$A:$A,$E180,m3_cv!$B:$B,$A180),0))</f>
        <v>2362</v>
      </c>
      <c r="J180">
        <f>MAX(0,ROUND(SUMIFS(m4_cv!$E:$E,m4_cv!$A:$A,$E180,m4_cv!$B:$B,$A180),0))</f>
        <v>2362</v>
      </c>
      <c r="K180">
        <f>MAX(0,ROUND(SUMIFS(m5_cv!$E:$E,m5_cv!$A:$A,$E180,m5_cv!$B:$B,$A180),0))</f>
        <v>2852</v>
      </c>
      <c r="L180">
        <f>MAX(0,ROUND(SUMIFS(m6_cv!$E:$E,m6_cv!$A:$A,$E180,m6_cv!$B:$B,$A180),0))</f>
        <v>1224</v>
      </c>
      <c r="M180">
        <f>MAX(0,ROUND(SUMIFS(m7_cv!$E:$E,m7_cv!$A:$A,$E180,m7_cv!$B:$B,$A180),0))</f>
        <v>2720</v>
      </c>
      <c r="N180">
        <f>ROUND(_xlfn.XLOOKUP($D180,Charts!$W$86:$W$116,Charts!$X$86:$X$116)*$L180+_xlfn.XLOOKUP($D180,Charts!$W$86:$W$116,Charts!$Y$86:$Y$116)*$M180,0)</f>
        <v>1224</v>
      </c>
      <c r="O180">
        <f>MAX(0,ROUND(SUMIFS(m8_cv!$E:$E,m8_cv!$A:$A,$E180,m8_cv!$B:$B,$A180),0))</f>
        <v>2652</v>
      </c>
    </row>
    <row r="181" spans="1:15" x14ac:dyDescent="0.25">
      <c r="A181" s="3">
        <f t="shared" si="14"/>
        <v>45837</v>
      </c>
      <c r="B181">
        <f t="shared" si="10"/>
        <v>2025</v>
      </c>
      <c r="C181">
        <f t="shared" si="11"/>
        <v>6</v>
      </c>
      <c r="D181">
        <f t="shared" si="12"/>
        <v>29</v>
      </c>
      <c r="E181" s="2">
        <f t="shared" si="13"/>
        <v>45808</v>
      </c>
      <c r="F181" s="12">
        <f>_xlfn.XLOOKUP($A181,m1_cv!$B:$B,m1_cv!$C:$C)</f>
        <v>427</v>
      </c>
      <c r="G181">
        <f>MAX(0,ROUND(SUMIFS(m1_cv!$E:$E,m1_cv!$A:$A,$E181,m1_cv!$B:$B,$A181),0))</f>
        <v>178</v>
      </c>
      <c r="H181">
        <f>MAX(0,ROUND(SUMIFS(m2_cv!$E:$E,m2_cv!$A:$A,$E181,m2_cv!$B:$B,$A181),0))</f>
        <v>2824</v>
      </c>
      <c r="I181">
        <f>MAX(0,ROUND(SUMIFS(m3_cv!$E:$E,m3_cv!$A:$A,$E181,m3_cv!$B:$B,$A181),0))</f>
        <v>2963</v>
      </c>
      <c r="J181">
        <f>MAX(0,ROUND(SUMIFS(m4_cv!$E:$E,m4_cv!$A:$A,$E181,m4_cv!$B:$B,$A181),0))</f>
        <v>2963</v>
      </c>
      <c r="K181">
        <f>MAX(0,ROUND(SUMIFS(m5_cv!$E:$E,m5_cv!$A:$A,$E181,m5_cv!$B:$B,$A181),0))</f>
        <v>4698</v>
      </c>
      <c r="L181">
        <f>MAX(0,ROUND(SUMIFS(m6_cv!$E:$E,m6_cv!$A:$A,$E181,m6_cv!$B:$B,$A181),0))</f>
        <v>804</v>
      </c>
      <c r="M181">
        <f>MAX(0,ROUND(SUMIFS(m7_cv!$E:$E,m7_cv!$A:$A,$E181,m7_cv!$B:$B,$A181),0))</f>
        <v>4555</v>
      </c>
      <c r="N181">
        <f>ROUND(_xlfn.XLOOKUP($D181,Charts!$W$86:$W$116,Charts!$X$86:$X$116)*$L181+_xlfn.XLOOKUP($D181,Charts!$W$86:$W$116,Charts!$Y$86:$Y$116)*$M181,0)</f>
        <v>4555</v>
      </c>
      <c r="O181">
        <f>MAX(0,ROUND(SUMIFS(m8_cv!$E:$E,m8_cv!$A:$A,$E181,m8_cv!$B:$B,$A181),0))</f>
        <v>4398</v>
      </c>
    </row>
    <row r="182" spans="1:15" x14ac:dyDescent="0.25">
      <c r="A182" s="3">
        <f t="shared" si="14"/>
        <v>45838</v>
      </c>
      <c r="B182">
        <f t="shared" si="10"/>
        <v>2025</v>
      </c>
      <c r="C182">
        <f t="shared" si="11"/>
        <v>6</v>
      </c>
      <c r="D182">
        <f t="shared" si="12"/>
        <v>30</v>
      </c>
      <c r="E182" s="2">
        <f t="shared" si="13"/>
        <v>45808</v>
      </c>
      <c r="F182" s="12">
        <f>_xlfn.XLOOKUP($A182,m1_cv!$B:$B,m1_cv!$C:$C)</f>
        <v>13624</v>
      </c>
      <c r="G182">
        <f>MAX(0,ROUND(SUMIFS(m1_cv!$E:$E,m1_cv!$A:$A,$E182,m1_cv!$B:$B,$A182),0))</f>
        <v>2437</v>
      </c>
      <c r="H182">
        <f>MAX(0,ROUND(SUMIFS(m2_cv!$E:$E,m2_cv!$A:$A,$E182,m2_cv!$B:$B,$A182),0))</f>
        <v>5915</v>
      </c>
      <c r="I182">
        <f>MAX(0,ROUND(SUMIFS(m3_cv!$E:$E,m3_cv!$A:$A,$E182,m3_cv!$B:$B,$A182),0))</f>
        <v>6355</v>
      </c>
      <c r="J182">
        <f>MAX(0,ROUND(SUMIFS(m4_cv!$E:$E,m4_cv!$A:$A,$E182,m4_cv!$B:$B,$A182),0))</f>
        <v>6355</v>
      </c>
      <c r="K182">
        <f>MAX(0,ROUND(SUMIFS(m5_cv!$E:$E,m5_cv!$A:$A,$E182,m5_cv!$B:$B,$A182),0))</f>
        <v>9215</v>
      </c>
      <c r="L182">
        <f>MAX(0,ROUND(SUMIFS(m6_cv!$E:$E,m6_cv!$A:$A,$E182,m6_cv!$B:$B,$A182),0))</f>
        <v>13940</v>
      </c>
      <c r="M182">
        <f>MAX(0,ROUND(SUMIFS(m7_cv!$E:$E,m7_cv!$A:$A,$E182,m7_cv!$B:$B,$A182),0))</f>
        <v>9518</v>
      </c>
      <c r="N182">
        <f>ROUND(_xlfn.XLOOKUP($D182,Charts!$W$86:$W$116,Charts!$X$86:$X$116)*$L182+_xlfn.XLOOKUP($D182,Charts!$W$86:$W$116,Charts!$Y$86:$Y$116)*$M182,0)</f>
        <v>9518</v>
      </c>
      <c r="O182">
        <f>MAX(0,ROUND(SUMIFS(m8_cv!$E:$E,m8_cv!$A:$A,$E182,m8_cv!$B:$B,$A182),0))</f>
        <v>9335</v>
      </c>
    </row>
    <row r="183" spans="1:15" x14ac:dyDescent="0.25">
      <c r="A183" s="3">
        <f t="shared" si="14"/>
        <v>45839</v>
      </c>
      <c r="B183">
        <f t="shared" si="10"/>
        <v>2025</v>
      </c>
      <c r="C183">
        <f t="shared" si="11"/>
        <v>7</v>
      </c>
      <c r="D183">
        <f t="shared" si="12"/>
        <v>1</v>
      </c>
      <c r="E183" s="2">
        <f t="shared" si="13"/>
        <v>45838</v>
      </c>
      <c r="F183" s="12">
        <f>_xlfn.XLOOKUP($A183,m1_cv!$B:$B,m1_cv!$C:$C)</f>
        <v>624</v>
      </c>
      <c r="G183">
        <f>MAX(0,ROUND(SUMIFS(m1_cv!$E:$E,m1_cv!$A:$A,$E183,m1_cv!$B:$B,$A183),0))</f>
        <v>3245</v>
      </c>
      <c r="H183">
        <f>MAX(0,ROUND(SUMIFS(m2_cv!$E:$E,m2_cv!$A:$A,$E183,m2_cv!$B:$B,$A183),0))</f>
        <v>6393</v>
      </c>
      <c r="I183">
        <f>MAX(0,ROUND(SUMIFS(m3_cv!$E:$E,m3_cv!$A:$A,$E183,m3_cv!$B:$B,$A183),0))</f>
        <v>6698</v>
      </c>
      <c r="J183">
        <f>MAX(0,ROUND(SUMIFS(m4_cv!$E:$E,m4_cv!$A:$A,$E183,m4_cv!$B:$B,$A183),0))</f>
        <v>6690</v>
      </c>
      <c r="K183">
        <f>MAX(0,ROUND(SUMIFS(m5_cv!$E:$E,m5_cv!$A:$A,$E183,m5_cv!$B:$B,$A183),0))</f>
        <v>2800</v>
      </c>
      <c r="L183">
        <f>MAX(0,ROUND(SUMIFS(m6_cv!$E:$E,m6_cv!$A:$A,$E183,m6_cv!$B:$B,$A183),0))</f>
        <v>1169</v>
      </c>
      <c r="M183">
        <f>MAX(0,ROUND(SUMIFS(m7_cv!$E:$E,m7_cv!$A:$A,$E183,m7_cv!$B:$B,$A183),0))</f>
        <v>3087</v>
      </c>
      <c r="N183">
        <f>ROUND(_xlfn.XLOOKUP($D183,Charts!$W$86:$W$116,Charts!$X$86:$X$116)*$L183+_xlfn.XLOOKUP($D183,Charts!$W$86:$W$116,Charts!$Y$86:$Y$116)*$M183,0)</f>
        <v>1169</v>
      </c>
      <c r="O183">
        <f>MAX(0,ROUND(SUMIFS(m8_cv!$E:$E,m8_cv!$A:$A,$E183,m8_cv!$B:$B,$A183),0))</f>
        <v>3102</v>
      </c>
    </row>
    <row r="184" spans="1:15" x14ac:dyDescent="0.25">
      <c r="A184" s="3">
        <f t="shared" si="14"/>
        <v>45840</v>
      </c>
      <c r="B184">
        <f t="shared" si="10"/>
        <v>2025</v>
      </c>
      <c r="C184">
        <f t="shared" si="11"/>
        <v>7</v>
      </c>
      <c r="D184">
        <f t="shared" si="12"/>
        <v>2</v>
      </c>
      <c r="E184" s="2">
        <f t="shared" si="13"/>
        <v>45838</v>
      </c>
      <c r="F184" s="12">
        <f>_xlfn.XLOOKUP($A184,m1_cv!$B:$B,m1_cv!$C:$C)</f>
        <v>733</v>
      </c>
      <c r="G184">
        <f>MAX(0,ROUND(SUMIFS(m1_cv!$E:$E,m1_cv!$A:$A,$E184,m1_cv!$B:$B,$A184),0))</f>
        <v>3287</v>
      </c>
      <c r="H184">
        <f>MAX(0,ROUND(SUMIFS(m2_cv!$E:$E,m2_cv!$A:$A,$E184,m2_cv!$B:$B,$A184),0))</f>
        <v>5172</v>
      </c>
      <c r="I184">
        <f>MAX(0,ROUND(SUMIFS(m3_cv!$E:$E,m3_cv!$A:$A,$E184,m3_cv!$B:$B,$A184),0))</f>
        <v>5582</v>
      </c>
      <c r="J184">
        <f>MAX(0,ROUND(SUMIFS(m4_cv!$E:$E,m4_cv!$A:$A,$E184,m4_cv!$B:$B,$A184),0))</f>
        <v>5575</v>
      </c>
      <c r="K184">
        <f>MAX(0,ROUND(SUMIFS(m5_cv!$E:$E,m5_cv!$A:$A,$E184,m5_cv!$B:$B,$A184),0))</f>
        <v>2245</v>
      </c>
      <c r="L184">
        <f>MAX(0,ROUND(SUMIFS(m6_cv!$E:$E,m6_cv!$A:$A,$E184,m6_cv!$B:$B,$A184),0))</f>
        <v>776</v>
      </c>
      <c r="M184">
        <f>MAX(0,ROUND(SUMIFS(m7_cv!$E:$E,m7_cv!$A:$A,$E184,m7_cv!$B:$B,$A184),0))</f>
        <v>1939</v>
      </c>
      <c r="N184">
        <f>ROUND(_xlfn.XLOOKUP($D184,Charts!$W$86:$W$116,Charts!$X$86:$X$116)*$L184+_xlfn.XLOOKUP($D184,Charts!$W$86:$W$116,Charts!$Y$86:$Y$116)*$M184,0)</f>
        <v>776</v>
      </c>
      <c r="O184">
        <f>MAX(0,ROUND(SUMIFS(m8_cv!$E:$E,m8_cv!$A:$A,$E184,m8_cv!$B:$B,$A184),0))</f>
        <v>2035</v>
      </c>
    </row>
    <row r="185" spans="1:15" x14ac:dyDescent="0.25">
      <c r="A185" s="3">
        <f t="shared" si="14"/>
        <v>45841</v>
      </c>
      <c r="B185">
        <f t="shared" si="10"/>
        <v>2025</v>
      </c>
      <c r="C185">
        <f t="shared" si="11"/>
        <v>7</v>
      </c>
      <c r="D185">
        <f t="shared" si="12"/>
        <v>3</v>
      </c>
      <c r="E185" s="2">
        <f t="shared" si="13"/>
        <v>45838</v>
      </c>
      <c r="F185" s="12">
        <f>_xlfn.XLOOKUP($A185,m1_cv!$B:$B,m1_cv!$C:$C)</f>
        <v>1036</v>
      </c>
      <c r="G185">
        <f>MAX(0,ROUND(SUMIFS(m1_cv!$E:$E,m1_cv!$A:$A,$E185,m1_cv!$B:$B,$A185),0))</f>
        <v>3285</v>
      </c>
      <c r="H185">
        <f>MAX(0,ROUND(SUMIFS(m2_cv!$E:$E,m2_cv!$A:$A,$E185,m2_cv!$B:$B,$A185),0))</f>
        <v>3329</v>
      </c>
      <c r="I185">
        <f>MAX(0,ROUND(SUMIFS(m3_cv!$E:$E,m3_cv!$A:$A,$E185,m3_cv!$B:$B,$A185),0))</f>
        <v>3718</v>
      </c>
      <c r="J185">
        <f>MAX(0,ROUND(SUMIFS(m4_cv!$E:$E,m4_cv!$A:$A,$E185,m4_cv!$B:$B,$A185),0))</f>
        <v>3709</v>
      </c>
      <c r="K185">
        <f>MAX(0,ROUND(SUMIFS(m5_cv!$E:$E,m5_cv!$A:$A,$E185,m5_cv!$B:$B,$A185),0))</f>
        <v>1714</v>
      </c>
      <c r="L185">
        <f>MAX(0,ROUND(SUMIFS(m6_cv!$E:$E,m6_cv!$A:$A,$E185,m6_cv!$B:$B,$A185),0))</f>
        <v>1107</v>
      </c>
      <c r="M185">
        <f>MAX(0,ROUND(SUMIFS(m7_cv!$E:$E,m7_cv!$A:$A,$E185,m7_cv!$B:$B,$A185),0))</f>
        <v>1423</v>
      </c>
      <c r="N185">
        <f>ROUND(_xlfn.XLOOKUP($D185,Charts!$W$86:$W$116,Charts!$X$86:$X$116)*$L185+_xlfn.XLOOKUP($D185,Charts!$W$86:$W$116,Charts!$Y$86:$Y$116)*$M185,0)</f>
        <v>1107</v>
      </c>
      <c r="O185">
        <f>MAX(0,ROUND(SUMIFS(m8_cv!$E:$E,m8_cv!$A:$A,$E185,m8_cv!$B:$B,$A185),0))</f>
        <v>1650</v>
      </c>
    </row>
    <row r="186" spans="1:15" x14ac:dyDescent="0.25">
      <c r="A186" s="3">
        <f t="shared" si="14"/>
        <v>45842</v>
      </c>
      <c r="B186">
        <f t="shared" si="10"/>
        <v>2025</v>
      </c>
      <c r="C186">
        <f t="shared" si="11"/>
        <v>7</v>
      </c>
      <c r="D186">
        <f t="shared" si="12"/>
        <v>4</v>
      </c>
      <c r="E186" s="2">
        <f t="shared" si="13"/>
        <v>45838</v>
      </c>
      <c r="F186" s="12">
        <f>_xlfn.XLOOKUP($A186,m1_cv!$B:$B,m1_cv!$C:$C)</f>
        <v>1189</v>
      </c>
      <c r="G186">
        <f>MAX(0,ROUND(SUMIFS(m1_cv!$E:$E,m1_cv!$A:$A,$E186,m1_cv!$B:$B,$A186),0))</f>
        <v>3266</v>
      </c>
      <c r="H186">
        <f>MAX(0,ROUND(SUMIFS(m2_cv!$E:$E,m2_cv!$A:$A,$E186,m2_cv!$B:$B,$A186),0))</f>
        <v>1725</v>
      </c>
      <c r="I186">
        <f>MAX(0,ROUND(SUMIFS(m3_cv!$E:$E,m3_cv!$A:$A,$E186,m3_cv!$B:$B,$A186),0))</f>
        <v>2020</v>
      </c>
      <c r="J186">
        <f>MAX(0,ROUND(SUMIFS(m4_cv!$E:$E,m4_cv!$A:$A,$E186,m4_cv!$B:$B,$A186),0))</f>
        <v>2010</v>
      </c>
      <c r="K186">
        <f>MAX(0,ROUND(SUMIFS(m5_cv!$E:$E,m5_cv!$A:$A,$E186,m5_cv!$B:$B,$A186),0))</f>
        <v>1323</v>
      </c>
      <c r="L186">
        <f>MAX(0,ROUND(SUMIFS(m6_cv!$E:$E,m6_cv!$A:$A,$E186,m6_cv!$B:$B,$A186),0))</f>
        <v>866</v>
      </c>
      <c r="M186">
        <f>MAX(0,ROUND(SUMIFS(m7_cv!$E:$E,m7_cv!$A:$A,$E186,m7_cv!$B:$B,$A186),0))</f>
        <v>1400</v>
      </c>
      <c r="N186">
        <f>ROUND(_xlfn.XLOOKUP($D186,Charts!$W$86:$W$116,Charts!$X$86:$X$116)*$L186+_xlfn.XLOOKUP($D186,Charts!$W$86:$W$116,Charts!$Y$86:$Y$116)*$M186,0)</f>
        <v>866</v>
      </c>
      <c r="O186">
        <f>MAX(0,ROUND(SUMIFS(m8_cv!$E:$E,m8_cv!$A:$A,$E186,m8_cv!$B:$B,$A186),0))</f>
        <v>1571</v>
      </c>
    </row>
    <row r="187" spans="1:15" x14ac:dyDescent="0.25">
      <c r="A187" s="3">
        <f t="shared" si="14"/>
        <v>45843</v>
      </c>
      <c r="B187">
        <f t="shared" si="10"/>
        <v>2025</v>
      </c>
      <c r="C187">
        <f t="shared" si="11"/>
        <v>7</v>
      </c>
      <c r="D187">
        <f t="shared" si="12"/>
        <v>5</v>
      </c>
      <c r="E187" s="2">
        <f t="shared" si="13"/>
        <v>45838</v>
      </c>
      <c r="F187" s="12">
        <f>_xlfn.XLOOKUP($A187,m1_cv!$B:$B,m1_cv!$C:$C)</f>
        <v>170</v>
      </c>
      <c r="G187">
        <f>MAX(0,ROUND(SUMIFS(m1_cv!$E:$E,m1_cv!$A:$A,$E187,m1_cv!$B:$B,$A187),0))</f>
        <v>1019</v>
      </c>
      <c r="H187">
        <f>MAX(0,ROUND(SUMIFS(m2_cv!$E:$E,m2_cv!$A:$A,$E187,m2_cv!$B:$B,$A187),0))</f>
        <v>0</v>
      </c>
      <c r="I187">
        <f>MAX(0,ROUND(SUMIFS(m3_cv!$E:$E,m3_cv!$A:$A,$E187,m3_cv!$B:$B,$A187),0))</f>
        <v>0</v>
      </c>
      <c r="J187">
        <f>MAX(0,ROUND(SUMIFS(m4_cv!$E:$E,m4_cv!$A:$A,$E187,m4_cv!$B:$B,$A187),0))</f>
        <v>0</v>
      </c>
      <c r="K187">
        <f>MAX(0,ROUND(SUMIFS(m5_cv!$E:$E,m5_cv!$A:$A,$E187,m5_cv!$B:$B,$A187),0))</f>
        <v>0</v>
      </c>
      <c r="L187">
        <f>MAX(0,ROUND(SUMIFS(m6_cv!$E:$E,m6_cv!$A:$A,$E187,m6_cv!$B:$B,$A187),0))</f>
        <v>129</v>
      </c>
      <c r="M187">
        <f>MAX(0,ROUND(SUMIFS(m7_cv!$E:$E,m7_cv!$A:$A,$E187,m7_cv!$B:$B,$A187),0))</f>
        <v>0</v>
      </c>
      <c r="N187">
        <f>ROUND(_xlfn.XLOOKUP($D187,Charts!$W$86:$W$116,Charts!$X$86:$X$116)*$L187+_xlfn.XLOOKUP($D187,Charts!$W$86:$W$116,Charts!$Y$86:$Y$116)*$M187,0)</f>
        <v>103</v>
      </c>
      <c r="O187">
        <f>MAX(0,ROUND(SUMIFS(m8_cv!$E:$E,m8_cv!$A:$A,$E187,m8_cv!$B:$B,$A187),0))</f>
        <v>0</v>
      </c>
    </row>
    <row r="188" spans="1:15" x14ac:dyDescent="0.25">
      <c r="A188" s="3">
        <f t="shared" si="14"/>
        <v>45844</v>
      </c>
      <c r="B188">
        <f t="shared" si="10"/>
        <v>2025</v>
      </c>
      <c r="C188">
        <f t="shared" si="11"/>
        <v>7</v>
      </c>
      <c r="D188">
        <f t="shared" si="12"/>
        <v>6</v>
      </c>
      <c r="E188" s="2">
        <f t="shared" si="13"/>
        <v>45838</v>
      </c>
      <c r="F188" s="12">
        <f>_xlfn.XLOOKUP($A188,m1_cv!$B:$B,m1_cv!$C:$C)</f>
        <v>30</v>
      </c>
      <c r="G188">
        <f>MAX(0,ROUND(SUMIFS(m1_cv!$E:$E,m1_cv!$A:$A,$E188,m1_cv!$B:$B,$A188),0))</f>
        <v>455</v>
      </c>
      <c r="H188">
        <f>MAX(0,ROUND(SUMIFS(m2_cv!$E:$E,m2_cv!$A:$A,$E188,m2_cv!$B:$B,$A188),0))</f>
        <v>0</v>
      </c>
      <c r="I188">
        <f>MAX(0,ROUND(SUMIFS(m3_cv!$E:$E,m3_cv!$A:$A,$E188,m3_cv!$B:$B,$A188),0))</f>
        <v>0</v>
      </c>
      <c r="J188">
        <f>MAX(0,ROUND(SUMIFS(m4_cv!$E:$E,m4_cv!$A:$A,$E188,m4_cv!$B:$B,$A188),0))</f>
        <v>0</v>
      </c>
      <c r="K188">
        <f>MAX(0,ROUND(SUMIFS(m5_cv!$E:$E,m5_cv!$A:$A,$E188,m5_cv!$B:$B,$A188),0))</f>
        <v>0</v>
      </c>
      <c r="L188">
        <f>MAX(0,ROUND(SUMIFS(m6_cv!$E:$E,m6_cv!$A:$A,$E188,m6_cv!$B:$B,$A188),0))</f>
        <v>49</v>
      </c>
      <c r="M188">
        <f>MAX(0,ROUND(SUMIFS(m7_cv!$E:$E,m7_cv!$A:$A,$E188,m7_cv!$B:$B,$A188),0))</f>
        <v>0</v>
      </c>
      <c r="N188">
        <f>ROUND(_xlfn.XLOOKUP($D188,Charts!$W$86:$W$116,Charts!$X$86:$X$116)*$L188+_xlfn.XLOOKUP($D188,Charts!$W$86:$W$116,Charts!$Y$86:$Y$116)*$M188,0)</f>
        <v>25</v>
      </c>
      <c r="O188">
        <f>MAX(0,ROUND(SUMIFS(m8_cv!$E:$E,m8_cv!$A:$A,$E188,m8_cv!$B:$B,$A188),0))</f>
        <v>0</v>
      </c>
    </row>
    <row r="189" spans="1:15" x14ac:dyDescent="0.25">
      <c r="A189" s="3">
        <f t="shared" si="14"/>
        <v>45845</v>
      </c>
      <c r="B189">
        <f t="shared" si="10"/>
        <v>2025</v>
      </c>
      <c r="C189">
        <f t="shared" si="11"/>
        <v>7</v>
      </c>
      <c r="D189">
        <f t="shared" si="12"/>
        <v>7</v>
      </c>
      <c r="E189" s="2">
        <f t="shared" si="13"/>
        <v>45838</v>
      </c>
      <c r="F189" s="12">
        <f>_xlfn.XLOOKUP($A189,m1_cv!$B:$B,m1_cv!$C:$C)</f>
        <v>1218</v>
      </c>
      <c r="G189">
        <f>MAX(0,ROUND(SUMIFS(m1_cv!$E:$E,m1_cv!$A:$A,$E189,m1_cv!$B:$B,$A189),0))</f>
        <v>2754</v>
      </c>
      <c r="H189">
        <f>MAX(0,ROUND(SUMIFS(m2_cv!$E:$E,m2_cv!$A:$A,$E189,m2_cv!$B:$B,$A189),0))</f>
        <v>1048</v>
      </c>
      <c r="I189">
        <f>MAX(0,ROUND(SUMIFS(m3_cv!$E:$E,m3_cv!$A:$A,$E189,m3_cv!$B:$B,$A189),0))</f>
        <v>1516</v>
      </c>
      <c r="J189">
        <f>MAX(0,ROUND(SUMIFS(m4_cv!$E:$E,m4_cv!$A:$A,$E189,m4_cv!$B:$B,$A189),0))</f>
        <v>1505</v>
      </c>
      <c r="K189">
        <f>MAX(0,ROUND(SUMIFS(m5_cv!$E:$E,m5_cv!$A:$A,$E189,m5_cv!$B:$B,$A189),0))</f>
        <v>1341</v>
      </c>
      <c r="L189">
        <f>MAX(0,ROUND(SUMIFS(m6_cv!$E:$E,m6_cv!$A:$A,$E189,m6_cv!$B:$B,$A189),0))</f>
        <v>665</v>
      </c>
      <c r="M189">
        <f>MAX(0,ROUND(SUMIFS(m7_cv!$E:$E,m7_cv!$A:$A,$E189,m7_cv!$B:$B,$A189),0))</f>
        <v>1262</v>
      </c>
      <c r="N189">
        <f>ROUND(_xlfn.XLOOKUP($D189,Charts!$W$86:$W$116,Charts!$X$86:$X$116)*$L189+_xlfn.XLOOKUP($D189,Charts!$W$86:$W$116,Charts!$Y$86:$Y$116)*$M189,0)</f>
        <v>964</v>
      </c>
      <c r="O189">
        <f>MAX(0,ROUND(SUMIFS(m8_cv!$E:$E,m8_cv!$A:$A,$E189,m8_cv!$B:$B,$A189),0))</f>
        <v>1366</v>
      </c>
    </row>
    <row r="190" spans="1:15" x14ac:dyDescent="0.25">
      <c r="A190" s="3">
        <f t="shared" si="14"/>
        <v>45846</v>
      </c>
      <c r="B190">
        <f t="shared" si="10"/>
        <v>2025</v>
      </c>
      <c r="C190">
        <f t="shared" si="11"/>
        <v>7</v>
      </c>
      <c r="D190">
        <f t="shared" si="12"/>
        <v>8</v>
      </c>
      <c r="E190" s="2">
        <f t="shared" si="13"/>
        <v>45838</v>
      </c>
      <c r="F190" s="12">
        <f>_xlfn.XLOOKUP($A190,m1_cv!$B:$B,m1_cv!$C:$C)</f>
        <v>1543</v>
      </c>
      <c r="G190">
        <f>MAX(0,ROUND(SUMIFS(m1_cv!$E:$E,m1_cv!$A:$A,$E190,m1_cv!$B:$B,$A190),0))</f>
        <v>3235</v>
      </c>
      <c r="H190">
        <f>MAX(0,ROUND(SUMIFS(m2_cv!$E:$E,m2_cv!$A:$A,$E190,m2_cv!$B:$B,$A190),0))</f>
        <v>1821</v>
      </c>
      <c r="I190">
        <f>MAX(0,ROUND(SUMIFS(m3_cv!$E:$E,m3_cv!$A:$A,$E190,m3_cv!$B:$B,$A190),0))</f>
        <v>2036</v>
      </c>
      <c r="J190">
        <f>MAX(0,ROUND(SUMIFS(m4_cv!$E:$E,m4_cv!$A:$A,$E190,m4_cv!$B:$B,$A190),0))</f>
        <v>2027</v>
      </c>
      <c r="K190">
        <f>MAX(0,ROUND(SUMIFS(m5_cv!$E:$E,m5_cv!$A:$A,$E190,m5_cv!$B:$B,$A190),0))</f>
        <v>2261</v>
      </c>
      <c r="L190">
        <f>MAX(0,ROUND(SUMIFS(m6_cv!$E:$E,m6_cv!$A:$A,$E190,m6_cv!$B:$B,$A190),0))</f>
        <v>1697</v>
      </c>
      <c r="M190">
        <f>MAX(0,ROUND(SUMIFS(m7_cv!$E:$E,m7_cv!$A:$A,$E190,m7_cv!$B:$B,$A190),0))</f>
        <v>2209</v>
      </c>
      <c r="N190">
        <f>ROUND(_xlfn.XLOOKUP($D190,Charts!$W$86:$W$116,Charts!$X$86:$X$116)*$L190+_xlfn.XLOOKUP($D190,Charts!$W$86:$W$116,Charts!$Y$86:$Y$116)*$M190,0)</f>
        <v>1953</v>
      </c>
      <c r="O190">
        <f>MAX(0,ROUND(SUMIFS(m8_cv!$E:$E,m8_cv!$A:$A,$E190,m8_cv!$B:$B,$A190),0))</f>
        <v>2986</v>
      </c>
    </row>
    <row r="191" spans="1:15" x14ac:dyDescent="0.25">
      <c r="A191" s="3">
        <f t="shared" si="14"/>
        <v>45847</v>
      </c>
      <c r="B191">
        <f t="shared" si="10"/>
        <v>2025</v>
      </c>
      <c r="C191">
        <f t="shared" si="11"/>
        <v>7</v>
      </c>
      <c r="D191">
        <f t="shared" si="12"/>
        <v>9</v>
      </c>
      <c r="E191" s="2">
        <f t="shared" si="13"/>
        <v>45838</v>
      </c>
      <c r="F191" s="12">
        <f>_xlfn.XLOOKUP($A191,m1_cv!$B:$B,m1_cv!$C:$C)</f>
        <v>2120</v>
      </c>
      <c r="G191">
        <f>MAX(0,ROUND(SUMIFS(m1_cv!$E:$E,m1_cv!$A:$A,$E191,m1_cv!$B:$B,$A191),0))</f>
        <v>3265</v>
      </c>
      <c r="H191">
        <f>MAX(0,ROUND(SUMIFS(m2_cv!$E:$E,m2_cv!$A:$A,$E191,m2_cv!$B:$B,$A191),0))</f>
        <v>1844</v>
      </c>
      <c r="I191">
        <f>MAX(0,ROUND(SUMIFS(m3_cv!$E:$E,m3_cv!$A:$A,$E191,m3_cv!$B:$B,$A191),0))</f>
        <v>2053</v>
      </c>
      <c r="J191">
        <f>MAX(0,ROUND(SUMIFS(m4_cv!$E:$E,m4_cv!$A:$A,$E191,m4_cv!$B:$B,$A191),0))</f>
        <v>2044</v>
      </c>
      <c r="K191">
        <f>MAX(0,ROUND(SUMIFS(m5_cv!$E:$E,m5_cv!$A:$A,$E191,m5_cv!$B:$B,$A191),0))</f>
        <v>2167</v>
      </c>
      <c r="L191">
        <f>MAX(0,ROUND(SUMIFS(m6_cv!$E:$E,m6_cv!$A:$A,$E191,m6_cv!$B:$B,$A191),0))</f>
        <v>1741</v>
      </c>
      <c r="M191">
        <f>MAX(0,ROUND(SUMIFS(m7_cv!$E:$E,m7_cv!$A:$A,$E191,m7_cv!$B:$B,$A191),0))</f>
        <v>2188</v>
      </c>
      <c r="N191">
        <f>ROUND(_xlfn.XLOOKUP($D191,Charts!$W$86:$W$116,Charts!$X$86:$X$116)*$L191+_xlfn.XLOOKUP($D191,Charts!$W$86:$W$116,Charts!$Y$86:$Y$116)*$M191,0)</f>
        <v>1965</v>
      </c>
      <c r="O191">
        <f>MAX(0,ROUND(SUMIFS(m8_cv!$E:$E,m8_cv!$A:$A,$E191,m8_cv!$B:$B,$A191),0))</f>
        <v>2736</v>
      </c>
    </row>
    <row r="192" spans="1:15" x14ac:dyDescent="0.25">
      <c r="A192" s="3">
        <f t="shared" si="14"/>
        <v>45848</v>
      </c>
      <c r="B192">
        <f t="shared" si="10"/>
        <v>2025</v>
      </c>
      <c r="C192">
        <f t="shared" si="11"/>
        <v>7</v>
      </c>
      <c r="D192">
        <f t="shared" si="12"/>
        <v>10</v>
      </c>
      <c r="E192" s="2">
        <f t="shared" si="13"/>
        <v>45838</v>
      </c>
      <c r="F192" s="12">
        <f>_xlfn.XLOOKUP($A192,m1_cv!$B:$B,m1_cv!$C:$C)</f>
        <v>2298</v>
      </c>
      <c r="G192">
        <f>MAX(0,ROUND(SUMIFS(m1_cv!$E:$E,m1_cv!$A:$A,$E192,m1_cv!$B:$B,$A192),0))</f>
        <v>3252</v>
      </c>
      <c r="H192">
        <f>MAX(0,ROUND(SUMIFS(m2_cv!$E:$E,m2_cv!$A:$A,$E192,m2_cv!$B:$B,$A192),0))</f>
        <v>1719</v>
      </c>
      <c r="I192">
        <f>MAX(0,ROUND(SUMIFS(m3_cv!$E:$E,m3_cv!$A:$A,$E192,m3_cv!$B:$B,$A192),0))</f>
        <v>1881</v>
      </c>
      <c r="J192">
        <f>MAX(0,ROUND(SUMIFS(m4_cv!$E:$E,m4_cv!$A:$A,$E192,m4_cv!$B:$B,$A192),0))</f>
        <v>1870</v>
      </c>
      <c r="K192">
        <f>MAX(0,ROUND(SUMIFS(m5_cv!$E:$E,m5_cv!$A:$A,$E192,m5_cv!$B:$B,$A192),0))</f>
        <v>2009</v>
      </c>
      <c r="L192">
        <f>MAX(0,ROUND(SUMIFS(m6_cv!$E:$E,m6_cv!$A:$A,$E192,m6_cv!$B:$B,$A192),0))</f>
        <v>1671</v>
      </c>
      <c r="M192">
        <f>MAX(0,ROUND(SUMIFS(m7_cv!$E:$E,m7_cv!$A:$A,$E192,m7_cv!$B:$B,$A192),0))</f>
        <v>2044</v>
      </c>
      <c r="N192">
        <f>ROUND(_xlfn.XLOOKUP($D192,Charts!$W$86:$W$116,Charts!$X$86:$X$116)*$L192+_xlfn.XLOOKUP($D192,Charts!$W$86:$W$116,Charts!$Y$86:$Y$116)*$M192,0)</f>
        <v>1858</v>
      </c>
      <c r="O192">
        <f>MAX(0,ROUND(SUMIFS(m8_cv!$E:$E,m8_cv!$A:$A,$E192,m8_cv!$B:$B,$A192),0))</f>
        <v>2302</v>
      </c>
    </row>
    <row r="193" spans="1:15" x14ac:dyDescent="0.25">
      <c r="A193" s="3">
        <f t="shared" si="14"/>
        <v>45849</v>
      </c>
      <c r="B193">
        <f t="shared" si="10"/>
        <v>2025</v>
      </c>
      <c r="C193">
        <f t="shared" si="11"/>
        <v>7</v>
      </c>
      <c r="D193">
        <f t="shared" si="12"/>
        <v>11</v>
      </c>
      <c r="E193" s="2">
        <f t="shared" si="13"/>
        <v>45838</v>
      </c>
      <c r="F193" s="12">
        <f>_xlfn.XLOOKUP($A193,m1_cv!$B:$B,m1_cv!$C:$C)</f>
        <v>2183</v>
      </c>
      <c r="G193">
        <f>MAX(0,ROUND(SUMIFS(m1_cv!$E:$E,m1_cv!$A:$A,$E193,m1_cv!$B:$B,$A193),0))</f>
        <v>3223</v>
      </c>
      <c r="H193">
        <f>MAX(0,ROUND(SUMIFS(m2_cv!$E:$E,m2_cv!$A:$A,$E193,m2_cv!$B:$B,$A193),0))</f>
        <v>1723</v>
      </c>
      <c r="I193">
        <f>MAX(0,ROUND(SUMIFS(m3_cv!$E:$E,m3_cv!$A:$A,$E193,m3_cv!$B:$B,$A193),0))</f>
        <v>1860</v>
      </c>
      <c r="J193">
        <f>MAX(0,ROUND(SUMIFS(m4_cv!$E:$E,m4_cv!$A:$A,$E193,m4_cv!$B:$B,$A193),0))</f>
        <v>1848</v>
      </c>
      <c r="K193">
        <f>MAX(0,ROUND(SUMIFS(m5_cv!$E:$E,m5_cv!$A:$A,$E193,m5_cv!$B:$B,$A193),0))</f>
        <v>1964</v>
      </c>
      <c r="L193">
        <f>MAX(0,ROUND(SUMIFS(m6_cv!$E:$E,m6_cv!$A:$A,$E193,m6_cv!$B:$B,$A193),0))</f>
        <v>1492</v>
      </c>
      <c r="M193">
        <f>MAX(0,ROUND(SUMIFS(m7_cv!$E:$E,m7_cv!$A:$A,$E193,m7_cv!$B:$B,$A193),0))</f>
        <v>1939</v>
      </c>
      <c r="N193">
        <f>ROUND(_xlfn.XLOOKUP($D193,Charts!$W$86:$W$116,Charts!$X$86:$X$116)*$L193+_xlfn.XLOOKUP($D193,Charts!$W$86:$W$116,Charts!$Y$86:$Y$116)*$M193,0)</f>
        <v>1805</v>
      </c>
      <c r="O193">
        <f>MAX(0,ROUND(SUMIFS(m8_cv!$E:$E,m8_cv!$A:$A,$E193,m8_cv!$B:$B,$A193),0))</f>
        <v>2050</v>
      </c>
    </row>
    <row r="194" spans="1:15" x14ac:dyDescent="0.25">
      <c r="A194" s="3">
        <f t="shared" si="14"/>
        <v>45850</v>
      </c>
      <c r="B194">
        <f t="shared" si="10"/>
        <v>2025</v>
      </c>
      <c r="C194">
        <f t="shared" si="11"/>
        <v>7</v>
      </c>
      <c r="D194">
        <f t="shared" si="12"/>
        <v>12</v>
      </c>
      <c r="E194" s="2">
        <f t="shared" si="13"/>
        <v>45838</v>
      </c>
      <c r="F194" s="12">
        <f>_xlfn.XLOOKUP($A194,m1_cv!$B:$B,m1_cv!$C:$C)</f>
        <v>462</v>
      </c>
      <c r="G194">
        <f>MAX(0,ROUND(SUMIFS(m1_cv!$E:$E,m1_cv!$A:$A,$E194,m1_cv!$B:$B,$A194),0))</f>
        <v>969</v>
      </c>
      <c r="H194">
        <f>MAX(0,ROUND(SUMIFS(m2_cv!$E:$E,m2_cv!$A:$A,$E194,m2_cv!$B:$B,$A194),0))</f>
        <v>0</v>
      </c>
      <c r="I194">
        <f>MAX(0,ROUND(SUMIFS(m3_cv!$E:$E,m3_cv!$A:$A,$E194,m3_cv!$B:$B,$A194),0))</f>
        <v>0</v>
      </c>
      <c r="J194">
        <f>MAX(0,ROUND(SUMIFS(m4_cv!$E:$E,m4_cv!$A:$A,$E194,m4_cv!$B:$B,$A194),0))</f>
        <v>0</v>
      </c>
      <c r="K194">
        <f>MAX(0,ROUND(SUMIFS(m5_cv!$E:$E,m5_cv!$A:$A,$E194,m5_cv!$B:$B,$A194),0))</f>
        <v>0</v>
      </c>
      <c r="L194">
        <f>MAX(0,ROUND(SUMIFS(m6_cv!$E:$E,m6_cv!$A:$A,$E194,m6_cv!$B:$B,$A194),0))</f>
        <v>254</v>
      </c>
      <c r="M194">
        <f>MAX(0,ROUND(SUMIFS(m7_cv!$E:$E,m7_cv!$A:$A,$E194,m7_cv!$B:$B,$A194),0))</f>
        <v>0</v>
      </c>
      <c r="N194">
        <f>ROUND(_xlfn.XLOOKUP($D194,Charts!$W$86:$W$116,Charts!$X$86:$X$116)*$L194+_xlfn.XLOOKUP($D194,Charts!$W$86:$W$116,Charts!$Y$86:$Y$116)*$M194,0)</f>
        <v>76</v>
      </c>
      <c r="O194">
        <f>MAX(0,ROUND(SUMIFS(m8_cv!$E:$E,m8_cv!$A:$A,$E194,m8_cv!$B:$B,$A194),0))</f>
        <v>0</v>
      </c>
    </row>
    <row r="195" spans="1:15" x14ac:dyDescent="0.25">
      <c r="A195" s="3">
        <f t="shared" si="14"/>
        <v>45851</v>
      </c>
      <c r="B195">
        <f t="shared" ref="B195:B258" si="15">YEAR(A195)</f>
        <v>2025</v>
      </c>
      <c r="C195">
        <f t="shared" ref="C195:C258" si="16">MONTH($A195)</f>
        <v>7</v>
      </c>
      <c r="D195">
        <f t="shared" ref="D195:D258" si="17">DAY($A195)</f>
        <v>13</v>
      </c>
      <c r="E195" s="2">
        <f t="shared" ref="E195:E258" si="18">DATE($B195,$C195,1)-1</f>
        <v>45838</v>
      </c>
      <c r="F195" s="12">
        <f>_xlfn.XLOOKUP($A195,m1_cv!$B:$B,m1_cv!$C:$C)</f>
        <v>114</v>
      </c>
      <c r="G195">
        <f>MAX(0,ROUND(SUMIFS(m1_cv!$E:$E,m1_cv!$A:$A,$E195,m1_cv!$B:$B,$A195),0))</f>
        <v>398</v>
      </c>
      <c r="H195">
        <f>MAX(0,ROUND(SUMIFS(m2_cv!$E:$E,m2_cv!$A:$A,$E195,m2_cv!$B:$B,$A195),0))</f>
        <v>0</v>
      </c>
      <c r="I195">
        <f>MAX(0,ROUND(SUMIFS(m3_cv!$E:$E,m3_cv!$A:$A,$E195,m3_cv!$B:$B,$A195),0))</f>
        <v>0</v>
      </c>
      <c r="J195">
        <f>MAX(0,ROUND(SUMIFS(m4_cv!$E:$E,m4_cv!$A:$A,$E195,m4_cv!$B:$B,$A195),0))</f>
        <v>0</v>
      </c>
      <c r="K195">
        <f>MAX(0,ROUND(SUMIFS(m5_cv!$E:$E,m5_cv!$A:$A,$E195,m5_cv!$B:$B,$A195),0))</f>
        <v>0</v>
      </c>
      <c r="L195">
        <f>MAX(0,ROUND(SUMIFS(m6_cv!$E:$E,m6_cv!$A:$A,$E195,m6_cv!$B:$B,$A195),0))</f>
        <v>106</v>
      </c>
      <c r="M195">
        <f>MAX(0,ROUND(SUMIFS(m7_cv!$E:$E,m7_cv!$A:$A,$E195,m7_cv!$B:$B,$A195),0))</f>
        <v>0</v>
      </c>
      <c r="N195">
        <f>ROUND(_xlfn.XLOOKUP($D195,Charts!$W$86:$W$116,Charts!$X$86:$X$116)*$L195+_xlfn.XLOOKUP($D195,Charts!$W$86:$W$116,Charts!$Y$86:$Y$116)*$M195,0)</f>
        <v>32</v>
      </c>
      <c r="O195">
        <f>MAX(0,ROUND(SUMIFS(m8_cv!$E:$E,m8_cv!$A:$A,$E195,m8_cv!$B:$B,$A195),0))</f>
        <v>0</v>
      </c>
    </row>
    <row r="196" spans="1:15" x14ac:dyDescent="0.25">
      <c r="A196" s="3">
        <f t="shared" ref="A196:A259" si="19">A195+1</f>
        <v>45852</v>
      </c>
      <c r="B196">
        <f t="shared" si="15"/>
        <v>2025</v>
      </c>
      <c r="C196">
        <f t="shared" si="16"/>
        <v>7</v>
      </c>
      <c r="D196">
        <f t="shared" si="17"/>
        <v>14</v>
      </c>
      <c r="E196" s="2">
        <f t="shared" si="18"/>
        <v>45838</v>
      </c>
      <c r="F196" s="12">
        <f>_xlfn.XLOOKUP($A196,m1_cv!$B:$B,m1_cv!$C:$C)</f>
        <v>2356</v>
      </c>
      <c r="G196">
        <f>MAX(0,ROUND(SUMIFS(m1_cv!$E:$E,m1_cv!$A:$A,$E196,m1_cv!$B:$B,$A196),0))</f>
        <v>2693</v>
      </c>
      <c r="H196">
        <f>MAX(0,ROUND(SUMIFS(m2_cv!$E:$E,m2_cv!$A:$A,$E196,m2_cv!$B:$B,$A196),0))</f>
        <v>1835</v>
      </c>
      <c r="I196">
        <f>MAX(0,ROUND(SUMIFS(m3_cv!$E:$E,m3_cv!$A:$A,$E196,m3_cv!$B:$B,$A196),0))</f>
        <v>2338</v>
      </c>
      <c r="J196">
        <f>MAX(0,ROUND(SUMIFS(m4_cv!$E:$E,m4_cv!$A:$A,$E196,m4_cv!$B:$B,$A196),0))</f>
        <v>2327</v>
      </c>
      <c r="K196">
        <f>MAX(0,ROUND(SUMIFS(m5_cv!$E:$E,m5_cv!$A:$A,$E196,m5_cv!$B:$B,$A196),0))</f>
        <v>2056</v>
      </c>
      <c r="L196">
        <f>MAX(0,ROUND(SUMIFS(m6_cv!$E:$E,m6_cv!$A:$A,$E196,m6_cv!$B:$B,$A196),0))</f>
        <v>1504</v>
      </c>
      <c r="M196">
        <f>MAX(0,ROUND(SUMIFS(m7_cv!$E:$E,m7_cv!$A:$A,$E196,m7_cv!$B:$B,$A196),0))</f>
        <v>2078</v>
      </c>
      <c r="N196">
        <f>ROUND(_xlfn.XLOOKUP($D196,Charts!$W$86:$W$116,Charts!$X$86:$X$116)*$L196+_xlfn.XLOOKUP($D196,Charts!$W$86:$W$116,Charts!$Y$86:$Y$116)*$M196,0)</f>
        <v>2078</v>
      </c>
      <c r="O196">
        <f>MAX(0,ROUND(SUMIFS(m8_cv!$E:$E,m8_cv!$A:$A,$E196,m8_cv!$B:$B,$A196),0))</f>
        <v>2154</v>
      </c>
    </row>
    <row r="197" spans="1:15" x14ac:dyDescent="0.25">
      <c r="A197" s="3">
        <f t="shared" si="19"/>
        <v>45853</v>
      </c>
      <c r="B197">
        <f t="shared" si="15"/>
        <v>2025</v>
      </c>
      <c r="C197">
        <f t="shared" si="16"/>
        <v>7</v>
      </c>
      <c r="D197">
        <f t="shared" si="17"/>
        <v>15</v>
      </c>
      <c r="E197" s="2">
        <f t="shared" si="18"/>
        <v>45838</v>
      </c>
      <c r="F197" s="12">
        <f>_xlfn.XLOOKUP($A197,m1_cv!$B:$B,m1_cv!$C:$C)</f>
        <v>2694</v>
      </c>
      <c r="G197">
        <f>MAX(0,ROUND(SUMIFS(m1_cv!$E:$E,m1_cv!$A:$A,$E197,m1_cv!$B:$B,$A197),0))</f>
        <v>3172</v>
      </c>
      <c r="H197">
        <f>MAX(0,ROUND(SUMIFS(m2_cv!$E:$E,m2_cv!$A:$A,$E197,m2_cv!$B:$B,$A197),0))</f>
        <v>2305</v>
      </c>
      <c r="I197">
        <f>MAX(0,ROUND(SUMIFS(m3_cv!$E:$E,m3_cv!$A:$A,$E197,m3_cv!$B:$B,$A197),0))</f>
        <v>2513</v>
      </c>
      <c r="J197">
        <f>MAX(0,ROUND(SUMIFS(m4_cv!$E:$E,m4_cv!$A:$A,$E197,m4_cv!$B:$B,$A197),0))</f>
        <v>2504</v>
      </c>
      <c r="K197">
        <f>MAX(0,ROUND(SUMIFS(m5_cv!$E:$E,m5_cv!$A:$A,$E197,m5_cv!$B:$B,$A197),0))</f>
        <v>2385</v>
      </c>
      <c r="L197">
        <f>MAX(0,ROUND(SUMIFS(m6_cv!$E:$E,m6_cv!$A:$A,$E197,m6_cv!$B:$B,$A197),0))</f>
        <v>2115</v>
      </c>
      <c r="M197">
        <f>MAX(0,ROUND(SUMIFS(m7_cv!$E:$E,m7_cv!$A:$A,$E197,m7_cv!$B:$B,$A197),0))</f>
        <v>2379</v>
      </c>
      <c r="N197">
        <f>ROUND(_xlfn.XLOOKUP($D197,Charts!$W$86:$W$116,Charts!$X$86:$X$116)*$L197+_xlfn.XLOOKUP($D197,Charts!$W$86:$W$116,Charts!$Y$86:$Y$116)*$M197,0)</f>
        <v>2379</v>
      </c>
      <c r="O197">
        <f>MAX(0,ROUND(SUMIFS(m8_cv!$E:$E,m8_cv!$A:$A,$E197,m8_cv!$B:$B,$A197),0))</f>
        <v>2468</v>
      </c>
    </row>
    <row r="198" spans="1:15" x14ac:dyDescent="0.25">
      <c r="A198" s="3">
        <f t="shared" si="19"/>
        <v>45854</v>
      </c>
      <c r="B198">
        <f t="shared" si="15"/>
        <v>2025</v>
      </c>
      <c r="C198">
        <f t="shared" si="16"/>
        <v>7</v>
      </c>
      <c r="D198">
        <f t="shared" si="17"/>
        <v>16</v>
      </c>
      <c r="E198" s="2">
        <f t="shared" si="18"/>
        <v>45838</v>
      </c>
      <c r="F198" s="12">
        <f>_xlfn.XLOOKUP($A198,m1_cv!$B:$B,m1_cv!$C:$C)</f>
        <v>2796</v>
      </c>
      <c r="G198">
        <f>MAX(0,ROUND(SUMIFS(m1_cv!$E:$E,m1_cv!$A:$A,$E198,m1_cv!$B:$B,$A198),0))</f>
        <v>3202</v>
      </c>
      <c r="H198">
        <f>MAX(0,ROUND(SUMIFS(m2_cv!$E:$E,m2_cv!$A:$A,$E198,m2_cv!$B:$B,$A198),0))</f>
        <v>2364</v>
      </c>
      <c r="I198">
        <f>MAX(0,ROUND(SUMIFS(m3_cv!$E:$E,m3_cv!$A:$A,$E198,m3_cv!$B:$B,$A198),0))</f>
        <v>2532</v>
      </c>
      <c r="J198">
        <f>MAX(0,ROUND(SUMIFS(m4_cv!$E:$E,m4_cv!$A:$A,$E198,m4_cv!$B:$B,$A198),0))</f>
        <v>2523</v>
      </c>
      <c r="K198">
        <f>MAX(0,ROUND(SUMIFS(m5_cv!$E:$E,m5_cv!$A:$A,$E198,m5_cv!$B:$B,$A198),0))</f>
        <v>2548</v>
      </c>
      <c r="L198">
        <f>MAX(0,ROUND(SUMIFS(m6_cv!$E:$E,m6_cv!$A:$A,$E198,m6_cv!$B:$B,$A198),0))</f>
        <v>2317</v>
      </c>
      <c r="M198">
        <f>MAX(0,ROUND(SUMIFS(m7_cv!$E:$E,m7_cv!$A:$A,$E198,m7_cv!$B:$B,$A198),0))</f>
        <v>2551</v>
      </c>
      <c r="N198">
        <f>ROUND(_xlfn.XLOOKUP($D198,Charts!$W$86:$W$116,Charts!$X$86:$X$116)*$L198+_xlfn.XLOOKUP($D198,Charts!$W$86:$W$116,Charts!$Y$86:$Y$116)*$M198,0)</f>
        <v>2551</v>
      </c>
      <c r="O198">
        <f>MAX(0,ROUND(SUMIFS(m8_cv!$E:$E,m8_cv!$A:$A,$E198,m8_cv!$B:$B,$A198),0))</f>
        <v>2624</v>
      </c>
    </row>
    <row r="199" spans="1:15" x14ac:dyDescent="0.25">
      <c r="A199" s="3">
        <f t="shared" si="19"/>
        <v>45855</v>
      </c>
      <c r="B199">
        <f t="shared" si="15"/>
        <v>2025</v>
      </c>
      <c r="C199">
        <f t="shared" si="16"/>
        <v>7</v>
      </c>
      <c r="D199">
        <f t="shared" si="17"/>
        <v>17</v>
      </c>
      <c r="E199" s="2">
        <f t="shared" si="18"/>
        <v>45838</v>
      </c>
      <c r="F199" s="12">
        <f>_xlfn.XLOOKUP($A199,m1_cv!$B:$B,m1_cv!$C:$C)</f>
        <v>2972</v>
      </c>
      <c r="G199">
        <f>MAX(0,ROUND(SUMIFS(m1_cv!$E:$E,m1_cv!$A:$A,$E199,m1_cv!$B:$B,$A199),0))</f>
        <v>3191</v>
      </c>
      <c r="H199">
        <f>MAX(0,ROUND(SUMIFS(m2_cv!$E:$E,m2_cv!$A:$A,$E199,m2_cv!$B:$B,$A199),0))</f>
        <v>2531</v>
      </c>
      <c r="I199">
        <f>MAX(0,ROUND(SUMIFS(m3_cv!$E:$E,m3_cv!$A:$A,$E199,m3_cv!$B:$B,$A199),0))</f>
        <v>2652</v>
      </c>
      <c r="J199">
        <f>MAX(0,ROUND(SUMIFS(m4_cv!$E:$E,m4_cv!$A:$A,$E199,m4_cv!$B:$B,$A199),0))</f>
        <v>2641</v>
      </c>
      <c r="K199">
        <f>MAX(0,ROUND(SUMIFS(m5_cv!$E:$E,m5_cv!$A:$A,$E199,m5_cv!$B:$B,$A199),0))</f>
        <v>2685</v>
      </c>
      <c r="L199">
        <f>MAX(0,ROUND(SUMIFS(m6_cv!$E:$E,m6_cv!$A:$A,$E199,m6_cv!$B:$B,$A199),0))</f>
        <v>2461</v>
      </c>
      <c r="M199">
        <f>MAX(0,ROUND(SUMIFS(m7_cv!$E:$E,m7_cv!$A:$A,$E199,m7_cv!$B:$B,$A199),0))</f>
        <v>2716</v>
      </c>
      <c r="N199">
        <f>ROUND(_xlfn.XLOOKUP($D199,Charts!$W$86:$W$116,Charts!$X$86:$X$116)*$L199+_xlfn.XLOOKUP($D199,Charts!$W$86:$W$116,Charts!$Y$86:$Y$116)*$M199,0)</f>
        <v>2716</v>
      </c>
      <c r="O199">
        <f>MAX(0,ROUND(SUMIFS(m8_cv!$E:$E,m8_cv!$A:$A,$E199,m8_cv!$B:$B,$A199),0))</f>
        <v>2787</v>
      </c>
    </row>
    <row r="200" spans="1:15" x14ac:dyDescent="0.25">
      <c r="A200" s="3">
        <f t="shared" si="19"/>
        <v>45856</v>
      </c>
      <c r="B200">
        <f t="shared" si="15"/>
        <v>2025</v>
      </c>
      <c r="C200">
        <f t="shared" si="16"/>
        <v>7</v>
      </c>
      <c r="D200">
        <f t="shared" si="17"/>
        <v>18</v>
      </c>
      <c r="E200" s="2">
        <f t="shared" si="18"/>
        <v>45838</v>
      </c>
      <c r="F200" s="12">
        <f>_xlfn.XLOOKUP($A200,m1_cv!$B:$B,m1_cv!$C:$C)</f>
        <v>2891</v>
      </c>
      <c r="G200">
        <f>MAX(0,ROUND(SUMIFS(m1_cv!$E:$E,m1_cv!$A:$A,$E200,m1_cv!$B:$B,$A200),0))</f>
        <v>3167</v>
      </c>
      <c r="H200">
        <f>MAX(0,ROUND(SUMIFS(m2_cv!$E:$E,m2_cv!$A:$A,$E200,m2_cv!$B:$B,$A200),0))</f>
        <v>2759</v>
      </c>
      <c r="I200">
        <f>MAX(0,ROUND(SUMIFS(m3_cv!$E:$E,m3_cv!$A:$A,$E200,m3_cv!$B:$B,$A200),0))</f>
        <v>2868</v>
      </c>
      <c r="J200">
        <f>MAX(0,ROUND(SUMIFS(m4_cv!$E:$E,m4_cv!$A:$A,$E200,m4_cv!$B:$B,$A200),0))</f>
        <v>2855</v>
      </c>
      <c r="K200">
        <f>MAX(0,ROUND(SUMIFS(m5_cv!$E:$E,m5_cv!$A:$A,$E200,m5_cv!$B:$B,$A200),0))</f>
        <v>2808</v>
      </c>
      <c r="L200">
        <f>MAX(0,ROUND(SUMIFS(m6_cv!$E:$E,m6_cv!$A:$A,$E200,m6_cv!$B:$B,$A200),0))</f>
        <v>2427</v>
      </c>
      <c r="M200">
        <f>MAX(0,ROUND(SUMIFS(m7_cv!$E:$E,m7_cv!$A:$A,$E200,m7_cv!$B:$B,$A200),0))</f>
        <v>2816</v>
      </c>
      <c r="N200">
        <f>ROUND(_xlfn.XLOOKUP($D200,Charts!$W$86:$W$116,Charts!$X$86:$X$116)*$L200+_xlfn.XLOOKUP($D200,Charts!$W$86:$W$116,Charts!$Y$86:$Y$116)*$M200,0)</f>
        <v>2816</v>
      </c>
      <c r="O200">
        <f>MAX(0,ROUND(SUMIFS(m8_cv!$E:$E,m8_cv!$A:$A,$E200,m8_cv!$B:$B,$A200),0))</f>
        <v>2881</v>
      </c>
    </row>
    <row r="201" spans="1:15" x14ac:dyDescent="0.25">
      <c r="A201" s="3">
        <f t="shared" si="19"/>
        <v>45857</v>
      </c>
      <c r="B201">
        <f t="shared" si="15"/>
        <v>2025</v>
      </c>
      <c r="C201">
        <f t="shared" si="16"/>
        <v>7</v>
      </c>
      <c r="D201">
        <f t="shared" si="17"/>
        <v>19</v>
      </c>
      <c r="E201" s="2">
        <f t="shared" si="18"/>
        <v>45838</v>
      </c>
      <c r="F201" s="12">
        <f>_xlfn.XLOOKUP($A201,m1_cv!$B:$B,m1_cv!$C:$C)</f>
        <v>521</v>
      </c>
      <c r="G201">
        <f>MAX(0,ROUND(SUMIFS(m1_cv!$E:$E,m1_cv!$A:$A,$E201,m1_cv!$B:$B,$A201),0))</f>
        <v>919</v>
      </c>
      <c r="H201">
        <f>MAX(0,ROUND(SUMIFS(m2_cv!$E:$E,m2_cv!$A:$A,$E201,m2_cv!$B:$B,$A201),0))</f>
        <v>666</v>
      </c>
      <c r="I201">
        <f>MAX(0,ROUND(SUMIFS(m3_cv!$E:$E,m3_cv!$A:$A,$E201,m3_cv!$B:$B,$A201),0))</f>
        <v>816</v>
      </c>
      <c r="J201">
        <f>MAX(0,ROUND(SUMIFS(m4_cv!$E:$E,m4_cv!$A:$A,$E201,m4_cv!$B:$B,$A201),0))</f>
        <v>805</v>
      </c>
      <c r="K201">
        <f>MAX(0,ROUND(SUMIFS(m5_cv!$E:$E,m5_cv!$A:$A,$E201,m5_cv!$B:$B,$A201),0))</f>
        <v>667</v>
      </c>
      <c r="L201">
        <f>MAX(0,ROUND(SUMIFS(m6_cv!$E:$E,m6_cv!$A:$A,$E201,m6_cv!$B:$B,$A201),0))</f>
        <v>431</v>
      </c>
      <c r="M201">
        <f>MAX(0,ROUND(SUMIFS(m7_cv!$E:$E,m7_cv!$A:$A,$E201,m7_cv!$B:$B,$A201),0))</f>
        <v>608</v>
      </c>
      <c r="N201">
        <f>ROUND(_xlfn.XLOOKUP($D201,Charts!$W$86:$W$116,Charts!$X$86:$X$116)*$L201+_xlfn.XLOOKUP($D201,Charts!$W$86:$W$116,Charts!$Y$86:$Y$116)*$M201,0)</f>
        <v>608</v>
      </c>
      <c r="O201">
        <f>MAX(0,ROUND(SUMIFS(m8_cv!$E:$E,m8_cv!$A:$A,$E201,m8_cv!$B:$B,$A201),0))</f>
        <v>679</v>
      </c>
    </row>
    <row r="202" spans="1:15" x14ac:dyDescent="0.25">
      <c r="A202" s="3">
        <f t="shared" si="19"/>
        <v>45858</v>
      </c>
      <c r="B202">
        <f t="shared" si="15"/>
        <v>2025</v>
      </c>
      <c r="C202">
        <f t="shared" si="16"/>
        <v>7</v>
      </c>
      <c r="D202">
        <f t="shared" si="17"/>
        <v>20</v>
      </c>
      <c r="E202" s="2">
        <f t="shared" si="18"/>
        <v>45838</v>
      </c>
      <c r="F202" s="12">
        <f>_xlfn.XLOOKUP($A202,m1_cv!$B:$B,m1_cv!$C:$C)</f>
        <v>189</v>
      </c>
      <c r="G202">
        <f>MAX(0,ROUND(SUMIFS(m1_cv!$E:$E,m1_cv!$A:$A,$E202,m1_cv!$B:$B,$A202),0))</f>
        <v>358</v>
      </c>
      <c r="H202">
        <f>MAX(0,ROUND(SUMIFS(m2_cv!$E:$E,m2_cv!$A:$A,$E202,m2_cv!$B:$B,$A202),0))</f>
        <v>99</v>
      </c>
      <c r="I202">
        <f>MAX(0,ROUND(SUMIFS(m3_cv!$E:$E,m3_cv!$A:$A,$E202,m3_cv!$B:$B,$A202),0))</f>
        <v>285</v>
      </c>
      <c r="J202">
        <f>MAX(0,ROUND(SUMIFS(m4_cv!$E:$E,m4_cv!$A:$A,$E202,m4_cv!$B:$B,$A202),0))</f>
        <v>273</v>
      </c>
      <c r="K202">
        <f>MAX(0,ROUND(SUMIFS(m5_cv!$E:$E,m5_cv!$A:$A,$E202,m5_cv!$B:$B,$A202),0))</f>
        <v>166</v>
      </c>
      <c r="L202">
        <f>MAX(0,ROUND(SUMIFS(m6_cv!$E:$E,m6_cv!$A:$A,$E202,m6_cv!$B:$B,$A202),0))</f>
        <v>175</v>
      </c>
      <c r="M202">
        <f>MAX(0,ROUND(SUMIFS(m7_cv!$E:$E,m7_cv!$A:$A,$E202,m7_cv!$B:$B,$A202),0))</f>
        <v>143</v>
      </c>
      <c r="N202">
        <f>ROUND(_xlfn.XLOOKUP($D202,Charts!$W$86:$W$116,Charts!$X$86:$X$116)*$L202+_xlfn.XLOOKUP($D202,Charts!$W$86:$W$116,Charts!$Y$86:$Y$116)*$M202,0)</f>
        <v>143</v>
      </c>
      <c r="O202">
        <f>MAX(0,ROUND(SUMIFS(m8_cv!$E:$E,m8_cv!$A:$A,$E202,m8_cv!$B:$B,$A202),0))</f>
        <v>210</v>
      </c>
    </row>
    <row r="203" spans="1:15" x14ac:dyDescent="0.25">
      <c r="A203" s="3">
        <f t="shared" si="19"/>
        <v>45859</v>
      </c>
      <c r="B203">
        <f t="shared" si="15"/>
        <v>2025</v>
      </c>
      <c r="C203">
        <f t="shared" si="16"/>
        <v>7</v>
      </c>
      <c r="D203">
        <f t="shared" si="17"/>
        <v>21</v>
      </c>
      <c r="E203" s="2">
        <f t="shared" si="18"/>
        <v>45838</v>
      </c>
      <c r="F203" s="12">
        <f>_xlfn.XLOOKUP($A203,m1_cv!$B:$B,m1_cv!$C:$C)</f>
        <v>2798</v>
      </c>
      <c r="G203">
        <f>MAX(0,ROUND(SUMIFS(m1_cv!$E:$E,m1_cv!$A:$A,$E203,m1_cv!$B:$B,$A203),0))</f>
        <v>2662</v>
      </c>
      <c r="H203">
        <f>MAX(0,ROUND(SUMIFS(m2_cv!$E:$E,m2_cv!$A:$A,$E203,m2_cv!$B:$B,$A203),0))</f>
        <v>2362</v>
      </c>
      <c r="I203">
        <f>MAX(0,ROUND(SUMIFS(m3_cv!$E:$E,m3_cv!$A:$A,$E203,m3_cv!$B:$B,$A203),0))</f>
        <v>2715</v>
      </c>
      <c r="J203">
        <f>MAX(0,ROUND(SUMIFS(m4_cv!$E:$E,m4_cv!$A:$A,$E203,m4_cv!$B:$B,$A203),0))</f>
        <v>2702</v>
      </c>
      <c r="K203">
        <f>MAX(0,ROUND(SUMIFS(m5_cv!$E:$E,m5_cv!$A:$A,$E203,m5_cv!$B:$B,$A203),0))</f>
        <v>2669</v>
      </c>
      <c r="L203">
        <f>MAX(0,ROUND(SUMIFS(m6_cv!$E:$E,m6_cv!$A:$A,$E203,m6_cv!$B:$B,$A203),0))</f>
        <v>2284</v>
      </c>
      <c r="M203">
        <f>MAX(0,ROUND(SUMIFS(m7_cv!$E:$E,m7_cv!$A:$A,$E203,m7_cv!$B:$B,$A203),0))</f>
        <v>2762</v>
      </c>
      <c r="N203">
        <f>ROUND(_xlfn.XLOOKUP($D203,Charts!$W$86:$W$116,Charts!$X$86:$X$116)*$L203+_xlfn.XLOOKUP($D203,Charts!$W$86:$W$116,Charts!$Y$86:$Y$116)*$M203,0)</f>
        <v>2762</v>
      </c>
      <c r="O203">
        <f>MAX(0,ROUND(SUMIFS(m8_cv!$E:$E,m8_cv!$A:$A,$E203,m8_cv!$B:$B,$A203),0))</f>
        <v>2826</v>
      </c>
    </row>
    <row r="204" spans="1:15" x14ac:dyDescent="0.25">
      <c r="A204" s="3">
        <f t="shared" si="19"/>
        <v>45860</v>
      </c>
      <c r="B204">
        <f t="shared" si="15"/>
        <v>2025</v>
      </c>
      <c r="C204">
        <f t="shared" si="16"/>
        <v>7</v>
      </c>
      <c r="D204">
        <f t="shared" si="17"/>
        <v>22</v>
      </c>
      <c r="E204" s="2">
        <f t="shared" si="18"/>
        <v>45838</v>
      </c>
      <c r="F204" s="12">
        <f>_xlfn.XLOOKUP($A204,m1_cv!$B:$B,m1_cv!$C:$C)</f>
        <v>2894</v>
      </c>
      <c r="G204">
        <f>MAX(0,ROUND(SUMIFS(m1_cv!$E:$E,m1_cv!$A:$A,$E204,m1_cv!$B:$B,$A204),0))</f>
        <v>3154</v>
      </c>
      <c r="H204">
        <f>MAX(0,ROUND(SUMIFS(m2_cv!$E:$E,m2_cv!$A:$A,$E204,m2_cv!$B:$B,$A204),0))</f>
        <v>2946</v>
      </c>
      <c r="I204">
        <f>MAX(0,ROUND(SUMIFS(m3_cv!$E:$E,m3_cv!$A:$A,$E204,m3_cv!$B:$B,$A204),0))</f>
        <v>2985</v>
      </c>
      <c r="J204">
        <f>MAX(0,ROUND(SUMIFS(m4_cv!$E:$E,m4_cv!$A:$A,$E204,m4_cv!$B:$B,$A204),0))</f>
        <v>2976</v>
      </c>
      <c r="K204">
        <f>MAX(0,ROUND(SUMIFS(m5_cv!$E:$E,m5_cv!$A:$A,$E204,m5_cv!$B:$B,$A204),0))</f>
        <v>3052</v>
      </c>
      <c r="L204">
        <f>MAX(0,ROUND(SUMIFS(m6_cv!$E:$E,m6_cv!$A:$A,$E204,m6_cv!$B:$B,$A204),0))</f>
        <v>3062</v>
      </c>
      <c r="M204">
        <f>MAX(0,ROUND(SUMIFS(m7_cv!$E:$E,m7_cv!$A:$A,$E204,m7_cv!$B:$B,$A204),0))</f>
        <v>3108</v>
      </c>
      <c r="N204">
        <f>ROUND(_xlfn.XLOOKUP($D204,Charts!$W$86:$W$116,Charts!$X$86:$X$116)*$L204+_xlfn.XLOOKUP($D204,Charts!$W$86:$W$116,Charts!$Y$86:$Y$116)*$M204,0)</f>
        <v>3108</v>
      </c>
      <c r="O204">
        <f>MAX(0,ROUND(SUMIFS(m8_cv!$E:$E,m8_cv!$A:$A,$E204,m8_cv!$B:$B,$A204),0))</f>
        <v>3167</v>
      </c>
    </row>
    <row r="205" spans="1:15" x14ac:dyDescent="0.25">
      <c r="A205" s="3">
        <f t="shared" si="19"/>
        <v>45861</v>
      </c>
      <c r="B205">
        <f t="shared" si="15"/>
        <v>2025</v>
      </c>
      <c r="C205">
        <f t="shared" si="16"/>
        <v>7</v>
      </c>
      <c r="D205">
        <f t="shared" si="17"/>
        <v>23</v>
      </c>
      <c r="E205" s="2">
        <f t="shared" si="18"/>
        <v>45838</v>
      </c>
      <c r="F205" s="12">
        <f>_xlfn.XLOOKUP($A205,m1_cv!$B:$B,m1_cv!$C:$C)</f>
        <v>3299</v>
      </c>
      <c r="G205">
        <f>MAX(0,ROUND(SUMIFS(m1_cv!$E:$E,m1_cv!$A:$A,$E205,m1_cv!$B:$B,$A205),0))</f>
        <v>3197</v>
      </c>
      <c r="H205">
        <f>MAX(0,ROUND(SUMIFS(m2_cv!$E:$E,m2_cv!$A:$A,$E205,m2_cv!$B:$B,$A205),0))</f>
        <v>3295</v>
      </c>
      <c r="I205">
        <f>MAX(0,ROUND(SUMIFS(m3_cv!$E:$E,m3_cv!$A:$A,$E205,m3_cv!$B:$B,$A205),0))</f>
        <v>3334</v>
      </c>
      <c r="J205">
        <f>MAX(0,ROUND(SUMIFS(m4_cv!$E:$E,m4_cv!$A:$A,$E205,m4_cv!$B:$B,$A205),0))</f>
        <v>3325</v>
      </c>
      <c r="K205">
        <f>MAX(0,ROUND(SUMIFS(m5_cv!$E:$E,m5_cv!$A:$A,$E205,m5_cv!$B:$B,$A205),0))</f>
        <v>3343</v>
      </c>
      <c r="L205">
        <f>MAX(0,ROUND(SUMIFS(m6_cv!$E:$E,m6_cv!$A:$A,$E205,m6_cv!$B:$B,$A205),0))</f>
        <v>3423</v>
      </c>
      <c r="M205">
        <f>MAX(0,ROUND(SUMIFS(m7_cv!$E:$E,m7_cv!$A:$A,$E205,m7_cv!$B:$B,$A205),0))</f>
        <v>3277</v>
      </c>
      <c r="N205">
        <f>ROUND(_xlfn.XLOOKUP($D205,Charts!$W$86:$W$116,Charts!$X$86:$X$116)*$L205+_xlfn.XLOOKUP($D205,Charts!$W$86:$W$116,Charts!$Y$86:$Y$116)*$M205,0)</f>
        <v>3277</v>
      </c>
      <c r="O205">
        <f>MAX(0,ROUND(SUMIFS(m8_cv!$E:$E,m8_cv!$A:$A,$E205,m8_cv!$B:$B,$A205),0))</f>
        <v>3319</v>
      </c>
    </row>
    <row r="206" spans="1:15" x14ac:dyDescent="0.25">
      <c r="A206" s="3">
        <f t="shared" si="19"/>
        <v>45862</v>
      </c>
      <c r="B206">
        <f t="shared" si="15"/>
        <v>2025</v>
      </c>
      <c r="C206">
        <f t="shared" si="16"/>
        <v>7</v>
      </c>
      <c r="D206">
        <f t="shared" si="17"/>
        <v>24</v>
      </c>
      <c r="E206" s="2">
        <f t="shared" si="18"/>
        <v>45838</v>
      </c>
      <c r="F206" s="12">
        <f>_xlfn.XLOOKUP($A206,m1_cv!$B:$B,m1_cv!$C:$C)</f>
        <v>3785</v>
      </c>
      <c r="G206">
        <f>MAX(0,ROUND(SUMIFS(m1_cv!$E:$E,m1_cv!$A:$A,$E206,m1_cv!$B:$B,$A206),0))</f>
        <v>3201</v>
      </c>
      <c r="H206">
        <f>MAX(0,ROUND(SUMIFS(m2_cv!$E:$E,m2_cv!$A:$A,$E206,m2_cv!$B:$B,$A206),0))</f>
        <v>3634</v>
      </c>
      <c r="I206">
        <f>MAX(0,ROUND(SUMIFS(m3_cv!$E:$E,m3_cv!$A:$A,$E206,m3_cv!$B:$B,$A206),0))</f>
        <v>3693</v>
      </c>
      <c r="J206">
        <f>MAX(0,ROUND(SUMIFS(m4_cv!$E:$E,m4_cv!$A:$A,$E206,m4_cv!$B:$B,$A206),0))</f>
        <v>3684</v>
      </c>
      <c r="K206">
        <f>MAX(0,ROUND(SUMIFS(m5_cv!$E:$E,m5_cv!$A:$A,$E206,m5_cv!$B:$B,$A206),0))</f>
        <v>3559</v>
      </c>
      <c r="L206">
        <f>MAX(0,ROUND(SUMIFS(m6_cv!$E:$E,m6_cv!$A:$A,$E206,m6_cv!$B:$B,$A206),0))</f>
        <v>3891</v>
      </c>
      <c r="M206">
        <f>MAX(0,ROUND(SUMIFS(m7_cv!$E:$E,m7_cv!$A:$A,$E206,m7_cv!$B:$B,$A206),0))</f>
        <v>3494</v>
      </c>
      <c r="N206">
        <f>ROUND(_xlfn.XLOOKUP($D206,Charts!$W$86:$W$116,Charts!$X$86:$X$116)*$L206+_xlfn.XLOOKUP($D206,Charts!$W$86:$W$116,Charts!$Y$86:$Y$116)*$M206,0)</f>
        <v>3891</v>
      </c>
      <c r="O206">
        <f>MAX(0,ROUND(SUMIFS(m8_cv!$E:$E,m8_cv!$A:$A,$E206,m8_cv!$B:$B,$A206),0))</f>
        <v>3558</v>
      </c>
    </row>
    <row r="207" spans="1:15" x14ac:dyDescent="0.25">
      <c r="A207" s="3">
        <f t="shared" si="19"/>
        <v>45863</v>
      </c>
      <c r="B207">
        <f t="shared" si="15"/>
        <v>2025</v>
      </c>
      <c r="C207">
        <f t="shared" si="16"/>
        <v>7</v>
      </c>
      <c r="D207">
        <f t="shared" si="17"/>
        <v>25</v>
      </c>
      <c r="E207" s="2">
        <f t="shared" si="18"/>
        <v>45838</v>
      </c>
      <c r="F207" s="12">
        <f>_xlfn.XLOOKUP($A207,m1_cv!$B:$B,m1_cv!$C:$C)</f>
        <v>3663</v>
      </c>
      <c r="G207">
        <f>MAX(0,ROUND(SUMIFS(m1_cv!$E:$E,m1_cv!$A:$A,$E207,m1_cv!$B:$B,$A207),0))</f>
        <v>3191</v>
      </c>
      <c r="H207">
        <f>MAX(0,ROUND(SUMIFS(m2_cv!$E:$E,m2_cv!$A:$A,$E207,m2_cv!$B:$B,$A207),0))</f>
        <v>3750</v>
      </c>
      <c r="I207">
        <f>MAX(0,ROUND(SUMIFS(m3_cv!$E:$E,m3_cv!$A:$A,$E207,m3_cv!$B:$B,$A207),0))</f>
        <v>3842</v>
      </c>
      <c r="J207">
        <f>MAX(0,ROUND(SUMIFS(m4_cv!$E:$E,m4_cv!$A:$A,$E207,m4_cv!$B:$B,$A207),0))</f>
        <v>3832</v>
      </c>
      <c r="K207">
        <f>MAX(0,ROUND(SUMIFS(m5_cv!$E:$E,m5_cv!$A:$A,$E207,m5_cv!$B:$B,$A207),0))</f>
        <v>3650</v>
      </c>
      <c r="L207">
        <f>MAX(0,ROUND(SUMIFS(m6_cv!$E:$E,m6_cv!$A:$A,$E207,m6_cv!$B:$B,$A207),0))</f>
        <v>4036</v>
      </c>
      <c r="M207">
        <f>MAX(0,ROUND(SUMIFS(m7_cv!$E:$E,m7_cv!$A:$A,$E207,m7_cv!$B:$B,$A207),0))</f>
        <v>3654</v>
      </c>
      <c r="N207">
        <f>ROUND(_xlfn.XLOOKUP($D207,Charts!$W$86:$W$116,Charts!$X$86:$X$116)*$L207+_xlfn.XLOOKUP($D207,Charts!$W$86:$W$116,Charts!$Y$86:$Y$116)*$M207,0)</f>
        <v>4036</v>
      </c>
      <c r="O207">
        <f>MAX(0,ROUND(SUMIFS(m8_cv!$E:$E,m8_cv!$A:$A,$E207,m8_cv!$B:$B,$A207),0))</f>
        <v>3711</v>
      </c>
    </row>
    <row r="208" spans="1:15" x14ac:dyDescent="0.25">
      <c r="A208" s="3">
        <f t="shared" si="19"/>
        <v>45864</v>
      </c>
      <c r="B208">
        <f t="shared" si="15"/>
        <v>2025</v>
      </c>
      <c r="C208">
        <f t="shared" si="16"/>
        <v>7</v>
      </c>
      <c r="D208">
        <f t="shared" si="17"/>
        <v>26</v>
      </c>
      <c r="E208" s="2">
        <f t="shared" si="18"/>
        <v>45838</v>
      </c>
      <c r="F208" s="12">
        <f>_xlfn.XLOOKUP($A208,m1_cv!$B:$B,m1_cv!$C:$C)</f>
        <v>901</v>
      </c>
      <c r="G208">
        <f>MAX(0,ROUND(SUMIFS(m1_cv!$E:$E,m1_cv!$A:$A,$E208,m1_cv!$B:$B,$A208),0))</f>
        <v>959</v>
      </c>
      <c r="H208">
        <f>MAX(0,ROUND(SUMIFS(m2_cv!$E:$E,m2_cv!$A:$A,$E208,m2_cv!$B:$B,$A208),0))</f>
        <v>1436</v>
      </c>
      <c r="I208">
        <f>MAX(0,ROUND(SUMIFS(m3_cv!$E:$E,m3_cv!$A:$A,$E208,m3_cv!$B:$B,$A208),0))</f>
        <v>1563</v>
      </c>
      <c r="J208">
        <f>MAX(0,ROUND(SUMIFS(m4_cv!$E:$E,m4_cv!$A:$A,$E208,m4_cv!$B:$B,$A208),0))</f>
        <v>1554</v>
      </c>
      <c r="K208">
        <f>MAX(0,ROUND(SUMIFS(m5_cv!$E:$E,m5_cv!$A:$A,$E208,m5_cv!$B:$B,$A208),0))</f>
        <v>1426</v>
      </c>
      <c r="L208">
        <f>MAX(0,ROUND(SUMIFS(m6_cv!$E:$E,m6_cv!$A:$A,$E208,m6_cv!$B:$B,$A208),0))</f>
        <v>703</v>
      </c>
      <c r="M208">
        <f>MAX(0,ROUND(SUMIFS(m7_cv!$E:$E,m7_cv!$A:$A,$E208,m7_cv!$B:$B,$A208),0))</f>
        <v>1494</v>
      </c>
      <c r="N208">
        <f>ROUND(_xlfn.XLOOKUP($D208,Charts!$W$86:$W$116,Charts!$X$86:$X$116)*$L208+_xlfn.XLOOKUP($D208,Charts!$W$86:$W$116,Charts!$Y$86:$Y$116)*$M208,0)</f>
        <v>703</v>
      </c>
      <c r="O208">
        <f>MAX(0,ROUND(SUMIFS(m8_cv!$E:$E,m8_cv!$A:$A,$E208,m8_cv!$B:$B,$A208),0))</f>
        <v>1564</v>
      </c>
    </row>
    <row r="209" spans="1:15" x14ac:dyDescent="0.25">
      <c r="A209" s="3">
        <f t="shared" si="19"/>
        <v>45865</v>
      </c>
      <c r="B209">
        <f t="shared" si="15"/>
        <v>2025</v>
      </c>
      <c r="C209">
        <f t="shared" si="16"/>
        <v>7</v>
      </c>
      <c r="D209">
        <f t="shared" si="17"/>
        <v>27</v>
      </c>
      <c r="E209" s="2">
        <f t="shared" si="18"/>
        <v>45838</v>
      </c>
      <c r="F209" s="12">
        <f>_xlfn.XLOOKUP($A209,m1_cv!$B:$B,m1_cv!$C:$C)</f>
        <v>262</v>
      </c>
      <c r="G209">
        <f>MAX(0,ROUND(SUMIFS(m1_cv!$E:$E,m1_cv!$A:$A,$E209,m1_cv!$B:$B,$A209),0))</f>
        <v>413</v>
      </c>
      <c r="H209">
        <f>MAX(0,ROUND(SUMIFS(m2_cv!$E:$E,m2_cv!$A:$A,$E209,m2_cv!$B:$B,$A209),0))</f>
        <v>928</v>
      </c>
      <c r="I209">
        <f>MAX(0,ROUND(SUMIFS(m3_cv!$E:$E,m3_cv!$A:$A,$E209,m3_cv!$B:$B,$A209),0))</f>
        <v>1059</v>
      </c>
      <c r="J209">
        <f>MAX(0,ROUND(SUMIFS(m4_cv!$E:$E,m4_cv!$A:$A,$E209,m4_cv!$B:$B,$A209),0))</f>
        <v>1049</v>
      </c>
      <c r="K209">
        <f>MAX(0,ROUND(SUMIFS(m5_cv!$E:$E,m5_cv!$A:$A,$E209,m5_cv!$B:$B,$A209),0))</f>
        <v>2210</v>
      </c>
      <c r="L209">
        <f>MAX(0,ROUND(SUMIFS(m6_cv!$E:$E,m6_cv!$A:$A,$E209,m6_cv!$B:$B,$A209),0))</f>
        <v>539</v>
      </c>
      <c r="M209">
        <f>MAX(0,ROUND(SUMIFS(m7_cv!$E:$E,m7_cv!$A:$A,$E209,m7_cv!$B:$B,$A209),0))</f>
        <v>2396</v>
      </c>
      <c r="N209">
        <f>ROUND(_xlfn.XLOOKUP($D209,Charts!$W$86:$W$116,Charts!$X$86:$X$116)*$L209+_xlfn.XLOOKUP($D209,Charts!$W$86:$W$116,Charts!$Y$86:$Y$116)*$M209,0)</f>
        <v>539</v>
      </c>
      <c r="O209">
        <f>MAX(0,ROUND(SUMIFS(m8_cv!$E:$E,m8_cv!$A:$A,$E209,m8_cv!$B:$B,$A209),0))</f>
        <v>2002</v>
      </c>
    </row>
    <row r="210" spans="1:15" x14ac:dyDescent="0.25">
      <c r="A210" s="3">
        <f t="shared" si="19"/>
        <v>45866</v>
      </c>
      <c r="B210">
        <f t="shared" si="15"/>
        <v>2025</v>
      </c>
      <c r="C210">
        <f t="shared" si="16"/>
        <v>7</v>
      </c>
      <c r="D210">
        <f t="shared" si="17"/>
        <v>28</v>
      </c>
      <c r="E210" s="2">
        <f t="shared" si="18"/>
        <v>45838</v>
      </c>
      <c r="F210" s="12">
        <f>_xlfn.XLOOKUP($A210,m1_cv!$B:$B,m1_cv!$C:$C)</f>
        <v>4324</v>
      </c>
      <c r="G210">
        <f>MAX(0,ROUND(SUMIFS(m1_cv!$E:$E,m1_cv!$A:$A,$E210,m1_cv!$B:$B,$A210),0))</f>
        <v>2733</v>
      </c>
      <c r="H210">
        <f>MAX(0,ROUND(SUMIFS(m2_cv!$E:$E,m2_cv!$A:$A,$E210,m2_cv!$B:$B,$A210),0))</f>
        <v>3777</v>
      </c>
      <c r="I210">
        <f>MAX(0,ROUND(SUMIFS(m3_cv!$E:$E,m3_cv!$A:$A,$E210,m3_cv!$B:$B,$A210),0))</f>
        <v>4062</v>
      </c>
      <c r="J210">
        <f>MAX(0,ROUND(SUMIFS(m4_cv!$E:$E,m4_cv!$A:$A,$E210,m4_cv!$B:$B,$A210),0))</f>
        <v>4052</v>
      </c>
      <c r="K210">
        <f>MAX(0,ROUND(SUMIFS(m5_cv!$E:$E,m5_cv!$A:$A,$E210,m5_cv!$B:$B,$A210),0))</f>
        <v>4790</v>
      </c>
      <c r="L210">
        <f>MAX(0,ROUND(SUMIFS(m6_cv!$E:$E,m6_cv!$A:$A,$E210,m6_cv!$B:$B,$A210),0))</f>
        <v>6188</v>
      </c>
      <c r="M210">
        <f>MAX(0,ROUND(SUMIFS(m7_cv!$E:$E,m7_cv!$A:$A,$E210,m7_cv!$B:$B,$A210),0))</f>
        <v>4765</v>
      </c>
      <c r="N210">
        <f>ROUND(_xlfn.XLOOKUP($D210,Charts!$W$86:$W$116,Charts!$X$86:$X$116)*$L210+_xlfn.XLOOKUP($D210,Charts!$W$86:$W$116,Charts!$Y$86:$Y$116)*$M210,0)</f>
        <v>6188</v>
      </c>
      <c r="O210">
        <f>MAX(0,ROUND(SUMIFS(m8_cv!$E:$E,m8_cv!$A:$A,$E210,m8_cv!$B:$B,$A210),0))</f>
        <v>4599</v>
      </c>
    </row>
    <row r="211" spans="1:15" x14ac:dyDescent="0.25">
      <c r="A211" s="3">
        <f t="shared" si="19"/>
        <v>45867</v>
      </c>
      <c r="B211">
        <f t="shared" si="15"/>
        <v>2025</v>
      </c>
      <c r="C211">
        <f t="shared" si="16"/>
        <v>7</v>
      </c>
      <c r="D211">
        <f t="shared" si="17"/>
        <v>29</v>
      </c>
      <c r="E211" s="2">
        <f t="shared" si="18"/>
        <v>45838</v>
      </c>
      <c r="F211" s="12">
        <f>_xlfn.XLOOKUP($A211,m1_cv!$B:$B,m1_cv!$C:$C)</f>
        <v>5336</v>
      </c>
      <c r="G211">
        <f>MAX(0,ROUND(SUMIFS(m1_cv!$E:$E,m1_cv!$A:$A,$E211,m1_cv!$B:$B,$A211),0))</f>
        <v>3239</v>
      </c>
      <c r="H211">
        <f>MAX(0,ROUND(SUMIFS(m2_cv!$E:$E,m2_cv!$A:$A,$E211,m2_cv!$B:$B,$A211),0))</f>
        <v>5311</v>
      </c>
      <c r="I211">
        <f>MAX(0,ROUND(SUMIFS(m3_cv!$E:$E,m3_cv!$A:$A,$E211,m3_cv!$B:$B,$A211),0))</f>
        <v>5312</v>
      </c>
      <c r="J211">
        <f>MAX(0,ROUND(SUMIFS(m4_cv!$E:$E,m4_cv!$A:$A,$E211,m4_cv!$B:$B,$A211),0))</f>
        <v>5304</v>
      </c>
      <c r="K211">
        <f>MAX(0,ROUND(SUMIFS(m5_cv!$E:$E,m5_cv!$A:$A,$E211,m5_cv!$B:$B,$A211),0))</f>
        <v>5241</v>
      </c>
      <c r="L211">
        <f>MAX(0,ROUND(SUMIFS(m6_cv!$E:$E,m6_cv!$A:$A,$E211,m6_cv!$B:$B,$A211),0))</f>
        <v>7330</v>
      </c>
      <c r="M211">
        <f>MAX(0,ROUND(SUMIFS(m7_cv!$E:$E,m7_cv!$A:$A,$E211,m7_cv!$B:$B,$A211),0))</f>
        <v>5052</v>
      </c>
      <c r="N211">
        <f>ROUND(_xlfn.XLOOKUP($D211,Charts!$W$86:$W$116,Charts!$X$86:$X$116)*$L211+_xlfn.XLOOKUP($D211,Charts!$W$86:$W$116,Charts!$Y$86:$Y$116)*$M211,0)</f>
        <v>5052</v>
      </c>
      <c r="O211">
        <f>MAX(0,ROUND(SUMIFS(m8_cv!$E:$E,m8_cv!$A:$A,$E211,m8_cv!$B:$B,$A211),0))</f>
        <v>5075</v>
      </c>
    </row>
    <row r="212" spans="1:15" x14ac:dyDescent="0.25">
      <c r="A212" s="3">
        <f t="shared" si="19"/>
        <v>45868</v>
      </c>
      <c r="B212">
        <f t="shared" si="15"/>
        <v>2025</v>
      </c>
      <c r="C212">
        <f t="shared" si="16"/>
        <v>7</v>
      </c>
      <c r="D212">
        <f t="shared" si="17"/>
        <v>30</v>
      </c>
      <c r="E212" s="2">
        <f t="shared" si="18"/>
        <v>45838</v>
      </c>
      <c r="F212" s="12">
        <f>_xlfn.XLOOKUP($A212,m1_cv!$B:$B,m1_cv!$C:$C)</f>
        <v>8373</v>
      </c>
      <c r="G212">
        <f>MAX(0,ROUND(SUMIFS(m1_cv!$E:$E,m1_cv!$A:$A,$E212,m1_cv!$B:$B,$A212),0))</f>
        <v>3296</v>
      </c>
      <c r="H212">
        <f>MAX(0,ROUND(SUMIFS(m2_cv!$E:$E,m2_cv!$A:$A,$E212,m2_cv!$B:$B,$A212),0))</f>
        <v>6446</v>
      </c>
      <c r="I212">
        <f>MAX(0,ROUND(SUMIFS(m3_cv!$E:$E,m3_cv!$A:$A,$E212,m3_cv!$B:$B,$A212),0))</f>
        <v>6493</v>
      </c>
      <c r="J212">
        <f>MAX(0,ROUND(SUMIFS(m4_cv!$E:$E,m4_cv!$A:$A,$E212,m4_cv!$B:$B,$A212),0))</f>
        <v>6488</v>
      </c>
      <c r="K212">
        <f>MAX(0,ROUND(SUMIFS(m5_cv!$E:$E,m5_cv!$A:$A,$E212,m5_cv!$B:$B,$A212),0))</f>
        <v>7519</v>
      </c>
      <c r="L212">
        <f>MAX(0,ROUND(SUMIFS(m6_cv!$E:$E,m6_cv!$A:$A,$E212,m6_cv!$B:$B,$A212),0))</f>
        <v>13111</v>
      </c>
      <c r="M212">
        <f>MAX(0,ROUND(SUMIFS(m7_cv!$E:$E,m7_cv!$A:$A,$E212,m7_cv!$B:$B,$A212),0))</f>
        <v>7533</v>
      </c>
      <c r="N212">
        <f>ROUND(_xlfn.XLOOKUP($D212,Charts!$W$86:$W$116,Charts!$X$86:$X$116)*$L212+_xlfn.XLOOKUP($D212,Charts!$W$86:$W$116,Charts!$Y$86:$Y$116)*$M212,0)</f>
        <v>7533</v>
      </c>
      <c r="O212">
        <f>MAX(0,ROUND(SUMIFS(m8_cv!$E:$E,m8_cv!$A:$A,$E212,m8_cv!$B:$B,$A212),0))</f>
        <v>7445</v>
      </c>
    </row>
    <row r="213" spans="1:15" x14ac:dyDescent="0.25">
      <c r="A213" s="3">
        <f t="shared" si="19"/>
        <v>45869</v>
      </c>
      <c r="B213">
        <f t="shared" si="15"/>
        <v>2025</v>
      </c>
      <c r="C213">
        <f t="shared" si="16"/>
        <v>7</v>
      </c>
      <c r="D213">
        <f t="shared" si="17"/>
        <v>31</v>
      </c>
      <c r="E213" s="2">
        <f t="shared" si="18"/>
        <v>45838</v>
      </c>
      <c r="F213" s="12">
        <f>_xlfn.XLOOKUP($A213,m1_cv!$B:$B,m1_cv!$C:$C)</f>
        <v>11889</v>
      </c>
      <c r="G213">
        <f>MAX(0,ROUND(SUMIFS(m1_cv!$E:$E,m1_cv!$A:$A,$E213,m1_cv!$B:$B,$A213),0))</f>
        <v>3312</v>
      </c>
      <c r="H213">
        <f>MAX(0,ROUND(SUMIFS(m2_cv!$E:$E,m2_cv!$A:$A,$E213,m2_cv!$B:$B,$A213),0))</f>
        <v>6860</v>
      </c>
      <c r="I213">
        <f>MAX(0,ROUND(SUMIFS(m3_cv!$E:$E,m3_cv!$A:$A,$E213,m3_cv!$B:$B,$A213),0))</f>
        <v>6950</v>
      </c>
      <c r="J213">
        <f>MAX(0,ROUND(SUMIFS(m4_cv!$E:$E,m4_cv!$A:$A,$E213,m4_cv!$B:$B,$A213),0))</f>
        <v>6944</v>
      </c>
      <c r="K213">
        <f>MAX(0,ROUND(SUMIFS(m5_cv!$E:$E,m5_cv!$A:$A,$E213,m5_cv!$B:$B,$A213),0))</f>
        <v>9712</v>
      </c>
      <c r="L213">
        <f>MAX(0,ROUND(SUMIFS(m6_cv!$E:$E,m6_cv!$A:$A,$E213,m6_cv!$B:$B,$A213),0))</f>
        <v>20233</v>
      </c>
      <c r="M213">
        <f>MAX(0,ROUND(SUMIFS(m7_cv!$E:$E,m7_cv!$A:$A,$E213,m7_cv!$B:$B,$A213),0))</f>
        <v>10090</v>
      </c>
      <c r="N213">
        <f>ROUND(_xlfn.XLOOKUP($D213,Charts!$W$86:$W$116,Charts!$X$86:$X$116)*$L213+_xlfn.XLOOKUP($D213,Charts!$W$86:$W$116,Charts!$Y$86:$Y$116)*$M213,0)</f>
        <v>10090</v>
      </c>
      <c r="O213">
        <f>MAX(0,ROUND(SUMIFS(m8_cv!$E:$E,m8_cv!$A:$A,$E213,m8_cv!$B:$B,$A213),0))</f>
        <v>10005</v>
      </c>
    </row>
    <row r="214" spans="1:15" x14ac:dyDescent="0.25">
      <c r="A214" s="3">
        <f t="shared" si="19"/>
        <v>45870</v>
      </c>
      <c r="B214">
        <f t="shared" si="15"/>
        <v>2025</v>
      </c>
      <c r="C214">
        <f t="shared" si="16"/>
        <v>8</v>
      </c>
      <c r="D214">
        <f t="shared" si="17"/>
        <v>1</v>
      </c>
      <c r="E214" s="2">
        <f t="shared" si="18"/>
        <v>45869</v>
      </c>
      <c r="F214" s="12">
        <f>_xlfn.XLOOKUP($A214,m1_cv!$B:$B,m1_cv!$C:$C)</f>
        <v>761</v>
      </c>
      <c r="G214">
        <f>MAX(0,ROUND(SUMIFS(m1_cv!$E:$E,m1_cv!$A:$A,$E214,m1_cv!$B:$B,$A214),0))</f>
        <v>3635</v>
      </c>
      <c r="H214">
        <f>MAX(0,ROUND(SUMIFS(m2_cv!$E:$E,m2_cv!$A:$A,$E214,m2_cv!$B:$B,$A214),0))</f>
        <v>6195</v>
      </c>
      <c r="I214">
        <f>MAX(0,ROUND(SUMIFS(m3_cv!$E:$E,m3_cv!$A:$A,$E214,m3_cv!$B:$B,$A214),0))</f>
        <v>6255</v>
      </c>
      <c r="J214">
        <f>MAX(0,ROUND(SUMIFS(m4_cv!$E:$E,m4_cv!$A:$A,$E214,m4_cv!$B:$B,$A214),0))</f>
        <v>6257</v>
      </c>
      <c r="K214">
        <f>MAX(0,ROUND(SUMIFS(m5_cv!$E:$E,m5_cv!$A:$A,$E214,m5_cv!$B:$B,$A214),0))</f>
        <v>2642</v>
      </c>
      <c r="L214">
        <f>MAX(0,ROUND(SUMIFS(m6_cv!$E:$E,m6_cv!$A:$A,$E214,m6_cv!$B:$B,$A214),0))</f>
        <v>1170</v>
      </c>
      <c r="M214">
        <f>MAX(0,ROUND(SUMIFS(m7_cv!$E:$E,m7_cv!$A:$A,$E214,m7_cv!$B:$B,$A214),0))</f>
        <v>2624</v>
      </c>
      <c r="N214">
        <f>ROUND(_xlfn.XLOOKUP($D214,Charts!$W$86:$W$116,Charts!$X$86:$X$116)*$L214+_xlfn.XLOOKUP($D214,Charts!$W$86:$W$116,Charts!$Y$86:$Y$116)*$M214,0)</f>
        <v>1170</v>
      </c>
      <c r="O214">
        <f>MAX(0,ROUND(SUMIFS(m8_cv!$E:$E,m8_cv!$A:$A,$E214,m8_cv!$B:$B,$A214),0))</f>
        <v>2646</v>
      </c>
    </row>
    <row r="215" spans="1:15" x14ac:dyDescent="0.25">
      <c r="A215" s="3">
        <f t="shared" si="19"/>
        <v>45871</v>
      </c>
      <c r="B215">
        <f t="shared" si="15"/>
        <v>2025</v>
      </c>
      <c r="C215">
        <f t="shared" si="16"/>
        <v>8</v>
      </c>
      <c r="D215">
        <f t="shared" si="17"/>
        <v>2</v>
      </c>
      <c r="E215" s="2">
        <f t="shared" si="18"/>
        <v>45869</v>
      </c>
      <c r="F215" s="12">
        <f>_xlfn.XLOOKUP($A215,m1_cv!$B:$B,m1_cv!$C:$C)</f>
        <v>74</v>
      </c>
      <c r="G215">
        <f>MAX(0,ROUND(SUMIFS(m1_cv!$E:$E,m1_cv!$A:$A,$E215,m1_cv!$B:$B,$A215),0))</f>
        <v>1412</v>
      </c>
      <c r="H215">
        <f>MAX(0,ROUND(SUMIFS(m2_cv!$E:$E,m2_cv!$A:$A,$E215,m2_cv!$B:$B,$A215),0))</f>
        <v>2312</v>
      </c>
      <c r="I215">
        <f>MAX(0,ROUND(SUMIFS(m3_cv!$E:$E,m3_cv!$A:$A,$E215,m3_cv!$B:$B,$A215),0))</f>
        <v>2368</v>
      </c>
      <c r="J215">
        <f>MAX(0,ROUND(SUMIFS(m4_cv!$E:$E,m4_cv!$A:$A,$E215,m4_cv!$B:$B,$A215),0))</f>
        <v>2372</v>
      </c>
      <c r="K215">
        <f>MAX(0,ROUND(SUMIFS(m5_cv!$E:$E,m5_cv!$A:$A,$E215,m5_cv!$B:$B,$A215),0))</f>
        <v>0</v>
      </c>
      <c r="L215">
        <f>MAX(0,ROUND(SUMIFS(m6_cv!$E:$E,m6_cv!$A:$A,$E215,m6_cv!$B:$B,$A215),0))</f>
        <v>119</v>
      </c>
      <c r="M215">
        <f>MAX(0,ROUND(SUMIFS(m7_cv!$E:$E,m7_cv!$A:$A,$E215,m7_cv!$B:$B,$A215),0))</f>
        <v>0</v>
      </c>
      <c r="N215">
        <f>ROUND(_xlfn.XLOOKUP($D215,Charts!$W$86:$W$116,Charts!$X$86:$X$116)*$L215+_xlfn.XLOOKUP($D215,Charts!$W$86:$W$116,Charts!$Y$86:$Y$116)*$M215,0)</f>
        <v>119</v>
      </c>
      <c r="O215">
        <f>MAX(0,ROUND(SUMIFS(m8_cv!$E:$E,m8_cv!$A:$A,$E215,m8_cv!$B:$B,$A215),0))</f>
        <v>0</v>
      </c>
    </row>
    <row r="216" spans="1:15" x14ac:dyDescent="0.25">
      <c r="A216" s="3">
        <f t="shared" si="19"/>
        <v>45872</v>
      </c>
      <c r="B216">
        <f t="shared" si="15"/>
        <v>2025</v>
      </c>
      <c r="C216">
        <f t="shared" si="16"/>
        <v>8</v>
      </c>
      <c r="D216">
        <f t="shared" si="17"/>
        <v>3</v>
      </c>
      <c r="E216" s="2">
        <f t="shared" si="18"/>
        <v>45869</v>
      </c>
      <c r="F216" s="12">
        <f>_xlfn.XLOOKUP($A216,m1_cv!$B:$B,m1_cv!$C:$C)</f>
        <v>28</v>
      </c>
      <c r="G216">
        <f>MAX(0,ROUND(SUMIFS(m1_cv!$E:$E,m1_cv!$A:$A,$E216,m1_cv!$B:$B,$A216),0))</f>
        <v>866</v>
      </c>
      <c r="H216">
        <f>MAX(0,ROUND(SUMIFS(m2_cv!$E:$E,m2_cv!$A:$A,$E216,m2_cv!$B:$B,$A216),0))</f>
        <v>0</v>
      </c>
      <c r="I216">
        <f>MAX(0,ROUND(SUMIFS(m3_cv!$E:$E,m3_cv!$A:$A,$E216,m3_cv!$B:$B,$A216),0))</f>
        <v>38</v>
      </c>
      <c r="J216">
        <f>MAX(0,ROUND(SUMIFS(m4_cv!$E:$E,m4_cv!$A:$A,$E216,m4_cv!$B:$B,$A216),0))</f>
        <v>41</v>
      </c>
      <c r="K216">
        <f>MAX(0,ROUND(SUMIFS(m5_cv!$E:$E,m5_cv!$A:$A,$E216,m5_cv!$B:$B,$A216),0))</f>
        <v>0</v>
      </c>
      <c r="L216">
        <f>MAX(0,ROUND(SUMIFS(m6_cv!$E:$E,m6_cv!$A:$A,$E216,m6_cv!$B:$B,$A216),0))</f>
        <v>62</v>
      </c>
      <c r="M216">
        <f>MAX(0,ROUND(SUMIFS(m7_cv!$E:$E,m7_cv!$A:$A,$E216,m7_cv!$B:$B,$A216),0))</f>
        <v>0</v>
      </c>
      <c r="N216">
        <f>ROUND(_xlfn.XLOOKUP($D216,Charts!$W$86:$W$116,Charts!$X$86:$X$116)*$L216+_xlfn.XLOOKUP($D216,Charts!$W$86:$W$116,Charts!$Y$86:$Y$116)*$M216,0)</f>
        <v>62</v>
      </c>
      <c r="O216">
        <f>MAX(0,ROUND(SUMIFS(m8_cv!$E:$E,m8_cv!$A:$A,$E216,m8_cv!$B:$B,$A216),0))</f>
        <v>0</v>
      </c>
    </row>
    <row r="217" spans="1:15" x14ac:dyDescent="0.25">
      <c r="A217" s="3">
        <f t="shared" si="19"/>
        <v>45873</v>
      </c>
      <c r="B217">
        <f t="shared" si="15"/>
        <v>2025</v>
      </c>
      <c r="C217">
        <f t="shared" si="16"/>
        <v>8</v>
      </c>
      <c r="D217">
        <f t="shared" si="17"/>
        <v>4</v>
      </c>
      <c r="E217" s="2">
        <f t="shared" si="18"/>
        <v>45869</v>
      </c>
      <c r="F217" s="12">
        <f>_xlfn.XLOOKUP($A217,m1_cv!$B:$B,m1_cv!$C:$C)</f>
        <v>912</v>
      </c>
      <c r="G217">
        <f>MAX(0,ROUND(SUMIFS(m1_cv!$E:$E,m1_cv!$A:$A,$E217,m1_cv!$B:$B,$A217),0))</f>
        <v>3182</v>
      </c>
      <c r="H217">
        <f>MAX(0,ROUND(SUMIFS(m2_cv!$E:$E,m2_cv!$A:$A,$E217,m2_cv!$B:$B,$A217),0))</f>
        <v>1187</v>
      </c>
      <c r="I217">
        <f>MAX(0,ROUND(SUMIFS(m3_cv!$E:$E,m3_cv!$A:$A,$E217,m3_cv!$B:$B,$A217),0))</f>
        <v>1396</v>
      </c>
      <c r="J217">
        <f>MAX(0,ROUND(SUMIFS(m4_cv!$E:$E,m4_cv!$A:$A,$E217,m4_cv!$B:$B,$A217),0))</f>
        <v>1400</v>
      </c>
      <c r="K217">
        <f>MAX(0,ROUND(SUMIFS(m5_cv!$E:$E,m5_cv!$A:$A,$E217,m5_cv!$B:$B,$A217),0))</f>
        <v>1179</v>
      </c>
      <c r="L217">
        <f>MAX(0,ROUND(SUMIFS(m6_cv!$E:$E,m6_cv!$A:$A,$E217,m6_cv!$B:$B,$A217),0))</f>
        <v>680</v>
      </c>
      <c r="M217">
        <f>MAX(0,ROUND(SUMIFS(m7_cv!$E:$E,m7_cv!$A:$A,$E217,m7_cv!$B:$B,$A217),0))</f>
        <v>1324</v>
      </c>
      <c r="N217">
        <f>ROUND(_xlfn.XLOOKUP($D217,Charts!$W$86:$W$116,Charts!$X$86:$X$116)*$L217+_xlfn.XLOOKUP($D217,Charts!$W$86:$W$116,Charts!$Y$86:$Y$116)*$M217,0)</f>
        <v>680</v>
      </c>
      <c r="O217">
        <f>MAX(0,ROUND(SUMIFS(m8_cv!$E:$E,m8_cv!$A:$A,$E217,m8_cv!$B:$B,$A217),0))</f>
        <v>1471</v>
      </c>
    </row>
    <row r="218" spans="1:15" x14ac:dyDescent="0.25">
      <c r="A218" s="3">
        <f t="shared" si="19"/>
        <v>45874</v>
      </c>
      <c r="B218">
        <f t="shared" si="15"/>
        <v>2025</v>
      </c>
      <c r="C218">
        <f t="shared" si="16"/>
        <v>8</v>
      </c>
      <c r="D218">
        <f t="shared" si="17"/>
        <v>5</v>
      </c>
      <c r="E218" s="2">
        <f t="shared" si="18"/>
        <v>45869</v>
      </c>
      <c r="F218" s="12">
        <f>_xlfn.XLOOKUP($A218,m1_cv!$B:$B,m1_cv!$C:$C)</f>
        <v>2022</v>
      </c>
      <c r="G218">
        <f>MAX(0,ROUND(SUMIFS(m1_cv!$E:$E,m1_cv!$A:$A,$E218,m1_cv!$B:$B,$A218),0))</f>
        <v>3659</v>
      </c>
      <c r="H218">
        <f>MAX(0,ROUND(SUMIFS(m2_cv!$E:$E,m2_cv!$A:$A,$E218,m2_cv!$B:$B,$A218),0))</f>
        <v>1398</v>
      </c>
      <c r="I218">
        <f>MAX(0,ROUND(SUMIFS(m3_cv!$E:$E,m3_cv!$A:$A,$E218,m3_cv!$B:$B,$A218),0))</f>
        <v>1354</v>
      </c>
      <c r="J218">
        <f>MAX(0,ROUND(SUMIFS(m4_cv!$E:$E,m4_cv!$A:$A,$E218,m4_cv!$B:$B,$A218),0))</f>
        <v>1355</v>
      </c>
      <c r="K218">
        <f>MAX(0,ROUND(SUMIFS(m5_cv!$E:$E,m5_cv!$A:$A,$E218,m5_cv!$B:$B,$A218),0))</f>
        <v>1588</v>
      </c>
      <c r="L218">
        <f>MAX(0,ROUND(SUMIFS(m6_cv!$E:$E,m6_cv!$A:$A,$E218,m6_cv!$B:$B,$A218),0))</f>
        <v>847</v>
      </c>
      <c r="M218">
        <f>MAX(0,ROUND(SUMIFS(m7_cv!$E:$E,m7_cv!$A:$A,$E218,m7_cv!$B:$B,$A218),0))</f>
        <v>1587</v>
      </c>
      <c r="N218">
        <f>ROUND(_xlfn.XLOOKUP($D218,Charts!$W$86:$W$116,Charts!$X$86:$X$116)*$L218+_xlfn.XLOOKUP($D218,Charts!$W$86:$W$116,Charts!$Y$86:$Y$116)*$M218,0)</f>
        <v>995</v>
      </c>
      <c r="O218">
        <f>MAX(0,ROUND(SUMIFS(m8_cv!$E:$E,m8_cv!$A:$A,$E218,m8_cv!$B:$B,$A218),0))</f>
        <v>1689</v>
      </c>
    </row>
    <row r="219" spans="1:15" x14ac:dyDescent="0.25">
      <c r="A219" s="3">
        <f t="shared" si="19"/>
        <v>45875</v>
      </c>
      <c r="B219">
        <f t="shared" si="15"/>
        <v>2025</v>
      </c>
      <c r="C219">
        <f t="shared" si="16"/>
        <v>8</v>
      </c>
      <c r="D219">
        <f t="shared" si="17"/>
        <v>6</v>
      </c>
      <c r="E219" s="2">
        <f t="shared" si="18"/>
        <v>45869</v>
      </c>
      <c r="F219" s="12">
        <f>_xlfn.XLOOKUP($A219,m1_cv!$B:$B,m1_cv!$C:$C)</f>
        <v>1344</v>
      </c>
      <c r="G219">
        <f>MAX(0,ROUND(SUMIFS(m1_cv!$E:$E,m1_cv!$A:$A,$E219,m1_cv!$B:$B,$A219),0))</f>
        <v>3716</v>
      </c>
      <c r="H219">
        <f>MAX(0,ROUND(SUMIFS(m2_cv!$E:$E,m2_cv!$A:$A,$E219,m2_cv!$B:$B,$A219),0))</f>
        <v>1805</v>
      </c>
      <c r="I219">
        <f>MAX(0,ROUND(SUMIFS(m3_cv!$E:$E,m3_cv!$A:$A,$E219,m3_cv!$B:$B,$A219),0))</f>
        <v>1780</v>
      </c>
      <c r="J219">
        <f>MAX(0,ROUND(SUMIFS(m4_cv!$E:$E,m4_cv!$A:$A,$E219,m4_cv!$B:$B,$A219),0))</f>
        <v>1781</v>
      </c>
      <c r="K219">
        <f>MAX(0,ROUND(SUMIFS(m5_cv!$E:$E,m5_cv!$A:$A,$E219,m5_cv!$B:$B,$A219),0))</f>
        <v>1852</v>
      </c>
      <c r="L219">
        <f>MAX(0,ROUND(SUMIFS(m6_cv!$E:$E,m6_cv!$A:$A,$E219,m6_cv!$B:$B,$A219),0))</f>
        <v>959</v>
      </c>
      <c r="M219">
        <f>MAX(0,ROUND(SUMIFS(m7_cv!$E:$E,m7_cv!$A:$A,$E219,m7_cv!$B:$B,$A219),0))</f>
        <v>1750</v>
      </c>
      <c r="N219">
        <f>ROUND(_xlfn.XLOOKUP($D219,Charts!$W$86:$W$116,Charts!$X$86:$X$116)*$L219+_xlfn.XLOOKUP($D219,Charts!$W$86:$W$116,Charts!$Y$86:$Y$116)*$M219,0)</f>
        <v>1355</v>
      </c>
      <c r="O219">
        <f>MAX(0,ROUND(SUMIFS(m8_cv!$E:$E,m8_cv!$A:$A,$E219,m8_cv!$B:$B,$A219),0))</f>
        <v>1823</v>
      </c>
    </row>
    <row r="220" spans="1:15" x14ac:dyDescent="0.25">
      <c r="A220" s="3">
        <f t="shared" si="19"/>
        <v>45876</v>
      </c>
      <c r="B220">
        <f t="shared" si="15"/>
        <v>2025</v>
      </c>
      <c r="C220">
        <f t="shared" si="16"/>
        <v>8</v>
      </c>
      <c r="D220">
        <f t="shared" si="17"/>
        <v>7</v>
      </c>
      <c r="E220" s="2">
        <f t="shared" si="18"/>
        <v>45869</v>
      </c>
      <c r="F220" s="12">
        <f>_xlfn.XLOOKUP($A220,m1_cv!$B:$B,m1_cv!$C:$C)</f>
        <v>1585</v>
      </c>
      <c r="G220">
        <f>MAX(0,ROUND(SUMIFS(m1_cv!$E:$E,m1_cv!$A:$A,$E220,m1_cv!$B:$B,$A220),0))</f>
        <v>3733</v>
      </c>
      <c r="H220">
        <f>MAX(0,ROUND(SUMIFS(m2_cv!$E:$E,m2_cv!$A:$A,$E220,m2_cv!$B:$B,$A220),0))</f>
        <v>2224</v>
      </c>
      <c r="I220">
        <f>MAX(0,ROUND(SUMIFS(m3_cv!$E:$E,m3_cv!$A:$A,$E220,m3_cv!$B:$B,$A220),0))</f>
        <v>2146</v>
      </c>
      <c r="J220">
        <f>MAX(0,ROUND(SUMIFS(m4_cv!$E:$E,m4_cv!$A:$A,$E220,m4_cv!$B:$B,$A220),0))</f>
        <v>2147</v>
      </c>
      <c r="K220">
        <f>MAX(0,ROUND(SUMIFS(m5_cv!$E:$E,m5_cv!$A:$A,$E220,m5_cv!$B:$B,$A220),0))</f>
        <v>1862</v>
      </c>
      <c r="L220">
        <f>MAX(0,ROUND(SUMIFS(m6_cv!$E:$E,m6_cv!$A:$A,$E220,m6_cv!$B:$B,$A220),0))</f>
        <v>1076</v>
      </c>
      <c r="M220">
        <f>MAX(0,ROUND(SUMIFS(m7_cv!$E:$E,m7_cv!$A:$A,$E220,m7_cv!$B:$B,$A220),0))</f>
        <v>1792</v>
      </c>
      <c r="N220">
        <f>ROUND(_xlfn.XLOOKUP($D220,Charts!$W$86:$W$116,Charts!$X$86:$X$116)*$L220+_xlfn.XLOOKUP($D220,Charts!$W$86:$W$116,Charts!$Y$86:$Y$116)*$M220,0)</f>
        <v>1434</v>
      </c>
      <c r="O220">
        <f>MAX(0,ROUND(SUMIFS(m8_cv!$E:$E,m8_cv!$A:$A,$E220,m8_cv!$B:$B,$A220),0))</f>
        <v>1868</v>
      </c>
    </row>
    <row r="221" spans="1:15" x14ac:dyDescent="0.25">
      <c r="A221" s="3">
        <f t="shared" si="19"/>
        <v>45877</v>
      </c>
      <c r="B221">
        <f t="shared" si="15"/>
        <v>2025</v>
      </c>
      <c r="C221">
        <f t="shared" si="16"/>
        <v>8</v>
      </c>
      <c r="D221">
        <f t="shared" si="17"/>
        <v>8</v>
      </c>
      <c r="E221" s="2">
        <f t="shared" si="18"/>
        <v>45869</v>
      </c>
      <c r="F221" s="12">
        <f>_xlfn.XLOOKUP($A221,m1_cv!$B:$B,m1_cv!$C:$C)</f>
        <v>2032</v>
      </c>
      <c r="G221">
        <f>MAX(0,ROUND(SUMIFS(m1_cv!$E:$E,m1_cv!$A:$A,$E221,m1_cv!$B:$B,$A221),0))</f>
        <v>3661</v>
      </c>
      <c r="H221">
        <f>MAX(0,ROUND(SUMIFS(m2_cv!$E:$E,m2_cv!$A:$A,$E221,m2_cv!$B:$B,$A221),0))</f>
        <v>2290</v>
      </c>
      <c r="I221">
        <f>MAX(0,ROUND(SUMIFS(m3_cv!$E:$E,m3_cv!$A:$A,$E221,m3_cv!$B:$B,$A221),0))</f>
        <v>2111</v>
      </c>
      <c r="J221">
        <f>MAX(0,ROUND(SUMIFS(m4_cv!$E:$E,m4_cv!$A:$A,$E221,m4_cv!$B:$B,$A221),0))</f>
        <v>2111</v>
      </c>
      <c r="K221">
        <f>MAX(0,ROUND(SUMIFS(m5_cv!$E:$E,m5_cv!$A:$A,$E221,m5_cv!$B:$B,$A221),0))</f>
        <v>2333</v>
      </c>
      <c r="L221">
        <f>MAX(0,ROUND(SUMIFS(m6_cv!$E:$E,m6_cv!$A:$A,$E221,m6_cv!$B:$B,$A221),0))</f>
        <v>1967</v>
      </c>
      <c r="M221">
        <f>MAX(0,ROUND(SUMIFS(m7_cv!$E:$E,m7_cv!$A:$A,$E221,m7_cv!$B:$B,$A221),0))</f>
        <v>2314</v>
      </c>
      <c r="N221">
        <f>ROUND(_xlfn.XLOOKUP($D221,Charts!$W$86:$W$116,Charts!$X$86:$X$116)*$L221+_xlfn.XLOOKUP($D221,Charts!$W$86:$W$116,Charts!$Y$86:$Y$116)*$M221,0)</f>
        <v>2141</v>
      </c>
      <c r="O221">
        <f>MAX(0,ROUND(SUMIFS(m8_cv!$E:$E,m8_cv!$A:$A,$E221,m8_cv!$B:$B,$A221),0))</f>
        <v>2951</v>
      </c>
    </row>
    <row r="222" spans="1:15" x14ac:dyDescent="0.25">
      <c r="A222" s="3">
        <f t="shared" si="19"/>
        <v>45878</v>
      </c>
      <c r="B222">
        <f t="shared" si="15"/>
        <v>2025</v>
      </c>
      <c r="C222">
        <f t="shared" si="16"/>
        <v>8</v>
      </c>
      <c r="D222">
        <f t="shared" si="17"/>
        <v>9</v>
      </c>
      <c r="E222" s="2">
        <f t="shared" si="18"/>
        <v>45869</v>
      </c>
      <c r="F222" s="12">
        <f>_xlfn.XLOOKUP($A222,m1_cv!$B:$B,m1_cv!$C:$C)</f>
        <v>327</v>
      </c>
      <c r="G222">
        <f>MAX(0,ROUND(SUMIFS(m1_cv!$E:$E,m1_cv!$A:$A,$E222,m1_cv!$B:$B,$A222),0))</f>
        <v>1411</v>
      </c>
      <c r="H222">
        <f>MAX(0,ROUND(SUMIFS(m2_cv!$E:$E,m2_cv!$A:$A,$E222,m2_cv!$B:$B,$A222),0))</f>
        <v>0</v>
      </c>
      <c r="I222">
        <f>MAX(0,ROUND(SUMIFS(m3_cv!$E:$E,m3_cv!$A:$A,$E222,m3_cv!$B:$B,$A222),0))</f>
        <v>0</v>
      </c>
      <c r="J222">
        <f>MAX(0,ROUND(SUMIFS(m4_cv!$E:$E,m4_cv!$A:$A,$E222,m4_cv!$B:$B,$A222),0))</f>
        <v>0</v>
      </c>
      <c r="K222">
        <f>MAX(0,ROUND(SUMIFS(m5_cv!$E:$E,m5_cv!$A:$A,$E222,m5_cv!$B:$B,$A222),0))</f>
        <v>0</v>
      </c>
      <c r="L222">
        <f>MAX(0,ROUND(SUMIFS(m6_cv!$E:$E,m6_cv!$A:$A,$E222,m6_cv!$B:$B,$A222),0))</f>
        <v>304</v>
      </c>
      <c r="M222">
        <f>MAX(0,ROUND(SUMIFS(m7_cv!$E:$E,m7_cv!$A:$A,$E222,m7_cv!$B:$B,$A222),0))</f>
        <v>0</v>
      </c>
      <c r="N222">
        <f>ROUND(_xlfn.XLOOKUP($D222,Charts!$W$86:$W$116,Charts!$X$86:$X$116)*$L222+_xlfn.XLOOKUP($D222,Charts!$W$86:$W$116,Charts!$Y$86:$Y$116)*$M222,0)</f>
        <v>152</v>
      </c>
      <c r="O222">
        <f>MAX(0,ROUND(SUMIFS(m8_cv!$E:$E,m8_cv!$A:$A,$E222,m8_cv!$B:$B,$A222),0))</f>
        <v>314</v>
      </c>
    </row>
    <row r="223" spans="1:15" x14ac:dyDescent="0.25">
      <c r="A223" s="3">
        <f t="shared" si="19"/>
        <v>45879</v>
      </c>
      <c r="B223">
        <f t="shared" si="15"/>
        <v>2025</v>
      </c>
      <c r="C223">
        <f t="shared" si="16"/>
        <v>8</v>
      </c>
      <c r="D223">
        <f t="shared" si="17"/>
        <v>10</v>
      </c>
      <c r="E223" s="2">
        <f t="shared" si="18"/>
        <v>45869</v>
      </c>
      <c r="F223" s="12">
        <f>_xlfn.XLOOKUP($A223,m1_cv!$B:$B,m1_cv!$C:$C)</f>
        <v>78</v>
      </c>
      <c r="G223">
        <f>MAX(0,ROUND(SUMIFS(m1_cv!$E:$E,m1_cv!$A:$A,$E223,m1_cv!$B:$B,$A223),0))</f>
        <v>840</v>
      </c>
      <c r="H223">
        <f>MAX(0,ROUND(SUMIFS(m2_cv!$E:$E,m2_cv!$A:$A,$E223,m2_cv!$B:$B,$A223),0))</f>
        <v>0</v>
      </c>
      <c r="I223">
        <f>MAX(0,ROUND(SUMIFS(m3_cv!$E:$E,m3_cv!$A:$A,$E223,m3_cv!$B:$B,$A223),0))</f>
        <v>0</v>
      </c>
      <c r="J223">
        <f>MAX(0,ROUND(SUMIFS(m4_cv!$E:$E,m4_cv!$A:$A,$E223,m4_cv!$B:$B,$A223),0))</f>
        <v>0</v>
      </c>
      <c r="K223">
        <f>MAX(0,ROUND(SUMIFS(m5_cv!$E:$E,m5_cv!$A:$A,$E223,m5_cv!$B:$B,$A223),0))</f>
        <v>0</v>
      </c>
      <c r="L223">
        <f>MAX(0,ROUND(SUMIFS(m6_cv!$E:$E,m6_cv!$A:$A,$E223,m6_cv!$B:$B,$A223),0))</f>
        <v>104</v>
      </c>
      <c r="M223">
        <f>MAX(0,ROUND(SUMIFS(m7_cv!$E:$E,m7_cv!$A:$A,$E223,m7_cv!$B:$B,$A223),0))</f>
        <v>0</v>
      </c>
      <c r="N223">
        <f>ROUND(_xlfn.XLOOKUP($D223,Charts!$W$86:$W$116,Charts!$X$86:$X$116)*$L223+_xlfn.XLOOKUP($D223,Charts!$W$86:$W$116,Charts!$Y$86:$Y$116)*$M223,0)</f>
        <v>52</v>
      </c>
      <c r="O223">
        <f>MAX(0,ROUND(SUMIFS(m8_cv!$E:$E,m8_cv!$A:$A,$E223,m8_cv!$B:$B,$A223),0))</f>
        <v>0</v>
      </c>
    </row>
    <row r="224" spans="1:15" x14ac:dyDescent="0.25">
      <c r="A224" s="3">
        <f t="shared" si="19"/>
        <v>45880</v>
      </c>
      <c r="B224">
        <f t="shared" si="15"/>
        <v>2025</v>
      </c>
      <c r="C224">
        <f t="shared" si="16"/>
        <v>8</v>
      </c>
      <c r="D224">
        <f t="shared" si="17"/>
        <v>11</v>
      </c>
      <c r="E224" s="2">
        <f t="shared" si="18"/>
        <v>45869</v>
      </c>
      <c r="F224" s="12">
        <f>_xlfn.XLOOKUP($A224,m1_cv!$B:$B,m1_cv!$C:$C)</f>
        <v>2043</v>
      </c>
      <c r="G224">
        <f>MAX(0,ROUND(SUMIFS(m1_cv!$E:$E,m1_cv!$A:$A,$E224,m1_cv!$B:$B,$A224),0))</f>
        <v>3133</v>
      </c>
      <c r="H224">
        <f>MAX(0,ROUND(SUMIFS(m2_cv!$E:$E,m2_cv!$A:$A,$E224,m2_cv!$B:$B,$A224),0))</f>
        <v>1818</v>
      </c>
      <c r="I224">
        <f>MAX(0,ROUND(SUMIFS(m3_cv!$E:$E,m3_cv!$A:$A,$E224,m3_cv!$B:$B,$A224),0))</f>
        <v>1883</v>
      </c>
      <c r="J224">
        <f>MAX(0,ROUND(SUMIFS(m4_cv!$E:$E,m4_cv!$A:$A,$E224,m4_cv!$B:$B,$A224),0))</f>
        <v>1885</v>
      </c>
      <c r="K224">
        <f>MAX(0,ROUND(SUMIFS(m5_cv!$E:$E,m5_cv!$A:$A,$E224,m5_cv!$B:$B,$A224),0))</f>
        <v>1908</v>
      </c>
      <c r="L224">
        <f>MAX(0,ROUND(SUMIFS(m6_cv!$E:$E,m6_cv!$A:$A,$E224,m6_cv!$B:$B,$A224),0))</f>
        <v>1307</v>
      </c>
      <c r="M224">
        <f>MAX(0,ROUND(SUMIFS(m7_cv!$E:$E,m7_cv!$A:$A,$E224,m7_cv!$B:$B,$A224),0))</f>
        <v>1844</v>
      </c>
      <c r="N224">
        <f>ROUND(_xlfn.XLOOKUP($D224,Charts!$W$86:$W$116,Charts!$X$86:$X$116)*$L224+_xlfn.XLOOKUP($D224,Charts!$W$86:$W$116,Charts!$Y$86:$Y$116)*$M224,0)</f>
        <v>1683</v>
      </c>
      <c r="O224">
        <f>MAX(0,ROUND(SUMIFS(m8_cv!$E:$E,m8_cv!$A:$A,$E224,m8_cv!$B:$B,$A224),0))</f>
        <v>1934</v>
      </c>
    </row>
    <row r="225" spans="1:15" x14ac:dyDescent="0.25">
      <c r="A225" s="3">
        <f t="shared" si="19"/>
        <v>45881</v>
      </c>
      <c r="B225">
        <f t="shared" si="15"/>
        <v>2025</v>
      </c>
      <c r="C225">
        <f t="shared" si="16"/>
        <v>8</v>
      </c>
      <c r="D225">
        <f t="shared" si="17"/>
        <v>12</v>
      </c>
      <c r="E225" s="2">
        <f t="shared" si="18"/>
        <v>45869</v>
      </c>
      <c r="F225" s="12">
        <f>_xlfn.XLOOKUP($A225,m1_cv!$B:$B,m1_cv!$C:$C)</f>
        <v>2431</v>
      </c>
      <c r="G225">
        <f>MAX(0,ROUND(SUMIFS(m1_cv!$E:$E,m1_cv!$A:$A,$E225,m1_cv!$B:$B,$A225),0))</f>
        <v>3589</v>
      </c>
      <c r="H225">
        <f>MAX(0,ROUND(SUMIFS(m2_cv!$E:$E,m2_cv!$A:$A,$E225,m2_cv!$B:$B,$A225),0))</f>
        <v>2524</v>
      </c>
      <c r="I225">
        <f>MAX(0,ROUND(SUMIFS(m3_cv!$E:$E,m3_cv!$A:$A,$E225,m3_cv!$B:$B,$A225),0))</f>
        <v>2450</v>
      </c>
      <c r="J225">
        <f>MAX(0,ROUND(SUMIFS(m4_cv!$E:$E,m4_cv!$A:$A,$E225,m4_cv!$B:$B,$A225),0))</f>
        <v>2450</v>
      </c>
      <c r="K225">
        <f>MAX(0,ROUND(SUMIFS(m5_cv!$E:$E,m5_cv!$A:$A,$E225,m5_cv!$B:$B,$A225),0))</f>
        <v>2344</v>
      </c>
      <c r="L225">
        <f>MAX(0,ROUND(SUMIFS(m6_cv!$E:$E,m6_cv!$A:$A,$E225,m6_cv!$B:$B,$A225),0))</f>
        <v>1821</v>
      </c>
      <c r="M225">
        <f>MAX(0,ROUND(SUMIFS(m7_cv!$E:$E,m7_cv!$A:$A,$E225,m7_cv!$B:$B,$A225),0))</f>
        <v>2322</v>
      </c>
      <c r="N225">
        <f>ROUND(_xlfn.XLOOKUP($D225,Charts!$W$86:$W$116,Charts!$X$86:$X$116)*$L225+_xlfn.XLOOKUP($D225,Charts!$W$86:$W$116,Charts!$Y$86:$Y$116)*$M225,0)</f>
        <v>2172</v>
      </c>
      <c r="O225">
        <f>MAX(0,ROUND(SUMIFS(m8_cv!$E:$E,m8_cv!$A:$A,$E225,m8_cv!$B:$B,$A225),0))</f>
        <v>2411</v>
      </c>
    </row>
    <row r="226" spans="1:15" x14ac:dyDescent="0.25">
      <c r="A226" s="3">
        <f t="shared" si="19"/>
        <v>45882</v>
      </c>
      <c r="B226">
        <f t="shared" si="15"/>
        <v>2025</v>
      </c>
      <c r="C226">
        <f t="shared" si="16"/>
        <v>8</v>
      </c>
      <c r="D226">
        <f t="shared" si="17"/>
        <v>13</v>
      </c>
      <c r="E226" s="2">
        <f t="shared" si="18"/>
        <v>45869</v>
      </c>
      <c r="F226" s="12">
        <f>_xlfn.XLOOKUP($A226,m1_cv!$B:$B,m1_cv!$C:$C)</f>
        <v>2484</v>
      </c>
      <c r="G226">
        <f>MAX(0,ROUND(SUMIFS(m1_cv!$E:$E,m1_cv!$A:$A,$E226,m1_cv!$B:$B,$A226),0))</f>
        <v>3628</v>
      </c>
      <c r="H226">
        <f>MAX(0,ROUND(SUMIFS(m2_cv!$E:$E,m2_cv!$A:$A,$E226,m2_cv!$B:$B,$A226),0))</f>
        <v>2753</v>
      </c>
      <c r="I226">
        <f>MAX(0,ROUND(SUMIFS(m3_cv!$E:$E,m3_cv!$A:$A,$E226,m3_cv!$B:$B,$A226),0))</f>
        <v>2755</v>
      </c>
      <c r="J226">
        <f>MAX(0,ROUND(SUMIFS(m4_cv!$E:$E,m4_cv!$A:$A,$E226,m4_cv!$B:$B,$A226),0))</f>
        <v>2756</v>
      </c>
      <c r="K226">
        <f>MAX(0,ROUND(SUMIFS(m5_cv!$E:$E,m5_cv!$A:$A,$E226,m5_cv!$B:$B,$A226),0))</f>
        <v>2550</v>
      </c>
      <c r="L226">
        <f>MAX(0,ROUND(SUMIFS(m6_cv!$E:$E,m6_cv!$A:$A,$E226,m6_cv!$B:$B,$A226),0))</f>
        <v>2208</v>
      </c>
      <c r="M226">
        <f>MAX(0,ROUND(SUMIFS(m7_cv!$E:$E,m7_cv!$A:$A,$E226,m7_cv!$B:$B,$A226),0))</f>
        <v>2566</v>
      </c>
      <c r="N226">
        <f>ROUND(_xlfn.XLOOKUP($D226,Charts!$W$86:$W$116,Charts!$X$86:$X$116)*$L226+_xlfn.XLOOKUP($D226,Charts!$W$86:$W$116,Charts!$Y$86:$Y$116)*$M226,0)</f>
        <v>2459</v>
      </c>
      <c r="O226">
        <f>MAX(0,ROUND(SUMIFS(m8_cv!$E:$E,m8_cv!$A:$A,$E226,m8_cv!$B:$B,$A226),0))</f>
        <v>2624</v>
      </c>
    </row>
    <row r="227" spans="1:15" x14ac:dyDescent="0.25">
      <c r="A227" s="3">
        <f t="shared" si="19"/>
        <v>45883</v>
      </c>
      <c r="B227">
        <f t="shared" si="15"/>
        <v>2025</v>
      </c>
      <c r="C227">
        <f t="shared" si="16"/>
        <v>8</v>
      </c>
      <c r="D227">
        <f t="shared" si="17"/>
        <v>14</v>
      </c>
      <c r="E227" s="2">
        <f t="shared" si="18"/>
        <v>45869</v>
      </c>
      <c r="F227" s="12">
        <f>_xlfn.XLOOKUP($A227,m1_cv!$B:$B,m1_cv!$C:$C)</f>
        <v>2669</v>
      </c>
      <c r="G227">
        <f>MAX(0,ROUND(SUMIFS(m1_cv!$E:$E,m1_cv!$A:$A,$E227,m1_cv!$B:$B,$A227),0))</f>
        <v>3629</v>
      </c>
      <c r="H227">
        <f>MAX(0,ROUND(SUMIFS(m2_cv!$E:$E,m2_cv!$A:$A,$E227,m2_cv!$B:$B,$A227),0))</f>
        <v>2789</v>
      </c>
      <c r="I227">
        <f>MAX(0,ROUND(SUMIFS(m3_cv!$E:$E,m3_cv!$A:$A,$E227,m3_cv!$B:$B,$A227),0))</f>
        <v>2736</v>
      </c>
      <c r="J227">
        <f>MAX(0,ROUND(SUMIFS(m4_cv!$E:$E,m4_cv!$A:$A,$E227,m4_cv!$B:$B,$A227),0))</f>
        <v>2737</v>
      </c>
      <c r="K227">
        <f>MAX(0,ROUND(SUMIFS(m5_cv!$E:$E,m5_cv!$A:$A,$E227,m5_cv!$B:$B,$A227),0))</f>
        <v>2591</v>
      </c>
      <c r="L227">
        <f>MAX(0,ROUND(SUMIFS(m6_cv!$E:$E,m6_cv!$A:$A,$E227,m6_cv!$B:$B,$A227),0))</f>
        <v>2564</v>
      </c>
      <c r="M227">
        <f>MAX(0,ROUND(SUMIFS(m7_cv!$E:$E,m7_cv!$A:$A,$E227,m7_cv!$B:$B,$A227),0))</f>
        <v>2590</v>
      </c>
      <c r="N227">
        <f>ROUND(_xlfn.XLOOKUP($D227,Charts!$W$86:$W$116,Charts!$X$86:$X$116)*$L227+_xlfn.XLOOKUP($D227,Charts!$W$86:$W$116,Charts!$Y$86:$Y$116)*$M227,0)</f>
        <v>2590</v>
      </c>
      <c r="O227">
        <f>MAX(0,ROUND(SUMIFS(m8_cv!$E:$E,m8_cv!$A:$A,$E227,m8_cv!$B:$B,$A227),0))</f>
        <v>2651</v>
      </c>
    </row>
    <row r="228" spans="1:15" x14ac:dyDescent="0.25">
      <c r="A228" s="3">
        <f t="shared" si="19"/>
        <v>45884</v>
      </c>
      <c r="B228">
        <f t="shared" si="15"/>
        <v>2025</v>
      </c>
      <c r="C228">
        <f t="shared" si="16"/>
        <v>8</v>
      </c>
      <c r="D228">
        <f t="shared" si="17"/>
        <v>15</v>
      </c>
      <c r="E228" s="2">
        <f t="shared" si="18"/>
        <v>45869</v>
      </c>
      <c r="F228" s="12">
        <f>_xlfn.XLOOKUP($A228,m1_cv!$B:$B,m1_cv!$C:$C)</f>
        <v>3160</v>
      </c>
      <c r="G228">
        <f>MAX(0,ROUND(SUMIFS(m1_cv!$E:$E,m1_cv!$A:$A,$E228,m1_cv!$B:$B,$A228),0))</f>
        <v>3545</v>
      </c>
      <c r="H228">
        <f>MAX(0,ROUND(SUMIFS(m2_cv!$E:$E,m2_cv!$A:$A,$E228,m2_cv!$B:$B,$A228),0))</f>
        <v>2711</v>
      </c>
      <c r="I228">
        <f>MAX(0,ROUND(SUMIFS(m3_cv!$E:$E,m3_cv!$A:$A,$E228,m3_cv!$B:$B,$A228),0))</f>
        <v>2535</v>
      </c>
      <c r="J228">
        <f>MAX(0,ROUND(SUMIFS(m4_cv!$E:$E,m4_cv!$A:$A,$E228,m4_cv!$B:$B,$A228),0))</f>
        <v>2536</v>
      </c>
      <c r="K228">
        <f>MAX(0,ROUND(SUMIFS(m5_cv!$E:$E,m5_cv!$A:$A,$E228,m5_cv!$B:$B,$A228),0))</f>
        <v>2576</v>
      </c>
      <c r="L228">
        <f>MAX(0,ROUND(SUMIFS(m6_cv!$E:$E,m6_cv!$A:$A,$E228,m6_cv!$B:$B,$A228),0))</f>
        <v>2548</v>
      </c>
      <c r="M228">
        <f>MAX(0,ROUND(SUMIFS(m7_cv!$E:$E,m7_cv!$A:$A,$E228,m7_cv!$B:$B,$A228),0))</f>
        <v>2573</v>
      </c>
      <c r="N228">
        <f>ROUND(_xlfn.XLOOKUP($D228,Charts!$W$86:$W$116,Charts!$X$86:$X$116)*$L228+_xlfn.XLOOKUP($D228,Charts!$W$86:$W$116,Charts!$Y$86:$Y$116)*$M228,0)</f>
        <v>2573</v>
      </c>
      <c r="O228">
        <f>MAX(0,ROUND(SUMIFS(m8_cv!$E:$E,m8_cv!$A:$A,$E228,m8_cv!$B:$B,$A228),0))</f>
        <v>2625</v>
      </c>
    </row>
    <row r="229" spans="1:15" x14ac:dyDescent="0.25">
      <c r="A229" s="3">
        <f t="shared" si="19"/>
        <v>45885</v>
      </c>
      <c r="B229">
        <f t="shared" si="15"/>
        <v>2025</v>
      </c>
      <c r="C229">
        <f t="shared" si="16"/>
        <v>8</v>
      </c>
      <c r="D229">
        <f t="shared" si="17"/>
        <v>16</v>
      </c>
      <c r="E229" s="2">
        <f t="shared" si="18"/>
        <v>45869</v>
      </c>
      <c r="F229" s="12">
        <f>_xlfn.XLOOKUP($A229,m1_cv!$B:$B,m1_cv!$C:$C)</f>
        <v>560</v>
      </c>
      <c r="G229">
        <f>MAX(0,ROUND(SUMIFS(m1_cv!$E:$E,m1_cv!$A:$A,$E229,m1_cv!$B:$B,$A229),0))</f>
        <v>1285</v>
      </c>
      <c r="H229">
        <f>MAX(0,ROUND(SUMIFS(m2_cv!$E:$E,m2_cv!$A:$A,$E229,m2_cv!$B:$B,$A229),0))</f>
        <v>557</v>
      </c>
      <c r="I229">
        <f>MAX(0,ROUND(SUMIFS(m3_cv!$E:$E,m3_cv!$A:$A,$E229,m3_cv!$B:$B,$A229),0))</f>
        <v>325</v>
      </c>
      <c r="J229">
        <f>MAX(0,ROUND(SUMIFS(m4_cv!$E:$E,m4_cv!$A:$A,$E229,m4_cv!$B:$B,$A229),0))</f>
        <v>327</v>
      </c>
      <c r="K229">
        <f>MAX(0,ROUND(SUMIFS(m5_cv!$E:$E,m5_cv!$A:$A,$E229,m5_cv!$B:$B,$A229),0))</f>
        <v>451</v>
      </c>
      <c r="L229">
        <f>MAX(0,ROUND(SUMIFS(m6_cv!$E:$E,m6_cv!$A:$A,$E229,m6_cv!$B:$B,$A229),0))</f>
        <v>426</v>
      </c>
      <c r="M229">
        <f>MAX(0,ROUND(SUMIFS(m7_cv!$E:$E,m7_cv!$A:$A,$E229,m7_cv!$B:$B,$A229),0))</f>
        <v>460</v>
      </c>
      <c r="N229">
        <f>ROUND(_xlfn.XLOOKUP($D229,Charts!$W$86:$W$116,Charts!$X$86:$X$116)*$L229+_xlfn.XLOOKUP($D229,Charts!$W$86:$W$116,Charts!$Y$86:$Y$116)*$M229,0)</f>
        <v>460</v>
      </c>
      <c r="O229">
        <f>MAX(0,ROUND(SUMIFS(m8_cv!$E:$E,m8_cv!$A:$A,$E229,m8_cv!$B:$B,$A229),0))</f>
        <v>504</v>
      </c>
    </row>
    <row r="230" spans="1:15" x14ac:dyDescent="0.25">
      <c r="A230" s="3">
        <f t="shared" si="19"/>
        <v>45886</v>
      </c>
      <c r="B230">
        <f t="shared" si="15"/>
        <v>2025</v>
      </c>
      <c r="C230">
        <f t="shared" si="16"/>
        <v>8</v>
      </c>
      <c r="D230">
        <f t="shared" si="17"/>
        <v>17</v>
      </c>
      <c r="E230" s="2">
        <f t="shared" si="18"/>
        <v>45869</v>
      </c>
      <c r="F230" s="12">
        <f>_xlfn.XLOOKUP($A230,m1_cv!$B:$B,m1_cv!$C:$C)</f>
        <v>166</v>
      </c>
      <c r="G230">
        <f>MAX(0,ROUND(SUMIFS(m1_cv!$E:$E,m1_cv!$A:$A,$E230,m1_cv!$B:$B,$A230),0))</f>
        <v>707</v>
      </c>
      <c r="H230">
        <f>MAX(0,ROUND(SUMIFS(m2_cv!$E:$E,m2_cv!$A:$A,$E230,m2_cv!$B:$B,$A230),0))</f>
        <v>226</v>
      </c>
      <c r="I230">
        <f>MAX(0,ROUND(SUMIFS(m3_cv!$E:$E,m3_cv!$A:$A,$E230,m3_cv!$B:$B,$A230),0))</f>
        <v>49</v>
      </c>
      <c r="J230">
        <f>MAX(0,ROUND(SUMIFS(m4_cv!$E:$E,m4_cv!$A:$A,$E230,m4_cv!$B:$B,$A230),0))</f>
        <v>50</v>
      </c>
      <c r="K230">
        <f>MAX(0,ROUND(SUMIFS(m5_cv!$E:$E,m5_cv!$A:$A,$E230,m5_cv!$B:$B,$A230),0))</f>
        <v>102</v>
      </c>
      <c r="L230">
        <f>MAX(0,ROUND(SUMIFS(m6_cv!$E:$E,m6_cv!$A:$A,$E230,m6_cv!$B:$B,$A230),0))</f>
        <v>162</v>
      </c>
      <c r="M230">
        <f>MAX(0,ROUND(SUMIFS(m7_cv!$E:$E,m7_cv!$A:$A,$E230,m7_cv!$B:$B,$A230),0))</f>
        <v>117</v>
      </c>
      <c r="N230">
        <f>ROUND(_xlfn.XLOOKUP($D230,Charts!$W$86:$W$116,Charts!$X$86:$X$116)*$L230+_xlfn.XLOOKUP($D230,Charts!$W$86:$W$116,Charts!$Y$86:$Y$116)*$M230,0)</f>
        <v>117</v>
      </c>
      <c r="O230">
        <f>MAX(0,ROUND(SUMIFS(m8_cv!$E:$E,m8_cv!$A:$A,$E230,m8_cv!$B:$B,$A230),0))</f>
        <v>161</v>
      </c>
    </row>
    <row r="231" spans="1:15" x14ac:dyDescent="0.25">
      <c r="A231" s="3">
        <f t="shared" si="19"/>
        <v>45887</v>
      </c>
      <c r="B231">
        <f t="shared" si="15"/>
        <v>2025</v>
      </c>
      <c r="C231">
        <f t="shared" si="16"/>
        <v>8</v>
      </c>
      <c r="D231">
        <f t="shared" si="17"/>
        <v>18</v>
      </c>
      <c r="E231" s="2">
        <f t="shared" si="18"/>
        <v>45869</v>
      </c>
      <c r="F231" s="12">
        <f>_xlfn.XLOOKUP($A231,m1_cv!$B:$B,m1_cv!$C:$C)</f>
        <v>3003</v>
      </c>
      <c r="G231">
        <f>MAX(0,ROUND(SUMIFS(m1_cv!$E:$E,m1_cv!$A:$A,$E231,m1_cv!$B:$B,$A231),0))</f>
        <v>2997</v>
      </c>
      <c r="H231">
        <f>MAX(0,ROUND(SUMIFS(m2_cv!$E:$E,m2_cv!$A:$A,$E231,m2_cv!$B:$B,$A231),0))</f>
        <v>2747</v>
      </c>
      <c r="I231">
        <f>MAX(0,ROUND(SUMIFS(m3_cv!$E:$E,m3_cv!$A:$A,$E231,m3_cv!$B:$B,$A231),0))</f>
        <v>2872</v>
      </c>
      <c r="J231">
        <f>MAX(0,ROUND(SUMIFS(m4_cv!$E:$E,m4_cv!$A:$A,$E231,m4_cv!$B:$B,$A231),0))</f>
        <v>2875</v>
      </c>
      <c r="K231">
        <f>MAX(0,ROUND(SUMIFS(m5_cv!$E:$E,m5_cv!$A:$A,$E231,m5_cv!$B:$B,$A231),0))</f>
        <v>2747</v>
      </c>
      <c r="L231">
        <f>MAX(0,ROUND(SUMIFS(m6_cv!$E:$E,m6_cv!$A:$A,$E231,m6_cv!$B:$B,$A231),0))</f>
        <v>2160</v>
      </c>
      <c r="M231">
        <f>MAX(0,ROUND(SUMIFS(m7_cv!$E:$E,m7_cv!$A:$A,$E231,m7_cv!$B:$B,$A231),0))</f>
        <v>2718</v>
      </c>
      <c r="N231">
        <f>ROUND(_xlfn.XLOOKUP($D231,Charts!$W$86:$W$116,Charts!$X$86:$X$116)*$L231+_xlfn.XLOOKUP($D231,Charts!$W$86:$W$116,Charts!$Y$86:$Y$116)*$M231,0)</f>
        <v>2718</v>
      </c>
      <c r="O231">
        <f>MAX(0,ROUND(SUMIFS(m8_cv!$E:$E,m8_cv!$A:$A,$E231,m8_cv!$B:$B,$A231),0))</f>
        <v>2767</v>
      </c>
    </row>
    <row r="232" spans="1:15" x14ac:dyDescent="0.25">
      <c r="A232" s="3">
        <f t="shared" si="19"/>
        <v>45888</v>
      </c>
      <c r="B232">
        <f t="shared" si="15"/>
        <v>2025</v>
      </c>
      <c r="C232">
        <f t="shared" si="16"/>
        <v>8</v>
      </c>
      <c r="D232">
        <f t="shared" si="17"/>
        <v>19</v>
      </c>
      <c r="E232" s="2">
        <f t="shared" si="18"/>
        <v>45869</v>
      </c>
      <c r="F232" s="12">
        <f>_xlfn.XLOOKUP($A232,m1_cv!$B:$B,m1_cv!$C:$C)</f>
        <v>3182</v>
      </c>
      <c r="G232">
        <f>MAX(0,ROUND(SUMIFS(m1_cv!$E:$E,m1_cv!$A:$A,$E232,m1_cv!$B:$B,$A232),0))</f>
        <v>3452</v>
      </c>
      <c r="H232">
        <f>MAX(0,ROUND(SUMIFS(m2_cv!$E:$E,m2_cv!$A:$A,$E232,m2_cv!$B:$B,$A232),0))</f>
        <v>3227</v>
      </c>
      <c r="I232">
        <f>MAX(0,ROUND(SUMIFS(m3_cv!$E:$E,m3_cv!$A:$A,$E232,m3_cv!$B:$B,$A232),0))</f>
        <v>3199</v>
      </c>
      <c r="J232">
        <f>MAX(0,ROUND(SUMIFS(m4_cv!$E:$E,m4_cv!$A:$A,$E232,m4_cv!$B:$B,$A232),0))</f>
        <v>3200</v>
      </c>
      <c r="K232">
        <f>MAX(0,ROUND(SUMIFS(m5_cv!$E:$E,m5_cv!$A:$A,$E232,m5_cv!$B:$B,$A232),0))</f>
        <v>3083</v>
      </c>
      <c r="L232">
        <f>MAX(0,ROUND(SUMIFS(m6_cv!$E:$E,m6_cv!$A:$A,$E232,m6_cv!$B:$B,$A232),0))</f>
        <v>2995</v>
      </c>
      <c r="M232">
        <f>MAX(0,ROUND(SUMIFS(m7_cv!$E:$E,m7_cv!$A:$A,$E232,m7_cv!$B:$B,$A232),0))</f>
        <v>3027</v>
      </c>
      <c r="N232">
        <f>ROUND(_xlfn.XLOOKUP($D232,Charts!$W$86:$W$116,Charts!$X$86:$X$116)*$L232+_xlfn.XLOOKUP($D232,Charts!$W$86:$W$116,Charts!$Y$86:$Y$116)*$M232,0)</f>
        <v>3027</v>
      </c>
      <c r="O232">
        <f>MAX(0,ROUND(SUMIFS(m8_cv!$E:$E,m8_cv!$A:$A,$E232,m8_cv!$B:$B,$A232),0))</f>
        <v>3068</v>
      </c>
    </row>
    <row r="233" spans="1:15" x14ac:dyDescent="0.25">
      <c r="A233" s="3">
        <f t="shared" si="19"/>
        <v>45889</v>
      </c>
      <c r="B233">
        <f t="shared" si="15"/>
        <v>2025</v>
      </c>
      <c r="C233">
        <f t="shared" si="16"/>
        <v>8</v>
      </c>
      <c r="D233">
        <f t="shared" si="17"/>
        <v>20</v>
      </c>
      <c r="E233" s="2">
        <f t="shared" si="18"/>
        <v>45869</v>
      </c>
      <c r="F233" s="12">
        <f>_xlfn.XLOOKUP($A233,m1_cv!$B:$B,m1_cv!$C:$C)</f>
        <v>3745</v>
      </c>
      <c r="G233">
        <f>MAX(0,ROUND(SUMIFS(m1_cv!$E:$E,m1_cv!$A:$A,$E233,m1_cv!$B:$B,$A233),0))</f>
        <v>3493</v>
      </c>
      <c r="H233">
        <f>MAX(0,ROUND(SUMIFS(m2_cv!$E:$E,m2_cv!$A:$A,$E233,m2_cv!$B:$B,$A233),0))</f>
        <v>3196</v>
      </c>
      <c r="I233">
        <f>MAX(0,ROUND(SUMIFS(m3_cv!$E:$E,m3_cv!$A:$A,$E233,m3_cv!$B:$B,$A233),0))</f>
        <v>3202</v>
      </c>
      <c r="J233">
        <f>MAX(0,ROUND(SUMIFS(m4_cv!$E:$E,m4_cv!$A:$A,$E233,m4_cv!$B:$B,$A233),0))</f>
        <v>3204</v>
      </c>
      <c r="K233">
        <f>MAX(0,ROUND(SUMIFS(m5_cv!$E:$E,m5_cv!$A:$A,$E233,m5_cv!$B:$B,$A233),0))</f>
        <v>3182</v>
      </c>
      <c r="L233">
        <f>MAX(0,ROUND(SUMIFS(m6_cv!$E:$E,m6_cv!$A:$A,$E233,m6_cv!$B:$B,$A233),0))</f>
        <v>3378</v>
      </c>
      <c r="M233">
        <f>MAX(0,ROUND(SUMIFS(m7_cv!$E:$E,m7_cv!$A:$A,$E233,m7_cv!$B:$B,$A233),0))</f>
        <v>3227</v>
      </c>
      <c r="N233">
        <f>ROUND(_xlfn.XLOOKUP($D233,Charts!$W$86:$W$116,Charts!$X$86:$X$116)*$L233+_xlfn.XLOOKUP($D233,Charts!$W$86:$W$116,Charts!$Y$86:$Y$116)*$M233,0)</f>
        <v>3227</v>
      </c>
      <c r="O233">
        <f>MAX(0,ROUND(SUMIFS(m8_cv!$E:$E,m8_cv!$A:$A,$E233,m8_cv!$B:$B,$A233),0))</f>
        <v>3261</v>
      </c>
    </row>
    <row r="234" spans="1:15" x14ac:dyDescent="0.25">
      <c r="A234" s="3">
        <f t="shared" si="19"/>
        <v>45890</v>
      </c>
      <c r="B234">
        <f t="shared" si="15"/>
        <v>2025</v>
      </c>
      <c r="C234">
        <f t="shared" si="16"/>
        <v>8</v>
      </c>
      <c r="D234">
        <f t="shared" si="17"/>
        <v>21</v>
      </c>
      <c r="E234" s="2">
        <f t="shared" si="18"/>
        <v>45869</v>
      </c>
      <c r="F234" s="12">
        <f>_xlfn.XLOOKUP($A234,m1_cv!$B:$B,m1_cv!$C:$C)</f>
        <v>3754</v>
      </c>
      <c r="G234">
        <f>MAX(0,ROUND(SUMIFS(m1_cv!$E:$E,m1_cv!$A:$A,$E234,m1_cv!$B:$B,$A234),0))</f>
        <v>3498</v>
      </c>
      <c r="H234">
        <f>MAX(0,ROUND(SUMIFS(m2_cv!$E:$E,m2_cv!$A:$A,$E234,m2_cv!$B:$B,$A234),0))</f>
        <v>3206</v>
      </c>
      <c r="I234">
        <f>MAX(0,ROUND(SUMIFS(m3_cv!$E:$E,m3_cv!$A:$A,$E234,m3_cv!$B:$B,$A234),0))</f>
        <v>3132</v>
      </c>
      <c r="J234">
        <f>MAX(0,ROUND(SUMIFS(m4_cv!$E:$E,m4_cv!$A:$A,$E234,m4_cv!$B:$B,$A234),0))</f>
        <v>3134</v>
      </c>
      <c r="K234">
        <f>MAX(0,ROUND(SUMIFS(m5_cv!$E:$E,m5_cv!$A:$A,$E234,m5_cv!$B:$B,$A234),0))</f>
        <v>3232</v>
      </c>
      <c r="L234">
        <f>MAX(0,ROUND(SUMIFS(m6_cv!$E:$E,m6_cv!$A:$A,$E234,m6_cv!$B:$B,$A234),0))</f>
        <v>3620</v>
      </c>
      <c r="M234">
        <f>MAX(0,ROUND(SUMIFS(m7_cv!$E:$E,m7_cv!$A:$A,$E234,m7_cv!$B:$B,$A234),0))</f>
        <v>3323</v>
      </c>
      <c r="N234">
        <f>ROUND(_xlfn.XLOOKUP($D234,Charts!$W$86:$W$116,Charts!$X$86:$X$116)*$L234+_xlfn.XLOOKUP($D234,Charts!$W$86:$W$116,Charts!$Y$86:$Y$116)*$M234,0)</f>
        <v>3323</v>
      </c>
      <c r="O234">
        <f>MAX(0,ROUND(SUMIFS(m8_cv!$E:$E,m8_cv!$A:$A,$E234,m8_cv!$B:$B,$A234),0))</f>
        <v>3361</v>
      </c>
    </row>
    <row r="235" spans="1:15" x14ac:dyDescent="0.25">
      <c r="A235" s="3">
        <f t="shared" si="19"/>
        <v>45891</v>
      </c>
      <c r="B235">
        <f t="shared" si="15"/>
        <v>2025</v>
      </c>
      <c r="C235">
        <f t="shared" si="16"/>
        <v>8</v>
      </c>
      <c r="D235">
        <f t="shared" si="17"/>
        <v>22</v>
      </c>
      <c r="E235" s="2">
        <f t="shared" si="18"/>
        <v>45869</v>
      </c>
      <c r="F235" s="12">
        <f>_xlfn.XLOOKUP($A235,m1_cv!$B:$B,m1_cv!$C:$C)</f>
        <v>3741</v>
      </c>
      <c r="G235">
        <f>MAX(0,ROUND(SUMIFS(m1_cv!$E:$E,m1_cv!$A:$A,$E235,m1_cv!$B:$B,$A235),0))</f>
        <v>3419</v>
      </c>
      <c r="H235">
        <f>MAX(0,ROUND(SUMIFS(m2_cv!$E:$E,m2_cv!$A:$A,$E235,m2_cv!$B:$B,$A235),0))</f>
        <v>3363</v>
      </c>
      <c r="I235">
        <f>MAX(0,ROUND(SUMIFS(m3_cv!$E:$E,m3_cv!$A:$A,$E235,m3_cv!$B:$B,$A235),0))</f>
        <v>3193</v>
      </c>
      <c r="J235">
        <f>MAX(0,ROUND(SUMIFS(m4_cv!$E:$E,m4_cv!$A:$A,$E235,m4_cv!$B:$B,$A235),0))</f>
        <v>3194</v>
      </c>
      <c r="K235">
        <f>MAX(0,ROUND(SUMIFS(m5_cv!$E:$E,m5_cv!$A:$A,$E235,m5_cv!$B:$B,$A235),0))</f>
        <v>3331</v>
      </c>
      <c r="L235">
        <f>MAX(0,ROUND(SUMIFS(m6_cv!$E:$E,m6_cv!$A:$A,$E235,m6_cv!$B:$B,$A235),0))</f>
        <v>3507</v>
      </c>
      <c r="M235">
        <f>MAX(0,ROUND(SUMIFS(m7_cv!$E:$E,m7_cv!$A:$A,$E235,m7_cv!$B:$B,$A235),0))</f>
        <v>3301</v>
      </c>
      <c r="N235">
        <f>ROUND(_xlfn.XLOOKUP($D235,Charts!$W$86:$W$116,Charts!$X$86:$X$116)*$L235+_xlfn.XLOOKUP($D235,Charts!$W$86:$W$116,Charts!$Y$86:$Y$116)*$M235,0)</f>
        <v>3301</v>
      </c>
      <c r="O235">
        <f>MAX(0,ROUND(SUMIFS(m8_cv!$E:$E,m8_cv!$A:$A,$E235,m8_cv!$B:$B,$A235),0))</f>
        <v>3313</v>
      </c>
    </row>
    <row r="236" spans="1:15" x14ac:dyDescent="0.25">
      <c r="A236" s="3">
        <f t="shared" si="19"/>
        <v>45892</v>
      </c>
      <c r="B236">
        <f t="shared" si="15"/>
        <v>2025</v>
      </c>
      <c r="C236">
        <f t="shared" si="16"/>
        <v>8</v>
      </c>
      <c r="D236">
        <f t="shared" si="17"/>
        <v>23</v>
      </c>
      <c r="E236" s="2">
        <f t="shared" si="18"/>
        <v>45869</v>
      </c>
      <c r="F236" s="12">
        <f>_xlfn.XLOOKUP($A236,m1_cv!$B:$B,m1_cv!$C:$C)</f>
        <v>761</v>
      </c>
      <c r="G236">
        <f>MAX(0,ROUND(SUMIFS(m1_cv!$E:$E,m1_cv!$A:$A,$E236,m1_cv!$B:$B,$A236),0))</f>
        <v>1167</v>
      </c>
      <c r="H236">
        <f>MAX(0,ROUND(SUMIFS(m2_cv!$E:$E,m2_cv!$A:$A,$E236,m2_cv!$B:$B,$A236),0))</f>
        <v>1458</v>
      </c>
      <c r="I236">
        <f>MAX(0,ROUND(SUMIFS(m3_cv!$E:$E,m3_cv!$A:$A,$E236,m3_cv!$B:$B,$A236),0))</f>
        <v>1301</v>
      </c>
      <c r="J236">
        <f>MAX(0,ROUND(SUMIFS(m4_cv!$E:$E,m4_cv!$A:$A,$E236,m4_cv!$B:$B,$A236),0))</f>
        <v>1303</v>
      </c>
      <c r="K236">
        <f>MAX(0,ROUND(SUMIFS(m5_cv!$E:$E,m5_cv!$A:$A,$E236,m5_cv!$B:$B,$A236),0))</f>
        <v>1313</v>
      </c>
      <c r="L236">
        <f>MAX(0,ROUND(SUMIFS(m6_cv!$E:$E,m6_cv!$A:$A,$E236,m6_cv!$B:$B,$A236),0))</f>
        <v>611</v>
      </c>
      <c r="M236">
        <f>MAX(0,ROUND(SUMIFS(m7_cv!$E:$E,m7_cv!$A:$A,$E236,m7_cv!$B:$B,$A236),0))</f>
        <v>1224</v>
      </c>
      <c r="N236">
        <f>ROUND(_xlfn.XLOOKUP($D236,Charts!$W$86:$W$116,Charts!$X$86:$X$116)*$L236+_xlfn.XLOOKUP($D236,Charts!$W$86:$W$116,Charts!$Y$86:$Y$116)*$M236,0)</f>
        <v>1224</v>
      </c>
      <c r="O236">
        <f>MAX(0,ROUND(SUMIFS(m8_cv!$E:$E,m8_cv!$A:$A,$E236,m8_cv!$B:$B,$A236),0))</f>
        <v>1246</v>
      </c>
    </row>
    <row r="237" spans="1:15" x14ac:dyDescent="0.25">
      <c r="A237" s="3">
        <f t="shared" si="19"/>
        <v>45893</v>
      </c>
      <c r="B237">
        <f t="shared" si="15"/>
        <v>2025</v>
      </c>
      <c r="C237">
        <f t="shared" si="16"/>
        <v>8</v>
      </c>
      <c r="D237">
        <f t="shared" si="17"/>
        <v>24</v>
      </c>
      <c r="E237" s="2">
        <f t="shared" si="18"/>
        <v>45869</v>
      </c>
      <c r="F237" s="12">
        <f>_xlfn.XLOOKUP($A237,m1_cv!$B:$B,m1_cv!$C:$C)</f>
        <v>239</v>
      </c>
      <c r="G237">
        <f>MAX(0,ROUND(SUMIFS(m1_cv!$E:$E,m1_cv!$A:$A,$E237,m1_cv!$B:$B,$A237),0))</f>
        <v>597</v>
      </c>
      <c r="H237">
        <f>MAX(0,ROUND(SUMIFS(m2_cv!$E:$E,m2_cv!$A:$A,$E237,m2_cv!$B:$B,$A237),0))</f>
        <v>1130</v>
      </c>
      <c r="I237">
        <f>MAX(0,ROUND(SUMIFS(m3_cv!$E:$E,m3_cv!$A:$A,$E237,m3_cv!$B:$B,$A237),0))</f>
        <v>1096</v>
      </c>
      <c r="J237">
        <f>MAX(0,ROUND(SUMIFS(m4_cv!$E:$E,m4_cv!$A:$A,$E237,m4_cv!$B:$B,$A237),0))</f>
        <v>1097</v>
      </c>
      <c r="K237">
        <f>MAX(0,ROUND(SUMIFS(m5_cv!$E:$E,m5_cv!$A:$A,$E237,m5_cv!$B:$B,$A237),0))</f>
        <v>967</v>
      </c>
      <c r="L237">
        <f>MAX(0,ROUND(SUMIFS(m6_cv!$E:$E,m6_cv!$A:$A,$E237,m6_cv!$B:$B,$A237),0))</f>
        <v>247</v>
      </c>
      <c r="M237">
        <f>MAX(0,ROUND(SUMIFS(m7_cv!$E:$E,m7_cv!$A:$A,$E237,m7_cv!$B:$B,$A237),0))</f>
        <v>956</v>
      </c>
      <c r="N237">
        <f>ROUND(_xlfn.XLOOKUP($D237,Charts!$W$86:$W$116,Charts!$X$86:$X$116)*$L237+_xlfn.XLOOKUP($D237,Charts!$W$86:$W$116,Charts!$Y$86:$Y$116)*$M237,0)</f>
        <v>247</v>
      </c>
      <c r="O237">
        <f>MAX(0,ROUND(SUMIFS(m8_cv!$E:$E,m8_cv!$A:$A,$E237,m8_cv!$B:$B,$A237),0))</f>
        <v>993</v>
      </c>
    </row>
    <row r="238" spans="1:15" x14ac:dyDescent="0.25">
      <c r="A238" s="3">
        <f t="shared" si="19"/>
        <v>45894</v>
      </c>
      <c r="B238">
        <f t="shared" si="15"/>
        <v>2025</v>
      </c>
      <c r="C238">
        <f t="shared" si="16"/>
        <v>8</v>
      </c>
      <c r="D238">
        <f t="shared" si="17"/>
        <v>25</v>
      </c>
      <c r="E238" s="2">
        <f t="shared" si="18"/>
        <v>45869</v>
      </c>
      <c r="F238" s="12">
        <f>_xlfn.XLOOKUP($A238,m1_cv!$B:$B,m1_cv!$C:$C)</f>
        <v>3838</v>
      </c>
      <c r="G238">
        <f>MAX(0,ROUND(SUMIFS(m1_cv!$E:$E,m1_cv!$A:$A,$E238,m1_cv!$B:$B,$A238),0))</f>
        <v>2897</v>
      </c>
      <c r="H238">
        <f>MAX(0,ROUND(SUMIFS(m2_cv!$E:$E,m2_cv!$A:$A,$E238,m2_cv!$B:$B,$A238),0))</f>
        <v>3425</v>
      </c>
      <c r="I238">
        <f>MAX(0,ROUND(SUMIFS(m3_cv!$E:$E,m3_cv!$A:$A,$E238,m3_cv!$B:$B,$A238),0))</f>
        <v>3719</v>
      </c>
      <c r="J238">
        <f>MAX(0,ROUND(SUMIFS(m4_cv!$E:$E,m4_cv!$A:$A,$E238,m4_cv!$B:$B,$A238),0))</f>
        <v>3721</v>
      </c>
      <c r="K238">
        <f>MAX(0,ROUND(SUMIFS(m5_cv!$E:$E,m5_cv!$A:$A,$E238,m5_cv!$B:$B,$A238),0))</f>
        <v>3531</v>
      </c>
      <c r="L238">
        <f>MAX(0,ROUND(SUMIFS(m6_cv!$E:$E,m6_cv!$A:$A,$E238,m6_cv!$B:$B,$A238),0))</f>
        <v>3330</v>
      </c>
      <c r="M238">
        <f>MAX(0,ROUND(SUMIFS(m7_cv!$E:$E,m7_cv!$A:$A,$E238,m7_cv!$B:$B,$A238),0))</f>
        <v>3581</v>
      </c>
      <c r="N238">
        <f>ROUND(_xlfn.XLOOKUP($D238,Charts!$W$86:$W$116,Charts!$X$86:$X$116)*$L238+_xlfn.XLOOKUP($D238,Charts!$W$86:$W$116,Charts!$Y$86:$Y$116)*$M238,0)</f>
        <v>3330</v>
      </c>
      <c r="O238">
        <f>MAX(0,ROUND(SUMIFS(m8_cv!$E:$E,m8_cv!$A:$A,$E238,m8_cv!$B:$B,$A238),0))</f>
        <v>3615</v>
      </c>
    </row>
    <row r="239" spans="1:15" x14ac:dyDescent="0.25">
      <c r="A239" s="3">
        <f t="shared" si="19"/>
        <v>45895</v>
      </c>
      <c r="B239">
        <f t="shared" si="15"/>
        <v>2025</v>
      </c>
      <c r="C239">
        <f t="shared" si="16"/>
        <v>8</v>
      </c>
      <c r="D239">
        <f t="shared" si="17"/>
        <v>26</v>
      </c>
      <c r="E239" s="2">
        <f t="shared" si="18"/>
        <v>45869</v>
      </c>
      <c r="F239" s="12">
        <f>_xlfn.XLOOKUP($A239,m1_cv!$B:$B,m1_cv!$C:$C)</f>
        <v>5214</v>
      </c>
      <c r="G239">
        <f>MAX(0,ROUND(SUMIFS(m1_cv!$E:$E,m1_cv!$A:$A,$E239,m1_cv!$B:$B,$A239),0))</f>
        <v>3361</v>
      </c>
      <c r="H239">
        <f>MAX(0,ROUND(SUMIFS(m2_cv!$E:$E,m2_cv!$A:$A,$E239,m2_cv!$B:$B,$A239),0))</f>
        <v>3782</v>
      </c>
      <c r="I239">
        <f>MAX(0,ROUND(SUMIFS(m3_cv!$E:$E,m3_cv!$A:$A,$E239,m3_cv!$B:$B,$A239),0))</f>
        <v>3904</v>
      </c>
      <c r="J239">
        <f>MAX(0,ROUND(SUMIFS(m4_cv!$E:$E,m4_cv!$A:$A,$E239,m4_cv!$B:$B,$A239),0))</f>
        <v>3905</v>
      </c>
      <c r="K239">
        <f>MAX(0,ROUND(SUMIFS(m5_cv!$E:$E,m5_cv!$A:$A,$E239,m5_cv!$B:$B,$A239),0))</f>
        <v>3812</v>
      </c>
      <c r="L239">
        <f>MAX(0,ROUND(SUMIFS(m6_cv!$E:$E,m6_cv!$A:$A,$E239,m6_cv!$B:$B,$A239),0))</f>
        <v>4316</v>
      </c>
      <c r="M239">
        <f>MAX(0,ROUND(SUMIFS(m7_cv!$E:$E,m7_cv!$A:$A,$E239,m7_cv!$B:$B,$A239),0))</f>
        <v>3900</v>
      </c>
      <c r="N239">
        <f>ROUND(_xlfn.XLOOKUP($D239,Charts!$W$86:$W$116,Charts!$X$86:$X$116)*$L239+_xlfn.XLOOKUP($D239,Charts!$W$86:$W$116,Charts!$Y$86:$Y$116)*$M239,0)</f>
        <v>4316</v>
      </c>
      <c r="O239">
        <f>MAX(0,ROUND(SUMIFS(m8_cv!$E:$E,m8_cv!$A:$A,$E239,m8_cv!$B:$B,$A239),0))</f>
        <v>3985</v>
      </c>
    </row>
    <row r="240" spans="1:15" x14ac:dyDescent="0.25">
      <c r="A240" s="3">
        <f t="shared" si="19"/>
        <v>45896</v>
      </c>
      <c r="B240">
        <f t="shared" si="15"/>
        <v>2025</v>
      </c>
      <c r="C240">
        <f t="shared" si="16"/>
        <v>8</v>
      </c>
      <c r="D240">
        <f t="shared" si="17"/>
        <v>27</v>
      </c>
      <c r="E240" s="2">
        <f t="shared" si="18"/>
        <v>45869</v>
      </c>
      <c r="F240" s="12">
        <f>_xlfn.XLOOKUP($A240,m1_cv!$B:$B,m1_cv!$C:$C)</f>
        <v>5989</v>
      </c>
      <c r="G240">
        <f>MAX(0,ROUND(SUMIFS(m1_cv!$E:$E,m1_cv!$A:$A,$E240,m1_cv!$B:$B,$A240),0))</f>
        <v>3412</v>
      </c>
      <c r="H240">
        <f>MAX(0,ROUND(SUMIFS(m2_cv!$E:$E,m2_cv!$A:$A,$E240,m2_cv!$B:$B,$A240),0))</f>
        <v>4088</v>
      </c>
      <c r="I240">
        <f>MAX(0,ROUND(SUMIFS(m3_cv!$E:$E,m3_cv!$A:$A,$E240,m3_cv!$B:$B,$A240),0))</f>
        <v>4221</v>
      </c>
      <c r="J240">
        <f>MAX(0,ROUND(SUMIFS(m4_cv!$E:$E,m4_cv!$A:$A,$E240,m4_cv!$B:$B,$A240),0))</f>
        <v>4222</v>
      </c>
      <c r="K240">
        <f>MAX(0,ROUND(SUMIFS(m5_cv!$E:$E,m5_cv!$A:$A,$E240,m5_cv!$B:$B,$A240),0))</f>
        <v>5235</v>
      </c>
      <c r="L240">
        <f>MAX(0,ROUND(SUMIFS(m6_cv!$E:$E,m6_cv!$A:$A,$E240,m6_cv!$B:$B,$A240),0))</f>
        <v>8825</v>
      </c>
      <c r="M240">
        <f>MAX(0,ROUND(SUMIFS(m7_cv!$E:$E,m7_cv!$A:$A,$E240,m7_cv!$B:$B,$A240),0))</f>
        <v>5314</v>
      </c>
      <c r="N240">
        <f>ROUND(_xlfn.XLOOKUP($D240,Charts!$W$86:$W$116,Charts!$X$86:$X$116)*$L240+_xlfn.XLOOKUP($D240,Charts!$W$86:$W$116,Charts!$Y$86:$Y$116)*$M240,0)</f>
        <v>8825</v>
      </c>
      <c r="O240">
        <f>MAX(0,ROUND(SUMIFS(m8_cv!$E:$E,m8_cv!$A:$A,$E240,m8_cv!$B:$B,$A240),0))</f>
        <v>5022</v>
      </c>
    </row>
    <row r="241" spans="1:15" x14ac:dyDescent="0.25">
      <c r="A241" s="3">
        <f t="shared" si="19"/>
        <v>45897</v>
      </c>
      <c r="B241">
        <f t="shared" si="15"/>
        <v>2025</v>
      </c>
      <c r="C241">
        <f t="shared" si="16"/>
        <v>8</v>
      </c>
      <c r="D241">
        <f t="shared" si="17"/>
        <v>28</v>
      </c>
      <c r="E241" s="2">
        <f t="shared" si="18"/>
        <v>45869</v>
      </c>
      <c r="F241" s="12">
        <f>_xlfn.XLOOKUP($A241,m1_cv!$B:$B,m1_cv!$C:$C)</f>
        <v>7115</v>
      </c>
      <c r="G241">
        <f>MAX(0,ROUND(SUMIFS(m1_cv!$E:$E,m1_cv!$A:$A,$E241,m1_cv!$B:$B,$A241),0))</f>
        <v>3426</v>
      </c>
      <c r="H241">
        <f>MAX(0,ROUND(SUMIFS(m2_cv!$E:$E,m2_cv!$A:$A,$E241,m2_cv!$B:$B,$A241),0))</f>
        <v>4932</v>
      </c>
      <c r="I241">
        <f>MAX(0,ROUND(SUMIFS(m3_cv!$E:$E,m3_cv!$A:$A,$E241,m3_cv!$B:$B,$A241),0))</f>
        <v>4992</v>
      </c>
      <c r="J241">
        <f>MAX(0,ROUND(SUMIFS(m4_cv!$E:$E,m4_cv!$A:$A,$E241,m4_cv!$B:$B,$A241),0))</f>
        <v>4993</v>
      </c>
      <c r="K241">
        <f>MAX(0,ROUND(SUMIFS(m5_cv!$E:$E,m5_cv!$A:$A,$E241,m5_cv!$B:$B,$A241),0))</f>
        <v>5385</v>
      </c>
      <c r="L241">
        <f>MAX(0,ROUND(SUMIFS(m6_cv!$E:$E,m6_cv!$A:$A,$E241,m6_cv!$B:$B,$A241),0))</f>
        <v>8278</v>
      </c>
      <c r="M241">
        <f>MAX(0,ROUND(SUMIFS(m7_cv!$E:$E,m7_cv!$A:$A,$E241,m7_cv!$B:$B,$A241),0))</f>
        <v>5219</v>
      </c>
      <c r="N241">
        <f>ROUND(_xlfn.XLOOKUP($D241,Charts!$W$86:$W$116,Charts!$X$86:$X$116)*$L241+_xlfn.XLOOKUP($D241,Charts!$W$86:$W$116,Charts!$Y$86:$Y$116)*$M241,0)</f>
        <v>8278</v>
      </c>
      <c r="O241">
        <f>MAX(0,ROUND(SUMIFS(m8_cv!$E:$E,m8_cv!$A:$A,$E241,m8_cv!$B:$B,$A241),0))</f>
        <v>5144</v>
      </c>
    </row>
    <row r="242" spans="1:15" x14ac:dyDescent="0.25">
      <c r="A242" s="3">
        <f t="shared" si="19"/>
        <v>45898</v>
      </c>
      <c r="B242">
        <f t="shared" si="15"/>
        <v>2025</v>
      </c>
      <c r="C242">
        <f t="shared" si="16"/>
        <v>8</v>
      </c>
      <c r="D242">
        <f t="shared" si="17"/>
        <v>29</v>
      </c>
      <c r="E242" s="2">
        <f t="shared" si="18"/>
        <v>45869</v>
      </c>
      <c r="F242" s="12">
        <f>_xlfn.XLOOKUP($A242,m1_cv!$B:$B,m1_cv!$C:$C)</f>
        <v>9571</v>
      </c>
      <c r="G242">
        <f>MAX(0,ROUND(SUMIFS(m1_cv!$E:$E,m1_cv!$A:$A,$E242,m1_cv!$B:$B,$A242),0))</f>
        <v>3357</v>
      </c>
      <c r="H242">
        <f>MAX(0,ROUND(SUMIFS(m2_cv!$E:$E,m2_cv!$A:$A,$E242,m2_cv!$B:$B,$A242),0))</f>
        <v>6025</v>
      </c>
      <c r="I242">
        <f>MAX(0,ROUND(SUMIFS(m3_cv!$E:$E,m3_cv!$A:$A,$E242,m3_cv!$B:$B,$A242),0))</f>
        <v>6024</v>
      </c>
      <c r="J242">
        <f>MAX(0,ROUND(SUMIFS(m4_cv!$E:$E,m4_cv!$A:$A,$E242,m4_cv!$B:$B,$A242),0))</f>
        <v>6025</v>
      </c>
      <c r="K242">
        <f>MAX(0,ROUND(SUMIFS(m5_cv!$E:$E,m5_cv!$A:$A,$E242,m5_cv!$B:$B,$A242),0))</f>
        <v>5465</v>
      </c>
      <c r="L242">
        <f>MAX(0,ROUND(SUMIFS(m6_cv!$E:$E,m6_cv!$A:$A,$E242,m6_cv!$B:$B,$A242),0))</f>
        <v>7096</v>
      </c>
      <c r="M242">
        <f>MAX(0,ROUND(SUMIFS(m7_cv!$E:$E,m7_cv!$A:$A,$E242,m7_cv!$B:$B,$A242),0))</f>
        <v>5395</v>
      </c>
      <c r="N242">
        <f>ROUND(_xlfn.XLOOKUP($D242,Charts!$W$86:$W$116,Charts!$X$86:$X$116)*$L242+_xlfn.XLOOKUP($D242,Charts!$W$86:$W$116,Charts!$Y$86:$Y$116)*$M242,0)</f>
        <v>5395</v>
      </c>
      <c r="O242">
        <f>MAX(0,ROUND(SUMIFS(m8_cv!$E:$E,m8_cv!$A:$A,$E242,m8_cv!$B:$B,$A242),0))</f>
        <v>5430</v>
      </c>
    </row>
    <row r="243" spans="1:15" x14ac:dyDescent="0.25">
      <c r="A243" s="3">
        <f t="shared" si="19"/>
        <v>45899</v>
      </c>
      <c r="B243">
        <f t="shared" si="15"/>
        <v>2025</v>
      </c>
      <c r="C243">
        <f t="shared" si="16"/>
        <v>8</v>
      </c>
      <c r="D243">
        <f t="shared" si="17"/>
        <v>30</v>
      </c>
      <c r="E243" s="2">
        <f t="shared" si="18"/>
        <v>45869</v>
      </c>
      <c r="F243" s="12">
        <f>_xlfn.XLOOKUP($A243,m1_cv!$B:$B,m1_cv!$C:$C)</f>
        <v>5764</v>
      </c>
      <c r="G243">
        <f>MAX(0,ROUND(SUMIFS(m1_cv!$E:$E,m1_cv!$A:$A,$E243,m1_cv!$B:$B,$A243),0))</f>
        <v>1113</v>
      </c>
      <c r="H243">
        <f>MAX(0,ROUND(SUMIFS(m2_cv!$E:$E,m2_cv!$A:$A,$E243,m2_cv!$B:$B,$A243),0))</f>
        <v>4573</v>
      </c>
      <c r="I243">
        <f>MAX(0,ROUND(SUMIFS(m3_cv!$E:$E,m3_cv!$A:$A,$E243,m3_cv!$B:$B,$A243),0))</f>
        <v>4615</v>
      </c>
      <c r="J243">
        <f>MAX(0,ROUND(SUMIFS(m4_cv!$E:$E,m4_cv!$A:$A,$E243,m4_cv!$B:$B,$A243),0))</f>
        <v>4617</v>
      </c>
      <c r="K243">
        <f>MAX(0,ROUND(SUMIFS(m5_cv!$E:$E,m5_cv!$A:$A,$E243,m5_cv!$B:$B,$A243),0))</f>
        <v>5326</v>
      </c>
      <c r="L243">
        <f>MAX(0,ROUND(SUMIFS(m6_cv!$E:$E,m6_cv!$A:$A,$E243,m6_cv!$B:$B,$A243),0))</f>
        <v>1939</v>
      </c>
      <c r="M243">
        <f>MAX(0,ROUND(SUMIFS(m7_cv!$E:$E,m7_cv!$A:$A,$E243,m7_cv!$B:$B,$A243),0))</f>
        <v>5527</v>
      </c>
      <c r="N243">
        <f>ROUND(_xlfn.XLOOKUP($D243,Charts!$W$86:$W$116,Charts!$X$86:$X$116)*$L243+_xlfn.XLOOKUP($D243,Charts!$W$86:$W$116,Charts!$Y$86:$Y$116)*$M243,0)</f>
        <v>5527</v>
      </c>
      <c r="O243">
        <f>MAX(0,ROUND(SUMIFS(m8_cv!$E:$E,m8_cv!$A:$A,$E243,m8_cv!$B:$B,$A243),0))</f>
        <v>5419</v>
      </c>
    </row>
    <row r="244" spans="1:15" x14ac:dyDescent="0.25">
      <c r="A244" s="3">
        <f t="shared" si="19"/>
        <v>45900</v>
      </c>
      <c r="B244">
        <f t="shared" si="15"/>
        <v>2025</v>
      </c>
      <c r="C244">
        <f t="shared" si="16"/>
        <v>8</v>
      </c>
      <c r="D244">
        <f t="shared" si="17"/>
        <v>31</v>
      </c>
      <c r="E244" s="2">
        <f t="shared" si="18"/>
        <v>45869</v>
      </c>
      <c r="F244" s="12">
        <f>_xlfn.XLOOKUP($A244,m1_cv!$B:$B,m1_cv!$C:$C)</f>
        <v>386</v>
      </c>
      <c r="G244">
        <f>MAX(0,ROUND(SUMIFS(m1_cv!$E:$E,m1_cv!$A:$A,$E244,m1_cv!$B:$B,$A244),0))</f>
        <v>551</v>
      </c>
      <c r="H244">
        <f>MAX(0,ROUND(SUMIFS(m2_cv!$E:$E,m2_cv!$A:$A,$E244,m2_cv!$B:$B,$A244),0))</f>
        <v>3826</v>
      </c>
      <c r="I244">
        <f>MAX(0,ROUND(SUMIFS(m3_cv!$E:$E,m3_cv!$A:$A,$E244,m3_cv!$B:$B,$A244),0))</f>
        <v>2280</v>
      </c>
      <c r="J244">
        <f>MAX(0,ROUND(SUMIFS(m4_cv!$E:$E,m4_cv!$A:$A,$E244,m4_cv!$B:$B,$A244),0))</f>
        <v>2259</v>
      </c>
      <c r="K244">
        <f>MAX(0,ROUND(SUMIFS(m5_cv!$E:$E,m5_cv!$A:$A,$E244,m5_cv!$B:$B,$A244),0))</f>
        <v>5193</v>
      </c>
      <c r="L244">
        <f>MAX(0,ROUND(SUMIFS(m6_cv!$E:$E,m6_cv!$A:$A,$E244,m6_cv!$B:$B,$A244),0))</f>
        <v>116</v>
      </c>
      <c r="M244">
        <f>MAX(0,ROUND(SUMIFS(m7_cv!$E:$E,m7_cv!$A:$A,$E244,m7_cv!$B:$B,$A244),0))</f>
        <v>5372</v>
      </c>
      <c r="N244">
        <f>ROUND(_xlfn.XLOOKUP($D244,Charts!$W$86:$W$116,Charts!$X$86:$X$116)*$L244+_xlfn.XLOOKUP($D244,Charts!$W$86:$W$116,Charts!$Y$86:$Y$116)*$M244,0)</f>
        <v>5372</v>
      </c>
      <c r="O244">
        <f>MAX(0,ROUND(SUMIFS(m8_cv!$E:$E,m8_cv!$A:$A,$E244,m8_cv!$B:$B,$A244),0))</f>
        <v>5273</v>
      </c>
    </row>
    <row r="245" spans="1:15" x14ac:dyDescent="0.25">
      <c r="A245" s="3">
        <f t="shared" si="19"/>
        <v>45901</v>
      </c>
      <c r="B245">
        <f t="shared" si="15"/>
        <v>2025</v>
      </c>
      <c r="C245">
        <f t="shared" si="16"/>
        <v>9</v>
      </c>
      <c r="D245">
        <f t="shared" si="17"/>
        <v>1</v>
      </c>
      <c r="E245" s="2">
        <f t="shared" si="18"/>
        <v>45900</v>
      </c>
      <c r="F245" s="12">
        <f>_xlfn.XLOOKUP($A245,m1_cv!$B:$B,m1_cv!$C:$C)</f>
        <v>34</v>
      </c>
      <c r="G245">
        <f>MAX(0,ROUND(SUMIFS(m1_cv!$E:$E,m1_cv!$A:$A,$E245,m1_cv!$B:$B,$A245),0))</f>
        <v>3187</v>
      </c>
      <c r="H245">
        <f>MAX(0,ROUND(SUMIFS(m2_cv!$E:$E,m2_cv!$A:$A,$E245,m2_cv!$B:$B,$A245),0))</f>
        <v>4895</v>
      </c>
      <c r="I245">
        <f>MAX(0,ROUND(SUMIFS(m3_cv!$E:$E,m3_cv!$A:$A,$E245,m3_cv!$B:$B,$A245),0))</f>
        <v>3582</v>
      </c>
      <c r="J245">
        <f>MAX(0,ROUND(SUMIFS(m4_cv!$E:$E,m4_cv!$A:$A,$E245,m4_cv!$B:$B,$A245),0))</f>
        <v>3614</v>
      </c>
      <c r="K245">
        <f>MAX(0,ROUND(SUMIFS(m5_cv!$E:$E,m5_cv!$A:$A,$E245,m5_cv!$B:$B,$A245),0))</f>
        <v>417</v>
      </c>
      <c r="L245">
        <f>MAX(0,ROUND(SUMIFS(m6_cv!$E:$E,m6_cv!$A:$A,$E245,m6_cv!$B:$B,$A245),0))</f>
        <v>96</v>
      </c>
      <c r="M245">
        <f>MAX(0,ROUND(SUMIFS(m7_cv!$E:$E,m7_cv!$A:$A,$E245,m7_cv!$B:$B,$A245),0))</f>
        <v>200</v>
      </c>
      <c r="N245">
        <f>ROUND(_xlfn.XLOOKUP($D245,Charts!$W$86:$W$116,Charts!$X$86:$X$116)*$L245+_xlfn.XLOOKUP($D245,Charts!$W$86:$W$116,Charts!$Y$86:$Y$116)*$M245,0)</f>
        <v>96</v>
      </c>
      <c r="O245">
        <f>MAX(0,ROUND(SUMIFS(m8_cv!$E:$E,m8_cv!$A:$A,$E245,m8_cv!$B:$B,$A245),0))</f>
        <v>289</v>
      </c>
    </row>
    <row r="246" spans="1:15" x14ac:dyDescent="0.25">
      <c r="A246" s="3">
        <f t="shared" si="19"/>
        <v>45902</v>
      </c>
      <c r="B246">
        <f t="shared" si="15"/>
        <v>2025</v>
      </c>
      <c r="C246">
        <f t="shared" si="16"/>
        <v>9</v>
      </c>
      <c r="D246">
        <f t="shared" si="17"/>
        <v>2</v>
      </c>
      <c r="E246" s="2">
        <f t="shared" si="18"/>
        <v>45900</v>
      </c>
      <c r="F246" s="12">
        <f>_xlfn.XLOOKUP($A246,m1_cv!$B:$B,m1_cv!$C:$C)</f>
        <v>463</v>
      </c>
      <c r="G246">
        <f>MAX(0,ROUND(SUMIFS(m1_cv!$E:$E,m1_cv!$A:$A,$E246,m1_cv!$B:$B,$A246),0))</f>
        <v>3652</v>
      </c>
      <c r="H246">
        <f>MAX(0,ROUND(SUMIFS(m2_cv!$E:$E,m2_cv!$A:$A,$E246,m2_cv!$B:$B,$A246),0))</f>
        <v>3542</v>
      </c>
      <c r="I246">
        <f>MAX(0,ROUND(SUMIFS(m3_cv!$E:$E,m3_cv!$A:$A,$E246,m3_cv!$B:$B,$A246),0))</f>
        <v>3779</v>
      </c>
      <c r="J246">
        <f>MAX(0,ROUND(SUMIFS(m4_cv!$E:$E,m4_cv!$A:$A,$E246,m4_cv!$B:$B,$A246),0))</f>
        <v>3776</v>
      </c>
      <c r="K246">
        <f>MAX(0,ROUND(SUMIFS(m5_cv!$E:$E,m5_cv!$A:$A,$E246,m5_cv!$B:$B,$A246),0))</f>
        <v>1832</v>
      </c>
      <c r="L246">
        <f>MAX(0,ROUND(SUMIFS(m6_cv!$E:$E,m6_cv!$A:$A,$E246,m6_cv!$B:$B,$A246),0))</f>
        <v>640</v>
      </c>
      <c r="M246">
        <f>MAX(0,ROUND(SUMIFS(m7_cv!$E:$E,m7_cv!$A:$A,$E246,m7_cv!$B:$B,$A246),0))</f>
        <v>1714</v>
      </c>
      <c r="N246">
        <f>ROUND(_xlfn.XLOOKUP($D246,Charts!$W$86:$W$116,Charts!$X$86:$X$116)*$L246+_xlfn.XLOOKUP($D246,Charts!$W$86:$W$116,Charts!$Y$86:$Y$116)*$M246,0)</f>
        <v>640</v>
      </c>
      <c r="O246">
        <f>MAX(0,ROUND(SUMIFS(m8_cv!$E:$E,m8_cv!$A:$A,$E246,m8_cv!$B:$B,$A246),0))</f>
        <v>1825</v>
      </c>
    </row>
    <row r="247" spans="1:15" x14ac:dyDescent="0.25">
      <c r="A247" s="3">
        <f t="shared" si="19"/>
        <v>45903</v>
      </c>
      <c r="B247">
        <f t="shared" si="15"/>
        <v>2025</v>
      </c>
      <c r="C247">
        <f t="shared" si="16"/>
        <v>9</v>
      </c>
      <c r="D247">
        <f t="shared" si="17"/>
        <v>3</v>
      </c>
      <c r="E247" s="2">
        <f t="shared" si="18"/>
        <v>45900</v>
      </c>
      <c r="F247" s="12">
        <f>_xlfn.XLOOKUP($A247,m1_cv!$B:$B,m1_cv!$C:$C)</f>
        <v>734</v>
      </c>
      <c r="G247">
        <f>MAX(0,ROUND(SUMIFS(m1_cv!$E:$E,m1_cv!$A:$A,$E247,m1_cv!$B:$B,$A247),0))</f>
        <v>3693</v>
      </c>
      <c r="H247">
        <f>MAX(0,ROUND(SUMIFS(m2_cv!$E:$E,m2_cv!$A:$A,$E247,m2_cv!$B:$B,$A247),0))</f>
        <v>2098</v>
      </c>
      <c r="I247">
        <f>MAX(0,ROUND(SUMIFS(m3_cv!$E:$E,m3_cv!$A:$A,$E247,m3_cv!$B:$B,$A247),0))</f>
        <v>2321</v>
      </c>
      <c r="J247">
        <f>MAX(0,ROUND(SUMIFS(m4_cv!$E:$E,m4_cv!$A:$A,$E247,m4_cv!$B:$B,$A247),0))</f>
        <v>2318</v>
      </c>
      <c r="K247">
        <f>MAX(0,ROUND(SUMIFS(m5_cv!$E:$E,m5_cv!$A:$A,$E247,m5_cv!$B:$B,$A247),0))</f>
        <v>1742</v>
      </c>
      <c r="L247">
        <f>MAX(0,ROUND(SUMIFS(m6_cv!$E:$E,m6_cv!$A:$A,$E247,m6_cv!$B:$B,$A247),0))</f>
        <v>955</v>
      </c>
      <c r="M247">
        <f>MAX(0,ROUND(SUMIFS(m7_cv!$E:$E,m7_cv!$A:$A,$E247,m7_cv!$B:$B,$A247),0))</f>
        <v>1835</v>
      </c>
      <c r="N247">
        <f>ROUND(_xlfn.XLOOKUP($D247,Charts!$W$86:$W$116,Charts!$X$86:$X$116)*$L247+_xlfn.XLOOKUP($D247,Charts!$W$86:$W$116,Charts!$Y$86:$Y$116)*$M247,0)</f>
        <v>955</v>
      </c>
      <c r="O247">
        <f>MAX(0,ROUND(SUMIFS(m8_cv!$E:$E,m8_cv!$A:$A,$E247,m8_cv!$B:$B,$A247),0))</f>
        <v>2018</v>
      </c>
    </row>
    <row r="248" spans="1:15" x14ac:dyDescent="0.25">
      <c r="A248" s="3">
        <f t="shared" si="19"/>
        <v>45904</v>
      </c>
      <c r="B248">
        <f t="shared" si="15"/>
        <v>2025</v>
      </c>
      <c r="C248">
        <f t="shared" si="16"/>
        <v>9</v>
      </c>
      <c r="D248">
        <f t="shared" si="17"/>
        <v>4</v>
      </c>
      <c r="E248" s="2">
        <f t="shared" si="18"/>
        <v>45900</v>
      </c>
      <c r="F248" s="12">
        <f>_xlfn.XLOOKUP($A248,m1_cv!$B:$B,m1_cv!$C:$C)</f>
        <v>973</v>
      </c>
      <c r="G248">
        <f>MAX(0,ROUND(SUMIFS(m1_cv!$E:$E,m1_cv!$A:$A,$E248,m1_cv!$B:$B,$A248),0))</f>
        <v>3698</v>
      </c>
      <c r="H248">
        <f>MAX(0,ROUND(SUMIFS(m2_cv!$E:$E,m2_cv!$A:$A,$E248,m2_cv!$B:$B,$A248),0))</f>
        <v>1449</v>
      </c>
      <c r="I248">
        <f>MAX(0,ROUND(SUMIFS(m3_cv!$E:$E,m3_cv!$A:$A,$E248,m3_cv!$B:$B,$A248),0))</f>
        <v>1606</v>
      </c>
      <c r="J248">
        <f>MAX(0,ROUND(SUMIFS(m4_cv!$E:$E,m4_cv!$A:$A,$E248,m4_cv!$B:$B,$A248),0))</f>
        <v>1604</v>
      </c>
      <c r="K248">
        <f>MAX(0,ROUND(SUMIFS(m5_cv!$E:$E,m5_cv!$A:$A,$E248,m5_cv!$B:$B,$A248),0))</f>
        <v>1734</v>
      </c>
      <c r="L248">
        <f>MAX(0,ROUND(SUMIFS(m6_cv!$E:$E,m6_cv!$A:$A,$E248,m6_cv!$B:$B,$A248),0))</f>
        <v>912</v>
      </c>
      <c r="M248">
        <f>MAX(0,ROUND(SUMIFS(m7_cv!$E:$E,m7_cv!$A:$A,$E248,m7_cv!$B:$B,$A248),0))</f>
        <v>1794</v>
      </c>
      <c r="N248">
        <f>ROUND(_xlfn.XLOOKUP($D248,Charts!$W$86:$W$116,Charts!$X$86:$X$116)*$L248+_xlfn.XLOOKUP($D248,Charts!$W$86:$W$116,Charts!$Y$86:$Y$116)*$M248,0)</f>
        <v>912</v>
      </c>
      <c r="O248">
        <f>MAX(0,ROUND(SUMIFS(m8_cv!$E:$E,m8_cv!$A:$A,$E248,m8_cv!$B:$B,$A248),0))</f>
        <v>1948</v>
      </c>
    </row>
    <row r="249" spans="1:15" x14ac:dyDescent="0.25">
      <c r="A249" s="3">
        <f t="shared" si="19"/>
        <v>45905</v>
      </c>
      <c r="B249">
        <f t="shared" si="15"/>
        <v>2025</v>
      </c>
      <c r="C249">
        <f t="shared" si="16"/>
        <v>9</v>
      </c>
      <c r="D249">
        <f t="shared" si="17"/>
        <v>5</v>
      </c>
      <c r="E249" s="2">
        <f t="shared" si="18"/>
        <v>45900</v>
      </c>
      <c r="F249" s="12">
        <f>_xlfn.XLOOKUP($A249,m1_cv!$B:$B,m1_cv!$C:$C)</f>
        <v>61</v>
      </c>
      <c r="G249">
        <f>MAX(0,ROUND(SUMIFS(m1_cv!$E:$E,m1_cv!$A:$A,$E249,m1_cv!$B:$B,$A249),0))</f>
        <v>3609</v>
      </c>
      <c r="H249">
        <f>MAX(0,ROUND(SUMIFS(m2_cv!$E:$E,m2_cv!$A:$A,$E249,m2_cv!$B:$B,$A249),0))</f>
        <v>1479</v>
      </c>
      <c r="I249">
        <f>MAX(0,ROUND(SUMIFS(m3_cv!$E:$E,m3_cv!$A:$A,$E249,m3_cv!$B:$B,$A249),0))</f>
        <v>0</v>
      </c>
      <c r="J249">
        <f>MAX(0,ROUND(SUMIFS(m4_cv!$E:$E,m4_cv!$A:$A,$E249,m4_cv!$B:$B,$A249),0))</f>
        <v>0</v>
      </c>
      <c r="K249">
        <f>MAX(0,ROUND(SUMIFS(m5_cv!$E:$E,m5_cv!$A:$A,$E249,m5_cv!$B:$B,$A249),0))</f>
        <v>38</v>
      </c>
      <c r="L249">
        <f>MAX(0,ROUND(SUMIFS(m6_cv!$E:$E,m6_cv!$A:$A,$E249,m6_cv!$B:$B,$A249),0))</f>
        <v>101</v>
      </c>
      <c r="M249">
        <f>MAX(0,ROUND(SUMIFS(m7_cv!$E:$E,m7_cv!$A:$A,$E249,m7_cv!$B:$B,$A249),0))</f>
        <v>0</v>
      </c>
      <c r="N249">
        <f>ROUND(_xlfn.XLOOKUP($D249,Charts!$W$86:$W$116,Charts!$X$86:$X$116)*$L249+_xlfn.XLOOKUP($D249,Charts!$W$86:$W$116,Charts!$Y$86:$Y$116)*$M249,0)</f>
        <v>81</v>
      </c>
      <c r="O249">
        <f>MAX(0,ROUND(SUMIFS(m8_cv!$E:$E,m8_cv!$A:$A,$E249,m8_cv!$B:$B,$A249),0))</f>
        <v>80</v>
      </c>
    </row>
    <row r="250" spans="1:15" x14ac:dyDescent="0.25">
      <c r="A250" s="3">
        <f t="shared" si="19"/>
        <v>45906</v>
      </c>
      <c r="B250">
        <f t="shared" si="15"/>
        <v>2025</v>
      </c>
      <c r="C250">
        <f t="shared" si="16"/>
        <v>9</v>
      </c>
      <c r="D250">
        <f t="shared" si="17"/>
        <v>6</v>
      </c>
      <c r="E250" s="2">
        <f t="shared" si="18"/>
        <v>45900</v>
      </c>
      <c r="F250" s="12">
        <f>_xlfn.XLOOKUP($A250,m1_cv!$B:$B,m1_cv!$C:$C)</f>
        <v>107</v>
      </c>
      <c r="G250">
        <f>MAX(0,ROUND(SUMIFS(m1_cv!$E:$E,m1_cv!$A:$A,$E250,m1_cv!$B:$B,$A250),0))</f>
        <v>1330</v>
      </c>
      <c r="H250">
        <f>MAX(0,ROUND(SUMIFS(m2_cv!$E:$E,m2_cv!$A:$A,$E250,m2_cv!$B:$B,$A250),0))</f>
        <v>0</v>
      </c>
      <c r="I250">
        <f>MAX(0,ROUND(SUMIFS(m3_cv!$E:$E,m3_cv!$A:$A,$E250,m3_cv!$B:$B,$A250),0))</f>
        <v>0</v>
      </c>
      <c r="J250">
        <f>MAX(0,ROUND(SUMIFS(m4_cv!$E:$E,m4_cv!$A:$A,$E250,m4_cv!$B:$B,$A250),0))</f>
        <v>0</v>
      </c>
      <c r="K250">
        <f>MAX(0,ROUND(SUMIFS(m5_cv!$E:$E,m5_cv!$A:$A,$E250,m5_cv!$B:$B,$A250),0))</f>
        <v>0</v>
      </c>
      <c r="L250">
        <f>MAX(0,ROUND(SUMIFS(m6_cv!$E:$E,m6_cv!$A:$A,$E250,m6_cv!$B:$B,$A250),0))</f>
        <v>153</v>
      </c>
      <c r="M250">
        <f>MAX(0,ROUND(SUMIFS(m7_cv!$E:$E,m7_cv!$A:$A,$E250,m7_cv!$B:$B,$A250),0))</f>
        <v>0</v>
      </c>
      <c r="N250">
        <f>ROUND(_xlfn.XLOOKUP($D250,Charts!$W$86:$W$116,Charts!$X$86:$X$116)*$L250+_xlfn.XLOOKUP($D250,Charts!$W$86:$W$116,Charts!$Y$86:$Y$116)*$M250,0)</f>
        <v>77</v>
      </c>
      <c r="O250">
        <f>MAX(0,ROUND(SUMIFS(m8_cv!$E:$E,m8_cv!$A:$A,$E250,m8_cv!$B:$B,$A250),0))</f>
        <v>0</v>
      </c>
    </row>
    <row r="251" spans="1:15" x14ac:dyDescent="0.25">
      <c r="A251" s="3">
        <f t="shared" si="19"/>
        <v>45907</v>
      </c>
      <c r="B251">
        <f t="shared" si="15"/>
        <v>2025</v>
      </c>
      <c r="C251">
        <f t="shared" si="16"/>
        <v>9</v>
      </c>
      <c r="D251">
        <f t="shared" si="17"/>
        <v>7</v>
      </c>
      <c r="E251" s="2">
        <f t="shared" si="18"/>
        <v>45900</v>
      </c>
      <c r="F251" s="12">
        <f>_xlfn.XLOOKUP($A251,m1_cv!$B:$B,m1_cv!$C:$C)</f>
        <v>30</v>
      </c>
      <c r="G251">
        <f>MAX(0,ROUND(SUMIFS(m1_cv!$E:$E,m1_cv!$A:$A,$E251,m1_cv!$B:$B,$A251),0))</f>
        <v>717</v>
      </c>
      <c r="H251">
        <f>MAX(0,ROUND(SUMIFS(m2_cv!$E:$E,m2_cv!$A:$A,$E251,m2_cv!$B:$B,$A251),0))</f>
        <v>0</v>
      </c>
      <c r="I251">
        <f>MAX(0,ROUND(SUMIFS(m3_cv!$E:$E,m3_cv!$A:$A,$E251,m3_cv!$B:$B,$A251),0))</f>
        <v>0</v>
      </c>
      <c r="J251">
        <f>MAX(0,ROUND(SUMIFS(m4_cv!$E:$E,m4_cv!$A:$A,$E251,m4_cv!$B:$B,$A251),0))</f>
        <v>0</v>
      </c>
      <c r="K251">
        <f>MAX(0,ROUND(SUMIFS(m5_cv!$E:$E,m5_cv!$A:$A,$E251,m5_cv!$B:$B,$A251),0))</f>
        <v>0</v>
      </c>
      <c r="L251">
        <f>MAX(0,ROUND(SUMIFS(m6_cv!$E:$E,m6_cv!$A:$A,$E251,m6_cv!$B:$B,$A251),0))</f>
        <v>57</v>
      </c>
      <c r="M251">
        <f>MAX(0,ROUND(SUMIFS(m7_cv!$E:$E,m7_cv!$A:$A,$E251,m7_cv!$B:$B,$A251),0))</f>
        <v>0</v>
      </c>
      <c r="N251">
        <f>ROUND(_xlfn.XLOOKUP($D251,Charts!$W$86:$W$116,Charts!$X$86:$X$116)*$L251+_xlfn.XLOOKUP($D251,Charts!$W$86:$W$116,Charts!$Y$86:$Y$116)*$M251,0)</f>
        <v>29</v>
      </c>
      <c r="O251">
        <f>MAX(0,ROUND(SUMIFS(m8_cv!$E:$E,m8_cv!$A:$A,$E251,m8_cv!$B:$B,$A251),0))</f>
        <v>0</v>
      </c>
    </row>
    <row r="252" spans="1:15" x14ac:dyDescent="0.25">
      <c r="A252" s="3">
        <f t="shared" si="19"/>
        <v>45908</v>
      </c>
      <c r="B252">
        <f t="shared" si="15"/>
        <v>2025</v>
      </c>
      <c r="C252">
        <f t="shared" si="16"/>
        <v>9</v>
      </c>
      <c r="D252">
        <f t="shared" si="17"/>
        <v>8</v>
      </c>
      <c r="E252" s="2">
        <f t="shared" si="18"/>
        <v>45900</v>
      </c>
      <c r="F252" s="12">
        <f>_xlfn.XLOOKUP($A252,m1_cv!$B:$B,m1_cv!$C:$C)</f>
        <v>1382</v>
      </c>
      <c r="G252">
        <f>MAX(0,ROUND(SUMIFS(m1_cv!$E:$E,m1_cv!$A:$A,$E252,m1_cv!$B:$B,$A252),0))</f>
        <v>2995</v>
      </c>
      <c r="H252">
        <f>MAX(0,ROUND(SUMIFS(m2_cv!$E:$E,m2_cv!$A:$A,$E252,m2_cv!$B:$B,$A252),0))</f>
        <v>1610</v>
      </c>
      <c r="I252">
        <f>MAX(0,ROUND(SUMIFS(m3_cv!$E:$E,m3_cv!$A:$A,$E252,m3_cv!$B:$B,$A252),0))</f>
        <v>1804</v>
      </c>
      <c r="J252">
        <f>MAX(0,ROUND(SUMIFS(m4_cv!$E:$E,m4_cv!$A:$A,$E252,m4_cv!$B:$B,$A252),0))</f>
        <v>1803</v>
      </c>
      <c r="K252">
        <f>MAX(0,ROUND(SUMIFS(m5_cv!$E:$E,m5_cv!$A:$A,$E252,m5_cv!$B:$B,$A252),0))</f>
        <v>1931</v>
      </c>
      <c r="L252">
        <f>MAX(0,ROUND(SUMIFS(m6_cv!$E:$E,m6_cv!$A:$A,$E252,m6_cv!$B:$B,$A252),0))</f>
        <v>1314</v>
      </c>
      <c r="M252">
        <f>MAX(0,ROUND(SUMIFS(m7_cv!$E:$E,m7_cv!$A:$A,$E252,m7_cv!$B:$B,$A252),0))</f>
        <v>1982</v>
      </c>
      <c r="N252">
        <f>ROUND(_xlfn.XLOOKUP($D252,Charts!$W$86:$W$116,Charts!$X$86:$X$116)*$L252+_xlfn.XLOOKUP($D252,Charts!$W$86:$W$116,Charts!$Y$86:$Y$116)*$M252,0)</f>
        <v>1648</v>
      </c>
      <c r="O252">
        <f>MAX(0,ROUND(SUMIFS(m8_cv!$E:$E,m8_cv!$A:$A,$E252,m8_cv!$B:$B,$A252),0))</f>
        <v>2316</v>
      </c>
    </row>
    <row r="253" spans="1:15" x14ac:dyDescent="0.25">
      <c r="A253" s="3">
        <f t="shared" si="19"/>
        <v>45909</v>
      </c>
      <c r="B253">
        <f t="shared" si="15"/>
        <v>2025</v>
      </c>
      <c r="C253">
        <f t="shared" si="16"/>
        <v>9</v>
      </c>
      <c r="D253">
        <f t="shared" si="17"/>
        <v>9</v>
      </c>
      <c r="E253" s="2">
        <f t="shared" si="18"/>
        <v>45900</v>
      </c>
      <c r="F253" s="12">
        <f>_xlfn.XLOOKUP($A253,m1_cv!$B:$B,m1_cv!$C:$C)</f>
        <v>1925</v>
      </c>
      <c r="G253">
        <f>MAX(0,ROUND(SUMIFS(m1_cv!$E:$E,m1_cv!$A:$A,$E253,m1_cv!$B:$B,$A253),0))</f>
        <v>3435</v>
      </c>
      <c r="H253">
        <f>MAX(0,ROUND(SUMIFS(m2_cv!$E:$E,m2_cv!$A:$A,$E253,m2_cv!$B:$B,$A253),0))</f>
        <v>1950</v>
      </c>
      <c r="I253">
        <f>MAX(0,ROUND(SUMIFS(m3_cv!$E:$E,m3_cv!$A:$A,$E253,m3_cv!$B:$B,$A253),0))</f>
        <v>1898</v>
      </c>
      <c r="J253">
        <f>MAX(0,ROUND(SUMIFS(m4_cv!$E:$E,m4_cv!$A:$A,$E253,m4_cv!$B:$B,$A253),0))</f>
        <v>1899</v>
      </c>
      <c r="K253">
        <f>MAX(0,ROUND(SUMIFS(m5_cv!$E:$E,m5_cv!$A:$A,$E253,m5_cv!$B:$B,$A253),0))</f>
        <v>2063</v>
      </c>
      <c r="L253">
        <f>MAX(0,ROUND(SUMIFS(m6_cv!$E:$E,m6_cv!$A:$A,$E253,m6_cv!$B:$B,$A253),0))</f>
        <v>1534</v>
      </c>
      <c r="M253">
        <f>MAX(0,ROUND(SUMIFS(m7_cv!$E:$E,m7_cv!$A:$A,$E253,m7_cv!$B:$B,$A253),0))</f>
        <v>2094</v>
      </c>
      <c r="N253">
        <f>ROUND(_xlfn.XLOOKUP($D253,Charts!$W$86:$W$116,Charts!$X$86:$X$116)*$L253+_xlfn.XLOOKUP($D253,Charts!$W$86:$W$116,Charts!$Y$86:$Y$116)*$M253,0)</f>
        <v>1814</v>
      </c>
      <c r="O253">
        <f>MAX(0,ROUND(SUMIFS(m8_cv!$E:$E,m8_cv!$A:$A,$E253,m8_cv!$B:$B,$A253),0))</f>
        <v>2303</v>
      </c>
    </row>
    <row r="254" spans="1:15" x14ac:dyDescent="0.25">
      <c r="A254" s="3">
        <f t="shared" si="19"/>
        <v>45910</v>
      </c>
      <c r="B254">
        <f t="shared" si="15"/>
        <v>2025</v>
      </c>
      <c r="C254">
        <f t="shared" si="16"/>
        <v>9</v>
      </c>
      <c r="D254">
        <f t="shared" si="17"/>
        <v>10</v>
      </c>
      <c r="E254" s="2">
        <f t="shared" si="18"/>
        <v>45900</v>
      </c>
      <c r="F254" s="12">
        <f>_xlfn.XLOOKUP($A254,m1_cv!$B:$B,m1_cv!$C:$C)</f>
        <v>1988</v>
      </c>
      <c r="G254">
        <f>MAX(0,ROUND(SUMIFS(m1_cv!$E:$E,m1_cv!$A:$A,$E254,m1_cv!$B:$B,$A254),0))</f>
        <v>3456</v>
      </c>
      <c r="H254">
        <f>MAX(0,ROUND(SUMIFS(m2_cv!$E:$E,m2_cv!$A:$A,$E254,m2_cv!$B:$B,$A254),0))</f>
        <v>2040</v>
      </c>
      <c r="I254">
        <f>MAX(0,ROUND(SUMIFS(m3_cv!$E:$E,m3_cv!$A:$A,$E254,m3_cv!$B:$B,$A254),0))</f>
        <v>2043</v>
      </c>
      <c r="J254">
        <f>MAX(0,ROUND(SUMIFS(m4_cv!$E:$E,m4_cv!$A:$A,$E254,m4_cv!$B:$B,$A254),0))</f>
        <v>2044</v>
      </c>
      <c r="K254">
        <f>MAX(0,ROUND(SUMIFS(m5_cv!$E:$E,m5_cv!$A:$A,$E254,m5_cv!$B:$B,$A254),0))</f>
        <v>2137</v>
      </c>
      <c r="L254">
        <f>MAX(0,ROUND(SUMIFS(m6_cv!$E:$E,m6_cv!$A:$A,$E254,m6_cv!$B:$B,$A254),0))</f>
        <v>1523</v>
      </c>
      <c r="M254">
        <f>MAX(0,ROUND(SUMIFS(m7_cv!$E:$E,m7_cv!$A:$A,$E254,m7_cv!$B:$B,$A254),0))</f>
        <v>2082</v>
      </c>
      <c r="N254">
        <f>ROUND(_xlfn.XLOOKUP($D254,Charts!$W$86:$W$116,Charts!$X$86:$X$116)*$L254+_xlfn.XLOOKUP($D254,Charts!$W$86:$W$116,Charts!$Y$86:$Y$116)*$M254,0)</f>
        <v>1803</v>
      </c>
      <c r="O254">
        <f>MAX(0,ROUND(SUMIFS(m8_cv!$E:$E,m8_cv!$A:$A,$E254,m8_cv!$B:$B,$A254),0))</f>
        <v>2242</v>
      </c>
    </row>
    <row r="255" spans="1:15" x14ac:dyDescent="0.25">
      <c r="A255" s="3">
        <f t="shared" si="19"/>
        <v>45911</v>
      </c>
      <c r="B255">
        <f t="shared" si="15"/>
        <v>2025</v>
      </c>
      <c r="C255">
        <f t="shared" si="16"/>
        <v>9</v>
      </c>
      <c r="D255">
        <f t="shared" si="17"/>
        <v>11</v>
      </c>
      <c r="E255" s="2">
        <f t="shared" si="18"/>
        <v>45900</v>
      </c>
      <c r="F255" s="12">
        <f>_xlfn.XLOOKUP($A255,m1_cv!$B:$B,m1_cv!$C:$C)</f>
        <v>2414</v>
      </c>
      <c r="G255">
        <f>MAX(0,ROUND(SUMIFS(m1_cv!$E:$E,m1_cv!$A:$A,$E255,m1_cv!$B:$B,$A255),0))</f>
        <v>3443</v>
      </c>
      <c r="H255">
        <f>MAX(0,ROUND(SUMIFS(m2_cv!$E:$E,m2_cv!$A:$A,$E255,m2_cv!$B:$B,$A255),0))</f>
        <v>2268</v>
      </c>
      <c r="I255">
        <f>MAX(0,ROUND(SUMIFS(m3_cv!$E:$E,m3_cv!$A:$A,$E255,m3_cv!$B:$B,$A255),0))</f>
        <v>2311</v>
      </c>
      <c r="J255">
        <f>MAX(0,ROUND(SUMIFS(m4_cv!$E:$E,m4_cv!$A:$A,$E255,m4_cv!$B:$B,$A255),0))</f>
        <v>2312</v>
      </c>
      <c r="K255">
        <f>MAX(0,ROUND(SUMIFS(m5_cv!$E:$E,m5_cv!$A:$A,$E255,m5_cv!$B:$B,$A255),0))</f>
        <v>2242</v>
      </c>
      <c r="L255">
        <f>MAX(0,ROUND(SUMIFS(m6_cv!$E:$E,m6_cv!$A:$A,$E255,m6_cv!$B:$B,$A255),0))</f>
        <v>1628</v>
      </c>
      <c r="M255">
        <f>MAX(0,ROUND(SUMIFS(m7_cv!$E:$E,m7_cv!$A:$A,$E255,m7_cv!$B:$B,$A255),0))</f>
        <v>2198</v>
      </c>
      <c r="N255">
        <f>ROUND(_xlfn.XLOOKUP($D255,Charts!$W$86:$W$116,Charts!$X$86:$X$116)*$L255+_xlfn.XLOOKUP($D255,Charts!$W$86:$W$116,Charts!$Y$86:$Y$116)*$M255,0)</f>
        <v>2027</v>
      </c>
      <c r="O255">
        <f>MAX(0,ROUND(SUMIFS(m8_cv!$E:$E,m8_cv!$A:$A,$E255,m8_cv!$B:$B,$A255),0))</f>
        <v>2348</v>
      </c>
    </row>
    <row r="256" spans="1:15" x14ac:dyDescent="0.25">
      <c r="A256" s="3">
        <f t="shared" si="19"/>
        <v>45912</v>
      </c>
      <c r="B256">
        <f t="shared" si="15"/>
        <v>2025</v>
      </c>
      <c r="C256">
        <f t="shared" si="16"/>
        <v>9</v>
      </c>
      <c r="D256">
        <f t="shared" si="17"/>
        <v>12</v>
      </c>
      <c r="E256" s="2">
        <f t="shared" si="18"/>
        <v>45900</v>
      </c>
      <c r="F256" s="12">
        <f>_xlfn.XLOOKUP($A256,m1_cv!$B:$B,m1_cv!$C:$C)</f>
        <v>2644</v>
      </c>
      <c r="G256">
        <f>MAX(0,ROUND(SUMIFS(m1_cv!$E:$E,m1_cv!$A:$A,$E256,m1_cv!$B:$B,$A256),0))</f>
        <v>3342</v>
      </c>
      <c r="H256">
        <f>MAX(0,ROUND(SUMIFS(m2_cv!$E:$E,m2_cv!$A:$A,$E256,m2_cv!$B:$B,$A256),0))</f>
        <v>2409</v>
      </c>
      <c r="I256">
        <f>MAX(0,ROUND(SUMIFS(m3_cv!$E:$E,m3_cv!$A:$A,$E256,m3_cv!$B:$B,$A256),0))</f>
        <v>2445</v>
      </c>
      <c r="J256">
        <f>MAX(0,ROUND(SUMIFS(m4_cv!$E:$E,m4_cv!$A:$A,$E256,m4_cv!$B:$B,$A256),0))</f>
        <v>2448</v>
      </c>
      <c r="K256">
        <f>MAX(0,ROUND(SUMIFS(m5_cv!$E:$E,m5_cv!$A:$A,$E256,m5_cv!$B:$B,$A256),0))</f>
        <v>2273</v>
      </c>
      <c r="L256">
        <f>MAX(0,ROUND(SUMIFS(m6_cv!$E:$E,m6_cv!$A:$A,$E256,m6_cv!$B:$B,$A256),0))</f>
        <v>1690</v>
      </c>
      <c r="M256">
        <f>MAX(0,ROUND(SUMIFS(m7_cv!$E:$E,m7_cv!$A:$A,$E256,m7_cv!$B:$B,$A256),0))</f>
        <v>2282</v>
      </c>
      <c r="N256">
        <f>ROUND(_xlfn.XLOOKUP($D256,Charts!$W$86:$W$116,Charts!$X$86:$X$116)*$L256+_xlfn.XLOOKUP($D256,Charts!$W$86:$W$116,Charts!$Y$86:$Y$116)*$M256,0)</f>
        <v>2104</v>
      </c>
      <c r="O256">
        <f>MAX(0,ROUND(SUMIFS(m8_cv!$E:$E,m8_cv!$A:$A,$E256,m8_cv!$B:$B,$A256),0))</f>
        <v>2431</v>
      </c>
    </row>
    <row r="257" spans="1:15" x14ac:dyDescent="0.25">
      <c r="A257" s="3">
        <f t="shared" si="19"/>
        <v>45913</v>
      </c>
      <c r="B257">
        <f t="shared" si="15"/>
        <v>2025</v>
      </c>
      <c r="C257">
        <f t="shared" si="16"/>
        <v>9</v>
      </c>
      <c r="D257">
        <f t="shared" si="17"/>
        <v>13</v>
      </c>
      <c r="E257" s="2">
        <f t="shared" si="18"/>
        <v>45900</v>
      </c>
      <c r="F257" s="12">
        <f>_xlfn.XLOOKUP($A257,m1_cv!$B:$B,m1_cv!$C:$C)</f>
        <v>439</v>
      </c>
      <c r="G257">
        <f>MAX(0,ROUND(SUMIFS(m1_cv!$E:$E,m1_cv!$A:$A,$E257,m1_cv!$B:$B,$A257),0))</f>
        <v>1056</v>
      </c>
      <c r="H257">
        <f>MAX(0,ROUND(SUMIFS(m2_cv!$E:$E,m2_cv!$A:$A,$E257,m2_cv!$B:$B,$A257),0))</f>
        <v>232</v>
      </c>
      <c r="I257">
        <f>MAX(0,ROUND(SUMIFS(m3_cv!$E:$E,m3_cv!$A:$A,$E257,m3_cv!$B:$B,$A257),0))</f>
        <v>241</v>
      </c>
      <c r="J257">
        <f>MAX(0,ROUND(SUMIFS(m4_cv!$E:$E,m4_cv!$A:$A,$E257,m4_cv!$B:$B,$A257),0))</f>
        <v>243</v>
      </c>
      <c r="K257">
        <f>MAX(0,ROUND(SUMIFS(m5_cv!$E:$E,m5_cv!$A:$A,$E257,m5_cv!$B:$B,$A257),0))</f>
        <v>57</v>
      </c>
      <c r="L257">
        <f>MAX(0,ROUND(SUMIFS(m6_cv!$E:$E,m6_cv!$A:$A,$E257,m6_cv!$B:$B,$A257),0))</f>
        <v>311</v>
      </c>
      <c r="M257">
        <f>MAX(0,ROUND(SUMIFS(m7_cv!$E:$E,m7_cv!$A:$A,$E257,m7_cv!$B:$B,$A257),0))</f>
        <v>67</v>
      </c>
      <c r="N257">
        <f>ROUND(_xlfn.XLOOKUP($D257,Charts!$W$86:$W$116,Charts!$X$86:$X$116)*$L257+_xlfn.XLOOKUP($D257,Charts!$W$86:$W$116,Charts!$Y$86:$Y$116)*$M257,0)</f>
        <v>140</v>
      </c>
      <c r="O257">
        <f>MAX(0,ROUND(SUMIFS(m8_cv!$E:$E,m8_cv!$A:$A,$E257,m8_cv!$B:$B,$A257),0))</f>
        <v>214</v>
      </c>
    </row>
    <row r="258" spans="1:15" x14ac:dyDescent="0.25">
      <c r="A258" s="3">
        <f t="shared" si="19"/>
        <v>45914</v>
      </c>
      <c r="B258">
        <f t="shared" si="15"/>
        <v>2025</v>
      </c>
      <c r="C258">
        <f t="shared" si="16"/>
        <v>9</v>
      </c>
      <c r="D258">
        <f t="shared" si="17"/>
        <v>14</v>
      </c>
      <c r="E258" s="2">
        <f t="shared" si="18"/>
        <v>45900</v>
      </c>
      <c r="F258" s="12">
        <f>_xlfn.XLOOKUP($A258,m1_cv!$B:$B,m1_cv!$C:$C)</f>
        <v>108</v>
      </c>
      <c r="G258">
        <f>MAX(0,ROUND(SUMIFS(m1_cv!$E:$E,m1_cv!$A:$A,$E258,m1_cv!$B:$B,$A258),0))</f>
        <v>439</v>
      </c>
      <c r="H258">
        <f>MAX(0,ROUND(SUMIFS(m2_cv!$E:$E,m2_cv!$A:$A,$E258,m2_cv!$B:$B,$A258),0))</f>
        <v>0</v>
      </c>
      <c r="I258">
        <f>MAX(0,ROUND(SUMIFS(m3_cv!$E:$E,m3_cv!$A:$A,$E258,m3_cv!$B:$B,$A258),0))</f>
        <v>0</v>
      </c>
      <c r="J258">
        <f>MAX(0,ROUND(SUMIFS(m4_cv!$E:$E,m4_cv!$A:$A,$E258,m4_cv!$B:$B,$A258),0))</f>
        <v>0</v>
      </c>
      <c r="K258">
        <f>MAX(0,ROUND(SUMIFS(m5_cv!$E:$E,m5_cv!$A:$A,$E258,m5_cv!$B:$B,$A258),0))</f>
        <v>0</v>
      </c>
      <c r="L258">
        <f>MAX(0,ROUND(SUMIFS(m6_cv!$E:$E,m6_cv!$A:$A,$E258,m6_cv!$B:$B,$A258),0))</f>
        <v>121</v>
      </c>
      <c r="M258">
        <f>MAX(0,ROUND(SUMIFS(m7_cv!$E:$E,m7_cv!$A:$A,$E258,m7_cv!$B:$B,$A258),0))</f>
        <v>0</v>
      </c>
      <c r="N258">
        <f>ROUND(_xlfn.XLOOKUP($D258,Charts!$W$86:$W$116,Charts!$X$86:$X$116)*$L258+_xlfn.XLOOKUP($D258,Charts!$W$86:$W$116,Charts!$Y$86:$Y$116)*$M258,0)</f>
        <v>0</v>
      </c>
      <c r="O258">
        <f>MAX(0,ROUND(SUMIFS(m8_cv!$E:$E,m8_cv!$A:$A,$E258,m8_cv!$B:$B,$A258),0))</f>
        <v>0</v>
      </c>
    </row>
    <row r="259" spans="1:15" x14ac:dyDescent="0.25">
      <c r="A259" s="3">
        <f t="shared" si="19"/>
        <v>45915</v>
      </c>
      <c r="B259">
        <f t="shared" ref="B259:B322" si="20">YEAR(A259)</f>
        <v>2025</v>
      </c>
      <c r="C259">
        <f t="shared" ref="C259:C322" si="21">MONTH($A259)</f>
        <v>9</v>
      </c>
      <c r="D259">
        <f t="shared" ref="D259:D322" si="22">DAY($A259)</f>
        <v>15</v>
      </c>
      <c r="E259" s="2">
        <f t="shared" ref="E259:E322" si="23">DATE($B259,$C259,1)-1</f>
        <v>45900</v>
      </c>
      <c r="F259" s="12">
        <f>_xlfn.XLOOKUP($A259,m1_cv!$B:$B,m1_cv!$C:$C)</f>
        <v>19</v>
      </c>
      <c r="G259">
        <f>MAX(0,ROUND(SUMIFS(m1_cv!$E:$E,m1_cv!$A:$A,$E259,m1_cv!$B:$B,$A259),0))</f>
        <v>2720</v>
      </c>
      <c r="H259">
        <f>MAX(0,ROUND(SUMIFS(m2_cv!$E:$E,m2_cv!$A:$A,$E259,m2_cv!$B:$B,$A259),0))</f>
        <v>1987</v>
      </c>
      <c r="I259">
        <f>MAX(0,ROUND(SUMIFS(m3_cv!$E:$E,m3_cv!$A:$A,$E259,m3_cv!$B:$B,$A259),0))</f>
        <v>320</v>
      </c>
      <c r="J259">
        <f>MAX(0,ROUND(SUMIFS(m4_cv!$E:$E,m4_cv!$A:$A,$E259,m4_cv!$B:$B,$A259),0))</f>
        <v>358</v>
      </c>
      <c r="K259">
        <f>MAX(0,ROUND(SUMIFS(m5_cv!$E:$E,m5_cv!$A:$A,$E259,m5_cv!$B:$B,$A259),0))</f>
        <v>345</v>
      </c>
      <c r="L259">
        <f>MAX(0,ROUND(SUMIFS(m6_cv!$E:$E,m6_cv!$A:$A,$E259,m6_cv!$B:$B,$A259),0))</f>
        <v>180</v>
      </c>
      <c r="M259">
        <f>MAX(0,ROUND(SUMIFS(m7_cv!$E:$E,m7_cv!$A:$A,$E259,m7_cv!$B:$B,$A259),0))</f>
        <v>326</v>
      </c>
      <c r="N259">
        <f>ROUND(_xlfn.XLOOKUP($D259,Charts!$W$86:$W$116,Charts!$X$86:$X$116)*$L259+_xlfn.XLOOKUP($D259,Charts!$W$86:$W$116,Charts!$Y$86:$Y$116)*$M259,0)</f>
        <v>326</v>
      </c>
      <c r="O259">
        <f>MAX(0,ROUND(SUMIFS(m8_cv!$E:$E,m8_cv!$A:$A,$E259,m8_cv!$B:$B,$A259),0))</f>
        <v>454</v>
      </c>
    </row>
    <row r="260" spans="1:15" x14ac:dyDescent="0.25">
      <c r="A260" s="3">
        <f t="shared" ref="A260:A323" si="24">A259+1</f>
        <v>45916</v>
      </c>
      <c r="B260">
        <f t="shared" si="20"/>
        <v>2025</v>
      </c>
      <c r="C260">
        <f t="shared" si="21"/>
        <v>9</v>
      </c>
      <c r="D260">
        <f t="shared" si="22"/>
        <v>16</v>
      </c>
      <c r="E260" s="2">
        <f t="shared" si="23"/>
        <v>45900</v>
      </c>
      <c r="F260" s="12">
        <f>_xlfn.XLOOKUP($A260,m1_cv!$B:$B,m1_cv!$C:$C)</f>
        <v>5</v>
      </c>
      <c r="G260">
        <f>MAX(0,ROUND(SUMIFS(m1_cv!$E:$E,m1_cv!$A:$A,$E260,m1_cv!$B:$B,$A260),0))</f>
        <v>3168</v>
      </c>
      <c r="H260">
        <f>MAX(0,ROUND(SUMIFS(m2_cv!$E:$E,m2_cv!$A:$A,$E260,m2_cv!$B:$B,$A260),0))</f>
        <v>2597</v>
      </c>
      <c r="I260">
        <f>MAX(0,ROUND(SUMIFS(m3_cv!$E:$E,m3_cv!$A:$A,$E260,m3_cv!$B:$B,$A260),0))</f>
        <v>695</v>
      </c>
      <c r="J260">
        <f>MAX(0,ROUND(SUMIFS(m4_cv!$E:$E,m4_cv!$A:$A,$E260,m4_cv!$B:$B,$A260),0))</f>
        <v>736</v>
      </c>
      <c r="K260">
        <f>MAX(0,ROUND(SUMIFS(m5_cv!$E:$E,m5_cv!$A:$A,$E260,m5_cv!$B:$B,$A260),0))</f>
        <v>764</v>
      </c>
      <c r="L260">
        <f>MAX(0,ROUND(SUMIFS(m6_cv!$E:$E,m6_cv!$A:$A,$E260,m6_cv!$B:$B,$A260),0))</f>
        <v>235</v>
      </c>
      <c r="M260">
        <f>MAX(0,ROUND(SUMIFS(m7_cv!$E:$E,m7_cv!$A:$A,$E260,m7_cv!$B:$B,$A260),0))</f>
        <v>762</v>
      </c>
      <c r="N260">
        <f>ROUND(_xlfn.XLOOKUP($D260,Charts!$W$86:$W$116,Charts!$X$86:$X$116)*$L260+_xlfn.XLOOKUP($D260,Charts!$W$86:$W$116,Charts!$Y$86:$Y$116)*$M260,0)</f>
        <v>762</v>
      </c>
      <c r="O260">
        <f>MAX(0,ROUND(SUMIFS(m8_cv!$E:$E,m8_cv!$A:$A,$E260,m8_cv!$B:$B,$A260),0))</f>
        <v>879</v>
      </c>
    </row>
    <row r="261" spans="1:15" x14ac:dyDescent="0.25">
      <c r="A261" s="3">
        <f t="shared" si="24"/>
        <v>45917</v>
      </c>
      <c r="B261">
        <f t="shared" si="20"/>
        <v>2025</v>
      </c>
      <c r="C261">
        <f t="shared" si="21"/>
        <v>9</v>
      </c>
      <c r="D261">
        <f t="shared" si="22"/>
        <v>17</v>
      </c>
      <c r="E261" s="2">
        <f t="shared" si="23"/>
        <v>45900</v>
      </c>
      <c r="F261" s="12">
        <f>_xlfn.XLOOKUP($A261,m1_cv!$B:$B,m1_cv!$C:$C)</f>
        <v>2108</v>
      </c>
      <c r="G261">
        <f>MAX(0,ROUND(SUMIFS(m1_cv!$E:$E,m1_cv!$A:$A,$E261,m1_cv!$B:$B,$A261),0))</f>
        <v>3200</v>
      </c>
      <c r="H261">
        <f>MAX(0,ROUND(SUMIFS(m2_cv!$E:$E,m2_cv!$A:$A,$E261,m2_cv!$B:$B,$A261),0))</f>
        <v>2870</v>
      </c>
      <c r="I261">
        <f>MAX(0,ROUND(SUMIFS(m3_cv!$E:$E,m3_cv!$A:$A,$E261,m3_cv!$B:$B,$A261),0))</f>
        <v>2822</v>
      </c>
      <c r="J261">
        <f>MAX(0,ROUND(SUMIFS(m4_cv!$E:$E,m4_cv!$A:$A,$E261,m4_cv!$B:$B,$A261),0))</f>
        <v>2824</v>
      </c>
      <c r="K261">
        <f>MAX(0,ROUND(SUMIFS(m5_cv!$E:$E,m5_cv!$A:$A,$E261,m5_cv!$B:$B,$A261),0))</f>
        <v>2748</v>
      </c>
      <c r="L261">
        <f>MAX(0,ROUND(SUMIFS(m6_cv!$E:$E,m6_cv!$A:$A,$E261,m6_cv!$B:$B,$A261),0))</f>
        <v>2224</v>
      </c>
      <c r="M261">
        <f>MAX(0,ROUND(SUMIFS(m7_cv!$E:$E,m7_cv!$A:$A,$E261,m7_cv!$B:$B,$A261),0))</f>
        <v>2750</v>
      </c>
      <c r="N261">
        <f>ROUND(_xlfn.XLOOKUP($D261,Charts!$W$86:$W$116,Charts!$X$86:$X$116)*$L261+_xlfn.XLOOKUP($D261,Charts!$W$86:$W$116,Charts!$Y$86:$Y$116)*$M261,0)</f>
        <v>2750</v>
      </c>
      <c r="O261">
        <f>MAX(0,ROUND(SUMIFS(m8_cv!$E:$E,m8_cv!$A:$A,$E261,m8_cv!$B:$B,$A261),0))</f>
        <v>2905</v>
      </c>
    </row>
    <row r="262" spans="1:15" x14ac:dyDescent="0.25">
      <c r="A262" s="3">
        <f t="shared" si="24"/>
        <v>45918</v>
      </c>
      <c r="B262">
        <f t="shared" si="20"/>
        <v>2025</v>
      </c>
      <c r="C262">
        <f t="shared" si="21"/>
        <v>9</v>
      </c>
      <c r="D262">
        <f t="shared" si="22"/>
        <v>18</v>
      </c>
      <c r="E262" s="2">
        <f t="shared" si="23"/>
        <v>45900</v>
      </c>
      <c r="F262" s="12">
        <f>_xlfn.XLOOKUP($A262,m1_cv!$B:$B,m1_cv!$C:$C)</f>
        <v>3129</v>
      </c>
      <c r="G262">
        <f>MAX(0,ROUND(SUMIFS(m1_cv!$E:$E,m1_cv!$A:$A,$E262,m1_cv!$B:$B,$A262),0))</f>
        <v>3204</v>
      </c>
      <c r="H262">
        <f>MAX(0,ROUND(SUMIFS(m2_cv!$E:$E,m2_cv!$A:$A,$E262,m2_cv!$B:$B,$A262),0))</f>
        <v>3010</v>
      </c>
      <c r="I262">
        <f>MAX(0,ROUND(SUMIFS(m3_cv!$E:$E,m3_cv!$A:$A,$E262,m3_cv!$B:$B,$A262),0))</f>
        <v>3004</v>
      </c>
      <c r="J262">
        <f>MAX(0,ROUND(SUMIFS(m4_cv!$E:$E,m4_cv!$A:$A,$E262,m4_cv!$B:$B,$A262),0))</f>
        <v>3007</v>
      </c>
      <c r="K262">
        <f>MAX(0,ROUND(SUMIFS(m5_cv!$E:$E,m5_cv!$A:$A,$E262,m5_cv!$B:$B,$A262),0))</f>
        <v>2845</v>
      </c>
      <c r="L262">
        <f>MAX(0,ROUND(SUMIFS(m6_cv!$E:$E,m6_cv!$A:$A,$E262,m6_cv!$B:$B,$A262),0))</f>
        <v>2473</v>
      </c>
      <c r="M262">
        <f>MAX(0,ROUND(SUMIFS(m7_cv!$E:$E,m7_cv!$A:$A,$E262,m7_cv!$B:$B,$A262),0))</f>
        <v>2782</v>
      </c>
      <c r="N262">
        <f>ROUND(_xlfn.XLOOKUP($D262,Charts!$W$86:$W$116,Charts!$X$86:$X$116)*$L262+_xlfn.XLOOKUP($D262,Charts!$W$86:$W$116,Charts!$Y$86:$Y$116)*$M262,0)</f>
        <v>2782</v>
      </c>
      <c r="O262">
        <f>MAX(0,ROUND(SUMIFS(m8_cv!$E:$E,m8_cv!$A:$A,$E262,m8_cv!$B:$B,$A262),0))</f>
        <v>2932</v>
      </c>
    </row>
    <row r="263" spans="1:15" x14ac:dyDescent="0.25">
      <c r="A263" s="3">
        <f t="shared" si="24"/>
        <v>45919</v>
      </c>
      <c r="B263">
        <f t="shared" si="20"/>
        <v>2025</v>
      </c>
      <c r="C263">
        <f t="shared" si="21"/>
        <v>9</v>
      </c>
      <c r="D263">
        <f t="shared" si="22"/>
        <v>19</v>
      </c>
      <c r="E263" s="2">
        <f t="shared" si="23"/>
        <v>45900</v>
      </c>
      <c r="F263" s="12">
        <f>_xlfn.XLOOKUP($A263,m1_cv!$B:$B,m1_cv!$C:$C)</f>
        <v>3027</v>
      </c>
      <c r="G263">
        <f>MAX(0,ROUND(SUMIFS(m1_cv!$E:$E,m1_cv!$A:$A,$E263,m1_cv!$B:$B,$A263),0))</f>
        <v>3124</v>
      </c>
      <c r="H263">
        <f>MAX(0,ROUND(SUMIFS(m2_cv!$E:$E,m2_cv!$A:$A,$E263,m2_cv!$B:$B,$A263),0))</f>
        <v>2902</v>
      </c>
      <c r="I263">
        <f>MAX(0,ROUND(SUMIFS(m3_cv!$E:$E,m3_cv!$A:$A,$E263,m3_cv!$B:$B,$A263),0))</f>
        <v>2855</v>
      </c>
      <c r="J263">
        <f>MAX(0,ROUND(SUMIFS(m4_cv!$E:$E,m4_cv!$A:$A,$E263,m4_cv!$B:$B,$A263),0))</f>
        <v>2858</v>
      </c>
      <c r="K263">
        <f>MAX(0,ROUND(SUMIFS(m5_cv!$E:$E,m5_cv!$A:$A,$E263,m5_cv!$B:$B,$A263),0))</f>
        <v>2788</v>
      </c>
      <c r="L263">
        <f>MAX(0,ROUND(SUMIFS(m6_cv!$E:$E,m6_cv!$A:$A,$E263,m6_cv!$B:$B,$A263),0))</f>
        <v>2482</v>
      </c>
      <c r="M263">
        <f>MAX(0,ROUND(SUMIFS(m7_cv!$E:$E,m7_cv!$A:$A,$E263,m7_cv!$B:$B,$A263),0))</f>
        <v>2770</v>
      </c>
      <c r="N263">
        <f>ROUND(_xlfn.XLOOKUP($D263,Charts!$W$86:$W$116,Charts!$X$86:$X$116)*$L263+_xlfn.XLOOKUP($D263,Charts!$W$86:$W$116,Charts!$Y$86:$Y$116)*$M263,0)</f>
        <v>2770</v>
      </c>
      <c r="O263">
        <f>MAX(0,ROUND(SUMIFS(m8_cv!$E:$E,m8_cv!$A:$A,$E263,m8_cv!$B:$B,$A263),0))</f>
        <v>2916</v>
      </c>
    </row>
    <row r="264" spans="1:15" x14ac:dyDescent="0.25">
      <c r="A264" s="3">
        <f t="shared" si="24"/>
        <v>45920</v>
      </c>
      <c r="B264">
        <f t="shared" si="20"/>
        <v>2025</v>
      </c>
      <c r="C264">
        <f t="shared" si="21"/>
        <v>9</v>
      </c>
      <c r="D264">
        <f t="shared" si="22"/>
        <v>20</v>
      </c>
      <c r="E264" s="2">
        <f t="shared" si="23"/>
        <v>45900</v>
      </c>
      <c r="F264" s="12">
        <f>_xlfn.XLOOKUP($A264,m1_cv!$B:$B,m1_cv!$C:$C)</f>
        <v>525</v>
      </c>
      <c r="G264">
        <f>MAX(0,ROUND(SUMIFS(m1_cv!$E:$E,m1_cv!$A:$A,$E264,m1_cv!$B:$B,$A264),0))</f>
        <v>862</v>
      </c>
      <c r="H264">
        <f>MAX(0,ROUND(SUMIFS(m2_cv!$E:$E,m2_cv!$A:$A,$E264,m2_cv!$B:$B,$A264),0))</f>
        <v>591</v>
      </c>
      <c r="I264">
        <f>MAX(0,ROUND(SUMIFS(m3_cv!$E:$E,m3_cv!$A:$A,$E264,m3_cv!$B:$B,$A264),0))</f>
        <v>475</v>
      </c>
      <c r="J264">
        <f>MAX(0,ROUND(SUMIFS(m4_cv!$E:$E,m4_cv!$A:$A,$E264,m4_cv!$B:$B,$A264),0))</f>
        <v>478</v>
      </c>
      <c r="K264">
        <f>MAX(0,ROUND(SUMIFS(m5_cv!$E:$E,m5_cv!$A:$A,$E264,m5_cv!$B:$B,$A264),0))</f>
        <v>539</v>
      </c>
      <c r="L264">
        <f>MAX(0,ROUND(SUMIFS(m6_cv!$E:$E,m6_cv!$A:$A,$E264,m6_cv!$B:$B,$A264),0))</f>
        <v>427</v>
      </c>
      <c r="M264">
        <f>MAX(0,ROUND(SUMIFS(m7_cv!$E:$E,m7_cv!$A:$A,$E264,m7_cv!$B:$B,$A264),0))</f>
        <v>626</v>
      </c>
      <c r="N264">
        <f>ROUND(_xlfn.XLOOKUP($D264,Charts!$W$86:$W$116,Charts!$X$86:$X$116)*$L264+_xlfn.XLOOKUP($D264,Charts!$W$86:$W$116,Charts!$Y$86:$Y$116)*$M264,0)</f>
        <v>626</v>
      </c>
      <c r="O264">
        <f>MAX(0,ROUND(SUMIFS(m8_cv!$E:$E,m8_cv!$A:$A,$E264,m8_cv!$B:$B,$A264),0))</f>
        <v>771</v>
      </c>
    </row>
    <row r="265" spans="1:15" x14ac:dyDescent="0.25">
      <c r="A265" s="3">
        <f t="shared" si="24"/>
        <v>45921</v>
      </c>
      <c r="B265">
        <f t="shared" si="20"/>
        <v>2025</v>
      </c>
      <c r="C265">
        <f t="shared" si="21"/>
        <v>9</v>
      </c>
      <c r="D265">
        <f t="shared" si="22"/>
        <v>21</v>
      </c>
      <c r="E265" s="2">
        <f t="shared" si="23"/>
        <v>45900</v>
      </c>
      <c r="F265" s="12">
        <f>_xlfn.XLOOKUP($A265,m1_cv!$B:$B,m1_cv!$C:$C)</f>
        <v>107</v>
      </c>
      <c r="G265">
        <f>MAX(0,ROUND(SUMIFS(m1_cv!$E:$E,m1_cv!$A:$A,$E265,m1_cv!$B:$B,$A265),0))</f>
        <v>274</v>
      </c>
      <c r="H265">
        <f>MAX(0,ROUND(SUMIFS(m2_cv!$E:$E,m2_cv!$A:$A,$E265,m2_cv!$B:$B,$A265),0))</f>
        <v>126</v>
      </c>
      <c r="I265">
        <f>MAX(0,ROUND(SUMIFS(m3_cv!$E:$E,m3_cv!$A:$A,$E265,m3_cv!$B:$B,$A265),0))</f>
        <v>0</v>
      </c>
      <c r="J265">
        <f>MAX(0,ROUND(SUMIFS(m4_cv!$E:$E,m4_cv!$A:$A,$E265,m4_cv!$B:$B,$A265),0))</f>
        <v>0</v>
      </c>
      <c r="K265">
        <f>MAX(0,ROUND(SUMIFS(m5_cv!$E:$E,m5_cv!$A:$A,$E265,m5_cv!$B:$B,$A265),0))</f>
        <v>78</v>
      </c>
      <c r="L265">
        <f>MAX(0,ROUND(SUMIFS(m6_cv!$E:$E,m6_cv!$A:$A,$E265,m6_cv!$B:$B,$A265),0))</f>
        <v>161</v>
      </c>
      <c r="M265">
        <f>MAX(0,ROUND(SUMIFS(m7_cv!$E:$E,m7_cv!$A:$A,$E265,m7_cv!$B:$B,$A265),0))</f>
        <v>109</v>
      </c>
      <c r="N265">
        <f>ROUND(_xlfn.XLOOKUP($D265,Charts!$W$86:$W$116,Charts!$X$86:$X$116)*$L265+_xlfn.XLOOKUP($D265,Charts!$W$86:$W$116,Charts!$Y$86:$Y$116)*$M265,0)</f>
        <v>109</v>
      </c>
      <c r="O265">
        <f>MAX(0,ROUND(SUMIFS(m8_cv!$E:$E,m8_cv!$A:$A,$E265,m8_cv!$B:$B,$A265),0))</f>
        <v>256</v>
      </c>
    </row>
    <row r="266" spans="1:15" x14ac:dyDescent="0.25">
      <c r="A266" s="3">
        <f t="shared" si="24"/>
        <v>45922</v>
      </c>
      <c r="B266">
        <f t="shared" si="20"/>
        <v>2025</v>
      </c>
      <c r="C266">
        <f t="shared" si="21"/>
        <v>9</v>
      </c>
      <c r="D266">
        <f t="shared" si="22"/>
        <v>22</v>
      </c>
      <c r="E266" s="2">
        <f t="shared" si="23"/>
        <v>45900</v>
      </c>
      <c r="F266" s="12">
        <f>_xlfn.XLOOKUP($A266,m1_cv!$B:$B,m1_cv!$C:$C)</f>
        <v>2480</v>
      </c>
      <c r="G266">
        <f>MAX(0,ROUND(SUMIFS(m1_cv!$E:$E,m1_cv!$A:$A,$E266,m1_cv!$B:$B,$A266),0))</f>
        <v>2585</v>
      </c>
      <c r="H266">
        <f>MAX(0,ROUND(SUMIFS(m2_cv!$E:$E,m2_cv!$A:$A,$E266,m2_cv!$B:$B,$A266),0))</f>
        <v>2757</v>
      </c>
      <c r="I266">
        <f>MAX(0,ROUND(SUMIFS(m3_cv!$E:$E,m3_cv!$A:$A,$E266,m3_cv!$B:$B,$A266),0))</f>
        <v>2790</v>
      </c>
      <c r="J266">
        <f>MAX(0,ROUND(SUMIFS(m4_cv!$E:$E,m4_cv!$A:$A,$E266,m4_cv!$B:$B,$A266),0))</f>
        <v>2792</v>
      </c>
      <c r="K266">
        <f>MAX(0,ROUND(SUMIFS(m5_cv!$E:$E,m5_cv!$A:$A,$E266,m5_cv!$B:$B,$A266),0))</f>
        <v>2789</v>
      </c>
      <c r="L266">
        <f>MAX(0,ROUND(SUMIFS(m6_cv!$E:$E,m6_cv!$A:$A,$E266,m6_cv!$B:$B,$A266),0))</f>
        <v>2136</v>
      </c>
      <c r="M266">
        <f>MAX(0,ROUND(SUMIFS(m7_cv!$E:$E,m7_cv!$A:$A,$E266,m7_cv!$B:$B,$A266),0))</f>
        <v>2713</v>
      </c>
      <c r="N266">
        <f>ROUND(_xlfn.XLOOKUP($D266,Charts!$W$86:$W$116,Charts!$X$86:$X$116)*$L266+_xlfn.XLOOKUP($D266,Charts!$W$86:$W$116,Charts!$Y$86:$Y$116)*$M266,0)</f>
        <v>2713</v>
      </c>
      <c r="O266">
        <f>MAX(0,ROUND(SUMIFS(m8_cv!$E:$E,m8_cv!$A:$A,$E266,m8_cv!$B:$B,$A266),0))</f>
        <v>2863</v>
      </c>
    </row>
    <row r="267" spans="1:15" x14ac:dyDescent="0.25">
      <c r="A267" s="3">
        <f t="shared" si="24"/>
        <v>45923</v>
      </c>
      <c r="B267">
        <f t="shared" si="20"/>
        <v>2025</v>
      </c>
      <c r="C267">
        <f t="shared" si="21"/>
        <v>9</v>
      </c>
      <c r="D267">
        <f t="shared" si="22"/>
        <v>23</v>
      </c>
      <c r="E267" s="2">
        <f t="shared" si="23"/>
        <v>45900</v>
      </c>
      <c r="F267" s="12">
        <f>_xlfn.XLOOKUP($A267,m1_cv!$B:$B,m1_cv!$C:$C)</f>
        <v>2893</v>
      </c>
      <c r="G267">
        <f>MAX(0,ROUND(SUMIFS(m1_cv!$E:$E,m1_cv!$A:$A,$E267,m1_cv!$B:$B,$A267),0))</f>
        <v>3064</v>
      </c>
      <c r="H267">
        <f>MAX(0,ROUND(SUMIFS(m2_cv!$E:$E,m2_cv!$A:$A,$E267,m2_cv!$B:$B,$A267),0))</f>
        <v>3508</v>
      </c>
      <c r="I267">
        <f>MAX(0,ROUND(SUMIFS(m3_cv!$E:$E,m3_cv!$A:$A,$E267,m3_cv!$B:$B,$A267),0))</f>
        <v>3388</v>
      </c>
      <c r="J267">
        <f>MAX(0,ROUND(SUMIFS(m4_cv!$E:$E,m4_cv!$A:$A,$E267,m4_cv!$B:$B,$A267),0))</f>
        <v>3392</v>
      </c>
      <c r="K267">
        <f>MAX(0,ROUND(SUMIFS(m5_cv!$E:$E,m5_cv!$A:$A,$E267,m5_cv!$B:$B,$A267),0))</f>
        <v>3291</v>
      </c>
      <c r="L267">
        <f>MAX(0,ROUND(SUMIFS(m6_cv!$E:$E,m6_cv!$A:$A,$E267,m6_cv!$B:$B,$A267),0))</f>
        <v>2993</v>
      </c>
      <c r="M267">
        <f>MAX(0,ROUND(SUMIFS(m7_cv!$E:$E,m7_cv!$A:$A,$E267,m7_cv!$B:$B,$A267),0))</f>
        <v>3233</v>
      </c>
      <c r="N267">
        <f>ROUND(_xlfn.XLOOKUP($D267,Charts!$W$86:$W$116,Charts!$X$86:$X$116)*$L267+_xlfn.XLOOKUP($D267,Charts!$W$86:$W$116,Charts!$Y$86:$Y$116)*$M267,0)</f>
        <v>3233</v>
      </c>
      <c r="O267">
        <f>MAX(0,ROUND(SUMIFS(m8_cv!$E:$E,m8_cv!$A:$A,$E267,m8_cv!$B:$B,$A267),0))</f>
        <v>3369</v>
      </c>
    </row>
    <row r="268" spans="1:15" x14ac:dyDescent="0.25">
      <c r="A268" s="3">
        <f t="shared" si="24"/>
        <v>45924</v>
      </c>
      <c r="B268">
        <f t="shared" si="20"/>
        <v>2025</v>
      </c>
      <c r="C268">
        <f t="shared" si="21"/>
        <v>9</v>
      </c>
      <c r="D268">
        <f t="shared" si="22"/>
        <v>24</v>
      </c>
      <c r="E268" s="2">
        <f t="shared" si="23"/>
        <v>45900</v>
      </c>
      <c r="F268" s="12">
        <f>_xlfn.XLOOKUP($A268,m1_cv!$B:$B,m1_cv!$C:$C)</f>
        <v>3143</v>
      </c>
      <c r="G268">
        <f>MAX(0,ROUND(SUMIFS(m1_cv!$E:$E,m1_cv!$A:$A,$E268,m1_cv!$B:$B,$A268),0))</f>
        <v>3129</v>
      </c>
      <c r="H268">
        <f>MAX(0,ROUND(SUMIFS(m2_cv!$E:$E,m2_cv!$A:$A,$E268,m2_cv!$B:$B,$A268),0))</f>
        <v>3665</v>
      </c>
      <c r="I268">
        <f>MAX(0,ROUND(SUMIFS(m3_cv!$E:$E,m3_cv!$A:$A,$E268,m3_cv!$B:$B,$A268),0))</f>
        <v>3684</v>
      </c>
      <c r="J268">
        <f>MAX(0,ROUND(SUMIFS(m4_cv!$E:$E,m4_cv!$A:$A,$E268,m4_cv!$B:$B,$A268),0))</f>
        <v>3688</v>
      </c>
      <c r="K268">
        <f>MAX(0,ROUND(SUMIFS(m5_cv!$E:$E,m5_cv!$A:$A,$E268,m5_cv!$B:$B,$A268),0))</f>
        <v>3518</v>
      </c>
      <c r="L268">
        <f>MAX(0,ROUND(SUMIFS(m6_cv!$E:$E,m6_cv!$A:$A,$E268,m6_cv!$B:$B,$A268),0))</f>
        <v>3475</v>
      </c>
      <c r="M268">
        <f>MAX(0,ROUND(SUMIFS(m7_cv!$E:$E,m7_cv!$A:$A,$E268,m7_cv!$B:$B,$A268),0))</f>
        <v>3532</v>
      </c>
      <c r="N268">
        <f>ROUND(_xlfn.XLOOKUP($D268,Charts!$W$86:$W$116,Charts!$X$86:$X$116)*$L268+_xlfn.XLOOKUP($D268,Charts!$W$86:$W$116,Charts!$Y$86:$Y$116)*$M268,0)</f>
        <v>3475</v>
      </c>
      <c r="O268">
        <f>MAX(0,ROUND(SUMIFS(m8_cv!$E:$E,m8_cv!$A:$A,$E268,m8_cv!$B:$B,$A268),0))</f>
        <v>3670</v>
      </c>
    </row>
    <row r="269" spans="1:15" x14ac:dyDescent="0.25">
      <c r="A269" s="3">
        <f t="shared" si="24"/>
        <v>45925</v>
      </c>
      <c r="B269">
        <f t="shared" si="20"/>
        <v>2025</v>
      </c>
      <c r="C269">
        <f t="shared" si="21"/>
        <v>9</v>
      </c>
      <c r="D269">
        <f t="shared" si="22"/>
        <v>25</v>
      </c>
      <c r="E269" s="2">
        <f t="shared" si="23"/>
        <v>45900</v>
      </c>
      <c r="F269" s="12">
        <f>_xlfn.XLOOKUP($A269,m1_cv!$B:$B,m1_cv!$C:$C)</f>
        <v>3361</v>
      </c>
      <c r="G269">
        <f>MAX(0,ROUND(SUMIFS(m1_cv!$E:$E,m1_cv!$A:$A,$E269,m1_cv!$B:$B,$A269),0))</f>
        <v>3167</v>
      </c>
      <c r="H269">
        <f>MAX(0,ROUND(SUMIFS(m2_cv!$E:$E,m2_cv!$A:$A,$E269,m2_cv!$B:$B,$A269),0))</f>
        <v>3629</v>
      </c>
      <c r="I269">
        <f>MAX(0,ROUND(SUMIFS(m3_cv!$E:$E,m3_cv!$A:$A,$E269,m3_cv!$B:$B,$A269),0))</f>
        <v>3699</v>
      </c>
      <c r="J269">
        <f>MAX(0,ROUND(SUMIFS(m4_cv!$E:$E,m4_cv!$A:$A,$E269,m4_cv!$B:$B,$A269),0))</f>
        <v>3703</v>
      </c>
      <c r="K269">
        <f>MAX(0,ROUND(SUMIFS(m5_cv!$E:$E,m5_cv!$A:$A,$E269,m5_cv!$B:$B,$A269),0))</f>
        <v>3579</v>
      </c>
      <c r="L269">
        <f>MAX(0,ROUND(SUMIFS(m6_cv!$E:$E,m6_cv!$A:$A,$E269,m6_cv!$B:$B,$A269),0))</f>
        <v>3831</v>
      </c>
      <c r="M269">
        <f>MAX(0,ROUND(SUMIFS(m7_cv!$E:$E,m7_cv!$A:$A,$E269,m7_cv!$B:$B,$A269),0))</f>
        <v>3667</v>
      </c>
      <c r="N269">
        <f>ROUND(_xlfn.XLOOKUP($D269,Charts!$W$86:$W$116,Charts!$X$86:$X$116)*$L269+_xlfn.XLOOKUP($D269,Charts!$W$86:$W$116,Charts!$Y$86:$Y$116)*$M269,0)</f>
        <v>3831</v>
      </c>
      <c r="O269">
        <f>MAX(0,ROUND(SUMIFS(m8_cv!$E:$E,m8_cv!$A:$A,$E269,m8_cv!$B:$B,$A269),0))</f>
        <v>3809</v>
      </c>
    </row>
    <row r="270" spans="1:15" x14ac:dyDescent="0.25">
      <c r="A270" s="3">
        <f t="shared" si="24"/>
        <v>45926</v>
      </c>
      <c r="B270">
        <f t="shared" si="20"/>
        <v>2025</v>
      </c>
      <c r="C270">
        <f t="shared" si="21"/>
        <v>9</v>
      </c>
      <c r="D270">
        <f t="shared" si="22"/>
        <v>26</v>
      </c>
      <c r="E270" s="2">
        <f t="shared" si="23"/>
        <v>45900</v>
      </c>
      <c r="F270" s="12">
        <f>_xlfn.XLOOKUP($A270,m1_cv!$B:$B,m1_cv!$C:$C)</f>
        <v>3885</v>
      </c>
      <c r="G270">
        <f>MAX(0,ROUND(SUMIFS(m1_cv!$E:$E,m1_cv!$A:$A,$E270,m1_cv!$B:$B,$A270),0))</f>
        <v>3119</v>
      </c>
      <c r="H270">
        <f>MAX(0,ROUND(SUMIFS(m2_cv!$E:$E,m2_cv!$A:$A,$E270,m2_cv!$B:$B,$A270),0))</f>
        <v>3656</v>
      </c>
      <c r="I270">
        <f>MAX(0,ROUND(SUMIFS(m3_cv!$E:$E,m3_cv!$A:$A,$E270,m3_cv!$B:$B,$A270),0))</f>
        <v>3667</v>
      </c>
      <c r="J270">
        <f>MAX(0,ROUND(SUMIFS(m4_cv!$E:$E,m4_cv!$A:$A,$E270,m4_cv!$B:$B,$A270),0))</f>
        <v>3671</v>
      </c>
      <c r="K270">
        <f>MAX(0,ROUND(SUMIFS(m5_cv!$E:$E,m5_cv!$A:$A,$E270,m5_cv!$B:$B,$A270),0))</f>
        <v>4907</v>
      </c>
      <c r="L270">
        <f>MAX(0,ROUND(SUMIFS(m6_cv!$E:$E,m6_cv!$A:$A,$E270,m6_cv!$B:$B,$A270),0))</f>
        <v>7209</v>
      </c>
      <c r="M270">
        <f>MAX(0,ROUND(SUMIFS(m7_cv!$E:$E,m7_cv!$A:$A,$E270,m7_cv!$B:$B,$A270),0))</f>
        <v>5043</v>
      </c>
      <c r="N270">
        <f>ROUND(_xlfn.XLOOKUP($D270,Charts!$W$86:$W$116,Charts!$X$86:$X$116)*$L270+_xlfn.XLOOKUP($D270,Charts!$W$86:$W$116,Charts!$Y$86:$Y$116)*$M270,0)</f>
        <v>7209</v>
      </c>
      <c r="O270">
        <f>MAX(0,ROUND(SUMIFS(m8_cv!$E:$E,m8_cv!$A:$A,$E270,m8_cv!$B:$B,$A270),0))</f>
        <v>4985</v>
      </c>
    </row>
    <row r="271" spans="1:15" x14ac:dyDescent="0.25">
      <c r="A271" s="3">
        <f t="shared" si="24"/>
        <v>45927</v>
      </c>
      <c r="B271">
        <f t="shared" si="20"/>
        <v>2025</v>
      </c>
      <c r="C271">
        <f t="shared" si="21"/>
        <v>9</v>
      </c>
      <c r="D271">
        <f t="shared" si="22"/>
        <v>27</v>
      </c>
      <c r="E271" s="2">
        <f t="shared" si="23"/>
        <v>45900</v>
      </c>
      <c r="F271" s="12">
        <f>_xlfn.XLOOKUP($A271,m1_cv!$B:$B,m1_cv!$C:$C)</f>
        <v>1024</v>
      </c>
      <c r="G271">
        <f>MAX(0,ROUND(SUMIFS(m1_cv!$E:$E,m1_cv!$A:$A,$E271,m1_cv!$B:$B,$A271),0))</f>
        <v>889</v>
      </c>
      <c r="H271">
        <f>MAX(0,ROUND(SUMIFS(m2_cv!$E:$E,m2_cv!$A:$A,$E271,m2_cv!$B:$B,$A271),0))</f>
        <v>1994</v>
      </c>
      <c r="I271">
        <f>MAX(0,ROUND(SUMIFS(m3_cv!$E:$E,m3_cv!$A:$A,$E271,m3_cv!$B:$B,$A271),0))</f>
        <v>1936</v>
      </c>
      <c r="J271">
        <f>MAX(0,ROUND(SUMIFS(m4_cv!$E:$E,m4_cv!$A:$A,$E271,m4_cv!$B:$B,$A271),0))</f>
        <v>1940</v>
      </c>
      <c r="K271">
        <f>MAX(0,ROUND(SUMIFS(m5_cv!$E:$E,m5_cv!$A:$A,$E271,m5_cv!$B:$B,$A271),0))</f>
        <v>2764</v>
      </c>
      <c r="L271">
        <f>MAX(0,ROUND(SUMIFS(m6_cv!$E:$E,m6_cv!$A:$A,$E271,m6_cv!$B:$B,$A271),0))</f>
        <v>1121</v>
      </c>
      <c r="M271">
        <f>MAX(0,ROUND(SUMIFS(m7_cv!$E:$E,m7_cv!$A:$A,$E271,m7_cv!$B:$B,$A271),0))</f>
        <v>2658</v>
      </c>
      <c r="N271">
        <f>ROUND(_xlfn.XLOOKUP($D271,Charts!$W$86:$W$116,Charts!$X$86:$X$116)*$L271+_xlfn.XLOOKUP($D271,Charts!$W$86:$W$116,Charts!$Y$86:$Y$116)*$M271,0)</f>
        <v>1121</v>
      </c>
      <c r="O271">
        <f>MAX(0,ROUND(SUMIFS(m8_cv!$E:$E,m8_cv!$A:$A,$E271,m8_cv!$B:$B,$A271),0))</f>
        <v>2698</v>
      </c>
    </row>
    <row r="272" spans="1:15" x14ac:dyDescent="0.25">
      <c r="A272" s="3">
        <f t="shared" si="24"/>
        <v>45928</v>
      </c>
      <c r="B272">
        <f t="shared" si="20"/>
        <v>2025</v>
      </c>
      <c r="C272">
        <f t="shared" si="21"/>
        <v>9</v>
      </c>
      <c r="D272">
        <f t="shared" si="22"/>
        <v>28</v>
      </c>
      <c r="E272" s="2">
        <f t="shared" si="23"/>
        <v>45900</v>
      </c>
      <c r="F272" s="12">
        <f>_xlfn.XLOOKUP($A272,m1_cv!$B:$B,m1_cv!$C:$C)</f>
        <v>280</v>
      </c>
      <c r="G272">
        <f>MAX(0,ROUND(SUMIFS(m1_cv!$E:$E,m1_cv!$A:$A,$E272,m1_cv!$B:$B,$A272),0))</f>
        <v>331</v>
      </c>
      <c r="H272">
        <f>MAX(0,ROUND(SUMIFS(m2_cv!$E:$E,m2_cv!$A:$A,$E272,m2_cv!$B:$B,$A272),0))</f>
        <v>2487</v>
      </c>
      <c r="I272">
        <f>MAX(0,ROUND(SUMIFS(m3_cv!$E:$E,m3_cv!$A:$A,$E272,m3_cv!$B:$B,$A272),0))</f>
        <v>2429</v>
      </c>
      <c r="J272">
        <f>MAX(0,ROUND(SUMIFS(m4_cv!$E:$E,m4_cv!$A:$A,$E272,m4_cv!$B:$B,$A272),0))</f>
        <v>2433</v>
      </c>
      <c r="K272">
        <f>MAX(0,ROUND(SUMIFS(m5_cv!$E:$E,m5_cv!$A:$A,$E272,m5_cv!$B:$B,$A272),0))</f>
        <v>2373</v>
      </c>
      <c r="L272">
        <f>MAX(0,ROUND(SUMIFS(m6_cv!$E:$E,m6_cv!$A:$A,$E272,m6_cv!$B:$B,$A272),0))</f>
        <v>384</v>
      </c>
      <c r="M272">
        <f>MAX(0,ROUND(SUMIFS(m7_cv!$E:$E,m7_cv!$A:$A,$E272,m7_cv!$B:$B,$A272),0))</f>
        <v>2218</v>
      </c>
      <c r="N272">
        <f>ROUND(_xlfn.XLOOKUP($D272,Charts!$W$86:$W$116,Charts!$X$86:$X$116)*$L272+_xlfn.XLOOKUP($D272,Charts!$W$86:$W$116,Charts!$Y$86:$Y$116)*$M272,0)</f>
        <v>384</v>
      </c>
      <c r="O272">
        <f>MAX(0,ROUND(SUMIFS(m8_cv!$E:$E,m8_cv!$A:$A,$E272,m8_cv!$B:$B,$A272),0))</f>
        <v>2334</v>
      </c>
    </row>
    <row r="273" spans="1:15" x14ac:dyDescent="0.25">
      <c r="A273" s="3">
        <f t="shared" si="24"/>
        <v>45929</v>
      </c>
      <c r="B273">
        <f t="shared" si="20"/>
        <v>2025</v>
      </c>
      <c r="C273">
        <f t="shared" si="21"/>
        <v>9</v>
      </c>
      <c r="D273">
        <f t="shared" si="22"/>
        <v>29</v>
      </c>
      <c r="E273" s="2">
        <f t="shared" si="23"/>
        <v>45900</v>
      </c>
      <c r="F273" s="12">
        <f>_xlfn.XLOOKUP($A273,m1_cv!$B:$B,m1_cv!$C:$C)</f>
        <v>8852</v>
      </c>
      <c r="G273">
        <f>MAX(0,ROUND(SUMIFS(m1_cv!$E:$E,m1_cv!$A:$A,$E273,m1_cv!$B:$B,$A273),0))</f>
        <v>2669</v>
      </c>
      <c r="H273">
        <f>MAX(0,ROUND(SUMIFS(m2_cv!$E:$E,m2_cv!$A:$A,$E273,m2_cv!$B:$B,$A273),0))</f>
        <v>5858</v>
      </c>
      <c r="I273">
        <f>MAX(0,ROUND(SUMIFS(m3_cv!$E:$E,m3_cv!$A:$A,$E273,m3_cv!$B:$B,$A273),0))</f>
        <v>6044</v>
      </c>
      <c r="J273">
        <f>MAX(0,ROUND(SUMIFS(m4_cv!$E:$E,m4_cv!$A:$A,$E273,m4_cv!$B:$B,$A273),0))</f>
        <v>6045</v>
      </c>
      <c r="K273">
        <f>MAX(0,ROUND(SUMIFS(m5_cv!$E:$E,m5_cv!$A:$A,$E273,m5_cv!$B:$B,$A273),0))</f>
        <v>7105</v>
      </c>
      <c r="L273">
        <f>MAX(0,ROUND(SUMIFS(m6_cv!$E:$E,m6_cv!$A:$A,$E273,m6_cv!$B:$B,$A273),0))</f>
        <v>8489</v>
      </c>
      <c r="M273">
        <f>MAX(0,ROUND(SUMIFS(m7_cv!$E:$E,m7_cv!$A:$A,$E273,m7_cv!$B:$B,$A273),0))</f>
        <v>7228</v>
      </c>
      <c r="N273">
        <f>ROUND(_xlfn.XLOOKUP($D273,Charts!$W$86:$W$116,Charts!$X$86:$X$116)*$L273+_xlfn.XLOOKUP($D273,Charts!$W$86:$W$116,Charts!$Y$86:$Y$116)*$M273,0)</f>
        <v>7228</v>
      </c>
      <c r="O273">
        <f>MAX(0,ROUND(SUMIFS(m8_cv!$E:$E,m8_cv!$A:$A,$E273,m8_cv!$B:$B,$A273),0))</f>
        <v>7303</v>
      </c>
    </row>
    <row r="274" spans="1:15" x14ac:dyDescent="0.25">
      <c r="A274" s="3">
        <f t="shared" si="24"/>
        <v>45930</v>
      </c>
      <c r="B274">
        <f t="shared" si="20"/>
        <v>2025</v>
      </c>
      <c r="C274">
        <f t="shared" si="21"/>
        <v>9</v>
      </c>
      <c r="D274">
        <f t="shared" si="22"/>
        <v>30</v>
      </c>
      <c r="E274" s="2">
        <f t="shared" si="23"/>
        <v>45900</v>
      </c>
      <c r="F274" s="12">
        <f>_xlfn.XLOOKUP($A274,m1_cv!$B:$B,m1_cv!$C:$C)</f>
        <v>14458</v>
      </c>
      <c r="G274">
        <f>MAX(0,ROUND(SUMIFS(m1_cv!$E:$E,m1_cv!$A:$A,$E274,m1_cv!$B:$B,$A274),0))</f>
        <v>3174</v>
      </c>
      <c r="H274">
        <f>MAX(0,ROUND(SUMIFS(m2_cv!$E:$E,m2_cv!$A:$A,$E274,m2_cv!$B:$B,$A274),0))</f>
        <v>6622</v>
      </c>
      <c r="I274">
        <f>MAX(0,ROUND(SUMIFS(m3_cv!$E:$E,m3_cv!$A:$A,$E274,m3_cv!$B:$B,$A274),0))</f>
        <v>6684</v>
      </c>
      <c r="J274">
        <f>MAX(0,ROUND(SUMIFS(m4_cv!$E:$E,m4_cv!$A:$A,$E274,m4_cv!$B:$B,$A274),0))</f>
        <v>6685</v>
      </c>
      <c r="K274">
        <f>MAX(0,ROUND(SUMIFS(m5_cv!$E:$E,m5_cv!$A:$A,$E274,m5_cv!$B:$B,$A274),0))</f>
        <v>9476</v>
      </c>
      <c r="L274">
        <f>MAX(0,ROUND(SUMIFS(m6_cv!$E:$E,m6_cv!$A:$A,$E274,m6_cv!$B:$B,$A274),0))</f>
        <v>16260</v>
      </c>
      <c r="M274">
        <f>MAX(0,ROUND(SUMIFS(m7_cv!$E:$E,m7_cv!$A:$A,$E274,m7_cv!$B:$B,$A274),0))</f>
        <v>9798</v>
      </c>
      <c r="N274">
        <f>ROUND(_xlfn.XLOOKUP($D274,Charts!$W$86:$W$116,Charts!$X$86:$X$116)*$L274+_xlfn.XLOOKUP($D274,Charts!$W$86:$W$116,Charts!$Y$86:$Y$116)*$M274,0)</f>
        <v>9798</v>
      </c>
      <c r="O274">
        <f>MAX(0,ROUND(SUMIFS(m8_cv!$E:$E,m8_cv!$A:$A,$E274,m8_cv!$B:$B,$A274),0))</f>
        <v>9869</v>
      </c>
    </row>
    <row r="275" spans="1:15" x14ac:dyDescent="0.25">
      <c r="A275" s="3">
        <f t="shared" si="24"/>
        <v>45931</v>
      </c>
      <c r="B275">
        <f t="shared" si="20"/>
        <v>2025</v>
      </c>
      <c r="C275">
        <f t="shared" si="21"/>
        <v>10</v>
      </c>
      <c r="D275">
        <f t="shared" si="22"/>
        <v>1</v>
      </c>
      <c r="E275" s="2">
        <f t="shared" si="23"/>
        <v>45930</v>
      </c>
      <c r="F275" s="12">
        <f>_xlfn.XLOOKUP($A275,m1_cv!$B:$B,m1_cv!$C:$C)</f>
        <v>639</v>
      </c>
      <c r="G275">
        <f>MAX(0,ROUND(SUMIFS(m1_cv!$E:$E,m1_cv!$A:$A,$E275,m1_cv!$B:$B,$A275),0))</f>
        <v>3564</v>
      </c>
      <c r="H275">
        <f>MAX(0,ROUND(SUMIFS(m2_cv!$E:$E,m2_cv!$A:$A,$E275,m2_cv!$B:$B,$A275),0))</f>
        <v>6005</v>
      </c>
      <c r="I275">
        <f>MAX(0,ROUND(SUMIFS(m3_cv!$E:$E,m3_cv!$A:$A,$E275,m3_cv!$B:$B,$A275),0))</f>
        <v>6224</v>
      </c>
      <c r="J275">
        <f>MAX(0,ROUND(SUMIFS(m4_cv!$E:$E,m4_cv!$A:$A,$E275,m4_cv!$B:$B,$A275),0))</f>
        <v>6220</v>
      </c>
      <c r="K275">
        <f>MAX(0,ROUND(SUMIFS(m5_cv!$E:$E,m5_cv!$A:$A,$E275,m5_cv!$B:$B,$A275),0))</f>
        <v>2629</v>
      </c>
      <c r="L275">
        <f>MAX(0,ROUND(SUMIFS(m6_cv!$E:$E,m6_cv!$A:$A,$E275,m6_cv!$B:$B,$A275),0))</f>
        <v>1034</v>
      </c>
      <c r="M275">
        <f>MAX(0,ROUND(SUMIFS(m7_cv!$E:$E,m7_cv!$A:$A,$E275,m7_cv!$B:$B,$A275),0))</f>
        <v>2534</v>
      </c>
      <c r="N275">
        <f>ROUND(_xlfn.XLOOKUP($D275,Charts!$W$86:$W$116,Charts!$X$86:$X$116)*$L275+_xlfn.XLOOKUP($D275,Charts!$W$86:$W$116,Charts!$Y$86:$Y$116)*$M275,0)</f>
        <v>1034</v>
      </c>
      <c r="O275">
        <f>MAX(0,ROUND(SUMIFS(m8_cv!$E:$E,m8_cv!$A:$A,$E275,m8_cv!$B:$B,$A275),0))</f>
        <v>2576</v>
      </c>
    </row>
    <row r="276" spans="1:15" x14ac:dyDescent="0.25">
      <c r="A276" s="3">
        <f t="shared" si="24"/>
        <v>45932</v>
      </c>
      <c r="B276">
        <f t="shared" si="20"/>
        <v>2025</v>
      </c>
      <c r="C276">
        <f t="shared" si="21"/>
        <v>10</v>
      </c>
      <c r="D276">
        <f t="shared" si="22"/>
        <v>2</v>
      </c>
      <c r="E276" s="2">
        <f t="shared" si="23"/>
        <v>45930</v>
      </c>
      <c r="F276" s="12">
        <f>_xlfn.XLOOKUP($A276,m1_cv!$B:$B,m1_cv!$C:$C)</f>
        <v>823</v>
      </c>
      <c r="G276">
        <f>MAX(0,ROUND(SUMIFS(m1_cv!$E:$E,m1_cv!$A:$A,$E276,m1_cv!$B:$B,$A276),0))</f>
        <v>3630</v>
      </c>
      <c r="H276">
        <f>MAX(0,ROUND(SUMIFS(m2_cv!$E:$E,m2_cv!$A:$A,$E276,m2_cv!$B:$B,$A276),0))</f>
        <v>4372</v>
      </c>
      <c r="I276">
        <f>MAX(0,ROUND(SUMIFS(m3_cv!$E:$E,m3_cv!$A:$A,$E276,m3_cv!$B:$B,$A276),0))</f>
        <v>4594</v>
      </c>
      <c r="J276">
        <f>MAX(0,ROUND(SUMIFS(m4_cv!$E:$E,m4_cv!$A:$A,$E276,m4_cv!$B:$B,$A276),0))</f>
        <v>4591</v>
      </c>
      <c r="K276">
        <f>MAX(0,ROUND(SUMIFS(m5_cv!$E:$E,m5_cv!$A:$A,$E276,m5_cv!$B:$B,$A276),0))</f>
        <v>1973</v>
      </c>
      <c r="L276">
        <f>MAX(0,ROUND(SUMIFS(m6_cv!$E:$E,m6_cv!$A:$A,$E276,m6_cv!$B:$B,$A276),0))</f>
        <v>666</v>
      </c>
      <c r="M276">
        <f>MAX(0,ROUND(SUMIFS(m7_cv!$E:$E,m7_cv!$A:$A,$E276,m7_cv!$B:$B,$A276),0))</f>
        <v>1624</v>
      </c>
      <c r="N276">
        <f>ROUND(_xlfn.XLOOKUP($D276,Charts!$W$86:$W$116,Charts!$X$86:$X$116)*$L276+_xlfn.XLOOKUP($D276,Charts!$W$86:$W$116,Charts!$Y$86:$Y$116)*$M276,0)</f>
        <v>666</v>
      </c>
      <c r="O276">
        <f>MAX(0,ROUND(SUMIFS(m8_cv!$E:$E,m8_cv!$A:$A,$E276,m8_cv!$B:$B,$A276),0))</f>
        <v>1681</v>
      </c>
    </row>
    <row r="277" spans="1:15" x14ac:dyDescent="0.25">
      <c r="A277" s="3">
        <f t="shared" si="24"/>
        <v>45933</v>
      </c>
      <c r="B277">
        <f t="shared" si="20"/>
        <v>2025</v>
      </c>
      <c r="C277">
        <f t="shared" si="21"/>
        <v>10</v>
      </c>
      <c r="D277">
        <f t="shared" si="22"/>
        <v>3</v>
      </c>
      <c r="E277" s="2">
        <f t="shared" si="23"/>
        <v>45930</v>
      </c>
      <c r="F277" s="12">
        <f>_xlfn.XLOOKUP($A277,m1_cv!$B:$B,m1_cv!$C:$C)</f>
        <v>996</v>
      </c>
      <c r="G277">
        <f>MAX(0,ROUND(SUMIFS(m1_cv!$E:$E,m1_cv!$A:$A,$E277,m1_cv!$B:$B,$A277),0))</f>
        <v>3593</v>
      </c>
      <c r="H277">
        <f>MAX(0,ROUND(SUMIFS(m2_cv!$E:$E,m2_cv!$A:$A,$E277,m2_cv!$B:$B,$A277),0))</f>
        <v>2565</v>
      </c>
      <c r="I277">
        <f>MAX(0,ROUND(SUMIFS(m3_cv!$E:$E,m3_cv!$A:$A,$E277,m3_cv!$B:$B,$A277),0))</f>
        <v>2712</v>
      </c>
      <c r="J277">
        <f>MAX(0,ROUND(SUMIFS(m4_cv!$E:$E,m4_cv!$A:$A,$E277,m4_cv!$B:$B,$A277),0))</f>
        <v>2710</v>
      </c>
      <c r="K277">
        <f>MAX(0,ROUND(SUMIFS(m5_cv!$E:$E,m5_cv!$A:$A,$E277,m5_cv!$B:$B,$A277),0))</f>
        <v>1570</v>
      </c>
      <c r="L277">
        <f>MAX(0,ROUND(SUMIFS(m6_cv!$E:$E,m6_cv!$A:$A,$E277,m6_cv!$B:$B,$A277),0))</f>
        <v>889</v>
      </c>
      <c r="M277">
        <f>MAX(0,ROUND(SUMIFS(m7_cv!$E:$E,m7_cv!$A:$A,$E277,m7_cv!$B:$B,$A277),0))</f>
        <v>1584</v>
      </c>
      <c r="N277">
        <f>ROUND(_xlfn.XLOOKUP($D277,Charts!$W$86:$W$116,Charts!$X$86:$X$116)*$L277+_xlfn.XLOOKUP($D277,Charts!$W$86:$W$116,Charts!$Y$86:$Y$116)*$M277,0)</f>
        <v>889</v>
      </c>
      <c r="O277">
        <f>MAX(0,ROUND(SUMIFS(m8_cv!$E:$E,m8_cv!$A:$A,$E277,m8_cv!$B:$B,$A277),0))</f>
        <v>1717</v>
      </c>
    </row>
    <row r="278" spans="1:15" x14ac:dyDescent="0.25">
      <c r="A278" s="3">
        <f t="shared" si="24"/>
        <v>45934</v>
      </c>
      <c r="B278">
        <f t="shared" si="20"/>
        <v>2025</v>
      </c>
      <c r="C278">
        <f t="shared" si="21"/>
        <v>10</v>
      </c>
      <c r="D278">
        <f t="shared" si="22"/>
        <v>4</v>
      </c>
      <c r="E278" s="2">
        <f t="shared" si="23"/>
        <v>45930</v>
      </c>
      <c r="F278" s="12">
        <f>_xlfn.XLOOKUP($A278,m1_cv!$B:$B,m1_cv!$C:$C)</f>
        <v>141</v>
      </c>
      <c r="G278">
        <f>MAX(0,ROUND(SUMIFS(m1_cv!$E:$E,m1_cv!$A:$A,$E278,m1_cv!$B:$B,$A278),0))</f>
        <v>1374</v>
      </c>
      <c r="H278">
        <f>MAX(0,ROUND(SUMIFS(m2_cv!$E:$E,m2_cv!$A:$A,$E278,m2_cv!$B:$B,$A278),0))</f>
        <v>0</v>
      </c>
      <c r="I278">
        <f>MAX(0,ROUND(SUMIFS(m3_cv!$E:$E,m3_cv!$A:$A,$E278,m3_cv!$B:$B,$A278),0))</f>
        <v>0</v>
      </c>
      <c r="J278">
        <f>MAX(0,ROUND(SUMIFS(m4_cv!$E:$E,m4_cv!$A:$A,$E278,m4_cv!$B:$B,$A278),0))</f>
        <v>0</v>
      </c>
      <c r="K278">
        <f>MAX(0,ROUND(SUMIFS(m5_cv!$E:$E,m5_cv!$A:$A,$E278,m5_cv!$B:$B,$A278),0))</f>
        <v>0</v>
      </c>
      <c r="L278">
        <f>MAX(0,ROUND(SUMIFS(m6_cv!$E:$E,m6_cv!$A:$A,$E278,m6_cv!$B:$B,$A278),0))</f>
        <v>133</v>
      </c>
      <c r="M278">
        <f>MAX(0,ROUND(SUMIFS(m7_cv!$E:$E,m7_cv!$A:$A,$E278,m7_cv!$B:$B,$A278),0))</f>
        <v>0</v>
      </c>
      <c r="N278">
        <f>ROUND(_xlfn.XLOOKUP($D278,Charts!$W$86:$W$116,Charts!$X$86:$X$116)*$L278+_xlfn.XLOOKUP($D278,Charts!$W$86:$W$116,Charts!$Y$86:$Y$116)*$M278,0)</f>
        <v>133</v>
      </c>
      <c r="O278">
        <f>MAX(0,ROUND(SUMIFS(m8_cv!$E:$E,m8_cv!$A:$A,$E278,m8_cv!$B:$B,$A278),0))</f>
        <v>0</v>
      </c>
    </row>
    <row r="279" spans="1:15" x14ac:dyDescent="0.25">
      <c r="A279" s="3">
        <f t="shared" si="24"/>
        <v>45935</v>
      </c>
      <c r="B279">
        <f t="shared" si="20"/>
        <v>2025</v>
      </c>
      <c r="C279">
        <f t="shared" si="21"/>
        <v>10</v>
      </c>
      <c r="D279">
        <f t="shared" si="22"/>
        <v>5</v>
      </c>
      <c r="E279" s="2">
        <f t="shared" si="23"/>
        <v>45930</v>
      </c>
      <c r="F279" s="12">
        <f>_xlfn.XLOOKUP($A279,m1_cv!$B:$B,m1_cv!$C:$C)</f>
        <v>38</v>
      </c>
      <c r="G279">
        <f>MAX(0,ROUND(SUMIFS(m1_cv!$E:$E,m1_cv!$A:$A,$E279,m1_cv!$B:$B,$A279),0))</f>
        <v>815</v>
      </c>
      <c r="H279">
        <f>MAX(0,ROUND(SUMIFS(m2_cv!$E:$E,m2_cv!$A:$A,$E279,m2_cv!$B:$B,$A279),0))</f>
        <v>0</v>
      </c>
      <c r="I279">
        <f>MAX(0,ROUND(SUMIFS(m3_cv!$E:$E,m3_cv!$A:$A,$E279,m3_cv!$B:$B,$A279),0))</f>
        <v>0</v>
      </c>
      <c r="J279">
        <f>MAX(0,ROUND(SUMIFS(m4_cv!$E:$E,m4_cv!$A:$A,$E279,m4_cv!$B:$B,$A279),0))</f>
        <v>0</v>
      </c>
      <c r="K279">
        <f>MAX(0,ROUND(SUMIFS(m5_cv!$E:$E,m5_cv!$A:$A,$E279,m5_cv!$B:$B,$A279),0))</f>
        <v>0</v>
      </c>
      <c r="L279">
        <f>MAX(0,ROUND(SUMIFS(m6_cv!$E:$E,m6_cv!$A:$A,$E279,m6_cv!$B:$B,$A279),0))</f>
        <v>49</v>
      </c>
      <c r="M279">
        <f>MAX(0,ROUND(SUMIFS(m7_cv!$E:$E,m7_cv!$A:$A,$E279,m7_cv!$B:$B,$A279),0))</f>
        <v>0</v>
      </c>
      <c r="N279">
        <f>ROUND(_xlfn.XLOOKUP($D279,Charts!$W$86:$W$116,Charts!$X$86:$X$116)*$L279+_xlfn.XLOOKUP($D279,Charts!$W$86:$W$116,Charts!$Y$86:$Y$116)*$M279,0)</f>
        <v>39</v>
      </c>
      <c r="O279">
        <f>MAX(0,ROUND(SUMIFS(m8_cv!$E:$E,m8_cv!$A:$A,$E279,m8_cv!$B:$B,$A279),0))</f>
        <v>0</v>
      </c>
    </row>
    <row r="280" spans="1:15" x14ac:dyDescent="0.25">
      <c r="A280" s="3">
        <f t="shared" si="24"/>
        <v>45936</v>
      </c>
      <c r="B280">
        <f t="shared" si="20"/>
        <v>2025</v>
      </c>
      <c r="C280">
        <f t="shared" si="21"/>
        <v>10</v>
      </c>
      <c r="D280">
        <f t="shared" si="22"/>
        <v>6</v>
      </c>
      <c r="E280" s="2">
        <f t="shared" si="23"/>
        <v>45930</v>
      </c>
      <c r="F280" s="12">
        <f>_xlfn.XLOOKUP($A280,m1_cv!$B:$B,m1_cv!$C:$C)</f>
        <v>1044</v>
      </c>
      <c r="G280">
        <f>MAX(0,ROUND(SUMIFS(m1_cv!$E:$E,m1_cv!$A:$A,$E280,m1_cv!$B:$B,$A280),0))</f>
        <v>3130</v>
      </c>
      <c r="H280">
        <f>MAX(0,ROUND(SUMIFS(m2_cv!$E:$E,m2_cv!$A:$A,$E280,m2_cv!$B:$B,$A280),0))</f>
        <v>1229</v>
      </c>
      <c r="I280">
        <f>MAX(0,ROUND(SUMIFS(m3_cv!$E:$E,m3_cv!$A:$A,$E280,m3_cv!$B:$B,$A280),0))</f>
        <v>1519</v>
      </c>
      <c r="J280">
        <f>MAX(0,ROUND(SUMIFS(m4_cv!$E:$E,m4_cv!$A:$A,$E280,m4_cv!$B:$B,$A280),0))</f>
        <v>1516</v>
      </c>
      <c r="K280">
        <f>MAX(0,ROUND(SUMIFS(m5_cv!$E:$E,m5_cv!$A:$A,$E280,m5_cv!$B:$B,$A280),0))</f>
        <v>1552</v>
      </c>
      <c r="L280">
        <f>MAX(0,ROUND(SUMIFS(m6_cv!$E:$E,m6_cv!$A:$A,$E280,m6_cv!$B:$B,$A280),0))</f>
        <v>676</v>
      </c>
      <c r="M280">
        <f>MAX(0,ROUND(SUMIFS(m7_cv!$E:$E,m7_cv!$A:$A,$E280,m7_cv!$B:$B,$A280),0))</f>
        <v>1464</v>
      </c>
      <c r="N280">
        <f>ROUND(_xlfn.XLOOKUP($D280,Charts!$W$86:$W$116,Charts!$X$86:$X$116)*$L280+_xlfn.XLOOKUP($D280,Charts!$W$86:$W$116,Charts!$Y$86:$Y$116)*$M280,0)</f>
        <v>1070</v>
      </c>
      <c r="O280">
        <f>MAX(0,ROUND(SUMIFS(m8_cv!$E:$E,m8_cv!$A:$A,$E280,m8_cv!$B:$B,$A280),0))</f>
        <v>1507</v>
      </c>
    </row>
    <row r="281" spans="1:15" x14ac:dyDescent="0.25">
      <c r="A281" s="3">
        <f t="shared" si="24"/>
        <v>45937</v>
      </c>
      <c r="B281">
        <f t="shared" si="20"/>
        <v>2025</v>
      </c>
      <c r="C281">
        <f t="shared" si="21"/>
        <v>10</v>
      </c>
      <c r="D281">
        <f t="shared" si="22"/>
        <v>7</v>
      </c>
      <c r="E281" s="2">
        <f t="shared" si="23"/>
        <v>45930</v>
      </c>
      <c r="F281" s="12">
        <f>_xlfn.XLOOKUP($A281,m1_cv!$B:$B,m1_cv!$C:$C)</f>
        <v>1351</v>
      </c>
      <c r="G281">
        <f>MAX(0,ROUND(SUMIFS(m1_cv!$E:$E,m1_cv!$A:$A,$E281,m1_cv!$B:$B,$A281),0))</f>
        <v>3633</v>
      </c>
      <c r="H281">
        <f>MAX(0,ROUND(SUMIFS(m2_cv!$E:$E,m2_cv!$A:$A,$E281,m2_cv!$B:$B,$A281),0))</f>
        <v>2107</v>
      </c>
      <c r="I281">
        <f>MAX(0,ROUND(SUMIFS(m3_cv!$E:$E,m3_cv!$A:$A,$E281,m3_cv!$B:$B,$A281),0))</f>
        <v>2153</v>
      </c>
      <c r="J281">
        <f>MAX(0,ROUND(SUMIFS(m4_cv!$E:$E,m4_cv!$A:$A,$E281,m4_cv!$B:$B,$A281),0))</f>
        <v>2149</v>
      </c>
      <c r="K281">
        <f>MAX(0,ROUND(SUMIFS(m5_cv!$E:$E,m5_cv!$A:$A,$E281,m5_cv!$B:$B,$A281),0))</f>
        <v>1863</v>
      </c>
      <c r="L281">
        <f>MAX(0,ROUND(SUMIFS(m6_cv!$E:$E,m6_cv!$A:$A,$E281,m6_cv!$B:$B,$A281),0))</f>
        <v>923</v>
      </c>
      <c r="M281">
        <f>MAX(0,ROUND(SUMIFS(m7_cv!$E:$E,m7_cv!$A:$A,$E281,m7_cv!$B:$B,$A281),0))</f>
        <v>1793</v>
      </c>
      <c r="N281">
        <f>ROUND(_xlfn.XLOOKUP($D281,Charts!$W$86:$W$116,Charts!$X$86:$X$116)*$L281+_xlfn.XLOOKUP($D281,Charts!$W$86:$W$116,Charts!$Y$86:$Y$116)*$M281,0)</f>
        <v>1358</v>
      </c>
      <c r="O281">
        <f>MAX(0,ROUND(SUMIFS(m8_cv!$E:$E,m8_cv!$A:$A,$E281,m8_cv!$B:$B,$A281),0))</f>
        <v>1842</v>
      </c>
    </row>
    <row r="282" spans="1:15" x14ac:dyDescent="0.25">
      <c r="A282" s="3">
        <f t="shared" si="24"/>
        <v>45938</v>
      </c>
      <c r="B282">
        <f t="shared" si="20"/>
        <v>2025</v>
      </c>
      <c r="C282">
        <f t="shared" si="21"/>
        <v>10</v>
      </c>
      <c r="D282">
        <f t="shared" si="22"/>
        <v>8</v>
      </c>
      <c r="E282" s="2">
        <f t="shared" si="23"/>
        <v>45930</v>
      </c>
      <c r="F282" s="12">
        <f>_xlfn.XLOOKUP($A282,m1_cv!$B:$B,m1_cv!$C:$C)</f>
        <v>1654</v>
      </c>
      <c r="G282">
        <f>MAX(0,ROUND(SUMIFS(m1_cv!$E:$E,m1_cv!$A:$A,$E282,m1_cv!$B:$B,$A282),0))</f>
        <v>3644</v>
      </c>
      <c r="H282">
        <f>MAX(0,ROUND(SUMIFS(m2_cv!$E:$E,m2_cv!$A:$A,$E282,m2_cv!$B:$B,$A282),0))</f>
        <v>2247</v>
      </c>
      <c r="I282">
        <f>MAX(0,ROUND(SUMIFS(m3_cv!$E:$E,m3_cv!$A:$A,$E282,m3_cv!$B:$B,$A282),0))</f>
        <v>2279</v>
      </c>
      <c r="J282">
        <f>MAX(0,ROUND(SUMIFS(m4_cv!$E:$E,m4_cv!$A:$A,$E282,m4_cv!$B:$B,$A282),0))</f>
        <v>2275</v>
      </c>
      <c r="K282">
        <f>MAX(0,ROUND(SUMIFS(m5_cv!$E:$E,m5_cv!$A:$A,$E282,m5_cv!$B:$B,$A282),0))</f>
        <v>2472</v>
      </c>
      <c r="L282">
        <f>MAX(0,ROUND(SUMIFS(m6_cv!$E:$E,m6_cv!$A:$A,$E282,m6_cv!$B:$B,$A282),0))</f>
        <v>1960</v>
      </c>
      <c r="M282">
        <f>MAX(0,ROUND(SUMIFS(m7_cv!$E:$E,m7_cv!$A:$A,$E282,m7_cv!$B:$B,$A282),0))</f>
        <v>2450</v>
      </c>
      <c r="N282">
        <f>ROUND(_xlfn.XLOOKUP($D282,Charts!$W$86:$W$116,Charts!$X$86:$X$116)*$L282+_xlfn.XLOOKUP($D282,Charts!$W$86:$W$116,Charts!$Y$86:$Y$116)*$M282,0)</f>
        <v>2205</v>
      </c>
      <c r="O282">
        <f>MAX(0,ROUND(SUMIFS(m8_cv!$E:$E,m8_cv!$A:$A,$E282,m8_cv!$B:$B,$A282),0))</f>
        <v>3025</v>
      </c>
    </row>
    <row r="283" spans="1:15" x14ac:dyDescent="0.25">
      <c r="A283" s="3">
        <f t="shared" si="24"/>
        <v>45939</v>
      </c>
      <c r="B283">
        <f t="shared" si="20"/>
        <v>2025</v>
      </c>
      <c r="C283">
        <f t="shared" si="21"/>
        <v>10</v>
      </c>
      <c r="D283">
        <f t="shared" si="22"/>
        <v>9</v>
      </c>
      <c r="E283" s="2">
        <f t="shared" si="23"/>
        <v>45930</v>
      </c>
      <c r="F283" s="12">
        <f>_xlfn.XLOOKUP($A283,m1_cv!$B:$B,m1_cv!$C:$C)</f>
        <v>2108</v>
      </c>
      <c r="G283">
        <f>MAX(0,ROUND(SUMIFS(m1_cv!$E:$E,m1_cv!$A:$A,$E283,m1_cv!$B:$B,$A283),0))</f>
        <v>3670</v>
      </c>
      <c r="H283">
        <f>MAX(0,ROUND(SUMIFS(m2_cv!$E:$E,m2_cv!$A:$A,$E283,m2_cv!$B:$B,$A283),0))</f>
        <v>2187</v>
      </c>
      <c r="I283">
        <f>MAX(0,ROUND(SUMIFS(m3_cv!$E:$E,m3_cv!$A:$A,$E283,m3_cv!$B:$B,$A283),0))</f>
        <v>2152</v>
      </c>
      <c r="J283">
        <f>MAX(0,ROUND(SUMIFS(m4_cv!$E:$E,m4_cv!$A:$A,$E283,m4_cv!$B:$B,$A283),0))</f>
        <v>2148</v>
      </c>
      <c r="K283">
        <f>MAX(0,ROUND(SUMIFS(m5_cv!$E:$E,m5_cv!$A:$A,$E283,m5_cv!$B:$B,$A283),0))</f>
        <v>2308</v>
      </c>
      <c r="L283">
        <f>MAX(0,ROUND(SUMIFS(m6_cv!$E:$E,m6_cv!$A:$A,$E283,m6_cv!$B:$B,$A283),0))</f>
        <v>1925</v>
      </c>
      <c r="M283">
        <f>MAX(0,ROUND(SUMIFS(m7_cv!$E:$E,m7_cv!$A:$A,$E283,m7_cv!$B:$B,$A283),0))</f>
        <v>2363</v>
      </c>
      <c r="N283">
        <f>ROUND(_xlfn.XLOOKUP($D283,Charts!$W$86:$W$116,Charts!$X$86:$X$116)*$L283+_xlfn.XLOOKUP($D283,Charts!$W$86:$W$116,Charts!$Y$86:$Y$116)*$M283,0)</f>
        <v>2144</v>
      </c>
      <c r="O283">
        <f>MAX(0,ROUND(SUMIFS(m8_cv!$E:$E,m8_cv!$A:$A,$E283,m8_cv!$B:$B,$A283),0))</f>
        <v>2675</v>
      </c>
    </row>
    <row r="284" spans="1:15" x14ac:dyDescent="0.25">
      <c r="A284" s="3">
        <f t="shared" si="24"/>
        <v>45940</v>
      </c>
      <c r="B284">
        <f t="shared" si="20"/>
        <v>2025</v>
      </c>
      <c r="C284">
        <f t="shared" si="21"/>
        <v>10</v>
      </c>
      <c r="D284">
        <f t="shared" si="22"/>
        <v>10</v>
      </c>
      <c r="E284" s="2">
        <f t="shared" si="23"/>
        <v>45930</v>
      </c>
      <c r="F284" s="12">
        <f>_xlfn.XLOOKUP($A284,m1_cv!$B:$B,m1_cv!$C:$C)</f>
        <v>2215</v>
      </c>
      <c r="G284">
        <f>MAX(0,ROUND(SUMIFS(m1_cv!$E:$E,m1_cv!$A:$A,$E284,m1_cv!$B:$B,$A284),0))</f>
        <v>3594</v>
      </c>
      <c r="H284">
        <f>MAX(0,ROUND(SUMIFS(m2_cv!$E:$E,m2_cv!$A:$A,$E284,m2_cv!$B:$B,$A284),0))</f>
        <v>2091</v>
      </c>
      <c r="I284">
        <f>MAX(0,ROUND(SUMIFS(m3_cv!$E:$E,m3_cv!$A:$A,$E284,m3_cv!$B:$B,$A284),0))</f>
        <v>2004</v>
      </c>
      <c r="J284">
        <f>MAX(0,ROUND(SUMIFS(m4_cv!$E:$E,m4_cv!$A:$A,$E284,m4_cv!$B:$B,$A284),0))</f>
        <v>2000</v>
      </c>
      <c r="K284">
        <f>MAX(0,ROUND(SUMIFS(m5_cv!$E:$E,m5_cv!$A:$A,$E284,m5_cv!$B:$B,$A284),0))</f>
        <v>2190</v>
      </c>
      <c r="L284">
        <f>MAX(0,ROUND(SUMIFS(m6_cv!$E:$E,m6_cv!$A:$A,$E284,m6_cv!$B:$B,$A284),0))</f>
        <v>1698</v>
      </c>
      <c r="M284">
        <f>MAX(0,ROUND(SUMIFS(m7_cv!$E:$E,m7_cv!$A:$A,$E284,m7_cv!$B:$B,$A284),0))</f>
        <v>2186</v>
      </c>
      <c r="N284">
        <f>ROUND(_xlfn.XLOOKUP($D284,Charts!$W$86:$W$116,Charts!$X$86:$X$116)*$L284+_xlfn.XLOOKUP($D284,Charts!$W$86:$W$116,Charts!$Y$86:$Y$116)*$M284,0)</f>
        <v>1942</v>
      </c>
      <c r="O284">
        <f>MAX(0,ROUND(SUMIFS(m8_cv!$E:$E,m8_cv!$A:$A,$E284,m8_cv!$B:$B,$A284),0))</f>
        <v>2283</v>
      </c>
    </row>
    <row r="285" spans="1:15" x14ac:dyDescent="0.25">
      <c r="A285" s="3">
        <f t="shared" si="24"/>
        <v>45941</v>
      </c>
      <c r="B285">
        <f t="shared" si="20"/>
        <v>2025</v>
      </c>
      <c r="C285">
        <f t="shared" si="21"/>
        <v>10</v>
      </c>
      <c r="D285">
        <f t="shared" si="22"/>
        <v>11</v>
      </c>
      <c r="E285" s="2">
        <f t="shared" si="23"/>
        <v>45930</v>
      </c>
      <c r="F285" s="12">
        <f>_xlfn.XLOOKUP($A285,m1_cv!$B:$B,m1_cv!$C:$C)</f>
        <v>380</v>
      </c>
      <c r="G285">
        <f>MAX(0,ROUND(SUMIFS(m1_cv!$E:$E,m1_cv!$A:$A,$E285,m1_cv!$B:$B,$A285),0))</f>
        <v>1337</v>
      </c>
      <c r="H285">
        <f>MAX(0,ROUND(SUMIFS(m2_cv!$E:$E,m2_cv!$A:$A,$E285,m2_cv!$B:$B,$A285),0))</f>
        <v>24</v>
      </c>
      <c r="I285">
        <f>MAX(0,ROUND(SUMIFS(m3_cv!$E:$E,m3_cv!$A:$A,$E285,m3_cv!$B:$B,$A285),0))</f>
        <v>0</v>
      </c>
      <c r="J285">
        <f>MAX(0,ROUND(SUMIFS(m4_cv!$E:$E,m4_cv!$A:$A,$E285,m4_cv!$B:$B,$A285),0))</f>
        <v>0</v>
      </c>
      <c r="K285">
        <f>MAX(0,ROUND(SUMIFS(m5_cv!$E:$E,m5_cv!$A:$A,$E285,m5_cv!$B:$B,$A285),0))</f>
        <v>25</v>
      </c>
      <c r="L285">
        <f>MAX(0,ROUND(SUMIFS(m6_cv!$E:$E,m6_cv!$A:$A,$E285,m6_cv!$B:$B,$A285),0))</f>
        <v>285</v>
      </c>
      <c r="M285">
        <f>MAX(0,ROUND(SUMIFS(m7_cv!$E:$E,m7_cv!$A:$A,$E285,m7_cv!$B:$B,$A285),0))</f>
        <v>0</v>
      </c>
      <c r="N285">
        <f>ROUND(_xlfn.XLOOKUP($D285,Charts!$W$86:$W$116,Charts!$X$86:$X$116)*$L285+_xlfn.XLOOKUP($D285,Charts!$W$86:$W$116,Charts!$Y$86:$Y$116)*$M285,0)</f>
        <v>86</v>
      </c>
      <c r="O285">
        <f>MAX(0,ROUND(SUMIFS(m8_cv!$E:$E,m8_cv!$A:$A,$E285,m8_cv!$B:$B,$A285),0))</f>
        <v>30</v>
      </c>
    </row>
    <row r="286" spans="1:15" x14ac:dyDescent="0.25">
      <c r="A286" s="3">
        <f t="shared" si="24"/>
        <v>45942</v>
      </c>
      <c r="B286">
        <f t="shared" si="20"/>
        <v>2025</v>
      </c>
      <c r="C286">
        <f t="shared" si="21"/>
        <v>10</v>
      </c>
      <c r="D286">
        <f t="shared" si="22"/>
        <v>12</v>
      </c>
      <c r="E286" s="2">
        <f t="shared" si="23"/>
        <v>45930</v>
      </c>
      <c r="F286" s="12">
        <f>_xlfn.XLOOKUP($A286,m1_cv!$B:$B,m1_cv!$C:$C)</f>
        <v>120</v>
      </c>
      <c r="G286">
        <f>MAX(0,ROUND(SUMIFS(m1_cv!$E:$E,m1_cv!$A:$A,$E286,m1_cv!$B:$B,$A286),0))</f>
        <v>743</v>
      </c>
      <c r="H286">
        <f>MAX(0,ROUND(SUMIFS(m2_cv!$E:$E,m2_cv!$A:$A,$E286,m2_cv!$B:$B,$A286),0))</f>
        <v>0</v>
      </c>
      <c r="I286">
        <f>MAX(0,ROUND(SUMIFS(m3_cv!$E:$E,m3_cv!$A:$A,$E286,m3_cv!$B:$B,$A286),0))</f>
        <v>0</v>
      </c>
      <c r="J286">
        <f>MAX(0,ROUND(SUMIFS(m4_cv!$E:$E,m4_cv!$A:$A,$E286,m4_cv!$B:$B,$A286),0))</f>
        <v>0</v>
      </c>
      <c r="K286">
        <f>MAX(0,ROUND(SUMIFS(m5_cv!$E:$E,m5_cv!$A:$A,$E286,m5_cv!$B:$B,$A286),0))</f>
        <v>0</v>
      </c>
      <c r="L286">
        <f>MAX(0,ROUND(SUMIFS(m6_cv!$E:$E,m6_cv!$A:$A,$E286,m6_cv!$B:$B,$A286),0))</f>
        <v>114</v>
      </c>
      <c r="M286">
        <f>MAX(0,ROUND(SUMIFS(m7_cv!$E:$E,m7_cv!$A:$A,$E286,m7_cv!$B:$B,$A286),0))</f>
        <v>0</v>
      </c>
      <c r="N286">
        <f>ROUND(_xlfn.XLOOKUP($D286,Charts!$W$86:$W$116,Charts!$X$86:$X$116)*$L286+_xlfn.XLOOKUP($D286,Charts!$W$86:$W$116,Charts!$Y$86:$Y$116)*$M286,0)</f>
        <v>34</v>
      </c>
      <c r="O286">
        <f>MAX(0,ROUND(SUMIFS(m8_cv!$E:$E,m8_cv!$A:$A,$E286,m8_cv!$B:$B,$A286),0))</f>
        <v>0</v>
      </c>
    </row>
    <row r="287" spans="1:15" x14ac:dyDescent="0.25">
      <c r="A287" s="3">
        <f t="shared" si="24"/>
        <v>45943</v>
      </c>
      <c r="B287">
        <f t="shared" si="20"/>
        <v>2025</v>
      </c>
      <c r="C287">
        <f t="shared" si="21"/>
        <v>10</v>
      </c>
      <c r="D287">
        <f t="shared" si="22"/>
        <v>13</v>
      </c>
      <c r="E287" s="2">
        <f t="shared" si="23"/>
        <v>45930</v>
      </c>
      <c r="F287" s="12">
        <f>_xlfn.XLOOKUP($A287,m1_cv!$B:$B,m1_cv!$C:$C)</f>
        <v>2406</v>
      </c>
      <c r="G287">
        <f>MAX(0,ROUND(SUMIFS(m1_cv!$E:$E,m1_cv!$A:$A,$E287,m1_cv!$B:$B,$A287),0))</f>
        <v>3027</v>
      </c>
      <c r="H287">
        <f>MAX(0,ROUND(SUMIFS(m2_cv!$E:$E,m2_cv!$A:$A,$E287,m2_cv!$B:$B,$A287),0))</f>
        <v>2208</v>
      </c>
      <c r="I287">
        <f>MAX(0,ROUND(SUMIFS(m3_cv!$E:$E,m3_cv!$A:$A,$E287,m3_cv!$B:$B,$A287),0))</f>
        <v>2505</v>
      </c>
      <c r="J287">
        <f>MAX(0,ROUND(SUMIFS(m4_cv!$E:$E,m4_cv!$A:$A,$E287,m4_cv!$B:$B,$A287),0))</f>
        <v>2501</v>
      </c>
      <c r="K287">
        <f>MAX(0,ROUND(SUMIFS(m5_cv!$E:$E,m5_cv!$A:$A,$E287,m5_cv!$B:$B,$A287),0))</f>
        <v>2245</v>
      </c>
      <c r="L287">
        <f>MAX(0,ROUND(SUMIFS(m6_cv!$E:$E,m6_cv!$A:$A,$E287,m6_cv!$B:$B,$A287),0))</f>
        <v>1621</v>
      </c>
      <c r="M287">
        <f>MAX(0,ROUND(SUMIFS(m7_cv!$E:$E,m7_cv!$A:$A,$E287,m7_cv!$B:$B,$A287),0))</f>
        <v>2256</v>
      </c>
      <c r="N287">
        <f>ROUND(_xlfn.XLOOKUP($D287,Charts!$W$86:$W$116,Charts!$X$86:$X$116)*$L287+_xlfn.XLOOKUP($D287,Charts!$W$86:$W$116,Charts!$Y$86:$Y$116)*$M287,0)</f>
        <v>2066</v>
      </c>
      <c r="O287">
        <f>MAX(0,ROUND(SUMIFS(m8_cv!$E:$E,m8_cv!$A:$A,$E287,m8_cv!$B:$B,$A287),0))</f>
        <v>2304</v>
      </c>
    </row>
    <row r="288" spans="1:15" x14ac:dyDescent="0.25">
      <c r="A288" s="3">
        <f t="shared" si="24"/>
        <v>45944</v>
      </c>
      <c r="B288">
        <f t="shared" si="20"/>
        <v>2025</v>
      </c>
      <c r="C288">
        <f t="shared" si="21"/>
        <v>10</v>
      </c>
      <c r="D288">
        <f t="shared" si="22"/>
        <v>14</v>
      </c>
      <c r="E288" s="2">
        <f t="shared" si="23"/>
        <v>45930</v>
      </c>
      <c r="F288" s="12">
        <f>_xlfn.XLOOKUP($A288,m1_cv!$B:$B,m1_cv!$C:$C)</f>
        <v>2958</v>
      </c>
      <c r="G288">
        <f>MAX(0,ROUND(SUMIFS(m1_cv!$E:$E,m1_cv!$A:$A,$E288,m1_cv!$B:$B,$A288),0))</f>
        <v>3501</v>
      </c>
      <c r="H288">
        <f>MAX(0,ROUND(SUMIFS(m2_cv!$E:$E,m2_cv!$A:$A,$E288,m2_cv!$B:$B,$A288),0))</f>
        <v>2676</v>
      </c>
      <c r="I288">
        <f>MAX(0,ROUND(SUMIFS(m3_cv!$E:$E,m3_cv!$A:$A,$E288,m3_cv!$B:$B,$A288),0))</f>
        <v>2721</v>
      </c>
      <c r="J288">
        <f>MAX(0,ROUND(SUMIFS(m4_cv!$E:$E,m4_cv!$A:$A,$E288,m4_cv!$B:$B,$A288),0))</f>
        <v>2717</v>
      </c>
      <c r="K288">
        <f>MAX(0,ROUND(SUMIFS(m5_cv!$E:$E,m5_cv!$A:$A,$E288,m5_cv!$B:$B,$A288),0))</f>
        <v>2561</v>
      </c>
      <c r="L288">
        <f>MAX(0,ROUND(SUMIFS(m6_cv!$E:$E,m6_cv!$A:$A,$E288,m6_cv!$B:$B,$A288),0))</f>
        <v>2229</v>
      </c>
      <c r="M288">
        <f>MAX(0,ROUND(SUMIFS(m7_cv!$E:$E,m7_cv!$A:$A,$E288,m7_cv!$B:$B,$A288),0))</f>
        <v>2572</v>
      </c>
      <c r="N288">
        <f>ROUND(_xlfn.XLOOKUP($D288,Charts!$W$86:$W$116,Charts!$X$86:$X$116)*$L288+_xlfn.XLOOKUP($D288,Charts!$W$86:$W$116,Charts!$Y$86:$Y$116)*$M288,0)</f>
        <v>2572</v>
      </c>
      <c r="O288">
        <f>MAX(0,ROUND(SUMIFS(m8_cv!$E:$E,m8_cv!$A:$A,$E288,m8_cv!$B:$B,$A288),0))</f>
        <v>2625</v>
      </c>
    </row>
    <row r="289" spans="1:15" x14ac:dyDescent="0.25">
      <c r="A289" s="3">
        <f t="shared" si="24"/>
        <v>45945</v>
      </c>
      <c r="B289">
        <f t="shared" si="20"/>
        <v>2025</v>
      </c>
      <c r="C289">
        <f t="shared" si="21"/>
        <v>10</v>
      </c>
      <c r="D289">
        <f t="shared" si="22"/>
        <v>15</v>
      </c>
      <c r="E289" s="2">
        <f t="shared" si="23"/>
        <v>45930</v>
      </c>
      <c r="F289" s="12">
        <f>_xlfn.XLOOKUP($A289,m1_cv!$B:$B,m1_cv!$C:$C)</f>
        <v>3074</v>
      </c>
      <c r="G289">
        <f>MAX(0,ROUND(SUMIFS(m1_cv!$E:$E,m1_cv!$A:$A,$E289,m1_cv!$B:$B,$A289),0))</f>
        <v>3489</v>
      </c>
      <c r="H289">
        <f>MAX(0,ROUND(SUMIFS(m2_cv!$E:$E,m2_cv!$A:$A,$E289,m2_cv!$B:$B,$A289),0))</f>
        <v>2662</v>
      </c>
      <c r="I289">
        <f>MAX(0,ROUND(SUMIFS(m3_cv!$E:$E,m3_cv!$A:$A,$E289,m3_cv!$B:$B,$A289),0))</f>
        <v>2669</v>
      </c>
      <c r="J289">
        <f>MAX(0,ROUND(SUMIFS(m4_cv!$E:$E,m4_cv!$A:$A,$E289,m4_cv!$B:$B,$A289),0))</f>
        <v>2666</v>
      </c>
      <c r="K289">
        <f>MAX(0,ROUND(SUMIFS(m5_cv!$E:$E,m5_cv!$A:$A,$E289,m5_cv!$B:$B,$A289),0))</f>
        <v>2657</v>
      </c>
      <c r="L289">
        <f>MAX(0,ROUND(SUMIFS(m6_cv!$E:$E,m6_cv!$A:$A,$E289,m6_cv!$B:$B,$A289),0))</f>
        <v>2467</v>
      </c>
      <c r="M289">
        <f>MAX(0,ROUND(SUMIFS(m7_cv!$E:$E,m7_cv!$A:$A,$E289,m7_cv!$B:$B,$A289),0))</f>
        <v>2664</v>
      </c>
      <c r="N289">
        <f>ROUND(_xlfn.XLOOKUP($D289,Charts!$W$86:$W$116,Charts!$X$86:$X$116)*$L289+_xlfn.XLOOKUP($D289,Charts!$W$86:$W$116,Charts!$Y$86:$Y$116)*$M289,0)</f>
        <v>2664</v>
      </c>
      <c r="O289">
        <f>MAX(0,ROUND(SUMIFS(m8_cv!$E:$E,m8_cv!$A:$A,$E289,m8_cv!$B:$B,$A289),0))</f>
        <v>2718</v>
      </c>
    </row>
    <row r="290" spans="1:15" x14ac:dyDescent="0.25">
      <c r="A290" s="3">
        <f t="shared" si="24"/>
        <v>45946</v>
      </c>
      <c r="B290">
        <f t="shared" si="20"/>
        <v>2025</v>
      </c>
      <c r="C290">
        <f t="shared" si="21"/>
        <v>10</v>
      </c>
      <c r="D290">
        <f t="shared" si="22"/>
        <v>16</v>
      </c>
      <c r="E290" s="2">
        <f t="shared" si="23"/>
        <v>45930</v>
      </c>
      <c r="F290" s="12">
        <f>_xlfn.XLOOKUP($A290,m1_cv!$B:$B,m1_cv!$C:$C)</f>
        <v>3505</v>
      </c>
      <c r="G290">
        <f>MAX(0,ROUND(SUMIFS(m1_cv!$E:$E,m1_cv!$A:$A,$E290,m1_cv!$B:$B,$A290),0))</f>
        <v>3497</v>
      </c>
      <c r="H290">
        <f>MAX(0,ROUND(SUMIFS(m2_cv!$E:$E,m2_cv!$A:$A,$E290,m2_cv!$B:$B,$A290),0))</f>
        <v>2783</v>
      </c>
      <c r="I290">
        <f>MAX(0,ROUND(SUMIFS(m3_cv!$E:$E,m3_cv!$A:$A,$E290,m3_cv!$B:$B,$A290),0))</f>
        <v>2720</v>
      </c>
      <c r="J290">
        <f>MAX(0,ROUND(SUMIFS(m4_cv!$E:$E,m4_cv!$A:$A,$E290,m4_cv!$B:$B,$A290),0))</f>
        <v>2717</v>
      </c>
      <c r="K290">
        <f>MAX(0,ROUND(SUMIFS(m5_cv!$E:$E,m5_cv!$A:$A,$E290,m5_cv!$B:$B,$A290),0))</f>
        <v>2775</v>
      </c>
      <c r="L290">
        <f>MAX(0,ROUND(SUMIFS(m6_cv!$E:$E,m6_cv!$A:$A,$E290,m6_cv!$B:$B,$A290),0))</f>
        <v>2591</v>
      </c>
      <c r="M290">
        <f>MAX(0,ROUND(SUMIFS(m7_cv!$E:$E,m7_cv!$A:$A,$E290,m7_cv!$B:$B,$A290),0))</f>
        <v>2770</v>
      </c>
      <c r="N290">
        <f>ROUND(_xlfn.XLOOKUP($D290,Charts!$W$86:$W$116,Charts!$X$86:$X$116)*$L290+_xlfn.XLOOKUP($D290,Charts!$W$86:$W$116,Charts!$Y$86:$Y$116)*$M290,0)</f>
        <v>2770</v>
      </c>
      <c r="O290">
        <f>MAX(0,ROUND(SUMIFS(m8_cv!$E:$E,m8_cv!$A:$A,$E290,m8_cv!$B:$B,$A290),0))</f>
        <v>2825</v>
      </c>
    </row>
    <row r="291" spans="1:15" x14ac:dyDescent="0.25">
      <c r="A291" s="3">
        <f t="shared" si="24"/>
        <v>45947</v>
      </c>
      <c r="B291">
        <f t="shared" si="20"/>
        <v>2025</v>
      </c>
      <c r="C291">
        <f t="shared" si="21"/>
        <v>10</v>
      </c>
      <c r="D291">
        <f t="shared" si="22"/>
        <v>17</v>
      </c>
      <c r="E291" s="2">
        <f t="shared" si="23"/>
        <v>45930</v>
      </c>
      <c r="F291" s="12">
        <f>_xlfn.XLOOKUP($A291,m1_cv!$B:$B,m1_cv!$C:$C)</f>
        <v>3630</v>
      </c>
      <c r="G291">
        <f>MAX(0,ROUND(SUMIFS(m1_cv!$E:$E,m1_cv!$A:$A,$E291,m1_cv!$B:$B,$A291),0))</f>
        <v>3408</v>
      </c>
      <c r="H291">
        <f>MAX(0,ROUND(SUMIFS(m2_cv!$E:$E,m2_cv!$A:$A,$E291,m2_cv!$B:$B,$A291),0))</f>
        <v>2942</v>
      </c>
      <c r="I291">
        <f>MAX(0,ROUND(SUMIFS(m3_cv!$E:$E,m3_cv!$A:$A,$E291,m3_cv!$B:$B,$A291),0))</f>
        <v>2847</v>
      </c>
      <c r="J291">
        <f>MAX(0,ROUND(SUMIFS(m4_cv!$E:$E,m4_cv!$A:$A,$E291,m4_cv!$B:$B,$A291),0))</f>
        <v>2843</v>
      </c>
      <c r="K291">
        <f>MAX(0,ROUND(SUMIFS(m5_cv!$E:$E,m5_cv!$A:$A,$E291,m5_cv!$B:$B,$A291),0))</f>
        <v>2869</v>
      </c>
      <c r="L291">
        <f>MAX(0,ROUND(SUMIFS(m6_cv!$E:$E,m6_cv!$A:$A,$E291,m6_cv!$B:$B,$A291),0))</f>
        <v>2507</v>
      </c>
      <c r="M291">
        <f>MAX(0,ROUND(SUMIFS(m7_cv!$E:$E,m7_cv!$A:$A,$E291,m7_cv!$B:$B,$A291),0))</f>
        <v>2877</v>
      </c>
      <c r="N291">
        <f>ROUND(_xlfn.XLOOKUP($D291,Charts!$W$86:$W$116,Charts!$X$86:$X$116)*$L291+_xlfn.XLOOKUP($D291,Charts!$W$86:$W$116,Charts!$Y$86:$Y$116)*$M291,0)</f>
        <v>2877</v>
      </c>
      <c r="O291">
        <f>MAX(0,ROUND(SUMIFS(m8_cv!$E:$E,m8_cv!$A:$A,$E291,m8_cv!$B:$B,$A291),0))</f>
        <v>2918</v>
      </c>
    </row>
    <row r="292" spans="1:15" x14ac:dyDescent="0.25">
      <c r="A292" s="3">
        <f t="shared" si="24"/>
        <v>45948</v>
      </c>
      <c r="B292">
        <f t="shared" si="20"/>
        <v>2025</v>
      </c>
      <c r="C292">
        <f t="shared" si="21"/>
        <v>10</v>
      </c>
      <c r="D292">
        <f t="shared" si="22"/>
        <v>18</v>
      </c>
      <c r="E292" s="2">
        <f t="shared" si="23"/>
        <v>45930</v>
      </c>
      <c r="F292" s="12">
        <f>_xlfn.XLOOKUP($A292,m1_cv!$B:$B,m1_cv!$C:$C)</f>
        <v>653</v>
      </c>
      <c r="G292">
        <f>MAX(0,ROUND(SUMIFS(m1_cv!$E:$E,m1_cv!$A:$A,$E292,m1_cv!$B:$B,$A292),0))</f>
        <v>1143</v>
      </c>
      <c r="H292">
        <f>MAX(0,ROUND(SUMIFS(m2_cv!$E:$E,m2_cv!$A:$A,$E292,m2_cv!$B:$B,$A292),0))</f>
        <v>906</v>
      </c>
      <c r="I292">
        <f>MAX(0,ROUND(SUMIFS(m3_cv!$E:$E,m3_cv!$A:$A,$E292,m3_cv!$B:$B,$A292),0))</f>
        <v>839</v>
      </c>
      <c r="J292">
        <f>MAX(0,ROUND(SUMIFS(m4_cv!$E:$E,m4_cv!$A:$A,$E292,m4_cv!$B:$B,$A292),0))</f>
        <v>835</v>
      </c>
      <c r="K292">
        <f>MAX(0,ROUND(SUMIFS(m5_cv!$E:$E,m5_cv!$A:$A,$E292,m5_cv!$B:$B,$A292),0))</f>
        <v>736</v>
      </c>
      <c r="L292">
        <f>MAX(0,ROUND(SUMIFS(m6_cv!$E:$E,m6_cv!$A:$A,$E292,m6_cv!$B:$B,$A292),0))</f>
        <v>448</v>
      </c>
      <c r="M292">
        <f>MAX(0,ROUND(SUMIFS(m7_cv!$E:$E,m7_cv!$A:$A,$E292,m7_cv!$B:$B,$A292),0))</f>
        <v>708</v>
      </c>
      <c r="N292">
        <f>ROUND(_xlfn.XLOOKUP($D292,Charts!$W$86:$W$116,Charts!$X$86:$X$116)*$L292+_xlfn.XLOOKUP($D292,Charts!$W$86:$W$116,Charts!$Y$86:$Y$116)*$M292,0)</f>
        <v>708</v>
      </c>
      <c r="O292">
        <f>MAX(0,ROUND(SUMIFS(m8_cv!$E:$E,m8_cv!$A:$A,$E292,m8_cv!$B:$B,$A292),0))</f>
        <v>760</v>
      </c>
    </row>
    <row r="293" spans="1:15" x14ac:dyDescent="0.25">
      <c r="A293" s="3">
        <f t="shared" si="24"/>
        <v>45949</v>
      </c>
      <c r="B293">
        <f t="shared" si="20"/>
        <v>2025</v>
      </c>
      <c r="C293">
        <f t="shared" si="21"/>
        <v>10</v>
      </c>
      <c r="D293">
        <f t="shared" si="22"/>
        <v>19</v>
      </c>
      <c r="E293" s="2">
        <f t="shared" si="23"/>
        <v>45930</v>
      </c>
      <c r="F293" s="12">
        <f>_xlfn.XLOOKUP($A293,m1_cv!$B:$B,m1_cv!$C:$C)</f>
        <v>180</v>
      </c>
      <c r="G293">
        <f>MAX(0,ROUND(SUMIFS(m1_cv!$E:$E,m1_cv!$A:$A,$E293,m1_cv!$B:$B,$A293),0))</f>
        <v>547</v>
      </c>
      <c r="H293">
        <f>MAX(0,ROUND(SUMIFS(m2_cv!$E:$E,m2_cv!$A:$A,$E293,m2_cv!$B:$B,$A293),0))</f>
        <v>380</v>
      </c>
      <c r="I293">
        <f>MAX(0,ROUND(SUMIFS(m3_cv!$E:$E,m3_cv!$A:$A,$E293,m3_cv!$B:$B,$A293),0))</f>
        <v>381</v>
      </c>
      <c r="J293">
        <f>MAX(0,ROUND(SUMIFS(m4_cv!$E:$E,m4_cv!$A:$A,$E293,m4_cv!$B:$B,$A293),0))</f>
        <v>376</v>
      </c>
      <c r="K293">
        <f>MAX(0,ROUND(SUMIFS(m5_cv!$E:$E,m5_cv!$A:$A,$E293,m5_cv!$B:$B,$A293),0))</f>
        <v>227</v>
      </c>
      <c r="L293">
        <f>MAX(0,ROUND(SUMIFS(m6_cv!$E:$E,m6_cv!$A:$A,$E293,m6_cv!$B:$B,$A293),0))</f>
        <v>179</v>
      </c>
      <c r="M293">
        <f>MAX(0,ROUND(SUMIFS(m7_cv!$E:$E,m7_cv!$A:$A,$E293,m7_cv!$B:$B,$A293),0))</f>
        <v>175</v>
      </c>
      <c r="N293">
        <f>ROUND(_xlfn.XLOOKUP($D293,Charts!$W$86:$W$116,Charts!$X$86:$X$116)*$L293+_xlfn.XLOOKUP($D293,Charts!$W$86:$W$116,Charts!$Y$86:$Y$116)*$M293,0)</f>
        <v>175</v>
      </c>
      <c r="O293">
        <f>MAX(0,ROUND(SUMIFS(m8_cv!$E:$E,m8_cv!$A:$A,$E293,m8_cv!$B:$B,$A293),0))</f>
        <v>231</v>
      </c>
    </row>
    <row r="294" spans="1:15" x14ac:dyDescent="0.25">
      <c r="A294" s="3">
        <f t="shared" si="24"/>
        <v>45950</v>
      </c>
      <c r="B294">
        <f t="shared" si="20"/>
        <v>2025</v>
      </c>
      <c r="C294">
        <f t="shared" si="21"/>
        <v>10</v>
      </c>
      <c r="D294">
        <f t="shared" si="22"/>
        <v>20</v>
      </c>
      <c r="E294" s="2">
        <f t="shared" si="23"/>
        <v>45930</v>
      </c>
      <c r="F294" s="12">
        <f>_xlfn.XLOOKUP($A294,m1_cv!$B:$B,m1_cv!$C:$C)</f>
        <v>250</v>
      </c>
      <c r="G294">
        <f>MAX(0,ROUND(SUMIFS(m1_cv!$E:$E,m1_cv!$A:$A,$E294,m1_cv!$B:$B,$A294),0))</f>
        <v>2834</v>
      </c>
      <c r="H294">
        <f>MAX(0,ROUND(SUMIFS(m2_cv!$E:$E,m2_cv!$A:$A,$E294,m2_cv!$B:$B,$A294),0))</f>
        <v>2617</v>
      </c>
      <c r="I294">
        <f>MAX(0,ROUND(SUMIFS(m3_cv!$E:$E,m3_cv!$A:$A,$E294,m3_cv!$B:$B,$A294),0))</f>
        <v>1008</v>
      </c>
      <c r="J294">
        <f>MAX(0,ROUND(SUMIFS(m4_cv!$E:$E,m4_cv!$A:$A,$E294,m4_cv!$B:$B,$A294),0))</f>
        <v>999</v>
      </c>
      <c r="K294">
        <f>MAX(0,ROUND(SUMIFS(m5_cv!$E:$E,m5_cv!$A:$A,$E294,m5_cv!$B:$B,$A294),0))</f>
        <v>962</v>
      </c>
      <c r="L294">
        <f>MAX(0,ROUND(SUMIFS(m6_cv!$E:$E,m6_cv!$A:$A,$E294,m6_cv!$B:$B,$A294),0))</f>
        <v>240</v>
      </c>
      <c r="M294">
        <f>MAX(0,ROUND(SUMIFS(m7_cv!$E:$E,m7_cv!$A:$A,$E294,m7_cv!$B:$B,$A294),0))</f>
        <v>1000</v>
      </c>
      <c r="N294">
        <f>ROUND(_xlfn.XLOOKUP($D294,Charts!$W$86:$W$116,Charts!$X$86:$X$116)*$L294+_xlfn.XLOOKUP($D294,Charts!$W$86:$W$116,Charts!$Y$86:$Y$116)*$M294,0)</f>
        <v>1000</v>
      </c>
      <c r="O294">
        <f>MAX(0,ROUND(SUMIFS(m8_cv!$E:$E,m8_cv!$A:$A,$E294,m8_cv!$B:$B,$A294),0))</f>
        <v>992</v>
      </c>
    </row>
    <row r="295" spans="1:15" x14ac:dyDescent="0.25">
      <c r="A295" s="3">
        <f t="shared" si="24"/>
        <v>45951</v>
      </c>
      <c r="B295">
        <f t="shared" si="20"/>
        <v>2025</v>
      </c>
      <c r="C295">
        <f t="shared" si="21"/>
        <v>10</v>
      </c>
      <c r="D295">
        <f t="shared" si="22"/>
        <v>21</v>
      </c>
      <c r="E295" s="2">
        <f t="shared" si="23"/>
        <v>45930</v>
      </c>
      <c r="F295" s="12">
        <f>_xlfn.XLOOKUP($A295,m1_cv!$B:$B,m1_cv!$C:$C)</f>
        <v>2797</v>
      </c>
      <c r="G295">
        <f>MAX(0,ROUND(SUMIFS(m1_cv!$E:$E,m1_cv!$A:$A,$E295,m1_cv!$B:$B,$A295),0))</f>
        <v>3316</v>
      </c>
      <c r="H295">
        <f>MAX(0,ROUND(SUMIFS(m2_cv!$E:$E,m2_cv!$A:$A,$E295,m2_cv!$B:$B,$A295),0))</f>
        <v>3084</v>
      </c>
      <c r="I295">
        <f>MAX(0,ROUND(SUMIFS(m3_cv!$E:$E,m3_cv!$A:$A,$E295,m3_cv!$B:$B,$A295),0))</f>
        <v>2990</v>
      </c>
      <c r="J295">
        <f>MAX(0,ROUND(SUMIFS(m4_cv!$E:$E,m4_cv!$A:$A,$E295,m4_cv!$B:$B,$A295),0))</f>
        <v>2986</v>
      </c>
      <c r="K295">
        <f>MAX(0,ROUND(SUMIFS(m5_cv!$E:$E,m5_cv!$A:$A,$E295,m5_cv!$B:$B,$A295),0))</f>
        <v>3066</v>
      </c>
      <c r="L295">
        <f>MAX(0,ROUND(SUMIFS(m6_cv!$E:$E,m6_cv!$A:$A,$E295,m6_cv!$B:$B,$A295),0))</f>
        <v>3071</v>
      </c>
      <c r="M295">
        <f>MAX(0,ROUND(SUMIFS(m7_cv!$E:$E,m7_cv!$A:$A,$E295,m7_cv!$B:$B,$A295),0))</f>
        <v>3153</v>
      </c>
      <c r="N295">
        <f>ROUND(_xlfn.XLOOKUP($D295,Charts!$W$86:$W$116,Charts!$X$86:$X$116)*$L295+_xlfn.XLOOKUP($D295,Charts!$W$86:$W$116,Charts!$Y$86:$Y$116)*$M295,0)</f>
        <v>3153</v>
      </c>
      <c r="O295">
        <f>MAX(0,ROUND(SUMIFS(m8_cv!$E:$E,m8_cv!$A:$A,$E295,m8_cv!$B:$B,$A295),0))</f>
        <v>3201</v>
      </c>
    </row>
    <row r="296" spans="1:15" x14ac:dyDescent="0.25">
      <c r="A296" s="3">
        <f t="shared" si="24"/>
        <v>45952</v>
      </c>
      <c r="B296">
        <f t="shared" si="20"/>
        <v>2025</v>
      </c>
      <c r="C296">
        <f t="shared" si="21"/>
        <v>10</v>
      </c>
      <c r="D296">
        <f t="shared" si="22"/>
        <v>22</v>
      </c>
      <c r="E296" s="2">
        <f t="shared" si="23"/>
        <v>45930</v>
      </c>
      <c r="F296" s="12">
        <f>_xlfn.XLOOKUP($A296,m1_cv!$B:$B,m1_cv!$C:$C)</f>
        <v>3644</v>
      </c>
      <c r="G296">
        <f>MAX(0,ROUND(SUMIFS(m1_cv!$E:$E,m1_cv!$A:$A,$E296,m1_cv!$B:$B,$A296),0))</f>
        <v>3317</v>
      </c>
      <c r="H296">
        <f>MAX(0,ROUND(SUMIFS(m2_cv!$E:$E,m2_cv!$A:$A,$E296,m2_cv!$B:$B,$A296),0))</f>
        <v>3315</v>
      </c>
      <c r="I296">
        <f>MAX(0,ROUND(SUMIFS(m3_cv!$E:$E,m3_cv!$A:$A,$E296,m3_cv!$B:$B,$A296),0))</f>
        <v>3199</v>
      </c>
      <c r="J296">
        <f>MAX(0,ROUND(SUMIFS(m4_cv!$E:$E,m4_cv!$A:$A,$E296,m4_cv!$B:$B,$A296),0))</f>
        <v>3195</v>
      </c>
      <c r="K296">
        <f>MAX(0,ROUND(SUMIFS(m5_cv!$E:$E,m5_cv!$A:$A,$E296,m5_cv!$B:$B,$A296),0))</f>
        <v>3274</v>
      </c>
      <c r="L296">
        <f>MAX(0,ROUND(SUMIFS(m6_cv!$E:$E,m6_cv!$A:$A,$E296,m6_cv!$B:$B,$A296),0))</f>
        <v>3369</v>
      </c>
      <c r="M296">
        <f>MAX(0,ROUND(SUMIFS(m7_cv!$E:$E,m7_cv!$A:$A,$E296,m7_cv!$B:$B,$A296),0))</f>
        <v>3235</v>
      </c>
      <c r="N296">
        <f>ROUND(_xlfn.XLOOKUP($D296,Charts!$W$86:$W$116,Charts!$X$86:$X$116)*$L296+_xlfn.XLOOKUP($D296,Charts!$W$86:$W$116,Charts!$Y$86:$Y$116)*$M296,0)</f>
        <v>3235</v>
      </c>
      <c r="O296">
        <f>MAX(0,ROUND(SUMIFS(m8_cv!$E:$E,m8_cv!$A:$A,$E296,m8_cv!$B:$B,$A296),0))</f>
        <v>3264</v>
      </c>
    </row>
    <row r="297" spans="1:15" x14ac:dyDescent="0.25">
      <c r="A297" s="3">
        <f t="shared" si="24"/>
        <v>45953</v>
      </c>
      <c r="B297">
        <f t="shared" si="20"/>
        <v>2025</v>
      </c>
      <c r="C297">
        <f t="shared" si="21"/>
        <v>10</v>
      </c>
      <c r="D297">
        <f t="shared" si="22"/>
        <v>23</v>
      </c>
      <c r="E297" s="2">
        <f t="shared" si="23"/>
        <v>45930</v>
      </c>
      <c r="F297" s="12">
        <f>_xlfn.XLOOKUP($A297,m1_cv!$B:$B,m1_cv!$C:$C)</f>
        <v>4009</v>
      </c>
      <c r="G297">
        <f>MAX(0,ROUND(SUMIFS(m1_cv!$E:$E,m1_cv!$A:$A,$E297,m1_cv!$B:$B,$A297),0))</f>
        <v>3342</v>
      </c>
      <c r="H297">
        <f>MAX(0,ROUND(SUMIFS(m2_cv!$E:$E,m2_cv!$A:$A,$E297,m2_cv!$B:$B,$A297),0))</f>
        <v>3671</v>
      </c>
      <c r="I297">
        <f>MAX(0,ROUND(SUMIFS(m3_cv!$E:$E,m3_cv!$A:$A,$E297,m3_cv!$B:$B,$A297),0))</f>
        <v>3553</v>
      </c>
      <c r="J297">
        <f>MAX(0,ROUND(SUMIFS(m4_cv!$E:$E,m4_cv!$A:$A,$E297,m4_cv!$B:$B,$A297),0))</f>
        <v>3549</v>
      </c>
      <c r="K297">
        <f>MAX(0,ROUND(SUMIFS(m5_cv!$E:$E,m5_cv!$A:$A,$E297,m5_cv!$B:$B,$A297),0))</f>
        <v>3491</v>
      </c>
      <c r="L297">
        <f>MAX(0,ROUND(SUMIFS(m6_cv!$E:$E,m6_cv!$A:$A,$E297,m6_cv!$B:$B,$A297),0))</f>
        <v>3705</v>
      </c>
      <c r="M297">
        <f>MAX(0,ROUND(SUMIFS(m7_cv!$E:$E,m7_cv!$A:$A,$E297,m7_cv!$B:$B,$A297),0))</f>
        <v>3398</v>
      </c>
      <c r="N297">
        <f>ROUND(_xlfn.XLOOKUP($D297,Charts!$W$86:$W$116,Charts!$X$86:$X$116)*$L297+_xlfn.XLOOKUP($D297,Charts!$W$86:$W$116,Charts!$Y$86:$Y$116)*$M297,0)</f>
        <v>3398</v>
      </c>
      <c r="O297">
        <f>MAX(0,ROUND(SUMIFS(m8_cv!$E:$E,m8_cv!$A:$A,$E297,m8_cv!$B:$B,$A297),0))</f>
        <v>3442</v>
      </c>
    </row>
    <row r="298" spans="1:15" x14ac:dyDescent="0.25">
      <c r="A298" s="3">
        <f t="shared" si="24"/>
        <v>45954</v>
      </c>
      <c r="B298">
        <f t="shared" si="20"/>
        <v>2025</v>
      </c>
      <c r="C298">
        <f t="shared" si="21"/>
        <v>10</v>
      </c>
      <c r="D298">
        <f t="shared" si="22"/>
        <v>24</v>
      </c>
      <c r="E298" s="2">
        <f t="shared" si="23"/>
        <v>45930</v>
      </c>
      <c r="F298" s="12">
        <f>_xlfn.XLOOKUP($A298,m1_cv!$B:$B,m1_cv!$C:$C)</f>
        <v>4008</v>
      </c>
      <c r="G298">
        <f>MAX(0,ROUND(SUMIFS(m1_cv!$E:$E,m1_cv!$A:$A,$E298,m1_cv!$B:$B,$A298),0))</f>
        <v>3272</v>
      </c>
      <c r="H298">
        <f>MAX(0,ROUND(SUMIFS(m2_cv!$E:$E,m2_cv!$A:$A,$E298,m2_cv!$B:$B,$A298),0))</f>
        <v>3808</v>
      </c>
      <c r="I298">
        <f>MAX(0,ROUND(SUMIFS(m3_cv!$E:$E,m3_cv!$A:$A,$E298,m3_cv!$B:$B,$A298),0))</f>
        <v>3731</v>
      </c>
      <c r="J298">
        <f>MAX(0,ROUND(SUMIFS(m4_cv!$E:$E,m4_cv!$A:$A,$E298,m4_cv!$B:$B,$A298),0))</f>
        <v>3726</v>
      </c>
      <c r="K298">
        <f>MAX(0,ROUND(SUMIFS(m5_cv!$E:$E,m5_cv!$A:$A,$E298,m5_cv!$B:$B,$A298),0))</f>
        <v>3587</v>
      </c>
      <c r="L298">
        <f>MAX(0,ROUND(SUMIFS(m6_cv!$E:$E,m6_cv!$A:$A,$E298,m6_cv!$B:$B,$A298),0))</f>
        <v>3769</v>
      </c>
      <c r="M298">
        <f>MAX(0,ROUND(SUMIFS(m7_cv!$E:$E,m7_cv!$A:$A,$E298,m7_cv!$B:$B,$A298),0))</f>
        <v>3568</v>
      </c>
      <c r="N298">
        <f>ROUND(_xlfn.XLOOKUP($D298,Charts!$W$86:$W$116,Charts!$X$86:$X$116)*$L298+_xlfn.XLOOKUP($D298,Charts!$W$86:$W$116,Charts!$Y$86:$Y$116)*$M298,0)</f>
        <v>3769</v>
      </c>
      <c r="O298">
        <f>MAX(0,ROUND(SUMIFS(m8_cv!$E:$E,m8_cv!$A:$A,$E298,m8_cv!$B:$B,$A298),0))</f>
        <v>3611</v>
      </c>
    </row>
    <row r="299" spans="1:15" x14ac:dyDescent="0.25">
      <c r="A299" s="3">
        <f t="shared" si="24"/>
        <v>45955</v>
      </c>
      <c r="B299">
        <f t="shared" si="20"/>
        <v>2025</v>
      </c>
      <c r="C299">
        <f t="shared" si="21"/>
        <v>10</v>
      </c>
      <c r="D299">
        <f t="shared" si="22"/>
        <v>25</v>
      </c>
      <c r="E299" s="2">
        <f t="shared" si="23"/>
        <v>45930</v>
      </c>
      <c r="F299" s="12">
        <f>_xlfn.XLOOKUP($A299,m1_cv!$B:$B,m1_cv!$C:$C)</f>
        <v>971</v>
      </c>
      <c r="G299">
        <f>MAX(0,ROUND(SUMIFS(m1_cv!$E:$E,m1_cv!$A:$A,$E299,m1_cv!$B:$B,$A299),0))</f>
        <v>1030</v>
      </c>
      <c r="H299">
        <f>MAX(0,ROUND(SUMIFS(m2_cv!$E:$E,m2_cv!$A:$A,$E299,m2_cv!$B:$B,$A299),0))</f>
        <v>1537</v>
      </c>
      <c r="I299">
        <f>MAX(0,ROUND(SUMIFS(m3_cv!$E:$E,m3_cv!$A:$A,$E299,m3_cv!$B:$B,$A299),0))</f>
        <v>1524</v>
      </c>
      <c r="J299">
        <f>MAX(0,ROUND(SUMIFS(m4_cv!$E:$E,m4_cv!$A:$A,$E299,m4_cv!$B:$B,$A299),0))</f>
        <v>1520</v>
      </c>
      <c r="K299">
        <f>MAX(0,ROUND(SUMIFS(m5_cv!$E:$E,m5_cv!$A:$A,$E299,m5_cv!$B:$B,$A299),0))</f>
        <v>1387</v>
      </c>
      <c r="L299">
        <f>MAX(0,ROUND(SUMIFS(m6_cv!$E:$E,m6_cv!$A:$A,$E299,m6_cv!$B:$B,$A299),0))</f>
        <v>672</v>
      </c>
      <c r="M299">
        <f>MAX(0,ROUND(SUMIFS(m7_cv!$E:$E,m7_cv!$A:$A,$E299,m7_cv!$B:$B,$A299),0))</f>
        <v>1446</v>
      </c>
      <c r="N299">
        <f>ROUND(_xlfn.XLOOKUP($D299,Charts!$W$86:$W$116,Charts!$X$86:$X$116)*$L299+_xlfn.XLOOKUP($D299,Charts!$W$86:$W$116,Charts!$Y$86:$Y$116)*$M299,0)</f>
        <v>672</v>
      </c>
      <c r="O299">
        <f>MAX(0,ROUND(SUMIFS(m8_cv!$E:$E,m8_cv!$A:$A,$E299,m8_cv!$B:$B,$A299),0))</f>
        <v>1491</v>
      </c>
    </row>
    <row r="300" spans="1:15" x14ac:dyDescent="0.25">
      <c r="A300" s="3">
        <f t="shared" si="24"/>
        <v>45956</v>
      </c>
      <c r="B300">
        <f t="shared" si="20"/>
        <v>2025</v>
      </c>
      <c r="C300">
        <f t="shared" si="21"/>
        <v>10</v>
      </c>
      <c r="D300">
        <f t="shared" si="22"/>
        <v>26</v>
      </c>
      <c r="E300" s="2">
        <f t="shared" si="23"/>
        <v>45930</v>
      </c>
      <c r="F300" s="12">
        <f>_xlfn.XLOOKUP($A300,m1_cv!$B:$B,m1_cv!$C:$C)</f>
        <v>238</v>
      </c>
      <c r="G300">
        <f>MAX(0,ROUND(SUMIFS(m1_cv!$E:$E,m1_cv!$A:$A,$E300,m1_cv!$B:$B,$A300),0))</f>
        <v>458</v>
      </c>
      <c r="H300">
        <f>MAX(0,ROUND(SUMIFS(m2_cv!$E:$E,m2_cv!$A:$A,$E300,m2_cv!$B:$B,$A300),0))</f>
        <v>909</v>
      </c>
      <c r="I300">
        <f>MAX(0,ROUND(SUMIFS(m3_cv!$E:$E,m3_cv!$A:$A,$E300,m3_cv!$B:$B,$A300),0))</f>
        <v>961</v>
      </c>
      <c r="J300">
        <f>MAX(0,ROUND(SUMIFS(m4_cv!$E:$E,m4_cv!$A:$A,$E300,m4_cv!$B:$B,$A300),0))</f>
        <v>957</v>
      </c>
      <c r="K300">
        <f>MAX(0,ROUND(SUMIFS(m5_cv!$E:$E,m5_cv!$A:$A,$E300,m5_cv!$B:$B,$A300),0))</f>
        <v>858</v>
      </c>
      <c r="L300">
        <f>MAX(0,ROUND(SUMIFS(m6_cv!$E:$E,m6_cv!$A:$A,$E300,m6_cv!$B:$B,$A300),0))</f>
        <v>249</v>
      </c>
      <c r="M300">
        <f>MAX(0,ROUND(SUMIFS(m7_cv!$E:$E,m7_cv!$A:$A,$E300,m7_cv!$B:$B,$A300),0))</f>
        <v>973</v>
      </c>
      <c r="N300">
        <f>ROUND(_xlfn.XLOOKUP($D300,Charts!$W$86:$W$116,Charts!$X$86:$X$116)*$L300+_xlfn.XLOOKUP($D300,Charts!$W$86:$W$116,Charts!$Y$86:$Y$116)*$M300,0)</f>
        <v>249</v>
      </c>
      <c r="O300">
        <f>MAX(0,ROUND(SUMIFS(m8_cv!$E:$E,m8_cv!$A:$A,$E300,m8_cv!$B:$B,$A300),0))</f>
        <v>1077</v>
      </c>
    </row>
    <row r="301" spans="1:15" x14ac:dyDescent="0.25">
      <c r="A301" s="3">
        <f t="shared" si="24"/>
        <v>45957</v>
      </c>
      <c r="B301">
        <f t="shared" si="20"/>
        <v>2025</v>
      </c>
      <c r="C301">
        <f t="shared" si="21"/>
        <v>10</v>
      </c>
      <c r="D301">
        <f t="shared" si="22"/>
        <v>27</v>
      </c>
      <c r="E301" s="2">
        <f t="shared" si="23"/>
        <v>45930</v>
      </c>
      <c r="F301" s="12">
        <f>_xlfn.XLOOKUP($A301,m1_cv!$B:$B,m1_cv!$C:$C)</f>
        <v>4219</v>
      </c>
      <c r="G301">
        <f>MAX(0,ROUND(SUMIFS(m1_cv!$E:$E,m1_cv!$A:$A,$E301,m1_cv!$B:$B,$A301),0))</f>
        <v>2771</v>
      </c>
      <c r="H301">
        <f>MAX(0,ROUND(SUMIFS(m2_cv!$E:$E,m2_cv!$A:$A,$E301,m2_cv!$B:$B,$A301),0))</f>
        <v>3531</v>
      </c>
      <c r="I301">
        <f>MAX(0,ROUND(SUMIFS(m3_cv!$E:$E,m3_cv!$A:$A,$E301,m3_cv!$B:$B,$A301),0))</f>
        <v>3776</v>
      </c>
      <c r="J301">
        <f>MAX(0,ROUND(SUMIFS(m4_cv!$E:$E,m4_cv!$A:$A,$E301,m4_cv!$B:$B,$A301),0))</f>
        <v>3774</v>
      </c>
      <c r="K301">
        <f>MAX(0,ROUND(SUMIFS(m5_cv!$E:$E,m5_cv!$A:$A,$E301,m5_cv!$B:$B,$A301),0))</f>
        <v>4722</v>
      </c>
      <c r="L301">
        <f>MAX(0,ROUND(SUMIFS(m6_cv!$E:$E,m6_cv!$A:$A,$E301,m6_cv!$B:$B,$A301),0))</f>
        <v>5967</v>
      </c>
      <c r="M301">
        <f>MAX(0,ROUND(SUMIFS(m7_cv!$E:$E,m7_cv!$A:$A,$E301,m7_cv!$B:$B,$A301),0))</f>
        <v>4768</v>
      </c>
      <c r="N301">
        <f>ROUND(_xlfn.XLOOKUP($D301,Charts!$W$86:$W$116,Charts!$X$86:$X$116)*$L301+_xlfn.XLOOKUP($D301,Charts!$W$86:$W$116,Charts!$Y$86:$Y$116)*$M301,0)</f>
        <v>5967</v>
      </c>
      <c r="O301">
        <f>MAX(0,ROUND(SUMIFS(m8_cv!$E:$E,m8_cv!$A:$A,$E301,m8_cv!$B:$B,$A301),0))</f>
        <v>4498</v>
      </c>
    </row>
    <row r="302" spans="1:15" x14ac:dyDescent="0.25">
      <c r="A302" s="3">
        <f t="shared" si="24"/>
        <v>45958</v>
      </c>
      <c r="B302">
        <f t="shared" si="20"/>
        <v>2025</v>
      </c>
      <c r="C302">
        <f t="shared" si="21"/>
        <v>10</v>
      </c>
      <c r="D302">
        <f t="shared" si="22"/>
        <v>28</v>
      </c>
      <c r="E302" s="2">
        <f t="shared" si="23"/>
        <v>45930</v>
      </c>
      <c r="F302" s="12">
        <f>_xlfn.XLOOKUP($A302,m1_cv!$B:$B,m1_cv!$C:$C)</f>
        <v>5659</v>
      </c>
      <c r="G302">
        <f>MAX(0,ROUND(SUMIFS(m1_cv!$E:$E,m1_cv!$A:$A,$E302,m1_cv!$B:$B,$A302),0))</f>
        <v>3279</v>
      </c>
      <c r="H302">
        <f>MAX(0,ROUND(SUMIFS(m2_cv!$E:$E,m2_cv!$A:$A,$E302,m2_cv!$B:$B,$A302),0))</f>
        <v>4878</v>
      </c>
      <c r="I302">
        <f>MAX(0,ROUND(SUMIFS(m3_cv!$E:$E,m3_cv!$A:$A,$E302,m3_cv!$B:$B,$A302),0))</f>
        <v>4856</v>
      </c>
      <c r="J302">
        <f>MAX(0,ROUND(SUMIFS(m4_cv!$E:$E,m4_cv!$A:$A,$E302,m4_cv!$B:$B,$A302),0))</f>
        <v>4852</v>
      </c>
      <c r="K302">
        <f>MAX(0,ROUND(SUMIFS(m5_cv!$E:$E,m5_cv!$A:$A,$E302,m5_cv!$B:$B,$A302),0))</f>
        <v>5196</v>
      </c>
      <c r="L302">
        <f>MAX(0,ROUND(SUMIFS(m6_cv!$E:$E,m6_cv!$A:$A,$E302,m6_cv!$B:$B,$A302),0))</f>
        <v>6924</v>
      </c>
      <c r="M302">
        <f>MAX(0,ROUND(SUMIFS(m7_cv!$E:$E,m7_cv!$A:$A,$E302,m7_cv!$B:$B,$A302),0))</f>
        <v>4984</v>
      </c>
      <c r="N302">
        <f>ROUND(_xlfn.XLOOKUP($D302,Charts!$W$86:$W$116,Charts!$X$86:$X$116)*$L302+_xlfn.XLOOKUP($D302,Charts!$W$86:$W$116,Charts!$Y$86:$Y$116)*$M302,0)</f>
        <v>6924</v>
      </c>
      <c r="O302">
        <f>MAX(0,ROUND(SUMIFS(m8_cv!$E:$E,m8_cv!$A:$A,$E302,m8_cv!$B:$B,$A302),0))</f>
        <v>4929</v>
      </c>
    </row>
    <row r="303" spans="1:15" x14ac:dyDescent="0.25">
      <c r="A303" s="3">
        <f t="shared" si="24"/>
        <v>45959</v>
      </c>
      <c r="B303">
        <f t="shared" si="20"/>
        <v>2025</v>
      </c>
      <c r="C303">
        <f t="shared" si="21"/>
        <v>10</v>
      </c>
      <c r="D303">
        <f t="shared" si="22"/>
        <v>29</v>
      </c>
      <c r="E303" s="2">
        <f t="shared" si="23"/>
        <v>45930</v>
      </c>
      <c r="F303" s="12">
        <f>_xlfn.XLOOKUP($A303,m1_cv!$B:$B,m1_cv!$C:$C)</f>
        <v>6381</v>
      </c>
      <c r="G303">
        <f>MAX(0,ROUND(SUMIFS(m1_cv!$E:$E,m1_cv!$A:$A,$E303,m1_cv!$B:$B,$A303),0))</f>
        <v>3305</v>
      </c>
      <c r="H303">
        <f>MAX(0,ROUND(SUMIFS(m2_cv!$E:$E,m2_cv!$A:$A,$E303,m2_cv!$B:$B,$A303),0))</f>
        <v>6063</v>
      </c>
      <c r="I303">
        <f>MAX(0,ROUND(SUMIFS(m3_cv!$E:$E,m3_cv!$A:$A,$E303,m3_cv!$B:$B,$A303),0))</f>
        <v>6076</v>
      </c>
      <c r="J303">
        <f>MAX(0,ROUND(SUMIFS(m4_cv!$E:$E,m4_cv!$A:$A,$E303,m4_cv!$B:$B,$A303),0))</f>
        <v>6072</v>
      </c>
      <c r="K303">
        <f>MAX(0,ROUND(SUMIFS(m5_cv!$E:$E,m5_cv!$A:$A,$E303,m5_cv!$B:$B,$A303),0))</f>
        <v>5418</v>
      </c>
      <c r="L303">
        <f>MAX(0,ROUND(SUMIFS(m6_cv!$E:$E,m6_cv!$A:$A,$E303,m6_cv!$B:$B,$A303),0))</f>
        <v>6891</v>
      </c>
      <c r="M303">
        <f>MAX(0,ROUND(SUMIFS(m7_cv!$E:$E,m7_cv!$A:$A,$E303,m7_cv!$B:$B,$A303),0))</f>
        <v>5402</v>
      </c>
      <c r="N303">
        <f>ROUND(_xlfn.XLOOKUP($D303,Charts!$W$86:$W$116,Charts!$X$86:$X$116)*$L303+_xlfn.XLOOKUP($D303,Charts!$W$86:$W$116,Charts!$Y$86:$Y$116)*$M303,0)</f>
        <v>5402</v>
      </c>
      <c r="O303">
        <f>MAX(0,ROUND(SUMIFS(m8_cv!$E:$E,m8_cv!$A:$A,$E303,m8_cv!$B:$B,$A303),0))</f>
        <v>5442</v>
      </c>
    </row>
    <row r="304" spans="1:15" x14ac:dyDescent="0.25">
      <c r="A304" s="3">
        <f t="shared" si="24"/>
        <v>45960</v>
      </c>
      <c r="B304">
        <f t="shared" si="20"/>
        <v>2025</v>
      </c>
      <c r="C304">
        <f t="shared" si="21"/>
        <v>10</v>
      </c>
      <c r="D304">
        <f t="shared" si="22"/>
        <v>30</v>
      </c>
      <c r="E304" s="2">
        <f t="shared" si="23"/>
        <v>45930</v>
      </c>
      <c r="F304" s="12">
        <f>_xlfn.XLOOKUP($A304,m1_cv!$B:$B,m1_cv!$C:$C)</f>
        <v>7936</v>
      </c>
      <c r="G304">
        <f>MAX(0,ROUND(SUMIFS(m1_cv!$E:$E,m1_cv!$A:$A,$E304,m1_cv!$B:$B,$A304),0))</f>
        <v>3355</v>
      </c>
      <c r="H304">
        <f>MAX(0,ROUND(SUMIFS(m2_cv!$E:$E,m2_cv!$A:$A,$E304,m2_cv!$B:$B,$A304),0))</f>
        <v>6851</v>
      </c>
      <c r="I304">
        <f>MAX(0,ROUND(SUMIFS(m3_cv!$E:$E,m3_cv!$A:$A,$E304,m3_cv!$B:$B,$A304),0))</f>
        <v>6914</v>
      </c>
      <c r="J304">
        <f>MAX(0,ROUND(SUMIFS(m4_cv!$E:$E,m4_cv!$A:$A,$E304,m4_cv!$B:$B,$A304),0))</f>
        <v>6909</v>
      </c>
      <c r="K304">
        <f>MAX(0,ROUND(SUMIFS(m5_cv!$E:$E,m5_cv!$A:$A,$E304,m5_cv!$B:$B,$A304),0))</f>
        <v>7612</v>
      </c>
      <c r="L304">
        <f>MAX(0,ROUND(SUMIFS(m6_cv!$E:$E,m6_cv!$A:$A,$E304,m6_cv!$B:$B,$A304),0))</f>
        <v>12589</v>
      </c>
      <c r="M304">
        <f>MAX(0,ROUND(SUMIFS(m7_cv!$E:$E,m7_cv!$A:$A,$E304,m7_cv!$B:$B,$A304),0))</f>
        <v>7858</v>
      </c>
      <c r="N304">
        <f>ROUND(_xlfn.XLOOKUP($D304,Charts!$W$86:$W$116,Charts!$X$86:$X$116)*$L304+_xlfn.XLOOKUP($D304,Charts!$W$86:$W$116,Charts!$Y$86:$Y$116)*$M304,0)</f>
        <v>7858</v>
      </c>
      <c r="O304">
        <f>MAX(0,ROUND(SUMIFS(m8_cv!$E:$E,m8_cv!$A:$A,$E304,m8_cv!$B:$B,$A304),0))</f>
        <v>7786</v>
      </c>
    </row>
    <row r="305" spans="1:15" x14ac:dyDescent="0.25">
      <c r="A305" s="3">
        <f t="shared" si="24"/>
        <v>45961</v>
      </c>
      <c r="B305">
        <f t="shared" si="20"/>
        <v>2025</v>
      </c>
      <c r="C305">
        <f t="shared" si="21"/>
        <v>10</v>
      </c>
      <c r="D305">
        <f t="shared" si="22"/>
        <v>31</v>
      </c>
      <c r="E305" s="2">
        <f t="shared" si="23"/>
        <v>45930</v>
      </c>
      <c r="F305" s="12">
        <f>_xlfn.XLOOKUP($A305,m1_cv!$B:$B,m1_cv!$C:$C)</f>
        <v>13386</v>
      </c>
      <c r="G305">
        <f>MAX(0,ROUND(SUMIFS(m1_cv!$E:$E,m1_cv!$A:$A,$E305,m1_cv!$B:$B,$A305),0))</f>
        <v>3307</v>
      </c>
      <c r="H305">
        <f>MAX(0,ROUND(SUMIFS(m2_cv!$E:$E,m2_cv!$A:$A,$E305,m2_cv!$B:$B,$A305),0))</f>
        <v>6522</v>
      </c>
      <c r="I305">
        <f>MAX(0,ROUND(SUMIFS(m3_cv!$E:$E,m3_cv!$A:$A,$E305,m3_cv!$B:$B,$A305),0))</f>
        <v>6639</v>
      </c>
      <c r="J305">
        <f>MAX(0,ROUND(SUMIFS(m4_cv!$E:$E,m4_cv!$A:$A,$E305,m4_cv!$B:$B,$A305),0))</f>
        <v>6635</v>
      </c>
      <c r="K305">
        <f>MAX(0,ROUND(SUMIFS(m5_cv!$E:$E,m5_cv!$A:$A,$E305,m5_cv!$B:$B,$A305),0))</f>
        <v>9561</v>
      </c>
      <c r="L305">
        <f>MAX(0,ROUND(SUMIFS(m6_cv!$E:$E,m6_cv!$A:$A,$E305,m6_cv!$B:$B,$A305),0))</f>
        <v>17197</v>
      </c>
      <c r="M305">
        <f>MAX(0,ROUND(SUMIFS(m7_cv!$E:$E,m7_cv!$A:$A,$E305,m7_cv!$B:$B,$A305),0))</f>
        <v>9711</v>
      </c>
      <c r="N305">
        <f>ROUND(_xlfn.XLOOKUP($D305,Charts!$W$86:$W$116,Charts!$X$86:$X$116)*$L305+_xlfn.XLOOKUP($D305,Charts!$W$86:$W$116,Charts!$Y$86:$Y$116)*$M305,0)</f>
        <v>9711</v>
      </c>
      <c r="O305">
        <f>MAX(0,ROUND(SUMIFS(m8_cv!$E:$E,m8_cv!$A:$A,$E305,m8_cv!$B:$B,$A305),0))</f>
        <v>9658</v>
      </c>
    </row>
    <row r="306" spans="1:15" x14ac:dyDescent="0.25">
      <c r="A306" s="3">
        <f t="shared" si="24"/>
        <v>45962</v>
      </c>
      <c r="B306">
        <f t="shared" si="20"/>
        <v>2025</v>
      </c>
      <c r="C306">
        <f t="shared" si="21"/>
        <v>11</v>
      </c>
      <c r="D306">
        <f t="shared" si="22"/>
        <v>1</v>
      </c>
      <c r="E306" s="2">
        <f t="shared" si="23"/>
        <v>45961</v>
      </c>
      <c r="F306" s="12">
        <f>_xlfn.XLOOKUP($A306,m1_cv!$B:$B,m1_cv!$C:$C)</f>
        <v>104</v>
      </c>
      <c r="G306">
        <f>MAX(0,ROUND(SUMIFS(m1_cv!$E:$E,m1_cv!$A:$A,$E306,m1_cv!$B:$B,$A306),0))</f>
        <v>1466</v>
      </c>
      <c r="H306">
        <f>MAX(0,ROUND(SUMIFS(m2_cv!$E:$E,m2_cv!$A:$A,$E306,m2_cv!$B:$B,$A306),0))</f>
        <v>3069</v>
      </c>
      <c r="I306">
        <f>MAX(0,ROUND(SUMIFS(m3_cv!$E:$E,m3_cv!$A:$A,$E306,m3_cv!$B:$B,$A306),0))</f>
        <v>3225</v>
      </c>
      <c r="J306">
        <f>MAX(0,ROUND(SUMIFS(m4_cv!$E:$E,m4_cv!$A:$A,$E306,m4_cv!$B:$B,$A306),0))</f>
        <v>3218</v>
      </c>
      <c r="K306">
        <f>MAX(0,ROUND(SUMIFS(m5_cv!$E:$E,m5_cv!$A:$A,$E306,m5_cv!$B:$B,$A306),0))</f>
        <v>116</v>
      </c>
      <c r="L306">
        <f>MAX(0,ROUND(SUMIFS(m6_cv!$E:$E,m6_cv!$A:$A,$E306,m6_cv!$B:$B,$A306),0))</f>
        <v>167</v>
      </c>
      <c r="M306">
        <f>MAX(0,ROUND(SUMIFS(m7_cv!$E:$E,m7_cv!$A:$A,$E306,m7_cv!$B:$B,$A306),0))</f>
        <v>0</v>
      </c>
      <c r="N306">
        <f>ROUND(_xlfn.XLOOKUP($D306,Charts!$W$86:$W$116,Charts!$X$86:$X$116)*$L306+_xlfn.XLOOKUP($D306,Charts!$W$86:$W$116,Charts!$Y$86:$Y$116)*$M306,0)</f>
        <v>167</v>
      </c>
      <c r="O306">
        <f>MAX(0,ROUND(SUMIFS(m8_cv!$E:$E,m8_cv!$A:$A,$E306,m8_cv!$B:$B,$A306),0))</f>
        <v>0</v>
      </c>
    </row>
    <row r="307" spans="1:15" x14ac:dyDescent="0.25">
      <c r="A307" s="3">
        <f t="shared" si="24"/>
        <v>45963</v>
      </c>
      <c r="B307">
        <f t="shared" si="20"/>
        <v>2025</v>
      </c>
      <c r="C307">
        <f t="shared" si="21"/>
        <v>11</v>
      </c>
      <c r="D307">
        <f t="shared" si="22"/>
        <v>2</v>
      </c>
      <c r="E307" s="2">
        <f t="shared" si="23"/>
        <v>45961</v>
      </c>
      <c r="F307" s="12">
        <f>_xlfn.XLOOKUP($A307,m1_cv!$B:$B,m1_cv!$C:$C)</f>
        <v>32</v>
      </c>
      <c r="G307">
        <f>MAX(0,ROUND(SUMIFS(m1_cv!$E:$E,m1_cv!$A:$A,$E307,m1_cv!$B:$B,$A307),0))</f>
        <v>906</v>
      </c>
      <c r="H307">
        <f>MAX(0,ROUND(SUMIFS(m2_cv!$E:$E,m2_cv!$A:$A,$E307,m2_cv!$B:$B,$A307),0))</f>
        <v>668</v>
      </c>
      <c r="I307">
        <f>MAX(0,ROUND(SUMIFS(m3_cv!$E:$E,m3_cv!$A:$A,$E307,m3_cv!$B:$B,$A307),0))</f>
        <v>857</v>
      </c>
      <c r="J307">
        <f>MAX(0,ROUND(SUMIFS(m4_cv!$E:$E,m4_cv!$A:$A,$E307,m4_cv!$B:$B,$A307),0))</f>
        <v>851</v>
      </c>
      <c r="K307">
        <f>MAX(0,ROUND(SUMIFS(m5_cv!$E:$E,m5_cv!$A:$A,$E307,m5_cv!$B:$B,$A307),0))</f>
        <v>0</v>
      </c>
      <c r="L307">
        <f>MAX(0,ROUND(SUMIFS(m6_cv!$E:$E,m6_cv!$A:$A,$E307,m6_cv!$B:$B,$A307),0))</f>
        <v>36</v>
      </c>
      <c r="M307">
        <f>MAX(0,ROUND(SUMIFS(m7_cv!$E:$E,m7_cv!$A:$A,$E307,m7_cv!$B:$B,$A307),0))</f>
        <v>0</v>
      </c>
      <c r="N307">
        <f>ROUND(_xlfn.XLOOKUP($D307,Charts!$W$86:$W$116,Charts!$X$86:$X$116)*$L307+_xlfn.XLOOKUP($D307,Charts!$W$86:$W$116,Charts!$Y$86:$Y$116)*$M307,0)</f>
        <v>36</v>
      </c>
      <c r="O307">
        <f>MAX(0,ROUND(SUMIFS(m8_cv!$E:$E,m8_cv!$A:$A,$E307,m8_cv!$B:$B,$A307),0))</f>
        <v>0</v>
      </c>
    </row>
    <row r="308" spans="1:15" x14ac:dyDescent="0.25">
      <c r="A308" s="3">
        <f t="shared" si="24"/>
        <v>45964</v>
      </c>
      <c r="B308">
        <f t="shared" si="20"/>
        <v>2025</v>
      </c>
      <c r="C308">
        <f t="shared" si="21"/>
        <v>11</v>
      </c>
      <c r="D308">
        <f t="shared" si="22"/>
        <v>3</v>
      </c>
      <c r="E308" s="2">
        <f t="shared" si="23"/>
        <v>45961</v>
      </c>
      <c r="F308" s="12">
        <f>_xlfn.XLOOKUP($A308,m1_cv!$B:$B,m1_cv!$C:$C)</f>
        <v>607</v>
      </c>
      <c r="G308">
        <f>MAX(0,ROUND(SUMIFS(m1_cv!$E:$E,m1_cv!$A:$A,$E308,m1_cv!$B:$B,$A308),0))</f>
        <v>3211</v>
      </c>
      <c r="H308">
        <f>MAX(0,ROUND(SUMIFS(m2_cv!$E:$E,m2_cv!$A:$A,$E308,m2_cv!$B:$B,$A308),0))</f>
        <v>1511</v>
      </c>
      <c r="I308">
        <f>MAX(0,ROUND(SUMIFS(m3_cv!$E:$E,m3_cv!$A:$A,$E308,m3_cv!$B:$B,$A308),0))</f>
        <v>1898</v>
      </c>
      <c r="J308">
        <f>MAX(0,ROUND(SUMIFS(m4_cv!$E:$E,m4_cv!$A:$A,$E308,m4_cv!$B:$B,$A308),0))</f>
        <v>1892</v>
      </c>
      <c r="K308">
        <f>MAX(0,ROUND(SUMIFS(m5_cv!$E:$E,m5_cv!$A:$A,$E308,m5_cv!$B:$B,$A308),0))</f>
        <v>1338</v>
      </c>
      <c r="L308">
        <f>MAX(0,ROUND(SUMIFS(m6_cv!$E:$E,m6_cv!$A:$A,$E308,m6_cv!$B:$B,$A308),0))</f>
        <v>673</v>
      </c>
      <c r="M308">
        <f>MAX(0,ROUND(SUMIFS(m7_cv!$E:$E,m7_cv!$A:$A,$E308,m7_cv!$B:$B,$A308),0))</f>
        <v>1478</v>
      </c>
      <c r="N308">
        <f>ROUND(_xlfn.XLOOKUP($D308,Charts!$W$86:$W$116,Charts!$X$86:$X$116)*$L308+_xlfn.XLOOKUP($D308,Charts!$W$86:$W$116,Charts!$Y$86:$Y$116)*$M308,0)</f>
        <v>673</v>
      </c>
      <c r="O308">
        <f>MAX(0,ROUND(SUMIFS(m8_cv!$E:$E,m8_cv!$A:$A,$E308,m8_cv!$B:$B,$A308),0))</f>
        <v>1591</v>
      </c>
    </row>
    <row r="309" spans="1:15" x14ac:dyDescent="0.25">
      <c r="A309" s="3">
        <f t="shared" si="24"/>
        <v>45965</v>
      </c>
      <c r="B309">
        <f t="shared" si="20"/>
        <v>2025</v>
      </c>
      <c r="C309">
        <f t="shared" si="21"/>
        <v>11</v>
      </c>
      <c r="D309">
        <f t="shared" si="22"/>
        <v>4</v>
      </c>
      <c r="E309" s="2">
        <f t="shared" si="23"/>
        <v>45961</v>
      </c>
      <c r="F309" s="12">
        <f>_xlfn.XLOOKUP($A309,m1_cv!$B:$B,m1_cv!$C:$C)</f>
        <v>821</v>
      </c>
      <c r="G309">
        <f>MAX(0,ROUND(SUMIFS(m1_cv!$E:$E,m1_cv!$A:$A,$E309,m1_cv!$B:$B,$A309),0))</f>
        <v>3726</v>
      </c>
      <c r="H309">
        <f>MAX(0,ROUND(SUMIFS(m2_cv!$E:$E,m2_cv!$A:$A,$E309,m2_cv!$B:$B,$A309),0))</f>
        <v>1405</v>
      </c>
      <c r="I309">
        <f>MAX(0,ROUND(SUMIFS(m3_cv!$E:$E,m3_cv!$A:$A,$E309,m3_cv!$B:$B,$A309),0))</f>
        <v>1533</v>
      </c>
      <c r="J309">
        <f>MAX(0,ROUND(SUMIFS(m4_cv!$E:$E,m4_cv!$A:$A,$E309,m4_cv!$B:$B,$A309),0))</f>
        <v>1526</v>
      </c>
      <c r="K309">
        <f>MAX(0,ROUND(SUMIFS(m5_cv!$E:$E,m5_cv!$A:$A,$E309,m5_cv!$B:$B,$A309),0))</f>
        <v>1703</v>
      </c>
      <c r="L309">
        <f>MAX(0,ROUND(SUMIFS(m6_cv!$E:$E,m6_cv!$A:$A,$E309,m6_cv!$B:$B,$A309),0))</f>
        <v>804</v>
      </c>
      <c r="M309">
        <f>MAX(0,ROUND(SUMIFS(m7_cv!$E:$E,m7_cv!$A:$A,$E309,m7_cv!$B:$B,$A309),0))</f>
        <v>1781</v>
      </c>
      <c r="N309">
        <f>ROUND(_xlfn.XLOOKUP($D309,Charts!$W$86:$W$116,Charts!$X$86:$X$116)*$L309+_xlfn.XLOOKUP($D309,Charts!$W$86:$W$116,Charts!$Y$86:$Y$116)*$M309,0)</f>
        <v>804</v>
      </c>
      <c r="O309">
        <f>MAX(0,ROUND(SUMIFS(m8_cv!$E:$E,m8_cv!$A:$A,$E309,m8_cv!$B:$B,$A309),0))</f>
        <v>1847</v>
      </c>
    </row>
    <row r="310" spans="1:15" x14ac:dyDescent="0.25">
      <c r="A310" s="3">
        <f t="shared" si="24"/>
        <v>45966</v>
      </c>
      <c r="B310">
        <f t="shared" si="20"/>
        <v>2025</v>
      </c>
      <c r="C310">
        <f t="shared" si="21"/>
        <v>11</v>
      </c>
      <c r="D310">
        <f t="shared" si="22"/>
        <v>5</v>
      </c>
      <c r="E310" s="2">
        <f t="shared" si="23"/>
        <v>45961</v>
      </c>
      <c r="F310" s="12">
        <f>_xlfn.XLOOKUP($A310,m1_cv!$B:$B,m1_cv!$C:$C)</f>
        <v>1032</v>
      </c>
      <c r="G310">
        <f>MAX(0,ROUND(SUMIFS(m1_cv!$E:$E,m1_cv!$A:$A,$E310,m1_cv!$B:$B,$A310),0))</f>
        <v>3731</v>
      </c>
      <c r="H310">
        <f>MAX(0,ROUND(SUMIFS(m2_cv!$E:$E,m2_cv!$A:$A,$E310,m2_cv!$B:$B,$A310),0))</f>
        <v>1584</v>
      </c>
      <c r="I310">
        <f>MAX(0,ROUND(SUMIFS(m3_cv!$E:$E,m3_cv!$A:$A,$E310,m3_cv!$B:$B,$A310),0))</f>
        <v>1731</v>
      </c>
      <c r="J310">
        <f>MAX(0,ROUND(SUMIFS(m4_cv!$E:$E,m4_cv!$A:$A,$E310,m4_cv!$B:$B,$A310),0))</f>
        <v>1724</v>
      </c>
      <c r="K310">
        <f>MAX(0,ROUND(SUMIFS(m5_cv!$E:$E,m5_cv!$A:$A,$E310,m5_cv!$B:$B,$A310),0))</f>
        <v>1962</v>
      </c>
      <c r="L310">
        <f>MAX(0,ROUND(SUMIFS(m6_cv!$E:$E,m6_cv!$A:$A,$E310,m6_cv!$B:$B,$A310),0))</f>
        <v>900</v>
      </c>
      <c r="M310">
        <f>MAX(0,ROUND(SUMIFS(m7_cv!$E:$E,m7_cv!$A:$A,$E310,m7_cv!$B:$B,$A310),0))</f>
        <v>1884</v>
      </c>
      <c r="N310">
        <f>ROUND(_xlfn.XLOOKUP($D310,Charts!$W$86:$W$116,Charts!$X$86:$X$116)*$L310+_xlfn.XLOOKUP($D310,Charts!$W$86:$W$116,Charts!$Y$86:$Y$116)*$M310,0)</f>
        <v>1097</v>
      </c>
      <c r="O310">
        <f>MAX(0,ROUND(SUMIFS(m8_cv!$E:$E,m8_cv!$A:$A,$E310,m8_cv!$B:$B,$A310),0))</f>
        <v>1911</v>
      </c>
    </row>
    <row r="311" spans="1:15" x14ac:dyDescent="0.25">
      <c r="A311" s="3">
        <f t="shared" si="24"/>
        <v>45967</v>
      </c>
      <c r="B311">
        <f t="shared" si="20"/>
        <v>2025</v>
      </c>
      <c r="C311">
        <f t="shared" si="21"/>
        <v>11</v>
      </c>
      <c r="D311">
        <f t="shared" si="22"/>
        <v>6</v>
      </c>
      <c r="E311" s="2">
        <f t="shared" si="23"/>
        <v>45961</v>
      </c>
      <c r="F311" s="12">
        <f>_xlfn.XLOOKUP($A311,m1_cv!$B:$B,m1_cv!$C:$C)</f>
        <v>1396</v>
      </c>
      <c r="G311">
        <f>MAX(0,ROUND(SUMIFS(m1_cv!$E:$E,m1_cv!$A:$A,$E311,m1_cv!$B:$B,$A311),0))</f>
        <v>3770</v>
      </c>
      <c r="H311">
        <f>MAX(0,ROUND(SUMIFS(m2_cv!$E:$E,m2_cv!$A:$A,$E311,m2_cv!$B:$B,$A311),0))</f>
        <v>2064</v>
      </c>
      <c r="I311">
        <f>MAX(0,ROUND(SUMIFS(m3_cv!$E:$E,m3_cv!$A:$A,$E311,m3_cv!$B:$B,$A311),0))</f>
        <v>2186</v>
      </c>
      <c r="J311">
        <f>MAX(0,ROUND(SUMIFS(m4_cv!$E:$E,m4_cv!$A:$A,$E311,m4_cv!$B:$B,$A311),0))</f>
        <v>2179</v>
      </c>
      <c r="K311">
        <f>MAX(0,ROUND(SUMIFS(m5_cv!$E:$E,m5_cv!$A:$A,$E311,m5_cv!$B:$B,$A311),0))</f>
        <v>2071</v>
      </c>
      <c r="L311">
        <f>MAX(0,ROUND(SUMIFS(m6_cv!$E:$E,m6_cv!$A:$A,$E311,m6_cv!$B:$B,$A311),0))</f>
        <v>1019</v>
      </c>
      <c r="M311">
        <f>MAX(0,ROUND(SUMIFS(m7_cv!$E:$E,m7_cv!$A:$A,$E311,m7_cv!$B:$B,$A311),0))</f>
        <v>1978</v>
      </c>
      <c r="N311">
        <f>ROUND(_xlfn.XLOOKUP($D311,Charts!$W$86:$W$116,Charts!$X$86:$X$116)*$L311+_xlfn.XLOOKUP($D311,Charts!$W$86:$W$116,Charts!$Y$86:$Y$116)*$M311,0)</f>
        <v>1499</v>
      </c>
      <c r="O311">
        <f>MAX(0,ROUND(SUMIFS(m8_cv!$E:$E,m8_cv!$A:$A,$E311,m8_cv!$B:$B,$A311),0))</f>
        <v>2013</v>
      </c>
    </row>
    <row r="312" spans="1:15" x14ac:dyDescent="0.25">
      <c r="A312" s="3">
        <f t="shared" si="24"/>
        <v>45968</v>
      </c>
      <c r="B312">
        <f t="shared" si="20"/>
        <v>2025</v>
      </c>
      <c r="C312">
        <f t="shared" si="21"/>
        <v>11</v>
      </c>
      <c r="D312">
        <f t="shared" si="22"/>
        <v>7</v>
      </c>
      <c r="E312" s="2">
        <f t="shared" si="23"/>
        <v>45961</v>
      </c>
      <c r="F312" s="12">
        <f>_xlfn.XLOOKUP($A312,m1_cv!$B:$B,m1_cv!$C:$C)</f>
        <v>1612</v>
      </c>
      <c r="G312">
        <f>MAX(0,ROUND(SUMIFS(m1_cv!$E:$E,m1_cv!$A:$A,$E312,m1_cv!$B:$B,$A312),0))</f>
        <v>3722</v>
      </c>
      <c r="H312">
        <f>MAX(0,ROUND(SUMIFS(m2_cv!$E:$E,m2_cv!$A:$A,$E312,m2_cv!$B:$B,$A312),0))</f>
        <v>2267</v>
      </c>
      <c r="I312">
        <f>MAX(0,ROUND(SUMIFS(m3_cv!$E:$E,m3_cv!$A:$A,$E312,m3_cv!$B:$B,$A312),0))</f>
        <v>2325</v>
      </c>
      <c r="J312">
        <f>MAX(0,ROUND(SUMIFS(m4_cv!$E:$E,m4_cv!$A:$A,$E312,m4_cv!$B:$B,$A312),0))</f>
        <v>2319</v>
      </c>
      <c r="K312">
        <f>MAX(0,ROUND(SUMIFS(m5_cv!$E:$E,m5_cv!$A:$A,$E312,m5_cv!$B:$B,$A312),0))</f>
        <v>1934</v>
      </c>
      <c r="L312">
        <f>MAX(0,ROUND(SUMIFS(m6_cv!$E:$E,m6_cv!$A:$A,$E312,m6_cv!$B:$B,$A312),0))</f>
        <v>985</v>
      </c>
      <c r="M312">
        <f>MAX(0,ROUND(SUMIFS(m7_cv!$E:$E,m7_cv!$A:$A,$E312,m7_cv!$B:$B,$A312),0))</f>
        <v>1918</v>
      </c>
      <c r="N312">
        <f>ROUND(_xlfn.XLOOKUP($D312,Charts!$W$86:$W$116,Charts!$X$86:$X$116)*$L312+_xlfn.XLOOKUP($D312,Charts!$W$86:$W$116,Charts!$Y$86:$Y$116)*$M312,0)</f>
        <v>1452</v>
      </c>
      <c r="O312">
        <f>MAX(0,ROUND(SUMIFS(m8_cv!$E:$E,m8_cv!$A:$A,$E312,m8_cv!$B:$B,$A312),0))</f>
        <v>1887</v>
      </c>
    </row>
    <row r="313" spans="1:15" x14ac:dyDescent="0.25">
      <c r="A313" s="3">
        <f t="shared" si="24"/>
        <v>45969</v>
      </c>
      <c r="B313">
        <f t="shared" si="20"/>
        <v>2025</v>
      </c>
      <c r="C313">
        <f t="shared" si="21"/>
        <v>11</v>
      </c>
      <c r="D313">
        <f t="shared" si="22"/>
        <v>8</v>
      </c>
      <c r="E313" s="2">
        <f t="shared" si="23"/>
        <v>45961</v>
      </c>
      <c r="F313" s="12">
        <f>_xlfn.XLOOKUP($A313,m1_cv!$B:$B,m1_cv!$C:$C)</f>
        <v>206</v>
      </c>
      <c r="G313">
        <f>MAX(0,ROUND(SUMIFS(m1_cv!$E:$E,m1_cv!$A:$A,$E313,m1_cv!$B:$B,$A313),0))</f>
        <v>1417</v>
      </c>
      <c r="H313">
        <f>MAX(0,ROUND(SUMIFS(m2_cv!$E:$E,m2_cv!$A:$A,$E313,m2_cv!$B:$B,$A313),0))</f>
        <v>0</v>
      </c>
      <c r="I313">
        <f>MAX(0,ROUND(SUMIFS(m3_cv!$E:$E,m3_cv!$A:$A,$E313,m3_cv!$B:$B,$A313),0))</f>
        <v>0</v>
      </c>
      <c r="J313">
        <f>MAX(0,ROUND(SUMIFS(m4_cv!$E:$E,m4_cv!$A:$A,$E313,m4_cv!$B:$B,$A313),0))</f>
        <v>0</v>
      </c>
      <c r="K313">
        <f>MAX(0,ROUND(SUMIFS(m5_cv!$E:$E,m5_cv!$A:$A,$E313,m5_cv!$B:$B,$A313),0))</f>
        <v>128</v>
      </c>
      <c r="L313">
        <f>MAX(0,ROUND(SUMIFS(m6_cv!$E:$E,m6_cv!$A:$A,$E313,m6_cv!$B:$B,$A313),0))</f>
        <v>308</v>
      </c>
      <c r="M313">
        <f>MAX(0,ROUND(SUMIFS(m7_cv!$E:$E,m7_cv!$A:$A,$E313,m7_cv!$B:$B,$A313),0))</f>
        <v>177</v>
      </c>
      <c r="N313">
        <f>ROUND(_xlfn.XLOOKUP($D313,Charts!$W$86:$W$116,Charts!$X$86:$X$116)*$L313+_xlfn.XLOOKUP($D313,Charts!$W$86:$W$116,Charts!$Y$86:$Y$116)*$M313,0)</f>
        <v>243</v>
      </c>
      <c r="O313">
        <f>MAX(0,ROUND(SUMIFS(m8_cv!$E:$E,m8_cv!$A:$A,$E313,m8_cv!$B:$B,$A313),0))</f>
        <v>602</v>
      </c>
    </row>
    <row r="314" spans="1:15" x14ac:dyDescent="0.25">
      <c r="A314" s="3">
        <f t="shared" si="24"/>
        <v>45970</v>
      </c>
      <c r="B314">
        <f t="shared" si="20"/>
        <v>2025</v>
      </c>
      <c r="C314">
        <f t="shared" si="21"/>
        <v>11</v>
      </c>
      <c r="D314">
        <f t="shared" si="22"/>
        <v>9</v>
      </c>
      <c r="E314" s="2">
        <f t="shared" si="23"/>
        <v>45961</v>
      </c>
      <c r="F314" s="12">
        <f>_xlfn.XLOOKUP($A314,m1_cv!$B:$B,m1_cv!$C:$C)</f>
        <v>95</v>
      </c>
      <c r="G314">
        <f>MAX(0,ROUND(SUMIFS(m1_cv!$E:$E,m1_cv!$A:$A,$E314,m1_cv!$B:$B,$A314),0))</f>
        <v>819</v>
      </c>
      <c r="H314">
        <f>MAX(0,ROUND(SUMIFS(m2_cv!$E:$E,m2_cv!$A:$A,$E314,m2_cv!$B:$B,$A314),0))</f>
        <v>0</v>
      </c>
      <c r="I314">
        <f>MAX(0,ROUND(SUMIFS(m3_cv!$E:$E,m3_cv!$A:$A,$E314,m3_cv!$B:$B,$A314),0))</f>
        <v>0</v>
      </c>
      <c r="J314">
        <f>MAX(0,ROUND(SUMIFS(m4_cv!$E:$E,m4_cv!$A:$A,$E314,m4_cv!$B:$B,$A314),0))</f>
        <v>0</v>
      </c>
      <c r="K314">
        <f>MAX(0,ROUND(SUMIFS(m5_cv!$E:$E,m5_cv!$A:$A,$E314,m5_cv!$B:$B,$A314),0))</f>
        <v>0</v>
      </c>
      <c r="L314">
        <f>MAX(0,ROUND(SUMIFS(m6_cv!$E:$E,m6_cv!$A:$A,$E314,m6_cv!$B:$B,$A314),0))</f>
        <v>103</v>
      </c>
      <c r="M314">
        <f>MAX(0,ROUND(SUMIFS(m7_cv!$E:$E,m7_cv!$A:$A,$E314,m7_cv!$B:$B,$A314),0))</f>
        <v>0</v>
      </c>
      <c r="N314">
        <f>ROUND(_xlfn.XLOOKUP($D314,Charts!$W$86:$W$116,Charts!$X$86:$X$116)*$L314+_xlfn.XLOOKUP($D314,Charts!$W$86:$W$116,Charts!$Y$86:$Y$116)*$M314,0)</f>
        <v>52</v>
      </c>
      <c r="O314">
        <f>MAX(0,ROUND(SUMIFS(m8_cv!$E:$E,m8_cv!$A:$A,$E314,m8_cv!$B:$B,$A314),0))</f>
        <v>0</v>
      </c>
    </row>
    <row r="315" spans="1:15" x14ac:dyDescent="0.25">
      <c r="A315" s="3">
        <f t="shared" si="24"/>
        <v>45971</v>
      </c>
      <c r="B315">
        <f t="shared" si="20"/>
        <v>2025</v>
      </c>
      <c r="C315">
        <f t="shared" si="21"/>
        <v>11</v>
      </c>
      <c r="D315">
        <f t="shared" si="22"/>
        <v>10</v>
      </c>
      <c r="E315" s="2">
        <f t="shared" si="23"/>
        <v>45961</v>
      </c>
      <c r="F315" s="12">
        <f>_xlfn.XLOOKUP($A315,m1_cv!$B:$B,m1_cv!$C:$C)</f>
        <v>1552</v>
      </c>
      <c r="G315">
        <f>MAX(0,ROUND(SUMIFS(m1_cv!$E:$E,m1_cv!$A:$A,$E315,m1_cv!$B:$B,$A315),0))</f>
        <v>3089</v>
      </c>
      <c r="H315">
        <f>MAX(0,ROUND(SUMIFS(m2_cv!$E:$E,m2_cv!$A:$A,$E315,m2_cv!$B:$B,$A315),0))</f>
        <v>1687</v>
      </c>
      <c r="I315">
        <f>MAX(0,ROUND(SUMIFS(m3_cv!$E:$E,m3_cv!$A:$A,$E315,m3_cv!$B:$B,$A315),0))</f>
        <v>1961</v>
      </c>
      <c r="J315">
        <f>MAX(0,ROUND(SUMIFS(m4_cv!$E:$E,m4_cv!$A:$A,$E315,m4_cv!$B:$B,$A315),0))</f>
        <v>1954</v>
      </c>
      <c r="K315">
        <f>MAX(0,ROUND(SUMIFS(m5_cv!$E:$E,m5_cv!$A:$A,$E315,m5_cv!$B:$B,$A315),0))</f>
        <v>2037</v>
      </c>
      <c r="L315">
        <f>MAX(0,ROUND(SUMIFS(m6_cv!$E:$E,m6_cv!$A:$A,$E315,m6_cv!$B:$B,$A315),0))</f>
        <v>1264</v>
      </c>
      <c r="M315">
        <f>MAX(0,ROUND(SUMIFS(m7_cv!$E:$E,m7_cv!$A:$A,$E315,m7_cv!$B:$B,$A315),0))</f>
        <v>1994</v>
      </c>
      <c r="N315">
        <f>ROUND(_xlfn.XLOOKUP($D315,Charts!$W$86:$W$116,Charts!$X$86:$X$116)*$L315+_xlfn.XLOOKUP($D315,Charts!$W$86:$W$116,Charts!$Y$86:$Y$116)*$M315,0)</f>
        <v>1629</v>
      </c>
      <c r="O315">
        <f>MAX(0,ROUND(SUMIFS(m8_cv!$E:$E,m8_cv!$A:$A,$E315,m8_cv!$B:$B,$A315),0))</f>
        <v>2056</v>
      </c>
    </row>
    <row r="316" spans="1:15" x14ac:dyDescent="0.25">
      <c r="A316" s="3">
        <f t="shared" si="24"/>
        <v>45972</v>
      </c>
      <c r="B316">
        <f t="shared" si="20"/>
        <v>2025</v>
      </c>
      <c r="C316">
        <f t="shared" si="21"/>
        <v>11</v>
      </c>
      <c r="D316">
        <f t="shared" si="22"/>
        <v>11</v>
      </c>
      <c r="E316" s="2">
        <f t="shared" si="23"/>
        <v>45961</v>
      </c>
      <c r="F316" s="12">
        <f>_xlfn.XLOOKUP($A316,m1_cv!$B:$B,m1_cv!$C:$C)</f>
        <v>1937</v>
      </c>
      <c r="G316">
        <f>MAX(0,ROUND(SUMIFS(m1_cv!$E:$E,m1_cv!$A:$A,$E316,m1_cv!$B:$B,$A316),0))</f>
        <v>3571</v>
      </c>
      <c r="H316">
        <f>MAX(0,ROUND(SUMIFS(m2_cv!$E:$E,m2_cv!$A:$A,$E316,m2_cv!$B:$B,$A316),0))</f>
        <v>2422</v>
      </c>
      <c r="I316">
        <f>MAX(0,ROUND(SUMIFS(m3_cv!$E:$E,m3_cv!$A:$A,$E316,m3_cv!$B:$B,$A316),0))</f>
        <v>2541</v>
      </c>
      <c r="J316">
        <f>MAX(0,ROUND(SUMIFS(m4_cv!$E:$E,m4_cv!$A:$A,$E316,m4_cv!$B:$B,$A316),0))</f>
        <v>2535</v>
      </c>
      <c r="K316">
        <f>MAX(0,ROUND(SUMIFS(m5_cv!$E:$E,m5_cv!$A:$A,$E316,m5_cv!$B:$B,$A316),0))</f>
        <v>2480</v>
      </c>
      <c r="L316">
        <f>MAX(0,ROUND(SUMIFS(m6_cv!$E:$E,m6_cv!$A:$A,$E316,m6_cv!$B:$B,$A316),0))</f>
        <v>1684</v>
      </c>
      <c r="M316">
        <f>MAX(0,ROUND(SUMIFS(m7_cv!$E:$E,m7_cv!$A:$A,$E316,m7_cv!$B:$B,$A316),0))</f>
        <v>2431</v>
      </c>
      <c r="N316">
        <f>ROUND(_xlfn.XLOOKUP($D316,Charts!$W$86:$W$116,Charts!$X$86:$X$116)*$L316+_xlfn.XLOOKUP($D316,Charts!$W$86:$W$116,Charts!$Y$86:$Y$116)*$M316,0)</f>
        <v>2207</v>
      </c>
      <c r="O316">
        <f>MAX(0,ROUND(SUMIFS(m8_cv!$E:$E,m8_cv!$A:$A,$E316,m8_cv!$B:$B,$A316),0))</f>
        <v>2491</v>
      </c>
    </row>
    <row r="317" spans="1:15" x14ac:dyDescent="0.25">
      <c r="A317" s="3">
        <f t="shared" si="24"/>
        <v>45973</v>
      </c>
      <c r="B317">
        <f t="shared" si="20"/>
        <v>2025</v>
      </c>
      <c r="C317">
        <f t="shared" si="21"/>
        <v>11</v>
      </c>
      <c r="D317">
        <f t="shared" si="22"/>
        <v>12</v>
      </c>
      <c r="E317" s="2">
        <f t="shared" si="23"/>
        <v>45961</v>
      </c>
      <c r="F317" s="12">
        <f>_xlfn.XLOOKUP($A317,m1_cv!$B:$B,m1_cv!$C:$C)</f>
        <v>2198</v>
      </c>
      <c r="G317">
        <f>MAX(0,ROUND(SUMIFS(m1_cv!$E:$E,m1_cv!$A:$A,$E317,m1_cv!$B:$B,$A317),0))</f>
        <v>3544</v>
      </c>
      <c r="H317">
        <f>MAX(0,ROUND(SUMIFS(m2_cv!$E:$E,m2_cv!$A:$A,$E317,m2_cv!$B:$B,$A317),0))</f>
        <v>2651</v>
      </c>
      <c r="I317">
        <f>MAX(0,ROUND(SUMIFS(m3_cv!$E:$E,m3_cv!$A:$A,$E317,m3_cv!$B:$B,$A317),0))</f>
        <v>2864</v>
      </c>
      <c r="J317">
        <f>MAX(0,ROUND(SUMIFS(m4_cv!$E:$E,m4_cv!$A:$A,$E317,m4_cv!$B:$B,$A317),0))</f>
        <v>2857</v>
      </c>
      <c r="K317">
        <f>MAX(0,ROUND(SUMIFS(m5_cv!$E:$E,m5_cv!$A:$A,$E317,m5_cv!$B:$B,$A317),0))</f>
        <v>2669</v>
      </c>
      <c r="L317">
        <f>MAX(0,ROUND(SUMIFS(m6_cv!$E:$E,m6_cv!$A:$A,$E317,m6_cv!$B:$B,$A317),0))</f>
        <v>2018</v>
      </c>
      <c r="M317">
        <f>MAX(0,ROUND(SUMIFS(m7_cv!$E:$E,m7_cv!$A:$A,$E317,m7_cv!$B:$B,$A317),0))</f>
        <v>2672</v>
      </c>
      <c r="N317">
        <f>ROUND(_xlfn.XLOOKUP($D317,Charts!$W$86:$W$116,Charts!$X$86:$X$116)*$L317+_xlfn.XLOOKUP($D317,Charts!$W$86:$W$116,Charts!$Y$86:$Y$116)*$M317,0)</f>
        <v>2476</v>
      </c>
      <c r="O317">
        <f>MAX(0,ROUND(SUMIFS(m8_cv!$E:$E,m8_cv!$A:$A,$E317,m8_cv!$B:$B,$A317),0))</f>
        <v>2714</v>
      </c>
    </row>
    <row r="318" spans="1:15" x14ac:dyDescent="0.25">
      <c r="A318" s="3">
        <f t="shared" si="24"/>
        <v>45974</v>
      </c>
      <c r="B318">
        <f t="shared" si="20"/>
        <v>2025</v>
      </c>
      <c r="C318">
        <f t="shared" si="21"/>
        <v>11</v>
      </c>
      <c r="D318">
        <f t="shared" si="22"/>
        <v>13</v>
      </c>
      <c r="E318" s="2">
        <f t="shared" si="23"/>
        <v>45961</v>
      </c>
      <c r="F318" s="12">
        <f>_xlfn.XLOOKUP($A318,m1_cv!$B:$B,m1_cv!$C:$C)</f>
        <v>2401</v>
      </c>
      <c r="G318">
        <f>MAX(0,ROUND(SUMIFS(m1_cv!$E:$E,m1_cv!$A:$A,$E318,m1_cv!$B:$B,$A318),0))</f>
        <v>3556</v>
      </c>
      <c r="H318">
        <f>MAX(0,ROUND(SUMIFS(m2_cv!$E:$E,m2_cv!$A:$A,$E318,m2_cv!$B:$B,$A318),0))</f>
        <v>2756</v>
      </c>
      <c r="I318">
        <f>MAX(0,ROUND(SUMIFS(m3_cv!$E:$E,m3_cv!$A:$A,$E318,m3_cv!$B:$B,$A318),0))</f>
        <v>2956</v>
      </c>
      <c r="J318">
        <f>MAX(0,ROUND(SUMIFS(m4_cv!$E:$E,m4_cv!$A:$A,$E318,m4_cv!$B:$B,$A318),0))</f>
        <v>2950</v>
      </c>
      <c r="K318">
        <f>MAX(0,ROUND(SUMIFS(m5_cv!$E:$E,m5_cv!$A:$A,$E318,m5_cv!$B:$B,$A318),0))</f>
        <v>2732</v>
      </c>
      <c r="L318">
        <f>MAX(0,ROUND(SUMIFS(m6_cv!$E:$E,m6_cv!$A:$A,$E318,m6_cv!$B:$B,$A318),0))</f>
        <v>2338</v>
      </c>
      <c r="M318">
        <f>MAX(0,ROUND(SUMIFS(m7_cv!$E:$E,m7_cv!$A:$A,$E318,m7_cv!$B:$B,$A318),0))</f>
        <v>2751</v>
      </c>
      <c r="N318">
        <f>ROUND(_xlfn.XLOOKUP($D318,Charts!$W$86:$W$116,Charts!$X$86:$X$116)*$L318+_xlfn.XLOOKUP($D318,Charts!$W$86:$W$116,Charts!$Y$86:$Y$116)*$M318,0)</f>
        <v>2627</v>
      </c>
      <c r="O318">
        <f>MAX(0,ROUND(SUMIFS(m8_cv!$E:$E,m8_cv!$A:$A,$E318,m8_cv!$B:$B,$A318),0))</f>
        <v>2791</v>
      </c>
    </row>
    <row r="319" spans="1:15" x14ac:dyDescent="0.25">
      <c r="A319" s="3">
        <f t="shared" si="24"/>
        <v>45975</v>
      </c>
      <c r="B319">
        <f t="shared" si="20"/>
        <v>2025</v>
      </c>
      <c r="C319">
        <f t="shared" si="21"/>
        <v>11</v>
      </c>
      <c r="D319">
        <f t="shared" si="22"/>
        <v>14</v>
      </c>
      <c r="E319" s="2">
        <f t="shared" si="23"/>
        <v>45961</v>
      </c>
      <c r="F319" s="12">
        <f>_xlfn.XLOOKUP($A319,m1_cv!$B:$B,m1_cv!$C:$C)</f>
        <v>2547</v>
      </c>
      <c r="G319">
        <f>MAX(0,ROUND(SUMIFS(m1_cv!$E:$E,m1_cv!$A:$A,$E319,m1_cv!$B:$B,$A319),0))</f>
        <v>3485</v>
      </c>
      <c r="H319">
        <f>MAX(0,ROUND(SUMIFS(m2_cv!$E:$E,m2_cv!$A:$A,$E319,m2_cv!$B:$B,$A319),0))</f>
        <v>2670</v>
      </c>
      <c r="I319">
        <f>MAX(0,ROUND(SUMIFS(m3_cv!$E:$E,m3_cv!$A:$A,$E319,m3_cv!$B:$B,$A319),0))</f>
        <v>2776</v>
      </c>
      <c r="J319">
        <f>MAX(0,ROUND(SUMIFS(m4_cv!$E:$E,m4_cv!$A:$A,$E319,m4_cv!$B:$B,$A319),0))</f>
        <v>2769</v>
      </c>
      <c r="K319">
        <f>MAX(0,ROUND(SUMIFS(m5_cv!$E:$E,m5_cv!$A:$A,$E319,m5_cv!$B:$B,$A319),0))</f>
        <v>2708</v>
      </c>
      <c r="L319">
        <f>MAX(0,ROUND(SUMIFS(m6_cv!$E:$E,m6_cv!$A:$A,$E319,m6_cv!$B:$B,$A319),0))</f>
        <v>2293</v>
      </c>
      <c r="M319">
        <f>MAX(0,ROUND(SUMIFS(m7_cv!$E:$E,m7_cv!$A:$A,$E319,m7_cv!$B:$B,$A319),0))</f>
        <v>2727</v>
      </c>
      <c r="N319">
        <f>ROUND(_xlfn.XLOOKUP($D319,Charts!$W$86:$W$116,Charts!$X$86:$X$116)*$L319+_xlfn.XLOOKUP($D319,Charts!$W$86:$W$116,Charts!$Y$86:$Y$116)*$M319,0)</f>
        <v>2727</v>
      </c>
      <c r="O319">
        <f>MAX(0,ROUND(SUMIFS(m8_cv!$E:$E,m8_cv!$A:$A,$E319,m8_cv!$B:$B,$A319),0))</f>
        <v>2765</v>
      </c>
    </row>
    <row r="320" spans="1:15" x14ac:dyDescent="0.25">
      <c r="A320" s="3">
        <f t="shared" si="24"/>
        <v>45976</v>
      </c>
      <c r="B320">
        <f t="shared" si="20"/>
        <v>2025</v>
      </c>
      <c r="C320">
        <f t="shared" si="21"/>
        <v>11</v>
      </c>
      <c r="D320">
        <f t="shared" si="22"/>
        <v>15</v>
      </c>
      <c r="E320" s="2">
        <f t="shared" si="23"/>
        <v>45961</v>
      </c>
      <c r="F320" s="12">
        <f>_xlfn.XLOOKUP($A320,m1_cv!$B:$B,m1_cv!$C:$C)</f>
        <v>773</v>
      </c>
      <c r="G320">
        <f>MAX(0,ROUND(SUMIFS(m1_cv!$E:$E,m1_cv!$A:$A,$E320,m1_cv!$B:$B,$A320),0))</f>
        <v>1162</v>
      </c>
      <c r="H320">
        <f>MAX(0,ROUND(SUMIFS(m2_cv!$E:$E,m2_cv!$A:$A,$E320,m2_cv!$B:$B,$A320),0))</f>
        <v>410</v>
      </c>
      <c r="I320">
        <f>MAX(0,ROUND(SUMIFS(m3_cv!$E:$E,m3_cv!$A:$A,$E320,m3_cv!$B:$B,$A320),0))</f>
        <v>432</v>
      </c>
      <c r="J320">
        <f>MAX(0,ROUND(SUMIFS(m4_cv!$E:$E,m4_cv!$A:$A,$E320,m4_cv!$B:$B,$A320),0))</f>
        <v>424</v>
      </c>
      <c r="K320">
        <f>MAX(0,ROUND(SUMIFS(m5_cv!$E:$E,m5_cv!$A:$A,$E320,m5_cv!$B:$B,$A320),0))</f>
        <v>495</v>
      </c>
      <c r="L320">
        <f>MAX(0,ROUND(SUMIFS(m6_cv!$E:$E,m6_cv!$A:$A,$E320,m6_cv!$B:$B,$A320),0))</f>
        <v>382</v>
      </c>
      <c r="M320">
        <f>MAX(0,ROUND(SUMIFS(m7_cv!$E:$E,m7_cv!$A:$A,$E320,m7_cv!$B:$B,$A320),0))</f>
        <v>500</v>
      </c>
      <c r="N320">
        <f>ROUND(_xlfn.XLOOKUP($D320,Charts!$W$86:$W$116,Charts!$X$86:$X$116)*$L320+_xlfn.XLOOKUP($D320,Charts!$W$86:$W$116,Charts!$Y$86:$Y$116)*$M320,0)</f>
        <v>500</v>
      </c>
      <c r="O320">
        <f>MAX(0,ROUND(SUMIFS(m8_cv!$E:$E,m8_cv!$A:$A,$E320,m8_cv!$B:$B,$A320),0))</f>
        <v>543</v>
      </c>
    </row>
    <row r="321" spans="1:15" x14ac:dyDescent="0.25">
      <c r="A321" s="3">
        <f t="shared" si="24"/>
        <v>45977</v>
      </c>
      <c r="B321">
        <f t="shared" si="20"/>
        <v>2025</v>
      </c>
      <c r="C321">
        <f t="shared" si="21"/>
        <v>11</v>
      </c>
      <c r="D321">
        <f t="shared" si="22"/>
        <v>16</v>
      </c>
      <c r="E321" s="2">
        <f t="shared" si="23"/>
        <v>45961</v>
      </c>
      <c r="F321" s="12">
        <f>_xlfn.XLOOKUP($A321,m1_cv!$B:$B,m1_cv!$C:$C)</f>
        <v>113</v>
      </c>
      <c r="G321">
        <f>MAX(0,ROUND(SUMIFS(m1_cv!$E:$E,m1_cv!$A:$A,$E321,m1_cv!$B:$B,$A321),0))</f>
        <v>552</v>
      </c>
      <c r="H321">
        <f>MAX(0,ROUND(SUMIFS(m2_cv!$E:$E,m2_cv!$A:$A,$E321,m2_cv!$B:$B,$A321),0))</f>
        <v>19</v>
      </c>
      <c r="I321">
        <f>MAX(0,ROUND(SUMIFS(m3_cv!$E:$E,m3_cv!$A:$A,$E321,m3_cv!$B:$B,$A321),0))</f>
        <v>56</v>
      </c>
      <c r="J321">
        <f>MAX(0,ROUND(SUMIFS(m4_cv!$E:$E,m4_cv!$A:$A,$E321,m4_cv!$B:$B,$A321),0))</f>
        <v>49</v>
      </c>
      <c r="K321">
        <f>MAX(0,ROUND(SUMIFS(m5_cv!$E:$E,m5_cv!$A:$A,$E321,m5_cv!$B:$B,$A321),0))</f>
        <v>89</v>
      </c>
      <c r="L321">
        <f>MAX(0,ROUND(SUMIFS(m6_cv!$E:$E,m6_cv!$A:$A,$E321,m6_cv!$B:$B,$A321),0))</f>
        <v>140</v>
      </c>
      <c r="M321">
        <f>MAX(0,ROUND(SUMIFS(m7_cv!$E:$E,m7_cv!$A:$A,$E321,m7_cv!$B:$B,$A321),0))</f>
        <v>87</v>
      </c>
      <c r="N321">
        <f>ROUND(_xlfn.XLOOKUP($D321,Charts!$W$86:$W$116,Charts!$X$86:$X$116)*$L321+_xlfn.XLOOKUP($D321,Charts!$W$86:$W$116,Charts!$Y$86:$Y$116)*$M321,0)</f>
        <v>87</v>
      </c>
      <c r="O321">
        <f>MAX(0,ROUND(SUMIFS(m8_cv!$E:$E,m8_cv!$A:$A,$E321,m8_cv!$B:$B,$A321),0))</f>
        <v>129</v>
      </c>
    </row>
    <row r="322" spans="1:15" x14ac:dyDescent="0.25">
      <c r="A322" s="3">
        <f t="shared" si="24"/>
        <v>45978</v>
      </c>
      <c r="B322">
        <f t="shared" si="20"/>
        <v>2025</v>
      </c>
      <c r="C322">
        <f t="shared" si="21"/>
        <v>11</v>
      </c>
      <c r="D322">
        <f t="shared" si="22"/>
        <v>17</v>
      </c>
      <c r="E322" s="2">
        <f t="shared" si="23"/>
        <v>45961</v>
      </c>
      <c r="F322" s="12">
        <f>_xlfn.XLOOKUP($A322,m1_cv!$B:$B,m1_cv!$C:$C)</f>
        <v>2849</v>
      </c>
      <c r="G322">
        <f>MAX(0,ROUND(SUMIFS(m1_cv!$E:$E,m1_cv!$A:$A,$E322,m1_cv!$B:$B,$A322),0))</f>
        <v>2816</v>
      </c>
      <c r="H322">
        <f>MAX(0,ROUND(SUMIFS(m2_cv!$E:$E,m2_cv!$A:$A,$E322,m2_cv!$B:$B,$A322),0))</f>
        <v>2558</v>
      </c>
      <c r="I322">
        <f>MAX(0,ROUND(SUMIFS(m3_cv!$E:$E,m3_cv!$A:$A,$E322,m3_cv!$B:$B,$A322),0))</f>
        <v>2870</v>
      </c>
      <c r="J322">
        <f>MAX(0,ROUND(SUMIFS(m4_cv!$E:$E,m4_cv!$A:$A,$E322,m4_cv!$B:$B,$A322),0))</f>
        <v>2863</v>
      </c>
      <c r="K322">
        <f>MAX(0,ROUND(SUMIFS(m5_cv!$E:$E,m5_cv!$A:$A,$E322,m5_cv!$B:$B,$A322),0))</f>
        <v>2742</v>
      </c>
      <c r="L322">
        <f>MAX(0,ROUND(SUMIFS(m6_cv!$E:$E,m6_cv!$A:$A,$E322,m6_cv!$B:$B,$A322),0))</f>
        <v>1861</v>
      </c>
      <c r="M322">
        <f>MAX(0,ROUND(SUMIFS(m7_cv!$E:$E,m7_cv!$A:$A,$E322,m7_cv!$B:$B,$A322),0))</f>
        <v>2742</v>
      </c>
      <c r="N322">
        <f>ROUND(_xlfn.XLOOKUP($D322,Charts!$W$86:$W$116,Charts!$X$86:$X$116)*$L322+_xlfn.XLOOKUP($D322,Charts!$W$86:$W$116,Charts!$Y$86:$Y$116)*$M322,0)</f>
        <v>2742</v>
      </c>
      <c r="O322">
        <f>MAX(0,ROUND(SUMIFS(m8_cv!$E:$E,m8_cv!$A:$A,$E322,m8_cv!$B:$B,$A322),0))</f>
        <v>2793</v>
      </c>
    </row>
    <row r="323" spans="1:15" x14ac:dyDescent="0.25">
      <c r="A323" s="3">
        <f t="shared" si="24"/>
        <v>45979</v>
      </c>
      <c r="B323">
        <f t="shared" ref="B323:B386" si="25">YEAR(A323)</f>
        <v>2025</v>
      </c>
      <c r="C323">
        <f t="shared" ref="C323:C386" si="26">MONTH($A323)</f>
        <v>11</v>
      </c>
      <c r="D323">
        <f t="shared" ref="D323:D386" si="27">DAY($A323)</f>
        <v>18</v>
      </c>
      <c r="E323" s="2">
        <f t="shared" ref="E323:E386" si="28">DATE($B323,$C323,1)-1</f>
        <v>45961</v>
      </c>
      <c r="F323" s="12">
        <f>_xlfn.XLOOKUP($A323,m1_cv!$B:$B,m1_cv!$C:$C)</f>
        <v>3351</v>
      </c>
      <c r="G323">
        <f>MAX(0,ROUND(SUMIFS(m1_cv!$E:$E,m1_cv!$A:$A,$E323,m1_cv!$B:$B,$A323),0))</f>
        <v>3297</v>
      </c>
      <c r="H323">
        <f>MAX(0,ROUND(SUMIFS(m2_cv!$E:$E,m2_cv!$A:$A,$E323,m2_cv!$B:$B,$A323),0))</f>
        <v>3154</v>
      </c>
      <c r="I323">
        <f>MAX(0,ROUND(SUMIFS(m3_cv!$E:$E,m3_cv!$A:$A,$E323,m3_cv!$B:$B,$A323),0))</f>
        <v>3290</v>
      </c>
      <c r="J323">
        <f>MAX(0,ROUND(SUMIFS(m4_cv!$E:$E,m4_cv!$A:$A,$E323,m4_cv!$B:$B,$A323),0))</f>
        <v>3283</v>
      </c>
      <c r="K323">
        <f>MAX(0,ROUND(SUMIFS(m5_cv!$E:$E,m5_cv!$A:$A,$E323,m5_cv!$B:$B,$A323),0))</f>
        <v>3101</v>
      </c>
      <c r="L323">
        <f>MAX(0,ROUND(SUMIFS(m6_cv!$E:$E,m6_cv!$A:$A,$E323,m6_cv!$B:$B,$A323),0))</f>
        <v>2549</v>
      </c>
      <c r="M323">
        <f>MAX(0,ROUND(SUMIFS(m7_cv!$E:$E,m7_cv!$A:$A,$E323,m7_cv!$B:$B,$A323),0))</f>
        <v>3061</v>
      </c>
      <c r="N323">
        <f>ROUND(_xlfn.XLOOKUP($D323,Charts!$W$86:$W$116,Charts!$X$86:$X$116)*$L323+_xlfn.XLOOKUP($D323,Charts!$W$86:$W$116,Charts!$Y$86:$Y$116)*$M323,0)</f>
        <v>3061</v>
      </c>
      <c r="O323">
        <f>MAX(0,ROUND(SUMIFS(m8_cv!$E:$E,m8_cv!$A:$A,$E323,m8_cv!$B:$B,$A323),0))</f>
        <v>3114</v>
      </c>
    </row>
    <row r="324" spans="1:15" x14ac:dyDescent="0.25">
      <c r="A324" s="3">
        <f t="shared" ref="A324:A387" si="29">A323+1</f>
        <v>45980</v>
      </c>
      <c r="B324">
        <f t="shared" si="25"/>
        <v>2025</v>
      </c>
      <c r="C324">
        <f t="shared" si="26"/>
        <v>11</v>
      </c>
      <c r="D324">
        <f t="shared" si="27"/>
        <v>19</v>
      </c>
      <c r="E324" s="2">
        <f t="shared" si="28"/>
        <v>45961</v>
      </c>
      <c r="F324" s="12">
        <f>_xlfn.XLOOKUP($A324,m1_cv!$B:$B,m1_cv!$C:$C)</f>
        <v>3248</v>
      </c>
      <c r="G324">
        <f>MAX(0,ROUND(SUMIFS(m1_cv!$E:$E,m1_cv!$A:$A,$E324,m1_cv!$B:$B,$A324),0))</f>
        <v>3276</v>
      </c>
      <c r="H324">
        <f>MAX(0,ROUND(SUMIFS(m2_cv!$E:$E,m2_cv!$A:$A,$E324,m2_cv!$B:$B,$A324),0))</f>
        <v>3100</v>
      </c>
      <c r="I324">
        <f>MAX(0,ROUND(SUMIFS(m3_cv!$E:$E,m3_cv!$A:$A,$E324,m3_cv!$B:$B,$A324),0))</f>
        <v>3267</v>
      </c>
      <c r="J324">
        <f>MAX(0,ROUND(SUMIFS(m4_cv!$E:$E,m4_cv!$A:$A,$E324,m4_cv!$B:$B,$A324),0))</f>
        <v>3260</v>
      </c>
      <c r="K324">
        <f>MAX(0,ROUND(SUMIFS(m5_cv!$E:$E,m5_cv!$A:$A,$E324,m5_cv!$B:$B,$A324),0))</f>
        <v>3150</v>
      </c>
      <c r="L324">
        <f>MAX(0,ROUND(SUMIFS(m6_cv!$E:$E,m6_cv!$A:$A,$E324,m6_cv!$B:$B,$A324),0))</f>
        <v>2920</v>
      </c>
      <c r="M324">
        <f>MAX(0,ROUND(SUMIFS(m7_cv!$E:$E,m7_cv!$A:$A,$E324,m7_cv!$B:$B,$A324),0))</f>
        <v>3144</v>
      </c>
      <c r="N324">
        <f>ROUND(_xlfn.XLOOKUP($D324,Charts!$W$86:$W$116,Charts!$X$86:$X$116)*$L324+_xlfn.XLOOKUP($D324,Charts!$W$86:$W$116,Charts!$Y$86:$Y$116)*$M324,0)</f>
        <v>3144</v>
      </c>
      <c r="O324">
        <f>MAX(0,ROUND(SUMIFS(m8_cv!$E:$E,m8_cv!$A:$A,$E324,m8_cv!$B:$B,$A324),0))</f>
        <v>3188</v>
      </c>
    </row>
    <row r="325" spans="1:15" x14ac:dyDescent="0.25">
      <c r="A325" s="3">
        <f t="shared" si="29"/>
        <v>45981</v>
      </c>
      <c r="B325">
        <f t="shared" si="25"/>
        <v>2025</v>
      </c>
      <c r="C325">
        <f t="shared" si="26"/>
        <v>11</v>
      </c>
      <c r="D325">
        <f t="shared" si="27"/>
        <v>20</v>
      </c>
      <c r="E325" s="2">
        <f t="shared" si="28"/>
        <v>45961</v>
      </c>
      <c r="F325" s="12">
        <f>_xlfn.XLOOKUP($A325,m1_cv!$B:$B,m1_cv!$C:$C)</f>
        <v>3581</v>
      </c>
      <c r="G325">
        <f>MAX(0,ROUND(SUMIFS(m1_cv!$E:$E,m1_cv!$A:$A,$E325,m1_cv!$B:$B,$A325),0))</f>
        <v>3300</v>
      </c>
      <c r="H325">
        <f>MAX(0,ROUND(SUMIFS(m2_cv!$E:$E,m2_cv!$A:$A,$E325,m2_cv!$B:$B,$A325),0))</f>
        <v>3075</v>
      </c>
      <c r="I325">
        <f>MAX(0,ROUND(SUMIFS(m3_cv!$E:$E,m3_cv!$A:$A,$E325,m3_cv!$B:$B,$A325),0))</f>
        <v>3158</v>
      </c>
      <c r="J325">
        <f>MAX(0,ROUND(SUMIFS(m4_cv!$E:$E,m4_cv!$A:$A,$E325,m4_cv!$B:$B,$A325),0))</f>
        <v>3150</v>
      </c>
      <c r="K325">
        <f>MAX(0,ROUND(SUMIFS(m5_cv!$E:$E,m5_cv!$A:$A,$E325,m5_cv!$B:$B,$A325),0))</f>
        <v>3162</v>
      </c>
      <c r="L325">
        <f>MAX(0,ROUND(SUMIFS(m6_cv!$E:$E,m6_cv!$A:$A,$E325,m6_cv!$B:$B,$A325),0))</f>
        <v>3137</v>
      </c>
      <c r="M325">
        <f>MAX(0,ROUND(SUMIFS(m7_cv!$E:$E,m7_cv!$A:$A,$E325,m7_cv!$B:$B,$A325),0))</f>
        <v>3256</v>
      </c>
      <c r="N325">
        <f>ROUND(_xlfn.XLOOKUP($D325,Charts!$W$86:$W$116,Charts!$X$86:$X$116)*$L325+_xlfn.XLOOKUP($D325,Charts!$W$86:$W$116,Charts!$Y$86:$Y$116)*$M325,0)</f>
        <v>3256</v>
      </c>
      <c r="O325">
        <f>MAX(0,ROUND(SUMIFS(m8_cv!$E:$E,m8_cv!$A:$A,$E325,m8_cv!$B:$B,$A325),0))</f>
        <v>3310</v>
      </c>
    </row>
    <row r="326" spans="1:15" x14ac:dyDescent="0.25">
      <c r="A326" s="3">
        <f t="shared" si="29"/>
        <v>45982</v>
      </c>
      <c r="B326">
        <f t="shared" si="25"/>
        <v>2025</v>
      </c>
      <c r="C326">
        <f t="shared" si="26"/>
        <v>11</v>
      </c>
      <c r="D326">
        <f t="shared" si="27"/>
        <v>21</v>
      </c>
      <c r="E326" s="2">
        <f t="shared" si="28"/>
        <v>45961</v>
      </c>
      <c r="F326" s="12">
        <f>_xlfn.XLOOKUP($A326,m1_cv!$B:$B,m1_cv!$C:$C)</f>
        <v>3622</v>
      </c>
      <c r="G326">
        <f>MAX(0,ROUND(SUMIFS(m1_cv!$E:$E,m1_cv!$A:$A,$E326,m1_cv!$B:$B,$A326),0))</f>
        <v>3248</v>
      </c>
      <c r="H326">
        <f>MAX(0,ROUND(SUMIFS(m2_cv!$E:$E,m2_cv!$A:$A,$E326,m2_cv!$B:$B,$A326),0))</f>
        <v>3153</v>
      </c>
      <c r="I326">
        <f>MAX(0,ROUND(SUMIFS(m3_cv!$E:$E,m3_cv!$A:$A,$E326,m3_cv!$B:$B,$A326),0))</f>
        <v>3108</v>
      </c>
      <c r="J326">
        <f>MAX(0,ROUND(SUMIFS(m4_cv!$E:$E,m4_cv!$A:$A,$E326,m4_cv!$B:$B,$A326),0))</f>
        <v>3100</v>
      </c>
      <c r="K326">
        <f>MAX(0,ROUND(SUMIFS(m5_cv!$E:$E,m5_cv!$A:$A,$E326,m5_cv!$B:$B,$A326),0))</f>
        <v>3212</v>
      </c>
      <c r="L326">
        <f>MAX(0,ROUND(SUMIFS(m6_cv!$E:$E,m6_cv!$A:$A,$E326,m6_cv!$B:$B,$A326),0))</f>
        <v>2948</v>
      </c>
      <c r="M326">
        <f>MAX(0,ROUND(SUMIFS(m7_cv!$E:$E,m7_cv!$A:$A,$E326,m7_cv!$B:$B,$A326),0))</f>
        <v>3248</v>
      </c>
      <c r="N326">
        <f>ROUND(_xlfn.XLOOKUP($D326,Charts!$W$86:$W$116,Charts!$X$86:$X$116)*$L326+_xlfn.XLOOKUP($D326,Charts!$W$86:$W$116,Charts!$Y$86:$Y$116)*$M326,0)</f>
        <v>3248</v>
      </c>
      <c r="O326">
        <f>MAX(0,ROUND(SUMIFS(m8_cv!$E:$E,m8_cv!$A:$A,$E326,m8_cv!$B:$B,$A326),0))</f>
        <v>3282</v>
      </c>
    </row>
    <row r="327" spans="1:15" x14ac:dyDescent="0.25">
      <c r="A327" s="3">
        <f t="shared" si="29"/>
        <v>45983</v>
      </c>
      <c r="B327">
        <f t="shared" si="25"/>
        <v>2025</v>
      </c>
      <c r="C327">
        <f t="shared" si="26"/>
        <v>11</v>
      </c>
      <c r="D327">
        <f t="shared" si="27"/>
        <v>22</v>
      </c>
      <c r="E327" s="2">
        <f t="shared" si="28"/>
        <v>45961</v>
      </c>
      <c r="F327" s="12">
        <f>_xlfn.XLOOKUP($A327,m1_cv!$B:$B,m1_cv!$C:$C)</f>
        <v>783</v>
      </c>
      <c r="G327">
        <f>MAX(0,ROUND(SUMIFS(m1_cv!$E:$E,m1_cv!$A:$A,$E327,m1_cv!$B:$B,$A327),0))</f>
        <v>949</v>
      </c>
      <c r="H327">
        <f>MAX(0,ROUND(SUMIFS(m2_cv!$E:$E,m2_cv!$A:$A,$E327,m2_cv!$B:$B,$A327),0))</f>
        <v>1188</v>
      </c>
      <c r="I327">
        <f>MAX(0,ROUND(SUMIFS(m3_cv!$E:$E,m3_cv!$A:$A,$E327,m3_cv!$B:$B,$A327),0))</f>
        <v>1080</v>
      </c>
      <c r="J327">
        <f>MAX(0,ROUND(SUMIFS(m4_cv!$E:$E,m4_cv!$A:$A,$E327,m4_cv!$B:$B,$A327),0))</f>
        <v>1071</v>
      </c>
      <c r="K327">
        <f>MAX(0,ROUND(SUMIFS(m5_cv!$E:$E,m5_cv!$A:$A,$E327,m5_cv!$B:$B,$A327),0))</f>
        <v>1109</v>
      </c>
      <c r="L327">
        <f>MAX(0,ROUND(SUMIFS(m6_cv!$E:$E,m6_cv!$A:$A,$E327,m6_cv!$B:$B,$A327),0))</f>
        <v>503</v>
      </c>
      <c r="M327">
        <f>MAX(0,ROUND(SUMIFS(m7_cv!$E:$E,m7_cv!$A:$A,$E327,m7_cv!$B:$B,$A327),0))</f>
        <v>1024</v>
      </c>
      <c r="N327">
        <f>ROUND(_xlfn.XLOOKUP($D327,Charts!$W$86:$W$116,Charts!$X$86:$X$116)*$L327+_xlfn.XLOOKUP($D327,Charts!$W$86:$W$116,Charts!$Y$86:$Y$116)*$M327,0)</f>
        <v>1024</v>
      </c>
      <c r="O327">
        <f>MAX(0,ROUND(SUMIFS(m8_cv!$E:$E,m8_cv!$A:$A,$E327,m8_cv!$B:$B,$A327),0))</f>
        <v>1059</v>
      </c>
    </row>
    <row r="328" spans="1:15" x14ac:dyDescent="0.25">
      <c r="A328" s="3">
        <f t="shared" si="29"/>
        <v>45984</v>
      </c>
      <c r="B328">
        <f t="shared" si="25"/>
        <v>2025</v>
      </c>
      <c r="C328">
        <f t="shared" si="26"/>
        <v>11</v>
      </c>
      <c r="D328">
        <f t="shared" si="27"/>
        <v>23</v>
      </c>
      <c r="E328" s="2">
        <f t="shared" si="28"/>
        <v>45961</v>
      </c>
      <c r="F328" s="12">
        <f>_xlfn.XLOOKUP($A328,m1_cv!$B:$B,m1_cv!$C:$C)</f>
        <v>188</v>
      </c>
      <c r="G328">
        <f>MAX(0,ROUND(SUMIFS(m1_cv!$E:$E,m1_cv!$A:$A,$E328,m1_cv!$B:$B,$A328),0))</f>
        <v>369</v>
      </c>
      <c r="H328">
        <f>MAX(0,ROUND(SUMIFS(m2_cv!$E:$E,m2_cv!$A:$A,$E328,m2_cv!$B:$B,$A328),0))</f>
        <v>921</v>
      </c>
      <c r="I328">
        <f>MAX(0,ROUND(SUMIFS(m3_cv!$E:$E,m3_cv!$A:$A,$E328,m3_cv!$B:$B,$A328),0))</f>
        <v>879</v>
      </c>
      <c r="J328">
        <f>MAX(0,ROUND(SUMIFS(m4_cv!$E:$E,m4_cv!$A:$A,$E328,m4_cv!$B:$B,$A328),0))</f>
        <v>871</v>
      </c>
      <c r="K328">
        <f>MAX(0,ROUND(SUMIFS(m5_cv!$E:$E,m5_cv!$A:$A,$E328,m5_cv!$B:$B,$A328),0))</f>
        <v>738</v>
      </c>
      <c r="L328">
        <f>MAX(0,ROUND(SUMIFS(m6_cv!$E:$E,m6_cv!$A:$A,$E328,m6_cv!$B:$B,$A328),0))</f>
        <v>195</v>
      </c>
      <c r="M328">
        <f>MAX(0,ROUND(SUMIFS(m7_cv!$E:$E,m7_cv!$A:$A,$E328,m7_cv!$B:$B,$A328),0))</f>
        <v>680</v>
      </c>
      <c r="N328">
        <f>ROUND(_xlfn.XLOOKUP($D328,Charts!$W$86:$W$116,Charts!$X$86:$X$116)*$L328+_xlfn.XLOOKUP($D328,Charts!$W$86:$W$116,Charts!$Y$86:$Y$116)*$M328,0)</f>
        <v>680</v>
      </c>
      <c r="O328">
        <f>MAX(0,ROUND(SUMIFS(m8_cv!$E:$E,m8_cv!$A:$A,$E328,m8_cv!$B:$B,$A328),0))</f>
        <v>731</v>
      </c>
    </row>
    <row r="329" spans="1:15" x14ac:dyDescent="0.25">
      <c r="A329" s="3">
        <f t="shared" si="29"/>
        <v>45985</v>
      </c>
      <c r="B329">
        <f t="shared" si="25"/>
        <v>2025</v>
      </c>
      <c r="C329">
        <f t="shared" si="26"/>
        <v>11</v>
      </c>
      <c r="D329">
        <f t="shared" si="27"/>
        <v>24</v>
      </c>
      <c r="E329" s="2">
        <f t="shared" si="28"/>
        <v>45961</v>
      </c>
      <c r="F329" s="12">
        <f>_xlfn.XLOOKUP($A329,m1_cv!$B:$B,m1_cv!$C:$C)</f>
        <v>3515</v>
      </c>
      <c r="G329">
        <f>MAX(0,ROUND(SUMIFS(m1_cv!$E:$E,m1_cv!$A:$A,$E329,m1_cv!$B:$B,$A329),0))</f>
        <v>2667</v>
      </c>
      <c r="H329">
        <f>MAX(0,ROUND(SUMIFS(m2_cv!$E:$E,m2_cv!$A:$A,$E329,m2_cv!$B:$B,$A329),0))</f>
        <v>3300</v>
      </c>
      <c r="I329">
        <f>MAX(0,ROUND(SUMIFS(m3_cv!$E:$E,m3_cv!$A:$A,$E329,m3_cv!$B:$B,$A329),0))</f>
        <v>3566</v>
      </c>
      <c r="J329">
        <f>MAX(0,ROUND(SUMIFS(m4_cv!$E:$E,m4_cv!$A:$A,$E329,m4_cv!$B:$B,$A329),0))</f>
        <v>3559</v>
      </c>
      <c r="K329">
        <f>MAX(0,ROUND(SUMIFS(m5_cv!$E:$E,m5_cv!$A:$A,$E329,m5_cv!$B:$B,$A329),0))</f>
        <v>3331</v>
      </c>
      <c r="L329">
        <f>MAX(0,ROUND(SUMIFS(m6_cv!$E:$E,m6_cv!$A:$A,$E329,m6_cv!$B:$B,$A329),0))</f>
        <v>2669</v>
      </c>
      <c r="M329">
        <f>MAX(0,ROUND(SUMIFS(m7_cv!$E:$E,m7_cv!$A:$A,$E329,m7_cv!$B:$B,$A329),0))</f>
        <v>3363</v>
      </c>
      <c r="N329">
        <f>ROUND(_xlfn.XLOOKUP($D329,Charts!$W$86:$W$116,Charts!$X$86:$X$116)*$L329+_xlfn.XLOOKUP($D329,Charts!$W$86:$W$116,Charts!$Y$86:$Y$116)*$M329,0)</f>
        <v>2669</v>
      </c>
      <c r="O329">
        <f>MAX(0,ROUND(SUMIFS(m8_cv!$E:$E,m8_cv!$A:$A,$E329,m8_cv!$B:$B,$A329),0))</f>
        <v>3415</v>
      </c>
    </row>
    <row r="330" spans="1:15" x14ac:dyDescent="0.25">
      <c r="A330" s="3">
        <f t="shared" si="29"/>
        <v>45986</v>
      </c>
      <c r="B330">
        <f t="shared" si="25"/>
        <v>2025</v>
      </c>
      <c r="C330">
        <f t="shared" si="26"/>
        <v>11</v>
      </c>
      <c r="D330">
        <f t="shared" si="27"/>
        <v>25</v>
      </c>
      <c r="E330" s="2">
        <f t="shared" si="28"/>
        <v>45961</v>
      </c>
      <c r="F330" s="12">
        <f>_xlfn.XLOOKUP($A330,m1_cv!$B:$B,m1_cv!$C:$C)</f>
        <v>4824</v>
      </c>
      <c r="G330">
        <f>MAX(0,ROUND(SUMIFS(m1_cv!$E:$E,m1_cv!$A:$A,$E330,m1_cv!$B:$B,$A330),0))</f>
        <v>3186</v>
      </c>
      <c r="H330">
        <f>MAX(0,ROUND(SUMIFS(m2_cv!$E:$E,m2_cv!$A:$A,$E330,m2_cv!$B:$B,$A330),0))</f>
        <v>3685</v>
      </c>
      <c r="I330">
        <f>MAX(0,ROUND(SUMIFS(m3_cv!$E:$E,m3_cv!$A:$A,$E330,m3_cv!$B:$B,$A330),0))</f>
        <v>3768</v>
      </c>
      <c r="J330">
        <f>MAX(0,ROUND(SUMIFS(m4_cv!$E:$E,m4_cv!$A:$A,$E330,m4_cv!$B:$B,$A330),0))</f>
        <v>3761</v>
      </c>
      <c r="K330">
        <f>MAX(0,ROUND(SUMIFS(m5_cv!$E:$E,m5_cv!$A:$A,$E330,m5_cv!$B:$B,$A330),0))</f>
        <v>3631</v>
      </c>
      <c r="L330">
        <f>MAX(0,ROUND(SUMIFS(m6_cv!$E:$E,m6_cv!$A:$A,$E330,m6_cv!$B:$B,$A330),0))</f>
        <v>3516</v>
      </c>
      <c r="M330">
        <f>MAX(0,ROUND(SUMIFS(m7_cv!$E:$E,m7_cv!$A:$A,$E330,m7_cv!$B:$B,$A330),0))</f>
        <v>3733</v>
      </c>
      <c r="N330">
        <f>ROUND(_xlfn.XLOOKUP($D330,Charts!$W$86:$W$116,Charts!$X$86:$X$116)*$L330+_xlfn.XLOOKUP($D330,Charts!$W$86:$W$116,Charts!$Y$86:$Y$116)*$M330,0)</f>
        <v>3516</v>
      </c>
      <c r="O330">
        <f>MAX(0,ROUND(SUMIFS(m8_cv!$E:$E,m8_cv!$A:$A,$E330,m8_cv!$B:$B,$A330),0))</f>
        <v>3795</v>
      </c>
    </row>
    <row r="331" spans="1:15" x14ac:dyDescent="0.25">
      <c r="A331" s="3">
        <f t="shared" si="29"/>
        <v>45987</v>
      </c>
      <c r="B331">
        <f t="shared" si="25"/>
        <v>2025</v>
      </c>
      <c r="C331">
        <f t="shared" si="26"/>
        <v>11</v>
      </c>
      <c r="D331">
        <f t="shared" si="27"/>
        <v>26</v>
      </c>
      <c r="E331" s="2">
        <f t="shared" si="28"/>
        <v>45961</v>
      </c>
      <c r="F331" s="12">
        <f>_xlfn.XLOOKUP($A331,m1_cv!$B:$B,m1_cv!$C:$C)</f>
        <v>5463</v>
      </c>
      <c r="G331">
        <f>MAX(0,ROUND(SUMIFS(m1_cv!$E:$E,m1_cv!$A:$A,$E331,m1_cv!$B:$B,$A331),0))</f>
        <v>3207</v>
      </c>
      <c r="H331">
        <f>MAX(0,ROUND(SUMIFS(m2_cv!$E:$E,m2_cv!$A:$A,$E331,m2_cv!$B:$B,$A331),0))</f>
        <v>3771</v>
      </c>
      <c r="I331">
        <f>MAX(0,ROUND(SUMIFS(m3_cv!$E:$E,m3_cv!$A:$A,$E331,m3_cv!$B:$B,$A331),0))</f>
        <v>3858</v>
      </c>
      <c r="J331">
        <f>MAX(0,ROUND(SUMIFS(m4_cv!$E:$E,m4_cv!$A:$A,$E331,m4_cv!$B:$B,$A331),0))</f>
        <v>3851</v>
      </c>
      <c r="K331">
        <f>MAX(0,ROUND(SUMIFS(m5_cv!$E:$E,m5_cv!$A:$A,$E331,m5_cv!$B:$B,$A331),0))</f>
        <v>4985</v>
      </c>
      <c r="L331">
        <f>MAX(0,ROUND(SUMIFS(m6_cv!$E:$E,m6_cv!$A:$A,$E331,m6_cv!$B:$B,$A331),0))</f>
        <v>7370</v>
      </c>
      <c r="M331">
        <f>MAX(0,ROUND(SUMIFS(m7_cv!$E:$E,m7_cv!$A:$A,$E331,m7_cv!$B:$B,$A331),0))</f>
        <v>5153</v>
      </c>
      <c r="N331">
        <f>ROUND(_xlfn.XLOOKUP($D331,Charts!$W$86:$W$116,Charts!$X$86:$X$116)*$L331+_xlfn.XLOOKUP($D331,Charts!$W$86:$W$116,Charts!$Y$86:$Y$116)*$M331,0)</f>
        <v>7370</v>
      </c>
      <c r="O331">
        <f>MAX(0,ROUND(SUMIFS(m8_cv!$E:$E,m8_cv!$A:$A,$E331,m8_cv!$B:$B,$A331),0))</f>
        <v>4776</v>
      </c>
    </row>
    <row r="332" spans="1:15" x14ac:dyDescent="0.25">
      <c r="A332" s="3">
        <f t="shared" si="29"/>
        <v>45988</v>
      </c>
      <c r="B332">
        <f t="shared" si="25"/>
        <v>2025</v>
      </c>
      <c r="C332">
        <f t="shared" si="26"/>
        <v>11</v>
      </c>
      <c r="D332">
        <f t="shared" si="27"/>
        <v>27</v>
      </c>
      <c r="E332" s="2">
        <f t="shared" si="28"/>
        <v>45961</v>
      </c>
      <c r="F332" s="12">
        <f>_xlfn.XLOOKUP($A332,m1_cv!$B:$B,m1_cv!$C:$C)</f>
        <v>7236</v>
      </c>
      <c r="G332">
        <f>MAX(0,ROUND(SUMIFS(m1_cv!$E:$E,m1_cv!$A:$A,$E332,m1_cv!$B:$B,$A332),0))</f>
        <v>3276</v>
      </c>
      <c r="H332">
        <f>MAX(0,ROUND(SUMIFS(m2_cv!$E:$E,m2_cv!$A:$A,$E332,m2_cv!$B:$B,$A332),0))</f>
        <v>4438</v>
      </c>
      <c r="I332">
        <f>MAX(0,ROUND(SUMIFS(m3_cv!$E:$E,m3_cv!$A:$A,$E332,m3_cv!$B:$B,$A332),0))</f>
        <v>4435</v>
      </c>
      <c r="J332">
        <f>MAX(0,ROUND(SUMIFS(m4_cv!$E:$E,m4_cv!$A:$A,$E332,m4_cv!$B:$B,$A332),0))</f>
        <v>4427</v>
      </c>
      <c r="K332">
        <f>MAX(0,ROUND(SUMIFS(m5_cv!$E:$E,m5_cv!$A:$A,$E332,m5_cv!$B:$B,$A332),0))</f>
        <v>5149</v>
      </c>
      <c r="L332">
        <f>MAX(0,ROUND(SUMIFS(m6_cv!$E:$E,m6_cv!$A:$A,$E332,m6_cv!$B:$B,$A332),0))</f>
        <v>7095</v>
      </c>
      <c r="M332">
        <f>MAX(0,ROUND(SUMIFS(m7_cv!$E:$E,m7_cv!$A:$A,$E332,m7_cv!$B:$B,$A332),0))</f>
        <v>5045</v>
      </c>
      <c r="N332">
        <f>ROUND(_xlfn.XLOOKUP($D332,Charts!$W$86:$W$116,Charts!$X$86:$X$116)*$L332+_xlfn.XLOOKUP($D332,Charts!$W$86:$W$116,Charts!$Y$86:$Y$116)*$M332,0)</f>
        <v>7095</v>
      </c>
      <c r="O332">
        <f>MAX(0,ROUND(SUMIFS(m8_cv!$E:$E,m8_cv!$A:$A,$E332,m8_cv!$B:$B,$A332),0))</f>
        <v>4893</v>
      </c>
    </row>
    <row r="333" spans="1:15" x14ac:dyDescent="0.25">
      <c r="A333" s="3">
        <f t="shared" si="29"/>
        <v>45989</v>
      </c>
      <c r="B333">
        <f t="shared" si="25"/>
        <v>2025</v>
      </c>
      <c r="C333">
        <f t="shared" si="26"/>
        <v>11</v>
      </c>
      <c r="D333">
        <f t="shared" si="27"/>
        <v>28</v>
      </c>
      <c r="E333" s="2">
        <f t="shared" si="28"/>
        <v>45961</v>
      </c>
      <c r="F333" s="12">
        <f>_xlfn.XLOOKUP($A333,m1_cv!$B:$B,m1_cv!$C:$C)</f>
        <v>10013</v>
      </c>
      <c r="G333">
        <f>MAX(0,ROUND(SUMIFS(m1_cv!$E:$E,m1_cv!$A:$A,$E333,m1_cv!$B:$B,$A333),0))</f>
        <v>3268</v>
      </c>
      <c r="H333">
        <f>MAX(0,ROUND(SUMIFS(m2_cv!$E:$E,m2_cv!$A:$A,$E333,m2_cv!$B:$B,$A333),0))</f>
        <v>5521</v>
      </c>
      <c r="I333">
        <f>MAX(0,ROUND(SUMIFS(m3_cv!$E:$E,m3_cv!$A:$A,$E333,m3_cv!$B:$B,$A333),0))</f>
        <v>5426</v>
      </c>
      <c r="J333">
        <f>MAX(0,ROUND(SUMIFS(m4_cv!$E:$E,m4_cv!$A:$A,$E333,m4_cv!$B:$B,$A333),0))</f>
        <v>5417</v>
      </c>
      <c r="K333">
        <f>MAX(0,ROUND(SUMIFS(m5_cv!$E:$E,m5_cv!$A:$A,$E333,m5_cv!$B:$B,$A333),0))</f>
        <v>5303</v>
      </c>
      <c r="L333">
        <f>MAX(0,ROUND(SUMIFS(m6_cv!$E:$E,m6_cv!$A:$A,$E333,m6_cv!$B:$B,$A333),0))</f>
        <v>6067</v>
      </c>
      <c r="M333">
        <f>MAX(0,ROUND(SUMIFS(m7_cv!$E:$E,m7_cv!$A:$A,$E333,m7_cv!$B:$B,$A333),0))</f>
        <v>5124</v>
      </c>
      <c r="N333">
        <f>ROUND(_xlfn.XLOOKUP($D333,Charts!$W$86:$W$116,Charts!$X$86:$X$116)*$L333+_xlfn.XLOOKUP($D333,Charts!$W$86:$W$116,Charts!$Y$86:$Y$116)*$M333,0)</f>
        <v>6067</v>
      </c>
      <c r="O333">
        <f>MAX(0,ROUND(SUMIFS(m8_cv!$E:$E,m8_cv!$A:$A,$E333,m8_cv!$B:$B,$A333),0))</f>
        <v>5115</v>
      </c>
    </row>
    <row r="334" spans="1:15" x14ac:dyDescent="0.25">
      <c r="A334" s="3">
        <f t="shared" si="29"/>
        <v>45990</v>
      </c>
      <c r="B334">
        <f t="shared" si="25"/>
        <v>2025</v>
      </c>
      <c r="C334">
        <f t="shared" si="26"/>
        <v>11</v>
      </c>
      <c r="D334">
        <f t="shared" si="27"/>
        <v>29</v>
      </c>
      <c r="E334" s="2">
        <f t="shared" si="28"/>
        <v>45961</v>
      </c>
      <c r="F334" s="12">
        <f>_xlfn.XLOOKUP($A334,m1_cv!$B:$B,m1_cv!$C:$C)</f>
        <v>8210</v>
      </c>
      <c r="G334">
        <f>MAX(0,ROUND(SUMIFS(m1_cv!$E:$E,m1_cv!$A:$A,$E334,m1_cv!$B:$B,$A334),0))</f>
        <v>1014</v>
      </c>
      <c r="H334">
        <f>MAX(0,ROUND(SUMIFS(m2_cv!$E:$E,m2_cv!$A:$A,$E334,m2_cv!$B:$B,$A334),0))</f>
        <v>4311</v>
      </c>
      <c r="I334">
        <f>MAX(0,ROUND(SUMIFS(m3_cv!$E:$E,m3_cv!$A:$A,$E334,m3_cv!$B:$B,$A334),0))</f>
        <v>4208</v>
      </c>
      <c r="J334">
        <f>MAX(0,ROUND(SUMIFS(m4_cv!$E:$E,m4_cv!$A:$A,$E334,m4_cv!$B:$B,$A334),0))</f>
        <v>4198</v>
      </c>
      <c r="K334">
        <f>MAX(0,ROUND(SUMIFS(m5_cv!$E:$E,m5_cv!$A:$A,$E334,m5_cv!$B:$B,$A334),0))</f>
        <v>5334</v>
      </c>
      <c r="L334">
        <f>MAX(0,ROUND(SUMIFS(m6_cv!$E:$E,m6_cv!$A:$A,$E334,m6_cv!$B:$B,$A334),0))</f>
        <v>1753</v>
      </c>
      <c r="M334">
        <f>MAX(0,ROUND(SUMIFS(m7_cv!$E:$E,m7_cv!$A:$A,$E334,m7_cv!$B:$B,$A334),0))</f>
        <v>5469</v>
      </c>
      <c r="N334">
        <f>ROUND(_xlfn.XLOOKUP($D334,Charts!$W$86:$W$116,Charts!$X$86:$X$116)*$L334+_xlfn.XLOOKUP($D334,Charts!$W$86:$W$116,Charts!$Y$86:$Y$116)*$M334,0)</f>
        <v>5469</v>
      </c>
      <c r="O334">
        <f>MAX(0,ROUND(SUMIFS(m8_cv!$E:$E,m8_cv!$A:$A,$E334,m8_cv!$B:$B,$A334),0))</f>
        <v>5345</v>
      </c>
    </row>
    <row r="335" spans="1:15" x14ac:dyDescent="0.25">
      <c r="A335" s="3">
        <f t="shared" si="29"/>
        <v>45991</v>
      </c>
      <c r="B335">
        <f t="shared" si="25"/>
        <v>2025</v>
      </c>
      <c r="C335">
        <f t="shared" si="26"/>
        <v>11</v>
      </c>
      <c r="D335">
        <f t="shared" si="27"/>
        <v>30</v>
      </c>
      <c r="E335" s="2">
        <f t="shared" si="28"/>
        <v>45961</v>
      </c>
      <c r="F335" s="12">
        <f>_xlfn.XLOOKUP($A335,m1_cv!$B:$B,m1_cv!$C:$C)</f>
        <v>3567</v>
      </c>
      <c r="G335">
        <f>MAX(0,ROUND(SUMIFS(m1_cv!$E:$E,m1_cv!$A:$A,$E335,m1_cv!$B:$B,$A335),0))</f>
        <v>479</v>
      </c>
      <c r="H335">
        <f>MAX(0,ROUND(SUMIFS(m2_cv!$E:$E,m2_cv!$A:$A,$E335,m2_cv!$B:$B,$A335),0))</f>
        <v>4030</v>
      </c>
      <c r="I335">
        <f>MAX(0,ROUND(SUMIFS(m3_cv!$E:$E,m3_cv!$A:$A,$E335,m3_cv!$B:$B,$A335),0))</f>
        <v>4028</v>
      </c>
      <c r="J335">
        <f>MAX(0,ROUND(SUMIFS(m4_cv!$E:$E,m4_cv!$A:$A,$E335,m4_cv!$B:$B,$A335),0))</f>
        <v>4018</v>
      </c>
      <c r="K335">
        <f>MAX(0,ROUND(SUMIFS(m5_cv!$E:$E,m5_cv!$A:$A,$E335,m5_cv!$B:$B,$A335),0))</f>
        <v>7035</v>
      </c>
      <c r="L335">
        <f>MAX(0,ROUND(SUMIFS(m6_cv!$E:$E,m6_cv!$A:$A,$E335,m6_cv!$B:$B,$A335),0))</f>
        <v>955</v>
      </c>
      <c r="M335">
        <f>MAX(0,ROUND(SUMIFS(m7_cv!$E:$E,m7_cv!$A:$A,$E335,m7_cv!$B:$B,$A335),0))</f>
        <v>7426</v>
      </c>
      <c r="N335">
        <f>ROUND(_xlfn.XLOOKUP($D335,Charts!$W$86:$W$116,Charts!$X$86:$X$116)*$L335+_xlfn.XLOOKUP($D335,Charts!$W$86:$W$116,Charts!$Y$86:$Y$116)*$M335,0)</f>
        <v>7426</v>
      </c>
      <c r="O335">
        <f>MAX(0,ROUND(SUMIFS(m8_cv!$E:$E,m8_cv!$A:$A,$E335,m8_cv!$B:$B,$A335),0))</f>
        <v>7273</v>
      </c>
    </row>
    <row r="336" spans="1:15" x14ac:dyDescent="0.25">
      <c r="A336" s="3">
        <f t="shared" si="29"/>
        <v>45992</v>
      </c>
      <c r="B336">
        <f t="shared" si="25"/>
        <v>2025</v>
      </c>
      <c r="C336">
        <f t="shared" si="26"/>
        <v>12</v>
      </c>
      <c r="D336">
        <f t="shared" si="27"/>
        <v>1</v>
      </c>
      <c r="E336" s="2">
        <f t="shared" si="28"/>
        <v>45991</v>
      </c>
      <c r="F336" s="12">
        <f>_xlfn.XLOOKUP($A336,m1_cv!$B:$B,m1_cv!$C:$C)</f>
        <v>659</v>
      </c>
      <c r="G336">
        <f>MAX(0,ROUND(SUMIFS(m1_cv!$E:$E,m1_cv!$A:$A,$E336,m1_cv!$B:$B,$A336),0))</f>
        <v>3274</v>
      </c>
      <c r="H336">
        <f>MAX(0,ROUND(SUMIFS(m2_cv!$E:$E,m2_cv!$A:$A,$E336,m2_cv!$B:$B,$A336),0))</f>
        <v>5688</v>
      </c>
      <c r="I336">
        <f>MAX(0,ROUND(SUMIFS(m3_cv!$E:$E,m3_cv!$A:$A,$E336,m3_cv!$B:$B,$A336),0))</f>
        <v>5975</v>
      </c>
      <c r="J336">
        <f>MAX(0,ROUND(SUMIFS(m4_cv!$E:$E,m4_cv!$A:$A,$E336,m4_cv!$B:$B,$A336),0))</f>
        <v>5975</v>
      </c>
      <c r="K336">
        <f>MAX(0,ROUND(SUMIFS(m5_cv!$E:$E,m5_cv!$A:$A,$E336,m5_cv!$B:$B,$A336),0))</f>
        <v>2356</v>
      </c>
      <c r="L336">
        <f>MAX(0,ROUND(SUMIFS(m6_cv!$E:$E,m6_cv!$A:$A,$E336,m6_cv!$B:$B,$A336),0))</f>
        <v>811</v>
      </c>
      <c r="M336">
        <f>MAX(0,ROUND(SUMIFS(m7_cv!$E:$E,m7_cv!$A:$A,$E336,m7_cv!$B:$B,$A336),0))</f>
        <v>2246</v>
      </c>
      <c r="N336">
        <f>ROUND(_xlfn.XLOOKUP($D336,Charts!$W$86:$W$116,Charts!$X$86:$X$116)*$L336+_xlfn.XLOOKUP($D336,Charts!$W$86:$W$116,Charts!$Y$86:$Y$116)*$M336,0)</f>
        <v>811</v>
      </c>
      <c r="O336">
        <f>MAX(0,ROUND(SUMIFS(m8_cv!$E:$E,m8_cv!$A:$A,$E336,m8_cv!$B:$B,$A336),0))</f>
        <v>2270</v>
      </c>
    </row>
    <row r="337" spans="1:15" x14ac:dyDescent="0.25">
      <c r="A337" s="3">
        <f t="shared" si="29"/>
        <v>45993</v>
      </c>
      <c r="B337">
        <f t="shared" si="25"/>
        <v>2025</v>
      </c>
      <c r="C337">
        <f t="shared" si="26"/>
        <v>12</v>
      </c>
      <c r="D337">
        <f t="shared" si="27"/>
        <v>2</v>
      </c>
      <c r="E337" s="2">
        <f t="shared" si="28"/>
        <v>45991</v>
      </c>
      <c r="F337" s="12">
        <f>_xlfn.XLOOKUP($A337,m1_cv!$B:$B,m1_cv!$C:$C)</f>
        <v>963</v>
      </c>
      <c r="G337">
        <f>MAX(0,ROUND(SUMIFS(m1_cv!$E:$E,m1_cv!$A:$A,$E337,m1_cv!$B:$B,$A337),0))</f>
        <v>3825</v>
      </c>
      <c r="H337">
        <f>MAX(0,ROUND(SUMIFS(m2_cv!$E:$E,m2_cv!$A:$A,$E337,m2_cv!$B:$B,$A337),0))</f>
        <v>4470</v>
      </c>
      <c r="I337">
        <f>MAX(0,ROUND(SUMIFS(m3_cv!$E:$E,m3_cv!$A:$A,$E337,m3_cv!$B:$B,$A337),0))</f>
        <v>4551</v>
      </c>
      <c r="J337">
        <f>MAX(0,ROUND(SUMIFS(m4_cv!$E:$E,m4_cv!$A:$A,$E337,m4_cv!$B:$B,$A337),0))</f>
        <v>4550</v>
      </c>
      <c r="K337">
        <f>MAX(0,ROUND(SUMIFS(m5_cv!$E:$E,m5_cv!$A:$A,$E337,m5_cv!$B:$B,$A337),0))</f>
        <v>1993</v>
      </c>
      <c r="L337">
        <f>MAX(0,ROUND(SUMIFS(m6_cv!$E:$E,m6_cv!$A:$A,$E337,m6_cv!$B:$B,$A337),0))</f>
        <v>633</v>
      </c>
      <c r="M337">
        <f>MAX(0,ROUND(SUMIFS(m7_cv!$E:$E,m7_cv!$A:$A,$E337,m7_cv!$B:$B,$A337),0))</f>
        <v>1705</v>
      </c>
      <c r="N337">
        <f>ROUND(_xlfn.XLOOKUP($D337,Charts!$W$86:$W$116,Charts!$X$86:$X$116)*$L337+_xlfn.XLOOKUP($D337,Charts!$W$86:$W$116,Charts!$Y$86:$Y$116)*$M337,0)</f>
        <v>633</v>
      </c>
      <c r="O337">
        <f>MAX(0,ROUND(SUMIFS(m8_cv!$E:$E,m8_cv!$A:$A,$E337,m8_cv!$B:$B,$A337),0))</f>
        <v>1734</v>
      </c>
    </row>
    <row r="338" spans="1:15" x14ac:dyDescent="0.25">
      <c r="A338" s="3">
        <f t="shared" si="29"/>
        <v>45994</v>
      </c>
      <c r="B338">
        <f t="shared" si="25"/>
        <v>2025</v>
      </c>
      <c r="C338">
        <f t="shared" si="26"/>
        <v>12</v>
      </c>
      <c r="D338">
        <f t="shared" si="27"/>
        <v>3</v>
      </c>
      <c r="E338" s="2">
        <f t="shared" si="28"/>
        <v>45991</v>
      </c>
      <c r="F338" s="12">
        <f>_xlfn.XLOOKUP($A338,m1_cv!$B:$B,m1_cv!$C:$C)</f>
        <v>1248</v>
      </c>
      <c r="G338">
        <f>MAX(0,ROUND(SUMIFS(m1_cv!$E:$E,m1_cv!$A:$A,$E338,m1_cv!$B:$B,$A338),0))</f>
        <v>3870</v>
      </c>
      <c r="H338">
        <f>MAX(0,ROUND(SUMIFS(m2_cv!$E:$E,m2_cv!$A:$A,$E338,m2_cv!$B:$B,$A338),0))</f>
        <v>2753</v>
      </c>
      <c r="I338">
        <f>MAX(0,ROUND(SUMIFS(m3_cv!$E:$E,m3_cv!$A:$A,$E338,m3_cv!$B:$B,$A338),0))</f>
        <v>2825</v>
      </c>
      <c r="J338">
        <f>MAX(0,ROUND(SUMIFS(m4_cv!$E:$E,m4_cv!$A:$A,$E338,m4_cv!$B:$B,$A338),0))</f>
        <v>2824</v>
      </c>
      <c r="K338">
        <f>MAX(0,ROUND(SUMIFS(m5_cv!$E:$E,m5_cv!$A:$A,$E338,m5_cv!$B:$B,$A338),0))</f>
        <v>1730</v>
      </c>
      <c r="L338">
        <f>MAX(0,ROUND(SUMIFS(m6_cv!$E:$E,m6_cv!$A:$A,$E338,m6_cv!$B:$B,$A338),0))</f>
        <v>953</v>
      </c>
      <c r="M338">
        <f>MAX(0,ROUND(SUMIFS(m7_cv!$E:$E,m7_cv!$A:$A,$E338,m7_cv!$B:$B,$A338),0))</f>
        <v>1745</v>
      </c>
      <c r="N338">
        <f>ROUND(_xlfn.XLOOKUP($D338,Charts!$W$86:$W$116,Charts!$X$86:$X$116)*$L338+_xlfn.XLOOKUP($D338,Charts!$W$86:$W$116,Charts!$Y$86:$Y$116)*$M338,0)</f>
        <v>953</v>
      </c>
      <c r="O338">
        <f>MAX(0,ROUND(SUMIFS(m8_cv!$E:$E,m8_cv!$A:$A,$E338,m8_cv!$B:$B,$A338),0))</f>
        <v>1849</v>
      </c>
    </row>
    <row r="339" spans="1:15" x14ac:dyDescent="0.25">
      <c r="A339" s="3">
        <f t="shared" si="29"/>
        <v>45995</v>
      </c>
      <c r="B339">
        <f t="shared" si="25"/>
        <v>2025</v>
      </c>
      <c r="C339">
        <f t="shared" si="26"/>
        <v>12</v>
      </c>
      <c r="D339">
        <f t="shared" si="27"/>
        <v>4</v>
      </c>
      <c r="E339" s="2">
        <f t="shared" si="28"/>
        <v>45991</v>
      </c>
      <c r="F339" s="12">
        <f>_xlfn.XLOOKUP($A339,m1_cv!$B:$B,m1_cv!$C:$C)</f>
        <v>1462</v>
      </c>
      <c r="G339">
        <f>MAX(0,ROUND(SUMIFS(m1_cv!$E:$E,m1_cv!$A:$A,$E339,m1_cv!$B:$B,$A339),0))</f>
        <v>3961</v>
      </c>
      <c r="H339">
        <f>MAX(0,ROUND(SUMIFS(m2_cv!$E:$E,m2_cv!$A:$A,$E339,m2_cv!$B:$B,$A339),0))</f>
        <v>1783</v>
      </c>
      <c r="I339">
        <f>MAX(0,ROUND(SUMIFS(m3_cv!$E:$E,m3_cv!$A:$A,$E339,m3_cv!$B:$B,$A339),0))</f>
        <v>1788</v>
      </c>
      <c r="J339">
        <f>MAX(0,ROUND(SUMIFS(m4_cv!$E:$E,m4_cv!$A:$A,$E339,m4_cv!$B:$B,$A339),0))</f>
        <v>1787</v>
      </c>
      <c r="K339">
        <f>MAX(0,ROUND(SUMIFS(m5_cv!$E:$E,m5_cv!$A:$A,$E339,m5_cv!$B:$B,$A339),0))</f>
        <v>1705</v>
      </c>
      <c r="L339">
        <f>MAX(0,ROUND(SUMIFS(m6_cv!$E:$E,m6_cv!$A:$A,$E339,m6_cv!$B:$B,$A339),0))</f>
        <v>916</v>
      </c>
      <c r="M339">
        <f>MAX(0,ROUND(SUMIFS(m7_cv!$E:$E,m7_cv!$A:$A,$E339,m7_cv!$B:$B,$A339),0))</f>
        <v>1833</v>
      </c>
      <c r="N339">
        <f>ROUND(_xlfn.XLOOKUP($D339,Charts!$W$86:$W$116,Charts!$X$86:$X$116)*$L339+_xlfn.XLOOKUP($D339,Charts!$W$86:$W$116,Charts!$Y$86:$Y$116)*$M339,0)</f>
        <v>916</v>
      </c>
      <c r="O339">
        <f>MAX(0,ROUND(SUMIFS(m8_cv!$E:$E,m8_cv!$A:$A,$E339,m8_cv!$B:$B,$A339),0))</f>
        <v>1887</v>
      </c>
    </row>
    <row r="340" spans="1:15" x14ac:dyDescent="0.25">
      <c r="A340" s="3">
        <f t="shared" si="29"/>
        <v>45996</v>
      </c>
      <c r="B340">
        <f t="shared" si="25"/>
        <v>2025</v>
      </c>
      <c r="C340">
        <f t="shared" si="26"/>
        <v>12</v>
      </c>
      <c r="D340">
        <f t="shared" si="27"/>
        <v>5</v>
      </c>
      <c r="E340" s="2">
        <f t="shared" si="28"/>
        <v>45991</v>
      </c>
      <c r="F340" s="12">
        <f>_xlfn.XLOOKUP($A340,m1_cv!$B:$B,m1_cv!$C:$C)</f>
        <v>1441</v>
      </c>
      <c r="G340">
        <f>MAX(0,ROUND(SUMIFS(m1_cv!$E:$E,m1_cv!$A:$A,$E340,m1_cv!$B:$B,$A340),0))</f>
        <v>3969</v>
      </c>
      <c r="H340">
        <f>MAX(0,ROUND(SUMIFS(m2_cv!$E:$E,m2_cv!$A:$A,$E340,m2_cv!$B:$B,$A340),0))</f>
        <v>1621</v>
      </c>
      <c r="I340">
        <f>MAX(0,ROUND(SUMIFS(m3_cv!$E:$E,m3_cv!$A:$A,$E340,m3_cv!$B:$B,$A340),0))</f>
        <v>1555</v>
      </c>
      <c r="J340">
        <f>MAX(0,ROUND(SUMIFS(m4_cv!$E:$E,m4_cv!$A:$A,$E340,m4_cv!$B:$B,$A340),0))</f>
        <v>1554</v>
      </c>
      <c r="K340">
        <f>MAX(0,ROUND(SUMIFS(m5_cv!$E:$E,m5_cv!$A:$A,$E340,m5_cv!$B:$B,$A340),0))</f>
        <v>1846</v>
      </c>
      <c r="L340">
        <f>MAX(0,ROUND(SUMIFS(m6_cv!$E:$E,m6_cv!$A:$A,$E340,m6_cv!$B:$B,$A340),0))</f>
        <v>881</v>
      </c>
      <c r="M340">
        <f>MAX(0,ROUND(SUMIFS(m7_cv!$E:$E,m7_cv!$A:$A,$E340,m7_cv!$B:$B,$A340),0))</f>
        <v>1842</v>
      </c>
      <c r="N340">
        <f>ROUND(_xlfn.XLOOKUP($D340,Charts!$W$86:$W$116,Charts!$X$86:$X$116)*$L340+_xlfn.XLOOKUP($D340,Charts!$W$86:$W$116,Charts!$Y$86:$Y$116)*$M340,0)</f>
        <v>1073</v>
      </c>
      <c r="O340">
        <f>MAX(0,ROUND(SUMIFS(m8_cv!$E:$E,m8_cv!$A:$A,$E340,m8_cv!$B:$B,$A340),0))</f>
        <v>1847</v>
      </c>
    </row>
    <row r="341" spans="1:15" x14ac:dyDescent="0.25">
      <c r="A341" s="3">
        <f t="shared" si="29"/>
        <v>45997</v>
      </c>
      <c r="B341">
        <f t="shared" si="25"/>
        <v>2025</v>
      </c>
      <c r="C341">
        <f t="shared" si="26"/>
        <v>12</v>
      </c>
      <c r="D341">
        <f t="shared" si="27"/>
        <v>6</v>
      </c>
      <c r="E341" s="2">
        <f t="shared" si="28"/>
        <v>45991</v>
      </c>
      <c r="F341" s="12">
        <f>_xlfn.XLOOKUP($A341,m1_cv!$B:$B,m1_cv!$C:$C)</f>
        <v>380</v>
      </c>
      <c r="G341">
        <f>MAX(0,ROUND(SUMIFS(m1_cv!$E:$E,m1_cv!$A:$A,$E341,m1_cv!$B:$B,$A341),0))</f>
        <v>1704</v>
      </c>
      <c r="H341">
        <f>MAX(0,ROUND(SUMIFS(m2_cv!$E:$E,m2_cv!$A:$A,$E341,m2_cv!$B:$B,$A341),0))</f>
        <v>0</v>
      </c>
      <c r="I341">
        <f>MAX(0,ROUND(SUMIFS(m3_cv!$E:$E,m3_cv!$A:$A,$E341,m3_cv!$B:$B,$A341),0))</f>
        <v>0</v>
      </c>
      <c r="J341">
        <f>MAX(0,ROUND(SUMIFS(m4_cv!$E:$E,m4_cv!$A:$A,$E341,m4_cv!$B:$B,$A341),0))</f>
        <v>0</v>
      </c>
      <c r="K341">
        <f>MAX(0,ROUND(SUMIFS(m5_cv!$E:$E,m5_cv!$A:$A,$E341,m5_cv!$B:$B,$A341),0))</f>
        <v>0</v>
      </c>
      <c r="L341">
        <f>MAX(0,ROUND(SUMIFS(m6_cv!$E:$E,m6_cv!$A:$A,$E341,m6_cv!$B:$B,$A341),0))</f>
        <v>160</v>
      </c>
      <c r="M341">
        <f>MAX(0,ROUND(SUMIFS(m7_cv!$E:$E,m7_cv!$A:$A,$E341,m7_cv!$B:$B,$A341),0))</f>
        <v>0</v>
      </c>
      <c r="N341">
        <f>ROUND(_xlfn.XLOOKUP($D341,Charts!$W$86:$W$116,Charts!$X$86:$X$116)*$L341+_xlfn.XLOOKUP($D341,Charts!$W$86:$W$116,Charts!$Y$86:$Y$116)*$M341,0)</f>
        <v>80</v>
      </c>
      <c r="O341">
        <f>MAX(0,ROUND(SUMIFS(m8_cv!$E:$E,m8_cv!$A:$A,$E341,m8_cv!$B:$B,$A341),0))</f>
        <v>0</v>
      </c>
    </row>
    <row r="342" spans="1:15" x14ac:dyDescent="0.25">
      <c r="A342" s="3">
        <f t="shared" si="29"/>
        <v>45998</v>
      </c>
      <c r="B342">
        <f t="shared" si="25"/>
        <v>2025</v>
      </c>
      <c r="C342">
        <f t="shared" si="26"/>
        <v>12</v>
      </c>
      <c r="D342">
        <f t="shared" si="27"/>
        <v>7</v>
      </c>
      <c r="E342" s="2">
        <f t="shared" si="28"/>
        <v>45991</v>
      </c>
      <c r="F342" s="12">
        <f>_xlfn.XLOOKUP($A342,m1_cv!$B:$B,m1_cv!$C:$C)</f>
        <v>59</v>
      </c>
      <c r="G342">
        <f>MAX(0,ROUND(SUMIFS(m1_cv!$E:$E,m1_cv!$A:$A,$E342,m1_cv!$B:$B,$A342),0))</f>
        <v>1129</v>
      </c>
      <c r="H342">
        <f>MAX(0,ROUND(SUMIFS(m2_cv!$E:$E,m2_cv!$A:$A,$E342,m2_cv!$B:$B,$A342),0))</f>
        <v>0</v>
      </c>
      <c r="I342">
        <f>MAX(0,ROUND(SUMIFS(m3_cv!$E:$E,m3_cv!$A:$A,$E342,m3_cv!$B:$B,$A342),0))</f>
        <v>0</v>
      </c>
      <c r="J342">
        <f>MAX(0,ROUND(SUMIFS(m4_cv!$E:$E,m4_cv!$A:$A,$E342,m4_cv!$B:$B,$A342),0))</f>
        <v>0</v>
      </c>
      <c r="K342">
        <f>MAX(0,ROUND(SUMIFS(m5_cv!$E:$E,m5_cv!$A:$A,$E342,m5_cv!$B:$B,$A342),0))</f>
        <v>0</v>
      </c>
      <c r="L342">
        <f>MAX(0,ROUND(SUMIFS(m6_cv!$E:$E,m6_cv!$A:$A,$E342,m6_cv!$B:$B,$A342),0))</f>
        <v>62</v>
      </c>
      <c r="M342">
        <f>MAX(0,ROUND(SUMIFS(m7_cv!$E:$E,m7_cv!$A:$A,$E342,m7_cv!$B:$B,$A342),0))</f>
        <v>0</v>
      </c>
      <c r="N342">
        <f>ROUND(_xlfn.XLOOKUP($D342,Charts!$W$86:$W$116,Charts!$X$86:$X$116)*$L342+_xlfn.XLOOKUP($D342,Charts!$W$86:$W$116,Charts!$Y$86:$Y$116)*$M342,0)</f>
        <v>31</v>
      </c>
      <c r="O342">
        <f>MAX(0,ROUND(SUMIFS(m8_cv!$E:$E,m8_cv!$A:$A,$E342,m8_cv!$B:$B,$A342),0))</f>
        <v>0</v>
      </c>
    </row>
    <row r="343" spans="1:15" x14ac:dyDescent="0.25">
      <c r="A343" s="3">
        <f t="shared" si="29"/>
        <v>45999</v>
      </c>
      <c r="B343">
        <f t="shared" si="25"/>
        <v>2025</v>
      </c>
      <c r="C343">
        <f t="shared" si="26"/>
        <v>12</v>
      </c>
      <c r="D343">
        <f t="shared" si="27"/>
        <v>8</v>
      </c>
      <c r="E343" s="2">
        <f t="shared" si="28"/>
        <v>45991</v>
      </c>
      <c r="F343" s="12">
        <f>_xlfn.XLOOKUP($A343,m1_cv!$B:$B,m1_cv!$C:$C)</f>
        <v>1698</v>
      </c>
      <c r="G343">
        <f>MAX(0,ROUND(SUMIFS(m1_cv!$E:$E,m1_cv!$A:$A,$E343,m1_cv!$B:$B,$A343),0))</f>
        <v>3421</v>
      </c>
      <c r="H343">
        <f>MAX(0,ROUND(SUMIFS(m2_cv!$E:$E,m2_cv!$A:$A,$E343,m2_cv!$B:$B,$A343),0))</f>
        <v>1945</v>
      </c>
      <c r="I343">
        <f>MAX(0,ROUND(SUMIFS(m3_cv!$E:$E,m3_cv!$A:$A,$E343,m3_cv!$B:$B,$A343),0))</f>
        <v>2072</v>
      </c>
      <c r="J343">
        <f>MAX(0,ROUND(SUMIFS(m4_cv!$E:$E,m4_cv!$A:$A,$E343,m4_cv!$B:$B,$A343),0))</f>
        <v>2071</v>
      </c>
      <c r="K343">
        <f>MAX(0,ROUND(SUMIFS(m5_cv!$E:$E,m5_cv!$A:$A,$E343,m5_cv!$B:$B,$A343),0))</f>
        <v>2256</v>
      </c>
      <c r="L343">
        <f>MAX(0,ROUND(SUMIFS(m6_cv!$E:$E,m6_cv!$A:$A,$E343,m6_cv!$B:$B,$A343),0))</f>
        <v>1555</v>
      </c>
      <c r="M343">
        <f>MAX(0,ROUND(SUMIFS(m7_cv!$E:$E,m7_cv!$A:$A,$E343,m7_cv!$B:$B,$A343),0))</f>
        <v>2271</v>
      </c>
      <c r="N343">
        <f>ROUND(_xlfn.XLOOKUP($D343,Charts!$W$86:$W$116,Charts!$X$86:$X$116)*$L343+_xlfn.XLOOKUP($D343,Charts!$W$86:$W$116,Charts!$Y$86:$Y$116)*$M343,0)</f>
        <v>1913</v>
      </c>
      <c r="O343">
        <f>MAX(0,ROUND(SUMIFS(m8_cv!$E:$E,m8_cv!$A:$A,$E343,m8_cv!$B:$B,$A343),0))</f>
        <v>2768</v>
      </c>
    </row>
    <row r="344" spans="1:15" x14ac:dyDescent="0.25">
      <c r="A344" s="3">
        <f t="shared" si="29"/>
        <v>46000</v>
      </c>
      <c r="B344">
        <f t="shared" si="25"/>
        <v>2025</v>
      </c>
      <c r="C344">
        <f t="shared" si="26"/>
        <v>12</v>
      </c>
      <c r="D344">
        <f t="shared" si="27"/>
        <v>9</v>
      </c>
      <c r="E344" s="2">
        <f t="shared" si="28"/>
        <v>45991</v>
      </c>
      <c r="F344" s="12">
        <f>_xlfn.XLOOKUP($A344,m1_cv!$B:$B,m1_cv!$C:$C)</f>
        <v>1924</v>
      </c>
      <c r="G344">
        <f>MAX(0,ROUND(SUMIFS(m1_cv!$E:$E,m1_cv!$A:$A,$E344,m1_cv!$B:$B,$A344),0))</f>
        <v>3941</v>
      </c>
      <c r="H344">
        <f>MAX(0,ROUND(SUMIFS(m2_cv!$E:$E,m2_cv!$A:$A,$E344,m2_cv!$B:$B,$A344),0))</f>
        <v>2361</v>
      </c>
      <c r="I344">
        <f>MAX(0,ROUND(SUMIFS(m3_cv!$E:$E,m3_cv!$A:$A,$E344,m3_cv!$B:$B,$A344),0))</f>
        <v>2242</v>
      </c>
      <c r="J344">
        <f>MAX(0,ROUND(SUMIFS(m4_cv!$E:$E,m4_cv!$A:$A,$E344,m4_cv!$B:$B,$A344),0))</f>
        <v>2241</v>
      </c>
      <c r="K344">
        <f>MAX(0,ROUND(SUMIFS(m5_cv!$E:$E,m5_cv!$A:$A,$E344,m5_cv!$B:$B,$A344),0))</f>
        <v>2437</v>
      </c>
      <c r="L344">
        <f>MAX(0,ROUND(SUMIFS(m6_cv!$E:$E,m6_cv!$A:$A,$E344,m6_cv!$B:$B,$A344),0))</f>
        <v>1885</v>
      </c>
      <c r="M344">
        <f>MAX(0,ROUND(SUMIFS(m7_cv!$E:$E,m7_cv!$A:$A,$E344,m7_cv!$B:$B,$A344),0))</f>
        <v>2515</v>
      </c>
      <c r="N344">
        <f>ROUND(_xlfn.XLOOKUP($D344,Charts!$W$86:$W$116,Charts!$X$86:$X$116)*$L344+_xlfn.XLOOKUP($D344,Charts!$W$86:$W$116,Charts!$Y$86:$Y$116)*$M344,0)</f>
        <v>2200</v>
      </c>
      <c r="O344">
        <f>MAX(0,ROUND(SUMIFS(m8_cv!$E:$E,m8_cv!$A:$A,$E344,m8_cv!$B:$B,$A344),0))</f>
        <v>2736</v>
      </c>
    </row>
    <row r="345" spans="1:15" x14ac:dyDescent="0.25">
      <c r="A345" s="3">
        <f t="shared" si="29"/>
        <v>46001</v>
      </c>
      <c r="B345">
        <f t="shared" si="25"/>
        <v>2025</v>
      </c>
      <c r="C345">
        <f t="shared" si="26"/>
        <v>12</v>
      </c>
      <c r="D345">
        <f t="shared" si="27"/>
        <v>10</v>
      </c>
      <c r="E345" s="2">
        <f t="shared" si="28"/>
        <v>45991</v>
      </c>
      <c r="F345" s="12">
        <f>_xlfn.XLOOKUP($A345,m1_cv!$B:$B,m1_cv!$C:$C)</f>
        <v>2624</v>
      </c>
      <c r="G345">
        <f>MAX(0,ROUND(SUMIFS(m1_cv!$E:$E,m1_cv!$A:$A,$E345,m1_cv!$B:$B,$A345),0))</f>
        <v>3954</v>
      </c>
      <c r="H345">
        <f>MAX(0,ROUND(SUMIFS(m2_cv!$E:$E,m2_cv!$A:$A,$E345,m2_cv!$B:$B,$A345),0))</f>
        <v>2373</v>
      </c>
      <c r="I345">
        <f>MAX(0,ROUND(SUMIFS(m3_cv!$E:$E,m3_cv!$A:$A,$E345,m3_cv!$B:$B,$A345),0))</f>
        <v>2296</v>
      </c>
      <c r="J345">
        <f>MAX(0,ROUND(SUMIFS(m4_cv!$E:$E,m4_cv!$A:$A,$E345,m4_cv!$B:$B,$A345),0))</f>
        <v>2294</v>
      </c>
      <c r="K345">
        <f>MAX(0,ROUND(SUMIFS(m5_cv!$E:$E,m5_cv!$A:$A,$E345,m5_cv!$B:$B,$A345),0))</f>
        <v>2489</v>
      </c>
      <c r="L345">
        <f>MAX(0,ROUND(SUMIFS(m6_cv!$E:$E,m6_cv!$A:$A,$E345,m6_cv!$B:$B,$A345),0))</f>
        <v>1953</v>
      </c>
      <c r="M345">
        <f>MAX(0,ROUND(SUMIFS(m7_cv!$E:$E,m7_cv!$A:$A,$E345,m7_cv!$B:$B,$A345),0))</f>
        <v>2480</v>
      </c>
      <c r="N345">
        <f>ROUND(_xlfn.XLOOKUP($D345,Charts!$W$86:$W$116,Charts!$X$86:$X$116)*$L345+_xlfn.XLOOKUP($D345,Charts!$W$86:$W$116,Charts!$Y$86:$Y$116)*$M345,0)</f>
        <v>2217</v>
      </c>
      <c r="O345">
        <f>MAX(0,ROUND(SUMIFS(m8_cv!$E:$E,m8_cv!$A:$A,$E345,m8_cv!$B:$B,$A345),0))</f>
        <v>2516</v>
      </c>
    </row>
    <row r="346" spans="1:15" x14ac:dyDescent="0.25">
      <c r="A346" s="3">
        <f t="shared" si="29"/>
        <v>46002</v>
      </c>
      <c r="B346">
        <f t="shared" si="25"/>
        <v>2025</v>
      </c>
      <c r="C346">
        <f t="shared" si="26"/>
        <v>12</v>
      </c>
      <c r="D346">
        <f t="shared" si="27"/>
        <v>11</v>
      </c>
      <c r="E346" s="2">
        <f t="shared" si="28"/>
        <v>45991</v>
      </c>
      <c r="F346" s="12">
        <f>_xlfn.XLOOKUP($A346,m1_cv!$B:$B,m1_cv!$C:$C)</f>
        <v>1853</v>
      </c>
      <c r="G346">
        <f>MAX(0,ROUND(SUMIFS(m1_cv!$E:$E,m1_cv!$A:$A,$E346,m1_cv!$B:$B,$A346),0))</f>
        <v>4010</v>
      </c>
      <c r="H346">
        <f>MAX(0,ROUND(SUMIFS(m2_cv!$E:$E,m2_cv!$A:$A,$E346,m2_cv!$B:$B,$A346),0))</f>
        <v>2628</v>
      </c>
      <c r="I346">
        <f>MAX(0,ROUND(SUMIFS(m3_cv!$E:$E,m3_cv!$A:$A,$E346,m3_cv!$B:$B,$A346),0))</f>
        <v>2602</v>
      </c>
      <c r="J346">
        <f>MAX(0,ROUND(SUMIFS(m4_cv!$E:$E,m4_cv!$A:$A,$E346,m4_cv!$B:$B,$A346),0))</f>
        <v>2601</v>
      </c>
      <c r="K346">
        <f>MAX(0,ROUND(SUMIFS(m5_cv!$E:$E,m5_cv!$A:$A,$E346,m5_cv!$B:$B,$A346),0))</f>
        <v>2662</v>
      </c>
      <c r="L346">
        <f>MAX(0,ROUND(SUMIFS(m6_cv!$E:$E,m6_cv!$A:$A,$E346,m6_cv!$B:$B,$A346),0))</f>
        <v>2133</v>
      </c>
      <c r="M346">
        <f>MAX(0,ROUND(SUMIFS(m7_cv!$E:$E,m7_cv!$A:$A,$E346,m7_cv!$B:$B,$A346),0))</f>
        <v>2597</v>
      </c>
      <c r="N346">
        <f>ROUND(_xlfn.XLOOKUP($D346,Charts!$W$86:$W$116,Charts!$X$86:$X$116)*$L346+_xlfn.XLOOKUP($D346,Charts!$W$86:$W$116,Charts!$Y$86:$Y$116)*$M346,0)</f>
        <v>2458</v>
      </c>
      <c r="O346">
        <f>MAX(0,ROUND(SUMIFS(m8_cv!$E:$E,m8_cv!$A:$A,$E346,m8_cv!$B:$B,$A346),0))</f>
        <v>2591</v>
      </c>
    </row>
    <row r="347" spans="1:15" x14ac:dyDescent="0.25">
      <c r="A347" s="3">
        <f t="shared" si="29"/>
        <v>46003</v>
      </c>
      <c r="B347">
        <f t="shared" si="25"/>
        <v>2025</v>
      </c>
      <c r="C347">
        <f t="shared" si="26"/>
        <v>12</v>
      </c>
      <c r="D347">
        <f t="shared" si="27"/>
        <v>12</v>
      </c>
      <c r="E347" s="2">
        <f t="shared" si="28"/>
        <v>45991</v>
      </c>
      <c r="F347" s="12">
        <f>_xlfn.XLOOKUP($A347,m1_cv!$B:$B,m1_cv!$C:$C)</f>
        <v>3010</v>
      </c>
      <c r="G347">
        <f>MAX(0,ROUND(SUMIFS(m1_cv!$E:$E,m1_cv!$A:$A,$E347,m1_cv!$B:$B,$A347),0))</f>
        <v>3982</v>
      </c>
      <c r="H347">
        <f>MAX(0,ROUND(SUMIFS(m2_cv!$E:$E,m2_cv!$A:$A,$E347,m2_cv!$B:$B,$A347),0))</f>
        <v>2880</v>
      </c>
      <c r="I347">
        <f>MAX(0,ROUND(SUMIFS(m3_cv!$E:$E,m3_cv!$A:$A,$E347,m3_cv!$B:$B,$A347),0))</f>
        <v>2904</v>
      </c>
      <c r="J347">
        <f>MAX(0,ROUND(SUMIFS(m4_cv!$E:$E,m4_cv!$A:$A,$E347,m4_cv!$B:$B,$A347),0))</f>
        <v>2903</v>
      </c>
      <c r="K347">
        <f>MAX(0,ROUND(SUMIFS(m5_cv!$E:$E,m5_cv!$A:$A,$E347,m5_cv!$B:$B,$A347),0))</f>
        <v>2808</v>
      </c>
      <c r="L347">
        <f>MAX(0,ROUND(SUMIFS(m6_cv!$E:$E,m6_cv!$A:$A,$E347,m6_cv!$B:$B,$A347),0))</f>
        <v>2249</v>
      </c>
      <c r="M347">
        <f>MAX(0,ROUND(SUMIFS(m7_cv!$E:$E,m7_cv!$A:$A,$E347,m7_cv!$B:$B,$A347),0))</f>
        <v>2795</v>
      </c>
      <c r="N347">
        <f>ROUND(_xlfn.XLOOKUP($D347,Charts!$W$86:$W$116,Charts!$X$86:$X$116)*$L347+_xlfn.XLOOKUP($D347,Charts!$W$86:$W$116,Charts!$Y$86:$Y$116)*$M347,0)</f>
        <v>2631</v>
      </c>
      <c r="O347">
        <f>MAX(0,ROUND(SUMIFS(m8_cv!$E:$E,m8_cv!$A:$A,$E347,m8_cv!$B:$B,$A347),0))</f>
        <v>2778</v>
      </c>
    </row>
    <row r="348" spans="1:15" x14ac:dyDescent="0.25">
      <c r="A348" s="3">
        <f t="shared" si="29"/>
        <v>46004</v>
      </c>
      <c r="B348">
        <f t="shared" si="25"/>
        <v>2025</v>
      </c>
      <c r="C348">
        <f t="shared" si="26"/>
        <v>12</v>
      </c>
      <c r="D348">
        <f t="shared" si="27"/>
        <v>13</v>
      </c>
      <c r="E348" s="2">
        <f t="shared" si="28"/>
        <v>45991</v>
      </c>
      <c r="F348" s="12">
        <f>_xlfn.XLOOKUP($A348,m1_cv!$B:$B,m1_cv!$C:$C)</f>
        <v>552</v>
      </c>
      <c r="G348">
        <f>MAX(0,ROUND(SUMIFS(m1_cv!$E:$E,m1_cv!$A:$A,$E348,m1_cv!$B:$B,$A348),0))</f>
        <v>1680</v>
      </c>
      <c r="H348">
        <f>MAX(0,ROUND(SUMIFS(m2_cv!$E:$E,m2_cv!$A:$A,$E348,m2_cv!$B:$B,$A348),0))</f>
        <v>754</v>
      </c>
      <c r="I348">
        <f>MAX(0,ROUND(SUMIFS(m3_cv!$E:$E,m3_cv!$A:$A,$E348,m3_cv!$B:$B,$A348),0))</f>
        <v>819</v>
      </c>
      <c r="J348">
        <f>MAX(0,ROUND(SUMIFS(m4_cv!$E:$E,m4_cv!$A:$A,$E348,m4_cv!$B:$B,$A348),0))</f>
        <v>818</v>
      </c>
      <c r="K348">
        <f>MAX(0,ROUND(SUMIFS(m5_cv!$E:$E,m5_cv!$A:$A,$E348,m5_cv!$B:$B,$A348),0))</f>
        <v>651</v>
      </c>
      <c r="L348">
        <f>MAX(0,ROUND(SUMIFS(m6_cv!$E:$E,m6_cv!$A:$A,$E348,m6_cv!$B:$B,$A348),0))</f>
        <v>429</v>
      </c>
      <c r="M348">
        <f>MAX(0,ROUND(SUMIFS(m7_cv!$E:$E,m7_cv!$A:$A,$E348,m7_cv!$B:$B,$A348),0))</f>
        <v>671</v>
      </c>
      <c r="N348">
        <f>ROUND(_xlfn.XLOOKUP($D348,Charts!$W$86:$W$116,Charts!$X$86:$X$116)*$L348+_xlfn.XLOOKUP($D348,Charts!$W$86:$W$116,Charts!$Y$86:$Y$116)*$M348,0)</f>
        <v>598</v>
      </c>
      <c r="O348">
        <f>MAX(0,ROUND(SUMIFS(m8_cv!$E:$E,m8_cv!$A:$A,$E348,m8_cv!$B:$B,$A348),0))</f>
        <v>642</v>
      </c>
    </row>
    <row r="349" spans="1:15" x14ac:dyDescent="0.25">
      <c r="A349" s="3">
        <f t="shared" si="29"/>
        <v>46005</v>
      </c>
      <c r="B349">
        <f t="shared" si="25"/>
        <v>2025</v>
      </c>
      <c r="C349">
        <f t="shared" si="26"/>
        <v>12</v>
      </c>
      <c r="D349">
        <f t="shared" si="27"/>
        <v>14</v>
      </c>
      <c r="E349" s="2">
        <f t="shared" si="28"/>
        <v>45991</v>
      </c>
      <c r="F349" s="12">
        <f>_xlfn.XLOOKUP($A349,m1_cv!$B:$B,m1_cv!$C:$C)</f>
        <v>162</v>
      </c>
      <c r="G349">
        <f>MAX(0,ROUND(SUMIFS(m1_cv!$E:$E,m1_cv!$A:$A,$E349,m1_cv!$B:$B,$A349),0))</f>
        <v>1069</v>
      </c>
      <c r="H349">
        <f>MAX(0,ROUND(SUMIFS(m2_cv!$E:$E,m2_cv!$A:$A,$E349,m2_cv!$B:$B,$A349),0))</f>
        <v>183</v>
      </c>
      <c r="I349">
        <f>MAX(0,ROUND(SUMIFS(m3_cv!$E:$E,m3_cv!$A:$A,$E349,m3_cv!$B:$B,$A349),0))</f>
        <v>284</v>
      </c>
      <c r="J349">
        <f>MAX(0,ROUND(SUMIFS(m4_cv!$E:$E,m4_cv!$A:$A,$E349,m4_cv!$B:$B,$A349),0))</f>
        <v>282</v>
      </c>
      <c r="K349">
        <f>MAX(0,ROUND(SUMIFS(m5_cv!$E:$E,m5_cv!$A:$A,$E349,m5_cv!$B:$B,$A349),0))</f>
        <v>149</v>
      </c>
      <c r="L349">
        <f>MAX(0,ROUND(SUMIFS(m6_cv!$E:$E,m6_cv!$A:$A,$E349,m6_cv!$B:$B,$A349),0))</f>
        <v>171</v>
      </c>
      <c r="M349">
        <f>MAX(0,ROUND(SUMIFS(m7_cv!$E:$E,m7_cv!$A:$A,$E349,m7_cv!$B:$B,$A349),0))</f>
        <v>165</v>
      </c>
      <c r="N349">
        <f>ROUND(_xlfn.XLOOKUP($D349,Charts!$W$86:$W$116,Charts!$X$86:$X$116)*$L349+_xlfn.XLOOKUP($D349,Charts!$W$86:$W$116,Charts!$Y$86:$Y$116)*$M349,0)</f>
        <v>165</v>
      </c>
      <c r="O349">
        <f>MAX(0,ROUND(SUMIFS(m8_cv!$E:$E,m8_cv!$A:$A,$E349,m8_cv!$B:$B,$A349),0))</f>
        <v>148</v>
      </c>
    </row>
    <row r="350" spans="1:15" x14ac:dyDescent="0.25">
      <c r="A350" s="3">
        <f t="shared" si="29"/>
        <v>46006</v>
      </c>
      <c r="B350">
        <f t="shared" si="25"/>
        <v>2025</v>
      </c>
      <c r="C350">
        <f t="shared" si="26"/>
        <v>12</v>
      </c>
      <c r="D350">
        <f t="shared" si="27"/>
        <v>15</v>
      </c>
      <c r="E350" s="2">
        <f t="shared" si="28"/>
        <v>45991</v>
      </c>
      <c r="F350" s="12">
        <f>_xlfn.XLOOKUP($A350,m1_cv!$B:$B,m1_cv!$C:$C)</f>
        <v>2685</v>
      </c>
      <c r="G350">
        <f>MAX(0,ROUND(SUMIFS(m1_cv!$E:$E,m1_cv!$A:$A,$E350,m1_cv!$B:$B,$A350),0))</f>
        <v>3323</v>
      </c>
      <c r="H350">
        <f>MAX(0,ROUND(SUMIFS(m2_cv!$E:$E,m2_cv!$A:$A,$E350,m2_cv!$B:$B,$A350),0))</f>
        <v>2480</v>
      </c>
      <c r="I350">
        <f>MAX(0,ROUND(SUMIFS(m3_cv!$E:$E,m3_cv!$A:$A,$E350,m3_cv!$B:$B,$A350),0))</f>
        <v>2775</v>
      </c>
      <c r="J350">
        <f>MAX(0,ROUND(SUMIFS(m4_cv!$E:$E,m4_cv!$A:$A,$E350,m4_cv!$B:$B,$A350),0))</f>
        <v>2773</v>
      </c>
      <c r="K350">
        <f>MAX(0,ROUND(SUMIFS(m5_cv!$E:$E,m5_cv!$A:$A,$E350,m5_cv!$B:$B,$A350),0))</f>
        <v>2755</v>
      </c>
      <c r="L350">
        <f>MAX(0,ROUND(SUMIFS(m6_cv!$E:$E,m6_cv!$A:$A,$E350,m6_cv!$B:$B,$A350),0))</f>
        <v>2260</v>
      </c>
      <c r="M350">
        <f>MAX(0,ROUND(SUMIFS(m7_cv!$E:$E,m7_cv!$A:$A,$E350,m7_cv!$B:$B,$A350),0))</f>
        <v>2763</v>
      </c>
      <c r="N350">
        <f>ROUND(_xlfn.XLOOKUP($D350,Charts!$W$86:$W$116,Charts!$X$86:$X$116)*$L350+_xlfn.XLOOKUP($D350,Charts!$W$86:$W$116,Charts!$Y$86:$Y$116)*$M350,0)</f>
        <v>2763</v>
      </c>
      <c r="O350">
        <f>MAX(0,ROUND(SUMIFS(m8_cv!$E:$E,m8_cv!$A:$A,$E350,m8_cv!$B:$B,$A350),0))</f>
        <v>2755</v>
      </c>
    </row>
    <row r="351" spans="1:15" x14ac:dyDescent="0.25">
      <c r="A351" s="3">
        <f t="shared" si="29"/>
        <v>46007</v>
      </c>
      <c r="B351">
        <f t="shared" si="25"/>
        <v>2025</v>
      </c>
      <c r="C351">
        <f t="shared" si="26"/>
        <v>12</v>
      </c>
      <c r="D351">
        <f t="shared" si="27"/>
        <v>16</v>
      </c>
      <c r="E351" s="2">
        <f t="shared" si="28"/>
        <v>45991</v>
      </c>
      <c r="F351" s="12">
        <f>_xlfn.XLOOKUP($A351,m1_cv!$B:$B,m1_cv!$C:$C)</f>
        <v>3397</v>
      </c>
      <c r="G351">
        <f>MAX(0,ROUND(SUMIFS(m1_cv!$E:$E,m1_cv!$A:$A,$E351,m1_cv!$B:$B,$A351),0))</f>
        <v>3808</v>
      </c>
      <c r="H351">
        <f>MAX(0,ROUND(SUMIFS(m2_cv!$E:$E,m2_cv!$A:$A,$E351,m2_cv!$B:$B,$A351),0))</f>
        <v>3089</v>
      </c>
      <c r="I351">
        <f>MAX(0,ROUND(SUMIFS(m3_cv!$E:$E,m3_cv!$A:$A,$E351,m3_cv!$B:$B,$A351),0))</f>
        <v>3153</v>
      </c>
      <c r="J351">
        <f>MAX(0,ROUND(SUMIFS(m4_cv!$E:$E,m4_cv!$A:$A,$E351,m4_cv!$B:$B,$A351),0))</f>
        <v>3151</v>
      </c>
      <c r="K351">
        <f>MAX(0,ROUND(SUMIFS(m5_cv!$E:$E,m5_cv!$A:$A,$E351,m5_cv!$B:$B,$A351),0))</f>
        <v>3220</v>
      </c>
      <c r="L351">
        <f>MAX(0,ROUND(SUMIFS(m6_cv!$E:$E,m6_cv!$A:$A,$E351,m6_cv!$B:$B,$A351),0))</f>
        <v>2933</v>
      </c>
      <c r="M351">
        <f>MAX(0,ROUND(SUMIFS(m7_cv!$E:$E,m7_cv!$A:$A,$E351,m7_cv!$B:$B,$A351),0))</f>
        <v>3218</v>
      </c>
      <c r="N351">
        <f>ROUND(_xlfn.XLOOKUP($D351,Charts!$W$86:$W$116,Charts!$X$86:$X$116)*$L351+_xlfn.XLOOKUP($D351,Charts!$W$86:$W$116,Charts!$Y$86:$Y$116)*$M351,0)</f>
        <v>3218</v>
      </c>
      <c r="O351">
        <f>MAX(0,ROUND(SUMIFS(m8_cv!$E:$E,m8_cv!$A:$A,$E351,m8_cv!$B:$B,$A351),0))</f>
        <v>3196</v>
      </c>
    </row>
    <row r="352" spans="1:15" x14ac:dyDescent="0.25">
      <c r="A352" s="3">
        <f t="shared" si="29"/>
        <v>46008</v>
      </c>
      <c r="B352">
        <f t="shared" si="25"/>
        <v>2025</v>
      </c>
      <c r="C352">
        <f t="shared" si="26"/>
        <v>12</v>
      </c>
      <c r="D352">
        <f t="shared" si="27"/>
        <v>17</v>
      </c>
      <c r="E352" s="2">
        <f t="shared" si="28"/>
        <v>45991</v>
      </c>
      <c r="F352" s="12">
        <f>_xlfn.XLOOKUP($A352,m1_cv!$B:$B,m1_cv!$C:$C)</f>
        <v>4029</v>
      </c>
      <c r="G352">
        <f>MAX(0,ROUND(SUMIFS(m1_cv!$E:$E,m1_cv!$A:$A,$E352,m1_cv!$B:$B,$A352),0))</f>
        <v>3786</v>
      </c>
      <c r="H352">
        <f>MAX(0,ROUND(SUMIFS(m2_cv!$E:$E,m2_cv!$A:$A,$E352,m2_cv!$B:$B,$A352),0))</f>
        <v>3336</v>
      </c>
      <c r="I352">
        <f>MAX(0,ROUND(SUMIFS(m3_cv!$E:$E,m3_cv!$A:$A,$E352,m3_cv!$B:$B,$A352),0))</f>
        <v>3477</v>
      </c>
      <c r="J352">
        <f>MAX(0,ROUND(SUMIFS(m4_cv!$E:$E,m4_cv!$A:$A,$E352,m4_cv!$B:$B,$A352),0))</f>
        <v>3474</v>
      </c>
      <c r="K352">
        <f>MAX(0,ROUND(SUMIFS(m5_cv!$E:$E,m5_cv!$A:$A,$E352,m5_cv!$B:$B,$A352),0))</f>
        <v>3467</v>
      </c>
      <c r="L352">
        <f>MAX(0,ROUND(SUMIFS(m6_cv!$E:$E,m6_cv!$A:$A,$E352,m6_cv!$B:$B,$A352),0))</f>
        <v>3290</v>
      </c>
      <c r="M352">
        <f>MAX(0,ROUND(SUMIFS(m7_cv!$E:$E,m7_cv!$A:$A,$E352,m7_cv!$B:$B,$A352),0))</f>
        <v>3466</v>
      </c>
      <c r="N352">
        <f>ROUND(_xlfn.XLOOKUP($D352,Charts!$W$86:$W$116,Charts!$X$86:$X$116)*$L352+_xlfn.XLOOKUP($D352,Charts!$W$86:$W$116,Charts!$Y$86:$Y$116)*$M352,0)</f>
        <v>3466</v>
      </c>
      <c r="O352">
        <f>MAX(0,ROUND(SUMIFS(m8_cv!$E:$E,m8_cv!$A:$A,$E352,m8_cv!$B:$B,$A352),0))</f>
        <v>3456</v>
      </c>
    </row>
    <row r="353" spans="1:15" x14ac:dyDescent="0.25">
      <c r="A353" s="3">
        <f t="shared" si="29"/>
        <v>46009</v>
      </c>
      <c r="B353">
        <f t="shared" si="25"/>
        <v>2025</v>
      </c>
      <c r="C353">
        <f t="shared" si="26"/>
        <v>12</v>
      </c>
      <c r="D353">
        <f t="shared" si="27"/>
        <v>18</v>
      </c>
      <c r="E353" s="2">
        <f t="shared" si="28"/>
        <v>45991</v>
      </c>
      <c r="F353" s="12">
        <f>_xlfn.XLOOKUP($A353,m1_cv!$B:$B,m1_cv!$C:$C)</f>
        <v>3874</v>
      </c>
      <c r="G353">
        <f>MAX(0,ROUND(SUMIFS(m1_cv!$E:$E,m1_cv!$A:$A,$E353,m1_cv!$B:$B,$A353),0))</f>
        <v>3808</v>
      </c>
      <c r="H353">
        <f>MAX(0,ROUND(SUMIFS(m2_cv!$E:$E,m2_cv!$A:$A,$E353,m2_cv!$B:$B,$A353),0))</f>
        <v>3588</v>
      </c>
      <c r="I353">
        <f>MAX(0,ROUND(SUMIFS(m3_cv!$E:$E,m3_cv!$A:$A,$E353,m3_cv!$B:$B,$A353),0))</f>
        <v>3800</v>
      </c>
      <c r="J353">
        <f>MAX(0,ROUND(SUMIFS(m4_cv!$E:$E,m4_cv!$A:$A,$E353,m4_cv!$B:$B,$A353),0))</f>
        <v>3798</v>
      </c>
      <c r="K353">
        <f>MAX(0,ROUND(SUMIFS(m5_cv!$E:$E,m5_cv!$A:$A,$E353,m5_cv!$B:$B,$A353),0))</f>
        <v>3652</v>
      </c>
      <c r="L353">
        <f>MAX(0,ROUND(SUMIFS(m6_cv!$E:$E,m6_cv!$A:$A,$E353,m6_cv!$B:$B,$A353),0))</f>
        <v>3739</v>
      </c>
      <c r="M353">
        <f>MAX(0,ROUND(SUMIFS(m7_cv!$E:$E,m7_cv!$A:$A,$E353,m7_cv!$B:$B,$A353),0))</f>
        <v>3626</v>
      </c>
      <c r="N353">
        <f>ROUND(_xlfn.XLOOKUP($D353,Charts!$W$86:$W$116,Charts!$X$86:$X$116)*$L353+_xlfn.XLOOKUP($D353,Charts!$W$86:$W$116,Charts!$Y$86:$Y$116)*$M353,0)</f>
        <v>3626</v>
      </c>
      <c r="O353">
        <f>MAX(0,ROUND(SUMIFS(m8_cv!$E:$E,m8_cv!$A:$A,$E353,m8_cv!$B:$B,$A353),0))</f>
        <v>3628</v>
      </c>
    </row>
    <row r="354" spans="1:15" x14ac:dyDescent="0.25">
      <c r="A354" s="3">
        <f t="shared" si="29"/>
        <v>46010</v>
      </c>
      <c r="B354">
        <f t="shared" si="25"/>
        <v>2025</v>
      </c>
      <c r="C354">
        <f t="shared" si="26"/>
        <v>12</v>
      </c>
      <c r="D354">
        <f t="shared" si="27"/>
        <v>19</v>
      </c>
      <c r="E354" s="2">
        <f t="shared" si="28"/>
        <v>45991</v>
      </c>
      <c r="F354" s="12">
        <f>_xlfn.XLOOKUP($A354,m1_cv!$B:$B,m1_cv!$C:$C)</f>
        <v>4261</v>
      </c>
      <c r="G354">
        <f>MAX(0,ROUND(SUMIFS(m1_cv!$E:$E,m1_cv!$A:$A,$E354,m1_cv!$B:$B,$A354),0))</f>
        <v>3750</v>
      </c>
      <c r="H354">
        <f>MAX(0,ROUND(SUMIFS(m2_cv!$E:$E,m2_cv!$A:$A,$E354,m2_cv!$B:$B,$A354),0))</f>
        <v>3590</v>
      </c>
      <c r="I354">
        <f>MAX(0,ROUND(SUMIFS(m3_cv!$E:$E,m3_cv!$A:$A,$E354,m3_cv!$B:$B,$A354),0))</f>
        <v>3828</v>
      </c>
      <c r="J354">
        <f>MAX(0,ROUND(SUMIFS(m4_cv!$E:$E,m4_cv!$A:$A,$E354,m4_cv!$B:$B,$A354),0))</f>
        <v>3826</v>
      </c>
      <c r="K354">
        <f>MAX(0,ROUND(SUMIFS(m5_cv!$E:$E,m5_cv!$A:$A,$E354,m5_cv!$B:$B,$A354),0))</f>
        <v>3680</v>
      </c>
      <c r="L354">
        <f>MAX(0,ROUND(SUMIFS(m6_cv!$E:$E,m6_cv!$A:$A,$E354,m6_cv!$B:$B,$A354),0))</f>
        <v>3813</v>
      </c>
      <c r="M354">
        <f>MAX(0,ROUND(SUMIFS(m7_cv!$E:$E,m7_cv!$A:$A,$E354,m7_cv!$B:$B,$A354),0))</f>
        <v>3639</v>
      </c>
      <c r="N354">
        <f>ROUND(_xlfn.XLOOKUP($D354,Charts!$W$86:$W$116,Charts!$X$86:$X$116)*$L354+_xlfn.XLOOKUP($D354,Charts!$W$86:$W$116,Charts!$Y$86:$Y$116)*$M354,0)</f>
        <v>3639</v>
      </c>
      <c r="O354">
        <f>MAX(0,ROUND(SUMIFS(m8_cv!$E:$E,m8_cv!$A:$A,$E354,m8_cv!$B:$B,$A354),0))</f>
        <v>3637</v>
      </c>
    </row>
    <row r="355" spans="1:15" x14ac:dyDescent="0.25">
      <c r="A355" s="3">
        <f t="shared" si="29"/>
        <v>46011</v>
      </c>
      <c r="B355">
        <f t="shared" si="25"/>
        <v>2025</v>
      </c>
      <c r="C355">
        <f t="shared" si="26"/>
        <v>12</v>
      </c>
      <c r="D355">
        <f t="shared" si="27"/>
        <v>20</v>
      </c>
      <c r="E355" s="2">
        <f t="shared" si="28"/>
        <v>45991</v>
      </c>
      <c r="F355" s="12">
        <f>_xlfn.XLOOKUP($A355,m1_cv!$B:$B,m1_cv!$C:$C)</f>
        <v>999</v>
      </c>
      <c r="G355">
        <f>MAX(0,ROUND(SUMIFS(m1_cv!$E:$E,m1_cv!$A:$A,$E355,m1_cv!$B:$B,$A355),0))</f>
        <v>1421</v>
      </c>
      <c r="H355">
        <f>MAX(0,ROUND(SUMIFS(m2_cv!$E:$E,m2_cv!$A:$A,$E355,m2_cv!$B:$B,$A355),0))</f>
        <v>1215</v>
      </c>
      <c r="I355">
        <f>MAX(0,ROUND(SUMIFS(m3_cv!$E:$E,m3_cv!$A:$A,$E355,m3_cv!$B:$B,$A355),0))</f>
        <v>1436</v>
      </c>
      <c r="J355">
        <f>MAX(0,ROUND(SUMIFS(m4_cv!$E:$E,m4_cv!$A:$A,$E355,m4_cv!$B:$B,$A355),0))</f>
        <v>1434</v>
      </c>
      <c r="K355">
        <f>MAX(0,ROUND(SUMIFS(m5_cv!$E:$E,m5_cv!$A:$A,$E355,m5_cv!$B:$B,$A355),0))</f>
        <v>1410</v>
      </c>
      <c r="L355">
        <f>MAX(0,ROUND(SUMIFS(m6_cv!$E:$E,m6_cv!$A:$A,$E355,m6_cv!$B:$B,$A355),0))</f>
        <v>667</v>
      </c>
      <c r="M355">
        <f>MAX(0,ROUND(SUMIFS(m7_cv!$E:$E,m7_cv!$A:$A,$E355,m7_cv!$B:$B,$A355),0))</f>
        <v>1454</v>
      </c>
      <c r="N355">
        <f>ROUND(_xlfn.XLOOKUP($D355,Charts!$W$86:$W$116,Charts!$X$86:$X$116)*$L355+_xlfn.XLOOKUP($D355,Charts!$W$86:$W$116,Charts!$Y$86:$Y$116)*$M355,0)</f>
        <v>1454</v>
      </c>
      <c r="O355">
        <f>MAX(0,ROUND(SUMIFS(m8_cv!$E:$E,m8_cv!$A:$A,$E355,m8_cv!$B:$B,$A355),0))</f>
        <v>1458</v>
      </c>
    </row>
    <row r="356" spans="1:15" x14ac:dyDescent="0.25">
      <c r="A356" s="3">
        <f t="shared" si="29"/>
        <v>46012</v>
      </c>
      <c r="B356">
        <f t="shared" si="25"/>
        <v>2025</v>
      </c>
      <c r="C356">
        <f t="shared" si="26"/>
        <v>12</v>
      </c>
      <c r="D356">
        <f t="shared" si="27"/>
        <v>21</v>
      </c>
      <c r="E356" s="2">
        <f t="shared" si="28"/>
        <v>45991</v>
      </c>
      <c r="F356" s="12">
        <f>_xlfn.XLOOKUP($A356,m1_cv!$B:$B,m1_cv!$C:$C)</f>
        <v>251</v>
      </c>
      <c r="G356">
        <f>MAX(0,ROUND(SUMIFS(m1_cv!$E:$E,m1_cv!$A:$A,$E356,m1_cv!$B:$B,$A356),0))</f>
        <v>784</v>
      </c>
      <c r="H356">
        <f>MAX(0,ROUND(SUMIFS(m2_cv!$E:$E,m2_cv!$A:$A,$E356,m2_cv!$B:$B,$A356),0))</f>
        <v>641</v>
      </c>
      <c r="I356">
        <f>MAX(0,ROUND(SUMIFS(m3_cv!$E:$E,m3_cv!$A:$A,$E356,m3_cv!$B:$B,$A356),0))</f>
        <v>850</v>
      </c>
      <c r="J356">
        <f>MAX(0,ROUND(SUMIFS(m4_cv!$E:$E,m4_cv!$A:$A,$E356,m4_cv!$B:$B,$A356),0))</f>
        <v>847</v>
      </c>
      <c r="K356">
        <f>MAX(0,ROUND(SUMIFS(m5_cv!$E:$E,m5_cv!$A:$A,$E356,m5_cv!$B:$B,$A356),0))</f>
        <v>897</v>
      </c>
      <c r="L356">
        <f>MAX(0,ROUND(SUMIFS(m6_cv!$E:$E,m6_cv!$A:$A,$E356,m6_cv!$B:$B,$A356),0))</f>
        <v>244</v>
      </c>
      <c r="M356">
        <f>MAX(0,ROUND(SUMIFS(m7_cv!$E:$E,m7_cv!$A:$A,$E356,m7_cv!$B:$B,$A356),0))</f>
        <v>970</v>
      </c>
      <c r="N356">
        <f>ROUND(_xlfn.XLOOKUP($D356,Charts!$W$86:$W$116,Charts!$X$86:$X$116)*$L356+_xlfn.XLOOKUP($D356,Charts!$W$86:$W$116,Charts!$Y$86:$Y$116)*$M356,0)</f>
        <v>970</v>
      </c>
      <c r="O356">
        <f>MAX(0,ROUND(SUMIFS(m8_cv!$E:$E,m8_cv!$A:$A,$E356,m8_cv!$B:$B,$A356),0))</f>
        <v>991</v>
      </c>
    </row>
    <row r="357" spans="1:15" x14ac:dyDescent="0.25">
      <c r="A357" s="3">
        <f t="shared" si="29"/>
        <v>46013</v>
      </c>
      <c r="B357">
        <f t="shared" si="25"/>
        <v>2025</v>
      </c>
      <c r="C357">
        <f t="shared" si="26"/>
        <v>12</v>
      </c>
      <c r="D357">
        <f t="shared" si="27"/>
        <v>22</v>
      </c>
      <c r="E357" s="2">
        <f t="shared" si="28"/>
        <v>45991</v>
      </c>
      <c r="F357" s="12">
        <f>_xlfn.XLOOKUP($A357,m1_cv!$B:$B,m1_cv!$C:$C)</f>
        <v>4791</v>
      </c>
      <c r="G357">
        <f>MAX(0,ROUND(SUMIFS(m1_cv!$E:$E,m1_cv!$A:$A,$E357,m1_cv!$B:$B,$A357),0))</f>
        <v>3018</v>
      </c>
      <c r="H357">
        <f>MAX(0,ROUND(SUMIFS(m2_cv!$E:$E,m2_cv!$A:$A,$E357,m2_cv!$B:$B,$A357),0))</f>
        <v>3164</v>
      </c>
      <c r="I357">
        <f>MAX(0,ROUND(SUMIFS(m3_cv!$E:$E,m3_cv!$A:$A,$E357,m3_cv!$B:$B,$A357),0))</f>
        <v>3567</v>
      </c>
      <c r="J357">
        <f>MAX(0,ROUND(SUMIFS(m4_cv!$E:$E,m4_cv!$A:$A,$E357,m4_cv!$B:$B,$A357),0))</f>
        <v>3564</v>
      </c>
      <c r="K357">
        <f>MAX(0,ROUND(SUMIFS(m5_cv!$E:$E,m5_cv!$A:$A,$E357,m5_cv!$B:$B,$A357),0))</f>
        <v>3569</v>
      </c>
      <c r="L357">
        <f>MAX(0,ROUND(SUMIFS(m6_cv!$E:$E,m6_cv!$A:$A,$E357,m6_cv!$B:$B,$A357),0))</f>
        <v>3102</v>
      </c>
      <c r="M357">
        <f>MAX(0,ROUND(SUMIFS(m7_cv!$E:$E,m7_cv!$A:$A,$E357,m7_cv!$B:$B,$A357),0))</f>
        <v>3523</v>
      </c>
      <c r="N357">
        <f>ROUND(_xlfn.XLOOKUP($D357,Charts!$W$86:$W$116,Charts!$X$86:$X$116)*$L357+_xlfn.XLOOKUP($D357,Charts!$W$86:$W$116,Charts!$Y$86:$Y$116)*$M357,0)</f>
        <v>3523</v>
      </c>
      <c r="O357">
        <f>MAX(0,ROUND(SUMIFS(m8_cv!$E:$E,m8_cv!$A:$A,$E357,m8_cv!$B:$B,$A357),0))</f>
        <v>3554</v>
      </c>
    </row>
    <row r="358" spans="1:15" x14ac:dyDescent="0.25">
      <c r="A358" s="3">
        <f t="shared" si="29"/>
        <v>46014</v>
      </c>
      <c r="B358">
        <f t="shared" si="25"/>
        <v>2025</v>
      </c>
      <c r="C358">
        <f t="shared" si="26"/>
        <v>12</v>
      </c>
      <c r="D358">
        <f t="shared" si="27"/>
        <v>23</v>
      </c>
      <c r="E358" s="2">
        <f t="shared" si="28"/>
        <v>45991</v>
      </c>
      <c r="F358" s="12">
        <f>_xlfn.XLOOKUP($A358,m1_cv!$B:$B,m1_cv!$C:$C)</f>
        <v>5802</v>
      </c>
      <c r="G358">
        <f>MAX(0,ROUND(SUMIFS(m1_cv!$E:$E,m1_cv!$A:$A,$E358,m1_cv!$B:$B,$A358),0))</f>
        <v>3485</v>
      </c>
      <c r="H358">
        <f>MAX(0,ROUND(SUMIFS(m2_cv!$E:$E,m2_cv!$A:$A,$E358,m2_cv!$B:$B,$A358),0))</f>
        <v>3969</v>
      </c>
      <c r="I358">
        <f>MAX(0,ROUND(SUMIFS(m3_cv!$E:$E,m3_cv!$A:$A,$E358,m3_cv!$B:$B,$A358),0))</f>
        <v>4181</v>
      </c>
      <c r="J358">
        <f>MAX(0,ROUND(SUMIFS(m4_cv!$E:$E,m4_cv!$A:$A,$E358,m4_cv!$B:$B,$A358),0))</f>
        <v>4179</v>
      </c>
      <c r="K358">
        <f>MAX(0,ROUND(SUMIFS(m5_cv!$E:$E,m5_cv!$A:$A,$E358,m5_cv!$B:$B,$A358),0))</f>
        <v>4074</v>
      </c>
      <c r="L358">
        <f>MAX(0,ROUND(SUMIFS(m6_cv!$E:$E,m6_cv!$A:$A,$E358,m6_cv!$B:$B,$A358),0))</f>
        <v>4061</v>
      </c>
      <c r="M358">
        <f>MAX(0,ROUND(SUMIFS(m7_cv!$E:$E,m7_cv!$A:$A,$E358,m7_cv!$B:$B,$A358),0))</f>
        <v>3972</v>
      </c>
      <c r="N358">
        <f>ROUND(_xlfn.XLOOKUP($D358,Charts!$W$86:$W$116,Charts!$X$86:$X$116)*$L358+_xlfn.XLOOKUP($D358,Charts!$W$86:$W$116,Charts!$Y$86:$Y$116)*$M358,0)</f>
        <v>3972</v>
      </c>
      <c r="O358">
        <f>MAX(0,ROUND(SUMIFS(m8_cv!$E:$E,m8_cv!$A:$A,$E358,m8_cv!$B:$B,$A358),0))</f>
        <v>4005</v>
      </c>
    </row>
    <row r="359" spans="1:15" x14ac:dyDescent="0.25">
      <c r="A359" s="3">
        <f t="shared" si="29"/>
        <v>46015</v>
      </c>
      <c r="B359">
        <f t="shared" si="25"/>
        <v>2025</v>
      </c>
      <c r="C359">
        <f t="shared" si="26"/>
        <v>12</v>
      </c>
      <c r="D359">
        <f t="shared" si="27"/>
        <v>24</v>
      </c>
      <c r="E359" s="2">
        <f t="shared" si="28"/>
        <v>45991</v>
      </c>
      <c r="F359" s="12">
        <f>_xlfn.XLOOKUP($A359,m1_cv!$B:$B,m1_cv!$C:$C)</f>
        <v>6117</v>
      </c>
      <c r="G359">
        <f>MAX(0,ROUND(SUMIFS(m1_cv!$E:$E,m1_cv!$A:$A,$E359,m1_cv!$B:$B,$A359),0))</f>
        <v>3449</v>
      </c>
      <c r="H359">
        <f>MAX(0,ROUND(SUMIFS(m2_cv!$E:$E,m2_cv!$A:$A,$E359,m2_cv!$B:$B,$A359),0))</f>
        <v>4152</v>
      </c>
      <c r="I359">
        <f>MAX(0,ROUND(SUMIFS(m3_cv!$E:$E,m3_cv!$A:$A,$E359,m3_cv!$B:$B,$A359),0))</f>
        <v>4483</v>
      </c>
      <c r="J359">
        <f>MAX(0,ROUND(SUMIFS(m4_cv!$E:$E,m4_cv!$A:$A,$E359,m4_cv!$B:$B,$A359),0))</f>
        <v>4481</v>
      </c>
      <c r="K359">
        <f>MAX(0,ROUND(SUMIFS(m5_cv!$E:$E,m5_cv!$A:$A,$E359,m5_cv!$B:$B,$A359),0))</f>
        <v>4267</v>
      </c>
      <c r="L359">
        <f>MAX(0,ROUND(SUMIFS(m6_cv!$E:$E,m6_cv!$A:$A,$E359,m6_cv!$B:$B,$A359),0))</f>
        <v>4587</v>
      </c>
      <c r="M359">
        <f>MAX(0,ROUND(SUMIFS(m7_cv!$E:$E,m7_cv!$A:$A,$E359,m7_cv!$B:$B,$A359),0))</f>
        <v>4244</v>
      </c>
      <c r="N359">
        <f>ROUND(_xlfn.XLOOKUP($D359,Charts!$W$86:$W$116,Charts!$X$86:$X$116)*$L359+_xlfn.XLOOKUP($D359,Charts!$W$86:$W$116,Charts!$Y$86:$Y$116)*$M359,0)</f>
        <v>4587</v>
      </c>
      <c r="O359">
        <f>MAX(0,ROUND(SUMIFS(m8_cv!$E:$E,m8_cv!$A:$A,$E359,m8_cv!$B:$B,$A359),0))</f>
        <v>4294</v>
      </c>
    </row>
    <row r="360" spans="1:15" x14ac:dyDescent="0.25">
      <c r="A360" s="3">
        <f t="shared" si="29"/>
        <v>46016</v>
      </c>
      <c r="B360">
        <f t="shared" si="25"/>
        <v>2025</v>
      </c>
      <c r="C360">
        <f t="shared" si="26"/>
        <v>12</v>
      </c>
      <c r="D360">
        <f t="shared" si="27"/>
        <v>25</v>
      </c>
      <c r="E360" s="2">
        <f t="shared" si="28"/>
        <v>45991</v>
      </c>
      <c r="F360" s="12">
        <f>_xlfn.XLOOKUP($A360,m1_cv!$B:$B,m1_cv!$C:$C)</f>
        <v>400</v>
      </c>
      <c r="G360">
        <f>MAX(0,ROUND(SUMIFS(m1_cv!$E:$E,m1_cv!$A:$A,$E360,m1_cv!$B:$B,$A360),0))</f>
        <v>3462</v>
      </c>
      <c r="H360">
        <f>MAX(0,ROUND(SUMIFS(m2_cv!$E:$E,m2_cv!$A:$A,$E360,m2_cv!$B:$B,$A360),0))</f>
        <v>4152</v>
      </c>
      <c r="I360">
        <f>MAX(0,ROUND(SUMIFS(m3_cv!$E:$E,m3_cv!$A:$A,$E360,m3_cv!$B:$B,$A360),0))</f>
        <v>815</v>
      </c>
      <c r="J360">
        <f>MAX(0,ROUND(SUMIFS(m4_cv!$E:$E,m4_cv!$A:$A,$E360,m4_cv!$B:$B,$A360),0))</f>
        <v>819</v>
      </c>
      <c r="K360">
        <f>MAX(0,ROUND(SUMIFS(m5_cv!$E:$E,m5_cv!$A:$A,$E360,m5_cv!$B:$B,$A360),0))</f>
        <v>1106</v>
      </c>
      <c r="L360">
        <f>MAX(0,ROUND(SUMIFS(m6_cv!$E:$E,m6_cv!$A:$A,$E360,m6_cv!$B:$B,$A360),0))</f>
        <v>354</v>
      </c>
      <c r="M360">
        <f>MAX(0,ROUND(SUMIFS(m7_cv!$E:$E,m7_cv!$A:$A,$E360,m7_cv!$B:$B,$A360),0))</f>
        <v>1310</v>
      </c>
      <c r="N360">
        <f>ROUND(_xlfn.XLOOKUP($D360,Charts!$W$86:$W$116,Charts!$X$86:$X$116)*$L360+_xlfn.XLOOKUP($D360,Charts!$W$86:$W$116,Charts!$Y$86:$Y$116)*$M360,0)</f>
        <v>354</v>
      </c>
      <c r="O360">
        <f>MAX(0,ROUND(SUMIFS(m8_cv!$E:$E,m8_cv!$A:$A,$E360,m8_cv!$B:$B,$A360),0))</f>
        <v>937</v>
      </c>
    </row>
    <row r="361" spans="1:15" x14ac:dyDescent="0.25">
      <c r="A361" s="3">
        <f t="shared" si="29"/>
        <v>46017</v>
      </c>
      <c r="B361">
        <f t="shared" si="25"/>
        <v>2025</v>
      </c>
      <c r="C361">
        <f t="shared" si="26"/>
        <v>12</v>
      </c>
      <c r="D361">
        <f t="shared" si="27"/>
        <v>26</v>
      </c>
      <c r="E361" s="2">
        <f t="shared" si="28"/>
        <v>45991</v>
      </c>
      <c r="F361" s="12">
        <f>_xlfn.XLOOKUP($A361,m1_cv!$B:$B,m1_cv!$C:$C)</f>
        <v>6559</v>
      </c>
      <c r="G361">
        <f>MAX(0,ROUND(SUMIFS(m1_cv!$E:$E,m1_cv!$A:$A,$E361,m1_cv!$B:$B,$A361),0))</f>
        <v>3398</v>
      </c>
      <c r="H361">
        <f>MAX(0,ROUND(SUMIFS(m2_cv!$E:$E,m2_cv!$A:$A,$E361,m2_cv!$B:$B,$A361),0))</f>
        <v>4067</v>
      </c>
      <c r="I361">
        <f>MAX(0,ROUND(SUMIFS(m3_cv!$E:$E,m3_cv!$A:$A,$E361,m3_cv!$B:$B,$A361),0))</f>
        <v>4465</v>
      </c>
      <c r="J361">
        <f>MAX(0,ROUND(SUMIFS(m4_cv!$E:$E,m4_cv!$A:$A,$E361,m4_cv!$B:$B,$A361),0))</f>
        <v>4462</v>
      </c>
      <c r="K361">
        <f>MAX(0,ROUND(SUMIFS(m5_cv!$E:$E,m5_cv!$A:$A,$E361,m5_cv!$B:$B,$A361),0))</f>
        <v>4322</v>
      </c>
      <c r="L361">
        <f>MAX(0,ROUND(SUMIFS(m6_cv!$E:$E,m6_cv!$A:$A,$E361,m6_cv!$B:$B,$A361),0))</f>
        <v>4568</v>
      </c>
      <c r="M361">
        <f>MAX(0,ROUND(SUMIFS(m7_cv!$E:$E,m7_cv!$A:$A,$E361,m7_cv!$B:$B,$A361),0))</f>
        <v>4404</v>
      </c>
      <c r="N361">
        <f>ROUND(_xlfn.XLOOKUP($D361,Charts!$W$86:$W$116,Charts!$X$86:$X$116)*$L361+_xlfn.XLOOKUP($D361,Charts!$W$86:$W$116,Charts!$Y$86:$Y$116)*$M361,0)</f>
        <v>4568</v>
      </c>
      <c r="O361">
        <f>MAX(0,ROUND(SUMIFS(m8_cv!$E:$E,m8_cv!$A:$A,$E361,m8_cv!$B:$B,$A361),0))</f>
        <v>4537</v>
      </c>
    </row>
    <row r="362" spans="1:15" x14ac:dyDescent="0.25">
      <c r="A362" s="3">
        <f t="shared" si="29"/>
        <v>46018</v>
      </c>
      <c r="B362">
        <f t="shared" si="25"/>
        <v>2025</v>
      </c>
      <c r="C362">
        <f t="shared" si="26"/>
        <v>12</v>
      </c>
      <c r="D362">
        <f t="shared" si="27"/>
        <v>27</v>
      </c>
      <c r="E362" s="2">
        <f t="shared" si="28"/>
        <v>45991</v>
      </c>
      <c r="F362" s="12">
        <f>_xlfn.XLOOKUP($A362,m1_cv!$B:$B,m1_cv!$C:$C)</f>
        <v>1928</v>
      </c>
      <c r="G362">
        <f>MAX(0,ROUND(SUMIFS(m1_cv!$E:$E,m1_cv!$A:$A,$E362,m1_cv!$B:$B,$A362),0))</f>
        <v>1067</v>
      </c>
      <c r="H362">
        <f>MAX(0,ROUND(SUMIFS(m2_cv!$E:$E,m2_cv!$A:$A,$E362,m2_cv!$B:$B,$A362),0))</f>
        <v>2102</v>
      </c>
      <c r="I362">
        <f>MAX(0,ROUND(SUMIFS(m3_cv!$E:$E,m3_cv!$A:$A,$E362,m3_cv!$B:$B,$A362),0))</f>
        <v>2443</v>
      </c>
      <c r="J362">
        <f>MAX(0,ROUND(SUMIFS(m4_cv!$E:$E,m4_cv!$A:$A,$E362,m4_cv!$B:$B,$A362),0))</f>
        <v>2440</v>
      </c>
      <c r="K362">
        <f>MAX(0,ROUND(SUMIFS(m5_cv!$E:$E,m5_cv!$A:$A,$E362,m5_cv!$B:$B,$A362),0))</f>
        <v>3422</v>
      </c>
      <c r="L362">
        <f>MAX(0,ROUND(SUMIFS(m6_cv!$E:$E,m6_cv!$A:$A,$E362,m6_cv!$B:$B,$A362),0))</f>
        <v>1381</v>
      </c>
      <c r="M362">
        <f>MAX(0,ROUND(SUMIFS(m7_cv!$E:$E,m7_cv!$A:$A,$E362,m7_cv!$B:$B,$A362),0))</f>
        <v>3410</v>
      </c>
      <c r="N362">
        <f>ROUND(_xlfn.XLOOKUP($D362,Charts!$W$86:$W$116,Charts!$X$86:$X$116)*$L362+_xlfn.XLOOKUP($D362,Charts!$W$86:$W$116,Charts!$Y$86:$Y$116)*$M362,0)</f>
        <v>1381</v>
      </c>
      <c r="O362">
        <f>MAX(0,ROUND(SUMIFS(m8_cv!$E:$E,m8_cv!$A:$A,$E362,m8_cv!$B:$B,$A362),0))</f>
        <v>3188</v>
      </c>
    </row>
    <row r="363" spans="1:15" x14ac:dyDescent="0.25">
      <c r="A363" s="3">
        <f t="shared" si="29"/>
        <v>46019</v>
      </c>
      <c r="B363">
        <f t="shared" si="25"/>
        <v>2025</v>
      </c>
      <c r="C363">
        <f t="shared" si="26"/>
        <v>12</v>
      </c>
      <c r="D363">
        <f t="shared" si="27"/>
        <v>28</v>
      </c>
      <c r="E363" s="2">
        <f t="shared" si="28"/>
        <v>45991</v>
      </c>
      <c r="F363" s="12">
        <f>_xlfn.XLOOKUP($A363,m1_cv!$B:$B,m1_cv!$C:$C)</f>
        <v>428</v>
      </c>
      <c r="G363">
        <f>MAX(0,ROUND(SUMIFS(m1_cv!$E:$E,m1_cv!$A:$A,$E363,m1_cv!$B:$B,$A363),0))</f>
        <v>433</v>
      </c>
      <c r="H363">
        <f>MAX(0,ROUND(SUMIFS(m2_cv!$E:$E,m2_cv!$A:$A,$E363,m2_cv!$B:$B,$A363),0))</f>
        <v>2408</v>
      </c>
      <c r="I363">
        <f>MAX(0,ROUND(SUMIFS(m3_cv!$E:$E,m3_cv!$A:$A,$E363,m3_cv!$B:$B,$A363),0))</f>
        <v>2726</v>
      </c>
      <c r="J363">
        <f>MAX(0,ROUND(SUMIFS(m4_cv!$E:$E,m4_cv!$A:$A,$E363,m4_cv!$B:$B,$A363),0))</f>
        <v>2723</v>
      </c>
      <c r="K363">
        <f>MAX(0,ROUND(SUMIFS(m5_cv!$E:$E,m5_cv!$A:$A,$E363,m5_cv!$B:$B,$A363),0))</f>
        <v>2982</v>
      </c>
      <c r="L363">
        <f>MAX(0,ROUND(SUMIFS(m6_cv!$E:$E,m6_cv!$A:$A,$E363,m6_cv!$B:$B,$A363),0))</f>
        <v>442</v>
      </c>
      <c r="M363">
        <f>MAX(0,ROUND(SUMIFS(m7_cv!$E:$E,m7_cv!$A:$A,$E363,m7_cv!$B:$B,$A363),0))</f>
        <v>2787</v>
      </c>
      <c r="N363">
        <f>ROUND(_xlfn.XLOOKUP($D363,Charts!$W$86:$W$116,Charts!$X$86:$X$116)*$L363+_xlfn.XLOOKUP($D363,Charts!$W$86:$W$116,Charts!$Y$86:$Y$116)*$M363,0)</f>
        <v>442</v>
      </c>
      <c r="O363">
        <f>MAX(0,ROUND(SUMIFS(m8_cv!$E:$E,m8_cv!$A:$A,$E363,m8_cv!$B:$B,$A363),0))</f>
        <v>2778</v>
      </c>
    </row>
    <row r="364" spans="1:15" x14ac:dyDescent="0.25">
      <c r="A364" s="3">
        <f t="shared" si="29"/>
        <v>46020</v>
      </c>
      <c r="B364">
        <f t="shared" si="25"/>
        <v>2025</v>
      </c>
      <c r="C364">
        <f t="shared" si="26"/>
        <v>12</v>
      </c>
      <c r="D364">
        <f t="shared" si="27"/>
        <v>29</v>
      </c>
      <c r="E364" s="2">
        <f t="shared" si="28"/>
        <v>45991</v>
      </c>
      <c r="F364" s="12">
        <f>_xlfn.XLOOKUP($A364,m1_cv!$B:$B,m1_cv!$C:$C)</f>
        <v>7441</v>
      </c>
      <c r="G364">
        <f>MAX(0,ROUND(SUMIFS(m1_cv!$E:$E,m1_cv!$A:$A,$E364,m1_cv!$B:$B,$A364),0))</f>
        <v>2672</v>
      </c>
      <c r="H364">
        <f>MAX(0,ROUND(SUMIFS(m2_cv!$E:$E,m2_cv!$A:$A,$E364,m2_cv!$B:$B,$A364),0))</f>
        <v>5837</v>
      </c>
      <c r="I364">
        <f>MAX(0,ROUND(SUMIFS(m3_cv!$E:$E,m3_cv!$A:$A,$E364,m3_cv!$B:$B,$A364),0))</f>
        <v>6369</v>
      </c>
      <c r="J364">
        <f>MAX(0,ROUND(SUMIFS(m4_cv!$E:$E,m4_cv!$A:$A,$E364,m4_cv!$B:$B,$A364),0))</f>
        <v>6366</v>
      </c>
      <c r="K364">
        <f>MAX(0,ROUND(SUMIFS(m5_cv!$E:$E,m5_cv!$A:$A,$E364,m5_cv!$B:$B,$A364),0))</f>
        <v>5573</v>
      </c>
      <c r="L364">
        <f>MAX(0,ROUND(SUMIFS(m6_cv!$E:$E,m6_cv!$A:$A,$E364,m6_cv!$B:$B,$A364),0))</f>
        <v>4919</v>
      </c>
      <c r="M364">
        <f>MAX(0,ROUND(SUMIFS(m7_cv!$E:$E,m7_cv!$A:$A,$E364,m7_cv!$B:$B,$A364),0))</f>
        <v>5589</v>
      </c>
      <c r="N364">
        <f>ROUND(_xlfn.XLOOKUP($D364,Charts!$W$86:$W$116,Charts!$X$86:$X$116)*$L364+_xlfn.XLOOKUP($D364,Charts!$W$86:$W$116,Charts!$Y$86:$Y$116)*$M364,0)</f>
        <v>5589</v>
      </c>
      <c r="O364">
        <f>MAX(0,ROUND(SUMIFS(m8_cv!$E:$E,m8_cv!$A:$A,$E364,m8_cv!$B:$B,$A364),0))</f>
        <v>5700</v>
      </c>
    </row>
    <row r="365" spans="1:15" x14ac:dyDescent="0.25">
      <c r="A365" s="3">
        <f t="shared" si="29"/>
        <v>46021</v>
      </c>
      <c r="B365">
        <f t="shared" si="25"/>
        <v>2025</v>
      </c>
      <c r="C365">
        <f t="shared" si="26"/>
        <v>12</v>
      </c>
      <c r="D365">
        <f t="shared" si="27"/>
        <v>30</v>
      </c>
      <c r="E365" s="2">
        <f t="shared" si="28"/>
        <v>45991</v>
      </c>
      <c r="F365" s="12">
        <f>_xlfn.XLOOKUP($A365,m1_cv!$B:$B,m1_cv!$C:$C)</f>
        <v>10603</v>
      </c>
      <c r="G365">
        <f>MAX(0,ROUND(SUMIFS(m1_cv!$E:$E,m1_cv!$A:$A,$E365,m1_cv!$B:$B,$A365),0))</f>
        <v>3148</v>
      </c>
      <c r="H365">
        <f>MAX(0,ROUND(SUMIFS(m2_cv!$E:$E,m2_cv!$A:$A,$E365,m2_cv!$B:$B,$A365),0))</f>
        <v>6988</v>
      </c>
      <c r="I365">
        <f>MAX(0,ROUND(SUMIFS(m3_cv!$E:$E,m3_cv!$A:$A,$E365,m3_cv!$B:$B,$A365),0))</f>
        <v>7345</v>
      </c>
      <c r="J365">
        <f>MAX(0,ROUND(SUMIFS(m4_cv!$E:$E,m4_cv!$A:$A,$E365,m4_cv!$B:$B,$A365),0))</f>
        <v>7344</v>
      </c>
      <c r="K365">
        <f>MAX(0,ROUND(SUMIFS(m5_cv!$E:$E,m5_cv!$A:$A,$E365,m5_cv!$B:$B,$A365),0))</f>
        <v>8033</v>
      </c>
      <c r="L365">
        <f>MAX(0,ROUND(SUMIFS(m6_cv!$E:$E,m6_cv!$A:$A,$E365,m6_cv!$B:$B,$A365),0))</f>
        <v>10670</v>
      </c>
      <c r="M365">
        <f>MAX(0,ROUND(SUMIFS(m7_cv!$E:$E,m7_cv!$A:$A,$E365,m7_cv!$B:$B,$A365),0))</f>
        <v>8236</v>
      </c>
      <c r="N365">
        <f>ROUND(_xlfn.XLOOKUP($D365,Charts!$W$86:$W$116,Charts!$X$86:$X$116)*$L365+_xlfn.XLOOKUP($D365,Charts!$W$86:$W$116,Charts!$Y$86:$Y$116)*$M365,0)</f>
        <v>8236</v>
      </c>
      <c r="O365">
        <f>MAX(0,ROUND(SUMIFS(m8_cv!$E:$E,m8_cv!$A:$A,$E365,m8_cv!$B:$B,$A365),0))</f>
        <v>8204</v>
      </c>
    </row>
    <row r="366" spans="1:15" x14ac:dyDescent="0.25">
      <c r="A366" s="3">
        <f t="shared" si="29"/>
        <v>46022</v>
      </c>
      <c r="B366">
        <f t="shared" si="25"/>
        <v>2025</v>
      </c>
      <c r="C366">
        <f t="shared" si="26"/>
        <v>12</v>
      </c>
      <c r="D366">
        <f t="shared" si="27"/>
        <v>31</v>
      </c>
      <c r="E366" s="2">
        <f t="shared" si="28"/>
        <v>45991</v>
      </c>
      <c r="F366" s="12">
        <f>_xlfn.XLOOKUP($A366,m1_cv!$B:$B,m1_cv!$C:$C)</f>
        <v>15370</v>
      </c>
      <c r="G366">
        <f>MAX(0,ROUND(SUMIFS(m1_cv!$E:$E,m1_cv!$A:$A,$E366,m1_cv!$B:$B,$A366),0))</f>
        <v>3124</v>
      </c>
      <c r="H366">
        <f>MAX(0,ROUND(SUMIFS(m2_cv!$E:$E,m2_cv!$A:$A,$E366,m2_cv!$B:$B,$A366),0))</f>
        <v>6614</v>
      </c>
      <c r="I366">
        <f>MAX(0,ROUND(SUMIFS(m3_cv!$E:$E,m3_cv!$A:$A,$E366,m3_cv!$B:$B,$A366),0))</f>
        <v>7065</v>
      </c>
      <c r="J366">
        <f>MAX(0,ROUND(SUMIFS(m4_cv!$E:$E,m4_cv!$A:$A,$E366,m4_cv!$B:$B,$A366),0))</f>
        <v>7063</v>
      </c>
      <c r="K366">
        <f>MAX(0,ROUND(SUMIFS(m5_cv!$E:$E,m5_cv!$A:$A,$E366,m5_cv!$B:$B,$A366),0))</f>
        <v>9940</v>
      </c>
      <c r="L366">
        <f>MAX(0,ROUND(SUMIFS(m6_cv!$E:$E,m6_cv!$A:$A,$E366,m6_cv!$B:$B,$A366),0))</f>
        <v>15836</v>
      </c>
      <c r="M366">
        <f>MAX(0,ROUND(SUMIFS(m7_cv!$E:$E,m7_cv!$A:$A,$E366,m7_cv!$B:$B,$A366),0))</f>
        <v>10021</v>
      </c>
      <c r="N366">
        <f>ROUND(_xlfn.XLOOKUP($D366,Charts!$W$86:$W$116,Charts!$X$86:$X$116)*$L366+_xlfn.XLOOKUP($D366,Charts!$W$86:$W$116,Charts!$Y$86:$Y$116)*$M366,0)</f>
        <v>10021</v>
      </c>
      <c r="O366">
        <f>MAX(0,ROUND(SUMIFS(m8_cv!$E:$E,m8_cv!$A:$A,$E366,m8_cv!$B:$B,$A366),0))</f>
        <v>10051</v>
      </c>
    </row>
    <row r="367" spans="1:15" x14ac:dyDescent="0.25">
      <c r="A367" s="3">
        <f t="shared" si="29"/>
        <v>46023</v>
      </c>
      <c r="B367">
        <f t="shared" si="25"/>
        <v>2026</v>
      </c>
      <c r="C367">
        <f t="shared" si="26"/>
        <v>1</v>
      </c>
      <c r="D367">
        <f t="shared" si="27"/>
        <v>1</v>
      </c>
      <c r="E367" s="2">
        <f t="shared" si="28"/>
        <v>46022</v>
      </c>
      <c r="F367" s="12">
        <f>_xlfn.XLOOKUP($A367,m1_cv!$B:$B,m1_cv!$C:$C)</f>
        <v>2584</v>
      </c>
      <c r="G367">
        <f>MAX(0,ROUND(SUMIFS(m1_cv!$E:$E,m1_cv!$A:$A,$E367,m1_cv!$B:$B,$A367),0))</f>
        <v>3633</v>
      </c>
      <c r="H367">
        <f>MAX(0,ROUND(SUMIFS(m2_cv!$E:$E,m2_cv!$A:$A,$E367,m2_cv!$B:$B,$A367),0))</f>
        <v>5449</v>
      </c>
      <c r="I367">
        <f>MAX(0,ROUND(SUMIFS(m3_cv!$E:$E,m3_cv!$A:$A,$E367,m3_cv!$B:$B,$A367),0))</f>
        <v>4108</v>
      </c>
      <c r="J367">
        <f>MAX(0,ROUND(SUMIFS(m4_cv!$E:$E,m4_cv!$A:$A,$E367,m4_cv!$B:$B,$A367),0))</f>
        <v>4110</v>
      </c>
      <c r="K367">
        <f>MAX(0,ROUND(SUMIFS(m5_cv!$E:$E,m5_cv!$A:$A,$E367,m5_cv!$B:$B,$A367),0))</f>
        <v>1000</v>
      </c>
      <c r="L367">
        <f>MAX(0,ROUND(SUMIFS(m6_cv!$E:$E,m6_cv!$A:$A,$E367,m6_cv!$B:$B,$A367),0))</f>
        <v>93</v>
      </c>
      <c r="M367">
        <f>MAX(0,ROUND(SUMIFS(m7_cv!$E:$E,m7_cv!$A:$A,$E367,m7_cv!$B:$B,$A367),0))</f>
        <v>737</v>
      </c>
      <c r="N367">
        <f>ROUND(_xlfn.XLOOKUP($D367,Charts!$W$86:$W$116,Charts!$X$86:$X$116)*$L367+_xlfn.XLOOKUP($D367,Charts!$W$86:$W$116,Charts!$Y$86:$Y$116)*$M367,0)</f>
        <v>93</v>
      </c>
      <c r="O367">
        <f>MAX(0,ROUND(SUMIFS(m8_cv!$E:$E,m8_cv!$A:$A,$E367,m8_cv!$B:$B,$A367),0))</f>
        <v>788</v>
      </c>
    </row>
    <row r="368" spans="1:15" x14ac:dyDescent="0.25">
      <c r="A368" s="3">
        <f t="shared" si="29"/>
        <v>46024</v>
      </c>
      <c r="B368">
        <f t="shared" si="25"/>
        <v>2026</v>
      </c>
      <c r="C368">
        <f t="shared" si="26"/>
        <v>1</v>
      </c>
      <c r="D368">
        <f t="shared" si="27"/>
        <v>2</v>
      </c>
      <c r="E368" s="2">
        <f t="shared" si="28"/>
        <v>46022</v>
      </c>
      <c r="F368" s="12">
        <f>_xlfn.XLOOKUP($A368,m1_cv!$B:$B,m1_cv!$C:$C)</f>
        <v>1536</v>
      </c>
      <c r="G368">
        <f>MAX(0,ROUND(SUMIFS(m1_cv!$E:$E,m1_cv!$A:$A,$E368,m1_cv!$B:$B,$A368),0))</f>
        <v>3609</v>
      </c>
      <c r="H368">
        <f>MAX(0,ROUND(SUMIFS(m2_cv!$E:$E,m2_cv!$A:$A,$E368,m2_cv!$B:$B,$A368),0))</f>
        <v>3535</v>
      </c>
      <c r="I368">
        <f>MAX(0,ROUND(SUMIFS(m3_cv!$E:$E,m3_cv!$A:$A,$E368,m3_cv!$B:$B,$A368),0))</f>
        <v>3923</v>
      </c>
      <c r="J368">
        <f>MAX(0,ROUND(SUMIFS(m4_cv!$E:$E,m4_cv!$A:$A,$E368,m4_cv!$B:$B,$A368),0))</f>
        <v>3921</v>
      </c>
      <c r="K368">
        <f>MAX(0,ROUND(SUMIFS(m5_cv!$E:$E,m5_cv!$A:$A,$E368,m5_cv!$B:$B,$A368),0))</f>
        <v>2114</v>
      </c>
      <c r="L368">
        <f>MAX(0,ROUND(SUMIFS(m6_cv!$E:$E,m6_cv!$A:$A,$E368,m6_cv!$B:$B,$A368),0))</f>
        <v>519</v>
      </c>
      <c r="M368">
        <f>MAX(0,ROUND(SUMIFS(m7_cv!$E:$E,m7_cv!$A:$A,$E368,m7_cv!$B:$B,$A368),0))</f>
        <v>1984</v>
      </c>
      <c r="N368">
        <f>ROUND(_xlfn.XLOOKUP($D368,Charts!$W$86:$W$116,Charts!$X$86:$X$116)*$L368+_xlfn.XLOOKUP($D368,Charts!$W$86:$W$116,Charts!$Y$86:$Y$116)*$M368,0)</f>
        <v>519</v>
      </c>
      <c r="O368">
        <f>MAX(0,ROUND(SUMIFS(m8_cv!$E:$E,m8_cv!$A:$A,$E368,m8_cv!$B:$B,$A368),0))</f>
        <v>2016</v>
      </c>
    </row>
    <row r="369" spans="1:15" x14ac:dyDescent="0.25">
      <c r="A369" s="3">
        <f t="shared" si="29"/>
        <v>46025</v>
      </c>
      <c r="B369">
        <f t="shared" si="25"/>
        <v>2026</v>
      </c>
      <c r="C369">
        <f t="shared" si="26"/>
        <v>1</v>
      </c>
      <c r="D369">
        <f t="shared" si="27"/>
        <v>3</v>
      </c>
      <c r="E369" s="2">
        <f t="shared" si="28"/>
        <v>46022</v>
      </c>
      <c r="F369" s="12">
        <f>_xlfn.XLOOKUP($A369,m1_cv!$B:$B,m1_cv!$C:$C)</f>
        <v>80</v>
      </c>
      <c r="G369">
        <f>MAX(0,ROUND(SUMIFS(m1_cv!$E:$E,m1_cv!$A:$A,$E369,m1_cv!$B:$B,$A369),0))</f>
        <v>1262</v>
      </c>
      <c r="H369">
        <f>MAX(0,ROUND(SUMIFS(m2_cv!$E:$E,m2_cv!$A:$A,$E369,m2_cv!$B:$B,$A369),0))</f>
        <v>0</v>
      </c>
      <c r="I369">
        <f>MAX(0,ROUND(SUMIFS(m3_cv!$E:$E,m3_cv!$A:$A,$E369,m3_cv!$B:$B,$A369),0))</f>
        <v>12</v>
      </c>
      <c r="J369">
        <f>MAX(0,ROUND(SUMIFS(m4_cv!$E:$E,m4_cv!$A:$A,$E369,m4_cv!$B:$B,$A369),0))</f>
        <v>9</v>
      </c>
      <c r="K369">
        <f>MAX(0,ROUND(SUMIFS(m5_cv!$E:$E,m5_cv!$A:$A,$E369,m5_cv!$B:$B,$A369),0))</f>
        <v>0</v>
      </c>
      <c r="L369">
        <f>MAX(0,ROUND(SUMIFS(m6_cv!$E:$E,m6_cv!$A:$A,$E369,m6_cv!$B:$B,$A369),0))</f>
        <v>119</v>
      </c>
      <c r="M369">
        <f>MAX(0,ROUND(SUMIFS(m7_cv!$E:$E,m7_cv!$A:$A,$E369,m7_cv!$B:$B,$A369),0))</f>
        <v>0</v>
      </c>
      <c r="N369">
        <f>ROUND(_xlfn.XLOOKUP($D369,Charts!$W$86:$W$116,Charts!$X$86:$X$116)*$L369+_xlfn.XLOOKUP($D369,Charts!$W$86:$W$116,Charts!$Y$86:$Y$116)*$M369,0)</f>
        <v>119</v>
      </c>
      <c r="O369">
        <f>MAX(0,ROUND(SUMIFS(m8_cv!$E:$E,m8_cv!$A:$A,$E369,m8_cv!$B:$B,$A369),0))</f>
        <v>0</v>
      </c>
    </row>
    <row r="370" spans="1:15" x14ac:dyDescent="0.25">
      <c r="A370" s="3">
        <f t="shared" si="29"/>
        <v>46026</v>
      </c>
      <c r="B370">
        <f t="shared" si="25"/>
        <v>2026</v>
      </c>
      <c r="C370">
        <f t="shared" si="26"/>
        <v>1</v>
      </c>
      <c r="D370">
        <f t="shared" si="27"/>
        <v>4</v>
      </c>
      <c r="E370" s="2">
        <f t="shared" si="28"/>
        <v>46022</v>
      </c>
      <c r="F370" s="12">
        <f>_xlfn.XLOOKUP($A370,m1_cv!$B:$B,m1_cv!$C:$C)</f>
        <v>17</v>
      </c>
      <c r="G370">
        <f>MAX(0,ROUND(SUMIFS(m1_cv!$E:$E,m1_cv!$A:$A,$E370,m1_cv!$B:$B,$A370),0))</f>
        <v>621</v>
      </c>
      <c r="H370">
        <f>MAX(0,ROUND(SUMIFS(m2_cv!$E:$E,m2_cv!$A:$A,$E370,m2_cv!$B:$B,$A370),0))</f>
        <v>0</v>
      </c>
      <c r="I370">
        <f>MAX(0,ROUND(SUMIFS(m3_cv!$E:$E,m3_cv!$A:$A,$E370,m3_cv!$B:$B,$A370),0))</f>
        <v>0</v>
      </c>
      <c r="J370">
        <f>MAX(0,ROUND(SUMIFS(m4_cv!$E:$E,m4_cv!$A:$A,$E370,m4_cv!$B:$B,$A370),0))</f>
        <v>0</v>
      </c>
      <c r="K370">
        <f>MAX(0,ROUND(SUMIFS(m5_cv!$E:$E,m5_cv!$A:$A,$E370,m5_cv!$B:$B,$A370),0))</f>
        <v>0</v>
      </c>
      <c r="L370">
        <f>MAX(0,ROUND(SUMIFS(m6_cv!$E:$E,m6_cv!$A:$A,$E370,m6_cv!$B:$B,$A370),0))</f>
        <v>38</v>
      </c>
      <c r="M370">
        <f>MAX(0,ROUND(SUMIFS(m7_cv!$E:$E,m7_cv!$A:$A,$E370,m7_cv!$B:$B,$A370),0))</f>
        <v>0</v>
      </c>
      <c r="N370">
        <f>ROUND(_xlfn.XLOOKUP($D370,Charts!$W$86:$W$116,Charts!$X$86:$X$116)*$L370+_xlfn.XLOOKUP($D370,Charts!$W$86:$W$116,Charts!$Y$86:$Y$116)*$M370,0)</f>
        <v>38</v>
      </c>
      <c r="O370">
        <f>MAX(0,ROUND(SUMIFS(m8_cv!$E:$E,m8_cv!$A:$A,$E370,m8_cv!$B:$B,$A370),0))</f>
        <v>0</v>
      </c>
    </row>
    <row r="371" spans="1:15" x14ac:dyDescent="0.25">
      <c r="A371" s="3">
        <f t="shared" si="29"/>
        <v>46027</v>
      </c>
      <c r="B371">
        <f t="shared" si="25"/>
        <v>2026</v>
      </c>
      <c r="C371">
        <f t="shared" si="26"/>
        <v>1</v>
      </c>
      <c r="D371">
        <f t="shared" si="27"/>
        <v>5</v>
      </c>
      <c r="E371" s="2">
        <f t="shared" si="28"/>
        <v>46022</v>
      </c>
      <c r="F371" s="12">
        <f>_xlfn.XLOOKUP($A371,m1_cv!$B:$B,m1_cv!$C:$C)</f>
        <v>340</v>
      </c>
      <c r="G371">
        <f>MAX(0,ROUND(SUMIFS(m1_cv!$E:$E,m1_cv!$A:$A,$E371,m1_cv!$B:$B,$A371),0))</f>
        <v>2871</v>
      </c>
      <c r="H371">
        <f>MAX(0,ROUND(SUMIFS(m2_cv!$E:$E,m2_cv!$A:$A,$E371,m2_cv!$B:$B,$A371),0))</f>
        <v>969</v>
      </c>
      <c r="I371">
        <f>MAX(0,ROUND(SUMIFS(m3_cv!$E:$E,m3_cv!$A:$A,$E371,m3_cv!$B:$B,$A371),0))</f>
        <v>1403</v>
      </c>
      <c r="J371">
        <f>MAX(0,ROUND(SUMIFS(m4_cv!$E:$E,m4_cv!$A:$A,$E371,m4_cv!$B:$B,$A371),0))</f>
        <v>1398</v>
      </c>
      <c r="K371">
        <f>MAX(0,ROUND(SUMIFS(m5_cv!$E:$E,m5_cv!$A:$A,$E371,m5_cv!$B:$B,$A371),0))</f>
        <v>1642</v>
      </c>
      <c r="L371">
        <f>MAX(0,ROUND(SUMIFS(m6_cv!$E:$E,m6_cv!$A:$A,$E371,m6_cv!$B:$B,$A371),0))</f>
        <v>500</v>
      </c>
      <c r="M371">
        <f>MAX(0,ROUND(SUMIFS(m7_cv!$E:$E,m7_cv!$A:$A,$E371,m7_cv!$B:$B,$A371),0))</f>
        <v>1555</v>
      </c>
      <c r="N371">
        <f>ROUND(_xlfn.XLOOKUP($D371,Charts!$W$86:$W$116,Charts!$X$86:$X$116)*$L371+_xlfn.XLOOKUP($D371,Charts!$W$86:$W$116,Charts!$Y$86:$Y$116)*$M371,0)</f>
        <v>711</v>
      </c>
      <c r="O371">
        <f>MAX(0,ROUND(SUMIFS(m8_cv!$E:$E,m8_cv!$A:$A,$E371,m8_cv!$B:$B,$A371),0))</f>
        <v>1612</v>
      </c>
    </row>
    <row r="372" spans="1:15" x14ac:dyDescent="0.25">
      <c r="A372" s="3">
        <f t="shared" si="29"/>
        <v>46028</v>
      </c>
      <c r="B372">
        <f t="shared" si="25"/>
        <v>2026</v>
      </c>
      <c r="C372">
        <f t="shared" si="26"/>
        <v>1</v>
      </c>
      <c r="D372">
        <f t="shared" si="27"/>
        <v>6</v>
      </c>
      <c r="E372" s="2">
        <f t="shared" si="28"/>
        <v>46022</v>
      </c>
      <c r="F372" s="12">
        <f>_xlfn.XLOOKUP($A372,m1_cv!$B:$B,m1_cv!$C:$C)</f>
        <v>485</v>
      </c>
      <c r="G372">
        <f>MAX(0,ROUND(SUMIFS(m1_cv!$E:$E,m1_cv!$A:$A,$E372,m1_cv!$B:$B,$A372),0))</f>
        <v>3349</v>
      </c>
      <c r="H372">
        <f>MAX(0,ROUND(SUMIFS(m2_cv!$E:$E,m2_cv!$A:$A,$E372,m2_cv!$B:$B,$A372),0))</f>
        <v>1852</v>
      </c>
      <c r="I372">
        <f>MAX(0,ROUND(SUMIFS(m3_cv!$E:$E,m3_cv!$A:$A,$E372,m3_cv!$B:$B,$A372),0))</f>
        <v>2026</v>
      </c>
      <c r="J372">
        <f>MAX(0,ROUND(SUMIFS(m4_cv!$E:$E,m4_cv!$A:$A,$E372,m4_cv!$B:$B,$A372),0))</f>
        <v>2022</v>
      </c>
      <c r="K372">
        <f>MAX(0,ROUND(SUMIFS(m5_cv!$E:$E,m5_cv!$A:$A,$E372,m5_cv!$B:$B,$A372),0))</f>
        <v>1960</v>
      </c>
      <c r="L372">
        <f>MAX(0,ROUND(SUMIFS(m6_cv!$E:$E,m6_cv!$A:$A,$E372,m6_cv!$B:$B,$A372),0))</f>
        <v>659</v>
      </c>
      <c r="M372">
        <f>MAX(0,ROUND(SUMIFS(m7_cv!$E:$E,m7_cv!$A:$A,$E372,m7_cv!$B:$B,$A372),0))</f>
        <v>1864</v>
      </c>
      <c r="N372">
        <f>ROUND(_xlfn.XLOOKUP($D372,Charts!$W$86:$W$116,Charts!$X$86:$X$116)*$L372+_xlfn.XLOOKUP($D372,Charts!$W$86:$W$116,Charts!$Y$86:$Y$116)*$M372,0)</f>
        <v>1262</v>
      </c>
      <c r="O372">
        <f>MAX(0,ROUND(SUMIFS(m8_cv!$E:$E,m8_cv!$A:$A,$E372,m8_cv!$B:$B,$A372),0))</f>
        <v>1929</v>
      </c>
    </row>
    <row r="373" spans="1:15" x14ac:dyDescent="0.25">
      <c r="A373" s="3">
        <f t="shared" si="29"/>
        <v>46029</v>
      </c>
      <c r="B373">
        <f t="shared" si="25"/>
        <v>2026</v>
      </c>
      <c r="C373">
        <f t="shared" si="26"/>
        <v>1</v>
      </c>
      <c r="D373">
        <f t="shared" si="27"/>
        <v>7</v>
      </c>
      <c r="E373" s="2">
        <f t="shared" si="28"/>
        <v>46022</v>
      </c>
      <c r="F373" s="12">
        <f>_xlfn.XLOOKUP($A373,m1_cv!$B:$B,m1_cv!$C:$C)</f>
        <v>532</v>
      </c>
      <c r="G373">
        <f>MAX(0,ROUND(SUMIFS(m1_cv!$E:$E,m1_cv!$A:$A,$E373,m1_cv!$B:$B,$A373),0))</f>
        <v>3343</v>
      </c>
      <c r="H373">
        <f>MAX(0,ROUND(SUMIFS(m2_cv!$E:$E,m2_cv!$A:$A,$E373,m2_cv!$B:$B,$A373),0))</f>
        <v>2066</v>
      </c>
      <c r="I373">
        <f>MAX(0,ROUND(SUMIFS(m3_cv!$E:$E,m3_cv!$A:$A,$E373,m3_cv!$B:$B,$A373),0))</f>
        <v>2212</v>
      </c>
      <c r="J373">
        <f>MAX(0,ROUND(SUMIFS(m4_cv!$E:$E,m4_cv!$A:$A,$E373,m4_cv!$B:$B,$A373),0))</f>
        <v>2207</v>
      </c>
      <c r="K373">
        <f>MAX(0,ROUND(SUMIFS(m5_cv!$E:$E,m5_cv!$A:$A,$E373,m5_cv!$B:$B,$A373),0))</f>
        <v>1858</v>
      </c>
      <c r="L373">
        <f>MAX(0,ROUND(SUMIFS(m6_cv!$E:$E,m6_cv!$A:$A,$E373,m6_cv!$B:$B,$A373),0))</f>
        <v>705</v>
      </c>
      <c r="M373">
        <f>MAX(0,ROUND(SUMIFS(m7_cv!$E:$E,m7_cv!$A:$A,$E373,m7_cv!$B:$B,$A373),0))</f>
        <v>1834</v>
      </c>
      <c r="N373">
        <f>ROUND(_xlfn.XLOOKUP($D373,Charts!$W$86:$W$116,Charts!$X$86:$X$116)*$L373+_xlfn.XLOOKUP($D373,Charts!$W$86:$W$116,Charts!$Y$86:$Y$116)*$M373,0)</f>
        <v>1270</v>
      </c>
      <c r="O373">
        <f>MAX(0,ROUND(SUMIFS(m8_cv!$E:$E,m8_cv!$A:$A,$E373,m8_cv!$B:$B,$A373),0))</f>
        <v>1828</v>
      </c>
    </row>
    <row r="374" spans="1:15" x14ac:dyDescent="0.25">
      <c r="A374" s="3">
        <f t="shared" si="29"/>
        <v>46030</v>
      </c>
      <c r="B374">
        <f t="shared" si="25"/>
        <v>2026</v>
      </c>
      <c r="C374">
        <f t="shared" si="26"/>
        <v>1</v>
      </c>
      <c r="D374">
        <f t="shared" si="27"/>
        <v>8</v>
      </c>
      <c r="E374" s="2">
        <f t="shared" si="28"/>
        <v>46022</v>
      </c>
      <c r="F374" s="12">
        <f>_xlfn.XLOOKUP($A374,m1_cv!$B:$B,m1_cv!$C:$C)</f>
        <v>659</v>
      </c>
      <c r="G374">
        <f>MAX(0,ROUND(SUMIFS(m1_cv!$E:$E,m1_cv!$A:$A,$E374,m1_cv!$B:$B,$A374),0))</f>
        <v>3265</v>
      </c>
      <c r="H374">
        <f>MAX(0,ROUND(SUMIFS(m2_cv!$E:$E,m2_cv!$A:$A,$E374,m2_cv!$B:$B,$A374),0))</f>
        <v>1947</v>
      </c>
      <c r="I374">
        <f>MAX(0,ROUND(SUMIFS(m3_cv!$E:$E,m3_cv!$A:$A,$E374,m3_cv!$B:$B,$A374),0))</f>
        <v>2018</v>
      </c>
      <c r="J374">
        <f>MAX(0,ROUND(SUMIFS(m4_cv!$E:$E,m4_cv!$A:$A,$E374,m4_cv!$B:$B,$A374),0))</f>
        <v>2013</v>
      </c>
      <c r="K374">
        <f>MAX(0,ROUND(SUMIFS(m5_cv!$E:$E,m5_cv!$A:$A,$E374,m5_cv!$B:$B,$A374),0))</f>
        <v>2252</v>
      </c>
      <c r="L374">
        <f>MAX(0,ROUND(SUMIFS(m6_cv!$E:$E,m6_cv!$A:$A,$E374,m6_cv!$B:$B,$A374),0))</f>
        <v>1329</v>
      </c>
      <c r="M374">
        <f>MAX(0,ROUND(SUMIFS(m7_cv!$E:$E,m7_cv!$A:$A,$E374,m7_cv!$B:$B,$A374),0))</f>
        <v>2291</v>
      </c>
      <c r="N374">
        <f>ROUND(_xlfn.XLOOKUP($D374,Charts!$W$86:$W$116,Charts!$X$86:$X$116)*$L374+_xlfn.XLOOKUP($D374,Charts!$W$86:$W$116,Charts!$Y$86:$Y$116)*$M374,0)</f>
        <v>1810</v>
      </c>
      <c r="O374">
        <f>MAX(0,ROUND(SUMIFS(m8_cv!$E:$E,m8_cv!$A:$A,$E374,m8_cv!$B:$B,$A374),0))</f>
        <v>2703</v>
      </c>
    </row>
    <row r="375" spans="1:15" x14ac:dyDescent="0.25">
      <c r="A375" s="3">
        <f t="shared" si="29"/>
        <v>46031</v>
      </c>
      <c r="B375">
        <f t="shared" si="25"/>
        <v>2026</v>
      </c>
      <c r="C375">
        <f t="shared" si="26"/>
        <v>1</v>
      </c>
      <c r="D375">
        <f t="shared" si="27"/>
        <v>9</v>
      </c>
      <c r="E375" s="2">
        <f t="shared" si="28"/>
        <v>46022</v>
      </c>
      <c r="F375" s="12">
        <f>_xlfn.XLOOKUP($A375,m1_cv!$B:$B,m1_cv!$C:$C)</f>
        <v>787</v>
      </c>
      <c r="G375">
        <f>MAX(0,ROUND(SUMIFS(m1_cv!$E:$E,m1_cv!$A:$A,$E375,m1_cv!$B:$B,$A375),0))</f>
        <v>3237</v>
      </c>
      <c r="H375">
        <f>MAX(0,ROUND(SUMIFS(m2_cv!$E:$E,m2_cv!$A:$A,$E375,m2_cv!$B:$B,$A375),0))</f>
        <v>1821</v>
      </c>
      <c r="I375">
        <f>MAX(0,ROUND(SUMIFS(m3_cv!$E:$E,m3_cv!$A:$A,$E375,m3_cv!$B:$B,$A375),0))</f>
        <v>1778</v>
      </c>
      <c r="J375">
        <f>MAX(0,ROUND(SUMIFS(m4_cv!$E:$E,m4_cv!$A:$A,$E375,m4_cv!$B:$B,$A375),0))</f>
        <v>1772</v>
      </c>
      <c r="K375">
        <f>MAX(0,ROUND(SUMIFS(m5_cv!$E:$E,m5_cv!$A:$A,$E375,m5_cv!$B:$B,$A375),0))</f>
        <v>2065</v>
      </c>
      <c r="L375">
        <f>MAX(0,ROUND(SUMIFS(m6_cv!$E:$E,m6_cv!$A:$A,$E375,m6_cv!$B:$B,$A375),0))</f>
        <v>1157</v>
      </c>
      <c r="M375">
        <f>MAX(0,ROUND(SUMIFS(m7_cv!$E:$E,m7_cv!$A:$A,$E375,m7_cv!$B:$B,$A375),0))</f>
        <v>2113</v>
      </c>
      <c r="N375">
        <f>ROUND(_xlfn.XLOOKUP($D375,Charts!$W$86:$W$116,Charts!$X$86:$X$116)*$L375+_xlfn.XLOOKUP($D375,Charts!$W$86:$W$116,Charts!$Y$86:$Y$116)*$M375,0)</f>
        <v>1635</v>
      </c>
      <c r="O375">
        <f>MAX(0,ROUND(SUMIFS(m8_cv!$E:$E,m8_cv!$A:$A,$E375,m8_cv!$B:$B,$A375),0))</f>
        <v>2267</v>
      </c>
    </row>
    <row r="376" spans="1:15" x14ac:dyDescent="0.25">
      <c r="A376" s="3">
        <f t="shared" si="29"/>
        <v>46032</v>
      </c>
      <c r="B376">
        <f t="shared" si="25"/>
        <v>2026</v>
      </c>
      <c r="C376">
        <f t="shared" si="26"/>
        <v>1</v>
      </c>
      <c r="D376">
        <f t="shared" si="27"/>
        <v>10</v>
      </c>
      <c r="E376" s="2">
        <f t="shared" si="28"/>
        <v>46022</v>
      </c>
      <c r="F376" s="12">
        <f>_xlfn.XLOOKUP($A376,m1_cv!$B:$B,m1_cv!$C:$C)</f>
        <v>137</v>
      </c>
      <c r="G376">
        <f>MAX(0,ROUND(SUMIFS(m1_cv!$E:$E,m1_cv!$A:$A,$E376,m1_cv!$B:$B,$A376),0))</f>
        <v>890</v>
      </c>
      <c r="H376">
        <f>MAX(0,ROUND(SUMIFS(m2_cv!$E:$E,m2_cv!$A:$A,$E376,m2_cv!$B:$B,$A376),0))</f>
        <v>0</v>
      </c>
      <c r="I376">
        <f>MAX(0,ROUND(SUMIFS(m3_cv!$E:$E,m3_cv!$A:$A,$E376,m3_cv!$B:$B,$A376),0))</f>
        <v>0</v>
      </c>
      <c r="J376">
        <f>MAX(0,ROUND(SUMIFS(m4_cv!$E:$E,m4_cv!$A:$A,$E376,m4_cv!$B:$B,$A376),0))</f>
        <v>0</v>
      </c>
      <c r="K376">
        <f>MAX(0,ROUND(SUMIFS(m5_cv!$E:$E,m5_cv!$A:$A,$E376,m5_cv!$B:$B,$A376),0))</f>
        <v>0</v>
      </c>
      <c r="L376">
        <f>MAX(0,ROUND(SUMIFS(m6_cv!$E:$E,m6_cv!$A:$A,$E376,m6_cv!$B:$B,$A376),0))</f>
        <v>187</v>
      </c>
      <c r="M376">
        <f>MAX(0,ROUND(SUMIFS(m7_cv!$E:$E,m7_cv!$A:$A,$E376,m7_cv!$B:$B,$A376),0))</f>
        <v>0</v>
      </c>
      <c r="N376">
        <f>ROUND(_xlfn.XLOOKUP($D376,Charts!$W$86:$W$116,Charts!$X$86:$X$116)*$L376+_xlfn.XLOOKUP($D376,Charts!$W$86:$W$116,Charts!$Y$86:$Y$116)*$M376,0)</f>
        <v>94</v>
      </c>
      <c r="O376">
        <f>MAX(0,ROUND(SUMIFS(m8_cv!$E:$E,m8_cv!$A:$A,$E376,m8_cv!$B:$B,$A376),0))</f>
        <v>0</v>
      </c>
    </row>
    <row r="377" spans="1:15" x14ac:dyDescent="0.25">
      <c r="A377" s="3">
        <f t="shared" si="29"/>
        <v>46033</v>
      </c>
      <c r="B377">
        <f t="shared" si="25"/>
        <v>2026</v>
      </c>
      <c r="C377">
        <f t="shared" si="26"/>
        <v>1</v>
      </c>
      <c r="D377">
        <f t="shared" si="27"/>
        <v>11</v>
      </c>
      <c r="E377" s="2">
        <f t="shared" si="28"/>
        <v>46022</v>
      </c>
      <c r="F377" s="12">
        <f>_xlfn.XLOOKUP($A377,m1_cv!$B:$B,m1_cv!$C:$C)</f>
        <v>44</v>
      </c>
      <c r="G377">
        <f>MAX(0,ROUND(SUMIFS(m1_cv!$E:$E,m1_cv!$A:$A,$E377,m1_cv!$B:$B,$A377),0))</f>
        <v>254</v>
      </c>
      <c r="H377">
        <f>MAX(0,ROUND(SUMIFS(m2_cv!$E:$E,m2_cv!$A:$A,$E377,m2_cv!$B:$B,$A377),0))</f>
        <v>0</v>
      </c>
      <c r="I377">
        <f>MAX(0,ROUND(SUMIFS(m3_cv!$E:$E,m3_cv!$A:$A,$E377,m3_cv!$B:$B,$A377),0))</f>
        <v>0</v>
      </c>
      <c r="J377">
        <f>MAX(0,ROUND(SUMIFS(m4_cv!$E:$E,m4_cv!$A:$A,$E377,m4_cv!$B:$B,$A377),0))</f>
        <v>0</v>
      </c>
      <c r="K377">
        <f>MAX(0,ROUND(SUMIFS(m5_cv!$E:$E,m5_cv!$A:$A,$E377,m5_cv!$B:$B,$A377),0))</f>
        <v>0</v>
      </c>
      <c r="L377">
        <f>MAX(0,ROUND(SUMIFS(m6_cv!$E:$E,m6_cv!$A:$A,$E377,m6_cv!$B:$B,$A377),0))</f>
        <v>71</v>
      </c>
      <c r="M377">
        <f>MAX(0,ROUND(SUMIFS(m7_cv!$E:$E,m7_cv!$A:$A,$E377,m7_cv!$B:$B,$A377),0))</f>
        <v>0</v>
      </c>
      <c r="N377">
        <f>ROUND(_xlfn.XLOOKUP($D377,Charts!$W$86:$W$116,Charts!$X$86:$X$116)*$L377+_xlfn.XLOOKUP($D377,Charts!$W$86:$W$116,Charts!$Y$86:$Y$116)*$M377,0)</f>
        <v>21</v>
      </c>
      <c r="O377">
        <f>MAX(0,ROUND(SUMIFS(m8_cv!$E:$E,m8_cv!$A:$A,$E377,m8_cv!$B:$B,$A377),0))</f>
        <v>0</v>
      </c>
    </row>
    <row r="378" spans="1:15" x14ac:dyDescent="0.25">
      <c r="A378" s="3">
        <f t="shared" si="29"/>
        <v>46034</v>
      </c>
      <c r="B378">
        <f t="shared" si="25"/>
        <v>2026</v>
      </c>
      <c r="C378">
        <f t="shared" si="26"/>
        <v>1</v>
      </c>
      <c r="D378">
        <f t="shared" si="27"/>
        <v>12</v>
      </c>
      <c r="E378" s="2">
        <f t="shared" si="28"/>
        <v>46022</v>
      </c>
      <c r="F378" s="12">
        <f>_xlfn.XLOOKUP($A378,m1_cv!$B:$B,m1_cv!$C:$C)</f>
        <v>779</v>
      </c>
      <c r="G378">
        <f>MAX(0,ROUND(SUMIFS(m1_cv!$E:$E,m1_cv!$A:$A,$E378,m1_cv!$B:$B,$A378),0))</f>
        <v>2513</v>
      </c>
      <c r="H378">
        <f>MAX(0,ROUND(SUMIFS(m2_cv!$E:$E,m2_cv!$A:$A,$E378,m2_cv!$B:$B,$A378),0))</f>
        <v>1672</v>
      </c>
      <c r="I378">
        <f>MAX(0,ROUND(SUMIFS(m3_cv!$E:$E,m3_cv!$A:$A,$E378,m3_cv!$B:$B,$A378),0))</f>
        <v>1951</v>
      </c>
      <c r="J378">
        <f>MAX(0,ROUND(SUMIFS(m4_cv!$E:$E,m4_cv!$A:$A,$E378,m4_cv!$B:$B,$A378),0))</f>
        <v>1945</v>
      </c>
      <c r="K378">
        <f>MAX(0,ROUND(SUMIFS(m5_cv!$E:$E,m5_cv!$A:$A,$E378,m5_cv!$B:$B,$A378),0))</f>
        <v>1852</v>
      </c>
      <c r="L378">
        <f>MAX(0,ROUND(SUMIFS(m6_cv!$E:$E,m6_cv!$A:$A,$E378,m6_cv!$B:$B,$A378),0))</f>
        <v>1023</v>
      </c>
      <c r="M378">
        <f>MAX(0,ROUND(SUMIFS(m7_cv!$E:$E,m7_cv!$A:$A,$E378,m7_cv!$B:$B,$A378),0))</f>
        <v>1860</v>
      </c>
      <c r="N378">
        <f>ROUND(_xlfn.XLOOKUP($D378,Charts!$W$86:$W$116,Charts!$X$86:$X$116)*$L378+_xlfn.XLOOKUP($D378,Charts!$W$86:$W$116,Charts!$Y$86:$Y$116)*$M378,0)</f>
        <v>1609</v>
      </c>
      <c r="O378">
        <f>MAX(0,ROUND(SUMIFS(m8_cv!$E:$E,m8_cv!$A:$A,$E378,m8_cv!$B:$B,$A378),0))</f>
        <v>1887</v>
      </c>
    </row>
    <row r="379" spans="1:15" x14ac:dyDescent="0.25">
      <c r="A379" s="3">
        <f t="shared" si="29"/>
        <v>46035</v>
      </c>
      <c r="B379">
        <f t="shared" si="25"/>
        <v>2026</v>
      </c>
      <c r="C379">
        <f t="shared" si="26"/>
        <v>1</v>
      </c>
      <c r="D379">
        <f t="shared" si="27"/>
        <v>13</v>
      </c>
      <c r="E379" s="2">
        <f t="shared" si="28"/>
        <v>46022</v>
      </c>
      <c r="F379" s="12">
        <f>_xlfn.XLOOKUP($A379,m1_cv!$B:$B,m1_cv!$C:$C)</f>
        <v>1113</v>
      </c>
      <c r="G379">
        <f>MAX(0,ROUND(SUMIFS(m1_cv!$E:$E,m1_cv!$A:$A,$E379,m1_cv!$B:$B,$A379),0))</f>
        <v>3005</v>
      </c>
      <c r="H379">
        <f>MAX(0,ROUND(SUMIFS(m2_cv!$E:$E,m2_cv!$A:$A,$E379,m2_cv!$B:$B,$A379),0))</f>
        <v>2198</v>
      </c>
      <c r="I379">
        <f>MAX(0,ROUND(SUMIFS(m3_cv!$E:$E,m3_cv!$A:$A,$E379,m3_cv!$B:$B,$A379),0))</f>
        <v>2250</v>
      </c>
      <c r="J379">
        <f>MAX(0,ROUND(SUMIFS(m4_cv!$E:$E,m4_cv!$A:$A,$E379,m4_cv!$B:$B,$A379),0))</f>
        <v>2245</v>
      </c>
      <c r="K379">
        <f>MAX(0,ROUND(SUMIFS(m5_cv!$E:$E,m5_cv!$A:$A,$E379,m5_cv!$B:$B,$A379),0))</f>
        <v>2171</v>
      </c>
      <c r="L379">
        <f>MAX(0,ROUND(SUMIFS(m6_cv!$E:$E,m6_cv!$A:$A,$E379,m6_cv!$B:$B,$A379),0))</f>
        <v>1458</v>
      </c>
      <c r="M379">
        <f>MAX(0,ROUND(SUMIFS(m7_cv!$E:$E,m7_cv!$A:$A,$E379,m7_cv!$B:$B,$A379),0))</f>
        <v>2200</v>
      </c>
      <c r="N379">
        <f>ROUND(_xlfn.XLOOKUP($D379,Charts!$W$86:$W$116,Charts!$X$86:$X$116)*$L379+_xlfn.XLOOKUP($D379,Charts!$W$86:$W$116,Charts!$Y$86:$Y$116)*$M379,0)</f>
        <v>1977</v>
      </c>
      <c r="O379">
        <f>MAX(0,ROUND(SUMIFS(m8_cv!$E:$E,m8_cv!$A:$A,$E379,m8_cv!$B:$B,$A379),0))</f>
        <v>2213</v>
      </c>
    </row>
    <row r="380" spans="1:15" x14ac:dyDescent="0.25">
      <c r="A380" s="3">
        <f t="shared" si="29"/>
        <v>46036</v>
      </c>
      <c r="B380">
        <f t="shared" si="25"/>
        <v>2026</v>
      </c>
      <c r="C380">
        <f t="shared" si="26"/>
        <v>1</v>
      </c>
      <c r="D380">
        <f t="shared" si="27"/>
        <v>14</v>
      </c>
      <c r="E380" s="2">
        <f t="shared" si="28"/>
        <v>46022</v>
      </c>
      <c r="F380" s="12">
        <f>_xlfn.XLOOKUP($A380,m1_cv!$B:$B,m1_cv!$C:$C)</f>
        <v>1419</v>
      </c>
      <c r="G380">
        <f>MAX(0,ROUND(SUMIFS(m1_cv!$E:$E,m1_cv!$A:$A,$E380,m1_cv!$B:$B,$A380),0))</f>
        <v>3017</v>
      </c>
      <c r="H380">
        <f>MAX(0,ROUND(SUMIFS(m2_cv!$E:$E,m2_cv!$A:$A,$E380,m2_cv!$B:$B,$A380),0))</f>
        <v>2173</v>
      </c>
      <c r="I380">
        <f>MAX(0,ROUND(SUMIFS(m3_cv!$E:$E,m3_cv!$A:$A,$E380,m3_cv!$B:$B,$A380),0))</f>
        <v>2195</v>
      </c>
      <c r="J380">
        <f>MAX(0,ROUND(SUMIFS(m4_cv!$E:$E,m4_cv!$A:$A,$E380,m4_cv!$B:$B,$A380),0))</f>
        <v>2190</v>
      </c>
      <c r="K380">
        <f>MAX(0,ROUND(SUMIFS(m5_cv!$E:$E,m5_cv!$A:$A,$E380,m5_cv!$B:$B,$A380),0))</f>
        <v>2253</v>
      </c>
      <c r="L380">
        <f>MAX(0,ROUND(SUMIFS(m6_cv!$E:$E,m6_cv!$A:$A,$E380,m6_cv!$B:$B,$A380),0))</f>
        <v>1683</v>
      </c>
      <c r="M380">
        <f>MAX(0,ROUND(SUMIFS(m7_cv!$E:$E,m7_cv!$A:$A,$E380,m7_cv!$B:$B,$A380),0))</f>
        <v>2262</v>
      </c>
      <c r="N380">
        <f>ROUND(_xlfn.XLOOKUP($D380,Charts!$W$86:$W$116,Charts!$X$86:$X$116)*$L380+_xlfn.XLOOKUP($D380,Charts!$W$86:$W$116,Charts!$Y$86:$Y$116)*$M380,0)</f>
        <v>2262</v>
      </c>
      <c r="O380">
        <f>MAX(0,ROUND(SUMIFS(m8_cv!$E:$E,m8_cv!$A:$A,$E380,m8_cv!$B:$B,$A380),0))</f>
        <v>2266</v>
      </c>
    </row>
    <row r="381" spans="1:15" x14ac:dyDescent="0.25">
      <c r="A381" s="3">
        <f t="shared" si="29"/>
        <v>46037</v>
      </c>
      <c r="B381">
        <f t="shared" si="25"/>
        <v>2026</v>
      </c>
      <c r="C381">
        <f t="shared" si="26"/>
        <v>1</v>
      </c>
      <c r="D381">
        <f t="shared" si="27"/>
        <v>15</v>
      </c>
      <c r="E381" s="2">
        <f t="shared" si="28"/>
        <v>46022</v>
      </c>
      <c r="F381" s="12">
        <f>_xlfn.XLOOKUP($A381,m1_cv!$B:$B,m1_cv!$C:$C)</f>
        <v>1874</v>
      </c>
      <c r="G381">
        <f>MAX(0,ROUND(SUMIFS(m1_cv!$E:$E,m1_cv!$A:$A,$E381,m1_cv!$B:$B,$A381),0))</f>
        <v>2960</v>
      </c>
      <c r="H381">
        <f>MAX(0,ROUND(SUMIFS(m2_cv!$E:$E,m2_cv!$A:$A,$E381,m2_cv!$B:$B,$A381),0))</f>
        <v>2173</v>
      </c>
      <c r="I381">
        <f>MAX(0,ROUND(SUMIFS(m3_cv!$E:$E,m3_cv!$A:$A,$E381,m3_cv!$B:$B,$A381),0))</f>
        <v>2132</v>
      </c>
      <c r="J381">
        <f>MAX(0,ROUND(SUMIFS(m4_cv!$E:$E,m4_cv!$A:$A,$E381,m4_cv!$B:$B,$A381),0))</f>
        <v>2127</v>
      </c>
      <c r="K381">
        <f>MAX(0,ROUND(SUMIFS(m5_cv!$E:$E,m5_cv!$A:$A,$E381,m5_cv!$B:$B,$A381),0))</f>
        <v>2310</v>
      </c>
      <c r="L381">
        <f>MAX(0,ROUND(SUMIFS(m6_cv!$E:$E,m6_cv!$A:$A,$E381,m6_cv!$B:$B,$A381),0))</f>
        <v>1841</v>
      </c>
      <c r="M381">
        <f>MAX(0,ROUND(SUMIFS(m7_cv!$E:$E,m7_cv!$A:$A,$E381,m7_cv!$B:$B,$A381),0))</f>
        <v>2310</v>
      </c>
      <c r="N381">
        <f>ROUND(_xlfn.XLOOKUP($D381,Charts!$W$86:$W$116,Charts!$X$86:$X$116)*$L381+_xlfn.XLOOKUP($D381,Charts!$W$86:$W$116,Charts!$Y$86:$Y$116)*$M381,0)</f>
        <v>2310</v>
      </c>
      <c r="O381">
        <f>MAX(0,ROUND(SUMIFS(m8_cv!$E:$E,m8_cv!$A:$A,$E381,m8_cv!$B:$B,$A381),0))</f>
        <v>2316</v>
      </c>
    </row>
    <row r="382" spans="1:15" x14ac:dyDescent="0.25">
      <c r="A382" s="3">
        <f t="shared" si="29"/>
        <v>46038</v>
      </c>
      <c r="B382">
        <f t="shared" si="25"/>
        <v>2026</v>
      </c>
      <c r="C382">
        <f t="shared" si="26"/>
        <v>1</v>
      </c>
      <c r="D382">
        <f t="shared" si="27"/>
        <v>16</v>
      </c>
      <c r="E382" s="2">
        <f t="shared" si="28"/>
        <v>46022</v>
      </c>
      <c r="F382" s="12">
        <f>_xlfn.XLOOKUP($A382,m1_cv!$B:$B,m1_cv!$C:$C)</f>
        <v>2020</v>
      </c>
      <c r="G382">
        <f>MAX(0,ROUND(SUMIFS(m1_cv!$E:$E,m1_cv!$A:$A,$E382,m1_cv!$B:$B,$A382),0))</f>
        <v>2956</v>
      </c>
      <c r="H382">
        <f>MAX(0,ROUND(SUMIFS(m2_cv!$E:$E,m2_cv!$A:$A,$E382,m2_cv!$B:$B,$A382),0))</f>
        <v>2365</v>
      </c>
      <c r="I382">
        <f>MAX(0,ROUND(SUMIFS(m3_cv!$E:$E,m3_cv!$A:$A,$E382,m3_cv!$B:$B,$A382),0))</f>
        <v>2256</v>
      </c>
      <c r="J382">
        <f>MAX(0,ROUND(SUMIFS(m4_cv!$E:$E,m4_cv!$A:$A,$E382,m4_cv!$B:$B,$A382),0))</f>
        <v>2250</v>
      </c>
      <c r="K382">
        <f>MAX(0,ROUND(SUMIFS(m5_cv!$E:$E,m5_cv!$A:$A,$E382,m5_cv!$B:$B,$A382),0))</f>
        <v>2447</v>
      </c>
      <c r="L382">
        <f>MAX(0,ROUND(SUMIFS(m6_cv!$E:$E,m6_cv!$A:$A,$E382,m6_cv!$B:$B,$A382),0))</f>
        <v>1837</v>
      </c>
      <c r="M382">
        <f>MAX(0,ROUND(SUMIFS(m7_cv!$E:$E,m7_cv!$A:$A,$E382,m7_cv!$B:$B,$A382),0))</f>
        <v>2449</v>
      </c>
      <c r="N382">
        <f>ROUND(_xlfn.XLOOKUP($D382,Charts!$W$86:$W$116,Charts!$X$86:$X$116)*$L382+_xlfn.XLOOKUP($D382,Charts!$W$86:$W$116,Charts!$Y$86:$Y$116)*$M382,0)</f>
        <v>2449</v>
      </c>
      <c r="O382">
        <f>MAX(0,ROUND(SUMIFS(m8_cv!$E:$E,m8_cv!$A:$A,$E382,m8_cv!$B:$B,$A382),0))</f>
        <v>2428</v>
      </c>
    </row>
    <row r="383" spans="1:15" x14ac:dyDescent="0.25">
      <c r="A383" s="3">
        <f t="shared" si="29"/>
        <v>46039</v>
      </c>
      <c r="B383">
        <f t="shared" si="25"/>
        <v>2026</v>
      </c>
      <c r="C383">
        <f t="shared" si="26"/>
        <v>1</v>
      </c>
      <c r="D383">
        <f t="shared" si="27"/>
        <v>17</v>
      </c>
      <c r="E383" s="2">
        <f t="shared" si="28"/>
        <v>46022</v>
      </c>
      <c r="F383" s="12">
        <f>_xlfn.XLOOKUP($A383,m1_cv!$B:$B,m1_cv!$C:$C)</f>
        <v>451</v>
      </c>
      <c r="G383">
        <f>MAX(0,ROUND(SUMIFS(m1_cv!$E:$E,m1_cv!$A:$A,$E383,m1_cv!$B:$B,$A383),0))</f>
        <v>636</v>
      </c>
      <c r="H383">
        <f>MAX(0,ROUND(SUMIFS(m2_cv!$E:$E,m2_cv!$A:$A,$E383,m2_cv!$B:$B,$A383),0))</f>
        <v>287</v>
      </c>
      <c r="I383">
        <f>MAX(0,ROUND(SUMIFS(m3_cv!$E:$E,m3_cv!$A:$A,$E383,m3_cv!$B:$B,$A383),0))</f>
        <v>209</v>
      </c>
      <c r="J383">
        <f>MAX(0,ROUND(SUMIFS(m4_cv!$E:$E,m4_cv!$A:$A,$E383,m4_cv!$B:$B,$A383),0))</f>
        <v>203</v>
      </c>
      <c r="K383">
        <f>MAX(0,ROUND(SUMIFS(m5_cv!$E:$E,m5_cv!$A:$A,$E383,m5_cv!$B:$B,$A383),0))</f>
        <v>283</v>
      </c>
      <c r="L383">
        <f>MAX(0,ROUND(SUMIFS(m6_cv!$E:$E,m6_cv!$A:$A,$E383,m6_cv!$B:$B,$A383),0))</f>
        <v>338</v>
      </c>
      <c r="M383">
        <f>MAX(0,ROUND(SUMIFS(m7_cv!$E:$E,m7_cv!$A:$A,$E383,m7_cv!$B:$B,$A383),0))</f>
        <v>271</v>
      </c>
      <c r="N383">
        <f>ROUND(_xlfn.XLOOKUP($D383,Charts!$W$86:$W$116,Charts!$X$86:$X$116)*$L383+_xlfn.XLOOKUP($D383,Charts!$W$86:$W$116,Charts!$Y$86:$Y$116)*$M383,0)</f>
        <v>271</v>
      </c>
      <c r="O383">
        <f>MAX(0,ROUND(SUMIFS(m8_cv!$E:$E,m8_cv!$A:$A,$E383,m8_cv!$B:$B,$A383),0))</f>
        <v>254</v>
      </c>
    </row>
    <row r="384" spans="1:15" x14ac:dyDescent="0.25">
      <c r="A384" s="3">
        <f t="shared" si="29"/>
        <v>46040</v>
      </c>
      <c r="B384">
        <f t="shared" si="25"/>
        <v>2026</v>
      </c>
      <c r="C384">
        <f t="shared" si="26"/>
        <v>1</v>
      </c>
      <c r="D384">
        <f t="shared" si="27"/>
        <v>18</v>
      </c>
      <c r="E384" s="2">
        <f t="shared" si="28"/>
        <v>46022</v>
      </c>
      <c r="F384" s="12">
        <f>_xlfn.XLOOKUP($A384,m1_cv!$B:$B,m1_cv!$C:$C)</f>
        <v>76</v>
      </c>
      <c r="G384">
        <f>MAX(0,ROUND(SUMIFS(m1_cv!$E:$E,m1_cv!$A:$A,$E384,m1_cv!$B:$B,$A384),0))</f>
        <v>30</v>
      </c>
      <c r="H384">
        <f>MAX(0,ROUND(SUMIFS(m2_cv!$E:$E,m2_cv!$A:$A,$E384,m2_cv!$B:$B,$A384),0))</f>
        <v>0</v>
      </c>
      <c r="I384">
        <f>MAX(0,ROUND(SUMIFS(m3_cv!$E:$E,m3_cv!$A:$A,$E384,m3_cv!$B:$B,$A384),0))</f>
        <v>0</v>
      </c>
      <c r="J384">
        <f>MAX(0,ROUND(SUMIFS(m4_cv!$E:$E,m4_cv!$A:$A,$E384,m4_cv!$B:$B,$A384),0))</f>
        <v>0</v>
      </c>
      <c r="K384">
        <f>MAX(0,ROUND(SUMIFS(m5_cv!$E:$E,m5_cv!$A:$A,$E384,m5_cv!$B:$B,$A384),0))</f>
        <v>0</v>
      </c>
      <c r="L384">
        <f>MAX(0,ROUND(SUMIFS(m6_cv!$E:$E,m6_cv!$A:$A,$E384,m6_cv!$B:$B,$A384),0))</f>
        <v>137</v>
      </c>
      <c r="M384">
        <f>MAX(0,ROUND(SUMIFS(m7_cv!$E:$E,m7_cv!$A:$A,$E384,m7_cv!$B:$B,$A384),0))</f>
        <v>0</v>
      </c>
      <c r="N384">
        <f>ROUND(_xlfn.XLOOKUP($D384,Charts!$W$86:$W$116,Charts!$X$86:$X$116)*$L384+_xlfn.XLOOKUP($D384,Charts!$W$86:$W$116,Charts!$Y$86:$Y$116)*$M384,0)</f>
        <v>0</v>
      </c>
      <c r="O384">
        <f>MAX(0,ROUND(SUMIFS(m8_cv!$E:$E,m8_cv!$A:$A,$E384,m8_cv!$B:$B,$A384),0))</f>
        <v>0</v>
      </c>
    </row>
    <row r="385" spans="1:15" x14ac:dyDescent="0.25">
      <c r="A385" s="3">
        <f t="shared" si="29"/>
        <v>46041</v>
      </c>
      <c r="B385">
        <f t="shared" si="25"/>
        <v>2026</v>
      </c>
      <c r="C385">
        <f t="shared" si="26"/>
        <v>1</v>
      </c>
      <c r="D385">
        <f t="shared" si="27"/>
        <v>19</v>
      </c>
      <c r="E385" s="2">
        <f t="shared" si="28"/>
        <v>46022</v>
      </c>
      <c r="F385" s="12">
        <f>_xlfn.XLOOKUP($A385,m1_cv!$B:$B,m1_cv!$C:$C)</f>
        <v>1963</v>
      </c>
      <c r="G385">
        <f>MAX(0,ROUND(SUMIFS(m1_cv!$E:$E,m1_cv!$A:$A,$E385,m1_cv!$B:$B,$A385),0))</f>
        <v>2319</v>
      </c>
      <c r="H385">
        <f>MAX(0,ROUND(SUMIFS(m2_cv!$E:$E,m2_cv!$A:$A,$E385,m2_cv!$B:$B,$A385),0))</f>
        <v>2042</v>
      </c>
      <c r="I385">
        <f>MAX(0,ROUND(SUMIFS(m3_cv!$E:$E,m3_cv!$A:$A,$E385,m3_cv!$B:$B,$A385),0))</f>
        <v>2316</v>
      </c>
      <c r="J385">
        <f>MAX(0,ROUND(SUMIFS(m4_cv!$E:$E,m4_cv!$A:$A,$E385,m4_cv!$B:$B,$A385),0))</f>
        <v>2310</v>
      </c>
      <c r="K385">
        <f>MAX(0,ROUND(SUMIFS(m5_cv!$E:$E,m5_cv!$A:$A,$E385,m5_cv!$B:$B,$A385),0))</f>
        <v>2314</v>
      </c>
      <c r="L385">
        <f>MAX(0,ROUND(SUMIFS(m6_cv!$E:$E,m6_cv!$A:$A,$E385,m6_cv!$B:$B,$A385),0))</f>
        <v>1952</v>
      </c>
      <c r="M385">
        <f>MAX(0,ROUND(SUMIFS(m7_cv!$E:$E,m7_cv!$A:$A,$E385,m7_cv!$B:$B,$A385),0))</f>
        <v>2331</v>
      </c>
      <c r="N385">
        <f>ROUND(_xlfn.XLOOKUP($D385,Charts!$W$86:$W$116,Charts!$X$86:$X$116)*$L385+_xlfn.XLOOKUP($D385,Charts!$W$86:$W$116,Charts!$Y$86:$Y$116)*$M385,0)</f>
        <v>2331</v>
      </c>
      <c r="O385">
        <f>MAX(0,ROUND(SUMIFS(m8_cv!$E:$E,m8_cv!$A:$A,$E385,m8_cv!$B:$B,$A385),0))</f>
        <v>2300</v>
      </c>
    </row>
    <row r="386" spans="1:15" x14ac:dyDescent="0.25">
      <c r="A386" s="3">
        <f t="shared" si="29"/>
        <v>46042</v>
      </c>
      <c r="B386">
        <f t="shared" si="25"/>
        <v>2026</v>
      </c>
      <c r="C386">
        <f t="shared" si="26"/>
        <v>1</v>
      </c>
      <c r="D386">
        <f t="shared" si="27"/>
        <v>20</v>
      </c>
      <c r="E386" s="2">
        <f t="shared" si="28"/>
        <v>46022</v>
      </c>
      <c r="F386" s="12">
        <f>_xlfn.XLOOKUP($A386,m1_cv!$B:$B,m1_cv!$C:$C)</f>
        <v>2481</v>
      </c>
      <c r="G386">
        <f>MAX(0,ROUND(SUMIFS(m1_cv!$E:$E,m1_cv!$A:$A,$E386,m1_cv!$B:$B,$A386),0))</f>
        <v>2843</v>
      </c>
      <c r="H386">
        <f>MAX(0,ROUND(SUMIFS(m2_cv!$E:$E,m2_cv!$A:$A,$E386,m2_cv!$B:$B,$A386),0))</f>
        <v>2489</v>
      </c>
      <c r="I386">
        <f>MAX(0,ROUND(SUMIFS(m3_cv!$E:$E,m3_cv!$A:$A,$E386,m3_cv!$B:$B,$A386),0))</f>
        <v>2507</v>
      </c>
      <c r="J386">
        <f>MAX(0,ROUND(SUMIFS(m4_cv!$E:$E,m4_cv!$A:$A,$E386,m4_cv!$B:$B,$A386),0))</f>
        <v>2502</v>
      </c>
      <c r="K386">
        <f>MAX(0,ROUND(SUMIFS(m5_cv!$E:$E,m5_cv!$A:$A,$E386,m5_cv!$B:$B,$A386),0))</f>
        <v>2655</v>
      </c>
      <c r="L386">
        <f>MAX(0,ROUND(SUMIFS(m6_cv!$E:$E,m6_cv!$A:$A,$E386,m6_cv!$B:$B,$A386),0))</f>
        <v>2684</v>
      </c>
      <c r="M386">
        <f>MAX(0,ROUND(SUMIFS(m7_cv!$E:$E,m7_cv!$A:$A,$E386,m7_cv!$B:$B,$A386),0))</f>
        <v>2732</v>
      </c>
      <c r="N386">
        <f>ROUND(_xlfn.XLOOKUP($D386,Charts!$W$86:$W$116,Charts!$X$86:$X$116)*$L386+_xlfn.XLOOKUP($D386,Charts!$W$86:$W$116,Charts!$Y$86:$Y$116)*$M386,0)</f>
        <v>2732</v>
      </c>
      <c r="O386">
        <f>MAX(0,ROUND(SUMIFS(m8_cv!$E:$E,m8_cv!$A:$A,$E386,m8_cv!$B:$B,$A386),0))</f>
        <v>2702</v>
      </c>
    </row>
    <row r="387" spans="1:15" x14ac:dyDescent="0.25">
      <c r="A387" s="3">
        <f t="shared" si="29"/>
        <v>46043</v>
      </c>
      <c r="B387">
        <f t="shared" ref="B387:B450" si="30">YEAR(A387)</f>
        <v>2026</v>
      </c>
      <c r="C387">
        <f t="shared" ref="C387:C450" si="31">MONTH($A387)</f>
        <v>1</v>
      </c>
      <c r="D387">
        <f t="shared" ref="D387:D450" si="32">DAY($A387)</f>
        <v>21</v>
      </c>
      <c r="E387" s="2">
        <f t="shared" ref="E387:E450" si="33">DATE($B387,$C387,1)-1</f>
        <v>46022</v>
      </c>
      <c r="F387" s="12">
        <f>_xlfn.XLOOKUP($A387,m1_cv!$B:$B,m1_cv!$C:$C)</f>
        <v>2679</v>
      </c>
      <c r="G387">
        <f>MAX(0,ROUND(SUMIFS(m1_cv!$E:$E,m1_cv!$A:$A,$E387,m1_cv!$B:$B,$A387),0))</f>
        <v>2887</v>
      </c>
      <c r="H387">
        <f>MAX(0,ROUND(SUMIFS(m2_cv!$E:$E,m2_cv!$A:$A,$E387,m2_cv!$B:$B,$A387),0))</f>
        <v>2675</v>
      </c>
      <c r="I387">
        <f>MAX(0,ROUND(SUMIFS(m3_cv!$E:$E,m3_cv!$A:$A,$E387,m3_cv!$B:$B,$A387),0))</f>
        <v>2676</v>
      </c>
      <c r="J387">
        <f>MAX(0,ROUND(SUMIFS(m4_cv!$E:$E,m4_cv!$A:$A,$E387,m4_cv!$B:$B,$A387),0))</f>
        <v>2672</v>
      </c>
      <c r="K387">
        <f>MAX(0,ROUND(SUMIFS(m5_cv!$E:$E,m5_cv!$A:$A,$E387,m5_cv!$B:$B,$A387),0))</f>
        <v>2879</v>
      </c>
      <c r="L387">
        <f>MAX(0,ROUND(SUMIFS(m6_cv!$E:$E,m6_cv!$A:$A,$E387,m6_cv!$B:$B,$A387),0))</f>
        <v>3069</v>
      </c>
      <c r="M387">
        <f>MAX(0,ROUND(SUMIFS(m7_cv!$E:$E,m7_cv!$A:$A,$E387,m7_cv!$B:$B,$A387),0))</f>
        <v>2908</v>
      </c>
      <c r="N387">
        <f>ROUND(_xlfn.XLOOKUP($D387,Charts!$W$86:$W$116,Charts!$X$86:$X$116)*$L387+_xlfn.XLOOKUP($D387,Charts!$W$86:$W$116,Charts!$Y$86:$Y$116)*$M387,0)</f>
        <v>2908</v>
      </c>
      <c r="O387">
        <f>MAX(0,ROUND(SUMIFS(m8_cv!$E:$E,m8_cv!$A:$A,$E387,m8_cv!$B:$B,$A387),0))</f>
        <v>2856</v>
      </c>
    </row>
    <row r="388" spans="1:15" x14ac:dyDescent="0.25">
      <c r="A388" s="3">
        <f t="shared" ref="A388:A451" si="34">A387+1</f>
        <v>46044</v>
      </c>
      <c r="B388">
        <f t="shared" si="30"/>
        <v>2026</v>
      </c>
      <c r="C388">
        <f t="shared" si="31"/>
        <v>1</v>
      </c>
      <c r="D388">
        <f t="shared" si="32"/>
        <v>22</v>
      </c>
      <c r="E388" s="2">
        <f t="shared" si="33"/>
        <v>46022</v>
      </c>
      <c r="F388" s="12">
        <f>_xlfn.XLOOKUP($A388,m1_cv!$B:$B,m1_cv!$C:$C)</f>
        <v>2830</v>
      </c>
      <c r="G388">
        <f>MAX(0,ROUND(SUMIFS(m1_cv!$E:$E,m1_cv!$A:$A,$E388,m1_cv!$B:$B,$A388),0))</f>
        <v>2862</v>
      </c>
      <c r="H388">
        <f>MAX(0,ROUND(SUMIFS(m2_cv!$E:$E,m2_cv!$A:$A,$E388,m2_cv!$B:$B,$A388),0))</f>
        <v>2997</v>
      </c>
      <c r="I388">
        <f>MAX(0,ROUND(SUMIFS(m3_cv!$E:$E,m3_cv!$A:$A,$E388,m3_cv!$B:$B,$A388),0))</f>
        <v>3006</v>
      </c>
      <c r="J388">
        <f>MAX(0,ROUND(SUMIFS(m4_cv!$E:$E,m4_cv!$A:$A,$E388,m4_cv!$B:$B,$A388),0))</f>
        <v>3003</v>
      </c>
      <c r="K388">
        <f>MAX(0,ROUND(SUMIFS(m5_cv!$E:$E,m5_cv!$A:$A,$E388,m5_cv!$B:$B,$A388),0))</f>
        <v>3103</v>
      </c>
      <c r="L388">
        <f>MAX(0,ROUND(SUMIFS(m6_cv!$E:$E,m6_cv!$A:$A,$E388,m6_cv!$B:$B,$A388),0))</f>
        <v>3492</v>
      </c>
      <c r="M388">
        <f>MAX(0,ROUND(SUMIFS(m7_cv!$E:$E,m7_cv!$A:$A,$E388,m7_cv!$B:$B,$A388),0))</f>
        <v>3041</v>
      </c>
      <c r="N388">
        <f>ROUND(_xlfn.XLOOKUP($D388,Charts!$W$86:$W$116,Charts!$X$86:$X$116)*$L388+_xlfn.XLOOKUP($D388,Charts!$W$86:$W$116,Charts!$Y$86:$Y$116)*$M388,0)</f>
        <v>3041</v>
      </c>
      <c r="O388">
        <f>MAX(0,ROUND(SUMIFS(m8_cv!$E:$E,m8_cv!$A:$A,$E388,m8_cv!$B:$B,$A388),0))</f>
        <v>2994</v>
      </c>
    </row>
    <row r="389" spans="1:15" x14ac:dyDescent="0.25">
      <c r="A389" s="3">
        <f t="shared" si="34"/>
        <v>46045</v>
      </c>
      <c r="B389">
        <f t="shared" si="30"/>
        <v>2026</v>
      </c>
      <c r="C389">
        <f t="shared" si="31"/>
        <v>1</v>
      </c>
      <c r="D389">
        <f t="shared" si="32"/>
        <v>23</v>
      </c>
      <c r="E389" s="2">
        <f t="shared" si="33"/>
        <v>46022</v>
      </c>
      <c r="F389" s="12">
        <f>_xlfn.XLOOKUP($A389,m1_cv!$B:$B,m1_cv!$C:$C)</f>
        <v>3000</v>
      </c>
      <c r="G389">
        <f>MAX(0,ROUND(SUMIFS(m1_cv!$E:$E,m1_cv!$A:$A,$E389,m1_cv!$B:$B,$A389),0))</f>
        <v>2890</v>
      </c>
      <c r="H389">
        <f>MAX(0,ROUND(SUMIFS(m2_cv!$E:$E,m2_cv!$A:$A,$E389,m2_cv!$B:$B,$A389),0))</f>
        <v>3319</v>
      </c>
      <c r="I389">
        <f>MAX(0,ROUND(SUMIFS(m3_cv!$E:$E,m3_cv!$A:$A,$E389,m3_cv!$B:$B,$A389),0))</f>
        <v>3361</v>
      </c>
      <c r="J389">
        <f>MAX(0,ROUND(SUMIFS(m4_cv!$E:$E,m4_cv!$A:$A,$E389,m4_cv!$B:$B,$A389),0))</f>
        <v>3358</v>
      </c>
      <c r="K389">
        <f>MAX(0,ROUND(SUMIFS(m5_cv!$E:$E,m5_cv!$A:$A,$E389,m5_cv!$B:$B,$A389),0))</f>
        <v>3321</v>
      </c>
      <c r="L389">
        <f>MAX(0,ROUND(SUMIFS(m6_cv!$E:$E,m6_cv!$A:$A,$E389,m6_cv!$B:$B,$A389),0))</f>
        <v>3697</v>
      </c>
      <c r="M389">
        <f>MAX(0,ROUND(SUMIFS(m7_cv!$E:$E,m7_cv!$A:$A,$E389,m7_cv!$B:$B,$A389),0))</f>
        <v>3261</v>
      </c>
      <c r="N389">
        <f>ROUND(_xlfn.XLOOKUP($D389,Charts!$W$86:$W$116,Charts!$X$86:$X$116)*$L389+_xlfn.XLOOKUP($D389,Charts!$W$86:$W$116,Charts!$Y$86:$Y$116)*$M389,0)</f>
        <v>3261</v>
      </c>
      <c r="O389">
        <f>MAX(0,ROUND(SUMIFS(m8_cv!$E:$E,m8_cv!$A:$A,$E389,m8_cv!$B:$B,$A389),0))</f>
        <v>3215</v>
      </c>
    </row>
    <row r="390" spans="1:15" x14ac:dyDescent="0.25">
      <c r="A390" s="3">
        <f t="shared" si="34"/>
        <v>46046</v>
      </c>
      <c r="B390">
        <f t="shared" si="30"/>
        <v>2026</v>
      </c>
      <c r="C390">
        <f t="shared" si="31"/>
        <v>1</v>
      </c>
      <c r="D390">
        <f t="shared" si="32"/>
        <v>24</v>
      </c>
      <c r="E390" s="2">
        <f t="shared" si="33"/>
        <v>46022</v>
      </c>
      <c r="F390" s="12">
        <f>_xlfn.XLOOKUP($A390,m1_cv!$B:$B,m1_cv!$C:$C)</f>
        <v>902</v>
      </c>
      <c r="G390">
        <f>MAX(0,ROUND(SUMIFS(m1_cv!$E:$E,m1_cv!$A:$A,$E390,m1_cv!$B:$B,$A390),0))</f>
        <v>601</v>
      </c>
      <c r="H390">
        <f>MAX(0,ROUND(SUMIFS(m2_cv!$E:$E,m2_cv!$A:$A,$E390,m2_cv!$B:$B,$A390),0))</f>
        <v>1085</v>
      </c>
      <c r="I390">
        <f>MAX(0,ROUND(SUMIFS(m3_cv!$E:$E,m3_cv!$A:$A,$E390,m3_cv!$B:$B,$A390),0))</f>
        <v>1237</v>
      </c>
      <c r="J390">
        <f>MAX(0,ROUND(SUMIFS(m4_cv!$E:$E,m4_cv!$A:$A,$E390,m4_cv!$B:$B,$A390),0))</f>
        <v>1233</v>
      </c>
      <c r="K390">
        <f>MAX(0,ROUND(SUMIFS(m5_cv!$E:$E,m5_cv!$A:$A,$E390,m5_cv!$B:$B,$A390),0))</f>
        <v>1140</v>
      </c>
      <c r="L390">
        <f>MAX(0,ROUND(SUMIFS(m6_cv!$E:$E,m6_cv!$A:$A,$E390,m6_cv!$B:$B,$A390),0))</f>
        <v>696</v>
      </c>
      <c r="M390">
        <f>MAX(0,ROUND(SUMIFS(m7_cv!$E:$E,m7_cv!$A:$A,$E390,m7_cv!$B:$B,$A390),0))</f>
        <v>1165</v>
      </c>
      <c r="N390">
        <f>ROUND(_xlfn.XLOOKUP($D390,Charts!$W$86:$W$116,Charts!$X$86:$X$116)*$L390+_xlfn.XLOOKUP($D390,Charts!$W$86:$W$116,Charts!$Y$86:$Y$116)*$M390,0)</f>
        <v>696</v>
      </c>
      <c r="O390">
        <f>MAX(0,ROUND(SUMIFS(m8_cv!$E:$E,m8_cv!$A:$A,$E390,m8_cv!$B:$B,$A390),0))</f>
        <v>1129</v>
      </c>
    </row>
    <row r="391" spans="1:15" x14ac:dyDescent="0.25">
      <c r="A391" s="3">
        <f t="shared" si="34"/>
        <v>46047</v>
      </c>
      <c r="B391">
        <f t="shared" si="30"/>
        <v>2026</v>
      </c>
      <c r="C391">
        <f t="shared" si="31"/>
        <v>1</v>
      </c>
      <c r="D391">
        <f t="shared" si="32"/>
        <v>25</v>
      </c>
      <c r="E391" s="2">
        <f t="shared" si="33"/>
        <v>46022</v>
      </c>
      <c r="F391" s="12">
        <f>_xlfn.XLOOKUP($A391,m1_cv!$B:$B,m1_cv!$C:$C)</f>
        <v>150</v>
      </c>
      <c r="G391">
        <f>MAX(0,ROUND(SUMIFS(m1_cv!$E:$E,m1_cv!$A:$A,$E391,m1_cv!$B:$B,$A391),0))</f>
        <v>24</v>
      </c>
      <c r="H391">
        <f>MAX(0,ROUND(SUMIFS(m2_cv!$E:$E,m2_cv!$A:$A,$E391,m2_cv!$B:$B,$A391),0))</f>
        <v>409</v>
      </c>
      <c r="I391">
        <f>MAX(0,ROUND(SUMIFS(m3_cv!$E:$E,m3_cv!$A:$A,$E391,m3_cv!$B:$B,$A391),0))</f>
        <v>689</v>
      </c>
      <c r="J391">
        <f>MAX(0,ROUND(SUMIFS(m4_cv!$E:$E,m4_cv!$A:$A,$E391,m4_cv!$B:$B,$A391),0))</f>
        <v>686</v>
      </c>
      <c r="K391">
        <f>MAX(0,ROUND(SUMIFS(m5_cv!$E:$E,m5_cv!$A:$A,$E391,m5_cv!$B:$B,$A391),0))</f>
        <v>619</v>
      </c>
      <c r="L391">
        <f>MAX(0,ROUND(SUMIFS(m6_cv!$E:$E,m6_cv!$A:$A,$E391,m6_cv!$B:$B,$A391),0))</f>
        <v>269</v>
      </c>
      <c r="M391">
        <f>MAX(0,ROUND(SUMIFS(m7_cv!$E:$E,m7_cv!$A:$A,$E391,m7_cv!$B:$B,$A391),0))</f>
        <v>749</v>
      </c>
      <c r="N391">
        <f>ROUND(_xlfn.XLOOKUP($D391,Charts!$W$86:$W$116,Charts!$X$86:$X$116)*$L391+_xlfn.XLOOKUP($D391,Charts!$W$86:$W$116,Charts!$Y$86:$Y$116)*$M391,0)</f>
        <v>269</v>
      </c>
      <c r="O391">
        <f>MAX(0,ROUND(SUMIFS(m8_cv!$E:$E,m8_cv!$A:$A,$E391,m8_cv!$B:$B,$A391),0))</f>
        <v>734</v>
      </c>
    </row>
    <row r="392" spans="1:15" x14ac:dyDescent="0.25">
      <c r="A392" s="3">
        <f t="shared" si="34"/>
        <v>46048</v>
      </c>
      <c r="B392">
        <f t="shared" si="30"/>
        <v>2026</v>
      </c>
      <c r="C392">
        <f t="shared" si="31"/>
        <v>1</v>
      </c>
      <c r="D392">
        <f t="shared" si="32"/>
        <v>26</v>
      </c>
      <c r="E392" s="2">
        <f t="shared" si="33"/>
        <v>46022</v>
      </c>
      <c r="F392" s="12">
        <f>_xlfn.XLOOKUP($A392,m1_cv!$B:$B,m1_cv!$C:$C)</f>
        <v>3603</v>
      </c>
      <c r="G392">
        <f>MAX(0,ROUND(SUMIFS(m1_cv!$E:$E,m1_cv!$A:$A,$E392,m1_cv!$B:$B,$A392),0))</f>
        <v>2341</v>
      </c>
      <c r="H392">
        <f>MAX(0,ROUND(SUMIFS(m2_cv!$E:$E,m2_cv!$A:$A,$E392,m2_cv!$B:$B,$A392),0))</f>
        <v>2844</v>
      </c>
      <c r="I392">
        <f>MAX(0,ROUND(SUMIFS(m3_cv!$E:$E,m3_cv!$A:$A,$E392,m3_cv!$B:$B,$A392),0))</f>
        <v>3364</v>
      </c>
      <c r="J392">
        <f>MAX(0,ROUND(SUMIFS(m4_cv!$E:$E,m4_cv!$A:$A,$E392,m4_cv!$B:$B,$A392),0))</f>
        <v>3361</v>
      </c>
      <c r="K392">
        <f>MAX(0,ROUND(SUMIFS(m5_cv!$E:$E,m5_cv!$A:$A,$E392,m5_cv!$B:$B,$A392),0))</f>
        <v>3257</v>
      </c>
      <c r="L392">
        <f>MAX(0,ROUND(SUMIFS(m6_cv!$E:$E,m6_cv!$A:$A,$E392,m6_cv!$B:$B,$A392),0))</f>
        <v>3451</v>
      </c>
      <c r="M392">
        <f>MAX(0,ROUND(SUMIFS(m7_cv!$E:$E,m7_cv!$A:$A,$E392,m7_cv!$B:$B,$A392),0))</f>
        <v>3313</v>
      </c>
      <c r="N392">
        <f>ROUND(_xlfn.XLOOKUP($D392,Charts!$W$86:$W$116,Charts!$X$86:$X$116)*$L392+_xlfn.XLOOKUP($D392,Charts!$W$86:$W$116,Charts!$Y$86:$Y$116)*$M392,0)</f>
        <v>3451</v>
      </c>
      <c r="O392">
        <f>MAX(0,ROUND(SUMIFS(m8_cv!$E:$E,m8_cv!$A:$A,$E392,m8_cv!$B:$B,$A392),0))</f>
        <v>3417</v>
      </c>
    </row>
    <row r="393" spans="1:15" x14ac:dyDescent="0.25">
      <c r="A393" s="3">
        <f t="shared" si="34"/>
        <v>46049</v>
      </c>
      <c r="B393">
        <f t="shared" si="30"/>
        <v>2026</v>
      </c>
      <c r="C393">
        <f t="shared" si="31"/>
        <v>1</v>
      </c>
      <c r="D393">
        <f t="shared" si="32"/>
        <v>27</v>
      </c>
      <c r="E393" s="2">
        <f t="shared" si="33"/>
        <v>46022</v>
      </c>
      <c r="F393" s="12">
        <f>_xlfn.XLOOKUP($A393,m1_cv!$B:$B,m1_cv!$C:$C)</f>
        <v>4548</v>
      </c>
      <c r="G393">
        <f>MAX(0,ROUND(SUMIFS(m1_cv!$E:$E,m1_cv!$A:$A,$E393,m1_cv!$B:$B,$A393),0))</f>
        <v>2889</v>
      </c>
      <c r="H393">
        <f>MAX(0,ROUND(SUMIFS(m2_cv!$E:$E,m2_cv!$A:$A,$E393,m2_cv!$B:$B,$A393),0))</f>
        <v>4039</v>
      </c>
      <c r="I393">
        <f>MAX(0,ROUND(SUMIFS(m3_cv!$E:$E,m3_cv!$A:$A,$E393,m3_cv!$B:$B,$A393),0))</f>
        <v>4303</v>
      </c>
      <c r="J393">
        <f>MAX(0,ROUND(SUMIFS(m4_cv!$E:$E,m4_cv!$A:$A,$E393,m4_cv!$B:$B,$A393),0))</f>
        <v>4301</v>
      </c>
      <c r="K393">
        <f>MAX(0,ROUND(SUMIFS(m5_cv!$E:$E,m5_cv!$A:$A,$E393,m5_cv!$B:$B,$A393),0))</f>
        <v>5011</v>
      </c>
      <c r="L393">
        <f>MAX(0,ROUND(SUMIFS(m6_cv!$E:$E,m6_cv!$A:$A,$E393,m6_cv!$B:$B,$A393),0))</f>
        <v>8291</v>
      </c>
      <c r="M393">
        <f>MAX(0,ROUND(SUMIFS(m7_cv!$E:$E,m7_cv!$A:$A,$E393,m7_cv!$B:$B,$A393),0))</f>
        <v>4872</v>
      </c>
      <c r="N393">
        <f>ROUND(_xlfn.XLOOKUP($D393,Charts!$W$86:$W$116,Charts!$X$86:$X$116)*$L393+_xlfn.XLOOKUP($D393,Charts!$W$86:$W$116,Charts!$Y$86:$Y$116)*$M393,0)</f>
        <v>8291</v>
      </c>
      <c r="O393">
        <f>MAX(0,ROUND(SUMIFS(m8_cv!$E:$E,m8_cv!$A:$A,$E393,m8_cv!$B:$B,$A393),0))</f>
        <v>4660</v>
      </c>
    </row>
    <row r="394" spans="1:15" x14ac:dyDescent="0.25">
      <c r="A394" s="3">
        <f t="shared" si="34"/>
        <v>46050</v>
      </c>
      <c r="B394">
        <f t="shared" si="30"/>
        <v>2026</v>
      </c>
      <c r="C394">
        <f t="shared" si="31"/>
        <v>1</v>
      </c>
      <c r="D394">
        <f t="shared" si="32"/>
        <v>28</v>
      </c>
      <c r="E394" s="2">
        <f t="shared" si="33"/>
        <v>46022</v>
      </c>
      <c r="F394" s="12">
        <f>_xlfn.XLOOKUP($A394,m1_cv!$B:$B,m1_cv!$C:$C)</f>
        <v>5313</v>
      </c>
      <c r="G394">
        <f>MAX(0,ROUND(SUMIFS(m1_cv!$E:$E,m1_cv!$A:$A,$E394,m1_cv!$B:$B,$A394),0))</f>
        <v>2955</v>
      </c>
      <c r="H394">
        <f>MAX(0,ROUND(SUMIFS(m2_cv!$E:$E,m2_cv!$A:$A,$E394,m2_cv!$B:$B,$A394),0))</f>
        <v>5262</v>
      </c>
      <c r="I394">
        <f>MAX(0,ROUND(SUMIFS(m3_cv!$E:$E,m3_cv!$A:$A,$E394,m3_cv!$B:$B,$A394),0))</f>
        <v>5540</v>
      </c>
      <c r="J394">
        <f>MAX(0,ROUND(SUMIFS(m4_cv!$E:$E,m4_cv!$A:$A,$E394,m4_cv!$B:$B,$A394),0))</f>
        <v>5538</v>
      </c>
      <c r="K394">
        <f>MAX(0,ROUND(SUMIFS(m5_cv!$E:$E,m5_cv!$A:$A,$E394,m5_cv!$B:$B,$A394),0))</f>
        <v>5339</v>
      </c>
      <c r="L394">
        <f>MAX(0,ROUND(SUMIFS(m6_cv!$E:$E,m6_cv!$A:$A,$E394,m6_cv!$B:$B,$A394),0))</f>
        <v>8346</v>
      </c>
      <c r="M394">
        <f>MAX(0,ROUND(SUMIFS(m7_cv!$E:$E,m7_cv!$A:$A,$E394,m7_cv!$B:$B,$A394),0))</f>
        <v>5195</v>
      </c>
      <c r="N394">
        <f>ROUND(_xlfn.XLOOKUP($D394,Charts!$W$86:$W$116,Charts!$X$86:$X$116)*$L394+_xlfn.XLOOKUP($D394,Charts!$W$86:$W$116,Charts!$Y$86:$Y$116)*$M394,0)</f>
        <v>8346</v>
      </c>
      <c r="O394">
        <f>MAX(0,ROUND(SUMIFS(m8_cv!$E:$E,m8_cv!$A:$A,$E394,m8_cv!$B:$B,$A394),0))</f>
        <v>5131</v>
      </c>
    </row>
    <row r="395" spans="1:15" x14ac:dyDescent="0.25">
      <c r="A395" s="3">
        <f t="shared" si="34"/>
        <v>46051</v>
      </c>
      <c r="B395">
        <f t="shared" si="30"/>
        <v>2026</v>
      </c>
      <c r="C395">
        <f t="shared" si="31"/>
        <v>1</v>
      </c>
      <c r="D395">
        <f t="shared" si="32"/>
        <v>29</v>
      </c>
      <c r="E395" s="2">
        <f t="shared" si="33"/>
        <v>46022</v>
      </c>
      <c r="F395" s="12">
        <f>_xlfn.XLOOKUP($A395,m1_cv!$B:$B,m1_cv!$C:$C)</f>
        <v>7326</v>
      </c>
      <c r="G395">
        <f>MAX(0,ROUND(SUMIFS(m1_cv!$E:$E,m1_cv!$A:$A,$E395,m1_cv!$B:$B,$A395),0))</f>
        <v>2950</v>
      </c>
      <c r="H395">
        <f>MAX(0,ROUND(SUMIFS(m2_cv!$E:$E,m2_cv!$A:$A,$E395,m2_cv!$B:$B,$A395),0))</f>
        <v>6328</v>
      </c>
      <c r="I395">
        <f>MAX(0,ROUND(SUMIFS(m3_cv!$E:$E,m3_cv!$A:$A,$E395,m3_cv!$B:$B,$A395),0))</f>
        <v>6656</v>
      </c>
      <c r="J395">
        <f>MAX(0,ROUND(SUMIFS(m4_cv!$E:$E,m4_cv!$A:$A,$E395,m4_cv!$B:$B,$A395),0))</f>
        <v>6653</v>
      </c>
      <c r="K395">
        <f>MAX(0,ROUND(SUMIFS(m5_cv!$E:$E,m5_cv!$A:$A,$E395,m5_cv!$B:$B,$A395),0))</f>
        <v>5401</v>
      </c>
      <c r="L395">
        <f>MAX(0,ROUND(SUMIFS(m6_cv!$E:$E,m6_cv!$A:$A,$E395,m6_cv!$B:$B,$A395),0))</f>
        <v>8207</v>
      </c>
      <c r="M395">
        <f>MAX(0,ROUND(SUMIFS(m7_cv!$E:$E,m7_cv!$A:$A,$E395,m7_cv!$B:$B,$A395),0))</f>
        <v>5623</v>
      </c>
      <c r="N395">
        <f>ROUND(_xlfn.XLOOKUP($D395,Charts!$W$86:$W$116,Charts!$X$86:$X$116)*$L395+_xlfn.XLOOKUP($D395,Charts!$W$86:$W$116,Charts!$Y$86:$Y$116)*$M395,0)</f>
        <v>5623</v>
      </c>
      <c r="O395">
        <f>MAX(0,ROUND(SUMIFS(m8_cv!$E:$E,m8_cv!$A:$A,$E395,m8_cv!$B:$B,$A395),0))</f>
        <v>5640</v>
      </c>
    </row>
    <row r="396" spans="1:15" x14ac:dyDescent="0.25">
      <c r="A396" s="3">
        <f t="shared" si="34"/>
        <v>46052</v>
      </c>
      <c r="B396">
        <f t="shared" si="30"/>
        <v>2026</v>
      </c>
      <c r="C396">
        <f t="shared" si="31"/>
        <v>1</v>
      </c>
      <c r="D396">
        <f t="shared" si="32"/>
        <v>30</v>
      </c>
      <c r="E396" s="2">
        <f t="shared" si="33"/>
        <v>46022</v>
      </c>
      <c r="F396" s="12">
        <f>_xlfn.XLOOKUP($A396,m1_cv!$B:$B,m1_cv!$C:$C)</f>
        <v>10276</v>
      </c>
      <c r="G396">
        <f>MAX(0,ROUND(SUMIFS(m1_cv!$E:$E,m1_cv!$A:$A,$E396,m1_cv!$B:$B,$A396),0))</f>
        <v>2995</v>
      </c>
      <c r="H396">
        <f>MAX(0,ROUND(SUMIFS(m2_cv!$E:$E,m2_cv!$A:$A,$E396,m2_cv!$B:$B,$A396),0))</f>
        <v>6588</v>
      </c>
      <c r="I396">
        <f>MAX(0,ROUND(SUMIFS(m3_cv!$E:$E,m3_cv!$A:$A,$E396,m3_cv!$B:$B,$A396),0))</f>
        <v>6962</v>
      </c>
      <c r="J396">
        <f>MAX(0,ROUND(SUMIFS(m4_cv!$E:$E,m4_cv!$A:$A,$E396,m4_cv!$B:$B,$A396),0))</f>
        <v>6959</v>
      </c>
      <c r="K396">
        <f>MAX(0,ROUND(SUMIFS(m5_cv!$E:$E,m5_cv!$A:$A,$E396,m5_cv!$B:$B,$A396),0))</f>
        <v>7514</v>
      </c>
      <c r="L396">
        <f>MAX(0,ROUND(SUMIFS(m6_cv!$E:$E,m6_cv!$A:$A,$E396,m6_cv!$B:$B,$A396),0))</f>
        <v>13816</v>
      </c>
      <c r="M396">
        <f>MAX(0,ROUND(SUMIFS(m7_cv!$E:$E,m7_cv!$A:$A,$E396,m7_cv!$B:$B,$A396),0))</f>
        <v>7669</v>
      </c>
      <c r="N396">
        <f>ROUND(_xlfn.XLOOKUP($D396,Charts!$W$86:$W$116,Charts!$X$86:$X$116)*$L396+_xlfn.XLOOKUP($D396,Charts!$W$86:$W$116,Charts!$Y$86:$Y$116)*$M396,0)</f>
        <v>7669</v>
      </c>
      <c r="O396">
        <f>MAX(0,ROUND(SUMIFS(m8_cv!$E:$E,m8_cv!$A:$A,$E396,m8_cv!$B:$B,$A396),0))</f>
        <v>7593</v>
      </c>
    </row>
    <row r="397" spans="1:15" x14ac:dyDescent="0.25">
      <c r="A397" s="3">
        <f t="shared" si="34"/>
        <v>46053</v>
      </c>
      <c r="B397">
        <f t="shared" si="30"/>
        <v>2026</v>
      </c>
      <c r="C397">
        <f t="shared" si="31"/>
        <v>1</v>
      </c>
      <c r="D397">
        <f t="shared" si="32"/>
        <v>31</v>
      </c>
      <c r="E397" s="2">
        <f t="shared" si="33"/>
        <v>46022</v>
      </c>
      <c r="F397" s="12">
        <f>_xlfn.XLOOKUP($A397,m1_cv!$B:$B,m1_cv!$C:$C)</f>
        <v>7991</v>
      </c>
      <c r="G397">
        <f>MAX(0,ROUND(SUMIFS(m1_cv!$E:$E,m1_cv!$A:$A,$E397,m1_cv!$B:$B,$A397),0))</f>
        <v>719</v>
      </c>
      <c r="H397">
        <f>MAX(0,ROUND(SUMIFS(m2_cv!$E:$E,m2_cv!$A:$A,$E397,m2_cv!$B:$B,$A397),0))</f>
        <v>3359</v>
      </c>
      <c r="I397">
        <f>MAX(0,ROUND(SUMIFS(m3_cv!$E:$E,m3_cv!$A:$A,$E397,m3_cv!$B:$B,$A397),0))</f>
        <v>3810</v>
      </c>
      <c r="J397">
        <f>MAX(0,ROUND(SUMIFS(m4_cv!$E:$E,m4_cv!$A:$A,$E397,m4_cv!$B:$B,$A397),0))</f>
        <v>3808</v>
      </c>
      <c r="K397">
        <f>MAX(0,ROUND(SUMIFS(m5_cv!$E:$E,m5_cv!$A:$A,$E397,m5_cv!$B:$B,$A397),0))</f>
        <v>7093</v>
      </c>
      <c r="L397">
        <f>MAX(0,ROUND(SUMIFS(m6_cv!$E:$E,m6_cv!$A:$A,$E397,m6_cv!$B:$B,$A397),0))</f>
        <v>3283</v>
      </c>
      <c r="M397">
        <f>MAX(0,ROUND(SUMIFS(m7_cv!$E:$E,m7_cv!$A:$A,$E397,m7_cv!$B:$B,$A397),0))</f>
        <v>6971</v>
      </c>
      <c r="N397">
        <f>ROUND(_xlfn.XLOOKUP($D397,Charts!$W$86:$W$116,Charts!$X$86:$X$116)*$L397+_xlfn.XLOOKUP($D397,Charts!$W$86:$W$116,Charts!$Y$86:$Y$116)*$M397,0)</f>
        <v>6971</v>
      </c>
      <c r="O397">
        <f>MAX(0,ROUND(SUMIFS(m8_cv!$E:$E,m8_cv!$A:$A,$E397,m8_cv!$B:$B,$A397),0))</f>
        <v>6921</v>
      </c>
    </row>
    <row r="398" spans="1:15" x14ac:dyDescent="0.25">
      <c r="A398" s="3">
        <f t="shared" si="34"/>
        <v>46054</v>
      </c>
      <c r="B398">
        <f t="shared" si="30"/>
        <v>2026</v>
      </c>
      <c r="C398">
        <f t="shared" si="31"/>
        <v>2</v>
      </c>
      <c r="D398">
        <f t="shared" si="32"/>
        <v>1</v>
      </c>
      <c r="E398" s="2">
        <f t="shared" si="33"/>
        <v>46053</v>
      </c>
      <c r="F398" s="12">
        <f>_xlfn.XLOOKUP($A398,m1_cv!$B:$B,m1_cv!$C:$C)</f>
        <v>26</v>
      </c>
      <c r="G398">
        <f>MAX(0,ROUND(SUMIFS(m1_cv!$E:$E,m1_cv!$A:$A,$E398,m1_cv!$B:$B,$A398),0))</f>
        <v>486</v>
      </c>
      <c r="H398">
        <f>MAX(0,ROUND(SUMIFS(m2_cv!$E:$E,m2_cv!$A:$A,$E398,m2_cv!$B:$B,$A398),0))</f>
        <v>1194</v>
      </c>
      <c r="I398">
        <f>MAX(0,ROUND(SUMIFS(m3_cv!$E:$E,m3_cv!$A:$A,$E398,m3_cv!$B:$B,$A398),0))</f>
        <v>0</v>
      </c>
      <c r="J398">
        <f>MAX(0,ROUND(SUMIFS(m4_cv!$E:$E,m4_cv!$A:$A,$E398,m4_cv!$B:$B,$A398),0))</f>
        <v>0</v>
      </c>
      <c r="K398">
        <f>MAX(0,ROUND(SUMIFS(m5_cv!$E:$E,m5_cv!$A:$A,$E398,m5_cv!$B:$B,$A398),0))</f>
        <v>0</v>
      </c>
      <c r="L398">
        <f>MAX(0,ROUND(SUMIFS(m6_cv!$E:$E,m6_cv!$A:$A,$E398,m6_cv!$B:$B,$A398),0))</f>
        <v>6</v>
      </c>
      <c r="M398">
        <f>MAX(0,ROUND(SUMIFS(m7_cv!$E:$E,m7_cv!$A:$A,$E398,m7_cv!$B:$B,$A398),0))</f>
        <v>0</v>
      </c>
      <c r="N398">
        <f>ROUND(_xlfn.XLOOKUP($D398,Charts!$W$86:$W$116,Charts!$X$86:$X$116)*$L398+_xlfn.XLOOKUP($D398,Charts!$W$86:$W$116,Charts!$Y$86:$Y$116)*$M398,0)</f>
        <v>6</v>
      </c>
      <c r="O398">
        <f>MAX(0,ROUND(SUMIFS(m8_cv!$E:$E,m8_cv!$A:$A,$E398,m8_cv!$B:$B,$A398),0))</f>
        <v>0</v>
      </c>
    </row>
    <row r="399" spans="1:15" x14ac:dyDescent="0.25">
      <c r="A399" s="3">
        <f t="shared" si="34"/>
        <v>46055</v>
      </c>
      <c r="B399">
        <f t="shared" si="30"/>
        <v>2026</v>
      </c>
      <c r="C399">
        <f t="shared" si="31"/>
        <v>2</v>
      </c>
      <c r="D399">
        <f t="shared" si="32"/>
        <v>2</v>
      </c>
      <c r="E399" s="2">
        <f t="shared" si="33"/>
        <v>46053</v>
      </c>
      <c r="F399" s="12">
        <f>_xlfn.XLOOKUP($A399,m1_cv!$B:$B,m1_cv!$C:$C)</f>
        <v>134</v>
      </c>
      <c r="G399">
        <f>MAX(0,ROUND(SUMIFS(m1_cv!$E:$E,m1_cv!$A:$A,$E399,m1_cv!$B:$B,$A399),0))</f>
        <v>2790</v>
      </c>
      <c r="H399">
        <f>MAX(0,ROUND(SUMIFS(m2_cv!$E:$E,m2_cv!$A:$A,$E399,m2_cv!$B:$B,$A399),0))</f>
        <v>1744</v>
      </c>
      <c r="I399">
        <f>MAX(0,ROUND(SUMIFS(m3_cv!$E:$E,m3_cv!$A:$A,$E399,m3_cv!$B:$B,$A399),0))</f>
        <v>617</v>
      </c>
      <c r="J399">
        <f>MAX(0,ROUND(SUMIFS(m4_cv!$E:$E,m4_cv!$A:$A,$E399,m4_cv!$B:$B,$A399),0))</f>
        <v>614</v>
      </c>
      <c r="K399">
        <f>MAX(0,ROUND(SUMIFS(m5_cv!$E:$E,m5_cv!$A:$A,$E399,m5_cv!$B:$B,$A399),0))</f>
        <v>0</v>
      </c>
      <c r="L399">
        <f>MAX(0,ROUND(SUMIFS(m6_cv!$E:$E,m6_cv!$A:$A,$E399,m6_cv!$B:$B,$A399),0))</f>
        <v>53</v>
      </c>
      <c r="M399">
        <f>MAX(0,ROUND(SUMIFS(m7_cv!$E:$E,m7_cv!$A:$A,$E399,m7_cv!$B:$B,$A399),0))</f>
        <v>0</v>
      </c>
      <c r="N399">
        <f>ROUND(_xlfn.XLOOKUP($D399,Charts!$W$86:$W$116,Charts!$X$86:$X$116)*$L399+_xlfn.XLOOKUP($D399,Charts!$W$86:$W$116,Charts!$Y$86:$Y$116)*$M399,0)</f>
        <v>53</v>
      </c>
      <c r="O399">
        <f>MAX(0,ROUND(SUMIFS(m8_cv!$E:$E,m8_cv!$A:$A,$E399,m8_cv!$B:$B,$A399),0))</f>
        <v>0</v>
      </c>
    </row>
    <row r="400" spans="1:15" x14ac:dyDescent="0.25">
      <c r="A400" s="3">
        <f t="shared" si="34"/>
        <v>46056</v>
      </c>
      <c r="B400">
        <f t="shared" si="30"/>
        <v>2026</v>
      </c>
      <c r="C400">
        <f t="shared" si="31"/>
        <v>2</v>
      </c>
      <c r="D400">
        <f t="shared" si="32"/>
        <v>3</v>
      </c>
      <c r="E400" s="2">
        <f t="shared" si="33"/>
        <v>46053</v>
      </c>
      <c r="F400" s="12">
        <f>_xlfn.XLOOKUP($A400,m1_cv!$B:$B,m1_cv!$C:$C)</f>
        <v>521</v>
      </c>
      <c r="G400">
        <f>MAX(0,ROUND(SUMIFS(m1_cv!$E:$E,m1_cv!$A:$A,$E400,m1_cv!$B:$B,$A400),0))</f>
        <v>3332</v>
      </c>
      <c r="H400">
        <f>MAX(0,ROUND(SUMIFS(m2_cv!$E:$E,m2_cv!$A:$A,$E400,m2_cv!$B:$B,$A400),0))</f>
        <v>1240</v>
      </c>
      <c r="I400">
        <f>MAX(0,ROUND(SUMIFS(m3_cv!$E:$E,m3_cv!$A:$A,$E400,m3_cv!$B:$B,$A400),0))</f>
        <v>0</v>
      </c>
      <c r="J400">
        <f>MAX(0,ROUND(SUMIFS(m4_cv!$E:$E,m4_cv!$A:$A,$E400,m4_cv!$B:$B,$A400),0))</f>
        <v>0</v>
      </c>
      <c r="K400">
        <f>MAX(0,ROUND(SUMIFS(m5_cv!$E:$E,m5_cv!$A:$A,$E400,m5_cv!$B:$B,$A400),0))</f>
        <v>0</v>
      </c>
      <c r="L400">
        <f>MAX(0,ROUND(SUMIFS(m6_cv!$E:$E,m6_cv!$A:$A,$E400,m6_cv!$B:$B,$A400),0))</f>
        <v>96</v>
      </c>
      <c r="M400">
        <f>MAX(0,ROUND(SUMIFS(m7_cv!$E:$E,m7_cv!$A:$A,$E400,m7_cv!$B:$B,$A400),0))</f>
        <v>0</v>
      </c>
      <c r="N400">
        <f>ROUND(_xlfn.XLOOKUP($D400,Charts!$W$86:$W$116,Charts!$X$86:$X$116)*$L400+_xlfn.XLOOKUP($D400,Charts!$W$86:$W$116,Charts!$Y$86:$Y$116)*$M400,0)</f>
        <v>96</v>
      </c>
      <c r="O400">
        <f>MAX(0,ROUND(SUMIFS(m8_cv!$E:$E,m8_cv!$A:$A,$E400,m8_cv!$B:$B,$A400),0))</f>
        <v>7</v>
      </c>
    </row>
    <row r="401" spans="1:15" x14ac:dyDescent="0.25">
      <c r="A401" s="3">
        <f t="shared" si="34"/>
        <v>46057</v>
      </c>
      <c r="B401">
        <f t="shared" si="30"/>
        <v>2026</v>
      </c>
      <c r="C401">
        <f t="shared" si="31"/>
        <v>2</v>
      </c>
      <c r="D401">
        <f t="shared" si="32"/>
        <v>4</v>
      </c>
      <c r="E401" s="2">
        <f t="shared" si="33"/>
        <v>46053</v>
      </c>
      <c r="F401" s="12">
        <f>_xlfn.XLOOKUP($A401,m1_cv!$B:$B,m1_cv!$C:$C)</f>
        <v>696</v>
      </c>
      <c r="G401">
        <f>MAX(0,ROUND(SUMIFS(m1_cv!$E:$E,m1_cv!$A:$A,$E401,m1_cv!$B:$B,$A401),0))</f>
        <v>3390</v>
      </c>
      <c r="H401">
        <f>MAX(0,ROUND(SUMIFS(m2_cv!$E:$E,m2_cv!$A:$A,$E401,m2_cv!$B:$B,$A401),0))</f>
        <v>1179</v>
      </c>
      <c r="I401">
        <f>MAX(0,ROUND(SUMIFS(m3_cv!$E:$E,m3_cv!$A:$A,$E401,m3_cv!$B:$B,$A401),0))</f>
        <v>1615</v>
      </c>
      <c r="J401">
        <f>MAX(0,ROUND(SUMIFS(m4_cv!$E:$E,m4_cv!$A:$A,$E401,m4_cv!$B:$B,$A401),0))</f>
        <v>1612</v>
      </c>
      <c r="K401">
        <f>MAX(0,ROUND(SUMIFS(m5_cv!$E:$E,m5_cv!$A:$A,$E401,m5_cv!$B:$B,$A401),0))</f>
        <v>1828</v>
      </c>
      <c r="L401">
        <f>MAX(0,ROUND(SUMIFS(m6_cv!$E:$E,m6_cv!$A:$A,$E401,m6_cv!$B:$B,$A401),0))</f>
        <v>955</v>
      </c>
      <c r="M401">
        <f>MAX(0,ROUND(SUMIFS(m7_cv!$E:$E,m7_cv!$A:$A,$E401,m7_cv!$B:$B,$A401),0))</f>
        <v>1800</v>
      </c>
      <c r="N401">
        <f>ROUND(_xlfn.XLOOKUP($D401,Charts!$W$86:$W$116,Charts!$X$86:$X$116)*$L401+_xlfn.XLOOKUP($D401,Charts!$W$86:$W$116,Charts!$Y$86:$Y$116)*$M401,0)</f>
        <v>955</v>
      </c>
      <c r="O401">
        <f>MAX(0,ROUND(SUMIFS(m8_cv!$E:$E,m8_cv!$A:$A,$E401,m8_cv!$B:$B,$A401),0))</f>
        <v>1865</v>
      </c>
    </row>
    <row r="402" spans="1:15" x14ac:dyDescent="0.25">
      <c r="A402" s="3">
        <f t="shared" si="34"/>
        <v>46058</v>
      </c>
      <c r="B402">
        <f t="shared" si="30"/>
        <v>2026</v>
      </c>
      <c r="C402">
        <f t="shared" si="31"/>
        <v>2</v>
      </c>
      <c r="D402">
        <f t="shared" si="32"/>
        <v>5</v>
      </c>
      <c r="E402" s="2">
        <f t="shared" si="33"/>
        <v>46053</v>
      </c>
      <c r="F402" s="12">
        <f>_xlfn.XLOOKUP($A402,m1_cv!$B:$B,m1_cv!$C:$C)</f>
        <v>1038</v>
      </c>
      <c r="G402">
        <f>MAX(0,ROUND(SUMIFS(m1_cv!$E:$E,m1_cv!$A:$A,$E402,m1_cv!$B:$B,$A402),0))</f>
        <v>3375</v>
      </c>
      <c r="H402">
        <f>MAX(0,ROUND(SUMIFS(m2_cv!$E:$E,m2_cv!$A:$A,$E402,m2_cv!$B:$B,$A402),0))</f>
        <v>1557</v>
      </c>
      <c r="I402">
        <f>MAX(0,ROUND(SUMIFS(m3_cv!$E:$E,m3_cv!$A:$A,$E402,m3_cv!$B:$B,$A402),0))</f>
        <v>1988</v>
      </c>
      <c r="J402">
        <f>MAX(0,ROUND(SUMIFS(m4_cv!$E:$E,m4_cv!$A:$A,$E402,m4_cv!$B:$B,$A402),0))</f>
        <v>1984</v>
      </c>
      <c r="K402">
        <f>MAX(0,ROUND(SUMIFS(m5_cv!$E:$E,m5_cv!$A:$A,$E402,m5_cv!$B:$B,$A402),0))</f>
        <v>1987</v>
      </c>
      <c r="L402">
        <f>MAX(0,ROUND(SUMIFS(m6_cv!$E:$E,m6_cv!$A:$A,$E402,m6_cv!$B:$B,$A402),0))</f>
        <v>1071</v>
      </c>
      <c r="M402">
        <f>MAX(0,ROUND(SUMIFS(m7_cv!$E:$E,m7_cv!$A:$A,$E402,m7_cv!$B:$B,$A402),0))</f>
        <v>1873</v>
      </c>
      <c r="N402">
        <f>ROUND(_xlfn.XLOOKUP($D402,Charts!$W$86:$W$116,Charts!$X$86:$X$116)*$L402+_xlfn.XLOOKUP($D402,Charts!$W$86:$W$116,Charts!$Y$86:$Y$116)*$M402,0)</f>
        <v>1231</v>
      </c>
      <c r="O402">
        <f>MAX(0,ROUND(SUMIFS(m8_cv!$E:$E,m8_cv!$A:$A,$E402,m8_cv!$B:$B,$A402),0))</f>
        <v>1945</v>
      </c>
    </row>
    <row r="403" spans="1:15" x14ac:dyDescent="0.25">
      <c r="A403" s="3">
        <f t="shared" si="34"/>
        <v>46059</v>
      </c>
      <c r="B403">
        <f t="shared" si="30"/>
        <v>2026</v>
      </c>
      <c r="C403">
        <f t="shared" si="31"/>
        <v>2</v>
      </c>
      <c r="D403">
        <f t="shared" si="32"/>
        <v>6</v>
      </c>
      <c r="E403" s="2">
        <f t="shared" si="33"/>
        <v>46053</v>
      </c>
      <c r="F403" s="12">
        <f>_xlfn.XLOOKUP($A403,m1_cv!$B:$B,m1_cv!$C:$C)</f>
        <v>1414</v>
      </c>
      <c r="G403">
        <f>MAX(0,ROUND(SUMIFS(m1_cv!$E:$E,m1_cv!$A:$A,$E403,m1_cv!$B:$B,$A403),0))</f>
        <v>3404</v>
      </c>
      <c r="H403">
        <f>MAX(0,ROUND(SUMIFS(m2_cv!$E:$E,m2_cv!$A:$A,$E403,m2_cv!$B:$B,$A403),0))</f>
        <v>1950</v>
      </c>
      <c r="I403">
        <f>MAX(0,ROUND(SUMIFS(m3_cv!$E:$E,m3_cv!$A:$A,$E403,m3_cv!$B:$B,$A403),0))</f>
        <v>2291</v>
      </c>
      <c r="J403">
        <f>MAX(0,ROUND(SUMIFS(m4_cv!$E:$E,m4_cv!$A:$A,$E403,m4_cv!$B:$B,$A403),0))</f>
        <v>2288</v>
      </c>
      <c r="K403">
        <f>MAX(0,ROUND(SUMIFS(m5_cv!$E:$E,m5_cv!$A:$A,$E403,m5_cv!$B:$B,$A403),0))</f>
        <v>1951</v>
      </c>
      <c r="L403">
        <f>MAX(0,ROUND(SUMIFS(m6_cv!$E:$E,m6_cv!$A:$A,$E403,m6_cv!$B:$B,$A403),0))</f>
        <v>1044</v>
      </c>
      <c r="M403">
        <f>MAX(0,ROUND(SUMIFS(m7_cv!$E:$E,m7_cv!$A:$A,$E403,m7_cv!$B:$B,$A403),0))</f>
        <v>1891</v>
      </c>
      <c r="N403">
        <f>ROUND(_xlfn.XLOOKUP($D403,Charts!$W$86:$W$116,Charts!$X$86:$X$116)*$L403+_xlfn.XLOOKUP($D403,Charts!$W$86:$W$116,Charts!$Y$86:$Y$116)*$M403,0)</f>
        <v>1468</v>
      </c>
      <c r="O403">
        <f>MAX(0,ROUND(SUMIFS(m8_cv!$E:$E,m8_cv!$A:$A,$E403,m8_cv!$B:$B,$A403),0))</f>
        <v>1949</v>
      </c>
    </row>
    <row r="404" spans="1:15" x14ac:dyDescent="0.25">
      <c r="A404" s="3">
        <f t="shared" si="34"/>
        <v>46060</v>
      </c>
      <c r="B404">
        <f t="shared" si="30"/>
        <v>2026</v>
      </c>
      <c r="C404">
        <f t="shared" si="31"/>
        <v>2</v>
      </c>
      <c r="D404">
        <f t="shared" si="32"/>
        <v>7</v>
      </c>
      <c r="E404" s="2">
        <f t="shared" si="33"/>
        <v>46053</v>
      </c>
      <c r="F404" s="12">
        <f>_xlfn.XLOOKUP($A404,m1_cv!$B:$B,m1_cv!$C:$C)</f>
        <v>286</v>
      </c>
      <c r="G404">
        <f>MAX(0,ROUND(SUMIFS(m1_cv!$E:$E,m1_cv!$A:$A,$E404,m1_cv!$B:$B,$A404),0))</f>
        <v>1117</v>
      </c>
      <c r="H404">
        <f>MAX(0,ROUND(SUMIFS(m2_cv!$E:$E,m2_cv!$A:$A,$E404,m2_cv!$B:$B,$A404),0))</f>
        <v>0</v>
      </c>
      <c r="I404">
        <f>MAX(0,ROUND(SUMIFS(m3_cv!$E:$E,m3_cv!$A:$A,$E404,m3_cv!$B:$B,$A404),0))</f>
        <v>16</v>
      </c>
      <c r="J404">
        <f>MAX(0,ROUND(SUMIFS(m4_cv!$E:$E,m4_cv!$A:$A,$E404,m4_cv!$B:$B,$A404),0))</f>
        <v>13</v>
      </c>
      <c r="K404">
        <f>MAX(0,ROUND(SUMIFS(m5_cv!$E:$E,m5_cv!$A:$A,$E404,m5_cv!$B:$B,$A404),0))</f>
        <v>0</v>
      </c>
      <c r="L404">
        <f>MAX(0,ROUND(SUMIFS(m6_cv!$E:$E,m6_cv!$A:$A,$E404,m6_cv!$B:$B,$A404),0))</f>
        <v>169</v>
      </c>
      <c r="M404">
        <f>MAX(0,ROUND(SUMIFS(m7_cv!$E:$E,m7_cv!$A:$A,$E404,m7_cv!$B:$B,$A404),0))</f>
        <v>0</v>
      </c>
      <c r="N404">
        <f>ROUND(_xlfn.XLOOKUP($D404,Charts!$W$86:$W$116,Charts!$X$86:$X$116)*$L404+_xlfn.XLOOKUP($D404,Charts!$W$86:$W$116,Charts!$Y$86:$Y$116)*$M404,0)</f>
        <v>85</v>
      </c>
      <c r="O404">
        <f>MAX(0,ROUND(SUMIFS(m8_cv!$E:$E,m8_cv!$A:$A,$E404,m8_cv!$B:$B,$A404),0))</f>
        <v>0</v>
      </c>
    </row>
    <row r="405" spans="1:15" x14ac:dyDescent="0.25">
      <c r="A405" s="3">
        <f t="shared" si="34"/>
        <v>46061</v>
      </c>
      <c r="B405">
        <f t="shared" si="30"/>
        <v>2026</v>
      </c>
      <c r="C405">
        <f t="shared" si="31"/>
        <v>2</v>
      </c>
      <c r="D405">
        <f t="shared" si="32"/>
        <v>8</v>
      </c>
      <c r="E405" s="2">
        <f t="shared" si="33"/>
        <v>46053</v>
      </c>
      <c r="F405" s="12">
        <f>_xlfn.XLOOKUP($A405,m1_cv!$B:$B,m1_cv!$C:$C)</f>
        <v>82</v>
      </c>
      <c r="G405">
        <f>MAX(0,ROUND(SUMIFS(m1_cv!$E:$E,m1_cv!$A:$A,$E405,m1_cv!$B:$B,$A405),0))</f>
        <v>491</v>
      </c>
      <c r="H405">
        <f>MAX(0,ROUND(SUMIFS(m2_cv!$E:$E,m2_cv!$A:$A,$E405,m2_cv!$B:$B,$A405),0))</f>
        <v>0</v>
      </c>
      <c r="I405">
        <f>MAX(0,ROUND(SUMIFS(m3_cv!$E:$E,m3_cv!$A:$A,$E405,m3_cv!$B:$B,$A405),0))</f>
        <v>0</v>
      </c>
      <c r="J405">
        <f>MAX(0,ROUND(SUMIFS(m4_cv!$E:$E,m4_cv!$A:$A,$E405,m4_cv!$B:$B,$A405),0))</f>
        <v>0</v>
      </c>
      <c r="K405">
        <f>MAX(0,ROUND(SUMIFS(m5_cv!$E:$E,m5_cv!$A:$A,$E405,m5_cv!$B:$B,$A405),0))</f>
        <v>0</v>
      </c>
      <c r="L405">
        <f>MAX(0,ROUND(SUMIFS(m6_cv!$E:$E,m6_cv!$A:$A,$E405,m6_cv!$B:$B,$A405),0))</f>
        <v>102</v>
      </c>
      <c r="M405">
        <f>MAX(0,ROUND(SUMIFS(m7_cv!$E:$E,m7_cv!$A:$A,$E405,m7_cv!$B:$B,$A405),0))</f>
        <v>0</v>
      </c>
      <c r="N405">
        <f>ROUND(_xlfn.XLOOKUP($D405,Charts!$W$86:$W$116,Charts!$X$86:$X$116)*$L405+_xlfn.XLOOKUP($D405,Charts!$W$86:$W$116,Charts!$Y$86:$Y$116)*$M405,0)</f>
        <v>51</v>
      </c>
      <c r="O405">
        <f>MAX(0,ROUND(SUMIFS(m8_cv!$E:$E,m8_cv!$A:$A,$E405,m8_cv!$B:$B,$A405),0))</f>
        <v>0</v>
      </c>
    </row>
    <row r="406" spans="1:15" x14ac:dyDescent="0.25">
      <c r="A406" s="3">
        <f t="shared" si="34"/>
        <v>46062</v>
      </c>
      <c r="B406">
        <f t="shared" si="30"/>
        <v>2026</v>
      </c>
      <c r="C406">
        <f t="shared" si="31"/>
        <v>2</v>
      </c>
      <c r="D406">
        <f t="shared" si="32"/>
        <v>9</v>
      </c>
      <c r="E406" s="2">
        <f t="shared" si="33"/>
        <v>46053</v>
      </c>
      <c r="F406" s="12">
        <f>_xlfn.XLOOKUP($A406,m1_cv!$B:$B,m1_cv!$C:$C)</f>
        <v>1902</v>
      </c>
      <c r="G406">
        <f>MAX(0,ROUND(SUMIFS(m1_cv!$E:$E,m1_cv!$A:$A,$E406,m1_cv!$B:$B,$A406),0))</f>
        <v>2766</v>
      </c>
      <c r="H406">
        <f>MAX(0,ROUND(SUMIFS(m2_cv!$E:$E,m2_cv!$A:$A,$E406,m2_cv!$B:$B,$A406),0))</f>
        <v>1355</v>
      </c>
      <c r="I406">
        <f>MAX(0,ROUND(SUMIFS(m3_cv!$E:$E,m3_cv!$A:$A,$E406,m3_cv!$B:$B,$A406),0))</f>
        <v>1796</v>
      </c>
      <c r="J406">
        <f>MAX(0,ROUND(SUMIFS(m4_cv!$E:$E,m4_cv!$A:$A,$E406,m4_cv!$B:$B,$A406),0))</f>
        <v>1794</v>
      </c>
      <c r="K406">
        <f>MAX(0,ROUND(SUMIFS(m5_cv!$E:$E,m5_cv!$A:$A,$E406,m5_cv!$B:$B,$A406),0))</f>
        <v>1870</v>
      </c>
      <c r="L406">
        <f>MAX(0,ROUND(SUMIFS(m6_cv!$E:$E,m6_cv!$A:$A,$E406,m6_cv!$B:$B,$A406),0))</f>
        <v>1203</v>
      </c>
      <c r="M406">
        <f>MAX(0,ROUND(SUMIFS(m7_cv!$E:$E,m7_cv!$A:$A,$E406,m7_cv!$B:$B,$A406),0))</f>
        <v>1866</v>
      </c>
      <c r="N406">
        <f>ROUND(_xlfn.XLOOKUP($D406,Charts!$W$86:$W$116,Charts!$X$86:$X$116)*$L406+_xlfn.XLOOKUP($D406,Charts!$W$86:$W$116,Charts!$Y$86:$Y$116)*$M406,0)</f>
        <v>1535</v>
      </c>
      <c r="O406">
        <f>MAX(0,ROUND(SUMIFS(m8_cv!$E:$E,m8_cv!$A:$A,$E406,m8_cv!$B:$B,$A406),0))</f>
        <v>2001</v>
      </c>
    </row>
    <row r="407" spans="1:15" x14ac:dyDescent="0.25">
      <c r="A407" s="3">
        <f t="shared" si="34"/>
        <v>46063</v>
      </c>
      <c r="B407">
        <f t="shared" si="30"/>
        <v>2026</v>
      </c>
      <c r="C407">
        <f t="shared" si="31"/>
        <v>2</v>
      </c>
      <c r="D407">
        <f t="shared" si="32"/>
        <v>10</v>
      </c>
      <c r="E407" s="2">
        <f t="shared" si="33"/>
        <v>46053</v>
      </c>
      <c r="F407" s="12">
        <f>_xlfn.XLOOKUP($A407,m1_cv!$B:$B,m1_cv!$C:$C)</f>
        <v>2288</v>
      </c>
      <c r="G407">
        <f>MAX(0,ROUND(SUMIFS(m1_cv!$E:$E,m1_cv!$A:$A,$E407,m1_cv!$B:$B,$A407),0))</f>
        <v>3281</v>
      </c>
      <c r="H407">
        <f>MAX(0,ROUND(SUMIFS(m2_cv!$E:$E,m2_cv!$A:$A,$E407,m2_cv!$B:$B,$A407),0))</f>
        <v>2065</v>
      </c>
      <c r="I407">
        <f>MAX(0,ROUND(SUMIFS(m3_cv!$E:$E,m3_cv!$A:$A,$E407,m3_cv!$B:$B,$A407),0))</f>
        <v>2313</v>
      </c>
      <c r="J407">
        <f>MAX(0,ROUND(SUMIFS(m4_cv!$E:$E,m4_cv!$A:$A,$E407,m4_cv!$B:$B,$A407),0))</f>
        <v>2312</v>
      </c>
      <c r="K407">
        <f>MAX(0,ROUND(SUMIFS(m5_cv!$E:$E,m5_cv!$A:$A,$E407,m5_cv!$B:$B,$A407),0))</f>
        <v>2284</v>
      </c>
      <c r="L407">
        <f>MAX(0,ROUND(SUMIFS(m6_cv!$E:$E,m6_cv!$A:$A,$E407,m6_cv!$B:$B,$A407),0))</f>
        <v>1503</v>
      </c>
      <c r="M407">
        <f>MAX(0,ROUND(SUMIFS(m7_cv!$E:$E,m7_cv!$A:$A,$E407,m7_cv!$B:$B,$A407),0))</f>
        <v>2216</v>
      </c>
      <c r="N407">
        <f>ROUND(_xlfn.XLOOKUP($D407,Charts!$W$86:$W$116,Charts!$X$86:$X$116)*$L407+_xlfn.XLOOKUP($D407,Charts!$W$86:$W$116,Charts!$Y$86:$Y$116)*$M407,0)</f>
        <v>1860</v>
      </c>
      <c r="O407">
        <f>MAX(0,ROUND(SUMIFS(m8_cv!$E:$E,m8_cv!$A:$A,$E407,m8_cv!$B:$B,$A407),0))</f>
        <v>2331</v>
      </c>
    </row>
    <row r="408" spans="1:15" x14ac:dyDescent="0.25">
      <c r="A408" s="3">
        <f t="shared" si="34"/>
        <v>46064</v>
      </c>
      <c r="B408">
        <f t="shared" si="30"/>
        <v>2026</v>
      </c>
      <c r="C408">
        <f t="shared" si="31"/>
        <v>2</v>
      </c>
      <c r="D408">
        <f t="shared" si="32"/>
        <v>11</v>
      </c>
      <c r="E408" s="2">
        <f t="shared" si="33"/>
        <v>46053</v>
      </c>
      <c r="F408" s="12">
        <f>_xlfn.XLOOKUP($A408,m1_cv!$B:$B,m1_cv!$C:$C)</f>
        <v>2663</v>
      </c>
      <c r="G408">
        <f>MAX(0,ROUND(SUMIFS(m1_cv!$E:$E,m1_cv!$A:$A,$E408,m1_cv!$B:$B,$A408),0))</f>
        <v>3318</v>
      </c>
      <c r="H408">
        <f>MAX(0,ROUND(SUMIFS(m2_cv!$E:$E,m2_cv!$A:$A,$E408,m2_cv!$B:$B,$A408),0))</f>
        <v>2377</v>
      </c>
      <c r="I408">
        <f>MAX(0,ROUND(SUMIFS(m3_cv!$E:$E,m3_cv!$A:$A,$E408,m3_cv!$B:$B,$A408),0))</f>
        <v>2697</v>
      </c>
      <c r="J408">
        <f>MAX(0,ROUND(SUMIFS(m4_cv!$E:$E,m4_cv!$A:$A,$E408,m4_cv!$B:$B,$A408),0))</f>
        <v>2694</v>
      </c>
      <c r="K408">
        <f>MAX(0,ROUND(SUMIFS(m5_cv!$E:$E,m5_cv!$A:$A,$E408,m5_cv!$B:$B,$A408),0))</f>
        <v>2489</v>
      </c>
      <c r="L408">
        <f>MAX(0,ROUND(SUMIFS(m6_cv!$E:$E,m6_cv!$A:$A,$E408,m6_cv!$B:$B,$A408),0))</f>
        <v>1719</v>
      </c>
      <c r="M408">
        <f>MAX(0,ROUND(SUMIFS(m7_cv!$E:$E,m7_cv!$A:$A,$E408,m7_cv!$B:$B,$A408),0))</f>
        <v>2442</v>
      </c>
      <c r="N408">
        <f>ROUND(_xlfn.XLOOKUP($D408,Charts!$W$86:$W$116,Charts!$X$86:$X$116)*$L408+_xlfn.XLOOKUP($D408,Charts!$W$86:$W$116,Charts!$Y$86:$Y$116)*$M408,0)</f>
        <v>2225</v>
      </c>
      <c r="O408">
        <f>MAX(0,ROUND(SUMIFS(m8_cv!$E:$E,m8_cv!$A:$A,$E408,m8_cv!$B:$B,$A408),0))</f>
        <v>2549</v>
      </c>
    </row>
    <row r="409" spans="1:15" x14ac:dyDescent="0.25">
      <c r="A409" s="3">
        <f t="shared" si="34"/>
        <v>46065</v>
      </c>
      <c r="B409">
        <f t="shared" si="30"/>
        <v>2026</v>
      </c>
      <c r="C409">
        <f t="shared" si="31"/>
        <v>2</v>
      </c>
      <c r="D409">
        <f t="shared" si="32"/>
        <v>12</v>
      </c>
      <c r="E409" s="2">
        <f t="shared" si="33"/>
        <v>46053</v>
      </c>
      <c r="F409" s="12">
        <f>_xlfn.XLOOKUP($A409,m1_cv!$B:$B,m1_cv!$C:$C)</f>
        <v>3108</v>
      </c>
      <c r="G409">
        <f>MAX(0,ROUND(SUMIFS(m1_cv!$E:$E,m1_cv!$A:$A,$E409,m1_cv!$B:$B,$A409),0))</f>
        <v>3285</v>
      </c>
      <c r="H409">
        <f>MAX(0,ROUND(SUMIFS(m2_cv!$E:$E,m2_cv!$A:$A,$E409,m2_cv!$B:$B,$A409),0))</f>
        <v>2489</v>
      </c>
      <c r="I409">
        <f>MAX(0,ROUND(SUMIFS(m3_cv!$E:$E,m3_cv!$A:$A,$E409,m3_cv!$B:$B,$A409),0))</f>
        <v>2820</v>
      </c>
      <c r="J409">
        <f>MAX(0,ROUND(SUMIFS(m4_cv!$E:$E,m4_cv!$A:$A,$E409,m4_cv!$B:$B,$A409),0))</f>
        <v>2817</v>
      </c>
      <c r="K409">
        <f>MAX(0,ROUND(SUMIFS(m5_cv!$E:$E,m5_cv!$A:$A,$E409,m5_cv!$B:$B,$A409),0))</f>
        <v>2543</v>
      </c>
      <c r="L409">
        <f>MAX(0,ROUND(SUMIFS(m6_cv!$E:$E,m6_cv!$A:$A,$E409,m6_cv!$B:$B,$A409),0))</f>
        <v>2004</v>
      </c>
      <c r="M409">
        <f>MAX(0,ROUND(SUMIFS(m7_cv!$E:$E,m7_cv!$A:$A,$E409,m7_cv!$B:$B,$A409),0))</f>
        <v>2540</v>
      </c>
      <c r="N409">
        <f>ROUND(_xlfn.XLOOKUP($D409,Charts!$W$86:$W$116,Charts!$X$86:$X$116)*$L409+_xlfn.XLOOKUP($D409,Charts!$W$86:$W$116,Charts!$Y$86:$Y$116)*$M409,0)</f>
        <v>2379</v>
      </c>
      <c r="O409">
        <f>MAX(0,ROUND(SUMIFS(m8_cv!$E:$E,m8_cv!$A:$A,$E409,m8_cv!$B:$B,$A409),0))</f>
        <v>2637</v>
      </c>
    </row>
    <row r="410" spans="1:15" x14ac:dyDescent="0.25">
      <c r="A410" s="3">
        <f t="shared" si="34"/>
        <v>46066</v>
      </c>
      <c r="B410">
        <f t="shared" si="30"/>
        <v>2026</v>
      </c>
      <c r="C410">
        <f t="shared" si="31"/>
        <v>2</v>
      </c>
      <c r="D410">
        <f t="shared" si="32"/>
        <v>13</v>
      </c>
      <c r="E410" s="2">
        <f t="shared" si="33"/>
        <v>46053</v>
      </c>
      <c r="F410" s="12">
        <f>_xlfn.XLOOKUP($A410,m1_cv!$B:$B,m1_cv!$C:$C)</f>
        <v>3172</v>
      </c>
      <c r="G410">
        <f>MAX(0,ROUND(SUMIFS(m1_cv!$E:$E,m1_cv!$A:$A,$E410,m1_cv!$B:$B,$A410),0))</f>
        <v>3302</v>
      </c>
      <c r="H410">
        <f>MAX(0,ROUND(SUMIFS(m2_cv!$E:$E,m2_cv!$A:$A,$E410,m2_cv!$B:$B,$A410),0))</f>
        <v>2494</v>
      </c>
      <c r="I410">
        <f>MAX(0,ROUND(SUMIFS(m3_cv!$E:$E,m3_cv!$A:$A,$E410,m3_cv!$B:$B,$A410),0))</f>
        <v>2698</v>
      </c>
      <c r="J410">
        <f>MAX(0,ROUND(SUMIFS(m4_cv!$E:$E,m4_cv!$A:$A,$E410,m4_cv!$B:$B,$A410),0))</f>
        <v>2695</v>
      </c>
      <c r="K410">
        <f>MAX(0,ROUND(SUMIFS(m5_cv!$E:$E,m5_cv!$A:$A,$E410,m5_cv!$B:$B,$A410),0))</f>
        <v>2524</v>
      </c>
      <c r="L410">
        <f>MAX(0,ROUND(SUMIFS(m6_cv!$E:$E,m6_cv!$A:$A,$E410,m6_cv!$B:$B,$A410),0))</f>
        <v>1983</v>
      </c>
      <c r="M410">
        <f>MAX(0,ROUND(SUMIFS(m7_cv!$E:$E,m7_cv!$A:$A,$E410,m7_cv!$B:$B,$A410),0))</f>
        <v>2540</v>
      </c>
      <c r="N410">
        <f>ROUND(_xlfn.XLOOKUP($D410,Charts!$W$86:$W$116,Charts!$X$86:$X$116)*$L410+_xlfn.XLOOKUP($D410,Charts!$W$86:$W$116,Charts!$Y$86:$Y$116)*$M410,0)</f>
        <v>2373</v>
      </c>
      <c r="O410">
        <f>MAX(0,ROUND(SUMIFS(m8_cv!$E:$E,m8_cv!$A:$A,$E410,m8_cv!$B:$B,$A410),0))</f>
        <v>2625</v>
      </c>
    </row>
    <row r="411" spans="1:15" x14ac:dyDescent="0.25">
      <c r="A411" s="3">
        <f t="shared" si="34"/>
        <v>46067</v>
      </c>
      <c r="B411">
        <f t="shared" si="30"/>
        <v>2026</v>
      </c>
      <c r="C411">
        <f t="shared" si="31"/>
        <v>2</v>
      </c>
      <c r="D411">
        <f t="shared" si="32"/>
        <v>14</v>
      </c>
      <c r="E411" s="2">
        <f t="shared" si="33"/>
        <v>46053</v>
      </c>
      <c r="F411" s="12">
        <f>_xlfn.XLOOKUP($A411,m1_cv!$B:$B,m1_cv!$C:$C)</f>
        <v>913</v>
      </c>
      <c r="G411">
        <f>MAX(0,ROUND(SUMIFS(m1_cv!$E:$E,m1_cv!$A:$A,$E411,m1_cv!$B:$B,$A411),0))</f>
        <v>1008</v>
      </c>
      <c r="H411">
        <f>MAX(0,ROUND(SUMIFS(m2_cv!$E:$E,m2_cv!$A:$A,$E411,m2_cv!$B:$B,$A411),0))</f>
        <v>195</v>
      </c>
      <c r="I411">
        <f>MAX(0,ROUND(SUMIFS(m3_cv!$E:$E,m3_cv!$A:$A,$E411,m3_cv!$B:$B,$A411),0))</f>
        <v>281</v>
      </c>
      <c r="J411">
        <f>MAX(0,ROUND(SUMIFS(m4_cv!$E:$E,m4_cv!$A:$A,$E411,m4_cv!$B:$B,$A411),0))</f>
        <v>278</v>
      </c>
      <c r="K411">
        <f>MAX(0,ROUND(SUMIFS(m5_cv!$E:$E,m5_cv!$A:$A,$E411,m5_cv!$B:$B,$A411),0))</f>
        <v>253</v>
      </c>
      <c r="L411">
        <f>MAX(0,ROUND(SUMIFS(m6_cv!$E:$E,m6_cv!$A:$A,$E411,m6_cv!$B:$B,$A411),0))</f>
        <v>334</v>
      </c>
      <c r="M411">
        <f>MAX(0,ROUND(SUMIFS(m7_cv!$E:$E,m7_cv!$A:$A,$E411,m7_cv!$B:$B,$A411),0))</f>
        <v>255</v>
      </c>
      <c r="N411">
        <f>ROUND(_xlfn.XLOOKUP($D411,Charts!$W$86:$W$116,Charts!$X$86:$X$116)*$L411+_xlfn.XLOOKUP($D411,Charts!$W$86:$W$116,Charts!$Y$86:$Y$116)*$M411,0)</f>
        <v>255</v>
      </c>
      <c r="O411">
        <f>MAX(0,ROUND(SUMIFS(m8_cv!$E:$E,m8_cv!$A:$A,$E411,m8_cv!$B:$B,$A411),0))</f>
        <v>348</v>
      </c>
    </row>
    <row r="412" spans="1:15" x14ac:dyDescent="0.25">
      <c r="A412" s="3">
        <f t="shared" si="34"/>
        <v>46068</v>
      </c>
      <c r="B412">
        <f t="shared" si="30"/>
        <v>2026</v>
      </c>
      <c r="C412">
        <f t="shared" si="31"/>
        <v>2</v>
      </c>
      <c r="D412">
        <f t="shared" si="32"/>
        <v>15</v>
      </c>
      <c r="E412" s="2">
        <f t="shared" si="33"/>
        <v>46053</v>
      </c>
      <c r="F412" s="12">
        <f>_xlfn.XLOOKUP($A412,m1_cv!$B:$B,m1_cv!$C:$C)</f>
        <v>208</v>
      </c>
      <c r="G412">
        <f>MAX(0,ROUND(SUMIFS(m1_cv!$E:$E,m1_cv!$A:$A,$E412,m1_cv!$B:$B,$A412),0))</f>
        <v>379</v>
      </c>
      <c r="H412">
        <f>MAX(0,ROUND(SUMIFS(m2_cv!$E:$E,m2_cv!$A:$A,$E412,m2_cv!$B:$B,$A412),0))</f>
        <v>0</v>
      </c>
      <c r="I412">
        <f>MAX(0,ROUND(SUMIFS(m3_cv!$E:$E,m3_cv!$A:$A,$E412,m3_cv!$B:$B,$A412),0))</f>
        <v>0</v>
      </c>
      <c r="J412">
        <f>MAX(0,ROUND(SUMIFS(m4_cv!$E:$E,m4_cv!$A:$A,$E412,m4_cv!$B:$B,$A412),0))</f>
        <v>0</v>
      </c>
      <c r="K412">
        <f>MAX(0,ROUND(SUMIFS(m5_cv!$E:$E,m5_cv!$A:$A,$E412,m5_cv!$B:$B,$A412),0))</f>
        <v>0</v>
      </c>
      <c r="L412">
        <f>MAX(0,ROUND(SUMIFS(m6_cv!$E:$E,m6_cv!$A:$A,$E412,m6_cv!$B:$B,$A412),0))</f>
        <v>116</v>
      </c>
      <c r="M412">
        <f>MAX(0,ROUND(SUMIFS(m7_cv!$E:$E,m7_cv!$A:$A,$E412,m7_cv!$B:$B,$A412),0))</f>
        <v>0</v>
      </c>
      <c r="N412">
        <f>ROUND(_xlfn.XLOOKUP($D412,Charts!$W$86:$W$116,Charts!$X$86:$X$116)*$L412+_xlfn.XLOOKUP($D412,Charts!$W$86:$W$116,Charts!$Y$86:$Y$116)*$M412,0)</f>
        <v>0</v>
      </c>
      <c r="O412">
        <f>MAX(0,ROUND(SUMIFS(m8_cv!$E:$E,m8_cv!$A:$A,$E412,m8_cv!$B:$B,$A412),0))</f>
        <v>0</v>
      </c>
    </row>
    <row r="413" spans="1:15" x14ac:dyDescent="0.25">
      <c r="A413" s="3">
        <f t="shared" si="34"/>
        <v>46069</v>
      </c>
      <c r="B413">
        <f t="shared" si="30"/>
        <v>2026</v>
      </c>
      <c r="C413">
        <f t="shared" si="31"/>
        <v>2</v>
      </c>
      <c r="D413">
        <f t="shared" si="32"/>
        <v>16</v>
      </c>
      <c r="E413" s="2">
        <f t="shared" si="33"/>
        <v>46053</v>
      </c>
      <c r="F413" s="12">
        <f>_xlfn.XLOOKUP($A413,m1_cv!$B:$B,m1_cv!$C:$C)</f>
        <v>1728</v>
      </c>
      <c r="G413">
        <f>MAX(0,ROUND(SUMIFS(m1_cv!$E:$E,m1_cv!$A:$A,$E413,m1_cv!$B:$B,$A413),0))</f>
        <v>2658</v>
      </c>
      <c r="H413">
        <f>MAX(0,ROUND(SUMIFS(m2_cv!$E:$E,m2_cv!$A:$A,$E413,m2_cv!$B:$B,$A413),0))</f>
        <v>2288</v>
      </c>
      <c r="I413">
        <f>MAX(0,ROUND(SUMIFS(m3_cv!$E:$E,m3_cv!$A:$A,$E413,m3_cv!$B:$B,$A413),0))</f>
        <v>2535</v>
      </c>
      <c r="J413">
        <f>MAX(0,ROUND(SUMIFS(m4_cv!$E:$E,m4_cv!$A:$A,$E413,m4_cv!$B:$B,$A413),0))</f>
        <v>2532</v>
      </c>
      <c r="K413">
        <f>MAX(0,ROUND(SUMIFS(m5_cv!$E:$E,m5_cv!$A:$A,$E413,m5_cv!$B:$B,$A413),0))</f>
        <v>2471</v>
      </c>
      <c r="L413">
        <f>MAX(0,ROUND(SUMIFS(m6_cv!$E:$E,m6_cv!$A:$A,$E413,m6_cv!$B:$B,$A413),0))</f>
        <v>1529</v>
      </c>
      <c r="M413">
        <f>MAX(0,ROUND(SUMIFS(m7_cv!$E:$E,m7_cv!$A:$A,$E413,m7_cv!$B:$B,$A413),0))</f>
        <v>2454</v>
      </c>
      <c r="N413">
        <f>ROUND(_xlfn.XLOOKUP($D413,Charts!$W$86:$W$116,Charts!$X$86:$X$116)*$L413+_xlfn.XLOOKUP($D413,Charts!$W$86:$W$116,Charts!$Y$86:$Y$116)*$M413,0)</f>
        <v>2454</v>
      </c>
      <c r="O413">
        <f>MAX(0,ROUND(SUMIFS(m8_cv!$E:$E,m8_cv!$A:$A,$E413,m8_cv!$B:$B,$A413),0))</f>
        <v>2536</v>
      </c>
    </row>
    <row r="414" spans="1:15" x14ac:dyDescent="0.25">
      <c r="A414" s="3">
        <f t="shared" si="34"/>
        <v>46070</v>
      </c>
      <c r="B414">
        <f t="shared" si="30"/>
        <v>2026</v>
      </c>
      <c r="C414">
        <f t="shared" si="31"/>
        <v>2</v>
      </c>
      <c r="D414">
        <f t="shared" si="32"/>
        <v>17</v>
      </c>
      <c r="E414" s="2">
        <f t="shared" si="33"/>
        <v>46053</v>
      </c>
      <c r="F414" s="12">
        <f>_xlfn.XLOOKUP($A414,m1_cv!$B:$B,m1_cv!$C:$C)</f>
        <v>27</v>
      </c>
      <c r="G414">
        <f>MAX(0,ROUND(SUMIFS(m1_cv!$E:$E,m1_cv!$A:$A,$E414,m1_cv!$B:$B,$A414),0))</f>
        <v>3182</v>
      </c>
      <c r="H414">
        <f>MAX(0,ROUND(SUMIFS(m2_cv!$E:$E,m2_cv!$A:$A,$E414,m2_cv!$B:$B,$A414),0))</f>
        <v>2993</v>
      </c>
      <c r="I414">
        <f>MAX(0,ROUND(SUMIFS(m3_cv!$E:$E,m3_cv!$A:$A,$E414,m3_cv!$B:$B,$A414),0))</f>
        <v>619</v>
      </c>
      <c r="J414">
        <f>MAX(0,ROUND(SUMIFS(m4_cv!$E:$E,m4_cv!$A:$A,$E414,m4_cv!$B:$B,$A414),0))</f>
        <v>619</v>
      </c>
      <c r="K414">
        <f>MAX(0,ROUND(SUMIFS(m5_cv!$E:$E,m5_cv!$A:$A,$E414,m5_cv!$B:$B,$A414),0))</f>
        <v>659</v>
      </c>
      <c r="L414">
        <f>MAX(0,ROUND(SUMIFS(m6_cv!$E:$E,m6_cv!$A:$A,$E414,m6_cv!$B:$B,$A414),0))</f>
        <v>35</v>
      </c>
      <c r="M414">
        <f>MAX(0,ROUND(SUMIFS(m7_cv!$E:$E,m7_cv!$A:$A,$E414,m7_cv!$B:$B,$A414),0))</f>
        <v>634</v>
      </c>
      <c r="N414">
        <f>ROUND(_xlfn.XLOOKUP($D414,Charts!$W$86:$W$116,Charts!$X$86:$X$116)*$L414+_xlfn.XLOOKUP($D414,Charts!$W$86:$W$116,Charts!$Y$86:$Y$116)*$M414,0)</f>
        <v>634</v>
      </c>
      <c r="O414">
        <f>MAX(0,ROUND(SUMIFS(m8_cv!$E:$E,m8_cv!$A:$A,$E414,m8_cv!$B:$B,$A414),0))</f>
        <v>619</v>
      </c>
    </row>
    <row r="415" spans="1:15" x14ac:dyDescent="0.25">
      <c r="A415" s="3">
        <f t="shared" si="34"/>
        <v>46071</v>
      </c>
      <c r="B415">
        <f t="shared" si="30"/>
        <v>2026</v>
      </c>
      <c r="C415">
        <f t="shared" si="31"/>
        <v>2</v>
      </c>
      <c r="D415">
        <f t="shared" si="32"/>
        <v>18</v>
      </c>
      <c r="E415" s="2">
        <f t="shared" si="33"/>
        <v>46053</v>
      </c>
      <c r="F415" s="12">
        <f>_xlfn.XLOOKUP($A415,m1_cv!$B:$B,m1_cv!$C:$C)</f>
        <v>21</v>
      </c>
      <c r="G415">
        <f>MAX(0,ROUND(SUMIFS(m1_cv!$E:$E,m1_cv!$A:$A,$E415,m1_cv!$B:$B,$A415),0))</f>
        <v>3233</v>
      </c>
      <c r="H415">
        <f>MAX(0,ROUND(SUMIFS(m2_cv!$E:$E,m2_cv!$A:$A,$E415,m2_cv!$B:$B,$A415),0))</f>
        <v>3054</v>
      </c>
      <c r="I415">
        <f>MAX(0,ROUND(SUMIFS(m3_cv!$E:$E,m3_cv!$A:$A,$E415,m3_cv!$B:$B,$A415),0))</f>
        <v>713</v>
      </c>
      <c r="J415">
        <f>MAX(0,ROUND(SUMIFS(m4_cv!$E:$E,m4_cv!$A:$A,$E415,m4_cv!$B:$B,$A415),0))</f>
        <v>712</v>
      </c>
      <c r="K415">
        <f>MAX(0,ROUND(SUMIFS(m5_cv!$E:$E,m5_cv!$A:$A,$E415,m5_cv!$B:$B,$A415),0))</f>
        <v>746</v>
      </c>
      <c r="L415">
        <f>MAX(0,ROUND(SUMIFS(m6_cv!$E:$E,m6_cv!$A:$A,$E415,m6_cv!$B:$B,$A415),0))</f>
        <v>40</v>
      </c>
      <c r="M415">
        <f>MAX(0,ROUND(SUMIFS(m7_cv!$E:$E,m7_cv!$A:$A,$E415,m7_cv!$B:$B,$A415),0))</f>
        <v>722</v>
      </c>
      <c r="N415">
        <f>ROUND(_xlfn.XLOOKUP($D415,Charts!$W$86:$W$116,Charts!$X$86:$X$116)*$L415+_xlfn.XLOOKUP($D415,Charts!$W$86:$W$116,Charts!$Y$86:$Y$116)*$M415,0)</f>
        <v>722</v>
      </c>
      <c r="O415">
        <f>MAX(0,ROUND(SUMIFS(m8_cv!$E:$E,m8_cv!$A:$A,$E415,m8_cv!$B:$B,$A415),0))</f>
        <v>692</v>
      </c>
    </row>
    <row r="416" spans="1:15" x14ac:dyDescent="0.25">
      <c r="A416" s="3">
        <f t="shared" si="34"/>
        <v>46072</v>
      </c>
      <c r="B416">
        <f t="shared" si="30"/>
        <v>2026</v>
      </c>
      <c r="C416">
        <f t="shared" si="31"/>
        <v>2</v>
      </c>
      <c r="D416">
        <f t="shared" si="32"/>
        <v>19</v>
      </c>
      <c r="E416" s="2">
        <f t="shared" si="33"/>
        <v>46053</v>
      </c>
      <c r="F416" s="12">
        <f>_xlfn.XLOOKUP($A416,m1_cv!$B:$B,m1_cv!$C:$C)</f>
        <v>1000</v>
      </c>
      <c r="G416">
        <f>MAX(0,ROUND(SUMIFS(m1_cv!$E:$E,m1_cv!$A:$A,$E416,m1_cv!$B:$B,$A416),0))</f>
        <v>3218</v>
      </c>
      <c r="H416">
        <f>MAX(0,ROUND(SUMIFS(m2_cv!$E:$E,m2_cv!$A:$A,$E416,m2_cv!$B:$B,$A416),0))</f>
        <v>2944</v>
      </c>
      <c r="I416">
        <f>MAX(0,ROUND(SUMIFS(m3_cv!$E:$E,m3_cv!$A:$A,$E416,m3_cv!$B:$B,$A416),0))</f>
        <v>2978</v>
      </c>
      <c r="J416">
        <f>MAX(0,ROUND(SUMIFS(m4_cv!$E:$E,m4_cv!$A:$A,$E416,m4_cv!$B:$B,$A416),0))</f>
        <v>2975</v>
      </c>
      <c r="K416">
        <f>MAX(0,ROUND(SUMIFS(m5_cv!$E:$E,m5_cv!$A:$A,$E416,m5_cv!$B:$B,$A416),0))</f>
        <v>2945</v>
      </c>
      <c r="L416">
        <f>MAX(0,ROUND(SUMIFS(m6_cv!$E:$E,m6_cv!$A:$A,$E416,m6_cv!$B:$B,$A416),0))</f>
        <v>2686</v>
      </c>
      <c r="M416">
        <f>MAX(0,ROUND(SUMIFS(m7_cv!$E:$E,m7_cv!$A:$A,$E416,m7_cv!$B:$B,$A416),0))</f>
        <v>2982</v>
      </c>
      <c r="N416">
        <f>ROUND(_xlfn.XLOOKUP($D416,Charts!$W$86:$W$116,Charts!$X$86:$X$116)*$L416+_xlfn.XLOOKUP($D416,Charts!$W$86:$W$116,Charts!$Y$86:$Y$116)*$M416,0)</f>
        <v>2982</v>
      </c>
      <c r="O416">
        <f>MAX(0,ROUND(SUMIFS(m8_cv!$E:$E,m8_cv!$A:$A,$E416,m8_cv!$B:$B,$A416),0))</f>
        <v>3057</v>
      </c>
    </row>
    <row r="417" spans="1:26" x14ac:dyDescent="0.25">
      <c r="A417" s="3">
        <f t="shared" si="34"/>
        <v>46073</v>
      </c>
      <c r="B417">
        <f t="shared" si="30"/>
        <v>2026</v>
      </c>
      <c r="C417">
        <f t="shared" si="31"/>
        <v>2</v>
      </c>
      <c r="D417">
        <f t="shared" si="32"/>
        <v>20</v>
      </c>
      <c r="E417" s="2">
        <f t="shared" si="33"/>
        <v>46053</v>
      </c>
      <c r="F417" s="12">
        <f>_xlfn.XLOOKUP($A417,m1_cv!$B:$B,m1_cv!$C:$C)</f>
        <v>1555</v>
      </c>
      <c r="G417">
        <f>MAX(0,ROUND(SUMIFS(m1_cv!$E:$E,m1_cv!$A:$A,$E417,m1_cv!$B:$B,$A417),0))</f>
        <v>3258</v>
      </c>
      <c r="H417">
        <f>MAX(0,ROUND(SUMIFS(m2_cv!$E:$E,m2_cv!$A:$A,$E417,m2_cv!$B:$B,$A417),0))</f>
        <v>3005</v>
      </c>
      <c r="I417">
        <f>MAX(0,ROUND(SUMIFS(m3_cv!$E:$E,m3_cv!$A:$A,$E417,m3_cv!$B:$B,$A417),0))</f>
        <v>2866</v>
      </c>
      <c r="J417">
        <f>MAX(0,ROUND(SUMIFS(m4_cv!$E:$E,m4_cv!$A:$A,$E417,m4_cv!$B:$B,$A417),0))</f>
        <v>2864</v>
      </c>
      <c r="K417">
        <f>MAX(0,ROUND(SUMIFS(m5_cv!$E:$E,m5_cv!$A:$A,$E417,m5_cv!$B:$B,$A417),0))</f>
        <v>2984</v>
      </c>
      <c r="L417">
        <f>MAX(0,ROUND(SUMIFS(m6_cv!$E:$E,m6_cv!$A:$A,$E417,m6_cv!$B:$B,$A417),0))</f>
        <v>2585</v>
      </c>
      <c r="M417">
        <f>MAX(0,ROUND(SUMIFS(m7_cv!$E:$E,m7_cv!$A:$A,$E417,m7_cv!$B:$B,$A417),0))</f>
        <v>3043</v>
      </c>
      <c r="N417">
        <f>ROUND(_xlfn.XLOOKUP($D417,Charts!$W$86:$W$116,Charts!$X$86:$X$116)*$L417+_xlfn.XLOOKUP($D417,Charts!$W$86:$W$116,Charts!$Y$86:$Y$116)*$M417,0)</f>
        <v>3043</v>
      </c>
      <c r="O417">
        <f>MAX(0,ROUND(SUMIFS(m8_cv!$E:$E,m8_cv!$A:$A,$E417,m8_cv!$B:$B,$A417),0))</f>
        <v>3097</v>
      </c>
    </row>
    <row r="418" spans="1:26" x14ac:dyDescent="0.25">
      <c r="A418" s="3">
        <f t="shared" si="34"/>
        <v>46074</v>
      </c>
      <c r="B418">
        <f t="shared" si="30"/>
        <v>2026</v>
      </c>
      <c r="C418">
        <f t="shared" si="31"/>
        <v>2</v>
      </c>
      <c r="D418">
        <f t="shared" si="32"/>
        <v>21</v>
      </c>
      <c r="E418" s="2">
        <f t="shared" si="33"/>
        <v>46053</v>
      </c>
      <c r="F418" s="12">
        <f>_xlfn.XLOOKUP($A418,m1_cv!$B:$B,m1_cv!$C:$C)</f>
        <v>492</v>
      </c>
      <c r="G418">
        <f>MAX(0,ROUND(SUMIFS(m1_cv!$E:$E,m1_cv!$A:$A,$E418,m1_cv!$B:$B,$A418),0))</f>
        <v>989</v>
      </c>
      <c r="H418">
        <f>MAX(0,ROUND(SUMIFS(m2_cv!$E:$E,m2_cv!$A:$A,$E418,m2_cv!$B:$B,$A418),0))</f>
        <v>996</v>
      </c>
      <c r="I418">
        <f>MAX(0,ROUND(SUMIFS(m3_cv!$E:$E,m3_cv!$A:$A,$E418,m3_cv!$B:$B,$A418),0))</f>
        <v>756</v>
      </c>
      <c r="J418">
        <f>MAX(0,ROUND(SUMIFS(m4_cv!$E:$E,m4_cv!$A:$A,$E418,m4_cv!$B:$B,$A418),0))</f>
        <v>754</v>
      </c>
      <c r="K418">
        <f>MAX(0,ROUND(SUMIFS(m5_cv!$E:$E,m5_cv!$A:$A,$E418,m5_cv!$B:$B,$A418),0))</f>
        <v>857</v>
      </c>
      <c r="L418">
        <f>MAX(0,ROUND(SUMIFS(m6_cv!$E:$E,m6_cv!$A:$A,$E418,m6_cv!$B:$B,$A418),0))</f>
        <v>448</v>
      </c>
      <c r="M418">
        <f>MAX(0,ROUND(SUMIFS(m7_cv!$E:$E,m7_cv!$A:$A,$E418,m7_cv!$B:$B,$A418),0))</f>
        <v>822</v>
      </c>
      <c r="N418">
        <f>ROUND(_xlfn.XLOOKUP($D418,Charts!$W$86:$W$116,Charts!$X$86:$X$116)*$L418+_xlfn.XLOOKUP($D418,Charts!$W$86:$W$116,Charts!$Y$86:$Y$116)*$M418,0)</f>
        <v>822</v>
      </c>
      <c r="O418">
        <f>MAX(0,ROUND(SUMIFS(m8_cv!$E:$E,m8_cv!$A:$A,$E418,m8_cv!$B:$B,$A418),0))</f>
        <v>863</v>
      </c>
    </row>
    <row r="419" spans="1:26" x14ac:dyDescent="0.25">
      <c r="A419" s="3">
        <f t="shared" si="34"/>
        <v>46075</v>
      </c>
      <c r="B419">
        <f t="shared" si="30"/>
        <v>2026</v>
      </c>
      <c r="C419">
        <f t="shared" si="31"/>
        <v>2</v>
      </c>
      <c r="D419">
        <f t="shared" si="32"/>
        <v>22</v>
      </c>
      <c r="E419" s="2">
        <f t="shared" si="33"/>
        <v>46053</v>
      </c>
      <c r="F419" s="12">
        <f>_xlfn.XLOOKUP($A419,m1_cv!$B:$B,m1_cv!$C:$C)</f>
        <v>159</v>
      </c>
      <c r="G419">
        <f>MAX(0,ROUND(SUMIFS(m1_cv!$E:$E,m1_cv!$A:$A,$E419,m1_cv!$B:$B,$A419),0))</f>
        <v>388</v>
      </c>
      <c r="H419">
        <f>MAX(0,ROUND(SUMIFS(m2_cv!$E:$E,m2_cv!$A:$A,$E419,m2_cv!$B:$B,$A419),0))</f>
        <v>766</v>
      </c>
      <c r="I419">
        <f>MAX(0,ROUND(SUMIFS(m3_cv!$E:$E,m3_cv!$A:$A,$E419,m3_cv!$B:$B,$A419),0))</f>
        <v>556</v>
      </c>
      <c r="J419">
        <f>MAX(0,ROUND(SUMIFS(m4_cv!$E:$E,m4_cv!$A:$A,$E419,m4_cv!$B:$B,$A419),0))</f>
        <v>554</v>
      </c>
      <c r="K419">
        <f>MAX(0,ROUND(SUMIFS(m5_cv!$E:$E,m5_cv!$A:$A,$E419,m5_cv!$B:$B,$A419),0))</f>
        <v>501</v>
      </c>
      <c r="L419">
        <f>MAX(0,ROUND(SUMIFS(m6_cv!$E:$E,m6_cv!$A:$A,$E419,m6_cv!$B:$B,$A419),0))</f>
        <v>170</v>
      </c>
      <c r="M419">
        <f>MAX(0,ROUND(SUMIFS(m7_cv!$E:$E,m7_cv!$A:$A,$E419,m7_cv!$B:$B,$A419),0))</f>
        <v>408</v>
      </c>
      <c r="N419">
        <f>ROUND(_xlfn.XLOOKUP($D419,Charts!$W$86:$W$116,Charts!$X$86:$X$116)*$L419+_xlfn.XLOOKUP($D419,Charts!$W$86:$W$116,Charts!$Y$86:$Y$116)*$M419,0)</f>
        <v>408</v>
      </c>
      <c r="O419">
        <f>MAX(0,ROUND(SUMIFS(m8_cv!$E:$E,m8_cv!$A:$A,$E419,m8_cv!$B:$B,$A419),0))</f>
        <v>455</v>
      </c>
    </row>
    <row r="420" spans="1:26" x14ac:dyDescent="0.25">
      <c r="A420" s="3">
        <f t="shared" si="34"/>
        <v>46076</v>
      </c>
      <c r="B420">
        <f t="shared" si="30"/>
        <v>2026</v>
      </c>
      <c r="C420">
        <f t="shared" si="31"/>
        <v>2</v>
      </c>
      <c r="D420">
        <f t="shared" si="32"/>
        <v>23</v>
      </c>
      <c r="E420" s="2">
        <f t="shared" si="33"/>
        <v>46053</v>
      </c>
      <c r="F420" s="12">
        <f>_xlfn.XLOOKUP($A420,m1_cv!$B:$B,m1_cv!$C:$C)</f>
        <v>2313</v>
      </c>
      <c r="G420">
        <f>MAX(0,ROUND(SUMIFS(m1_cv!$E:$E,m1_cv!$A:$A,$E420,m1_cv!$B:$B,$A420),0))</f>
        <v>2697</v>
      </c>
      <c r="H420">
        <f>MAX(0,ROUND(SUMIFS(m2_cv!$E:$E,m2_cv!$A:$A,$E420,m2_cv!$B:$B,$A420),0))</f>
        <v>3269</v>
      </c>
      <c r="I420">
        <f>MAX(0,ROUND(SUMIFS(m3_cv!$E:$E,m3_cv!$A:$A,$E420,m3_cv!$B:$B,$A420),0))</f>
        <v>3347</v>
      </c>
      <c r="J420">
        <f>MAX(0,ROUND(SUMIFS(m4_cv!$E:$E,m4_cv!$A:$A,$E420,m4_cv!$B:$B,$A420),0))</f>
        <v>3344</v>
      </c>
      <c r="K420">
        <f>MAX(0,ROUND(SUMIFS(m5_cv!$E:$E,m5_cv!$A:$A,$E420,m5_cv!$B:$B,$A420),0))</f>
        <v>3174</v>
      </c>
      <c r="L420">
        <f>MAX(0,ROUND(SUMIFS(m6_cv!$E:$E,m6_cv!$A:$A,$E420,m6_cv!$B:$B,$A420),0))</f>
        <v>2411</v>
      </c>
      <c r="M420">
        <f>MAX(0,ROUND(SUMIFS(m7_cv!$E:$E,m7_cv!$A:$A,$E420,m7_cv!$B:$B,$A420),0))</f>
        <v>3131</v>
      </c>
      <c r="N420">
        <f>ROUND(_xlfn.XLOOKUP($D420,Charts!$W$86:$W$116,Charts!$X$86:$X$116)*$L420+_xlfn.XLOOKUP($D420,Charts!$W$86:$W$116,Charts!$Y$86:$Y$116)*$M420,0)</f>
        <v>3131</v>
      </c>
      <c r="O420">
        <f>MAX(0,ROUND(SUMIFS(m8_cv!$E:$E,m8_cv!$A:$A,$E420,m8_cv!$B:$B,$A420),0))</f>
        <v>3179</v>
      </c>
    </row>
    <row r="421" spans="1:26" x14ac:dyDescent="0.25">
      <c r="A421" s="3">
        <f t="shared" si="34"/>
        <v>46077</v>
      </c>
      <c r="B421">
        <f t="shared" si="30"/>
        <v>2026</v>
      </c>
      <c r="C421">
        <f t="shared" si="31"/>
        <v>2</v>
      </c>
      <c r="D421">
        <f t="shared" si="32"/>
        <v>24</v>
      </c>
      <c r="E421" s="2">
        <f t="shared" si="33"/>
        <v>46053</v>
      </c>
      <c r="F421" s="12">
        <f>_xlfn.XLOOKUP($A421,m1_cv!$B:$B,m1_cv!$C:$C)</f>
        <v>3081</v>
      </c>
      <c r="G421">
        <f>MAX(0,ROUND(SUMIFS(m1_cv!$E:$E,m1_cv!$A:$A,$E421,m1_cv!$B:$B,$A421),0))</f>
        <v>3252</v>
      </c>
      <c r="H421">
        <f>MAX(0,ROUND(SUMIFS(m2_cv!$E:$E,m2_cv!$A:$A,$E421,m2_cv!$B:$B,$A421),0))</f>
        <v>3728</v>
      </c>
      <c r="I421">
        <f>MAX(0,ROUND(SUMIFS(m3_cv!$E:$E,m3_cv!$A:$A,$E421,m3_cv!$B:$B,$A421),0))</f>
        <v>3659</v>
      </c>
      <c r="J421">
        <f>MAX(0,ROUND(SUMIFS(m4_cv!$E:$E,m4_cv!$A:$A,$E421,m4_cv!$B:$B,$A421),0))</f>
        <v>3657</v>
      </c>
      <c r="K421">
        <f>MAX(0,ROUND(SUMIFS(m5_cv!$E:$E,m5_cv!$A:$A,$E421,m5_cv!$B:$B,$A421),0))</f>
        <v>4748</v>
      </c>
      <c r="L421">
        <f>MAX(0,ROUND(SUMIFS(m6_cv!$E:$E,m6_cv!$A:$A,$E421,m6_cv!$B:$B,$A421),0))</f>
        <v>6433</v>
      </c>
      <c r="M421">
        <f>MAX(0,ROUND(SUMIFS(m7_cv!$E:$E,m7_cv!$A:$A,$E421,m7_cv!$B:$B,$A421),0))</f>
        <v>4922</v>
      </c>
      <c r="N421">
        <f>ROUND(_xlfn.XLOOKUP($D421,Charts!$W$86:$W$116,Charts!$X$86:$X$116)*$L421+_xlfn.XLOOKUP($D421,Charts!$W$86:$W$116,Charts!$Y$86:$Y$116)*$M421,0)</f>
        <v>6433</v>
      </c>
      <c r="O421">
        <f>MAX(0,ROUND(SUMIFS(m8_cv!$E:$E,m8_cv!$A:$A,$E421,m8_cv!$B:$B,$A421),0))</f>
        <v>4406</v>
      </c>
    </row>
    <row r="422" spans="1:26" x14ac:dyDescent="0.25">
      <c r="A422" s="3">
        <f t="shared" si="34"/>
        <v>46078</v>
      </c>
      <c r="B422">
        <f t="shared" si="30"/>
        <v>2026</v>
      </c>
      <c r="C422">
        <f t="shared" si="31"/>
        <v>2</v>
      </c>
      <c r="D422">
        <f t="shared" si="32"/>
        <v>25</v>
      </c>
      <c r="E422" s="2">
        <f t="shared" si="33"/>
        <v>46053</v>
      </c>
      <c r="F422" s="12">
        <f>_xlfn.XLOOKUP($A422,m1_cv!$B:$B,m1_cv!$C:$C)</f>
        <v>4066</v>
      </c>
      <c r="G422">
        <f>MAX(0,ROUND(SUMIFS(m1_cv!$E:$E,m1_cv!$A:$A,$E422,m1_cv!$B:$B,$A422),0))</f>
        <v>3333</v>
      </c>
      <c r="H422">
        <f>MAX(0,ROUND(SUMIFS(m2_cv!$E:$E,m2_cv!$A:$A,$E422,m2_cv!$B:$B,$A422),0))</f>
        <v>3738</v>
      </c>
      <c r="I422">
        <f>MAX(0,ROUND(SUMIFS(m3_cv!$E:$E,m3_cv!$A:$A,$E422,m3_cv!$B:$B,$A422),0))</f>
        <v>3706</v>
      </c>
      <c r="J422">
        <f>MAX(0,ROUND(SUMIFS(m4_cv!$E:$E,m4_cv!$A:$A,$E422,m4_cv!$B:$B,$A422),0))</f>
        <v>3702</v>
      </c>
      <c r="K422">
        <f>MAX(0,ROUND(SUMIFS(m5_cv!$E:$E,m5_cv!$A:$A,$E422,m5_cv!$B:$B,$A422),0))</f>
        <v>4877</v>
      </c>
      <c r="L422">
        <f>MAX(0,ROUND(SUMIFS(m6_cv!$E:$E,m6_cv!$A:$A,$E422,m6_cv!$B:$B,$A422),0))</f>
        <v>7134</v>
      </c>
      <c r="M422">
        <f>MAX(0,ROUND(SUMIFS(m7_cv!$E:$E,m7_cv!$A:$A,$E422,m7_cv!$B:$B,$A422),0))</f>
        <v>5104</v>
      </c>
      <c r="N422">
        <f>ROUND(_xlfn.XLOOKUP($D422,Charts!$W$86:$W$116,Charts!$X$86:$X$116)*$L422+_xlfn.XLOOKUP($D422,Charts!$W$86:$W$116,Charts!$Y$86:$Y$116)*$M422,0)</f>
        <v>7134</v>
      </c>
      <c r="O422">
        <f>MAX(0,ROUND(SUMIFS(m8_cv!$E:$E,m8_cv!$A:$A,$E422,m8_cv!$B:$B,$A422),0))</f>
        <v>4629</v>
      </c>
    </row>
    <row r="423" spans="1:26" x14ac:dyDescent="0.25">
      <c r="A423" s="3">
        <f t="shared" si="34"/>
        <v>46079</v>
      </c>
      <c r="B423">
        <f t="shared" si="30"/>
        <v>2026</v>
      </c>
      <c r="C423">
        <f t="shared" si="31"/>
        <v>2</v>
      </c>
      <c r="D423">
        <f t="shared" si="32"/>
        <v>26</v>
      </c>
      <c r="E423" s="2">
        <f t="shared" si="33"/>
        <v>46053</v>
      </c>
      <c r="F423" s="12">
        <f>_xlfn.XLOOKUP($A423,m1_cv!$B:$B,m1_cv!$C:$C)</f>
        <v>5569</v>
      </c>
      <c r="G423">
        <f>MAX(0,ROUND(SUMIFS(m1_cv!$E:$E,m1_cv!$A:$A,$E423,m1_cv!$B:$B,$A423),0))</f>
        <v>3348</v>
      </c>
      <c r="H423">
        <f>MAX(0,ROUND(SUMIFS(m2_cv!$E:$E,m2_cv!$A:$A,$E423,m2_cv!$B:$B,$A423),0))</f>
        <v>4115</v>
      </c>
      <c r="I423">
        <f>MAX(0,ROUND(SUMIFS(m3_cv!$E:$E,m3_cv!$A:$A,$E423,m3_cv!$B:$B,$A423),0))</f>
        <v>4027</v>
      </c>
      <c r="J423">
        <f>MAX(0,ROUND(SUMIFS(m4_cv!$E:$E,m4_cv!$A:$A,$E423,m4_cv!$B:$B,$A423),0))</f>
        <v>4023</v>
      </c>
      <c r="K423">
        <f>MAX(0,ROUND(SUMIFS(m5_cv!$E:$E,m5_cv!$A:$A,$E423,m5_cv!$B:$B,$A423),0))</f>
        <v>5034</v>
      </c>
      <c r="L423">
        <f>MAX(0,ROUND(SUMIFS(m6_cv!$E:$E,m6_cv!$A:$A,$E423,m6_cv!$B:$B,$A423),0))</f>
        <v>7432</v>
      </c>
      <c r="M423">
        <f>MAX(0,ROUND(SUMIFS(m7_cv!$E:$E,m7_cv!$A:$A,$E423,m7_cv!$B:$B,$A423),0))</f>
        <v>5039</v>
      </c>
      <c r="N423">
        <f>ROUND(_xlfn.XLOOKUP($D423,Charts!$W$86:$W$116,Charts!$X$86:$X$116)*$L423+_xlfn.XLOOKUP($D423,Charts!$W$86:$W$116,Charts!$Y$86:$Y$116)*$M423,0)</f>
        <v>7432</v>
      </c>
      <c r="O423">
        <f>MAX(0,ROUND(SUMIFS(m8_cv!$E:$E,m8_cv!$A:$A,$E423,m8_cv!$B:$B,$A423),0))</f>
        <v>4760</v>
      </c>
    </row>
    <row r="424" spans="1:26" x14ac:dyDescent="0.25">
      <c r="A424" s="3">
        <f t="shared" si="34"/>
        <v>46080</v>
      </c>
      <c r="B424">
        <f t="shared" si="30"/>
        <v>2026</v>
      </c>
      <c r="C424">
        <f t="shared" si="31"/>
        <v>2</v>
      </c>
      <c r="D424">
        <f t="shared" si="32"/>
        <v>27</v>
      </c>
      <c r="E424" s="2">
        <f t="shared" si="33"/>
        <v>46053</v>
      </c>
      <c r="F424" s="12">
        <f>_xlfn.XLOOKUP($A424,m1_cv!$B:$B,m1_cv!$C:$C)</f>
        <v>8803</v>
      </c>
      <c r="G424">
        <f>MAX(0,ROUND(SUMIFS(m1_cv!$E:$E,m1_cv!$A:$A,$E424,m1_cv!$B:$B,$A424),0))</f>
        <v>3417</v>
      </c>
      <c r="H424">
        <f>MAX(0,ROUND(SUMIFS(m2_cv!$E:$E,m2_cv!$A:$A,$E424,m2_cv!$B:$B,$A424),0))</f>
        <v>5151</v>
      </c>
      <c r="I424">
        <f>MAX(0,ROUND(SUMIFS(m3_cv!$E:$E,m3_cv!$A:$A,$E424,m3_cv!$B:$B,$A424),0))</f>
        <v>4922</v>
      </c>
      <c r="J424">
        <f>MAX(0,ROUND(SUMIFS(m4_cv!$E:$E,m4_cv!$A:$A,$E424,m4_cv!$B:$B,$A424),0))</f>
        <v>4918</v>
      </c>
      <c r="K424">
        <f>MAX(0,ROUND(SUMIFS(m5_cv!$E:$E,m5_cv!$A:$A,$E424,m5_cv!$B:$B,$A424),0))</f>
        <v>7703</v>
      </c>
      <c r="L424">
        <f>MAX(0,ROUND(SUMIFS(m6_cv!$E:$E,m6_cv!$A:$A,$E424,m6_cv!$B:$B,$A424),0))</f>
        <v>12736</v>
      </c>
      <c r="M424">
        <f>MAX(0,ROUND(SUMIFS(m7_cv!$E:$E,m7_cv!$A:$A,$E424,m7_cv!$B:$B,$A424),0))</f>
        <v>7424</v>
      </c>
      <c r="N424">
        <f>ROUND(_xlfn.XLOOKUP($D424,Charts!$W$86:$W$116,Charts!$X$86:$X$116)*$L424+_xlfn.XLOOKUP($D424,Charts!$W$86:$W$116,Charts!$Y$86:$Y$116)*$M424,0)</f>
        <v>12736</v>
      </c>
      <c r="O424">
        <f>MAX(0,ROUND(SUMIFS(m8_cv!$E:$E,m8_cv!$A:$A,$E424,m8_cv!$B:$B,$A424),0))</f>
        <v>7179</v>
      </c>
    </row>
    <row r="425" spans="1:26" x14ac:dyDescent="0.25">
      <c r="A425" s="3">
        <f t="shared" si="34"/>
        <v>46081</v>
      </c>
      <c r="B425">
        <f t="shared" si="30"/>
        <v>2026</v>
      </c>
      <c r="C425">
        <f t="shared" si="31"/>
        <v>2</v>
      </c>
      <c r="D425">
        <f t="shared" si="32"/>
        <v>28</v>
      </c>
      <c r="E425" s="2">
        <f t="shared" si="33"/>
        <v>46053</v>
      </c>
      <c r="F425" s="12">
        <f>_xlfn.XLOOKUP($A425,m1_cv!$B:$B,m1_cv!$C:$C)</f>
        <v>9425</v>
      </c>
      <c r="G425">
        <f>MAX(0,ROUND(SUMIFS(m1_cv!$E:$E,m1_cv!$A:$A,$E425,m1_cv!$B:$B,$A425),0))</f>
        <v>1174</v>
      </c>
      <c r="H425">
        <f>MAX(0,ROUND(SUMIFS(m2_cv!$E:$E,m2_cv!$A:$A,$E425,m2_cv!$B:$B,$A425),0))</f>
        <v>4125</v>
      </c>
      <c r="I425">
        <f>MAX(0,ROUND(SUMIFS(m3_cv!$E:$E,m3_cv!$A:$A,$E425,m3_cv!$B:$B,$A425),0))</f>
        <v>3861</v>
      </c>
      <c r="J425">
        <f>MAX(0,ROUND(SUMIFS(m4_cv!$E:$E,m4_cv!$A:$A,$E425,m4_cv!$B:$B,$A425),0))</f>
        <v>3858</v>
      </c>
      <c r="K425">
        <f>MAX(0,ROUND(SUMIFS(m5_cv!$E:$E,m5_cv!$A:$A,$E425,m5_cv!$B:$B,$A425),0))</f>
        <v>8030</v>
      </c>
      <c r="L425">
        <f>MAX(0,ROUND(SUMIFS(m6_cv!$E:$E,m6_cv!$A:$A,$E425,m6_cv!$B:$B,$A425),0))</f>
        <v>3448</v>
      </c>
      <c r="M425">
        <f>MAX(0,ROUND(SUMIFS(m7_cv!$E:$E,m7_cv!$A:$A,$E425,m7_cv!$B:$B,$A425),0))</f>
        <v>8196</v>
      </c>
      <c r="N425">
        <f>ROUND(_xlfn.XLOOKUP($D425,Charts!$W$86:$W$116,Charts!$X$86:$X$116)*$L425+_xlfn.XLOOKUP($D425,Charts!$W$86:$W$116,Charts!$Y$86:$Y$116)*$M425,0)</f>
        <v>3448</v>
      </c>
      <c r="O425">
        <f>MAX(0,ROUND(SUMIFS(m8_cv!$E:$E,m8_cv!$A:$A,$E425,m8_cv!$B:$B,$A425),0))</f>
        <v>7938</v>
      </c>
      <c r="Q425" s="9" t="s">
        <v>17</v>
      </c>
      <c r="R425" s="9" t="s">
        <v>18</v>
      </c>
      <c r="S425" s="9" t="s">
        <v>25</v>
      </c>
      <c r="T425" s="9" t="s">
        <v>26</v>
      </c>
      <c r="U425" s="9" t="s">
        <v>27</v>
      </c>
      <c r="W425" s="9" t="s">
        <v>26</v>
      </c>
      <c r="X425" s="9" t="s">
        <v>28</v>
      </c>
      <c r="Y425" s="9" t="s">
        <v>11</v>
      </c>
    </row>
    <row r="426" spans="1:26" x14ac:dyDescent="0.25">
      <c r="A426" s="3">
        <f t="shared" si="34"/>
        <v>46082</v>
      </c>
      <c r="B426">
        <f t="shared" si="30"/>
        <v>2026</v>
      </c>
      <c r="C426">
        <f t="shared" si="31"/>
        <v>3</v>
      </c>
      <c r="D426">
        <f t="shared" si="32"/>
        <v>1</v>
      </c>
      <c r="E426" s="2">
        <f t="shared" si="33"/>
        <v>46081</v>
      </c>
      <c r="F426" s="12">
        <f>_xlfn.XLOOKUP($A426,m1_cv!$B:$B,m1_cv!$C:$C)</f>
        <v>40</v>
      </c>
      <c r="G426">
        <f>MAX(0,ROUND(SUMIFS(m1_cv!$E:$E,m1_cv!$A:$A,$E426,m1_cv!$B:$B,$A426),0))</f>
        <v>759</v>
      </c>
      <c r="H426">
        <f>MAX(0,ROUND(SUMIFS(m2_cv!$E:$E,m2_cv!$A:$A,$E426,m2_cv!$B:$B,$A426),0))</f>
        <v>4377</v>
      </c>
      <c r="I426">
        <f>MAX(0,ROUND(SUMIFS(m3_cv!$E:$E,m3_cv!$A:$A,$E426,m3_cv!$B:$B,$A426),0))</f>
        <v>4263</v>
      </c>
      <c r="J426">
        <f>MAX(0,ROUND(SUMIFS(m4_cv!$E:$E,m4_cv!$A:$A,$E426,m4_cv!$B:$B,$A426),0))</f>
        <v>4257</v>
      </c>
      <c r="K426">
        <f>MAX(0,ROUND(SUMIFS(m5_cv!$E:$E,m5_cv!$A:$A,$E426,m5_cv!$B:$B,$A426),0))</f>
        <v>667</v>
      </c>
      <c r="L426">
        <f>MAX(0,ROUND(SUMIFS(m6_cv!$E:$E,m6_cv!$A:$A,$E426,m6_cv!$B:$B,$A426),0))</f>
        <v>87</v>
      </c>
      <c r="M426">
        <f>MAX(0,ROUND(SUMIFS(m7_cv!$E:$E,m7_cv!$A:$A,$E426,m7_cv!$B:$B,$A426),0))</f>
        <v>1125</v>
      </c>
      <c r="N426">
        <f>ROUND(_xlfn.XLOOKUP($D426,Charts!$W$86:$W$116,Charts!$X$86:$X$116)*$L426+_xlfn.XLOOKUP($D426,Charts!$W$86:$W$116,Charts!$Y$86:$Y$116)*$M426,0)</f>
        <v>87</v>
      </c>
      <c r="O426">
        <f>MAX(0,ROUND(SUMIFS(m8_cv!$E:$E,m8_cv!$A:$A,$E426,m8_cv!$B:$B,$A426),0))</f>
        <v>991</v>
      </c>
      <c r="Q426">
        <v>95</v>
      </c>
      <c r="R426" s="14">
        <v>1294</v>
      </c>
      <c r="S426">
        <f t="shared" ref="S426:S456" si="35">R426-T426</f>
        <v>1199</v>
      </c>
      <c r="T426">
        <f t="shared" ref="T426:T435" si="36">Q426</f>
        <v>95</v>
      </c>
      <c r="U426">
        <f>T426</f>
        <v>95</v>
      </c>
      <c r="W426" s="9" t="s">
        <v>29</v>
      </c>
      <c r="X426" s="9" t="s">
        <v>29</v>
      </c>
      <c r="Y426" s="9" t="s">
        <v>29</v>
      </c>
    </row>
    <row r="427" spans="1:26" x14ac:dyDescent="0.25">
      <c r="A427" s="3">
        <f t="shared" si="34"/>
        <v>46083</v>
      </c>
      <c r="B427">
        <f t="shared" si="30"/>
        <v>2026</v>
      </c>
      <c r="C427">
        <f t="shared" si="31"/>
        <v>3</v>
      </c>
      <c r="D427">
        <f t="shared" si="32"/>
        <v>2</v>
      </c>
      <c r="E427" s="2">
        <f t="shared" si="33"/>
        <v>46081</v>
      </c>
      <c r="F427" s="12">
        <f>_xlfn.XLOOKUP($A427,m1_cv!$B:$B,m1_cv!$C:$C)</f>
        <v>617</v>
      </c>
      <c r="G427">
        <f>MAX(0,ROUND(SUMIFS(m1_cv!$E:$E,m1_cv!$A:$A,$E427,m1_cv!$B:$B,$A427),0))</f>
        <v>3079</v>
      </c>
      <c r="H427">
        <f>MAX(0,ROUND(SUMIFS(m2_cv!$E:$E,m2_cv!$A:$A,$E427,m2_cv!$B:$B,$A427),0))</f>
        <v>6287</v>
      </c>
      <c r="I427">
        <f>MAX(0,ROUND(SUMIFS(m3_cv!$E:$E,m3_cv!$A:$A,$E427,m3_cv!$B:$B,$A427),0))</f>
        <v>6488</v>
      </c>
      <c r="J427">
        <f>MAX(0,ROUND(SUMIFS(m4_cv!$E:$E,m4_cv!$A:$A,$E427,m4_cv!$B:$B,$A427),0))</f>
        <v>6484</v>
      </c>
      <c r="K427">
        <f>MAX(0,ROUND(SUMIFS(m5_cv!$E:$E,m5_cv!$A:$A,$E427,m5_cv!$B:$B,$A427),0))</f>
        <v>2630</v>
      </c>
      <c r="L427">
        <f>MAX(0,ROUND(SUMIFS(m6_cv!$E:$E,m6_cv!$A:$A,$E427,m6_cv!$B:$B,$A427),0))</f>
        <v>766</v>
      </c>
      <c r="M427">
        <f>MAX(0,ROUND(SUMIFS(m7_cv!$E:$E,m7_cv!$A:$A,$E427,m7_cv!$B:$B,$A427),0))</f>
        <v>2593</v>
      </c>
      <c r="N427">
        <f>ROUND(_xlfn.XLOOKUP($D427,Charts!$W$86:$W$116,Charts!$X$86:$X$116)*$L427+_xlfn.XLOOKUP($D427,Charts!$W$86:$W$116,Charts!$Y$86:$Y$116)*$M427,0)</f>
        <v>766</v>
      </c>
      <c r="O427">
        <f>MAX(0,ROUND(SUMIFS(m8_cv!$E:$E,m8_cv!$A:$A,$E427,m8_cv!$B:$B,$A427),0))</f>
        <v>2526</v>
      </c>
      <c r="Q427">
        <v>836</v>
      </c>
      <c r="R427" s="14">
        <v>2797</v>
      </c>
      <c r="S427">
        <f t="shared" si="35"/>
        <v>1961</v>
      </c>
      <c r="T427">
        <f t="shared" si="36"/>
        <v>836</v>
      </c>
      <c r="U427">
        <f t="shared" ref="U427:U435" si="37">T427</f>
        <v>836</v>
      </c>
      <c r="W427">
        <f>SUM(T$426:T427)</f>
        <v>931</v>
      </c>
      <c r="X427">
        <f>SUM(U$426:U427)</f>
        <v>931</v>
      </c>
      <c r="Y427">
        <f>SUM(F$426:F427)</f>
        <v>657</v>
      </c>
      <c r="Z427">
        <f>X427-Y427</f>
        <v>274</v>
      </c>
    </row>
    <row r="428" spans="1:26" x14ac:dyDescent="0.25">
      <c r="A428" s="3">
        <f t="shared" si="34"/>
        <v>46084</v>
      </c>
      <c r="B428">
        <f t="shared" si="30"/>
        <v>2026</v>
      </c>
      <c r="C428">
        <f t="shared" si="31"/>
        <v>3</v>
      </c>
      <c r="D428">
        <f t="shared" si="32"/>
        <v>3</v>
      </c>
      <c r="E428" s="2">
        <f t="shared" si="33"/>
        <v>46081</v>
      </c>
      <c r="F428" s="12">
        <f>_xlfn.XLOOKUP($A428,m1_cv!$B:$B,m1_cv!$C:$C)</f>
        <v>799</v>
      </c>
      <c r="G428">
        <f>MAX(0,ROUND(SUMIFS(m1_cv!$E:$E,m1_cv!$A:$A,$E428,m1_cv!$B:$B,$A428),0))</f>
        <v>3644</v>
      </c>
      <c r="H428">
        <f>MAX(0,ROUND(SUMIFS(m2_cv!$E:$E,m2_cv!$A:$A,$E428,m2_cv!$B:$B,$A428),0))</f>
        <v>5336</v>
      </c>
      <c r="I428">
        <f>MAX(0,ROUND(SUMIFS(m3_cv!$E:$E,m3_cv!$A:$A,$E428,m3_cv!$B:$B,$A428),0))</f>
        <v>5408</v>
      </c>
      <c r="J428">
        <f>MAX(0,ROUND(SUMIFS(m4_cv!$E:$E,m4_cv!$A:$A,$E428,m4_cv!$B:$B,$A428),0))</f>
        <v>5402</v>
      </c>
      <c r="K428">
        <f>MAX(0,ROUND(SUMIFS(m5_cv!$E:$E,m5_cv!$A:$A,$E428,m5_cv!$B:$B,$A428),0))</f>
        <v>2375</v>
      </c>
      <c r="L428">
        <f>MAX(0,ROUND(SUMIFS(m6_cv!$E:$E,m6_cv!$A:$A,$E428,m6_cv!$B:$B,$A428),0))</f>
        <v>1371</v>
      </c>
      <c r="M428">
        <f>MAX(0,ROUND(SUMIFS(m7_cv!$E:$E,m7_cv!$A:$A,$E428,m7_cv!$B:$B,$A428),0))</f>
        <v>1964</v>
      </c>
      <c r="N428">
        <f>ROUND(_xlfn.XLOOKUP($D428,Charts!$W$86:$W$116,Charts!$X$86:$X$116)*$L428+_xlfn.XLOOKUP($D428,Charts!$W$86:$W$116,Charts!$Y$86:$Y$116)*$M428,0)</f>
        <v>1371</v>
      </c>
      <c r="O428">
        <f>MAX(0,ROUND(SUMIFS(m8_cv!$E:$E,m8_cv!$A:$A,$E428,m8_cv!$B:$B,$A428),0))</f>
        <v>2108</v>
      </c>
      <c r="Q428">
        <v>1413</v>
      </c>
      <c r="R428" s="14">
        <v>2199</v>
      </c>
      <c r="S428">
        <f t="shared" si="35"/>
        <v>786</v>
      </c>
      <c r="T428">
        <f t="shared" si="36"/>
        <v>1413</v>
      </c>
      <c r="U428">
        <f t="shared" si="37"/>
        <v>1413</v>
      </c>
      <c r="W428">
        <f>SUM(T$426:T428)</f>
        <v>2344</v>
      </c>
      <c r="X428">
        <f>SUM(U$426:U428)</f>
        <v>2344</v>
      </c>
      <c r="Y428">
        <f>SUM(F$426:F428)</f>
        <v>1456</v>
      </c>
      <c r="Z428">
        <f t="shared" ref="Z428:Z456" si="38">X428-Y428</f>
        <v>888</v>
      </c>
    </row>
    <row r="429" spans="1:26" x14ac:dyDescent="0.25">
      <c r="A429" s="3">
        <f t="shared" si="34"/>
        <v>46085</v>
      </c>
      <c r="B429">
        <f t="shared" si="30"/>
        <v>2026</v>
      </c>
      <c r="C429">
        <f t="shared" si="31"/>
        <v>3</v>
      </c>
      <c r="D429">
        <f t="shared" si="32"/>
        <v>4</v>
      </c>
      <c r="E429" s="2">
        <f t="shared" si="33"/>
        <v>46081</v>
      </c>
      <c r="F429" s="12">
        <f>_xlfn.XLOOKUP($A429,m1_cv!$B:$B,m1_cv!$C:$C)</f>
        <v>995</v>
      </c>
      <c r="G429">
        <f>MAX(0,ROUND(SUMIFS(m1_cv!$E:$E,m1_cv!$A:$A,$E429,m1_cv!$B:$B,$A429),0))</f>
        <v>3744</v>
      </c>
      <c r="H429">
        <f>MAX(0,ROUND(SUMIFS(m2_cv!$E:$E,m2_cv!$A:$A,$E429,m2_cv!$B:$B,$A429),0))</f>
        <v>3537</v>
      </c>
      <c r="I429">
        <f>MAX(0,ROUND(SUMIFS(m3_cv!$E:$E,m3_cv!$A:$A,$E429,m3_cv!$B:$B,$A429),0))</f>
        <v>3631</v>
      </c>
      <c r="J429">
        <f>MAX(0,ROUND(SUMIFS(m4_cv!$E:$E,m4_cv!$A:$A,$E429,m4_cv!$B:$B,$A429),0))</f>
        <v>3626</v>
      </c>
      <c r="K429">
        <f>MAX(0,ROUND(SUMIFS(m5_cv!$E:$E,m5_cv!$A:$A,$E429,m5_cv!$B:$B,$A429),0))</f>
        <v>1903</v>
      </c>
      <c r="L429">
        <f>MAX(0,ROUND(SUMIFS(m6_cv!$E:$E,m6_cv!$A:$A,$E429,m6_cv!$B:$B,$A429),0))</f>
        <v>1193</v>
      </c>
      <c r="M429">
        <f>MAX(0,ROUND(SUMIFS(m7_cv!$E:$E,m7_cv!$A:$A,$E429,m7_cv!$B:$B,$A429),0))</f>
        <v>1742</v>
      </c>
      <c r="N429">
        <f>ROUND(_xlfn.XLOOKUP($D429,Charts!$W$86:$W$116,Charts!$X$86:$X$116)*$L429+_xlfn.XLOOKUP($D429,Charts!$W$86:$W$116,Charts!$Y$86:$Y$116)*$M429,0)</f>
        <v>1193</v>
      </c>
      <c r="O429">
        <f>MAX(0,ROUND(SUMIFS(m8_cv!$E:$E,m8_cv!$A:$A,$E429,m8_cv!$B:$B,$A429),0))</f>
        <v>1853</v>
      </c>
      <c r="Q429">
        <v>1185</v>
      </c>
      <c r="R429" s="14">
        <v>1882</v>
      </c>
      <c r="S429">
        <f t="shared" si="35"/>
        <v>697</v>
      </c>
      <c r="T429">
        <f t="shared" si="36"/>
        <v>1185</v>
      </c>
      <c r="U429">
        <f t="shared" si="37"/>
        <v>1185</v>
      </c>
      <c r="W429">
        <f>SUM(T$426:T429)</f>
        <v>3529</v>
      </c>
      <c r="X429">
        <f>SUM(U$426:U429)</f>
        <v>3529</v>
      </c>
      <c r="Y429">
        <f>SUM(F$426:F429)</f>
        <v>2451</v>
      </c>
      <c r="Z429">
        <f t="shared" si="38"/>
        <v>1078</v>
      </c>
    </row>
    <row r="430" spans="1:26" x14ac:dyDescent="0.25">
      <c r="A430" s="3">
        <f t="shared" si="34"/>
        <v>46086</v>
      </c>
      <c r="B430">
        <f t="shared" si="30"/>
        <v>2026</v>
      </c>
      <c r="C430">
        <f t="shared" si="31"/>
        <v>3</v>
      </c>
      <c r="D430">
        <f t="shared" si="32"/>
        <v>5</v>
      </c>
      <c r="E430" s="2">
        <f t="shared" si="33"/>
        <v>46081</v>
      </c>
      <c r="F430" s="12">
        <f>_xlfn.XLOOKUP($A430,m1_cv!$B:$B,m1_cv!$C:$C)</f>
        <v>1314</v>
      </c>
      <c r="G430">
        <f>MAX(0,ROUND(SUMIFS(m1_cv!$E:$E,m1_cv!$A:$A,$E430,m1_cv!$B:$B,$A430),0))</f>
        <v>3779</v>
      </c>
      <c r="H430">
        <f>MAX(0,ROUND(SUMIFS(m2_cv!$E:$E,m2_cv!$A:$A,$E430,m2_cv!$B:$B,$A430),0))</f>
        <v>2118</v>
      </c>
      <c r="I430">
        <f>MAX(0,ROUND(SUMIFS(m3_cv!$E:$E,m3_cv!$A:$A,$E430,m3_cv!$B:$B,$A430),0))</f>
        <v>2162</v>
      </c>
      <c r="J430">
        <f>MAX(0,ROUND(SUMIFS(m4_cv!$E:$E,m4_cv!$A:$A,$E430,m4_cv!$B:$B,$A430),0))</f>
        <v>2157</v>
      </c>
      <c r="K430">
        <f>MAX(0,ROUND(SUMIFS(m5_cv!$E:$E,m5_cv!$A:$A,$E430,m5_cv!$B:$B,$A430),0))</f>
        <v>1693</v>
      </c>
      <c r="L430">
        <f>MAX(0,ROUND(SUMIFS(m6_cv!$E:$E,m6_cv!$A:$A,$E430,m6_cv!$B:$B,$A430),0))</f>
        <v>1088</v>
      </c>
      <c r="M430">
        <f>MAX(0,ROUND(SUMIFS(m7_cv!$E:$E,m7_cv!$A:$A,$E430,m7_cv!$B:$B,$A430),0))</f>
        <v>1841</v>
      </c>
      <c r="N430">
        <f>ROUND(_xlfn.XLOOKUP($D430,Charts!$W$86:$W$116,Charts!$X$86:$X$116)*$L430+_xlfn.XLOOKUP($D430,Charts!$W$86:$W$116,Charts!$Y$86:$Y$116)*$M430,0)</f>
        <v>1239</v>
      </c>
      <c r="O430">
        <f>MAX(0,ROUND(SUMIFS(m8_cv!$E:$E,m8_cv!$A:$A,$E430,m8_cv!$B:$B,$A430),0))</f>
        <v>1916</v>
      </c>
      <c r="Q430">
        <v>1081</v>
      </c>
      <c r="R430" s="14">
        <v>1919</v>
      </c>
      <c r="S430">
        <f t="shared" si="35"/>
        <v>838</v>
      </c>
      <c r="T430">
        <f t="shared" si="36"/>
        <v>1081</v>
      </c>
      <c r="U430">
        <f t="shared" si="37"/>
        <v>1081</v>
      </c>
      <c r="W430">
        <f>SUM(T$426:T430)</f>
        <v>4610</v>
      </c>
      <c r="X430">
        <f>SUM(U$426:U430)</f>
        <v>4610</v>
      </c>
      <c r="Y430">
        <f>SUM(F$426:F430)</f>
        <v>3765</v>
      </c>
      <c r="Z430">
        <f t="shared" si="38"/>
        <v>845</v>
      </c>
    </row>
    <row r="431" spans="1:26" x14ac:dyDescent="0.25">
      <c r="A431" s="3">
        <f t="shared" si="34"/>
        <v>46087</v>
      </c>
      <c r="B431">
        <f t="shared" si="30"/>
        <v>2026</v>
      </c>
      <c r="C431">
        <f t="shared" si="31"/>
        <v>3</v>
      </c>
      <c r="D431">
        <f t="shared" si="32"/>
        <v>6</v>
      </c>
      <c r="E431" s="2">
        <f t="shared" si="33"/>
        <v>46081</v>
      </c>
      <c r="F431" s="12">
        <f>_xlfn.XLOOKUP($A431,m1_cv!$B:$B,m1_cv!$C:$C)</f>
        <v>1617</v>
      </c>
      <c r="G431">
        <f>MAX(0,ROUND(SUMIFS(m1_cv!$E:$E,m1_cv!$A:$A,$E431,m1_cv!$B:$B,$A431),0))</f>
        <v>3863</v>
      </c>
      <c r="H431">
        <f>MAX(0,ROUND(SUMIFS(m2_cv!$E:$E,m2_cv!$A:$A,$E431,m2_cv!$B:$B,$A431),0))</f>
        <v>1652</v>
      </c>
      <c r="I431">
        <f>MAX(0,ROUND(SUMIFS(m3_cv!$E:$E,m3_cv!$A:$A,$E431,m3_cv!$B:$B,$A431),0))</f>
        <v>1588</v>
      </c>
      <c r="J431">
        <f>MAX(0,ROUND(SUMIFS(m4_cv!$E:$E,m4_cv!$A:$A,$E431,m4_cv!$B:$B,$A431),0))</f>
        <v>1582</v>
      </c>
      <c r="K431">
        <f>MAX(0,ROUND(SUMIFS(m5_cv!$E:$E,m5_cv!$A:$A,$E431,m5_cv!$B:$B,$A431),0))</f>
        <v>1795</v>
      </c>
      <c r="L431">
        <f>MAX(0,ROUND(SUMIFS(m6_cv!$E:$E,m6_cv!$A:$A,$E431,m6_cv!$B:$B,$A431),0))</f>
        <v>977</v>
      </c>
      <c r="M431">
        <f>MAX(0,ROUND(SUMIFS(m7_cv!$E:$E,m7_cv!$A:$A,$E431,m7_cv!$B:$B,$A431),0))</f>
        <v>1873</v>
      </c>
      <c r="N431">
        <f>ROUND(_xlfn.XLOOKUP($D431,Charts!$W$86:$W$116,Charts!$X$86:$X$116)*$L431+_xlfn.XLOOKUP($D431,Charts!$W$86:$W$116,Charts!$Y$86:$Y$116)*$M431,0)</f>
        <v>1425</v>
      </c>
      <c r="O431">
        <f>MAX(0,ROUND(SUMIFS(m8_cv!$E:$E,m8_cv!$A:$A,$E431,m8_cv!$B:$B,$A431),0))</f>
        <v>1895</v>
      </c>
      <c r="Q431">
        <v>989</v>
      </c>
      <c r="R431" s="14">
        <v>1890</v>
      </c>
      <c r="S431">
        <f t="shared" si="35"/>
        <v>901</v>
      </c>
      <c r="T431">
        <f t="shared" si="36"/>
        <v>989</v>
      </c>
      <c r="U431">
        <f t="shared" si="37"/>
        <v>989</v>
      </c>
      <c r="W431">
        <f>SUM(T$426:T431)</f>
        <v>5599</v>
      </c>
      <c r="X431">
        <f>SUM(U$426:U431)</f>
        <v>5599</v>
      </c>
      <c r="Y431">
        <f>SUM(F$426:F431)</f>
        <v>5382</v>
      </c>
      <c r="Z431">
        <f t="shared" si="38"/>
        <v>217</v>
      </c>
    </row>
    <row r="432" spans="1:26" x14ac:dyDescent="0.25">
      <c r="A432" s="3">
        <f t="shared" si="34"/>
        <v>46088</v>
      </c>
      <c r="B432">
        <f t="shared" si="30"/>
        <v>2026</v>
      </c>
      <c r="C432">
        <f t="shared" si="31"/>
        <v>3</v>
      </c>
      <c r="D432">
        <f t="shared" si="32"/>
        <v>7</v>
      </c>
      <c r="E432" s="2">
        <f t="shared" si="33"/>
        <v>46081</v>
      </c>
      <c r="F432" s="12">
        <f>_xlfn.XLOOKUP($A432,m1_cv!$B:$B,m1_cv!$C:$C)</f>
        <v>220</v>
      </c>
      <c r="G432">
        <f>MAX(0,ROUND(SUMIFS(m1_cv!$E:$E,m1_cv!$A:$A,$E432,m1_cv!$B:$B,$A432),0))</f>
        <v>1634</v>
      </c>
      <c r="H432">
        <f>MAX(0,ROUND(SUMIFS(m2_cv!$E:$E,m2_cv!$A:$A,$E432,m2_cv!$B:$B,$A432),0))</f>
        <v>0</v>
      </c>
      <c r="I432">
        <f>MAX(0,ROUND(SUMIFS(m3_cv!$E:$E,m3_cv!$A:$A,$E432,m3_cv!$B:$B,$A432),0))</f>
        <v>0</v>
      </c>
      <c r="J432">
        <f>MAX(0,ROUND(SUMIFS(m4_cv!$E:$E,m4_cv!$A:$A,$E432,m4_cv!$B:$B,$A432),0))</f>
        <v>0</v>
      </c>
      <c r="K432">
        <f>MAX(0,ROUND(SUMIFS(m5_cv!$E:$E,m5_cv!$A:$A,$E432,m5_cv!$B:$B,$A432),0))</f>
        <v>0</v>
      </c>
      <c r="L432">
        <f>MAX(0,ROUND(SUMIFS(m6_cv!$E:$E,m6_cv!$A:$A,$E432,m6_cv!$B:$B,$A432),0))</f>
        <v>19</v>
      </c>
      <c r="M432">
        <f>MAX(0,ROUND(SUMIFS(m7_cv!$E:$E,m7_cv!$A:$A,$E432,m7_cv!$B:$B,$A432),0))</f>
        <v>0</v>
      </c>
      <c r="N432">
        <f>ROUND(_xlfn.XLOOKUP($D432,Charts!$W$86:$W$116,Charts!$X$86:$X$116)*$L432+_xlfn.XLOOKUP($D432,Charts!$W$86:$W$116,Charts!$Y$86:$Y$116)*$M432,0)</f>
        <v>10</v>
      </c>
      <c r="O432">
        <f>MAX(0,ROUND(SUMIFS(m8_cv!$E:$E,m8_cv!$A:$A,$E432,m8_cv!$B:$B,$A432),0))</f>
        <v>0</v>
      </c>
      <c r="Q432">
        <v>19</v>
      </c>
      <c r="R432" s="14">
        <v>0</v>
      </c>
      <c r="S432">
        <f t="shared" si="35"/>
        <v>-19</v>
      </c>
      <c r="T432">
        <f t="shared" si="36"/>
        <v>19</v>
      </c>
      <c r="U432">
        <f t="shared" si="37"/>
        <v>19</v>
      </c>
      <c r="W432">
        <f>SUM(T$426:T432)</f>
        <v>5618</v>
      </c>
      <c r="X432">
        <f>SUM(U$426:U432)</f>
        <v>5618</v>
      </c>
      <c r="Y432">
        <f>SUM(F$426:F432)</f>
        <v>5602</v>
      </c>
      <c r="Z432">
        <f t="shared" si="38"/>
        <v>16</v>
      </c>
    </row>
    <row r="433" spans="1:26" x14ac:dyDescent="0.25">
      <c r="A433" s="3">
        <f t="shared" si="34"/>
        <v>46089</v>
      </c>
      <c r="B433">
        <f t="shared" si="30"/>
        <v>2026</v>
      </c>
      <c r="C433">
        <f t="shared" si="31"/>
        <v>3</v>
      </c>
      <c r="D433">
        <f t="shared" si="32"/>
        <v>8</v>
      </c>
      <c r="E433" s="2">
        <f t="shared" si="33"/>
        <v>46081</v>
      </c>
      <c r="F433" s="12">
        <f>_xlfn.XLOOKUP($A433,m1_cv!$B:$B,m1_cv!$C:$C)</f>
        <v>43</v>
      </c>
      <c r="G433">
        <f>MAX(0,ROUND(SUMIFS(m1_cv!$E:$E,m1_cv!$A:$A,$E433,m1_cv!$B:$B,$A433),0))</f>
        <v>1001</v>
      </c>
      <c r="H433">
        <f>MAX(0,ROUND(SUMIFS(m2_cv!$E:$E,m2_cv!$A:$A,$E433,m2_cv!$B:$B,$A433),0))</f>
        <v>0</v>
      </c>
      <c r="I433">
        <f>MAX(0,ROUND(SUMIFS(m3_cv!$E:$E,m3_cv!$A:$A,$E433,m3_cv!$B:$B,$A433),0))</f>
        <v>0</v>
      </c>
      <c r="J433">
        <f>MAX(0,ROUND(SUMIFS(m4_cv!$E:$E,m4_cv!$A:$A,$E433,m4_cv!$B:$B,$A433),0))</f>
        <v>0</v>
      </c>
      <c r="K433">
        <f>MAX(0,ROUND(SUMIFS(m5_cv!$E:$E,m5_cv!$A:$A,$E433,m5_cv!$B:$B,$A433),0))</f>
        <v>0</v>
      </c>
      <c r="L433">
        <f>MAX(0,ROUND(SUMIFS(m6_cv!$E:$E,m6_cv!$A:$A,$E433,m6_cv!$B:$B,$A433),0))</f>
        <v>127</v>
      </c>
      <c r="M433">
        <f>MAX(0,ROUND(SUMIFS(m7_cv!$E:$E,m7_cv!$A:$A,$E433,m7_cv!$B:$B,$A433),0))</f>
        <v>0</v>
      </c>
      <c r="N433">
        <f>ROUND(_xlfn.XLOOKUP($D433,Charts!$W$86:$W$116,Charts!$X$86:$X$116)*$L433+_xlfn.XLOOKUP($D433,Charts!$W$86:$W$116,Charts!$Y$86:$Y$116)*$M433,0)</f>
        <v>64</v>
      </c>
      <c r="O433">
        <f>MAX(0,ROUND(SUMIFS(m8_cv!$E:$E,m8_cv!$A:$A,$E433,m8_cv!$B:$B,$A433),0))</f>
        <v>401</v>
      </c>
      <c r="Q433">
        <v>128</v>
      </c>
      <c r="R433" s="14">
        <v>0</v>
      </c>
      <c r="S433">
        <f t="shared" si="35"/>
        <v>-128</v>
      </c>
      <c r="T433">
        <f t="shared" si="36"/>
        <v>128</v>
      </c>
      <c r="U433">
        <f t="shared" si="37"/>
        <v>128</v>
      </c>
      <c r="W433">
        <f>SUM(T$426:T433)</f>
        <v>5746</v>
      </c>
      <c r="X433">
        <f>SUM(U$426:U433)</f>
        <v>5746</v>
      </c>
      <c r="Y433">
        <f>SUM(F$426:F433)</f>
        <v>5645</v>
      </c>
      <c r="Z433">
        <f t="shared" si="38"/>
        <v>101</v>
      </c>
    </row>
    <row r="434" spans="1:26" x14ac:dyDescent="0.25">
      <c r="A434" s="3">
        <f t="shared" si="34"/>
        <v>46090</v>
      </c>
      <c r="B434">
        <f t="shared" si="30"/>
        <v>2026</v>
      </c>
      <c r="C434">
        <f t="shared" si="31"/>
        <v>3</v>
      </c>
      <c r="D434">
        <f t="shared" si="32"/>
        <v>9</v>
      </c>
      <c r="E434" s="2">
        <f t="shared" si="33"/>
        <v>46081</v>
      </c>
      <c r="F434" s="12">
        <f>_xlfn.XLOOKUP($A434,m1_cv!$B:$B,m1_cv!$C:$C)</f>
        <v>1766</v>
      </c>
      <c r="G434">
        <f>MAX(0,ROUND(SUMIFS(m1_cv!$E:$E,m1_cv!$A:$A,$E434,m1_cv!$B:$B,$A434),0))</f>
        <v>3287</v>
      </c>
      <c r="H434">
        <f>MAX(0,ROUND(SUMIFS(m2_cv!$E:$E,m2_cv!$A:$A,$E434,m2_cv!$B:$B,$A434),0))</f>
        <v>1986</v>
      </c>
      <c r="I434">
        <f>MAX(0,ROUND(SUMIFS(m3_cv!$E:$E,m3_cv!$A:$A,$E434,m3_cv!$B:$B,$A434),0))</f>
        <v>2119</v>
      </c>
      <c r="J434">
        <f>MAX(0,ROUND(SUMIFS(m4_cv!$E:$E,m4_cv!$A:$A,$E434,m4_cv!$B:$B,$A434),0))</f>
        <v>2114</v>
      </c>
      <c r="K434">
        <f>MAX(0,ROUND(SUMIFS(m5_cv!$E:$E,m5_cv!$A:$A,$E434,m5_cv!$B:$B,$A434),0))</f>
        <v>2320</v>
      </c>
      <c r="L434">
        <f>MAX(0,ROUND(SUMIFS(m6_cv!$E:$E,m6_cv!$A:$A,$E434,m6_cv!$B:$B,$A434),0))</f>
        <v>1711</v>
      </c>
      <c r="M434">
        <f>MAX(0,ROUND(SUMIFS(m7_cv!$E:$E,m7_cv!$A:$A,$E434,m7_cv!$B:$B,$A434),0))</f>
        <v>2289</v>
      </c>
      <c r="N434">
        <f>ROUND(_xlfn.XLOOKUP($D434,Charts!$W$86:$W$116,Charts!$X$86:$X$116)*$L434+_xlfn.XLOOKUP($D434,Charts!$W$86:$W$116,Charts!$Y$86:$Y$116)*$M434,0)</f>
        <v>2000</v>
      </c>
      <c r="O434">
        <f>MAX(0,ROUND(SUMIFS(m8_cv!$E:$E,m8_cv!$A:$A,$E434,m8_cv!$B:$B,$A434),0))</f>
        <v>2869</v>
      </c>
      <c r="Q434">
        <v>1698</v>
      </c>
      <c r="R434" s="14">
        <v>2398</v>
      </c>
      <c r="S434">
        <f t="shared" si="35"/>
        <v>700</v>
      </c>
      <c r="T434">
        <f t="shared" si="36"/>
        <v>1698</v>
      </c>
      <c r="U434">
        <f t="shared" si="37"/>
        <v>1698</v>
      </c>
      <c r="W434">
        <f>SUM(T$426:T434)</f>
        <v>7444</v>
      </c>
      <c r="X434">
        <f>SUM(U$426:U434)</f>
        <v>7444</v>
      </c>
      <c r="Y434">
        <f>SUM(F$426:F434)</f>
        <v>7411</v>
      </c>
      <c r="Z434">
        <f t="shared" si="38"/>
        <v>33</v>
      </c>
    </row>
    <row r="435" spans="1:26" x14ac:dyDescent="0.25">
      <c r="A435" s="3">
        <f t="shared" si="34"/>
        <v>46091</v>
      </c>
      <c r="B435">
        <f t="shared" si="30"/>
        <v>2026</v>
      </c>
      <c r="C435">
        <f t="shared" si="31"/>
        <v>3</v>
      </c>
      <c r="D435">
        <f t="shared" si="32"/>
        <v>10</v>
      </c>
      <c r="E435" s="2">
        <f t="shared" si="33"/>
        <v>46081</v>
      </c>
      <c r="F435" s="12">
        <f>_xlfn.XLOOKUP($A435,m1_cv!$B:$B,m1_cv!$C:$C)</f>
        <v>2170</v>
      </c>
      <c r="G435">
        <f>MAX(0,ROUND(SUMIFS(m1_cv!$E:$E,m1_cv!$A:$A,$E435,m1_cv!$B:$B,$A435),0))</f>
        <v>3814</v>
      </c>
      <c r="H435">
        <f>MAX(0,ROUND(SUMIFS(m2_cv!$E:$E,m2_cv!$A:$A,$E435,m2_cv!$B:$B,$A435),0))</f>
        <v>2463</v>
      </c>
      <c r="I435">
        <f>MAX(0,ROUND(SUMIFS(m3_cv!$E:$E,m3_cv!$A:$A,$E435,m3_cv!$B:$B,$A435),0))</f>
        <v>2370</v>
      </c>
      <c r="J435">
        <f>MAX(0,ROUND(SUMIFS(m4_cv!$E:$E,m4_cv!$A:$A,$E435,m4_cv!$B:$B,$A435),0))</f>
        <v>2364</v>
      </c>
      <c r="K435">
        <f>MAX(0,ROUND(SUMIFS(m5_cv!$E:$E,m5_cv!$A:$A,$E435,m5_cv!$B:$B,$A435),0))</f>
        <v>2504</v>
      </c>
      <c r="L435">
        <f>MAX(0,ROUND(SUMIFS(m6_cv!$E:$E,m6_cv!$A:$A,$E435,m6_cv!$B:$B,$A435),0))</f>
        <v>2130</v>
      </c>
      <c r="M435">
        <f>MAX(0,ROUND(SUMIFS(m7_cv!$E:$E,m7_cv!$A:$A,$E435,m7_cv!$B:$B,$A435),0))</f>
        <v>2570</v>
      </c>
      <c r="N435">
        <f>ROUND(_xlfn.XLOOKUP($D435,Charts!$W$86:$W$116,Charts!$X$86:$X$116)*$L435+_xlfn.XLOOKUP($D435,Charts!$W$86:$W$116,Charts!$Y$86:$Y$116)*$M435,0)</f>
        <v>2350</v>
      </c>
      <c r="O435">
        <f>MAX(0,ROUND(SUMIFS(m8_cv!$E:$E,m8_cv!$A:$A,$E435,m8_cv!$B:$B,$A435),0))</f>
        <v>2928</v>
      </c>
      <c r="Q435">
        <v>2107</v>
      </c>
      <c r="R435" s="14">
        <v>2633</v>
      </c>
      <c r="S435">
        <f t="shared" si="35"/>
        <v>526</v>
      </c>
      <c r="T435">
        <f t="shared" si="36"/>
        <v>2107</v>
      </c>
      <c r="U435">
        <f t="shared" si="37"/>
        <v>2107</v>
      </c>
      <c r="W435">
        <f>SUM(T$426:T435)</f>
        <v>9551</v>
      </c>
      <c r="X435">
        <f>SUM(U$426:U435)</f>
        <v>9551</v>
      </c>
      <c r="Y435">
        <f>SUM(F$426:F435)</f>
        <v>9581</v>
      </c>
      <c r="Z435">
        <f t="shared" si="38"/>
        <v>-30</v>
      </c>
    </row>
    <row r="436" spans="1:26" x14ac:dyDescent="0.25">
      <c r="A436" s="3">
        <f t="shared" si="34"/>
        <v>46092</v>
      </c>
      <c r="B436">
        <f t="shared" si="30"/>
        <v>2026</v>
      </c>
      <c r="C436">
        <f t="shared" si="31"/>
        <v>3</v>
      </c>
      <c r="D436">
        <f t="shared" si="32"/>
        <v>11</v>
      </c>
      <c r="E436" s="2">
        <f t="shared" si="33"/>
        <v>46081</v>
      </c>
      <c r="F436" s="12">
        <f>_xlfn.XLOOKUP($A436,m1_cv!$B:$B,m1_cv!$C:$C)</f>
        <v>2907</v>
      </c>
      <c r="G436">
        <f>MAX(0,ROUND(SUMIFS(m1_cv!$E:$E,m1_cv!$A:$A,$E436,m1_cv!$B:$B,$A436),0))</f>
        <v>3876</v>
      </c>
      <c r="H436">
        <f>MAX(0,ROUND(SUMIFS(m2_cv!$E:$E,m2_cv!$A:$A,$E436,m2_cv!$B:$B,$A436),0))</f>
        <v>2463</v>
      </c>
      <c r="I436">
        <f>MAX(0,ROUND(SUMIFS(m3_cv!$E:$E,m3_cv!$A:$A,$E436,m3_cv!$B:$B,$A436),0))</f>
        <v>2382</v>
      </c>
      <c r="J436">
        <f>MAX(0,ROUND(SUMIFS(m4_cv!$E:$E,m4_cv!$A:$A,$E436,m4_cv!$B:$B,$A436),0))</f>
        <v>2376</v>
      </c>
      <c r="K436">
        <f>MAX(0,ROUND(SUMIFS(m5_cv!$E:$E,m5_cv!$A:$A,$E436,m5_cv!$B:$B,$A436),0))</f>
        <v>2548</v>
      </c>
      <c r="L436">
        <f>MAX(0,ROUND(SUMIFS(m6_cv!$E:$E,m6_cv!$A:$A,$E436,m6_cv!$B:$B,$A436),0))</f>
        <v>2147</v>
      </c>
      <c r="M436">
        <f>MAX(0,ROUND(SUMIFS(m7_cv!$E:$E,m7_cv!$A:$A,$E436,m7_cv!$B:$B,$A436),0))</f>
        <v>2597</v>
      </c>
      <c r="N436">
        <f>ROUND(_xlfn.XLOOKUP($D436,Charts!$W$86:$W$116,Charts!$X$86:$X$116)*$L436+_xlfn.XLOOKUP($D436,Charts!$W$86:$W$116,Charts!$Y$86:$Y$116)*$M436,0)</f>
        <v>2462</v>
      </c>
      <c r="O436">
        <f>MAX(0,ROUND(SUMIFS(m8_cv!$E:$E,m8_cv!$A:$A,$E436,m8_cv!$B:$B,$A436),0))</f>
        <v>2699</v>
      </c>
      <c r="Q436">
        <v>2154</v>
      </c>
      <c r="R436" s="14">
        <v>2621</v>
      </c>
      <c r="S436">
        <f t="shared" si="35"/>
        <v>0</v>
      </c>
      <c r="T436">
        <f>R436</f>
        <v>2621</v>
      </c>
      <c r="U436">
        <f>ROUND(T436+T436/$T$459*$S$457,0)</f>
        <v>3010</v>
      </c>
      <c r="W436">
        <f>SUM(T$426:T436)</f>
        <v>12172</v>
      </c>
      <c r="X436">
        <f>SUM(U$426:U436)</f>
        <v>12561</v>
      </c>
      <c r="Y436">
        <f>SUM(F$426:F436)</f>
        <v>12488</v>
      </c>
      <c r="Z436">
        <f t="shared" si="38"/>
        <v>73</v>
      </c>
    </row>
    <row r="437" spans="1:26" x14ac:dyDescent="0.25">
      <c r="A437" s="3">
        <f t="shared" si="34"/>
        <v>46093</v>
      </c>
      <c r="B437">
        <f t="shared" si="30"/>
        <v>2026</v>
      </c>
      <c r="C437">
        <f t="shared" si="31"/>
        <v>3</v>
      </c>
      <c r="D437">
        <f t="shared" si="32"/>
        <v>12</v>
      </c>
      <c r="E437" s="2">
        <f t="shared" si="33"/>
        <v>46081</v>
      </c>
      <c r="F437" s="12">
        <f>_xlfn.XLOOKUP($A437,m1_cv!$B:$B,m1_cv!$C:$C)</f>
        <v>3020</v>
      </c>
      <c r="G437">
        <f>MAX(0,ROUND(SUMIFS(m1_cv!$E:$E,m1_cv!$A:$A,$E437,m1_cv!$B:$B,$A437),0))</f>
        <v>3871</v>
      </c>
      <c r="H437">
        <f>MAX(0,ROUND(SUMIFS(m2_cv!$E:$E,m2_cv!$A:$A,$E437,m2_cv!$B:$B,$A437),0))</f>
        <v>2573</v>
      </c>
      <c r="I437">
        <f>MAX(0,ROUND(SUMIFS(m3_cv!$E:$E,m3_cv!$A:$A,$E437,m3_cv!$B:$B,$A437),0))</f>
        <v>2526</v>
      </c>
      <c r="J437">
        <f>MAX(0,ROUND(SUMIFS(m4_cv!$E:$E,m4_cv!$A:$A,$E437,m4_cv!$B:$B,$A437),0))</f>
        <v>2520</v>
      </c>
      <c r="K437">
        <f>MAX(0,ROUND(SUMIFS(m5_cv!$E:$E,m5_cv!$A:$A,$E437,m5_cv!$B:$B,$A437),0))</f>
        <v>2657</v>
      </c>
      <c r="L437">
        <f>MAX(0,ROUND(SUMIFS(m6_cv!$E:$E,m6_cv!$A:$A,$E437,m6_cv!$B:$B,$A437),0))</f>
        <v>2258</v>
      </c>
      <c r="M437">
        <f>MAX(0,ROUND(SUMIFS(m7_cv!$E:$E,m7_cv!$A:$A,$E437,m7_cv!$B:$B,$A437),0))</f>
        <v>2622</v>
      </c>
      <c r="N437">
        <f>ROUND(_xlfn.XLOOKUP($D437,Charts!$W$86:$W$116,Charts!$X$86:$X$116)*$L437+_xlfn.XLOOKUP($D437,Charts!$W$86:$W$116,Charts!$Y$86:$Y$116)*$M437,0)</f>
        <v>2513</v>
      </c>
      <c r="O437">
        <f>MAX(0,ROUND(SUMIFS(m8_cv!$E:$E,m8_cv!$A:$A,$E437,m8_cv!$B:$B,$A437),0))</f>
        <v>2637</v>
      </c>
      <c r="Q437">
        <v>2296</v>
      </c>
      <c r="R437" s="14">
        <v>2623</v>
      </c>
      <c r="S437">
        <f t="shared" si="35"/>
        <v>0</v>
      </c>
      <c r="T437">
        <f t="shared" ref="T437:T442" si="39">R437</f>
        <v>2623</v>
      </c>
      <c r="U437">
        <f t="shared" ref="U437:U455" si="40">ROUND(T437+T437/$T$459*$S$457,0)</f>
        <v>3012</v>
      </c>
      <c r="W437">
        <f>SUM(T$426:T437)</f>
        <v>14795</v>
      </c>
      <c r="X437">
        <f>SUM(U$426:U437)</f>
        <v>15573</v>
      </c>
      <c r="Y437">
        <f>SUM(F$426:F437)</f>
        <v>15508</v>
      </c>
      <c r="Z437">
        <f t="shared" si="38"/>
        <v>65</v>
      </c>
    </row>
    <row r="438" spans="1:26" x14ac:dyDescent="0.25">
      <c r="A438" s="3">
        <f t="shared" si="34"/>
        <v>46094</v>
      </c>
      <c r="B438">
        <f t="shared" si="30"/>
        <v>2026</v>
      </c>
      <c r="C438">
        <f t="shared" si="31"/>
        <v>3</v>
      </c>
      <c r="D438">
        <f t="shared" si="32"/>
        <v>13</v>
      </c>
      <c r="E438" s="2">
        <f t="shared" si="33"/>
        <v>46081</v>
      </c>
      <c r="F438" s="12">
        <f>_xlfn.XLOOKUP($A438,m1_cv!$B:$B,m1_cv!$C:$C)</f>
        <v>3551</v>
      </c>
      <c r="G438">
        <f>MAX(0,ROUND(SUMIFS(m1_cv!$E:$E,m1_cv!$A:$A,$E438,m1_cv!$B:$B,$A438),0))</f>
        <v>3914</v>
      </c>
      <c r="H438">
        <f>MAX(0,ROUND(SUMIFS(m2_cv!$E:$E,m2_cv!$A:$A,$E438,m2_cv!$B:$B,$A438),0))</f>
        <v>2878</v>
      </c>
      <c r="I438">
        <f>MAX(0,ROUND(SUMIFS(m3_cv!$E:$E,m3_cv!$A:$A,$E438,m3_cv!$B:$B,$A438),0))</f>
        <v>2845</v>
      </c>
      <c r="J438">
        <f>MAX(0,ROUND(SUMIFS(m4_cv!$E:$E,m4_cv!$A:$A,$E438,m4_cv!$B:$B,$A438),0))</f>
        <v>2839</v>
      </c>
      <c r="K438">
        <f>MAX(0,ROUND(SUMIFS(m5_cv!$E:$E,m5_cv!$A:$A,$E438,m5_cv!$B:$B,$A438),0))</f>
        <v>2821</v>
      </c>
      <c r="L438">
        <f>MAX(0,ROUND(SUMIFS(m6_cv!$E:$E,m6_cv!$A:$A,$E438,m6_cv!$B:$B,$A438),0))</f>
        <v>2268</v>
      </c>
      <c r="M438">
        <f>MAX(0,ROUND(SUMIFS(m7_cv!$E:$E,m7_cv!$A:$A,$E438,m7_cv!$B:$B,$A438),0))</f>
        <v>2781</v>
      </c>
      <c r="N438">
        <f>ROUND(_xlfn.XLOOKUP($D438,Charts!$W$86:$W$116,Charts!$X$86:$X$116)*$L438+_xlfn.XLOOKUP($D438,Charts!$W$86:$W$116,Charts!$Y$86:$Y$116)*$M438,0)</f>
        <v>2627</v>
      </c>
      <c r="O438">
        <f>MAX(0,ROUND(SUMIFS(m8_cv!$E:$E,m8_cv!$A:$A,$E438,m8_cv!$B:$B,$A438),0))</f>
        <v>2784</v>
      </c>
      <c r="Q438">
        <v>2295</v>
      </c>
      <c r="R438" s="14">
        <v>2777</v>
      </c>
      <c r="S438">
        <f t="shared" si="35"/>
        <v>0</v>
      </c>
      <c r="T438">
        <f t="shared" si="39"/>
        <v>2777</v>
      </c>
      <c r="U438">
        <f t="shared" si="40"/>
        <v>3189</v>
      </c>
      <c r="W438">
        <f>SUM(T$426:T438)</f>
        <v>17572</v>
      </c>
      <c r="X438">
        <f>SUM(U$426:U438)</f>
        <v>18762</v>
      </c>
      <c r="Y438">
        <f>SUM(F$426:F438)</f>
        <v>19059</v>
      </c>
      <c r="Z438">
        <f t="shared" si="38"/>
        <v>-297</v>
      </c>
    </row>
    <row r="439" spans="1:26" x14ac:dyDescent="0.25">
      <c r="A439" s="3">
        <f t="shared" si="34"/>
        <v>46095</v>
      </c>
      <c r="B439">
        <f t="shared" si="30"/>
        <v>2026</v>
      </c>
      <c r="C439">
        <f t="shared" si="31"/>
        <v>3</v>
      </c>
      <c r="D439">
        <f t="shared" si="32"/>
        <v>14</v>
      </c>
      <c r="E439" s="2">
        <f t="shared" si="33"/>
        <v>46081</v>
      </c>
      <c r="F439" s="12">
        <f>_xlfn.XLOOKUP($A439,m1_cv!$B:$B,m1_cv!$C:$C)</f>
        <v>1088</v>
      </c>
      <c r="G439">
        <f>MAX(0,ROUND(SUMIFS(m1_cv!$E:$E,m1_cv!$A:$A,$E439,m1_cv!$B:$B,$A439),0))</f>
        <v>1646</v>
      </c>
      <c r="H439">
        <f>MAX(0,ROUND(SUMIFS(m2_cv!$E:$E,m2_cv!$A:$A,$E439,m2_cv!$B:$B,$A439),0))</f>
        <v>833</v>
      </c>
      <c r="I439">
        <f>MAX(0,ROUND(SUMIFS(m3_cv!$E:$E,m3_cv!$A:$A,$E439,m3_cv!$B:$B,$A439),0))</f>
        <v>851</v>
      </c>
      <c r="J439">
        <f>MAX(0,ROUND(SUMIFS(m4_cv!$E:$E,m4_cv!$A:$A,$E439,m4_cv!$B:$B,$A439),0))</f>
        <v>844</v>
      </c>
      <c r="K439">
        <f>MAX(0,ROUND(SUMIFS(m5_cv!$E:$E,m5_cv!$A:$A,$E439,m5_cv!$B:$B,$A439),0))</f>
        <v>657</v>
      </c>
      <c r="L439">
        <f>MAX(0,ROUND(SUMIFS(m6_cv!$E:$E,m6_cv!$A:$A,$E439,m6_cv!$B:$B,$A439),0))</f>
        <v>432</v>
      </c>
      <c r="M439">
        <f>MAX(0,ROUND(SUMIFS(m7_cv!$E:$E,m7_cv!$A:$A,$E439,m7_cv!$B:$B,$A439),0))</f>
        <v>669</v>
      </c>
      <c r="N439">
        <f>ROUND(_xlfn.XLOOKUP($D439,Charts!$W$86:$W$116,Charts!$X$86:$X$116)*$L439+_xlfn.XLOOKUP($D439,Charts!$W$86:$W$116,Charts!$Y$86:$Y$116)*$M439,0)</f>
        <v>669</v>
      </c>
      <c r="O439">
        <f>MAX(0,ROUND(SUMIFS(m8_cv!$E:$E,m8_cv!$A:$A,$E439,m8_cv!$B:$B,$A439),0))</f>
        <v>661</v>
      </c>
      <c r="Q439">
        <v>429</v>
      </c>
      <c r="R439" s="14">
        <v>666</v>
      </c>
      <c r="S439">
        <f t="shared" si="35"/>
        <v>0</v>
      </c>
      <c r="T439">
        <f t="shared" si="39"/>
        <v>666</v>
      </c>
      <c r="U439">
        <f t="shared" si="40"/>
        <v>765</v>
      </c>
      <c r="W439">
        <f>SUM(T$426:T439)</f>
        <v>18238</v>
      </c>
      <c r="X439">
        <f>SUM(U$426:U439)</f>
        <v>19527</v>
      </c>
      <c r="Y439">
        <f>SUM(F$426:F439)</f>
        <v>20147</v>
      </c>
      <c r="Z439">
        <f t="shared" si="38"/>
        <v>-620</v>
      </c>
    </row>
    <row r="440" spans="1:26" x14ac:dyDescent="0.25">
      <c r="A440" s="3">
        <f t="shared" si="34"/>
        <v>46096</v>
      </c>
      <c r="B440">
        <f t="shared" si="30"/>
        <v>2026</v>
      </c>
      <c r="C440">
        <f t="shared" si="31"/>
        <v>3</v>
      </c>
      <c r="D440">
        <f t="shared" si="32"/>
        <v>15</v>
      </c>
      <c r="E440" s="2">
        <f t="shared" si="33"/>
        <v>46081</v>
      </c>
      <c r="F440" s="12">
        <f>_xlfn.XLOOKUP($A440,m1_cv!$B:$B,m1_cv!$C:$C)</f>
        <v>228</v>
      </c>
      <c r="G440">
        <f>MAX(0,ROUND(SUMIFS(m1_cv!$E:$E,m1_cv!$A:$A,$E440,m1_cv!$B:$B,$A440),0))</f>
        <v>974</v>
      </c>
      <c r="H440">
        <f>MAX(0,ROUND(SUMIFS(m2_cv!$E:$E,m2_cv!$A:$A,$E440,m2_cv!$B:$B,$A440),0))</f>
        <v>249</v>
      </c>
      <c r="I440">
        <f>MAX(0,ROUND(SUMIFS(m3_cv!$E:$E,m3_cv!$A:$A,$E440,m3_cv!$B:$B,$A440),0))</f>
        <v>319</v>
      </c>
      <c r="J440">
        <f>MAX(0,ROUND(SUMIFS(m4_cv!$E:$E,m4_cv!$A:$A,$E440,m4_cv!$B:$B,$A440),0))</f>
        <v>313</v>
      </c>
      <c r="K440">
        <f>MAX(0,ROUND(SUMIFS(m5_cv!$E:$E,m5_cv!$A:$A,$E440,m5_cv!$B:$B,$A440),0))</f>
        <v>136</v>
      </c>
      <c r="L440">
        <f>MAX(0,ROUND(SUMIFS(m6_cv!$E:$E,m6_cv!$A:$A,$E440,m6_cv!$B:$B,$A440),0))</f>
        <v>168</v>
      </c>
      <c r="M440">
        <f>MAX(0,ROUND(SUMIFS(m7_cv!$E:$E,m7_cv!$A:$A,$E440,m7_cv!$B:$B,$A440),0))</f>
        <v>177</v>
      </c>
      <c r="N440">
        <f>ROUND(_xlfn.XLOOKUP($D440,Charts!$W$86:$W$116,Charts!$X$86:$X$116)*$L440+_xlfn.XLOOKUP($D440,Charts!$W$86:$W$116,Charts!$Y$86:$Y$116)*$M440,0)</f>
        <v>177</v>
      </c>
      <c r="O440">
        <f>MAX(0,ROUND(SUMIFS(m8_cv!$E:$E,m8_cv!$A:$A,$E440,m8_cv!$B:$B,$A440),0))</f>
        <v>161</v>
      </c>
      <c r="Q440">
        <v>165</v>
      </c>
      <c r="R440" s="14">
        <v>164</v>
      </c>
      <c r="S440">
        <f t="shared" si="35"/>
        <v>0</v>
      </c>
      <c r="T440">
        <f t="shared" si="39"/>
        <v>164</v>
      </c>
      <c r="U440">
        <f t="shared" si="40"/>
        <v>188</v>
      </c>
      <c r="W440">
        <f>SUM(T$426:T440)</f>
        <v>18402</v>
      </c>
      <c r="X440">
        <f>SUM(U$426:U440)</f>
        <v>19715</v>
      </c>
      <c r="Y440">
        <f>SUM(F$426:F440)</f>
        <v>20375</v>
      </c>
      <c r="Z440">
        <f t="shared" si="38"/>
        <v>-660</v>
      </c>
    </row>
    <row r="441" spans="1:26" x14ac:dyDescent="0.25">
      <c r="A441" s="3">
        <f t="shared" si="34"/>
        <v>46097</v>
      </c>
      <c r="B441">
        <f t="shared" si="30"/>
        <v>2026</v>
      </c>
      <c r="C441">
        <f t="shared" si="31"/>
        <v>3</v>
      </c>
      <c r="D441">
        <f t="shared" si="32"/>
        <v>16</v>
      </c>
      <c r="E441" s="2">
        <f t="shared" si="33"/>
        <v>46081</v>
      </c>
      <c r="F441" s="12">
        <f>_xlfn.XLOOKUP($A441,m1_cv!$B:$B,m1_cv!$C:$C)</f>
        <v>3950</v>
      </c>
      <c r="G441">
        <f>MAX(0,ROUND(SUMIFS(m1_cv!$E:$E,m1_cv!$A:$A,$E441,m1_cv!$B:$B,$A441),0))</f>
        <v>3224</v>
      </c>
      <c r="H441">
        <f>MAX(0,ROUND(SUMIFS(m2_cv!$E:$E,m2_cv!$A:$A,$E441,m2_cv!$B:$B,$A441),0))</f>
        <v>2485</v>
      </c>
      <c r="I441">
        <f>MAX(0,ROUND(SUMIFS(m3_cv!$E:$E,m3_cv!$A:$A,$E441,m3_cv!$B:$B,$A441),0))</f>
        <v>2732</v>
      </c>
      <c r="J441">
        <f>MAX(0,ROUND(SUMIFS(m4_cv!$E:$E,m4_cv!$A:$A,$E441,m4_cv!$B:$B,$A441),0))</f>
        <v>2728</v>
      </c>
      <c r="K441">
        <f>MAX(0,ROUND(SUMIFS(m5_cv!$E:$E,m5_cv!$A:$A,$E441,m5_cv!$B:$B,$A441),0))</f>
        <v>2674</v>
      </c>
      <c r="L441">
        <f>MAX(0,ROUND(SUMIFS(m6_cv!$E:$E,m6_cv!$A:$A,$E441,m6_cv!$B:$B,$A441),0))</f>
        <v>2265</v>
      </c>
      <c r="M441">
        <f>MAX(0,ROUND(SUMIFS(m7_cv!$E:$E,m7_cv!$A:$A,$E441,m7_cv!$B:$B,$A441),0))</f>
        <v>2714</v>
      </c>
      <c r="N441">
        <f>ROUND(_xlfn.XLOOKUP($D441,Charts!$W$86:$W$116,Charts!$X$86:$X$116)*$L441+_xlfn.XLOOKUP($D441,Charts!$W$86:$W$116,Charts!$Y$86:$Y$116)*$M441,0)</f>
        <v>2714</v>
      </c>
      <c r="O441">
        <f>MAX(0,ROUND(SUMIFS(m8_cv!$E:$E,m8_cv!$A:$A,$E441,m8_cv!$B:$B,$A441),0))</f>
        <v>2702</v>
      </c>
      <c r="Q441">
        <v>2242</v>
      </c>
      <c r="R441" s="14">
        <v>2704</v>
      </c>
      <c r="S441">
        <f t="shared" si="35"/>
        <v>0</v>
      </c>
      <c r="T441">
        <f t="shared" si="39"/>
        <v>2704</v>
      </c>
      <c r="U441">
        <f t="shared" si="40"/>
        <v>3105</v>
      </c>
      <c r="W441">
        <f>SUM(T$426:T441)</f>
        <v>21106</v>
      </c>
      <c r="X441">
        <f>SUM(U$426:U441)</f>
        <v>22820</v>
      </c>
      <c r="Y441">
        <f>SUM(F$426:F441)</f>
        <v>24325</v>
      </c>
      <c r="Z441">
        <f t="shared" si="38"/>
        <v>-1505</v>
      </c>
    </row>
    <row r="442" spans="1:26" x14ac:dyDescent="0.25">
      <c r="A442" s="3">
        <f t="shared" si="34"/>
        <v>46098</v>
      </c>
      <c r="B442">
        <f t="shared" si="30"/>
        <v>2026</v>
      </c>
      <c r="C442">
        <f t="shared" si="31"/>
        <v>3</v>
      </c>
      <c r="D442">
        <f t="shared" si="32"/>
        <v>17</v>
      </c>
      <c r="E442" s="2">
        <f t="shared" si="33"/>
        <v>46081</v>
      </c>
      <c r="F442" s="12">
        <f>_xlfn.XLOOKUP($A442,m1_cv!$B:$B,m1_cv!$C:$C)</f>
        <v>5807</v>
      </c>
      <c r="G442">
        <f>MAX(0,ROUND(SUMIFS(m1_cv!$E:$E,m1_cv!$A:$A,$E442,m1_cv!$B:$B,$A442),0))</f>
        <v>3719</v>
      </c>
      <c r="H442">
        <f>MAX(0,ROUND(SUMIFS(m2_cv!$E:$E,m2_cv!$A:$A,$E442,m2_cv!$B:$B,$A442),0))</f>
        <v>3012</v>
      </c>
      <c r="I442">
        <f>MAX(0,ROUND(SUMIFS(m3_cv!$E:$E,m3_cv!$A:$A,$E442,m3_cv!$B:$B,$A442),0))</f>
        <v>3020</v>
      </c>
      <c r="J442">
        <f>MAX(0,ROUND(SUMIFS(m4_cv!$E:$E,m4_cv!$A:$A,$E442,m4_cv!$B:$B,$A442),0))</f>
        <v>3014</v>
      </c>
      <c r="K442">
        <f>MAX(0,ROUND(SUMIFS(m5_cv!$E:$E,m5_cv!$A:$A,$E442,m5_cv!$B:$B,$A442),0))</f>
        <v>3084</v>
      </c>
      <c r="L442">
        <f>MAX(0,ROUND(SUMIFS(m6_cv!$E:$E,m6_cv!$A:$A,$E442,m6_cv!$B:$B,$A442),0))</f>
        <v>2899</v>
      </c>
      <c r="M442">
        <f>MAX(0,ROUND(SUMIFS(m7_cv!$E:$E,m7_cv!$A:$A,$E442,m7_cv!$B:$B,$A442),0))</f>
        <v>3094</v>
      </c>
      <c r="N442">
        <f>ROUND(_xlfn.XLOOKUP($D442,Charts!$W$86:$W$116,Charts!$X$86:$X$116)*$L442+_xlfn.XLOOKUP($D442,Charts!$W$86:$W$116,Charts!$Y$86:$Y$116)*$M442,0)</f>
        <v>3094</v>
      </c>
      <c r="O442">
        <f>MAX(0,ROUND(SUMIFS(m8_cv!$E:$E,m8_cv!$A:$A,$E442,m8_cv!$B:$B,$A442),0))</f>
        <v>3089</v>
      </c>
      <c r="Q442">
        <v>2922</v>
      </c>
      <c r="R442" s="14">
        <v>3092</v>
      </c>
      <c r="S442">
        <f t="shared" si="35"/>
        <v>0</v>
      </c>
      <c r="T442">
        <f t="shared" si="39"/>
        <v>3092</v>
      </c>
      <c r="U442">
        <f t="shared" si="40"/>
        <v>3550</v>
      </c>
      <c r="W442">
        <f>SUM(T$426:T442)</f>
        <v>24198</v>
      </c>
      <c r="X442">
        <f>SUM(U$426:U442)</f>
        <v>26370</v>
      </c>
      <c r="Y442">
        <f>SUM(F$426:F442)</f>
        <v>30132</v>
      </c>
      <c r="Z442">
        <f t="shared" si="38"/>
        <v>-3762</v>
      </c>
    </row>
    <row r="443" spans="1:26" x14ac:dyDescent="0.25">
      <c r="A443" s="3">
        <f t="shared" si="34"/>
        <v>46099</v>
      </c>
      <c r="B443">
        <f t="shared" si="30"/>
        <v>2026</v>
      </c>
      <c r="C443">
        <f t="shared" si="31"/>
        <v>3</v>
      </c>
      <c r="D443">
        <f t="shared" si="32"/>
        <v>18</v>
      </c>
      <c r="E443" s="2">
        <f t="shared" si="33"/>
        <v>46081</v>
      </c>
      <c r="F443" s="12">
        <f>_xlfn.XLOOKUP($A443,m1_cv!$B:$B,m1_cv!$C:$C)</f>
        <v>5295</v>
      </c>
      <c r="G443">
        <f>MAX(0,ROUND(SUMIFS(m1_cv!$E:$E,m1_cv!$A:$A,$E443,m1_cv!$B:$B,$A443),0))</f>
        <v>3750</v>
      </c>
      <c r="H443">
        <f>MAX(0,ROUND(SUMIFS(m2_cv!$E:$E,m2_cv!$A:$A,$E443,m2_cv!$B:$B,$A443),0))</f>
        <v>3240</v>
      </c>
      <c r="I443">
        <f>MAX(0,ROUND(SUMIFS(m3_cv!$E:$E,m3_cv!$A:$A,$E443,m3_cv!$B:$B,$A443),0))</f>
        <v>3281</v>
      </c>
      <c r="J443">
        <f>MAX(0,ROUND(SUMIFS(m4_cv!$E:$E,m4_cv!$A:$A,$E443,m4_cv!$B:$B,$A443),0))</f>
        <v>3274</v>
      </c>
      <c r="K443">
        <f>MAX(0,ROUND(SUMIFS(m5_cv!$E:$E,m5_cv!$A:$A,$E443,m5_cv!$B:$B,$A443),0))</f>
        <v>3324</v>
      </c>
      <c r="L443">
        <f>MAX(0,ROUND(SUMIFS(m6_cv!$E:$E,m6_cv!$A:$A,$E443,m6_cv!$B:$B,$A443),0))</f>
        <v>3093</v>
      </c>
      <c r="M443">
        <f>MAX(0,ROUND(SUMIFS(m7_cv!$E:$E,m7_cv!$A:$A,$E443,m7_cv!$B:$B,$A443),0))</f>
        <v>3314</v>
      </c>
      <c r="N443">
        <f>ROUND(_xlfn.XLOOKUP($D443,Charts!$W$86:$W$116,Charts!$X$86:$X$116)*$L443+_xlfn.XLOOKUP($D443,Charts!$W$86:$W$116,Charts!$Y$86:$Y$116)*$M443,0)</f>
        <v>3314</v>
      </c>
      <c r="O443">
        <f>MAX(0,ROUND(SUMIFS(m8_cv!$E:$E,m8_cv!$A:$A,$E443,m8_cv!$B:$B,$A443),0))</f>
        <v>3297</v>
      </c>
      <c r="Q443">
        <v>3138</v>
      </c>
      <c r="R443" s="14">
        <v>3300</v>
      </c>
      <c r="S443">
        <f t="shared" si="35"/>
        <v>0</v>
      </c>
      <c r="T443">
        <f>R443</f>
        <v>3300</v>
      </c>
      <c r="U443">
        <f t="shared" si="40"/>
        <v>3789</v>
      </c>
      <c r="W443">
        <f>SUM(T$426:T443)</f>
        <v>27498</v>
      </c>
      <c r="X443">
        <f>SUM(U$426:U443)</f>
        <v>30159</v>
      </c>
      <c r="Y443">
        <f>SUM(F$426:F443)</f>
        <v>35427</v>
      </c>
      <c r="Z443">
        <f t="shared" si="38"/>
        <v>-5268</v>
      </c>
    </row>
    <row r="444" spans="1:26" x14ac:dyDescent="0.25">
      <c r="A444" s="3">
        <f t="shared" si="34"/>
        <v>46100</v>
      </c>
      <c r="B444">
        <f t="shared" si="30"/>
        <v>2026</v>
      </c>
      <c r="C444">
        <f t="shared" si="31"/>
        <v>3</v>
      </c>
      <c r="D444">
        <f t="shared" si="32"/>
        <v>19</v>
      </c>
      <c r="E444" s="2">
        <f t="shared" si="33"/>
        <v>46081</v>
      </c>
      <c r="F444" s="12">
        <f>_xlfn.XLOOKUP($A444,m1_cv!$B:$B,m1_cv!$C:$C)</f>
        <v>3557</v>
      </c>
      <c r="G444">
        <f>MAX(0,ROUND(SUMIFS(m1_cv!$E:$E,m1_cv!$A:$A,$E444,m1_cv!$B:$B,$A444),0))</f>
        <v>3719</v>
      </c>
      <c r="H444">
        <f>MAX(0,ROUND(SUMIFS(m2_cv!$E:$E,m2_cv!$A:$A,$E444,m2_cv!$B:$B,$A444),0))</f>
        <v>3435</v>
      </c>
      <c r="I444">
        <f>MAX(0,ROUND(SUMIFS(m3_cv!$E:$E,m3_cv!$A:$A,$E444,m3_cv!$B:$B,$A444),0))</f>
        <v>3536</v>
      </c>
      <c r="J444">
        <f>MAX(0,ROUND(SUMIFS(m4_cv!$E:$E,m4_cv!$A:$A,$E444,m4_cv!$B:$B,$A444),0))</f>
        <v>3530</v>
      </c>
      <c r="K444">
        <f>MAX(0,ROUND(SUMIFS(m5_cv!$E:$E,m5_cv!$A:$A,$E444,m5_cv!$B:$B,$A444),0))</f>
        <v>3463</v>
      </c>
      <c r="L444">
        <f>MAX(0,ROUND(SUMIFS(m6_cv!$E:$E,m6_cv!$A:$A,$E444,m6_cv!$B:$B,$A444),0))</f>
        <v>3408</v>
      </c>
      <c r="M444">
        <f>MAX(0,ROUND(SUMIFS(m7_cv!$E:$E,m7_cv!$A:$A,$E444,m7_cv!$B:$B,$A444),0))</f>
        <v>3462</v>
      </c>
      <c r="N444">
        <f>ROUND(_xlfn.XLOOKUP($D444,Charts!$W$86:$W$116,Charts!$X$86:$X$116)*$L444+_xlfn.XLOOKUP($D444,Charts!$W$86:$W$116,Charts!$Y$86:$Y$116)*$M444,0)</f>
        <v>3462</v>
      </c>
      <c r="O444">
        <f>MAX(0,ROUND(SUMIFS(m8_cv!$E:$E,m8_cv!$A:$A,$E444,m8_cv!$B:$B,$A444),0))</f>
        <v>3461</v>
      </c>
      <c r="Q444">
        <v>3406</v>
      </c>
      <c r="R444" s="14">
        <v>3455</v>
      </c>
      <c r="S444">
        <f t="shared" si="35"/>
        <v>0</v>
      </c>
      <c r="T444">
        <f t="shared" ref="T444:T456" si="41">R444</f>
        <v>3455</v>
      </c>
      <c r="U444">
        <f t="shared" si="40"/>
        <v>3967</v>
      </c>
      <c r="W444">
        <f>SUM(T$426:T444)</f>
        <v>30953</v>
      </c>
      <c r="X444">
        <f>SUM(U$426:U444)</f>
        <v>34126</v>
      </c>
      <c r="Y444">
        <f>SUM(F$426:F444)</f>
        <v>38984</v>
      </c>
      <c r="Z444">
        <f t="shared" si="38"/>
        <v>-4858</v>
      </c>
    </row>
    <row r="445" spans="1:26" x14ac:dyDescent="0.25">
      <c r="A445" s="3">
        <f t="shared" si="34"/>
        <v>46101</v>
      </c>
      <c r="B445">
        <f t="shared" si="30"/>
        <v>2026</v>
      </c>
      <c r="C445">
        <f t="shared" si="31"/>
        <v>3</v>
      </c>
      <c r="D445">
        <f t="shared" si="32"/>
        <v>20</v>
      </c>
      <c r="E445" s="2">
        <f t="shared" si="33"/>
        <v>46081</v>
      </c>
      <c r="F445" s="12">
        <f>_xlfn.XLOOKUP($A445,m1_cv!$B:$B,m1_cv!$C:$C)</f>
        <v>61</v>
      </c>
      <c r="G445">
        <f>MAX(0,ROUND(SUMIFS(m1_cv!$E:$E,m1_cv!$A:$A,$E445,m1_cv!$B:$B,$A445),0))</f>
        <v>3740</v>
      </c>
      <c r="H445">
        <f>MAX(0,ROUND(SUMIFS(m2_cv!$E:$E,m2_cv!$A:$A,$E445,m2_cv!$B:$B,$A445),0))</f>
        <v>3542</v>
      </c>
      <c r="I445">
        <f>MAX(0,ROUND(SUMIFS(m3_cv!$E:$E,m3_cv!$A:$A,$E445,m3_cv!$B:$B,$A445),0))</f>
        <v>275</v>
      </c>
      <c r="J445">
        <f>MAX(0,ROUND(SUMIFS(m4_cv!$E:$E,m4_cv!$A:$A,$E445,m4_cv!$B:$B,$A445),0))</f>
        <v>260</v>
      </c>
      <c r="K445">
        <f>MAX(0,ROUND(SUMIFS(m5_cv!$E:$E,m5_cv!$A:$A,$E445,m5_cv!$B:$B,$A445),0))</f>
        <v>0</v>
      </c>
      <c r="L445">
        <f>MAX(0,ROUND(SUMIFS(m6_cv!$E:$E,m6_cv!$A:$A,$E445,m6_cv!$B:$B,$A445),0))</f>
        <v>25</v>
      </c>
      <c r="M445">
        <f>MAX(0,ROUND(SUMIFS(m7_cv!$E:$E,m7_cv!$A:$A,$E445,m7_cv!$B:$B,$A445),0))</f>
        <v>0</v>
      </c>
      <c r="N445">
        <f>ROUND(_xlfn.XLOOKUP($D445,Charts!$W$86:$W$116,Charts!$X$86:$X$116)*$L445+_xlfn.XLOOKUP($D445,Charts!$W$86:$W$116,Charts!$Y$86:$Y$116)*$M445,0)</f>
        <v>0</v>
      </c>
      <c r="O445">
        <f>MAX(0,ROUND(SUMIFS(m8_cv!$E:$E,m8_cv!$A:$A,$E445,m8_cv!$B:$B,$A445),0))</f>
        <v>0</v>
      </c>
      <c r="Q445">
        <v>24</v>
      </c>
      <c r="R445" s="14">
        <v>0</v>
      </c>
      <c r="S445">
        <f t="shared" si="35"/>
        <v>0</v>
      </c>
      <c r="T445">
        <f t="shared" si="41"/>
        <v>0</v>
      </c>
      <c r="U445">
        <f t="shared" si="40"/>
        <v>0</v>
      </c>
      <c r="W445">
        <f>SUM(T$426:T445)</f>
        <v>30953</v>
      </c>
      <c r="X445">
        <f>SUM(U$426:U445)</f>
        <v>34126</v>
      </c>
      <c r="Y445">
        <f>SUM(F$426:F445)</f>
        <v>39045</v>
      </c>
      <c r="Z445">
        <f t="shared" si="38"/>
        <v>-4919</v>
      </c>
    </row>
    <row r="446" spans="1:26" x14ac:dyDescent="0.25">
      <c r="A446" s="3">
        <f t="shared" si="34"/>
        <v>46102</v>
      </c>
      <c r="B446">
        <f t="shared" si="30"/>
        <v>2026</v>
      </c>
      <c r="C446">
        <f t="shared" si="31"/>
        <v>3</v>
      </c>
      <c r="D446">
        <f t="shared" si="32"/>
        <v>21</v>
      </c>
      <c r="E446" s="2">
        <f t="shared" si="33"/>
        <v>46081</v>
      </c>
      <c r="F446" s="12">
        <f>_xlfn.XLOOKUP($A446,m1_cv!$B:$B,m1_cv!$C:$C)</f>
        <v>3</v>
      </c>
      <c r="G446">
        <f>MAX(0,ROUND(SUMIFS(m1_cv!$E:$E,m1_cv!$A:$A,$E446,m1_cv!$B:$B,$A446),0))</f>
        <v>1454</v>
      </c>
      <c r="H446">
        <f>MAX(0,ROUND(SUMIFS(m2_cv!$E:$E,m2_cv!$A:$A,$E446,m2_cv!$B:$B,$A446),0))</f>
        <v>1190</v>
      </c>
      <c r="I446">
        <f>MAX(0,ROUND(SUMIFS(m3_cv!$E:$E,m3_cv!$A:$A,$E446,m3_cv!$B:$B,$A446),0))</f>
        <v>0</v>
      </c>
      <c r="J446">
        <f>MAX(0,ROUND(SUMIFS(m4_cv!$E:$E,m4_cv!$A:$A,$E446,m4_cv!$B:$B,$A446),0))</f>
        <v>0</v>
      </c>
      <c r="K446">
        <f>MAX(0,ROUND(SUMIFS(m5_cv!$E:$E,m5_cv!$A:$A,$E446,m5_cv!$B:$B,$A446),0))</f>
        <v>0</v>
      </c>
      <c r="L446">
        <f>MAX(0,ROUND(SUMIFS(m6_cv!$E:$E,m6_cv!$A:$A,$E446,m6_cv!$B:$B,$A446),0))</f>
        <v>0</v>
      </c>
      <c r="M446">
        <f>MAX(0,ROUND(SUMIFS(m7_cv!$E:$E,m7_cv!$A:$A,$E446,m7_cv!$B:$B,$A446),0))</f>
        <v>0</v>
      </c>
      <c r="N446">
        <f>ROUND(_xlfn.XLOOKUP($D446,Charts!$W$86:$W$116,Charts!$X$86:$X$116)*$L446+_xlfn.XLOOKUP($D446,Charts!$W$86:$W$116,Charts!$Y$86:$Y$116)*$M446,0)</f>
        <v>0</v>
      </c>
      <c r="O446">
        <f>MAX(0,ROUND(SUMIFS(m8_cv!$E:$E,m8_cv!$A:$A,$E446,m8_cv!$B:$B,$A446),0))</f>
        <v>0</v>
      </c>
      <c r="Q446">
        <v>0</v>
      </c>
      <c r="R446" s="14">
        <v>0</v>
      </c>
      <c r="S446">
        <f t="shared" si="35"/>
        <v>0</v>
      </c>
      <c r="T446">
        <f t="shared" si="41"/>
        <v>0</v>
      </c>
      <c r="U446">
        <f t="shared" si="40"/>
        <v>0</v>
      </c>
      <c r="W446">
        <f>SUM(T$426:T446)</f>
        <v>30953</v>
      </c>
      <c r="X446">
        <f>SUM(U$426:U446)</f>
        <v>34126</v>
      </c>
      <c r="Y446">
        <f>SUM(F$426:F446)</f>
        <v>39048</v>
      </c>
      <c r="Z446">
        <f t="shared" si="38"/>
        <v>-4922</v>
      </c>
    </row>
    <row r="447" spans="1:26" x14ac:dyDescent="0.25">
      <c r="A447" s="3">
        <f t="shared" si="34"/>
        <v>46103</v>
      </c>
      <c r="B447">
        <f t="shared" si="30"/>
        <v>2026</v>
      </c>
      <c r="C447">
        <f t="shared" si="31"/>
        <v>3</v>
      </c>
      <c r="D447">
        <f t="shared" si="32"/>
        <v>22</v>
      </c>
      <c r="E447" s="2">
        <f t="shared" si="33"/>
        <v>46081</v>
      </c>
      <c r="F447" s="12">
        <f>_xlfn.XLOOKUP($A447,m1_cv!$B:$B,m1_cv!$C:$C)</f>
        <v>6</v>
      </c>
      <c r="G447">
        <f>MAX(0,ROUND(SUMIFS(m1_cv!$E:$E,m1_cv!$A:$A,$E447,m1_cv!$B:$B,$A447),0))</f>
        <v>770</v>
      </c>
      <c r="H447">
        <f>MAX(0,ROUND(SUMIFS(m2_cv!$E:$E,m2_cv!$A:$A,$E447,m2_cv!$B:$B,$A447),0))</f>
        <v>488</v>
      </c>
      <c r="I447">
        <f>MAX(0,ROUND(SUMIFS(m3_cv!$E:$E,m3_cv!$A:$A,$E447,m3_cv!$B:$B,$A447),0))</f>
        <v>0</v>
      </c>
      <c r="J447">
        <f>MAX(0,ROUND(SUMIFS(m4_cv!$E:$E,m4_cv!$A:$A,$E447,m4_cv!$B:$B,$A447),0))</f>
        <v>0</v>
      </c>
      <c r="K447">
        <f>MAX(0,ROUND(SUMIFS(m5_cv!$E:$E,m5_cv!$A:$A,$E447,m5_cv!$B:$B,$A447),0))</f>
        <v>0</v>
      </c>
      <c r="L447">
        <f>MAX(0,ROUND(SUMIFS(m6_cv!$E:$E,m6_cv!$A:$A,$E447,m6_cv!$B:$B,$A447),0))</f>
        <v>0</v>
      </c>
      <c r="M447">
        <f>MAX(0,ROUND(SUMIFS(m7_cv!$E:$E,m7_cv!$A:$A,$E447,m7_cv!$B:$B,$A447),0))</f>
        <v>0</v>
      </c>
      <c r="N447">
        <f>ROUND(_xlfn.XLOOKUP($D447,Charts!$W$86:$W$116,Charts!$X$86:$X$116)*$L447+_xlfn.XLOOKUP($D447,Charts!$W$86:$W$116,Charts!$Y$86:$Y$116)*$M447,0)</f>
        <v>0</v>
      </c>
      <c r="O447">
        <f>MAX(0,ROUND(SUMIFS(m8_cv!$E:$E,m8_cv!$A:$A,$E447,m8_cv!$B:$B,$A447),0))</f>
        <v>0</v>
      </c>
      <c r="Q447">
        <v>0</v>
      </c>
      <c r="R447" s="14">
        <v>0</v>
      </c>
      <c r="S447">
        <f t="shared" si="35"/>
        <v>0</v>
      </c>
      <c r="T447">
        <f t="shared" si="41"/>
        <v>0</v>
      </c>
      <c r="U447">
        <f t="shared" si="40"/>
        <v>0</v>
      </c>
      <c r="W447">
        <f>SUM(T$426:T447)</f>
        <v>30953</v>
      </c>
      <c r="X447">
        <f>SUM(U$426:U447)</f>
        <v>34126</v>
      </c>
      <c r="Y447">
        <f>SUM(F$426:F447)</f>
        <v>39054</v>
      </c>
      <c r="Z447">
        <f t="shared" si="38"/>
        <v>-4928</v>
      </c>
    </row>
    <row r="448" spans="1:26" x14ac:dyDescent="0.25">
      <c r="A448" s="3">
        <f t="shared" si="34"/>
        <v>46104</v>
      </c>
      <c r="B448">
        <f t="shared" si="30"/>
        <v>2026</v>
      </c>
      <c r="C448">
        <f t="shared" si="31"/>
        <v>3</v>
      </c>
      <c r="D448">
        <f t="shared" si="32"/>
        <v>23</v>
      </c>
      <c r="E448" s="2">
        <f t="shared" si="33"/>
        <v>46081</v>
      </c>
      <c r="F448" s="12">
        <f>_xlfn.XLOOKUP($A448,m1_cv!$B:$B,m1_cv!$C:$C)</f>
        <v>23</v>
      </c>
      <c r="G448">
        <f>MAX(0,ROUND(SUMIFS(m1_cv!$E:$E,m1_cv!$A:$A,$E448,m1_cv!$B:$B,$A448),0))</f>
        <v>3011</v>
      </c>
      <c r="H448">
        <f>MAX(0,ROUND(SUMIFS(m2_cv!$E:$E,m2_cv!$A:$A,$E448,m2_cv!$B:$B,$A448),0))</f>
        <v>2900</v>
      </c>
      <c r="I448">
        <f>MAX(0,ROUND(SUMIFS(m3_cv!$E:$E,m3_cv!$A:$A,$E448,m3_cv!$B:$B,$A448),0))</f>
        <v>0</v>
      </c>
      <c r="J448">
        <f>MAX(0,ROUND(SUMIFS(m4_cv!$E:$E,m4_cv!$A:$A,$E448,m4_cv!$B:$B,$A448),0))</f>
        <v>0</v>
      </c>
      <c r="K448">
        <f>MAX(0,ROUND(SUMIFS(m5_cv!$E:$E,m5_cv!$A:$A,$E448,m5_cv!$B:$B,$A448),0))</f>
        <v>0</v>
      </c>
      <c r="L448">
        <f>MAX(0,ROUND(SUMIFS(m6_cv!$E:$E,m6_cv!$A:$A,$E448,m6_cv!$B:$B,$A448),0))</f>
        <v>1</v>
      </c>
      <c r="M448">
        <f>MAX(0,ROUND(SUMIFS(m7_cv!$E:$E,m7_cv!$A:$A,$E448,m7_cv!$B:$B,$A448),0))</f>
        <v>0</v>
      </c>
      <c r="N448">
        <f>ROUND(_xlfn.XLOOKUP($D448,Charts!$W$86:$W$116,Charts!$X$86:$X$116)*$L448+_xlfn.XLOOKUP($D448,Charts!$W$86:$W$116,Charts!$Y$86:$Y$116)*$M448,0)</f>
        <v>0</v>
      </c>
      <c r="O448">
        <f>MAX(0,ROUND(SUMIFS(m8_cv!$E:$E,m8_cv!$A:$A,$E448,m8_cv!$B:$B,$A448),0))</f>
        <v>0</v>
      </c>
      <c r="Q448">
        <v>1</v>
      </c>
      <c r="R448" s="14">
        <v>0</v>
      </c>
      <c r="S448">
        <f t="shared" si="35"/>
        <v>0</v>
      </c>
      <c r="T448">
        <f t="shared" si="41"/>
        <v>0</v>
      </c>
      <c r="U448">
        <f t="shared" si="40"/>
        <v>0</v>
      </c>
      <c r="W448">
        <f>SUM(T$426:T448)</f>
        <v>30953</v>
      </c>
      <c r="X448">
        <f>SUM(U$426:U448)</f>
        <v>34126</v>
      </c>
      <c r="Y448">
        <f>SUM(F$426:F448)</f>
        <v>39077</v>
      </c>
      <c r="Z448">
        <f t="shared" si="38"/>
        <v>-4951</v>
      </c>
    </row>
    <row r="449" spans="1:26" x14ac:dyDescent="0.25">
      <c r="A449" s="3">
        <f t="shared" si="34"/>
        <v>46105</v>
      </c>
      <c r="B449">
        <f t="shared" si="30"/>
        <v>2026</v>
      </c>
      <c r="C449">
        <f t="shared" si="31"/>
        <v>3</v>
      </c>
      <c r="D449">
        <f t="shared" si="32"/>
        <v>24</v>
      </c>
      <c r="E449" s="2">
        <f t="shared" si="33"/>
        <v>46081</v>
      </c>
      <c r="F449" s="12">
        <f>_xlfn.XLOOKUP($A449,m1_cv!$B:$B,m1_cv!$C:$C)</f>
        <v>974</v>
      </c>
      <c r="G449">
        <f>MAX(0,ROUND(SUMIFS(m1_cv!$E:$E,m1_cv!$A:$A,$E449,m1_cv!$B:$B,$A449),0))</f>
        <v>3501</v>
      </c>
      <c r="H449">
        <f>MAX(0,ROUND(SUMIFS(m2_cv!$E:$E,m2_cv!$A:$A,$E449,m2_cv!$B:$B,$A449),0))</f>
        <v>3705</v>
      </c>
      <c r="I449">
        <f>MAX(0,ROUND(SUMIFS(m3_cv!$E:$E,m3_cv!$A:$A,$E449,m3_cv!$B:$B,$A449),0))</f>
        <v>1459</v>
      </c>
      <c r="J449">
        <f>MAX(0,ROUND(SUMIFS(m4_cv!$E:$E,m4_cv!$A:$A,$E449,m4_cv!$B:$B,$A449),0))</f>
        <v>1449</v>
      </c>
      <c r="K449">
        <f>MAX(0,ROUND(SUMIFS(m5_cv!$E:$E,m5_cv!$A:$A,$E449,m5_cv!$B:$B,$A449),0))</f>
        <v>2163</v>
      </c>
      <c r="L449">
        <f>MAX(0,ROUND(SUMIFS(m6_cv!$E:$E,m6_cv!$A:$A,$E449,m6_cv!$B:$B,$A449),0))</f>
        <v>257</v>
      </c>
      <c r="M449">
        <f>MAX(0,ROUND(SUMIFS(m7_cv!$E:$E,m7_cv!$A:$A,$E449,m7_cv!$B:$B,$A449),0))</f>
        <v>2193</v>
      </c>
      <c r="N449">
        <f>ROUND(_xlfn.XLOOKUP($D449,Charts!$W$86:$W$116,Charts!$X$86:$X$116)*$L449+_xlfn.XLOOKUP($D449,Charts!$W$86:$W$116,Charts!$Y$86:$Y$116)*$M449,0)</f>
        <v>257</v>
      </c>
      <c r="O449">
        <f>MAX(0,ROUND(SUMIFS(m8_cv!$E:$E,m8_cv!$A:$A,$E449,m8_cv!$B:$B,$A449),0))</f>
        <v>2201</v>
      </c>
      <c r="Q449">
        <v>242</v>
      </c>
      <c r="R449" s="14">
        <v>2085</v>
      </c>
      <c r="S449">
        <f t="shared" si="35"/>
        <v>0</v>
      </c>
      <c r="T449">
        <f t="shared" si="41"/>
        <v>2085</v>
      </c>
      <c r="U449">
        <f t="shared" si="40"/>
        <v>2394</v>
      </c>
      <c r="W449">
        <f>SUM(T$426:T449)</f>
        <v>33038</v>
      </c>
      <c r="X449">
        <f>SUM(U$426:U449)</f>
        <v>36520</v>
      </c>
      <c r="Y449">
        <f>SUM(F$426:F449)</f>
        <v>40051</v>
      </c>
      <c r="Z449">
        <f t="shared" si="38"/>
        <v>-3531</v>
      </c>
    </row>
    <row r="450" spans="1:26" x14ac:dyDescent="0.25">
      <c r="A450" s="3">
        <f t="shared" si="34"/>
        <v>46106</v>
      </c>
      <c r="B450">
        <f t="shared" si="30"/>
        <v>2026</v>
      </c>
      <c r="C450">
        <f t="shared" si="31"/>
        <v>3</v>
      </c>
      <c r="D450">
        <f t="shared" si="32"/>
        <v>25</v>
      </c>
      <c r="E450" s="2">
        <f t="shared" si="33"/>
        <v>46081</v>
      </c>
      <c r="F450" s="12">
        <f>_xlfn.XLOOKUP($A450,m1_cv!$B:$B,m1_cv!$C:$C)</f>
        <v>1752</v>
      </c>
      <c r="G450">
        <f>MAX(0,ROUND(SUMIFS(m1_cv!$E:$E,m1_cv!$A:$A,$E450,m1_cv!$B:$B,$A450),0))</f>
        <v>3533</v>
      </c>
      <c r="H450">
        <f>MAX(0,ROUND(SUMIFS(m2_cv!$E:$E,m2_cv!$A:$A,$E450,m2_cv!$B:$B,$A450),0))</f>
        <v>4017</v>
      </c>
      <c r="I450">
        <f>MAX(0,ROUND(SUMIFS(m3_cv!$E:$E,m3_cv!$A:$A,$E450,m3_cv!$B:$B,$A450),0))</f>
        <v>2527</v>
      </c>
      <c r="J450">
        <f>MAX(0,ROUND(SUMIFS(m4_cv!$E:$E,m4_cv!$A:$A,$E450,m4_cv!$B:$B,$A450),0))</f>
        <v>2536</v>
      </c>
      <c r="K450">
        <f>MAX(0,ROUND(SUMIFS(m5_cv!$E:$E,m5_cv!$A:$A,$E450,m5_cv!$B:$B,$A450),0))</f>
        <v>2097</v>
      </c>
      <c r="L450">
        <f>MAX(0,ROUND(SUMIFS(m6_cv!$E:$E,m6_cv!$A:$A,$E450,m6_cv!$B:$B,$A450),0))</f>
        <v>526</v>
      </c>
      <c r="M450">
        <f>MAX(0,ROUND(SUMIFS(m7_cv!$E:$E,m7_cv!$A:$A,$E450,m7_cv!$B:$B,$A450),0))</f>
        <v>2054</v>
      </c>
      <c r="N450">
        <f>ROUND(_xlfn.XLOOKUP($D450,Charts!$W$86:$W$116,Charts!$X$86:$X$116)*$L450+_xlfn.XLOOKUP($D450,Charts!$W$86:$W$116,Charts!$Y$86:$Y$116)*$M450,0)</f>
        <v>526</v>
      </c>
      <c r="O450">
        <f>MAX(0,ROUND(SUMIFS(m8_cv!$E:$E,m8_cv!$A:$A,$E450,m8_cv!$B:$B,$A450),0))</f>
        <v>2296</v>
      </c>
      <c r="Q450">
        <v>909</v>
      </c>
      <c r="R450" s="14">
        <v>2908</v>
      </c>
      <c r="S450">
        <f t="shared" si="35"/>
        <v>0</v>
      </c>
      <c r="T450">
        <f t="shared" si="41"/>
        <v>2908</v>
      </c>
      <c r="U450">
        <f t="shared" si="40"/>
        <v>3339</v>
      </c>
      <c r="W450">
        <f>SUM(T$426:T450)</f>
        <v>35946</v>
      </c>
      <c r="X450">
        <f>SUM(U$426:U450)</f>
        <v>39859</v>
      </c>
      <c r="Y450">
        <f>SUM(F$426:F450)</f>
        <v>41803</v>
      </c>
      <c r="Z450">
        <f t="shared" si="38"/>
        <v>-1944</v>
      </c>
    </row>
    <row r="451" spans="1:26" x14ac:dyDescent="0.25">
      <c r="A451" s="3">
        <f t="shared" si="34"/>
        <v>46107</v>
      </c>
      <c r="B451">
        <f t="shared" ref="B451:B456" si="42">YEAR(A451)</f>
        <v>2026</v>
      </c>
      <c r="C451">
        <f t="shared" ref="C451:C456" si="43">MONTH($A451)</f>
        <v>3</v>
      </c>
      <c r="D451">
        <f t="shared" ref="D451:D456" si="44">DAY($A451)</f>
        <v>26</v>
      </c>
      <c r="E451" s="2">
        <f t="shared" ref="E451:E456" si="45">DATE($B451,$C451,1)-1</f>
        <v>46081</v>
      </c>
      <c r="F451" s="12">
        <f>_xlfn.XLOOKUP($A451,m1_cv!$B:$B,m1_cv!$C:$C)</f>
        <v>2884</v>
      </c>
      <c r="G451">
        <f>MAX(0,ROUND(SUMIFS(m1_cv!$E:$E,m1_cv!$A:$A,$E451,m1_cv!$B:$B,$A451),0))</f>
        <v>3506</v>
      </c>
      <c r="H451">
        <f>MAX(0,ROUND(SUMIFS(m2_cv!$E:$E,m2_cv!$A:$A,$E451,m2_cv!$B:$B,$A451),0))</f>
        <v>4023</v>
      </c>
      <c r="I451">
        <f>MAX(0,ROUND(SUMIFS(m3_cv!$E:$E,m3_cv!$A:$A,$E451,m3_cv!$B:$B,$A451),0))</f>
        <v>3634</v>
      </c>
      <c r="J451">
        <f>MAX(0,ROUND(SUMIFS(m4_cv!$E:$E,m4_cv!$A:$A,$E451,m4_cv!$B:$B,$A451),0))</f>
        <v>3616</v>
      </c>
      <c r="K451">
        <f>MAX(0,ROUND(SUMIFS(m5_cv!$E:$E,m5_cv!$A:$A,$E451,m5_cv!$B:$B,$A451),0))</f>
        <v>3336</v>
      </c>
      <c r="L451">
        <f>MAX(0,ROUND(SUMIFS(m6_cv!$E:$E,m6_cv!$A:$A,$E451,m6_cv!$B:$B,$A451),0))</f>
        <v>1308</v>
      </c>
      <c r="M451">
        <f>MAX(0,ROUND(SUMIFS(m7_cv!$E:$E,m7_cv!$A:$A,$E451,m7_cv!$B:$B,$A451),0))</f>
        <v>3374</v>
      </c>
      <c r="N451">
        <f>ROUND(_xlfn.XLOOKUP($D451,Charts!$W$86:$W$116,Charts!$X$86:$X$116)*$L451+_xlfn.XLOOKUP($D451,Charts!$W$86:$W$116,Charts!$Y$86:$Y$116)*$M451,0)</f>
        <v>1308</v>
      </c>
      <c r="O451">
        <f>MAX(0,ROUND(SUMIFS(m8_cv!$E:$E,m8_cv!$A:$A,$E451,m8_cv!$B:$B,$A451),0))</f>
        <v>3058</v>
      </c>
      <c r="Q451">
        <v>1880</v>
      </c>
      <c r="R451" s="14">
        <v>3862</v>
      </c>
      <c r="S451">
        <f t="shared" si="35"/>
        <v>0</v>
      </c>
      <c r="T451">
        <f t="shared" si="41"/>
        <v>3862</v>
      </c>
      <c r="U451">
        <f t="shared" si="40"/>
        <v>4435</v>
      </c>
      <c r="W451">
        <f>SUM(T$426:T451)</f>
        <v>39808</v>
      </c>
      <c r="X451">
        <f>SUM(U$426:U451)</f>
        <v>44294</v>
      </c>
      <c r="Y451">
        <f>SUM(F$426:F451)</f>
        <v>44687</v>
      </c>
      <c r="Z451">
        <f t="shared" si="38"/>
        <v>-393</v>
      </c>
    </row>
    <row r="452" spans="1:26" x14ac:dyDescent="0.25">
      <c r="A452" s="3">
        <f t="shared" ref="A452:A456" si="46">A451+1</f>
        <v>46108</v>
      </c>
      <c r="B452">
        <f t="shared" si="42"/>
        <v>2026</v>
      </c>
      <c r="C452">
        <f t="shared" si="43"/>
        <v>3</v>
      </c>
      <c r="D452">
        <f t="shared" si="44"/>
        <v>27</v>
      </c>
      <c r="E452" s="2">
        <f t="shared" si="45"/>
        <v>46081</v>
      </c>
      <c r="F452" s="12">
        <f>_xlfn.XLOOKUP($A452,m1_cv!$B:$B,m1_cv!$C:$C)</f>
        <v>3597</v>
      </c>
      <c r="G452">
        <f>MAX(0,ROUND(SUMIFS(m1_cv!$E:$E,m1_cv!$A:$A,$E452,m1_cv!$B:$B,$A452),0))</f>
        <v>3534</v>
      </c>
      <c r="H452">
        <f>MAX(0,ROUND(SUMIFS(m2_cv!$E:$E,m2_cv!$A:$A,$E452,m2_cv!$B:$B,$A452),0))</f>
        <v>3936</v>
      </c>
      <c r="I452">
        <f>MAX(0,ROUND(SUMIFS(m3_cv!$E:$E,m3_cv!$A:$A,$E452,m3_cv!$B:$B,$A452),0))</f>
        <v>2330</v>
      </c>
      <c r="J452">
        <f>MAX(0,ROUND(SUMIFS(m4_cv!$E:$E,m4_cv!$A:$A,$E452,m4_cv!$B:$B,$A452),0))</f>
        <v>2309</v>
      </c>
      <c r="K452">
        <f>MAX(0,ROUND(SUMIFS(m5_cv!$E:$E,m5_cv!$A:$A,$E452,m5_cv!$B:$B,$A452),0))</f>
        <v>2626</v>
      </c>
      <c r="L452">
        <f>MAX(0,ROUND(SUMIFS(m6_cv!$E:$E,m6_cv!$A:$A,$E452,m6_cv!$B:$B,$A452),0))</f>
        <v>2365</v>
      </c>
      <c r="M452">
        <f>MAX(0,ROUND(SUMIFS(m7_cv!$E:$E,m7_cv!$A:$A,$E452,m7_cv!$B:$B,$A452),0))</f>
        <v>2811</v>
      </c>
      <c r="N452">
        <f>ROUND(_xlfn.XLOOKUP($D452,Charts!$W$86:$W$116,Charts!$X$86:$X$116)*$L452+_xlfn.XLOOKUP($D452,Charts!$W$86:$W$116,Charts!$Y$86:$Y$116)*$M452,0)</f>
        <v>2365</v>
      </c>
      <c r="O452">
        <f>MAX(0,ROUND(SUMIFS(m8_cv!$E:$E,m8_cv!$A:$A,$E452,m8_cv!$B:$B,$A452),0))</f>
        <v>2651</v>
      </c>
      <c r="Q452">
        <v>1778</v>
      </c>
      <c r="R452" s="14">
        <v>2007</v>
      </c>
      <c r="S452">
        <f t="shared" si="35"/>
        <v>0</v>
      </c>
      <c r="T452">
        <f t="shared" si="41"/>
        <v>2007</v>
      </c>
      <c r="U452">
        <f t="shared" si="40"/>
        <v>2305</v>
      </c>
      <c r="W452">
        <f>SUM(T$426:T452)</f>
        <v>41815</v>
      </c>
      <c r="X452">
        <f>SUM(U$426:U452)</f>
        <v>46599</v>
      </c>
      <c r="Y452">
        <f>SUM(F$426:F452)</f>
        <v>48284</v>
      </c>
      <c r="Z452">
        <f t="shared" si="38"/>
        <v>-1685</v>
      </c>
    </row>
    <row r="453" spans="1:26" x14ac:dyDescent="0.25">
      <c r="A453" s="3">
        <f t="shared" si="46"/>
        <v>46109</v>
      </c>
      <c r="B453">
        <f t="shared" si="42"/>
        <v>2026</v>
      </c>
      <c r="C453">
        <f t="shared" si="43"/>
        <v>3</v>
      </c>
      <c r="D453">
        <f t="shared" si="44"/>
        <v>28</v>
      </c>
      <c r="E453" s="2">
        <f t="shared" si="45"/>
        <v>46081</v>
      </c>
      <c r="F453" s="12">
        <f>_xlfn.XLOOKUP($A453,m1_cv!$B:$B,m1_cv!$C:$C)</f>
        <v>1207</v>
      </c>
      <c r="G453">
        <f>MAX(0,ROUND(SUMIFS(m1_cv!$E:$E,m1_cv!$A:$A,$E453,m1_cv!$B:$B,$A453),0))</f>
        <v>1258</v>
      </c>
      <c r="H453">
        <f>MAX(0,ROUND(SUMIFS(m2_cv!$E:$E,m2_cv!$A:$A,$E453,m2_cv!$B:$B,$A453),0))</f>
        <v>1788</v>
      </c>
      <c r="I453">
        <f>MAX(0,ROUND(SUMIFS(m3_cv!$E:$E,m3_cv!$A:$A,$E453,m3_cv!$B:$B,$A453),0))</f>
        <v>449</v>
      </c>
      <c r="J453">
        <f>MAX(0,ROUND(SUMIFS(m4_cv!$E:$E,m4_cv!$A:$A,$E453,m4_cv!$B:$B,$A453),0))</f>
        <v>443</v>
      </c>
      <c r="K453">
        <f>MAX(0,ROUND(SUMIFS(m5_cv!$E:$E,m5_cv!$A:$A,$E453,m5_cv!$B:$B,$A453),0))</f>
        <v>1546</v>
      </c>
      <c r="L453">
        <f>MAX(0,ROUND(SUMIFS(m6_cv!$E:$E,m6_cv!$A:$A,$E453,m6_cv!$B:$B,$A453),0))</f>
        <v>555</v>
      </c>
      <c r="M453">
        <f>MAX(0,ROUND(SUMIFS(m7_cv!$E:$E,m7_cv!$A:$A,$E453,m7_cv!$B:$B,$A453),0))</f>
        <v>1680</v>
      </c>
      <c r="N453">
        <f>ROUND(_xlfn.XLOOKUP($D453,Charts!$W$86:$W$116,Charts!$X$86:$X$116)*$L453+_xlfn.XLOOKUP($D453,Charts!$W$86:$W$116,Charts!$Y$86:$Y$116)*$M453,0)</f>
        <v>555</v>
      </c>
      <c r="O453">
        <f>MAX(0,ROUND(SUMIFS(m8_cv!$E:$E,m8_cv!$A:$A,$E453,m8_cv!$B:$B,$A453),0))</f>
        <v>665</v>
      </c>
      <c r="Q453">
        <v>407</v>
      </c>
      <c r="R453" s="14">
        <v>766</v>
      </c>
      <c r="S453">
        <f t="shared" si="35"/>
        <v>0</v>
      </c>
      <c r="T453">
        <f t="shared" si="41"/>
        <v>766</v>
      </c>
      <c r="U453">
        <f t="shared" si="40"/>
        <v>880</v>
      </c>
      <c r="W453">
        <f>SUM(T$426:T453)</f>
        <v>42581</v>
      </c>
      <c r="X453">
        <f>SUM(U$426:U453)</f>
        <v>47479</v>
      </c>
      <c r="Y453">
        <f>SUM(F$426:F453)</f>
        <v>49491</v>
      </c>
      <c r="Z453">
        <f t="shared" si="38"/>
        <v>-2012</v>
      </c>
    </row>
    <row r="454" spans="1:26" x14ac:dyDescent="0.25">
      <c r="A454" s="3">
        <f t="shared" si="46"/>
        <v>46110</v>
      </c>
      <c r="B454">
        <f t="shared" si="42"/>
        <v>2026</v>
      </c>
      <c r="C454">
        <f t="shared" si="43"/>
        <v>3</v>
      </c>
      <c r="D454">
        <f t="shared" si="44"/>
        <v>29</v>
      </c>
      <c r="E454" s="2">
        <f t="shared" si="45"/>
        <v>46081</v>
      </c>
      <c r="F454" s="12">
        <f>_xlfn.XLOOKUP($A454,m1_cv!$B:$B,m1_cv!$C:$C)</f>
        <v>183</v>
      </c>
      <c r="G454">
        <f>MAX(0,ROUND(SUMIFS(m1_cv!$E:$E,m1_cv!$A:$A,$E454,m1_cv!$B:$B,$A454),0))</f>
        <v>587</v>
      </c>
      <c r="H454">
        <f>MAX(0,ROUND(SUMIFS(m2_cv!$E:$E,m2_cv!$A:$A,$E454,m2_cv!$B:$B,$A454),0))</f>
        <v>1848</v>
      </c>
      <c r="I454">
        <f>MAX(0,ROUND(SUMIFS(m3_cv!$E:$E,m3_cv!$A:$A,$E454,m3_cv!$B:$B,$A454),0))</f>
        <v>379</v>
      </c>
      <c r="J454">
        <f>MAX(0,ROUND(SUMIFS(m4_cv!$E:$E,m4_cv!$A:$A,$E454,m4_cv!$B:$B,$A454),0))</f>
        <v>344</v>
      </c>
      <c r="K454">
        <f>MAX(0,ROUND(SUMIFS(m5_cv!$E:$E,m5_cv!$A:$A,$E454,m5_cv!$B:$B,$A454),0))</f>
        <v>242</v>
      </c>
      <c r="L454">
        <f>MAX(0,ROUND(SUMIFS(m6_cv!$E:$E,m6_cv!$A:$A,$E454,m6_cv!$B:$B,$A454),0))</f>
        <v>330</v>
      </c>
      <c r="M454">
        <f>MAX(0,ROUND(SUMIFS(m7_cv!$E:$E,m7_cv!$A:$A,$E454,m7_cv!$B:$B,$A454),0))</f>
        <v>82</v>
      </c>
      <c r="N454">
        <f>ROUND(_xlfn.XLOOKUP($D454,Charts!$W$86:$W$116,Charts!$X$86:$X$116)*$L454+_xlfn.XLOOKUP($D454,Charts!$W$86:$W$116,Charts!$Y$86:$Y$116)*$M454,0)</f>
        <v>82</v>
      </c>
      <c r="O454">
        <f>MAX(0,ROUND(SUMIFS(m8_cv!$E:$E,m8_cv!$A:$A,$E454,m8_cv!$B:$B,$A454),0))</f>
        <v>78</v>
      </c>
      <c r="Q454">
        <v>260</v>
      </c>
      <c r="R454" s="14">
        <v>0</v>
      </c>
      <c r="S454">
        <f t="shared" si="35"/>
        <v>0</v>
      </c>
      <c r="T454">
        <f t="shared" si="41"/>
        <v>0</v>
      </c>
      <c r="U454">
        <f t="shared" si="40"/>
        <v>0</v>
      </c>
      <c r="W454">
        <f>SUM(T$426:T454)</f>
        <v>42581</v>
      </c>
      <c r="X454">
        <f>SUM(U$426:U454)</f>
        <v>47479</v>
      </c>
      <c r="Y454">
        <f>SUM(F$426:F454)</f>
        <v>49674</v>
      </c>
      <c r="Z454">
        <f t="shared" si="38"/>
        <v>-2195</v>
      </c>
    </row>
    <row r="455" spans="1:26" x14ac:dyDescent="0.25">
      <c r="A455" s="3">
        <f t="shared" si="46"/>
        <v>46111</v>
      </c>
      <c r="B455">
        <f t="shared" si="42"/>
        <v>2026</v>
      </c>
      <c r="C455">
        <f t="shared" si="43"/>
        <v>3</v>
      </c>
      <c r="D455">
        <f t="shared" si="44"/>
        <v>30</v>
      </c>
      <c r="E455" s="2">
        <f t="shared" si="45"/>
        <v>46081</v>
      </c>
      <c r="F455" s="12">
        <f>_xlfn.XLOOKUP($A455,m1_cv!$B:$B,m1_cv!$C:$C)</f>
        <v>4959</v>
      </c>
      <c r="G455">
        <f>MAX(0,ROUND(SUMIFS(m1_cv!$E:$E,m1_cv!$A:$A,$E455,m1_cv!$B:$B,$A455),0))</f>
        <v>2842</v>
      </c>
      <c r="H455">
        <f>MAX(0,ROUND(SUMIFS(m2_cv!$E:$E,m2_cv!$A:$A,$E455,m2_cv!$B:$B,$A455),0))</f>
        <v>5293</v>
      </c>
      <c r="I455">
        <f>MAX(0,ROUND(SUMIFS(m3_cv!$E:$E,m3_cv!$A:$A,$E455,m3_cv!$B:$B,$A455),0))</f>
        <v>4099</v>
      </c>
      <c r="J455">
        <f>MAX(0,ROUND(SUMIFS(m4_cv!$E:$E,m4_cv!$A:$A,$E455,m4_cv!$B:$B,$A455),0))</f>
        <v>4085</v>
      </c>
      <c r="K455">
        <f>MAX(0,ROUND(SUMIFS(m5_cv!$E:$E,m5_cv!$A:$A,$E455,m5_cv!$B:$B,$A455),0))</f>
        <v>6477</v>
      </c>
      <c r="L455">
        <f>MAX(0,ROUND(SUMIFS(m6_cv!$E:$E,m6_cv!$A:$A,$E455,m6_cv!$B:$B,$A455),0))</f>
        <v>7780</v>
      </c>
      <c r="M455">
        <f>MAX(0,ROUND(SUMIFS(m7_cv!$E:$E,m7_cv!$A:$A,$E455,m7_cv!$B:$B,$A455),0))</f>
        <v>6288</v>
      </c>
      <c r="N455">
        <f>ROUND(_xlfn.XLOOKUP($D455,Charts!$W$86:$W$116,Charts!$X$86:$X$116)*$L455+_xlfn.XLOOKUP($D455,Charts!$W$86:$W$116,Charts!$Y$86:$Y$116)*$M455,0)</f>
        <v>6288</v>
      </c>
      <c r="O455">
        <f>MAX(0,ROUND(SUMIFS(m8_cv!$E:$E,m8_cv!$A:$A,$E455,m8_cv!$B:$B,$A455),0))</f>
        <v>5651</v>
      </c>
      <c r="Q455">
        <v>7029</v>
      </c>
      <c r="R455" s="14">
        <v>6267</v>
      </c>
      <c r="S455">
        <f t="shared" si="35"/>
        <v>0</v>
      </c>
      <c r="T455">
        <f t="shared" si="41"/>
        <v>6267</v>
      </c>
      <c r="U455">
        <f t="shared" si="40"/>
        <v>7196</v>
      </c>
      <c r="W455">
        <f>SUM(T$426:T455)</f>
        <v>48848</v>
      </c>
      <c r="X455">
        <f>SUM(U$426:U455)</f>
        <v>54675</v>
      </c>
      <c r="Y455">
        <f>SUM(F$426:F455)</f>
        <v>54633</v>
      </c>
      <c r="Z455">
        <f t="shared" si="38"/>
        <v>42</v>
      </c>
    </row>
    <row r="456" spans="1:26" x14ac:dyDescent="0.25">
      <c r="A456" s="3">
        <f t="shared" si="46"/>
        <v>46112</v>
      </c>
      <c r="B456">
        <f t="shared" si="42"/>
        <v>2026</v>
      </c>
      <c r="C456">
        <f t="shared" si="43"/>
        <v>3</v>
      </c>
      <c r="D456">
        <f t="shared" si="44"/>
        <v>31</v>
      </c>
      <c r="E456" s="2">
        <f t="shared" si="45"/>
        <v>46081</v>
      </c>
      <c r="F456" s="12">
        <f>_xlfn.XLOOKUP($A456,m1_cv!$B:$B,m1_cv!$C:$C)</f>
        <v>13213</v>
      </c>
      <c r="G456">
        <f>MAX(0,ROUND(SUMIFS(m1_cv!$E:$E,m1_cv!$A:$A,$E456,m1_cv!$B:$B,$A456),0))</f>
        <v>3348</v>
      </c>
      <c r="H456">
        <f>MAX(0,ROUND(SUMIFS(m2_cv!$E:$E,m2_cv!$A:$A,$E456,m2_cv!$B:$B,$A456),0))</f>
        <v>6814</v>
      </c>
      <c r="I456">
        <f>MAX(0,ROUND(SUMIFS(m3_cv!$E:$E,m3_cv!$A:$A,$E456,m3_cv!$B:$B,$A456),0))</f>
        <v>6926</v>
      </c>
      <c r="J456">
        <f>MAX(0,ROUND(SUMIFS(m4_cv!$E:$E,m4_cv!$A:$A,$E456,m4_cv!$B:$B,$A456),0))</f>
        <v>6920</v>
      </c>
      <c r="K456">
        <f>MAX(0,ROUND(SUMIFS(m5_cv!$E:$E,m5_cv!$A:$A,$E456,m5_cv!$B:$B,$A456),0))</f>
        <v>10541</v>
      </c>
      <c r="L456">
        <f>MAX(0,ROUND(SUMIFS(m6_cv!$E:$E,m6_cv!$A:$A,$E456,m6_cv!$B:$B,$A456),0))</f>
        <v>22678</v>
      </c>
      <c r="M456">
        <f>MAX(0,ROUND(SUMIFS(m7_cv!$E:$E,m7_cv!$A:$A,$E456,m7_cv!$B:$B,$A456),0))</f>
        <v>10922</v>
      </c>
      <c r="N456">
        <f>ROUND(_xlfn.XLOOKUP($D456,Charts!$W$86:$W$116,Charts!$X$86:$X$116)*$L456+_xlfn.XLOOKUP($D456,Charts!$W$86:$W$116,Charts!$Y$86:$Y$116)*$M456,0)</f>
        <v>10922</v>
      </c>
      <c r="O456">
        <f>MAX(0,ROUND(SUMIFS(m8_cv!$E:$E,m8_cv!$A:$A,$E456,m8_cv!$B:$B,$A456),0))</f>
        <v>10720</v>
      </c>
      <c r="Q456" s="13">
        <v>23412</v>
      </c>
      <c r="R456" s="15">
        <v>11027</v>
      </c>
      <c r="S456" s="13">
        <f t="shared" si="35"/>
        <v>0</v>
      </c>
      <c r="T456" s="13">
        <f t="shared" si="41"/>
        <v>11027</v>
      </c>
      <c r="U456" s="13">
        <f>R457-SUM(U426:U455)</f>
        <v>12661</v>
      </c>
      <c r="W456">
        <f>SUM(T$426:T456)</f>
        <v>59875</v>
      </c>
      <c r="X456">
        <f>SUM(U$426:U456)</f>
        <v>67336</v>
      </c>
      <c r="Y456">
        <f>SUM(F$426:F456)</f>
        <v>67846</v>
      </c>
      <c r="Z456">
        <f t="shared" si="38"/>
        <v>-510</v>
      </c>
    </row>
    <row r="457" spans="1:26" x14ac:dyDescent="0.25">
      <c r="Q457" s="4">
        <f>SUM(Q426:Q456)</f>
        <v>64540</v>
      </c>
      <c r="R457" s="16">
        <f>SUM(R426:R456)</f>
        <v>67336</v>
      </c>
      <c r="S457" s="4">
        <f>R457-T457</f>
        <v>7461</v>
      </c>
      <c r="T457" s="4">
        <f>SUM(T426:T456)</f>
        <v>59875</v>
      </c>
      <c r="U457" s="4">
        <f>SUM(U426:U456)</f>
        <v>67336</v>
      </c>
    </row>
    <row r="459" spans="1:26" x14ac:dyDescent="0.25">
      <c r="T459">
        <f>SUM(T436:T456)</f>
        <v>50324</v>
      </c>
    </row>
  </sheetData>
  <autoFilter ref="A1:M456" xr:uid="{1F9728D5-E78B-4B73-B990-591C587F86FC}"/>
  <phoneticPr fontId="3" type="noConversion"/>
  <conditionalFormatting sqref="Z427:Z45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{91D06760-C9AC-4FE7-A3DD-44AF24A789E7}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06760-C9AC-4FE7-A3DD-44AF24A789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Z427:Z456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0D04-731D-435A-AEEA-EA1FECE1E1BA}">
  <dimension ref="A1:H466"/>
  <sheetViews>
    <sheetView topLeftCell="A431" workbookViewId="0">
      <selection activeCell="D466" sqref="D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DATE(YEAR(m1_crossvalid[[#This Row],[cutoff]]),MONTH(m1_crossvalid[[#This Row],[cutoff]]),DAY(m1_crossvalid[[#This Row],[cutoff]]))</f>
        <v>45657</v>
      </c>
      <c r="B2" s="7">
        <f>DATE(YEAR(m1_crossvalid[[#This Row],[ds]]),MONTH(m1_crossvalid[[#This Row],[ds]]),DAY(m1_crossvalid[[#This Row],[ds]]))</f>
        <v>45658</v>
      </c>
      <c r="C2">
        <v>90</v>
      </c>
      <c r="D2" s="1">
        <v>45658.333333333336</v>
      </c>
      <c r="E2">
        <v>3522.3645771012375</v>
      </c>
      <c r="F2">
        <v>869.45925866164851</v>
      </c>
      <c r="G2">
        <v>6095.8075678950754</v>
      </c>
      <c r="H2" s="1">
        <v>45657.333333333336</v>
      </c>
    </row>
    <row r="3" spans="1:8" x14ac:dyDescent="0.25">
      <c r="A3" s="7">
        <f>DATE(YEAR(m1_crossvalid[[#This Row],[cutoff]]),MONTH(m1_crossvalid[[#This Row],[cutoff]]),DAY(m1_crossvalid[[#This Row],[cutoff]]))</f>
        <v>45657</v>
      </c>
      <c r="B3" s="7">
        <f>DATE(YEAR(m1_crossvalid[[#This Row],[ds]]),MONTH(m1_crossvalid[[#This Row],[ds]]),DAY(m1_crossvalid[[#This Row],[ds]]))</f>
        <v>45659</v>
      </c>
      <c r="C3">
        <v>541</v>
      </c>
      <c r="D3" s="1">
        <v>45659.333333333336</v>
      </c>
      <c r="E3">
        <v>3467.478953813059</v>
      </c>
      <c r="F3">
        <v>857.21718603670365</v>
      </c>
      <c r="G3">
        <v>6007.9346480024542</v>
      </c>
      <c r="H3" s="1">
        <v>45657.333333333336</v>
      </c>
    </row>
    <row r="4" spans="1:8" x14ac:dyDescent="0.25">
      <c r="A4" s="7">
        <f>DATE(YEAR(m1_crossvalid[[#This Row],[cutoff]]),MONTH(m1_crossvalid[[#This Row],[cutoff]]),DAY(m1_crossvalid[[#This Row],[cutoff]]))</f>
        <v>45657</v>
      </c>
      <c r="B4" s="7">
        <f>DATE(YEAR(m1_crossvalid[[#This Row],[ds]]),MONTH(m1_crossvalid[[#This Row],[ds]]),DAY(m1_crossvalid[[#This Row],[ds]]))</f>
        <v>45660</v>
      </c>
      <c r="C4">
        <v>563</v>
      </c>
      <c r="D4" s="1">
        <v>45660.333333333336</v>
      </c>
      <c r="E4">
        <v>3306.6604613573754</v>
      </c>
      <c r="F4">
        <v>792.65971185118997</v>
      </c>
      <c r="G4">
        <v>5834.1204503280351</v>
      </c>
      <c r="H4" s="1">
        <v>45657.333333333336</v>
      </c>
    </row>
    <row r="5" spans="1:8" x14ac:dyDescent="0.25">
      <c r="A5" s="7">
        <f>DATE(YEAR(m1_crossvalid[[#This Row],[cutoff]]),MONTH(m1_crossvalid[[#This Row],[cutoff]]),DAY(m1_crossvalid[[#This Row],[cutoff]]))</f>
        <v>45657</v>
      </c>
      <c r="B5" s="7">
        <f>DATE(YEAR(m1_crossvalid[[#This Row],[ds]]),MONTH(m1_crossvalid[[#This Row],[ds]]),DAY(m1_crossvalid[[#This Row],[ds]]))</f>
        <v>45661</v>
      </c>
      <c r="C5">
        <v>42</v>
      </c>
      <c r="D5" s="1">
        <v>45661.333333333336</v>
      </c>
      <c r="E5">
        <v>1098.1645075574099</v>
      </c>
      <c r="F5">
        <v>-1466.6470991090305</v>
      </c>
      <c r="G5">
        <v>3714.1348009714297</v>
      </c>
      <c r="H5" s="1">
        <v>45657.333333333336</v>
      </c>
    </row>
    <row r="6" spans="1:8" x14ac:dyDescent="0.25">
      <c r="A6" s="7">
        <f>DATE(YEAR(m1_crossvalid[[#This Row],[cutoff]]),MONTH(m1_crossvalid[[#This Row],[cutoff]]),DAY(m1_crossvalid[[#This Row],[cutoff]]))</f>
        <v>45657</v>
      </c>
      <c r="B6" s="7">
        <f>DATE(YEAR(m1_crossvalid[[#This Row],[ds]]),MONTH(m1_crossvalid[[#This Row],[ds]]),DAY(m1_crossvalid[[#This Row],[ds]]))</f>
        <v>45662</v>
      </c>
      <c r="C6">
        <v>22</v>
      </c>
      <c r="D6" s="1">
        <v>45662.333333333336</v>
      </c>
      <c r="E6">
        <v>505.22375628464056</v>
      </c>
      <c r="F6">
        <v>-2090.1788691722027</v>
      </c>
      <c r="G6">
        <v>3132.1808863543774</v>
      </c>
      <c r="H6" s="1">
        <v>45657.333333333336</v>
      </c>
    </row>
    <row r="7" spans="1:8" x14ac:dyDescent="0.25">
      <c r="A7" s="7">
        <f>DATE(YEAR(m1_crossvalid[[#This Row],[cutoff]]),MONTH(m1_crossvalid[[#This Row],[cutoff]]),DAY(m1_crossvalid[[#This Row],[cutoff]]))</f>
        <v>45657</v>
      </c>
      <c r="B7" s="7">
        <f>DATE(YEAR(m1_crossvalid[[#This Row],[ds]]),MONTH(m1_crossvalid[[#This Row],[ds]]),DAY(m1_crossvalid[[#This Row],[ds]]))</f>
        <v>45663</v>
      </c>
      <c r="C7">
        <v>533</v>
      </c>
      <c r="D7" s="1">
        <v>45663.333333333336</v>
      </c>
      <c r="E7">
        <v>2745.2820860230968</v>
      </c>
      <c r="F7">
        <v>12.770675693182179</v>
      </c>
      <c r="G7">
        <v>5440.8159637527651</v>
      </c>
      <c r="H7" s="1">
        <v>45657.333333333336</v>
      </c>
    </row>
    <row r="8" spans="1:8" x14ac:dyDescent="0.25">
      <c r="A8" s="7">
        <f>DATE(YEAR(m1_crossvalid[[#This Row],[cutoff]]),MONTH(m1_crossvalid[[#This Row],[cutoff]]),DAY(m1_crossvalid[[#This Row],[cutoff]]))</f>
        <v>45657</v>
      </c>
      <c r="B8" s="7">
        <f>DATE(YEAR(m1_crossvalid[[#This Row],[ds]]),MONTH(m1_crossvalid[[#This Row],[ds]]),DAY(m1_crossvalid[[#This Row],[ds]]))</f>
        <v>45664</v>
      </c>
      <c r="C8">
        <v>712</v>
      </c>
      <c r="D8" s="1">
        <v>45664.333333333336</v>
      </c>
      <c r="E8">
        <v>3283.8701326814639</v>
      </c>
      <c r="F8">
        <v>780.45466296727761</v>
      </c>
      <c r="G8">
        <v>6027.8368719032651</v>
      </c>
      <c r="H8" s="1">
        <v>45657.333333333336</v>
      </c>
    </row>
    <row r="9" spans="1:8" x14ac:dyDescent="0.25">
      <c r="A9" s="7">
        <f>DATE(YEAR(m1_crossvalid[[#This Row],[cutoff]]),MONTH(m1_crossvalid[[#This Row],[cutoff]]),DAY(m1_crossvalid[[#This Row],[cutoff]]))</f>
        <v>45657</v>
      </c>
      <c r="B9" s="7">
        <f>DATE(YEAR(m1_crossvalid[[#This Row],[ds]]),MONTH(m1_crossvalid[[#This Row],[ds]]),DAY(m1_crossvalid[[#This Row],[ds]]))</f>
        <v>45665</v>
      </c>
      <c r="C9">
        <v>904</v>
      </c>
      <c r="D9" s="1">
        <v>45665.333333333336</v>
      </c>
      <c r="E9">
        <v>3229.692365169587</v>
      </c>
      <c r="F9">
        <v>714.72582670477072</v>
      </c>
      <c r="G9">
        <v>5758.8544460740268</v>
      </c>
      <c r="H9" s="1">
        <v>45657.333333333336</v>
      </c>
    </row>
    <row r="10" spans="1:8" x14ac:dyDescent="0.25">
      <c r="A10" s="7">
        <f>DATE(YEAR(m1_crossvalid[[#This Row],[cutoff]]),MONTH(m1_crossvalid[[#This Row],[cutoff]]),DAY(m1_crossvalid[[#This Row],[cutoff]]))</f>
        <v>45657</v>
      </c>
      <c r="B10" s="7">
        <f>DATE(YEAR(m1_crossvalid[[#This Row],[ds]]),MONTH(m1_crossvalid[[#This Row],[ds]]),DAY(m1_crossvalid[[#This Row],[ds]]))</f>
        <v>45666</v>
      </c>
      <c r="C10">
        <v>1135</v>
      </c>
      <c r="D10" s="1">
        <v>45666.333333333336</v>
      </c>
      <c r="E10">
        <v>3181.1759103846202</v>
      </c>
      <c r="F10">
        <v>662.42338406902434</v>
      </c>
      <c r="G10">
        <v>5800.5703962329735</v>
      </c>
      <c r="H10" s="1">
        <v>45657.333333333336</v>
      </c>
    </row>
    <row r="11" spans="1:8" x14ac:dyDescent="0.25">
      <c r="A11" s="7">
        <f>DATE(YEAR(m1_crossvalid[[#This Row],[cutoff]]),MONTH(m1_crossvalid[[#This Row],[cutoff]]),DAY(m1_crossvalid[[#This Row],[cutoff]]))</f>
        <v>45657</v>
      </c>
      <c r="B11" s="7">
        <f>DATE(YEAR(m1_crossvalid[[#This Row],[ds]]),MONTH(m1_crossvalid[[#This Row],[ds]]),DAY(m1_crossvalid[[#This Row],[ds]]))</f>
        <v>45667</v>
      </c>
      <c r="C11">
        <v>1270</v>
      </c>
      <c r="D11" s="1">
        <v>45667.333333333336</v>
      </c>
      <c r="E11">
        <v>3030.0615851439825</v>
      </c>
      <c r="F11">
        <v>332.55535284097704</v>
      </c>
      <c r="G11">
        <v>5543.5323285362101</v>
      </c>
      <c r="H11" s="1">
        <v>45657.333333333336</v>
      </c>
    </row>
    <row r="12" spans="1:8" x14ac:dyDescent="0.25">
      <c r="A12" s="7">
        <f>DATE(YEAR(m1_crossvalid[[#This Row],[cutoff]]),MONTH(m1_crossvalid[[#This Row],[cutoff]]),DAY(m1_crossvalid[[#This Row],[cutoff]]))</f>
        <v>45657</v>
      </c>
      <c r="B12" s="7">
        <f>DATE(YEAR(m1_crossvalid[[#This Row],[ds]]),MONTH(m1_crossvalid[[#This Row],[ds]]),DAY(m1_crossvalid[[#This Row],[ds]]))</f>
        <v>45668</v>
      </c>
      <c r="C12">
        <v>203</v>
      </c>
      <c r="D12" s="1">
        <v>45668.333333333336</v>
      </c>
      <c r="E12">
        <v>834.34571326892251</v>
      </c>
      <c r="F12">
        <v>-1586.5987192476634</v>
      </c>
      <c r="G12">
        <v>3526.2033200947731</v>
      </c>
      <c r="H12" s="1">
        <v>45657.333333333336</v>
      </c>
    </row>
    <row r="13" spans="1:8" x14ac:dyDescent="0.25">
      <c r="A13" s="7">
        <f>DATE(YEAR(m1_crossvalid[[#This Row],[cutoff]]),MONTH(m1_crossvalid[[#This Row],[cutoff]]),DAY(m1_crossvalid[[#This Row],[cutoff]]))</f>
        <v>45657</v>
      </c>
      <c r="B13" s="7">
        <f>DATE(YEAR(m1_crossvalid[[#This Row],[ds]]),MONTH(m1_crossvalid[[#This Row],[ds]]),DAY(m1_crossvalid[[#This Row],[ds]]))</f>
        <v>45669</v>
      </c>
      <c r="C13">
        <v>41</v>
      </c>
      <c r="D13" s="1">
        <v>45669.333333333336</v>
      </c>
      <c r="E13">
        <v>256.94978125737498</v>
      </c>
      <c r="F13">
        <v>-2091.7461519428139</v>
      </c>
      <c r="G13">
        <v>2790.7026785369803</v>
      </c>
      <c r="H13" s="1">
        <v>45657.333333333336</v>
      </c>
    </row>
    <row r="14" spans="1:8" x14ac:dyDescent="0.25">
      <c r="A14" s="7">
        <f>DATE(YEAR(m1_crossvalid[[#This Row],[cutoff]]),MONTH(m1_crossvalid[[#This Row],[cutoff]]),DAY(m1_crossvalid[[#This Row],[cutoff]]))</f>
        <v>45657</v>
      </c>
      <c r="B14" s="7">
        <f>DATE(YEAR(m1_crossvalid[[#This Row],[ds]]),MONTH(m1_crossvalid[[#This Row],[ds]]),DAY(m1_crossvalid[[#This Row],[ds]]))</f>
        <v>45670</v>
      </c>
      <c r="C14">
        <v>1313</v>
      </c>
      <c r="D14" s="1">
        <v>45670.333333333336</v>
      </c>
      <c r="E14">
        <v>2514.9628995769713</v>
      </c>
      <c r="F14">
        <v>-66.288493526233992</v>
      </c>
      <c r="G14">
        <v>5200.3120656725578</v>
      </c>
      <c r="H14" s="1">
        <v>45657.333333333336</v>
      </c>
    </row>
    <row r="15" spans="1:8" x14ac:dyDescent="0.25">
      <c r="A15" s="7">
        <f>DATE(YEAR(m1_crossvalid[[#This Row],[cutoff]]),MONTH(m1_crossvalid[[#This Row],[cutoff]]),DAY(m1_crossvalid[[#This Row],[cutoff]]))</f>
        <v>45657</v>
      </c>
      <c r="B15" s="7">
        <f>DATE(YEAR(m1_crossvalid[[#This Row],[ds]]),MONTH(m1_crossvalid[[#This Row],[ds]]),DAY(m1_crossvalid[[#This Row],[ds]]))</f>
        <v>45671</v>
      </c>
      <c r="C15">
        <v>1609</v>
      </c>
      <c r="D15" s="1">
        <v>45671.333333333336</v>
      </c>
      <c r="E15">
        <v>3073.526728869565</v>
      </c>
      <c r="F15">
        <v>462.41526793350243</v>
      </c>
      <c r="G15">
        <v>5632.604177622914</v>
      </c>
      <c r="H15" s="1">
        <v>45657.333333333336</v>
      </c>
    </row>
    <row r="16" spans="1:8" x14ac:dyDescent="0.25">
      <c r="A16" s="7">
        <f>DATE(YEAR(m1_crossvalid[[#This Row],[cutoff]]),MONTH(m1_crossvalid[[#This Row],[cutoff]]),DAY(m1_crossvalid[[#This Row],[cutoff]]))</f>
        <v>45657</v>
      </c>
      <c r="B16" s="7">
        <f>DATE(YEAR(m1_crossvalid[[#This Row],[ds]]),MONTH(m1_crossvalid[[#This Row],[ds]]),DAY(m1_crossvalid[[#This Row],[ds]]))</f>
        <v>45672</v>
      </c>
      <c r="C16">
        <v>2010</v>
      </c>
      <c r="D16" s="1">
        <v>45672.333333333336</v>
      </c>
      <c r="E16">
        <v>3040.9325571274071</v>
      </c>
      <c r="F16">
        <v>460.49048201956907</v>
      </c>
      <c r="G16">
        <v>5458.9106118480304</v>
      </c>
      <c r="H16" s="1">
        <v>45657.333333333336</v>
      </c>
    </row>
    <row r="17" spans="1:8" x14ac:dyDescent="0.25">
      <c r="A17" s="7">
        <f>DATE(YEAR(m1_crossvalid[[#This Row],[cutoff]]),MONTH(m1_crossvalid[[#This Row],[cutoff]]),DAY(m1_crossvalid[[#This Row],[cutoff]]))</f>
        <v>45657</v>
      </c>
      <c r="B17" s="7">
        <f>DATE(YEAR(m1_crossvalid[[#This Row],[ds]]),MONTH(m1_crossvalid[[#This Row],[ds]]),DAY(m1_crossvalid[[#This Row],[ds]]))</f>
        <v>45673</v>
      </c>
      <c r="C17">
        <v>2206</v>
      </c>
      <c r="D17" s="1">
        <v>45673.333333333336</v>
      </c>
      <c r="E17">
        <v>3015.180469197498</v>
      </c>
      <c r="F17">
        <v>614.65728906308448</v>
      </c>
      <c r="G17">
        <v>5869.4646082253612</v>
      </c>
      <c r="H17" s="1">
        <v>45657.333333333336</v>
      </c>
    </row>
    <row r="18" spans="1:8" x14ac:dyDescent="0.25">
      <c r="A18" s="7">
        <f>DATE(YEAR(m1_crossvalid[[#This Row],[cutoff]]),MONTH(m1_crossvalid[[#This Row],[cutoff]]),DAY(m1_crossvalid[[#This Row],[cutoff]]))</f>
        <v>45657</v>
      </c>
      <c r="B18" s="7">
        <f>DATE(YEAR(m1_crossvalid[[#This Row],[ds]]),MONTH(m1_crossvalid[[#This Row],[ds]]),DAY(m1_crossvalid[[#This Row],[ds]]))</f>
        <v>45674</v>
      </c>
      <c r="C18">
        <v>2291</v>
      </c>
      <c r="D18" s="1">
        <v>45674.333333333336</v>
      </c>
      <c r="E18">
        <v>2887.580785767791</v>
      </c>
      <c r="F18">
        <v>137.49658690057578</v>
      </c>
      <c r="G18">
        <v>5551.5583127237669</v>
      </c>
      <c r="H18" s="1">
        <v>45657.333333333336</v>
      </c>
    </row>
    <row r="19" spans="1:8" x14ac:dyDescent="0.25">
      <c r="A19" s="7">
        <f>DATE(YEAR(m1_crossvalid[[#This Row],[cutoff]]),MONTH(m1_crossvalid[[#This Row],[cutoff]]),DAY(m1_crossvalid[[#This Row],[cutoff]]))</f>
        <v>45657</v>
      </c>
      <c r="B19" s="7">
        <f>DATE(YEAR(m1_crossvalid[[#This Row],[ds]]),MONTH(m1_crossvalid[[#This Row],[ds]]),DAY(m1_crossvalid[[#This Row],[ds]]))</f>
        <v>45675</v>
      </c>
      <c r="C19">
        <v>401</v>
      </c>
      <c r="D19" s="1">
        <v>45675.333333333336</v>
      </c>
      <c r="E19">
        <v>715.7060724831847</v>
      </c>
      <c r="F19">
        <v>-1825.4578757016254</v>
      </c>
      <c r="G19">
        <v>3668.8151331869776</v>
      </c>
      <c r="H19" s="1">
        <v>45657.333333333336</v>
      </c>
    </row>
    <row r="20" spans="1:8" x14ac:dyDescent="0.25">
      <c r="A20" s="7">
        <f>DATE(YEAR(m1_crossvalid[[#This Row],[cutoff]]),MONTH(m1_crossvalid[[#This Row],[cutoff]]),DAY(m1_crossvalid[[#This Row],[cutoff]]))</f>
        <v>45657</v>
      </c>
      <c r="B20" s="7">
        <f>DATE(YEAR(m1_crossvalid[[#This Row],[ds]]),MONTH(m1_crossvalid[[#This Row],[ds]]),DAY(m1_crossvalid[[#This Row],[ds]]))</f>
        <v>45676</v>
      </c>
      <c r="C20">
        <v>129</v>
      </c>
      <c r="D20" s="1">
        <v>45676.333333333336</v>
      </c>
      <c r="E20">
        <v>162.07050562798486</v>
      </c>
      <c r="F20">
        <v>-2513.404476830875</v>
      </c>
      <c r="G20">
        <v>2890.8726108395949</v>
      </c>
      <c r="H20" s="1">
        <v>45657.333333333336</v>
      </c>
    </row>
    <row r="21" spans="1:8" x14ac:dyDescent="0.25">
      <c r="A21" s="7">
        <f>DATE(YEAR(m1_crossvalid[[#This Row],[cutoff]]),MONTH(m1_crossvalid[[#This Row],[cutoff]]),DAY(m1_crossvalid[[#This Row],[cutoff]]))</f>
        <v>45657</v>
      </c>
      <c r="B21" s="7">
        <f>DATE(YEAR(m1_crossvalid[[#This Row],[ds]]),MONTH(m1_crossvalid[[#This Row],[ds]]),DAY(m1_crossvalid[[#This Row],[ds]]))</f>
        <v>45677</v>
      </c>
      <c r="C21">
        <v>2385</v>
      </c>
      <c r="D21" s="1">
        <v>45677.333333333336</v>
      </c>
      <c r="E21">
        <v>2443.3813125027282</v>
      </c>
      <c r="F21">
        <v>-213.74439693759851</v>
      </c>
      <c r="G21">
        <v>5056.5115700112683</v>
      </c>
      <c r="H21" s="1">
        <v>45657.333333333336</v>
      </c>
    </row>
    <row r="22" spans="1:8" x14ac:dyDescent="0.25">
      <c r="A22" s="7">
        <f>DATE(YEAR(m1_crossvalid[[#This Row],[cutoff]]),MONTH(m1_crossvalid[[#This Row],[cutoff]]),DAY(m1_crossvalid[[#This Row],[cutoff]]))</f>
        <v>45657</v>
      </c>
      <c r="B22" s="7">
        <f>DATE(YEAR(m1_crossvalid[[#This Row],[ds]]),MONTH(m1_crossvalid[[#This Row],[ds]]),DAY(m1_crossvalid[[#This Row],[ds]]))</f>
        <v>45678</v>
      </c>
      <c r="C22">
        <v>3051</v>
      </c>
      <c r="D22" s="1">
        <v>45678.333333333336</v>
      </c>
      <c r="E22">
        <v>3024.4317216057589</v>
      </c>
      <c r="F22">
        <v>411.6388455211852</v>
      </c>
      <c r="G22">
        <v>5503.5869898197998</v>
      </c>
      <c r="H22" s="1">
        <v>45657.333333333336</v>
      </c>
    </row>
    <row r="23" spans="1:8" x14ac:dyDescent="0.25">
      <c r="A23" s="7">
        <f>DATE(YEAR(m1_crossvalid[[#This Row],[cutoff]]),MONTH(m1_crossvalid[[#This Row],[cutoff]]),DAY(m1_crossvalid[[#This Row],[cutoff]]))</f>
        <v>45657</v>
      </c>
      <c r="B23" s="7">
        <f>DATE(YEAR(m1_crossvalid[[#This Row],[ds]]),MONTH(m1_crossvalid[[#This Row],[ds]]),DAY(m1_crossvalid[[#This Row],[ds]]))</f>
        <v>45679</v>
      </c>
      <c r="C23">
        <v>2878</v>
      </c>
      <c r="D23" s="1">
        <v>45679.333333333336</v>
      </c>
      <c r="E23">
        <v>3013.2049151589822</v>
      </c>
      <c r="F23">
        <v>443.01190456041331</v>
      </c>
      <c r="G23">
        <v>5609.8900604502787</v>
      </c>
      <c r="H23" s="1">
        <v>45657.333333333336</v>
      </c>
    </row>
    <row r="24" spans="1:8" x14ac:dyDescent="0.25">
      <c r="A24" s="7">
        <f>DATE(YEAR(m1_crossvalid[[#This Row],[cutoff]]),MONTH(m1_crossvalid[[#This Row],[cutoff]]),DAY(m1_crossvalid[[#This Row],[cutoff]]))</f>
        <v>45657</v>
      </c>
      <c r="B24" s="7">
        <f>DATE(YEAR(m1_crossvalid[[#This Row],[ds]]),MONTH(m1_crossvalid[[#This Row],[ds]]),DAY(m1_crossvalid[[#This Row],[ds]]))</f>
        <v>45680</v>
      </c>
      <c r="C24">
        <v>4853</v>
      </c>
      <c r="D24" s="1">
        <v>45680.333333333336</v>
      </c>
      <c r="E24">
        <v>3007.4387680412665</v>
      </c>
      <c r="F24">
        <v>365.09708803056009</v>
      </c>
      <c r="G24">
        <v>5555.7002335218385</v>
      </c>
      <c r="H24" s="1">
        <v>45657.333333333336</v>
      </c>
    </row>
    <row r="25" spans="1:8" x14ac:dyDescent="0.25">
      <c r="A25" s="7">
        <f>DATE(YEAR(m1_crossvalid[[#This Row],[cutoff]]),MONTH(m1_crossvalid[[#This Row],[cutoff]]),DAY(m1_crossvalid[[#This Row],[cutoff]]))</f>
        <v>45657</v>
      </c>
      <c r="B25" s="7">
        <f>DATE(YEAR(m1_crossvalid[[#This Row],[ds]]),MONTH(m1_crossvalid[[#This Row],[ds]]),DAY(m1_crossvalid[[#This Row],[ds]]))</f>
        <v>45681</v>
      </c>
      <c r="C25">
        <v>5202</v>
      </c>
      <c r="D25" s="1">
        <v>45681.333333333336</v>
      </c>
      <c r="E25">
        <v>2898.2314323410974</v>
      </c>
      <c r="F25">
        <v>195.74927935771316</v>
      </c>
      <c r="G25">
        <v>5424.0028507572424</v>
      </c>
      <c r="H25" s="1">
        <v>45657.333333333336</v>
      </c>
    </row>
    <row r="26" spans="1:8" x14ac:dyDescent="0.25">
      <c r="A26" s="7">
        <f>DATE(YEAR(m1_crossvalid[[#This Row],[cutoff]]),MONTH(m1_crossvalid[[#This Row],[cutoff]]),DAY(m1_crossvalid[[#This Row],[cutoff]]))</f>
        <v>45657</v>
      </c>
      <c r="B26" s="7">
        <f>DATE(YEAR(m1_crossvalid[[#This Row],[ds]]),MONTH(m1_crossvalid[[#This Row],[ds]]),DAY(m1_crossvalid[[#This Row],[ds]]))</f>
        <v>45682</v>
      </c>
      <c r="C26">
        <v>1624</v>
      </c>
      <c r="D26" s="1">
        <v>45682.333333333336</v>
      </c>
      <c r="E26">
        <v>742.99599319544859</v>
      </c>
      <c r="F26">
        <v>-1883.6982177500399</v>
      </c>
      <c r="G26">
        <v>3310.1040810938148</v>
      </c>
      <c r="H26" s="1">
        <v>45657.333333333336</v>
      </c>
    </row>
    <row r="27" spans="1:8" x14ac:dyDescent="0.25">
      <c r="A27" s="7">
        <f>DATE(YEAR(m1_crossvalid[[#This Row],[cutoff]]),MONTH(m1_crossvalid[[#This Row],[cutoff]]),DAY(m1_crossvalid[[#This Row],[cutoff]]))</f>
        <v>45657</v>
      </c>
      <c r="B27" s="7">
        <f>DATE(YEAR(m1_crossvalid[[#This Row],[ds]]),MONTH(m1_crossvalid[[#This Row],[ds]]),DAY(m1_crossvalid[[#This Row],[ds]]))</f>
        <v>45683</v>
      </c>
      <c r="C27">
        <v>454</v>
      </c>
      <c r="D27" s="1">
        <v>45683.333333333336</v>
      </c>
      <c r="E27">
        <v>204.14095124147661</v>
      </c>
      <c r="F27">
        <v>-2131.7725708408034</v>
      </c>
      <c r="G27">
        <v>2929.7086573734323</v>
      </c>
      <c r="H27" s="1">
        <v>45657.333333333336</v>
      </c>
    </row>
    <row r="28" spans="1:8" x14ac:dyDescent="0.25">
      <c r="A28" s="7">
        <f>DATE(YEAR(m1_crossvalid[[#This Row],[cutoff]]),MONTH(m1_crossvalid[[#This Row],[cutoff]]),DAY(m1_crossvalid[[#This Row],[cutoff]]))</f>
        <v>45657</v>
      </c>
      <c r="B28" s="7">
        <f>DATE(YEAR(m1_crossvalid[[#This Row],[ds]]),MONTH(m1_crossvalid[[#This Row],[ds]]),DAY(m1_crossvalid[[#This Row],[ds]]))</f>
        <v>45684</v>
      </c>
      <c r="C28">
        <v>5598</v>
      </c>
      <c r="D28" s="1">
        <v>45684.333333333336</v>
      </c>
      <c r="E28">
        <v>2498.3212632191376</v>
      </c>
      <c r="F28">
        <v>-144.42339116183422</v>
      </c>
      <c r="G28">
        <v>5146.3356471963625</v>
      </c>
      <c r="H28" s="1">
        <v>45657.333333333336</v>
      </c>
    </row>
    <row r="29" spans="1:8" x14ac:dyDescent="0.25">
      <c r="A29" s="7">
        <f>DATE(YEAR(m1_crossvalid[[#This Row],[cutoff]]),MONTH(m1_crossvalid[[#This Row],[cutoff]]),DAY(m1_crossvalid[[#This Row],[cutoff]]))</f>
        <v>45657</v>
      </c>
      <c r="B29" s="7">
        <f>DATE(YEAR(m1_crossvalid[[#This Row],[ds]]),MONTH(m1_crossvalid[[#This Row],[ds]]),DAY(m1_crossvalid[[#This Row],[ds]]))</f>
        <v>45685</v>
      </c>
      <c r="C29">
        <v>5264</v>
      </c>
      <c r="D29" s="1">
        <v>45685.333333333336</v>
      </c>
      <c r="E29">
        <v>3090.3294321415419</v>
      </c>
      <c r="F29">
        <v>501.69683632855777</v>
      </c>
      <c r="G29">
        <v>5789.1604562880075</v>
      </c>
      <c r="H29" s="1">
        <v>45657.333333333336</v>
      </c>
    </row>
    <row r="30" spans="1:8" x14ac:dyDescent="0.25">
      <c r="A30" s="7">
        <f>DATE(YEAR(m1_crossvalid[[#This Row],[cutoff]]),MONTH(m1_crossvalid[[#This Row],[cutoff]]),DAY(m1_crossvalid[[#This Row],[cutoff]]))</f>
        <v>45657</v>
      </c>
      <c r="B30" s="7">
        <f>DATE(YEAR(m1_crossvalid[[#This Row],[ds]]),MONTH(m1_crossvalid[[#This Row],[ds]]),DAY(m1_crossvalid[[#This Row],[ds]]))</f>
        <v>45686</v>
      </c>
      <c r="C30">
        <v>310</v>
      </c>
      <c r="D30" s="1">
        <v>45686.333333333336</v>
      </c>
      <c r="E30">
        <v>3088.1962371226946</v>
      </c>
      <c r="F30">
        <v>763.41589478951596</v>
      </c>
      <c r="G30">
        <v>5843.6985083319423</v>
      </c>
      <c r="H30" s="1">
        <v>45657.333333333336</v>
      </c>
    </row>
    <row r="31" spans="1:8" x14ac:dyDescent="0.25">
      <c r="A31" s="7">
        <f>DATE(YEAR(m1_crossvalid[[#This Row],[cutoff]]),MONTH(m1_crossvalid[[#This Row],[cutoff]]),DAY(m1_crossvalid[[#This Row],[cutoff]]))</f>
        <v>45657</v>
      </c>
      <c r="B31" s="7">
        <f>DATE(YEAR(m1_crossvalid[[#This Row],[ds]]),MONTH(m1_crossvalid[[#This Row],[ds]]),DAY(m1_crossvalid[[#This Row],[ds]]))</f>
        <v>45687</v>
      </c>
      <c r="C31">
        <v>255</v>
      </c>
      <c r="D31" s="1">
        <v>45687.333333333336</v>
      </c>
      <c r="E31">
        <v>3089.7510215427678</v>
      </c>
      <c r="F31">
        <v>398.47733875119673</v>
      </c>
      <c r="G31">
        <v>5688.8293558230971</v>
      </c>
      <c r="H31" s="1">
        <v>45657.333333333336</v>
      </c>
    </row>
    <row r="32" spans="1:8" x14ac:dyDescent="0.25">
      <c r="A32" s="7">
        <f>DATE(YEAR(m1_crossvalid[[#This Row],[cutoff]]),MONTH(m1_crossvalid[[#This Row],[cutoff]]),DAY(m1_crossvalid[[#This Row],[cutoff]]))</f>
        <v>45657</v>
      </c>
      <c r="B32" s="7">
        <f>DATE(YEAR(m1_crossvalid[[#This Row],[ds]]),MONTH(m1_crossvalid[[#This Row],[ds]]),DAY(m1_crossvalid[[#This Row],[ds]]))</f>
        <v>45688</v>
      </c>
      <c r="C32">
        <v>6041</v>
      </c>
      <c r="D32" s="1">
        <v>45688.333333333336</v>
      </c>
      <c r="E32">
        <v>2986.2217663303663</v>
      </c>
      <c r="F32">
        <v>417.33360324140784</v>
      </c>
      <c r="G32">
        <v>5542.817208135797</v>
      </c>
      <c r="H32" s="1">
        <v>45657.333333333336</v>
      </c>
    </row>
    <row r="33" spans="1:8" x14ac:dyDescent="0.25">
      <c r="A33" s="7">
        <f>DATE(YEAR(m1_crossvalid[[#This Row],[cutoff]]),MONTH(m1_crossvalid[[#This Row],[cutoff]]),DAY(m1_crossvalid[[#This Row],[cutoff]]))</f>
        <v>45688</v>
      </c>
      <c r="B33" s="7">
        <f>DATE(YEAR(m1_crossvalid[[#This Row],[ds]]),MONTH(m1_crossvalid[[#This Row],[ds]]),DAY(m1_crossvalid[[#This Row],[ds]]))</f>
        <v>45689</v>
      </c>
      <c r="C33">
        <v>47</v>
      </c>
      <c r="D33" s="1">
        <v>45689.333333333336</v>
      </c>
      <c r="E33">
        <v>933.06594549369493</v>
      </c>
      <c r="F33">
        <v>-1661.1870311966106</v>
      </c>
      <c r="G33">
        <v>3599.9660950054481</v>
      </c>
      <c r="H33" s="1">
        <v>45688.333333333336</v>
      </c>
    </row>
    <row r="34" spans="1:8" x14ac:dyDescent="0.25">
      <c r="A34" s="7">
        <f>DATE(YEAR(m1_crossvalid[[#This Row],[cutoff]]),MONTH(m1_crossvalid[[#This Row],[cutoff]]),DAY(m1_crossvalid[[#This Row],[cutoff]]))</f>
        <v>45688</v>
      </c>
      <c r="B34" s="7">
        <f>DATE(YEAR(m1_crossvalid[[#This Row],[ds]]),MONTH(m1_crossvalid[[#This Row],[ds]]),DAY(m1_crossvalid[[#This Row],[ds]]))</f>
        <v>45690</v>
      </c>
      <c r="C34">
        <v>14</v>
      </c>
      <c r="D34" s="1">
        <v>45690.333333333336</v>
      </c>
      <c r="E34">
        <v>392.09528495379072</v>
      </c>
      <c r="F34">
        <v>-2203.9448155636383</v>
      </c>
      <c r="G34">
        <v>2966.0709576729523</v>
      </c>
      <c r="H34" s="1">
        <v>45688.333333333336</v>
      </c>
    </row>
    <row r="35" spans="1:8" x14ac:dyDescent="0.25">
      <c r="A35" s="7">
        <f>DATE(YEAR(m1_crossvalid[[#This Row],[cutoff]]),MONTH(m1_crossvalid[[#This Row],[cutoff]]),DAY(m1_crossvalid[[#This Row],[cutoff]]))</f>
        <v>45688</v>
      </c>
      <c r="B35" s="7">
        <f>DATE(YEAR(m1_crossvalid[[#This Row],[ds]]),MONTH(m1_crossvalid[[#This Row],[ds]]),DAY(m1_crossvalid[[#This Row],[ds]]))</f>
        <v>45691</v>
      </c>
      <c r="C35">
        <v>454</v>
      </c>
      <c r="D35" s="1">
        <v>45691.333333333336</v>
      </c>
      <c r="E35">
        <v>2676.0998999307271</v>
      </c>
      <c r="F35">
        <v>158.45195798702193</v>
      </c>
      <c r="G35">
        <v>5159.0877907628392</v>
      </c>
      <c r="H35" s="1">
        <v>45688.333333333336</v>
      </c>
    </row>
    <row r="36" spans="1:8" x14ac:dyDescent="0.25">
      <c r="A36" s="7">
        <f>DATE(YEAR(m1_crossvalid[[#This Row],[cutoff]]),MONTH(m1_crossvalid[[#This Row],[cutoff]]),DAY(m1_crossvalid[[#This Row],[cutoff]]))</f>
        <v>45688</v>
      </c>
      <c r="B36" s="7">
        <f>DATE(YEAR(m1_crossvalid[[#This Row],[ds]]),MONTH(m1_crossvalid[[#This Row],[ds]]),DAY(m1_crossvalid[[#This Row],[ds]]))</f>
        <v>45692</v>
      </c>
      <c r="C36">
        <v>626</v>
      </c>
      <c r="D36" s="1">
        <v>45692.333333333336</v>
      </c>
      <c r="E36">
        <v>3245.9242978953384</v>
      </c>
      <c r="F36">
        <v>758.78249762525115</v>
      </c>
      <c r="G36">
        <v>5985.7766617483876</v>
      </c>
      <c r="H36" s="1">
        <v>45688.333333333336</v>
      </c>
    </row>
    <row r="37" spans="1:8" x14ac:dyDescent="0.25">
      <c r="A37" s="7">
        <f>DATE(YEAR(m1_crossvalid[[#This Row],[cutoff]]),MONTH(m1_crossvalid[[#This Row],[cutoff]]),DAY(m1_crossvalid[[#This Row],[cutoff]]))</f>
        <v>45688</v>
      </c>
      <c r="B37" s="7">
        <f>DATE(YEAR(m1_crossvalid[[#This Row],[ds]]),MONTH(m1_crossvalid[[#This Row],[ds]]),DAY(m1_crossvalid[[#This Row],[ds]]))</f>
        <v>45693</v>
      </c>
      <c r="C37">
        <v>886</v>
      </c>
      <c r="D37" s="1">
        <v>45693.333333333336</v>
      </c>
      <c r="E37">
        <v>3178.5536970890016</v>
      </c>
      <c r="F37">
        <v>442.84350496987111</v>
      </c>
      <c r="G37">
        <v>5607.9327791770156</v>
      </c>
      <c r="H37" s="1">
        <v>45688.333333333336</v>
      </c>
    </row>
    <row r="38" spans="1:8" x14ac:dyDescent="0.25">
      <c r="A38" s="7">
        <f>DATE(YEAR(m1_crossvalid[[#This Row],[cutoff]]),MONTH(m1_crossvalid[[#This Row],[cutoff]]),DAY(m1_crossvalid[[#This Row],[cutoff]]))</f>
        <v>45688</v>
      </c>
      <c r="B38" s="7">
        <f>DATE(YEAR(m1_crossvalid[[#This Row],[ds]]),MONTH(m1_crossvalid[[#This Row],[ds]]),DAY(m1_crossvalid[[#This Row],[ds]]))</f>
        <v>45694</v>
      </c>
      <c r="C38">
        <v>1159</v>
      </c>
      <c r="D38" s="1">
        <v>45694.333333333336</v>
      </c>
      <c r="E38">
        <v>3181.1316134681965</v>
      </c>
      <c r="F38">
        <v>526.01824978663717</v>
      </c>
      <c r="G38">
        <v>5580.9544534407469</v>
      </c>
      <c r="H38" s="1">
        <v>45688.333333333336</v>
      </c>
    </row>
    <row r="39" spans="1:8" x14ac:dyDescent="0.25">
      <c r="A39" s="7">
        <f>DATE(YEAR(m1_crossvalid[[#This Row],[cutoff]]),MONTH(m1_crossvalid[[#This Row],[cutoff]]),DAY(m1_crossvalid[[#This Row],[cutoff]]))</f>
        <v>45688</v>
      </c>
      <c r="B39" s="7">
        <f>DATE(YEAR(m1_crossvalid[[#This Row],[ds]]),MONTH(m1_crossvalid[[#This Row],[ds]]),DAY(m1_crossvalid[[#This Row],[ds]]))</f>
        <v>45695</v>
      </c>
      <c r="C39">
        <v>1342</v>
      </c>
      <c r="D39" s="1">
        <v>45695.333333333336</v>
      </c>
      <c r="E39">
        <v>3102.4619138877397</v>
      </c>
      <c r="F39">
        <v>688.43400472070755</v>
      </c>
      <c r="G39">
        <v>5566.3292201413869</v>
      </c>
      <c r="H39" s="1">
        <v>45688.333333333336</v>
      </c>
    </row>
    <row r="40" spans="1:8" x14ac:dyDescent="0.25">
      <c r="A40" s="7">
        <f>DATE(YEAR(m1_crossvalid[[#This Row],[cutoff]]),MONTH(m1_crossvalid[[#This Row],[cutoff]]),DAY(m1_crossvalid[[#This Row],[cutoff]]))</f>
        <v>45688</v>
      </c>
      <c r="B40" s="7">
        <f>DATE(YEAR(m1_crossvalid[[#This Row],[ds]]),MONTH(m1_crossvalid[[#This Row],[ds]]),DAY(m1_crossvalid[[#This Row],[ds]]))</f>
        <v>45696</v>
      </c>
      <c r="C40">
        <v>301</v>
      </c>
      <c r="D40" s="1">
        <v>45696.333333333336</v>
      </c>
      <c r="E40">
        <v>926.55123784885222</v>
      </c>
      <c r="F40">
        <v>-1617.4851441994999</v>
      </c>
      <c r="G40">
        <v>3566.0216172169476</v>
      </c>
      <c r="H40" s="1">
        <v>45688.333333333336</v>
      </c>
    </row>
    <row r="41" spans="1:8" x14ac:dyDescent="0.25">
      <c r="A41" s="7">
        <f>DATE(YEAR(m1_crossvalid[[#This Row],[cutoff]]),MONTH(m1_crossvalid[[#This Row],[cutoff]]),DAY(m1_crossvalid[[#This Row],[cutoff]]))</f>
        <v>45688</v>
      </c>
      <c r="B41" s="7">
        <f>DATE(YEAR(m1_crossvalid[[#This Row],[ds]]),MONTH(m1_crossvalid[[#This Row],[ds]]),DAY(m1_crossvalid[[#This Row],[ds]]))</f>
        <v>45697</v>
      </c>
      <c r="C41">
        <v>54</v>
      </c>
      <c r="D41" s="1">
        <v>45697.333333333336</v>
      </c>
      <c r="E41">
        <v>375.90957942786099</v>
      </c>
      <c r="F41">
        <v>-2297.025394679798</v>
      </c>
      <c r="G41">
        <v>2717.2077265847611</v>
      </c>
      <c r="H41" s="1">
        <v>45688.333333333336</v>
      </c>
    </row>
    <row r="42" spans="1:8" x14ac:dyDescent="0.25">
      <c r="A42" s="7">
        <f>DATE(YEAR(m1_crossvalid[[#This Row],[cutoff]]),MONTH(m1_crossvalid[[#This Row],[cutoff]]),DAY(m1_crossvalid[[#This Row],[cutoff]]))</f>
        <v>45688</v>
      </c>
      <c r="B42" s="7">
        <f>DATE(YEAR(m1_crossvalid[[#This Row],[ds]]),MONTH(m1_crossvalid[[#This Row],[ds]]),DAY(m1_crossvalid[[#This Row],[ds]]))</f>
        <v>45698</v>
      </c>
      <c r="C42">
        <v>1577</v>
      </c>
      <c r="D42" s="1">
        <v>45698.333333333336</v>
      </c>
      <c r="E42">
        <v>2653.6634154721442</v>
      </c>
      <c r="F42">
        <v>176.74075636808726</v>
      </c>
      <c r="G42">
        <v>5321.3125539377806</v>
      </c>
      <c r="H42" s="1">
        <v>45688.333333333336</v>
      </c>
    </row>
    <row r="43" spans="1:8" x14ac:dyDescent="0.25">
      <c r="A43" s="7">
        <f>DATE(YEAR(m1_crossvalid[[#This Row],[cutoff]]),MONTH(m1_crossvalid[[#This Row],[cutoff]]),DAY(m1_crossvalid[[#This Row],[cutoff]]))</f>
        <v>45688</v>
      </c>
      <c r="B43" s="7">
        <f>DATE(YEAR(m1_crossvalid[[#This Row],[ds]]),MONTH(m1_crossvalid[[#This Row],[ds]]),DAY(m1_crossvalid[[#This Row],[ds]]))</f>
        <v>45699</v>
      </c>
      <c r="C43">
        <v>555</v>
      </c>
      <c r="D43" s="1">
        <v>45699.333333333336</v>
      </c>
      <c r="E43">
        <v>3220.7576388758162</v>
      </c>
      <c r="F43">
        <v>762.97896041689046</v>
      </c>
      <c r="G43">
        <v>5770.9016430757438</v>
      </c>
      <c r="H43" s="1">
        <v>45688.333333333336</v>
      </c>
    </row>
    <row r="44" spans="1:8" x14ac:dyDescent="0.25">
      <c r="A44" s="7">
        <f>DATE(YEAR(m1_crossvalid[[#This Row],[cutoff]]),MONTH(m1_crossvalid[[#This Row],[cutoff]]),DAY(m1_crossvalid[[#This Row],[cutoff]]))</f>
        <v>45688</v>
      </c>
      <c r="B44" s="7">
        <f>DATE(YEAR(m1_crossvalid[[#This Row],[ds]]),MONTH(m1_crossvalid[[#This Row],[ds]]),DAY(m1_crossvalid[[#This Row],[ds]]))</f>
        <v>45700</v>
      </c>
      <c r="C44">
        <v>1823</v>
      </c>
      <c r="D44" s="1">
        <v>45700.333333333336</v>
      </c>
      <c r="E44">
        <v>3154.168755440076</v>
      </c>
      <c r="F44">
        <v>649.5556676544976</v>
      </c>
      <c r="G44">
        <v>5761.2345470136261</v>
      </c>
      <c r="H44" s="1">
        <v>45688.333333333336</v>
      </c>
    </row>
    <row r="45" spans="1:8" x14ac:dyDescent="0.25">
      <c r="A45" s="7">
        <f>DATE(YEAR(m1_crossvalid[[#This Row],[cutoff]]),MONTH(m1_crossvalid[[#This Row],[cutoff]]),DAY(m1_crossvalid[[#This Row],[cutoff]]))</f>
        <v>45688</v>
      </c>
      <c r="B45" s="7">
        <f>DATE(YEAR(m1_crossvalid[[#This Row],[ds]]),MONTH(m1_crossvalid[[#This Row],[ds]]),DAY(m1_crossvalid[[#This Row],[ds]]))</f>
        <v>45701</v>
      </c>
      <c r="C45">
        <v>2210</v>
      </c>
      <c r="D45" s="1">
        <v>45701.333333333336</v>
      </c>
      <c r="E45">
        <v>3160.9256516421015</v>
      </c>
      <c r="F45">
        <v>384.18873327926707</v>
      </c>
      <c r="G45">
        <v>5486.9452604148601</v>
      </c>
      <c r="H45" s="1">
        <v>45688.333333333336</v>
      </c>
    </row>
    <row r="46" spans="1:8" x14ac:dyDescent="0.25">
      <c r="A46" s="7">
        <f>DATE(YEAR(m1_crossvalid[[#This Row],[cutoff]]),MONTH(m1_crossvalid[[#This Row],[cutoff]]),DAY(m1_crossvalid[[#This Row],[cutoff]]))</f>
        <v>45688</v>
      </c>
      <c r="B46" s="7">
        <f>DATE(YEAR(m1_crossvalid[[#This Row],[ds]]),MONTH(m1_crossvalid[[#This Row],[ds]]),DAY(m1_crossvalid[[#This Row],[ds]]))</f>
        <v>45702</v>
      </c>
      <c r="C46">
        <v>2308</v>
      </c>
      <c r="D46" s="1">
        <v>45702.333333333336</v>
      </c>
      <c r="E46">
        <v>3089.6177923367941</v>
      </c>
      <c r="F46">
        <v>593.11499590938433</v>
      </c>
      <c r="G46">
        <v>5639.9510100904808</v>
      </c>
      <c r="H46" s="1">
        <v>45688.333333333336</v>
      </c>
    </row>
    <row r="47" spans="1:8" x14ac:dyDescent="0.25">
      <c r="A47" s="7">
        <f>DATE(YEAR(m1_crossvalid[[#This Row],[cutoff]]),MONTH(m1_crossvalid[[#This Row],[cutoff]]),DAY(m1_crossvalid[[#This Row],[cutoff]]))</f>
        <v>45688</v>
      </c>
      <c r="B47" s="7">
        <f>DATE(YEAR(m1_crossvalid[[#This Row],[ds]]),MONTH(m1_crossvalid[[#This Row],[ds]]),DAY(m1_crossvalid[[#This Row],[ds]]))</f>
        <v>45703</v>
      </c>
      <c r="C47">
        <v>485</v>
      </c>
      <c r="D47" s="1">
        <v>45703.333333333336</v>
      </c>
      <c r="E47">
        <v>923.94652469814673</v>
      </c>
      <c r="F47">
        <v>-1498.8888465948867</v>
      </c>
      <c r="G47">
        <v>3467.5579375367502</v>
      </c>
      <c r="H47" s="1">
        <v>45688.333333333336</v>
      </c>
    </row>
    <row r="48" spans="1:8" x14ac:dyDescent="0.25">
      <c r="A48" s="7">
        <f>DATE(YEAR(m1_crossvalid[[#This Row],[cutoff]]),MONTH(m1_crossvalid[[#This Row],[cutoff]]),DAY(m1_crossvalid[[#This Row],[cutoff]]))</f>
        <v>45688</v>
      </c>
      <c r="B48" s="7">
        <f>DATE(YEAR(m1_crossvalid[[#This Row],[ds]]),MONTH(m1_crossvalid[[#This Row],[ds]]),DAY(m1_crossvalid[[#This Row],[ds]]))</f>
        <v>45704</v>
      </c>
      <c r="C48">
        <v>118</v>
      </c>
      <c r="D48" s="1">
        <v>45704.333333333336</v>
      </c>
      <c r="E48">
        <v>386.03697832350281</v>
      </c>
      <c r="F48">
        <v>-2274.3337999231517</v>
      </c>
      <c r="G48">
        <v>2841.083355608127</v>
      </c>
      <c r="H48" s="1">
        <v>45688.333333333336</v>
      </c>
    </row>
    <row r="49" spans="1:8" x14ac:dyDescent="0.25">
      <c r="A49" s="7">
        <f>DATE(YEAR(m1_crossvalid[[#This Row],[cutoff]]),MONTH(m1_crossvalid[[#This Row],[cutoff]]),DAY(m1_crossvalid[[#This Row],[cutoff]]))</f>
        <v>45688</v>
      </c>
      <c r="B49" s="7">
        <f>DATE(YEAR(m1_crossvalid[[#This Row],[ds]]),MONTH(m1_crossvalid[[#This Row],[ds]]),DAY(m1_crossvalid[[#This Row],[ds]]))</f>
        <v>45705</v>
      </c>
      <c r="C49">
        <v>2482</v>
      </c>
      <c r="D49" s="1">
        <v>45705.333333333336</v>
      </c>
      <c r="E49">
        <v>2678.5645796463737</v>
      </c>
      <c r="F49">
        <v>162.13010092049853</v>
      </c>
      <c r="G49">
        <v>5225.4403073397589</v>
      </c>
      <c r="H49" s="1">
        <v>45688.333333333336</v>
      </c>
    </row>
    <row r="50" spans="1:8" x14ac:dyDescent="0.25">
      <c r="A50" s="7">
        <f>DATE(YEAR(m1_crossvalid[[#This Row],[cutoff]]),MONTH(m1_crossvalid[[#This Row],[cutoff]]),DAY(m1_crossvalid[[#This Row],[cutoff]]))</f>
        <v>45688</v>
      </c>
      <c r="B50" s="7">
        <f>DATE(YEAR(m1_crossvalid[[#This Row],[ds]]),MONTH(m1_crossvalid[[#This Row],[ds]]),DAY(m1_crossvalid[[#This Row],[ds]]))</f>
        <v>45706</v>
      </c>
      <c r="C50">
        <v>2913</v>
      </c>
      <c r="D50" s="1">
        <v>45706.333333333336</v>
      </c>
      <c r="E50">
        <v>3261.9720165122299</v>
      </c>
      <c r="F50">
        <v>787.13733607832796</v>
      </c>
      <c r="G50">
        <v>5947.9143763031525</v>
      </c>
      <c r="H50" s="1">
        <v>45688.333333333336</v>
      </c>
    </row>
    <row r="51" spans="1:8" x14ac:dyDescent="0.25">
      <c r="A51" s="7">
        <f>DATE(YEAR(m1_crossvalid[[#This Row],[cutoff]]),MONTH(m1_crossvalid[[#This Row],[cutoff]]),DAY(m1_crossvalid[[#This Row],[cutoff]]))</f>
        <v>45688</v>
      </c>
      <c r="B51" s="7">
        <f>DATE(YEAR(m1_crossvalid[[#This Row],[ds]]),MONTH(m1_crossvalid[[#This Row],[ds]]),DAY(m1_crossvalid[[#This Row],[ds]]))</f>
        <v>45707</v>
      </c>
      <c r="C51">
        <v>3106</v>
      </c>
      <c r="D51" s="1">
        <v>45707.333333333336</v>
      </c>
      <c r="E51">
        <v>3212.6986463601588</v>
      </c>
      <c r="F51">
        <v>563.2265073572355</v>
      </c>
      <c r="G51">
        <v>5858.4801261302646</v>
      </c>
      <c r="H51" s="1">
        <v>45688.333333333336</v>
      </c>
    </row>
    <row r="52" spans="1:8" x14ac:dyDescent="0.25">
      <c r="A52" s="7">
        <f>DATE(YEAR(m1_crossvalid[[#This Row],[cutoff]]),MONTH(m1_crossvalid[[#This Row],[cutoff]]),DAY(m1_crossvalid[[#This Row],[cutoff]]))</f>
        <v>45688</v>
      </c>
      <c r="B52" s="7">
        <f>DATE(YEAR(m1_crossvalid[[#This Row],[ds]]),MONTH(m1_crossvalid[[#This Row],[ds]]),DAY(m1_crossvalid[[#This Row],[ds]]))</f>
        <v>45708</v>
      </c>
      <c r="C52">
        <v>3104</v>
      </c>
      <c r="D52" s="1">
        <v>45708.333333333336</v>
      </c>
      <c r="E52">
        <v>3237.2181617478109</v>
      </c>
      <c r="F52">
        <v>785.5866085910335</v>
      </c>
      <c r="G52">
        <v>5871.267382849971</v>
      </c>
      <c r="H52" s="1">
        <v>45688.333333333336</v>
      </c>
    </row>
    <row r="53" spans="1:8" x14ac:dyDescent="0.25">
      <c r="A53" s="7">
        <f>DATE(YEAR(m1_crossvalid[[#This Row],[cutoff]]),MONTH(m1_crossvalid[[#This Row],[cutoff]]),DAY(m1_crossvalid[[#This Row],[cutoff]]))</f>
        <v>45688</v>
      </c>
      <c r="B53" s="7">
        <f>DATE(YEAR(m1_crossvalid[[#This Row],[ds]]),MONTH(m1_crossvalid[[#This Row],[ds]]),DAY(m1_crossvalid[[#This Row],[ds]]))</f>
        <v>45709</v>
      </c>
      <c r="C53">
        <v>3309</v>
      </c>
      <c r="D53" s="1">
        <v>45709.333333333336</v>
      </c>
      <c r="E53">
        <v>3183.5638651871445</v>
      </c>
      <c r="F53">
        <v>567.77719117994911</v>
      </c>
      <c r="G53">
        <v>5799.9832058959837</v>
      </c>
      <c r="H53" s="1">
        <v>45688.333333333336</v>
      </c>
    </row>
    <row r="54" spans="1:8" x14ac:dyDescent="0.25">
      <c r="A54" s="7">
        <f>DATE(YEAR(m1_crossvalid[[#This Row],[cutoff]]),MONTH(m1_crossvalid[[#This Row],[cutoff]]),DAY(m1_crossvalid[[#This Row],[cutoff]]))</f>
        <v>45688</v>
      </c>
      <c r="B54" s="7">
        <f>DATE(YEAR(m1_crossvalid[[#This Row],[ds]]),MONTH(m1_crossvalid[[#This Row],[ds]]),DAY(m1_crossvalid[[#This Row],[ds]]))</f>
        <v>45710</v>
      </c>
      <c r="C54">
        <v>732</v>
      </c>
      <c r="D54" s="1">
        <v>45710.333333333336</v>
      </c>
      <c r="E54">
        <v>1034.8967235310586</v>
      </c>
      <c r="F54">
        <v>-1580.4119089073984</v>
      </c>
      <c r="G54">
        <v>3636.5847436442309</v>
      </c>
      <c r="H54" s="1">
        <v>45688.333333333336</v>
      </c>
    </row>
    <row r="55" spans="1:8" x14ac:dyDescent="0.25">
      <c r="A55" s="7">
        <f>DATE(YEAR(m1_crossvalid[[#This Row],[cutoff]]),MONTH(m1_crossvalid[[#This Row],[cutoff]]),DAY(m1_crossvalid[[#This Row],[cutoff]]))</f>
        <v>45688</v>
      </c>
      <c r="B55" s="7">
        <f>DATE(YEAR(m1_crossvalid[[#This Row],[ds]]),MONTH(m1_crossvalid[[#This Row],[ds]]),DAY(m1_crossvalid[[#This Row],[ds]]))</f>
        <v>45711</v>
      </c>
      <c r="C55">
        <v>202</v>
      </c>
      <c r="D55" s="1">
        <v>45711.333333333336</v>
      </c>
      <c r="E55">
        <v>512.83320186117021</v>
      </c>
      <c r="F55">
        <v>-2127.3349801204749</v>
      </c>
      <c r="G55">
        <v>2916.0392794242171</v>
      </c>
      <c r="H55" s="1">
        <v>45688.333333333336</v>
      </c>
    </row>
    <row r="56" spans="1:8" x14ac:dyDescent="0.25">
      <c r="A56" s="7">
        <f>DATE(YEAR(m1_crossvalid[[#This Row],[cutoff]]),MONTH(m1_crossvalid[[#This Row],[cutoff]]),DAY(m1_crossvalid[[#This Row],[cutoff]]))</f>
        <v>45688</v>
      </c>
      <c r="B56" s="7">
        <f>DATE(YEAR(m1_crossvalid[[#This Row],[ds]]),MONTH(m1_crossvalid[[#This Row],[ds]]),DAY(m1_crossvalid[[#This Row],[ds]]))</f>
        <v>45712</v>
      </c>
      <c r="C56">
        <v>3545</v>
      </c>
      <c r="D56" s="1">
        <v>45712.333333333336</v>
      </c>
      <c r="E56">
        <v>2819.5864348994146</v>
      </c>
      <c r="F56">
        <v>113.40196179598016</v>
      </c>
      <c r="G56">
        <v>5363.5944065321892</v>
      </c>
      <c r="H56" s="1">
        <v>45688.333333333336</v>
      </c>
    </row>
    <row r="57" spans="1:8" x14ac:dyDescent="0.25">
      <c r="A57" s="7">
        <f>DATE(YEAR(m1_crossvalid[[#This Row],[cutoff]]),MONTH(m1_crossvalid[[#This Row],[cutoff]]),DAY(m1_crossvalid[[#This Row],[cutoff]]))</f>
        <v>45688</v>
      </c>
      <c r="B57" s="7">
        <f>DATE(YEAR(m1_crossvalid[[#This Row],[ds]]),MONTH(m1_crossvalid[[#This Row],[ds]]),DAY(m1_crossvalid[[#This Row],[ds]]))</f>
        <v>45713</v>
      </c>
      <c r="C57">
        <v>4868</v>
      </c>
      <c r="D57" s="1">
        <v>45713.333333333336</v>
      </c>
      <c r="E57">
        <v>3415.196155266508</v>
      </c>
      <c r="F57">
        <v>972.48025172571226</v>
      </c>
      <c r="G57">
        <v>6090.6475642077494</v>
      </c>
      <c r="H57" s="1">
        <v>45688.333333333336</v>
      </c>
    </row>
    <row r="58" spans="1:8" x14ac:dyDescent="0.25">
      <c r="A58" s="7">
        <f>DATE(YEAR(m1_crossvalid[[#This Row],[cutoff]]),MONTH(m1_crossvalid[[#This Row],[cutoff]]),DAY(m1_crossvalid[[#This Row],[cutoff]]))</f>
        <v>45688</v>
      </c>
      <c r="B58" s="7">
        <f>DATE(YEAR(m1_crossvalid[[#This Row],[ds]]),MONTH(m1_crossvalid[[#This Row],[ds]]),DAY(m1_crossvalid[[#This Row],[ds]]))</f>
        <v>45714</v>
      </c>
      <c r="C58">
        <v>6187</v>
      </c>
      <c r="D58" s="1">
        <v>45714.333333333336</v>
      </c>
      <c r="E58">
        <v>3375.7690103531809</v>
      </c>
      <c r="F58">
        <v>581.47710766236048</v>
      </c>
      <c r="G58">
        <v>5907.7458297563753</v>
      </c>
      <c r="H58" s="1">
        <v>45688.333333333336</v>
      </c>
    </row>
    <row r="59" spans="1:8" x14ac:dyDescent="0.25">
      <c r="A59" s="7">
        <f>DATE(YEAR(m1_crossvalid[[#This Row],[cutoff]]),MONTH(m1_crossvalid[[#This Row],[cutoff]]),DAY(m1_crossvalid[[#This Row],[cutoff]]))</f>
        <v>45688</v>
      </c>
      <c r="B59" s="7">
        <f>DATE(YEAR(m1_crossvalid[[#This Row],[ds]]),MONTH(m1_crossvalid[[#This Row],[ds]]),DAY(m1_crossvalid[[#This Row],[ds]]))</f>
        <v>45715</v>
      </c>
      <c r="C59">
        <v>8082</v>
      </c>
      <c r="D59" s="1">
        <v>45715.333333333336</v>
      </c>
      <c r="E59">
        <v>3407.5247851660479</v>
      </c>
      <c r="F59">
        <v>848.66907988834407</v>
      </c>
      <c r="G59">
        <v>5986.9665868898282</v>
      </c>
      <c r="H59" s="1">
        <v>45688.333333333336</v>
      </c>
    </row>
    <row r="60" spans="1:8" x14ac:dyDescent="0.25">
      <c r="A60" s="7">
        <f>DATE(YEAR(m1_crossvalid[[#This Row],[cutoff]]),MONTH(m1_crossvalid[[#This Row],[cutoff]]),DAY(m1_crossvalid[[#This Row],[cutoff]]))</f>
        <v>45688</v>
      </c>
      <c r="B60" s="7">
        <f>DATE(YEAR(m1_crossvalid[[#This Row],[ds]]),MONTH(m1_crossvalid[[#This Row],[ds]]),DAY(m1_crossvalid[[#This Row],[ds]]))</f>
        <v>45716</v>
      </c>
      <c r="C60">
        <v>14838</v>
      </c>
      <c r="D60" s="1">
        <v>45716.333333333336</v>
      </c>
      <c r="E60">
        <v>3358.3276601664697</v>
      </c>
      <c r="F60">
        <v>674.49489720203428</v>
      </c>
      <c r="G60">
        <v>5788.5714230033554</v>
      </c>
      <c r="H60" s="1">
        <v>45688.333333333336</v>
      </c>
    </row>
    <row r="61" spans="1:8" x14ac:dyDescent="0.25">
      <c r="A61" s="7">
        <f>DATE(YEAR(m1_crossvalid[[#This Row],[cutoff]]),MONTH(m1_crossvalid[[#This Row],[cutoff]]),DAY(m1_crossvalid[[#This Row],[cutoff]]))</f>
        <v>45688</v>
      </c>
      <c r="B61" s="7">
        <f>DATE(YEAR(m1_crossvalid[[#This Row],[ds]]),MONTH(m1_crossvalid[[#This Row],[ds]]),DAY(m1_crossvalid[[#This Row],[ds]]))</f>
        <v>45717</v>
      </c>
      <c r="C61">
        <v>74</v>
      </c>
      <c r="D61" s="1">
        <v>45717.333333333336</v>
      </c>
      <c r="E61">
        <v>1211.2575305739099</v>
      </c>
      <c r="F61">
        <v>-1336.3685526323868</v>
      </c>
      <c r="G61">
        <v>3966.3455263763767</v>
      </c>
      <c r="H61" s="1">
        <v>45688.333333333336</v>
      </c>
    </row>
    <row r="62" spans="1:8" x14ac:dyDescent="0.25">
      <c r="A62" s="7">
        <f>DATE(YEAR(m1_crossvalid[[#This Row],[cutoff]]),MONTH(m1_crossvalid[[#This Row],[cutoff]]),DAY(m1_crossvalid[[#This Row],[cutoff]]))</f>
        <v>45688</v>
      </c>
      <c r="B62" s="7">
        <f>DATE(YEAR(m1_crossvalid[[#This Row],[ds]]),MONTH(m1_crossvalid[[#This Row],[ds]]),DAY(m1_crossvalid[[#This Row],[ds]]))</f>
        <v>45718</v>
      </c>
      <c r="C62">
        <v>27</v>
      </c>
      <c r="D62" s="1">
        <v>45718.333333333336</v>
      </c>
      <c r="E62">
        <v>687.93832630452471</v>
      </c>
      <c r="F62">
        <v>-1811.9976657205214</v>
      </c>
      <c r="G62">
        <v>3247.3220987629024</v>
      </c>
      <c r="H62" s="1">
        <v>45688.333333333336</v>
      </c>
    </row>
    <row r="63" spans="1:8" x14ac:dyDescent="0.25">
      <c r="A63" s="7">
        <f>DATE(YEAR(m1_crossvalid[[#This Row],[cutoff]]),MONTH(m1_crossvalid[[#This Row],[cutoff]]),DAY(m1_crossvalid[[#This Row],[cutoff]]))</f>
        <v>45688</v>
      </c>
      <c r="B63" s="7">
        <f>DATE(YEAR(m1_crossvalid[[#This Row],[ds]]),MONTH(m1_crossvalid[[#This Row],[ds]]),DAY(m1_crossvalid[[#This Row],[ds]]))</f>
        <v>45719</v>
      </c>
      <c r="C63">
        <v>378</v>
      </c>
      <c r="D63" s="1">
        <v>45719.333333333336</v>
      </c>
      <c r="E63">
        <v>2990.6769135679115</v>
      </c>
      <c r="F63">
        <v>445.45993266380674</v>
      </c>
      <c r="G63">
        <v>5519.5540499729796</v>
      </c>
      <c r="H63" s="1">
        <v>45688.333333333336</v>
      </c>
    </row>
    <row r="64" spans="1:8" x14ac:dyDescent="0.25">
      <c r="A64" s="7">
        <f>DATE(YEAR(m1_crossvalid[[#This Row],[cutoff]]),MONTH(m1_crossvalid[[#This Row],[cutoff]]),DAY(m1_crossvalid[[#This Row],[cutoff]]))</f>
        <v>45716</v>
      </c>
      <c r="B64" s="7">
        <f>DATE(YEAR(m1_crossvalid[[#This Row],[ds]]),MONTH(m1_crossvalid[[#This Row],[ds]]),DAY(m1_crossvalid[[#This Row],[ds]]))</f>
        <v>45717</v>
      </c>
      <c r="C64">
        <v>74</v>
      </c>
      <c r="D64" s="1">
        <v>45717.333333333336</v>
      </c>
      <c r="E64">
        <v>1569.8391385980235</v>
      </c>
      <c r="F64">
        <v>-1092.9770206588103</v>
      </c>
      <c r="G64">
        <v>4064.0673534066696</v>
      </c>
      <c r="H64" s="1">
        <v>45716.333333333336</v>
      </c>
    </row>
    <row r="65" spans="1:8" x14ac:dyDescent="0.25">
      <c r="A65" s="7">
        <f>DATE(YEAR(m1_crossvalid[[#This Row],[cutoff]]),MONTH(m1_crossvalid[[#This Row],[cutoff]]),DAY(m1_crossvalid[[#This Row],[cutoff]]))</f>
        <v>45716</v>
      </c>
      <c r="B65" s="7">
        <f>DATE(YEAR(m1_crossvalid[[#This Row],[ds]]),MONTH(m1_crossvalid[[#This Row],[ds]]),DAY(m1_crossvalid[[#This Row],[ds]]))</f>
        <v>45718</v>
      </c>
      <c r="C65">
        <v>27</v>
      </c>
      <c r="D65" s="1">
        <v>45718.333333333336</v>
      </c>
      <c r="E65">
        <v>1054.2806200016601</v>
      </c>
      <c r="F65">
        <v>-1485.1291841654302</v>
      </c>
      <c r="G65">
        <v>3729.9413741610256</v>
      </c>
      <c r="H65" s="1">
        <v>45716.333333333336</v>
      </c>
    </row>
    <row r="66" spans="1:8" x14ac:dyDescent="0.25">
      <c r="A66" s="7">
        <f>DATE(YEAR(m1_crossvalid[[#This Row],[cutoff]]),MONTH(m1_crossvalid[[#This Row],[cutoff]]),DAY(m1_crossvalid[[#This Row],[cutoff]]))</f>
        <v>45716</v>
      </c>
      <c r="B66" s="7">
        <f>DATE(YEAR(m1_crossvalid[[#This Row],[ds]]),MONTH(m1_crossvalid[[#This Row],[ds]]),DAY(m1_crossvalid[[#This Row],[ds]]))</f>
        <v>45719</v>
      </c>
      <c r="C66">
        <v>378</v>
      </c>
      <c r="D66" s="1">
        <v>45719.333333333336</v>
      </c>
      <c r="E66">
        <v>3342.69515058055</v>
      </c>
      <c r="F66">
        <v>954.83394142944258</v>
      </c>
      <c r="G66">
        <v>5933.0800035672619</v>
      </c>
      <c r="H66" s="1">
        <v>45716.333333333336</v>
      </c>
    </row>
    <row r="67" spans="1:8" x14ac:dyDescent="0.25">
      <c r="A67" s="7">
        <f>DATE(YEAR(m1_crossvalid[[#This Row],[cutoff]]),MONTH(m1_crossvalid[[#This Row],[cutoff]]),DAY(m1_crossvalid[[#This Row],[cutoff]]))</f>
        <v>45716</v>
      </c>
      <c r="B67" s="7">
        <f>DATE(YEAR(m1_crossvalid[[#This Row],[ds]]),MONTH(m1_crossvalid[[#This Row],[ds]]),DAY(m1_crossvalid[[#This Row],[ds]]))</f>
        <v>45720</v>
      </c>
      <c r="C67">
        <v>666</v>
      </c>
      <c r="D67" s="1">
        <v>45720.333333333336</v>
      </c>
      <c r="E67">
        <v>3913.6247634955212</v>
      </c>
      <c r="F67">
        <v>1312.3775170779202</v>
      </c>
      <c r="G67">
        <v>6696.2845368101061</v>
      </c>
      <c r="H67" s="1">
        <v>45716.333333333336</v>
      </c>
    </row>
    <row r="68" spans="1:8" x14ac:dyDescent="0.25">
      <c r="A68" s="7">
        <f>DATE(YEAR(m1_crossvalid[[#This Row],[cutoff]]),MONTH(m1_crossvalid[[#This Row],[cutoff]]),DAY(m1_crossvalid[[#This Row],[cutoff]]))</f>
        <v>45716</v>
      </c>
      <c r="B68" s="7">
        <f>DATE(YEAR(m1_crossvalid[[#This Row],[ds]]),MONTH(m1_crossvalid[[#This Row],[ds]]),DAY(m1_crossvalid[[#This Row],[ds]]))</f>
        <v>45721</v>
      </c>
      <c r="C68">
        <v>793</v>
      </c>
      <c r="D68" s="1">
        <v>45721.333333333336</v>
      </c>
      <c r="E68">
        <v>3870.8737478311359</v>
      </c>
      <c r="F68">
        <v>1391.2456089803427</v>
      </c>
      <c r="G68">
        <v>6443.8024205973252</v>
      </c>
      <c r="H68" s="1">
        <v>45716.333333333336</v>
      </c>
    </row>
    <row r="69" spans="1:8" x14ac:dyDescent="0.25">
      <c r="A69" s="7">
        <f>DATE(YEAR(m1_crossvalid[[#This Row],[cutoff]]),MONTH(m1_crossvalid[[#This Row],[cutoff]]),DAY(m1_crossvalid[[#This Row],[cutoff]]))</f>
        <v>45716</v>
      </c>
      <c r="B69" s="7">
        <f>DATE(YEAR(m1_crossvalid[[#This Row],[ds]]),MONTH(m1_crossvalid[[#This Row],[ds]]),DAY(m1_crossvalid[[#This Row],[ds]]))</f>
        <v>45722</v>
      </c>
      <c r="C69">
        <v>1426</v>
      </c>
      <c r="D69" s="1">
        <v>45722.333333333336</v>
      </c>
      <c r="E69">
        <v>3887.0660433752628</v>
      </c>
      <c r="F69">
        <v>1070.7863422596279</v>
      </c>
      <c r="G69">
        <v>6438.0199894767584</v>
      </c>
      <c r="H69" s="1">
        <v>45716.333333333336</v>
      </c>
    </row>
    <row r="70" spans="1:8" x14ac:dyDescent="0.25">
      <c r="A70" s="7">
        <f>DATE(YEAR(m1_crossvalid[[#This Row],[cutoff]]),MONTH(m1_crossvalid[[#This Row],[cutoff]]),DAY(m1_crossvalid[[#This Row],[cutoff]]))</f>
        <v>45716</v>
      </c>
      <c r="B70" s="7">
        <f>DATE(YEAR(m1_crossvalid[[#This Row],[ds]]),MONTH(m1_crossvalid[[#This Row],[ds]]),DAY(m1_crossvalid[[#This Row],[ds]]))</f>
        <v>45723</v>
      </c>
      <c r="C70">
        <v>1674</v>
      </c>
      <c r="D70" s="1">
        <v>45723.333333333336</v>
      </c>
      <c r="E70">
        <v>3847.1147941849081</v>
      </c>
      <c r="F70">
        <v>1346.539942075507</v>
      </c>
      <c r="G70">
        <v>6570.397303226131</v>
      </c>
      <c r="H70" s="1">
        <v>45716.333333333336</v>
      </c>
    </row>
    <row r="71" spans="1:8" x14ac:dyDescent="0.25">
      <c r="A71" s="7">
        <f>DATE(YEAR(m1_crossvalid[[#This Row],[cutoff]]),MONTH(m1_crossvalid[[#This Row],[cutoff]]),DAY(m1_crossvalid[[#This Row],[cutoff]]))</f>
        <v>45716</v>
      </c>
      <c r="B71" s="7">
        <f>DATE(YEAR(m1_crossvalid[[#This Row],[ds]]),MONTH(m1_crossvalid[[#This Row],[ds]]),DAY(m1_crossvalid[[#This Row],[ds]]))</f>
        <v>45724</v>
      </c>
      <c r="C71">
        <v>310</v>
      </c>
      <c r="D71" s="1">
        <v>45724.333333333336</v>
      </c>
      <c r="E71">
        <v>1592.9968217203395</v>
      </c>
      <c r="F71">
        <v>-971.82834214392983</v>
      </c>
      <c r="G71">
        <v>4209.0740183507241</v>
      </c>
      <c r="H71" s="1">
        <v>45716.333333333336</v>
      </c>
    </row>
    <row r="72" spans="1:8" x14ac:dyDescent="0.25">
      <c r="A72" s="7">
        <f>DATE(YEAR(m1_crossvalid[[#This Row],[cutoff]]),MONTH(m1_crossvalid[[#This Row],[cutoff]]),DAY(m1_crossvalid[[#This Row],[cutoff]]))</f>
        <v>45716</v>
      </c>
      <c r="B72" s="7">
        <f>DATE(YEAR(m1_crossvalid[[#This Row],[ds]]),MONTH(m1_crossvalid[[#This Row],[ds]]),DAY(m1_crossvalid[[#This Row],[ds]]))</f>
        <v>45725</v>
      </c>
      <c r="C72">
        <v>109</v>
      </c>
      <c r="D72" s="1">
        <v>45725.333333333336</v>
      </c>
      <c r="E72">
        <v>1031.0518782491608</v>
      </c>
      <c r="F72">
        <v>-1551.9359380470678</v>
      </c>
      <c r="G72">
        <v>3669.0318862935251</v>
      </c>
      <c r="H72" s="1">
        <v>45716.333333333336</v>
      </c>
    </row>
    <row r="73" spans="1:8" x14ac:dyDescent="0.25">
      <c r="A73" s="7">
        <f>DATE(YEAR(m1_crossvalid[[#This Row],[cutoff]]),MONTH(m1_crossvalid[[#This Row],[cutoff]]),DAY(m1_crossvalid[[#This Row],[cutoff]]))</f>
        <v>45716</v>
      </c>
      <c r="B73" s="7">
        <f>DATE(YEAR(m1_crossvalid[[#This Row],[ds]]),MONTH(m1_crossvalid[[#This Row],[ds]]),DAY(m1_crossvalid[[#This Row],[ds]]))</f>
        <v>45726</v>
      </c>
      <c r="C73">
        <v>1900</v>
      </c>
      <c r="D73" s="1">
        <v>45726.333333333336</v>
      </c>
      <c r="E73">
        <v>3276.1651132015118</v>
      </c>
      <c r="F73">
        <v>602.98455329603075</v>
      </c>
      <c r="G73">
        <v>5974.3904941268056</v>
      </c>
      <c r="H73" s="1">
        <v>45716.333333333336</v>
      </c>
    </row>
    <row r="74" spans="1:8" x14ac:dyDescent="0.25">
      <c r="A74" s="7">
        <f>DATE(YEAR(m1_crossvalid[[#This Row],[cutoff]]),MONTH(m1_crossvalid[[#This Row],[cutoff]]),DAY(m1_crossvalid[[#This Row],[cutoff]]))</f>
        <v>45716</v>
      </c>
      <c r="B74" s="7">
        <f>DATE(YEAR(m1_crossvalid[[#This Row],[ds]]),MONTH(m1_crossvalid[[#This Row],[ds]]),DAY(m1_crossvalid[[#This Row],[ds]]))</f>
        <v>45727</v>
      </c>
      <c r="C74">
        <v>2294</v>
      </c>
      <c r="D74" s="1">
        <v>45727.333333333336</v>
      </c>
      <c r="E74">
        <v>3807.8263031666861</v>
      </c>
      <c r="F74">
        <v>1160.422906281095</v>
      </c>
      <c r="G74">
        <v>6561.199367784373</v>
      </c>
      <c r="H74" s="1">
        <v>45716.333333333336</v>
      </c>
    </row>
    <row r="75" spans="1:8" x14ac:dyDescent="0.25">
      <c r="A75" s="7">
        <f>DATE(YEAR(m1_crossvalid[[#This Row],[cutoff]]),MONTH(m1_crossvalid[[#This Row],[cutoff]]),DAY(m1_crossvalid[[#This Row],[cutoff]]))</f>
        <v>45716</v>
      </c>
      <c r="B75" s="7">
        <f>DATE(YEAR(m1_crossvalid[[#This Row],[ds]]),MONTH(m1_crossvalid[[#This Row],[ds]]),DAY(m1_crossvalid[[#This Row],[ds]]))</f>
        <v>45728</v>
      </c>
      <c r="C75">
        <v>2576</v>
      </c>
      <c r="D75" s="1">
        <v>45728.333333333336</v>
      </c>
      <c r="E75">
        <v>3730.6699000567505</v>
      </c>
      <c r="F75">
        <v>1042.7174914666016</v>
      </c>
      <c r="G75">
        <v>6148.0265915552072</v>
      </c>
      <c r="H75" s="1">
        <v>45716.333333333336</v>
      </c>
    </row>
    <row r="76" spans="1:8" x14ac:dyDescent="0.25">
      <c r="A76" s="7">
        <f>DATE(YEAR(m1_crossvalid[[#This Row],[cutoff]]),MONTH(m1_crossvalid[[#This Row],[cutoff]]),DAY(m1_crossvalid[[#This Row],[cutoff]]))</f>
        <v>45716</v>
      </c>
      <c r="B76" s="7">
        <f>DATE(YEAR(m1_crossvalid[[#This Row],[ds]]),MONTH(m1_crossvalid[[#This Row],[ds]]),DAY(m1_crossvalid[[#This Row],[ds]]))</f>
        <v>45729</v>
      </c>
      <c r="C76">
        <v>2235</v>
      </c>
      <c r="D76" s="1">
        <v>45729.333333333336</v>
      </c>
      <c r="E76">
        <v>3718.0102830574392</v>
      </c>
      <c r="F76">
        <v>960.30100898337503</v>
      </c>
      <c r="G76">
        <v>6257.9045658703126</v>
      </c>
      <c r="H76" s="1">
        <v>45716.333333333336</v>
      </c>
    </row>
    <row r="77" spans="1:8" x14ac:dyDescent="0.25">
      <c r="A77" s="7">
        <f>DATE(YEAR(m1_crossvalid[[#This Row],[cutoff]]),MONTH(m1_crossvalid[[#This Row],[cutoff]]),DAY(m1_crossvalid[[#This Row],[cutoff]]))</f>
        <v>45716</v>
      </c>
      <c r="B77" s="7">
        <f>DATE(YEAR(m1_crossvalid[[#This Row],[ds]]),MONTH(m1_crossvalid[[#This Row],[ds]]),DAY(m1_crossvalid[[#This Row],[ds]]))</f>
        <v>45730</v>
      </c>
      <c r="C77">
        <v>3818</v>
      </c>
      <c r="D77" s="1">
        <v>45730.333333333336</v>
      </c>
      <c r="E77">
        <v>3655.2930917724543</v>
      </c>
      <c r="F77">
        <v>1078.070303070413</v>
      </c>
      <c r="G77">
        <v>6277.2535822081109</v>
      </c>
      <c r="H77" s="1">
        <v>45716.333333333336</v>
      </c>
    </row>
    <row r="78" spans="1:8" x14ac:dyDescent="0.25">
      <c r="A78" s="7">
        <f>DATE(YEAR(m1_crossvalid[[#This Row],[cutoff]]),MONTH(m1_crossvalid[[#This Row],[cutoff]]),DAY(m1_crossvalid[[#This Row],[cutoff]]))</f>
        <v>45716</v>
      </c>
      <c r="B78" s="7">
        <f>DATE(YEAR(m1_crossvalid[[#This Row],[ds]]),MONTH(m1_crossvalid[[#This Row],[ds]]),DAY(m1_crossvalid[[#This Row],[ds]]))</f>
        <v>45731</v>
      </c>
      <c r="C78">
        <v>927</v>
      </c>
      <c r="D78" s="1">
        <v>45731.333333333336</v>
      </c>
      <c r="E78">
        <v>1384.855905870364</v>
      </c>
      <c r="F78">
        <v>-1260.0741213957137</v>
      </c>
      <c r="G78">
        <v>4062.0558667318201</v>
      </c>
      <c r="H78" s="1">
        <v>45716.333333333336</v>
      </c>
    </row>
    <row r="79" spans="1:8" x14ac:dyDescent="0.25">
      <c r="A79" s="7">
        <f>DATE(YEAR(m1_crossvalid[[#This Row],[cutoff]]),MONTH(m1_crossvalid[[#This Row],[cutoff]]),DAY(m1_crossvalid[[#This Row],[cutoff]]))</f>
        <v>45716</v>
      </c>
      <c r="B79" s="7">
        <f>DATE(YEAR(m1_crossvalid[[#This Row],[ds]]),MONTH(m1_crossvalid[[#This Row],[ds]]),DAY(m1_crossvalid[[#This Row],[ds]]))</f>
        <v>45732</v>
      </c>
      <c r="C79">
        <v>263</v>
      </c>
      <c r="D79" s="1">
        <v>45732.333333333336</v>
      </c>
      <c r="E79">
        <v>813.21851120550491</v>
      </c>
      <c r="F79">
        <v>-1914.680593602932</v>
      </c>
      <c r="G79">
        <v>3317.6921326345882</v>
      </c>
      <c r="H79" s="1">
        <v>45716.333333333336</v>
      </c>
    </row>
    <row r="80" spans="1:8" x14ac:dyDescent="0.25">
      <c r="A80" s="7">
        <f>DATE(YEAR(m1_crossvalid[[#This Row],[cutoff]]),MONTH(m1_crossvalid[[#This Row],[cutoff]]),DAY(m1_crossvalid[[#This Row],[cutoff]]))</f>
        <v>45716</v>
      </c>
      <c r="B80" s="7">
        <f>DATE(YEAR(m1_crossvalid[[#This Row],[ds]]),MONTH(m1_crossvalid[[#This Row],[ds]]),DAY(m1_crossvalid[[#This Row],[ds]]))</f>
        <v>45733</v>
      </c>
      <c r="C80">
        <v>4812</v>
      </c>
      <c r="D80" s="1">
        <v>45733.333333333336</v>
      </c>
      <c r="E80">
        <v>3055.261428893341</v>
      </c>
      <c r="F80">
        <v>689.0163979055003</v>
      </c>
      <c r="G80">
        <v>5581.5723148729776</v>
      </c>
      <c r="H80" s="1">
        <v>45716.333333333336</v>
      </c>
    </row>
    <row r="81" spans="1:8" x14ac:dyDescent="0.25">
      <c r="A81" s="7">
        <f>DATE(YEAR(m1_crossvalid[[#This Row],[cutoff]]),MONTH(m1_crossvalid[[#This Row],[cutoff]]),DAY(m1_crossvalid[[#This Row],[cutoff]]))</f>
        <v>45716</v>
      </c>
      <c r="B81" s="7">
        <f>DATE(YEAR(m1_crossvalid[[#This Row],[ds]]),MONTH(m1_crossvalid[[#This Row],[ds]]),DAY(m1_crossvalid[[#This Row],[ds]]))</f>
        <v>45734</v>
      </c>
      <c r="C81">
        <v>1459</v>
      </c>
      <c r="D81" s="1">
        <v>45734.333333333336</v>
      </c>
      <c r="E81">
        <v>3590.2863589643603</v>
      </c>
      <c r="F81">
        <v>941.93859176650244</v>
      </c>
      <c r="G81">
        <v>6392.0107552334575</v>
      </c>
      <c r="H81" s="1">
        <v>45716.333333333336</v>
      </c>
    </row>
    <row r="82" spans="1:8" x14ac:dyDescent="0.25">
      <c r="A82" s="7">
        <f>DATE(YEAR(m1_crossvalid[[#This Row],[cutoff]]),MONTH(m1_crossvalid[[#This Row],[cutoff]]),DAY(m1_crossvalid[[#This Row],[cutoff]]))</f>
        <v>45716</v>
      </c>
      <c r="B82" s="7">
        <f>DATE(YEAR(m1_crossvalid[[#This Row],[ds]]),MONTH(m1_crossvalid[[#This Row],[ds]]),DAY(m1_crossvalid[[#This Row],[ds]]))</f>
        <v>45735</v>
      </c>
      <c r="C82">
        <v>3508</v>
      </c>
      <c r="D82" s="1">
        <v>45735.333333333336</v>
      </c>
      <c r="E82">
        <v>3522.5625495393942</v>
      </c>
      <c r="F82">
        <v>1016.4001279993872</v>
      </c>
      <c r="G82">
        <v>6264.159767274662</v>
      </c>
      <c r="H82" s="1">
        <v>45716.333333333336</v>
      </c>
    </row>
    <row r="83" spans="1:8" x14ac:dyDescent="0.25">
      <c r="A83" s="7">
        <f>DATE(YEAR(m1_crossvalid[[#This Row],[cutoff]]),MONTH(m1_crossvalid[[#This Row],[cutoff]]),DAY(m1_crossvalid[[#This Row],[cutoff]]))</f>
        <v>45716</v>
      </c>
      <c r="B83" s="7">
        <f>DATE(YEAR(m1_crossvalid[[#This Row],[ds]]),MONTH(m1_crossvalid[[#This Row],[ds]]),DAY(m1_crossvalid[[#This Row],[ds]]))</f>
        <v>45736</v>
      </c>
      <c r="C83">
        <v>3947</v>
      </c>
      <c r="D83" s="1">
        <v>45736.333333333336</v>
      </c>
      <c r="E83">
        <v>3524.8732896665051</v>
      </c>
      <c r="F83">
        <v>1013.3346772069641</v>
      </c>
      <c r="G83">
        <v>6241.410040478474</v>
      </c>
      <c r="H83" s="1">
        <v>45716.333333333336</v>
      </c>
    </row>
    <row r="84" spans="1:8" x14ac:dyDescent="0.25">
      <c r="A84" s="7">
        <f>DATE(YEAR(m1_crossvalid[[#This Row],[cutoff]]),MONTH(m1_crossvalid[[#This Row],[cutoff]]),DAY(m1_crossvalid[[#This Row],[cutoff]]))</f>
        <v>45716</v>
      </c>
      <c r="B84" s="7">
        <f>DATE(YEAR(m1_crossvalid[[#This Row],[ds]]),MONTH(m1_crossvalid[[#This Row],[ds]]),DAY(m1_crossvalid[[#This Row],[ds]]))</f>
        <v>45737</v>
      </c>
      <c r="C84">
        <v>4280</v>
      </c>
      <c r="D84" s="1">
        <v>45737.333333333336</v>
      </c>
      <c r="E84">
        <v>3481.9830780017883</v>
      </c>
      <c r="F84">
        <v>739.33877340153435</v>
      </c>
      <c r="G84">
        <v>6013.5119504948216</v>
      </c>
      <c r="H84" s="1">
        <v>45716.333333333336</v>
      </c>
    </row>
    <row r="85" spans="1:8" x14ac:dyDescent="0.25">
      <c r="A85" s="7">
        <f>DATE(YEAR(m1_crossvalid[[#This Row],[cutoff]]),MONTH(m1_crossvalid[[#This Row],[cutoff]]),DAY(m1_crossvalid[[#This Row],[cutoff]]))</f>
        <v>45716</v>
      </c>
      <c r="B85" s="7">
        <f>DATE(YEAR(m1_crossvalid[[#This Row],[ds]]),MONTH(m1_crossvalid[[#This Row],[ds]]),DAY(m1_crossvalid[[#This Row],[ds]]))</f>
        <v>45738</v>
      </c>
      <c r="C85">
        <v>1076</v>
      </c>
      <c r="D85" s="1">
        <v>45738.333333333336</v>
      </c>
      <c r="E85">
        <v>1235.4182788136702</v>
      </c>
      <c r="F85">
        <v>-1374.6301819229304</v>
      </c>
      <c r="G85">
        <v>3740.3979934829472</v>
      </c>
      <c r="H85" s="1">
        <v>45716.333333333336</v>
      </c>
    </row>
    <row r="86" spans="1:8" x14ac:dyDescent="0.25">
      <c r="A86" s="7">
        <f>DATE(YEAR(m1_crossvalid[[#This Row],[cutoff]]),MONTH(m1_crossvalid[[#This Row],[cutoff]]),DAY(m1_crossvalid[[#This Row],[cutoff]]))</f>
        <v>45716</v>
      </c>
      <c r="B86" s="7">
        <f>DATE(YEAR(m1_crossvalid[[#This Row],[ds]]),MONTH(m1_crossvalid[[#This Row],[ds]]),DAY(m1_crossvalid[[#This Row],[ds]]))</f>
        <v>45739</v>
      </c>
      <c r="C86">
        <v>301</v>
      </c>
      <c r="D86" s="1">
        <v>45739.333333333336</v>
      </c>
      <c r="E86">
        <v>690.78093618102503</v>
      </c>
      <c r="F86">
        <v>-1964.7840386919456</v>
      </c>
      <c r="G86">
        <v>3396.5442444115338</v>
      </c>
      <c r="H86" s="1">
        <v>45716.333333333336</v>
      </c>
    </row>
    <row r="87" spans="1:8" x14ac:dyDescent="0.25">
      <c r="A87" s="7">
        <f>DATE(YEAR(m1_crossvalid[[#This Row],[cutoff]]),MONTH(m1_crossvalid[[#This Row],[cutoff]]),DAY(m1_crossvalid[[#This Row],[cutoff]]))</f>
        <v>45716</v>
      </c>
      <c r="B87" s="7">
        <f>DATE(YEAR(m1_crossvalid[[#This Row],[ds]]),MONTH(m1_crossvalid[[#This Row],[ds]]),DAY(m1_crossvalid[[#This Row],[ds]]))</f>
        <v>45740</v>
      </c>
      <c r="C87">
        <v>4292</v>
      </c>
      <c r="D87" s="1">
        <v>45740.333333333336</v>
      </c>
      <c r="E87">
        <v>2961.9537545494095</v>
      </c>
      <c r="F87">
        <v>281.69178807367712</v>
      </c>
      <c r="G87">
        <v>5597.7611249258116</v>
      </c>
      <c r="H87" s="1">
        <v>45716.333333333336</v>
      </c>
    </row>
    <row r="88" spans="1:8" x14ac:dyDescent="0.25">
      <c r="A88" s="7">
        <f>DATE(YEAR(m1_crossvalid[[#This Row],[cutoff]]),MONTH(m1_crossvalid[[#This Row],[cutoff]]),DAY(m1_crossvalid[[#This Row],[cutoff]]))</f>
        <v>45716</v>
      </c>
      <c r="B88" s="7">
        <f>DATE(YEAR(m1_crossvalid[[#This Row],[ds]]),MONTH(m1_crossvalid[[#This Row],[ds]]),DAY(m1_crossvalid[[#This Row],[ds]]))</f>
        <v>45741</v>
      </c>
      <c r="C88">
        <v>5571</v>
      </c>
      <c r="D88" s="1">
        <v>45741.333333333336</v>
      </c>
      <c r="E88">
        <v>3527.1891491829033</v>
      </c>
      <c r="F88">
        <v>859.70219022117556</v>
      </c>
      <c r="G88">
        <v>6117.4499463222473</v>
      </c>
      <c r="H88" s="1">
        <v>45716.333333333336</v>
      </c>
    </row>
    <row r="89" spans="1:8" x14ac:dyDescent="0.25">
      <c r="A89" s="7">
        <f>DATE(YEAR(m1_crossvalid[[#This Row],[cutoff]]),MONTH(m1_crossvalid[[#This Row],[cutoff]]),DAY(m1_crossvalid[[#This Row],[cutoff]]))</f>
        <v>45716</v>
      </c>
      <c r="B89" s="7">
        <f>DATE(YEAR(m1_crossvalid[[#This Row],[ds]]),MONTH(m1_crossvalid[[#This Row],[ds]]),DAY(m1_crossvalid[[#This Row],[ds]]))</f>
        <v>45742</v>
      </c>
      <c r="C89">
        <v>6352</v>
      </c>
      <c r="D89" s="1">
        <v>45742.333333333336</v>
      </c>
      <c r="E89">
        <v>3489.6855705646249</v>
      </c>
      <c r="F89">
        <v>701.94817982945528</v>
      </c>
      <c r="G89">
        <v>6132.5125778793226</v>
      </c>
      <c r="H89" s="1">
        <v>45716.333333333336</v>
      </c>
    </row>
    <row r="90" spans="1:8" x14ac:dyDescent="0.25">
      <c r="A90" s="7">
        <f>DATE(YEAR(m1_crossvalid[[#This Row],[cutoff]]),MONTH(m1_crossvalid[[#This Row],[cutoff]]),DAY(m1_crossvalid[[#This Row],[cutoff]]))</f>
        <v>45716</v>
      </c>
      <c r="B90" s="7">
        <f>DATE(YEAR(m1_crossvalid[[#This Row],[ds]]),MONTH(m1_crossvalid[[#This Row],[ds]]),DAY(m1_crossvalid[[#This Row],[ds]]))</f>
        <v>45743</v>
      </c>
      <c r="C90">
        <v>8836</v>
      </c>
      <c r="D90" s="1">
        <v>45743.333333333336</v>
      </c>
      <c r="E90">
        <v>3521.1644583872558</v>
      </c>
      <c r="F90">
        <v>917.16205637870871</v>
      </c>
      <c r="G90">
        <v>6262.1164090025068</v>
      </c>
      <c r="H90" s="1">
        <v>45716.333333333336</v>
      </c>
    </row>
    <row r="91" spans="1:8" x14ac:dyDescent="0.25">
      <c r="A91" s="7">
        <f>DATE(YEAR(m1_crossvalid[[#This Row],[cutoff]]),MONTH(m1_crossvalid[[#This Row],[cutoff]]),DAY(m1_crossvalid[[#This Row],[cutoff]]))</f>
        <v>45716</v>
      </c>
      <c r="B91" s="7">
        <f>DATE(YEAR(m1_crossvalid[[#This Row],[ds]]),MONTH(m1_crossvalid[[#This Row],[ds]]),DAY(m1_crossvalid[[#This Row],[ds]]))</f>
        <v>45744</v>
      </c>
      <c r="C91">
        <v>9717</v>
      </c>
      <c r="D91" s="1">
        <v>45744.333333333336</v>
      </c>
      <c r="E91">
        <v>3505.3675230065851</v>
      </c>
      <c r="F91">
        <v>920.69806004026862</v>
      </c>
      <c r="G91">
        <v>6081.6319772112347</v>
      </c>
      <c r="H91" s="1">
        <v>45716.333333333336</v>
      </c>
    </row>
    <row r="92" spans="1:8" x14ac:dyDescent="0.25">
      <c r="A92" s="7">
        <f>DATE(YEAR(m1_crossvalid[[#This Row],[cutoff]]),MONTH(m1_crossvalid[[#This Row],[cutoff]]),DAY(m1_crossvalid[[#This Row],[cutoff]]))</f>
        <v>45716</v>
      </c>
      <c r="B92" s="7">
        <f>DATE(YEAR(m1_crossvalid[[#This Row],[ds]]),MONTH(m1_crossvalid[[#This Row],[ds]]),DAY(m1_crossvalid[[#This Row],[ds]]))</f>
        <v>45745</v>
      </c>
      <c r="C92">
        <v>3249</v>
      </c>
      <c r="D92" s="1">
        <v>45745.333333333336</v>
      </c>
      <c r="E92">
        <v>1282.8663237825795</v>
      </c>
      <c r="F92">
        <v>-1584.7676966918268</v>
      </c>
      <c r="G92">
        <v>3742.8642959192434</v>
      </c>
      <c r="H92" s="1">
        <v>45716.333333333336</v>
      </c>
    </row>
    <row r="93" spans="1:8" x14ac:dyDescent="0.25">
      <c r="A93" s="7">
        <f>DATE(YEAR(m1_crossvalid[[#This Row],[cutoff]]),MONTH(m1_crossvalid[[#This Row],[cutoff]]),DAY(m1_crossvalid[[#This Row],[cutoff]]))</f>
        <v>45716</v>
      </c>
      <c r="B93" s="7">
        <f>DATE(YEAR(m1_crossvalid[[#This Row],[ds]]),MONTH(m1_crossvalid[[#This Row],[ds]]),DAY(m1_crossvalid[[#This Row],[ds]]))</f>
        <v>45746</v>
      </c>
      <c r="C93">
        <v>198</v>
      </c>
      <c r="D93" s="1">
        <v>45746.333333333336</v>
      </c>
      <c r="E93">
        <v>758.40300920356731</v>
      </c>
      <c r="F93">
        <v>-1868.2383293453954</v>
      </c>
      <c r="G93">
        <v>3403.2013455506799</v>
      </c>
      <c r="H93" s="1">
        <v>45716.333333333336</v>
      </c>
    </row>
    <row r="94" spans="1:8" x14ac:dyDescent="0.25">
      <c r="A94" s="7">
        <f>DATE(YEAR(m1_crossvalid[[#This Row],[cutoff]]),MONTH(m1_crossvalid[[#This Row],[cutoff]]),DAY(m1_crossvalid[[#This Row],[cutoff]]))</f>
        <v>45716</v>
      </c>
      <c r="B94" s="7">
        <f>DATE(YEAR(m1_crossvalid[[#This Row],[ds]]),MONTH(m1_crossvalid[[#This Row],[ds]]),DAY(m1_crossvalid[[#This Row],[ds]]))</f>
        <v>45747</v>
      </c>
      <c r="C94">
        <v>53</v>
      </c>
      <c r="D94" s="1">
        <v>45747.333333333336</v>
      </c>
      <c r="E94">
        <v>3045.1194796836899</v>
      </c>
      <c r="F94">
        <v>350.25918371099891</v>
      </c>
      <c r="G94">
        <v>5598.0264110374828</v>
      </c>
      <c r="H94" s="1">
        <v>45716.333333333336</v>
      </c>
    </row>
    <row r="95" spans="1:8" x14ac:dyDescent="0.25">
      <c r="A95" s="7">
        <f>DATE(YEAR(m1_crossvalid[[#This Row],[cutoff]]),MONTH(m1_crossvalid[[#This Row],[cutoff]]),DAY(m1_crossvalid[[#This Row],[cutoff]]))</f>
        <v>45747</v>
      </c>
      <c r="B95" s="7">
        <f>DATE(YEAR(m1_crossvalid[[#This Row],[ds]]),MONTH(m1_crossvalid[[#This Row],[ds]]),DAY(m1_crossvalid[[#This Row],[ds]]))</f>
        <v>45748</v>
      </c>
      <c r="C95">
        <v>2</v>
      </c>
      <c r="D95" s="1">
        <v>45748.333333333336</v>
      </c>
      <c r="E95">
        <v>3864.1781873521795</v>
      </c>
      <c r="F95">
        <v>1350.9164647610385</v>
      </c>
      <c r="G95">
        <v>6535.1249808121775</v>
      </c>
      <c r="H95" s="1">
        <v>45747.333333333336</v>
      </c>
    </row>
    <row r="96" spans="1:8" x14ac:dyDescent="0.25">
      <c r="A96" s="7">
        <f>DATE(YEAR(m1_crossvalid[[#This Row],[cutoff]]),MONTH(m1_crossvalid[[#This Row],[cutoff]]),DAY(m1_crossvalid[[#This Row],[cutoff]]))</f>
        <v>45747</v>
      </c>
      <c r="B96" s="7">
        <f>DATE(YEAR(m1_crossvalid[[#This Row],[ds]]),MONTH(m1_crossvalid[[#This Row],[ds]]),DAY(m1_crossvalid[[#This Row],[ds]]))</f>
        <v>45749</v>
      </c>
      <c r="C96">
        <v>105</v>
      </c>
      <c r="D96" s="1">
        <v>45749.333333333336</v>
      </c>
      <c r="E96">
        <v>3835.1241296221142</v>
      </c>
      <c r="F96">
        <v>1336.82635601537</v>
      </c>
      <c r="G96">
        <v>6548.5484355818899</v>
      </c>
      <c r="H96" s="1">
        <v>45747.333333333336</v>
      </c>
    </row>
    <row r="97" spans="1:8" x14ac:dyDescent="0.25">
      <c r="A97" s="7">
        <f>DATE(YEAR(m1_crossvalid[[#This Row],[cutoff]]),MONTH(m1_crossvalid[[#This Row],[cutoff]]),DAY(m1_crossvalid[[#This Row],[cutoff]]))</f>
        <v>45747</v>
      </c>
      <c r="B97" s="7">
        <f>DATE(YEAR(m1_crossvalid[[#This Row],[ds]]),MONTH(m1_crossvalid[[#This Row],[ds]]),DAY(m1_crossvalid[[#This Row],[ds]]))</f>
        <v>45750</v>
      </c>
      <c r="C97">
        <v>284</v>
      </c>
      <c r="D97" s="1">
        <v>45750.333333333336</v>
      </c>
      <c r="E97">
        <v>3863.349209505629</v>
      </c>
      <c r="F97">
        <v>1257.2766633892857</v>
      </c>
      <c r="G97">
        <v>6530.0661886529524</v>
      </c>
      <c r="H97" s="1">
        <v>45747.333333333336</v>
      </c>
    </row>
    <row r="98" spans="1:8" x14ac:dyDescent="0.25">
      <c r="A98" s="7">
        <f>DATE(YEAR(m1_crossvalid[[#This Row],[cutoff]]),MONTH(m1_crossvalid[[#This Row],[cutoff]]),DAY(m1_crossvalid[[#This Row],[cutoff]]))</f>
        <v>45747</v>
      </c>
      <c r="B98" s="7">
        <f>DATE(YEAR(m1_crossvalid[[#This Row],[ds]]),MONTH(m1_crossvalid[[#This Row],[ds]]),DAY(m1_crossvalid[[#This Row],[ds]]))</f>
        <v>45751</v>
      </c>
      <c r="C98">
        <v>403</v>
      </c>
      <c r="D98" s="1">
        <v>45751.333333333336</v>
      </c>
      <c r="E98">
        <v>3835.4164188222767</v>
      </c>
      <c r="F98">
        <v>1357.3912734259109</v>
      </c>
      <c r="G98">
        <v>6502.1859506545643</v>
      </c>
      <c r="H98" s="1">
        <v>45747.333333333336</v>
      </c>
    </row>
    <row r="99" spans="1:8" x14ac:dyDescent="0.25">
      <c r="A99" s="7">
        <f>DATE(YEAR(m1_crossvalid[[#This Row],[cutoff]]),MONTH(m1_crossvalid[[#This Row],[cutoff]]),DAY(m1_crossvalid[[#This Row],[cutoff]]))</f>
        <v>45747</v>
      </c>
      <c r="B99" s="7">
        <f>DATE(YEAR(m1_crossvalid[[#This Row],[ds]]),MONTH(m1_crossvalid[[#This Row],[ds]]),DAY(m1_crossvalid[[#This Row],[ds]]))</f>
        <v>45752</v>
      </c>
      <c r="C99">
        <v>47</v>
      </c>
      <c r="D99" s="1">
        <v>45752.333333333336</v>
      </c>
      <c r="E99">
        <v>1534.7377186877079</v>
      </c>
      <c r="F99">
        <v>-1127.3706526454212</v>
      </c>
      <c r="G99">
        <v>4099.026886106486</v>
      </c>
      <c r="H99" s="1">
        <v>45747.333333333336</v>
      </c>
    </row>
    <row r="100" spans="1:8" x14ac:dyDescent="0.25">
      <c r="A100" s="7">
        <f>DATE(YEAR(m1_crossvalid[[#This Row],[cutoff]]),MONTH(m1_crossvalid[[#This Row],[cutoff]]),DAY(m1_crossvalid[[#This Row],[cutoff]]))</f>
        <v>45747</v>
      </c>
      <c r="B100" s="7">
        <f>DATE(YEAR(m1_crossvalid[[#This Row],[ds]]),MONTH(m1_crossvalid[[#This Row],[ds]]),DAY(m1_crossvalid[[#This Row],[ds]]))</f>
        <v>45753</v>
      </c>
      <c r="C100">
        <v>11</v>
      </c>
      <c r="D100" s="1">
        <v>45753.333333333336</v>
      </c>
      <c r="E100">
        <v>949.41435761301886</v>
      </c>
      <c r="F100">
        <v>-1573.7232520496955</v>
      </c>
      <c r="G100">
        <v>3733.674482442555</v>
      </c>
      <c r="H100" s="1">
        <v>45747.333333333336</v>
      </c>
    </row>
    <row r="101" spans="1:8" x14ac:dyDescent="0.25">
      <c r="A101" s="7">
        <f>DATE(YEAR(m1_crossvalid[[#This Row],[cutoff]]),MONTH(m1_crossvalid[[#This Row],[cutoff]]),DAY(m1_crossvalid[[#This Row],[cutoff]]))</f>
        <v>45747</v>
      </c>
      <c r="B101" s="7">
        <f>DATE(YEAR(m1_crossvalid[[#This Row],[ds]]),MONTH(m1_crossvalid[[#This Row],[ds]]),DAY(m1_crossvalid[[#This Row],[ds]]))</f>
        <v>45754</v>
      </c>
      <c r="C101">
        <v>477</v>
      </c>
      <c r="D101" s="1">
        <v>45754.333333333336</v>
      </c>
      <c r="E101">
        <v>3179.3983016308021</v>
      </c>
      <c r="F101">
        <v>575.6701978822573</v>
      </c>
      <c r="G101">
        <v>5679.3021102223756</v>
      </c>
      <c r="H101" s="1">
        <v>45747.333333333336</v>
      </c>
    </row>
    <row r="102" spans="1:8" x14ac:dyDescent="0.25">
      <c r="A102" s="7">
        <f>DATE(YEAR(m1_crossvalid[[#This Row],[cutoff]]),MONTH(m1_crossvalid[[#This Row],[cutoff]]),DAY(m1_crossvalid[[#This Row],[cutoff]]))</f>
        <v>45747</v>
      </c>
      <c r="B102" s="7">
        <f>DATE(YEAR(m1_crossvalid[[#This Row],[ds]]),MONTH(m1_crossvalid[[#This Row],[ds]]),DAY(m1_crossvalid[[#This Row],[ds]]))</f>
        <v>45755</v>
      </c>
      <c r="C102">
        <v>775</v>
      </c>
      <c r="D102" s="1">
        <v>45755.333333333336</v>
      </c>
      <c r="E102">
        <v>3694.0107841901204</v>
      </c>
      <c r="F102">
        <v>922.81585765706029</v>
      </c>
      <c r="G102">
        <v>6380.3728615743894</v>
      </c>
      <c r="H102" s="1">
        <v>45747.333333333336</v>
      </c>
    </row>
    <row r="103" spans="1:8" x14ac:dyDescent="0.25">
      <c r="A103" s="7">
        <f>DATE(YEAR(m1_crossvalid[[#This Row],[cutoff]]),MONTH(m1_crossvalid[[#This Row],[cutoff]]),DAY(m1_crossvalid[[#This Row],[cutoff]]))</f>
        <v>45747</v>
      </c>
      <c r="B103" s="7">
        <f>DATE(YEAR(m1_crossvalid[[#This Row],[ds]]),MONTH(m1_crossvalid[[#This Row],[ds]]),DAY(m1_crossvalid[[#This Row],[ds]]))</f>
        <v>45756</v>
      </c>
      <c r="C103">
        <v>1016</v>
      </c>
      <c r="D103" s="1">
        <v>45756.333333333336</v>
      </c>
      <c r="E103">
        <v>3618.5688842041513</v>
      </c>
      <c r="F103">
        <v>1154.7825001466074</v>
      </c>
      <c r="G103">
        <v>6302.1824585036557</v>
      </c>
      <c r="H103" s="1">
        <v>45747.333333333336</v>
      </c>
    </row>
    <row r="104" spans="1:8" x14ac:dyDescent="0.25">
      <c r="A104" s="7">
        <f>DATE(YEAR(m1_crossvalid[[#This Row],[cutoff]]),MONTH(m1_crossvalid[[#This Row],[cutoff]]),DAY(m1_crossvalid[[#This Row],[cutoff]]))</f>
        <v>45747</v>
      </c>
      <c r="B104" s="7">
        <f>DATE(YEAR(m1_crossvalid[[#This Row],[ds]]),MONTH(m1_crossvalid[[#This Row],[ds]]),DAY(m1_crossvalid[[#This Row],[ds]]))</f>
        <v>45757</v>
      </c>
      <c r="C104">
        <v>1422</v>
      </c>
      <c r="D104" s="1">
        <v>45757.333333333336</v>
      </c>
      <c r="E104">
        <v>3601.7818749891821</v>
      </c>
      <c r="F104">
        <v>739.78190122428794</v>
      </c>
      <c r="G104">
        <v>6250.3179519692403</v>
      </c>
      <c r="H104" s="1">
        <v>45747.333333333336</v>
      </c>
    </row>
    <row r="105" spans="1:8" x14ac:dyDescent="0.25">
      <c r="A105" s="7">
        <f>DATE(YEAR(m1_crossvalid[[#This Row],[cutoff]]),MONTH(m1_crossvalid[[#This Row],[cutoff]]),DAY(m1_crossvalid[[#This Row],[cutoff]]))</f>
        <v>45747</v>
      </c>
      <c r="B105" s="7">
        <f>DATE(YEAR(m1_crossvalid[[#This Row],[ds]]),MONTH(m1_crossvalid[[#This Row],[ds]]),DAY(m1_crossvalid[[#This Row],[ds]]))</f>
        <v>45758</v>
      </c>
      <c r="C105">
        <v>1565</v>
      </c>
      <c r="D105" s="1">
        <v>45758.333333333336</v>
      </c>
      <c r="E105">
        <v>3531.1985592506589</v>
      </c>
      <c r="F105">
        <v>795.0404802854074</v>
      </c>
      <c r="G105">
        <v>6184.0397470411208</v>
      </c>
      <c r="H105" s="1">
        <v>45747.333333333336</v>
      </c>
    </row>
    <row r="106" spans="1:8" x14ac:dyDescent="0.25">
      <c r="A106" s="7">
        <f>DATE(YEAR(m1_crossvalid[[#This Row],[cutoff]]),MONTH(m1_crossvalid[[#This Row],[cutoff]]),DAY(m1_crossvalid[[#This Row],[cutoff]]))</f>
        <v>45747</v>
      </c>
      <c r="B106" s="7">
        <f>DATE(YEAR(m1_crossvalid[[#This Row],[ds]]),MONTH(m1_crossvalid[[#This Row],[ds]]),DAY(m1_crossvalid[[#This Row],[ds]]))</f>
        <v>45759</v>
      </c>
      <c r="C106">
        <v>276</v>
      </c>
      <c r="D106" s="1">
        <v>45759.333333333336</v>
      </c>
      <c r="E106">
        <v>1191.1808628256983</v>
      </c>
      <c r="F106">
        <v>-1345.1195534544779</v>
      </c>
      <c r="G106">
        <v>3853.4404917795309</v>
      </c>
      <c r="H106" s="1">
        <v>45747.333333333336</v>
      </c>
    </row>
    <row r="107" spans="1:8" x14ac:dyDescent="0.25">
      <c r="A107" s="7">
        <f>DATE(YEAR(m1_crossvalid[[#This Row],[cutoff]]),MONTH(m1_crossvalid[[#This Row],[cutoff]]),DAY(m1_crossvalid[[#This Row],[cutoff]]))</f>
        <v>45747</v>
      </c>
      <c r="B107" s="7">
        <f>DATE(YEAR(m1_crossvalid[[#This Row],[ds]]),MONTH(m1_crossvalid[[#This Row],[ds]]),DAY(m1_crossvalid[[#This Row],[ds]]))</f>
        <v>45760</v>
      </c>
      <c r="C107">
        <v>55</v>
      </c>
      <c r="D107" s="1">
        <v>45760.333333333336</v>
      </c>
      <c r="E107">
        <v>570.71986157166452</v>
      </c>
      <c r="F107">
        <v>-2013.8182391162657</v>
      </c>
      <c r="G107">
        <v>3196.8902261581543</v>
      </c>
      <c r="H107" s="1">
        <v>45747.333333333336</v>
      </c>
    </row>
    <row r="108" spans="1:8" x14ac:dyDescent="0.25">
      <c r="A108" s="7">
        <f>DATE(YEAR(m1_crossvalid[[#This Row],[cutoff]]),MONTH(m1_crossvalid[[#This Row],[cutoff]]),DAY(m1_crossvalid[[#This Row],[cutoff]]))</f>
        <v>45747</v>
      </c>
      <c r="B108" s="7">
        <f>DATE(YEAR(m1_crossvalid[[#This Row],[ds]]),MONTH(m1_crossvalid[[#This Row],[ds]]),DAY(m1_crossvalid[[#This Row],[ds]]))</f>
        <v>45761</v>
      </c>
      <c r="C108">
        <v>1634</v>
      </c>
      <c r="D108" s="1">
        <v>45761.333333333336</v>
      </c>
      <c r="E108">
        <v>2770.5743599499338</v>
      </c>
      <c r="F108">
        <v>198.24031532619455</v>
      </c>
      <c r="G108">
        <v>5310.8412801070863</v>
      </c>
      <c r="H108" s="1">
        <v>45747.333333333336</v>
      </c>
    </row>
    <row r="109" spans="1:8" x14ac:dyDescent="0.25">
      <c r="A109" s="7">
        <f>DATE(YEAR(m1_crossvalid[[#This Row],[cutoff]]),MONTH(m1_crossvalid[[#This Row],[cutoff]]),DAY(m1_crossvalid[[#This Row],[cutoff]]))</f>
        <v>45747</v>
      </c>
      <c r="B109" s="7">
        <f>DATE(YEAR(m1_crossvalid[[#This Row],[ds]]),MONTH(m1_crossvalid[[#This Row],[ds]]),DAY(m1_crossvalid[[#This Row],[ds]]))</f>
        <v>45762</v>
      </c>
      <c r="C109">
        <v>1965</v>
      </c>
      <c r="D109" s="1">
        <v>45762.333333333336</v>
      </c>
      <c r="E109">
        <v>3260.7686506625314</v>
      </c>
      <c r="F109">
        <v>741.54986701892085</v>
      </c>
      <c r="G109">
        <v>5791.4205931373153</v>
      </c>
      <c r="H109" s="1">
        <v>45747.333333333336</v>
      </c>
    </row>
    <row r="110" spans="1:8" x14ac:dyDescent="0.25">
      <c r="A110" s="7">
        <f>DATE(YEAR(m1_crossvalid[[#This Row],[cutoff]]),MONTH(m1_crossvalid[[#This Row],[cutoff]]),DAY(m1_crossvalid[[#This Row],[cutoff]]))</f>
        <v>45747</v>
      </c>
      <c r="B110" s="7">
        <f>DATE(YEAR(m1_crossvalid[[#This Row],[ds]]),MONTH(m1_crossvalid[[#This Row],[ds]]),DAY(m1_crossvalid[[#This Row],[ds]]))</f>
        <v>45763</v>
      </c>
      <c r="C110">
        <v>2361</v>
      </c>
      <c r="D110" s="1">
        <v>45763.333333333336</v>
      </c>
      <c r="E110">
        <v>3167.2009288694662</v>
      </c>
      <c r="F110">
        <v>622.71099546567655</v>
      </c>
      <c r="G110">
        <v>5741.1843668091187</v>
      </c>
      <c r="H110" s="1">
        <v>45747.333333333336</v>
      </c>
    </row>
    <row r="111" spans="1:8" x14ac:dyDescent="0.25">
      <c r="A111" s="7">
        <f>DATE(YEAR(m1_crossvalid[[#This Row],[cutoff]]),MONTH(m1_crossvalid[[#This Row],[cutoff]]),DAY(m1_crossvalid[[#This Row],[cutoff]]))</f>
        <v>45747</v>
      </c>
      <c r="B111" s="7">
        <f>DATE(YEAR(m1_crossvalid[[#This Row],[ds]]),MONTH(m1_crossvalid[[#This Row],[ds]]),DAY(m1_crossvalid[[#This Row],[ds]]))</f>
        <v>45764</v>
      </c>
      <c r="C111">
        <v>2761</v>
      </c>
      <c r="D111" s="1">
        <v>45764.333333333336</v>
      </c>
      <c r="E111">
        <v>3139.0245969330358</v>
      </c>
      <c r="F111">
        <v>609.16807224769116</v>
      </c>
      <c r="G111">
        <v>5767.7910824509208</v>
      </c>
      <c r="H111" s="1">
        <v>45747.333333333336</v>
      </c>
    </row>
    <row r="112" spans="1:8" x14ac:dyDescent="0.25">
      <c r="A112" s="7">
        <f>DATE(YEAR(m1_crossvalid[[#This Row],[cutoff]]),MONTH(m1_crossvalid[[#This Row],[cutoff]]),DAY(m1_crossvalid[[#This Row],[cutoff]]))</f>
        <v>45747</v>
      </c>
      <c r="B112" s="7">
        <f>DATE(YEAR(m1_crossvalid[[#This Row],[ds]]),MONTH(m1_crossvalid[[#This Row],[ds]]),DAY(m1_crossvalid[[#This Row],[ds]]))</f>
        <v>45765</v>
      </c>
      <c r="C112">
        <v>2721</v>
      </c>
      <c r="D112" s="1">
        <v>45765.333333333336</v>
      </c>
      <c r="E112">
        <v>3064.0840823331391</v>
      </c>
      <c r="F112">
        <v>380.12306650958101</v>
      </c>
      <c r="G112">
        <v>5714.0595266094942</v>
      </c>
      <c r="H112" s="1">
        <v>45747.333333333336</v>
      </c>
    </row>
    <row r="113" spans="1:8" x14ac:dyDescent="0.25">
      <c r="A113" s="7">
        <f>DATE(YEAR(m1_crossvalid[[#This Row],[cutoff]]),MONTH(m1_crossvalid[[#This Row],[cutoff]]),DAY(m1_crossvalid[[#This Row],[cutoff]]))</f>
        <v>45747</v>
      </c>
      <c r="B113" s="7">
        <f>DATE(YEAR(m1_crossvalid[[#This Row],[ds]]),MONTH(m1_crossvalid[[#This Row],[ds]]),DAY(m1_crossvalid[[#This Row],[ds]]))</f>
        <v>45766</v>
      </c>
      <c r="C113">
        <v>420</v>
      </c>
      <c r="D113" s="1">
        <v>45766.333333333336</v>
      </c>
      <c r="E113">
        <v>726.88075165278292</v>
      </c>
      <c r="F113">
        <v>-2001.9189548679428</v>
      </c>
      <c r="G113">
        <v>3376.4776089133484</v>
      </c>
      <c r="H113" s="1">
        <v>45747.333333333336</v>
      </c>
    </row>
    <row r="114" spans="1:8" x14ac:dyDescent="0.25">
      <c r="A114" s="7">
        <f>DATE(YEAR(m1_crossvalid[[#This Row],[cutoff]]),MONTH(m1_crossvalid[[#This Row],[cutoff]]),DAY(m1_crossvalid[[#This Row],[cutoff]]))</f>
        <v>45747</v>
      </c>
      <c r="B114" s="7">
        <f>DATE(YEAR(m1_crossvalid[[#This Row],[ds]]),MONTH(m1_crossvalid[[#This Row],[ds]]),DAY(m1_crossvalid[[#This Row],[ds]]))</f>
        <v>45767</v>
      </c>
      <c r="C114">
        <v>166</v>
      </c>
      <c r="D114" s="1">
        <v>45767.333333333336</v>
      </c>
      <c r="E114">
        <v>116.38529949883605</v>
      </c>
      <c r="F114">
        <v>-2415.6019860560532</v>
      </c>
      <c r="G114">
        <v>2829.4890178594042</v>
      </c>
      <c r="H114" s="1">
        <v>45747.333333333336</v>
      </c>
    </row>
    <row r="115" spans="1:8" x14ac:dyDescent="0.25">
      <c r="A115" s="7">
        <f>DATE(YEAR(m1_crossvalid[[#This Row],[cutoff]]),MONTH(m1_crossvalid[[#This Row],[cutoff]]),DAY(m1_crossvalid[[#This Row],[cutoff]]))</f>
        <v>45747</v>
      </c>
      <c r="B115" s="7">
        <f>DATE(YEAR(m1_crossvalid[[#This Row],[ds]]),MONTH(m1_crossvalid[[#This Row],[ds]]),DAY(m1_crossvalid[[#This Row],[ds]]))</f>
        <v>45768</v>
      </c>
      <c r="C115">
        <v>2715</v>
      </c>
      <c r="D115" s="1">
        <v>45768.333333333336</v>
      </c>
      <c r="E115">
        <v>2333.1768240117394</v>
      </c>
      <c r="F115">
        <v>-192.65985352403558</v>
      </c>
      <c r="G115">
        <v>5135.7684590112895</v>
      </c>
      <c r="H115" s="1">
        <v>45747.333333333336</v>
      </c>
    </row>
    <row r="116" spans="1:8" x14ac:dyDescent="0.25">
      <c r="A116" s="7">
        <f>DATE(YEAR(m1_crossvalid[[#This Row],[cutoff]]),MONTH(m1_crossvalid[[#This Row],[cutoff]]),DAY(m1_crossvalid[[#This Row],[cutoff]]))</f>
        <v>45747</v>
      </c>
      <c r="B116" s="7">
        <f>DATE(YEAR(m1_crossvalid[[#This Row],[ds]]),MONTH(m1_crossvalid[[#This Row],[ds]]),DAY(m1_crossvalid[[#This Row],[ds]]))</f>
        <v>45769</v>
      </c>
      <c r="C116">
        <v>3162</v>
      </c>
      <c r="D116" s="1">
        <v>45769.333333333336</v>
      </c>
      <c r="E116">
        <v>2846.9451976085916</v>
      </c>
      <c r="F116">
        <v>251.2334214878681</v>
      </c>
      <c r="G116">
        <v>5448.0870980279933</v>
      </c>
      <c r="H116" s="1">
        <v>45747.333333333336</v>
      </c>
    </row>
    <row r="117" spans="1:8" x14ac:dyDescent="0.25">
      <c r="A117" s="7">
        <f>DATE(YEAR(m1_crossvalid[[#This Row],[cutoff]]),MONTH(m1_crossvalid[[#This Row],[cutoff]]),DAY(m1_crossvalid[[#This Row],[cutoff]]))</f>
        <v>45747</v>
      </c>
      <c r="B117" s="7">
        <f>DATE(YEAR(m1_crossvalid[[#This Row],[ds]]),MONTH(m1_crossvalid[[#This Row],[ds]]),DAY(m1_crossvalid[[#This Row],[ds]]))</f>
        <v>45770</v>
      </c>
      <c r="C117">
        <v>3604</v>
      </c>
      <c r="D117" s="1">
        <v>45770.333333333336</v>
      </c>
      <c r="E117">
        <v>2783.1080727290232</v>
      </c>
      <c r="F117">
        <v>194.03117808826894</v>
      </c>
      <c r="G117">
        <v>5407.741009436746</v>
      </c>
      <c r="H117" s="1">
        <v>45747.333333333336</v>
      </c>
    </row>
    <row r="118" spans="1:8" x14ac:dyDescent="0.25">
      <c r="A118" s="7">
        <f>DATE(YEAR(m1_crossvalid[[#This Row],[cutoff]]),MONTH(m1_crossvalid[[#This Row],[cutoff]]),DAY(m1_crossvalid[[#This Row],[cutoff]]))</f>
        <v>45747</v>
      </c>
      <c r="B118" s="7">
        <f>DATE(YEAR(m1_crossvalid[[#This Row],[ds]]),MONTH(m1_crossvalid[[#This Row],[ds]]),DAY(m1_crossvalid[[#This Row],[ds]]))</f>
        <v>45771</v>
      </c>
      <c r="C118">
        <v>3831</v>
      </c>
      <c r="D118" s="1">
        <v>45771.333333333336</v>
      </c>
      <c r="E118">
        <v>2790.2045157727398</v>
      </c>
      <c r="F118">
        <v>-2.3695576472192794</v>
      </c>
      <c r="G118">
        <v>5319.0628989495162</v>
      </c>
      <c r="H118" s="1">
        <v>45747.333333333336</v>
      </c>
    </row>
    <row r="119" spans="1:8" x14ac:dyDescent="0.25">
      <c r="A119" s="7">
        <f>DATE(YEAR(m1_crossvalid[[#This Row],[cutoff]]),MONTH(m1_crossvalid[[#This Row],[cutoff]]),DAY(m1_crossvalid[[#This Row],[cutoff]]))</f>
        <v>45747</v>
      </c>
      <c r="B119" s="7">
        <f>DATE(YEAR(m1_crossvalid[[#This Row],[ds]]),MONTH(m1_crossvalid[[#This Row],[ds]]),DAY(m1_crossvalid[[#This Row],[ds]]))</f>
        <v>45772</v>
      </c>
      <c r="C119">
        <v>4600</v>
      </c>
      <c r="D119" s="1">
        <v>45772.333333333336</v>
      </c>
      <c r="E119">
        <v>2755.3465470974083</v>
      </c>
      <c r="F119">
        <v>243.78256501981699</v>
      </c>
      <c r="G119">
        <v>5419.6301543085774</v>
      </c>
      <c r="H119" s="1">
        <v>45747.333333333336</v>
      </c>
    </row>
    <row r="120" spans="1:8" x14ac:dyDescent="0.25">
      <c r="A120" s="7">
        <f>DATE(YEAR(m1_crossvalid[[#This Row],[cutoff]]),MONTH(m1_crossvalid[[#This Row],[cutoff]]),DAY(m1_crossvalid[[#This Row],[cutoff]]))</f>
        <v>45747</v>
      </c>
      <c r="B120" s="7">
        <f>DATE(YEAR(m1_crossvalid[[#This Row],[ds]]),MONTH(m1_crossvalid[[#This Row],[ds]]),DAY(m1_crossvalid[[#This Row],[ds]]))</f>
        <v>45773</v>
      </c>
      <c r="C120">
        <v>1014</v>
      </c>
      <c r="D120" s="1">
        <v>45773.333333333336</v>
      </c>
      <c r="E120">
        <v>462.20373319513192</v>
      </c>
      <c r="F120">
        <v>-2178.5018731276391</v>
      </c>
      <c r="G120">
        <v>2998.0565261592187</v>
      </c>
      <c r="H120" s="1">
        <v>45747.333333333336</v>
      </c>
    </row>
    <row r="121" spans="1:8" x14ac:dyDescent="0.25">
      <c r="A121" s="7">
        <f>DATE(YEAR(m1_crossvalid[[#This Row],[cutoff]]),MONTH(m1_crossvalid[[#This Row],[cutoff]]),DAY(m1_crossvalid[[#This Row],[cutoff]]))</f>
        <v>45747</v>
      </c>
      <c r="B121" s="7">
        <f>DATE(YEAR(m1_crossvalid[[#This Row],[ds]]),MONTH(m1_crossvalid[[#This Row],[ds]]),DAY(m1_crossvalid[[#This Row],[ds]]))</f>
        <v>45774</v>
      </c>
      <c r="C121">
        <v>198</v>
      </c>
      <c r="D121" s="1">
        <v>45774.333333333336</v>
      </c>
      <c r="E121">
        <v>-101.16330646887218</v>
      </c>
      <c r="F121">
        <v>-2662.3258808464448</v>
      </c>
      <c r="G121">
        <v>2483.2634829037711</v>
      </c>
      <c r="H121" s="1">
        <v>45747.333333333336</v>
      </c>
    </row>
    <row r="122" spans="1:8" x14ac:dyDescent="0.25">
      <c r="A122" s="7">
        <f>DATE(YEAR(m1_crossvalid[[#This Row],[cutoff]]),MONTH(m1_crossvalid[[#This Row],[cutoff]]),DAY(m1_crossvalid[[#This Row],[cutoff]]))</f>
        <v>45747</v>
      </c>
      <c r="B122" s="7">
        <f>DATE(YEAR(m1_crossvalid[[#This Row],[ds]]),MONTH(m1_crossvalid[[#This Row],[ds]]),DAY(m1_crossvalid[[#This Row],[ds]]))</f>
        <v>45775</v>
      </c>
      <c r="C122">
        <v>5133</v>
      </c>
      <c r="D122" s="1">
        <v>45775.333333333336</v>
      </c>
      <c r="E122">
        <v>2164.8591525891097</v>
      </c>
      <c r="F122">
        <v>-311.72186572468405</v>
      </c>
      <c r="G122">
        <v>4732.8873828635233</v>
      </c>
      <c r="H122" s="1">
        <v>45747.333333333336</v>
      </c>
    </row>
    <row r="123" spans="1:8" x14ac:dyDescent="0.25">
      <c r="A123" s="7">
        <f>DATE(YEAR(m1_crossvalid[[#This Row],[cutoff]]),MONTH(m1_crossvalid[[#This Row],[cutoff]]),DAY(m1_crossvalid[[#This Row],[cutoff]]))</f>
        <v>45747</v>
      </c>
      <c r="B123" s="7">
        <f>DATE(YEAR(m1_crossvalid[[#This Row],[ds]]),MONTH(m1_crossvalid[[#This Row],[ds]]),DAY(m1_crossvalid[[#This Row],[ds]]))</f>
        <v>45776</v>
      </c>
      <c r="C123">
        <v>7913</v>
      </c>
      <c r="D123" s="1">
        <v>45776.333333333336</v>
      </c>
      <c r="E123">
        <v>2728.9645162660622</v>
      </c>
      <c r="F123">
        <v>136.22463568628373</v>
      </c>
      <c r="G123">
        <v>5105.9620996151234</v>
      </c>
      <c r="H123" s="1">
        <v>45747.333333333336</v>
      </c>
    </row>
    <row r="124" spans="1:8" x14ac:dyDescent="0.25">
      <c r="A124" s="7">
        <f>DATE(YEAR(m1_crossvalid[[#This Row],[cutoff]]),MONTH(m1_crossvalid[[#This Row],[cutoff]]),DAY(m1_crossvalid[[#This Row],[cutoff]]))</f>
        <v>45747</v>
      </c>
      <c r="B124" s="7">
        <f>DATE(YEAR(m1_crossvalid[[#This Row],[ds]]),MONTH(m1_crossvalid[[#This Row],[ds]]),DAY(m1_crossvalid[[#This Row],[ds]]))</f>
        <v>45777</v>
      </c>
      <c r="C124">
        <v>14564</v>
      </c>
      <c r="D124" s="1">
        <v>45777.333333333336</v>
      </c>
      <c r="E124">
        <v>2715.567652592129</v>
      </c>
      <c r="F124">
        <v>179.91284680758648</v>
      </c>
      <c r="G124">
        <v>5203.6135299010184</v>
      </c>
      <c r="H124" s="1">
        <v>45747.333333333336</v>
      </c>
    </row>
    <row r="125" spans="1:8" x14ac:dyDescent="0.25">
      <c r="A125" s="7">
        <f>DATE(YEAR(m1_crossvalid[[#This Row],[cutoff]]),MONTH(m1_crossvalid[[#This Row],[cutoff]]),DAY(m1_crossvalid[[#This Row],[cutoff]]))</f>
        <v>45747</v>
      </c>
      <c r="B125" s="7">
        <f>DATE(YEAR(m1_crossvalid[[#This Row],[ds]]),MONTH(m1_crossvalid[[#This Row],[ds]]),DAY(m1_crossvalid[[#This Row],[ds]]))</f>
        <v>45778</v>
      </c>
      <c r="C125">
        <v>24</v>
      </c>
      <c r="D125" s="1">
        <v>45778.333333333336</v>
      </c>
      <c r="E125">
        <v>2772.2231981166406</v>
      </c>
      <c r="F125">
        <v>244.11655378258789</v>
      </c>
      <c r="G125">
        <v>5318.8697567364625</v>
      </c>
      <c r="H125" s="1">
        <v>45747.333333333336</v>
      </c>
    </row>
    <row r="126" spans="1:8" x14ac:dyDescent="0.25">
      <c r="A126" s="7">
        <f>DATE(YEAR(m1_crossvalid[[#This Row],[cutoff]]),MONTH(m1_crossvalid[[#This Row],[cutoff]]),DAY(m1_crossvalid[[#This Row],[cutoff]]))</f>
        <v>45777</v>
      </c>
      <c r="B126" s="7">
        <f>DATE(YEAR(m1_crossvalid[[#This Row],[ds]]),MONTH(m1_crossvalid[[#This Row],[ds]]),DAY(m1_crossvalid[[#This Row],[ds]]))</f>
        <v>45778</v>
      </c>
      <c r="C126">
        <v>24</v>
      </c>
      <c r="D126" s="1">
        <v>45778.333333333336</v>
      </c>
      <c r="E126">
        <v>3228.6649225975134</v>
      </c>
      <c r="F126">
        <v>598.81809544955377</v>
      </c>
      <c r="G126">
        <v>6110.9602917011771</v>
      </c>
      <c r="H126" s="1">
        <v>45777.333333333336</v>
      </c>
    </row>
    <row r="127" spans="1:8" x14ac:dyDescent="0.25">
      <c r="A127" s="7">
        <f>DATE(YEAR(m1_crossvalid[[#This Row],[cutoff]]),MONTH(m1_crossvalid[[#This Row],[cutoff]]),DAY(m1_crossvalid[[#This Row],[cutoff]]))</f>
        <v>45777</v>
      </c>
      <c r="B127" s="7">
        <f>DATE(YEAR(m1_crossvalid[[#This Row],[ds]]),MONTH(m1_crossvalid[[#This Row],[ds]]),DAY(m1_crossvalid[[#This Row],[ds]]))</f>
        <v>45779</v>
      </c>
      <c r="C127">
        <v>750</v>
      </c>
      <c r="D127" s="1">
        <v>45779.333333333336</v>
      </c>
      <c r="E127">
        <v>3240.4839187408352</v>
      </c>
      <c r="F127">
        <v>777.23597590705731</v>
      </c>
      <c r="G127">
        <v>5889.6791260265018</v>
      </c>
      <c r="H127" s="1">
        <v>45777.333333333336</v>
      </c>
    </row>
    <row r="128" spans="1:8" x14ac:dyDescent="0.25">
      <c r="A128" s="7">
        <f>DATE(YEAR(m1_crossvalid[[#This Row],[cutoff]]),MONTH(m1_crossvalid[[#This Row],[cutoff]]),DAY(m1_crossvalid[[#This Row],[cutoff]]))</f>
        <v>45777</v>
      </c>
      <c r="B128" s="7">
        <f>DATE(YEAR(m1_crossvalid[[#This Row],[ds]]),MONTH(m1_crossvalid[[#This Row],[ds]]),DAY(m1_crossvalid[[#This Row],[ds]]))</f>
        <v>45780</v>
      </c>
      <c r="C128">
        <v>70</v>
      </c>
      <c r="D128" s="1">
        <v>45780.333333333336</v>
      </c>
      <c r="E128">
        <v>986.32115786701411</v>
      </c>
      <c r="F128">
        <v>-1684.9689452840166</v>
      </c>
      <c r="G128">
        <v>3593.9828739386048</v>
      </c>
      <c r="H128" s="1">
        <v>45777.333333333336</v>
      </c>
    </row>
    <row r="129" spans="1:8" x14ac:dyDescent="0.25">
      <c r="A129" s="7">
        <f>DATE(YEAR(m1_crossvalid[[#This Row],[cutoff]]),MONTH(m1_crossvalid[[#This Row],[cutoff]]),DAY(m1_crossvalid[[#This Row],[cutoff]]))</f>
        <v>45777</v>
      </c>
      <c r="B129" s="7">
        <f>DATE(YEAR(m1_crossvalid[[#This Row],[ds]]),MONTH(m1_crossvalid[[#This Row],[ds]]),DAY(m1_crossvalid[[#This Row],[ds]]))</f>
        <v>45781</v>
      </c>
      <c r="C129">
        <v>31</v>
      </c>
      <c r="D129" s="1">
        <v>45781.333333333336</v>
      </c>
      <c r="E129">
        <v>451.77314320730466</v>
      </c>
      <c r="F129">
        <v>-2124.1083385965458</v>
      </c>
      <c r="G129">
        <v>3164.120216446649</v>
      </c>
      <c r="H129" s="1">
        <v>45777.333333333336</v>
      </c>
    </row>
    <row r="130" spans="1:8" x14ac:dyDescent="0.25">
      <c r="A130" s="7">
        <f>DATE(YEAR(m1_crossvalid[[#This Row],[cutoff]]),MONTH(m1_crossvalid[[#This Row],[cutoff]]),DAY(m1_crossvalid[[#This Row],[cutoff]]))</f>
        <v>45777</v>
      </c>
      <c r="B130" s="7">
        <f>DATE(YEAR(m1_crossvalid[[#This Row],[ds]]),MONTH(m1_crossvalid[[#This Row],[ds]]),DAY(m1_crossvalid[[#This Row],[ds]]))</f>
        <v>45782</v>
      </c>
      <c r="C130">
        <v>1026</v>
      </c>
      <c r="D130" s="1">
        <v>45782.333333333336</v>
      </c>
      <c r="E130">
        <v>2732.2578321227184</v>
      </c>
      <c r="F130">
        <v>-4.5580748478302162</v>
      </c>
      <c r="G130">
        <v>5322.5633676653206</v>
      </c>
      <c r="H130" s="1">
        <v>45777.333333333336</v>
      </c>
    </row>
    <row r="131" spans="1:8" x14ac:dyDescent="0.25">
      <c r="A131" s="7">
        <f>DATE(YEAR(m1_crossvalid[[#This Row],[cutoff]]),MONTH(m1_crossvalid[[#This Row],[cutoff]]),DAY(m1_crossvalid[[#This Row],[cutoff]]))</f>
        <v>45777</v>
      </c>
      <c r="B131" s="7">
        <f>DATE(YEAR(m1_crossvalid[[#This Row],[ds]]),MONTH(m1_crossvalid[[#This Row],[ds]]),DAY(m1_crossvalid[[#This Row],[ds]]))</f>
        <v>45783</v>
      </c>
      <c r="C131">
        <v>940</v>
      </c>
      <c r="D131" s="1">
        <v>45783.333333333336</v>
      </c>
      <c r="E131">
        <v>3283.4156997125792</v>
      </c>
      <c r="F131">
        <v>627.95904231427755</v>
      </c>
      <c r="G131">
        <v>5893.3654879860733</v>
      </c>
      <c r="H131" s="1">
        <v>45777.333333333336</v>
      </c>
    </row>
    <row r="132" spans="1:8" x14ac:dyDescent="0.25">
      <c r="A132" s="7">
        <f>DATE(YEAR(m1_crossvalid[[#This Row],[cutoff]]),MONTH(m1_crossvalid[[#This Row],[cutoff]]),DAY(m1_crossvalid[[#This Row],[cutoff]]))</f>
        <v>45777</v>
      </c>
      <c r="B132" s="7">
        <f>DATE(YEAR(m1_crossvalid[[#This Row],[ds]]),MONTH(m1_crossvalid[[#This Row],[ds]]),DAY(m1_crossvalid[[#This Row],[ds]]))</f>
        <v>45784</v>
      </c>
      <c r="C132">
        <v>1225</v>
      </c>
      <c r="D132" s="1">
        <v>45784.333333333336</v>
      </c>
      <c r="E132">
        <v>3301.9680302395077</v>
      </c>
      <c r="F132">
        <v>756.83437788304809</v>
      </c>
      <c r="G132">
        <v>5925.0989250333405</v>
      </c>
      <c r="H132" s="1">
        <v>45777.333333333336</v>
      </c>
    </row>
    <row r="133" spans="1:8" x14ac:dyDescent="0.25">
      <c r="A133" s="7">
        <f>DATE(YEAR(m1_crossvalid[[#This Row],[cutoff]]),MONTH(m1_crossvalid[[#This Row],[cutoff]]),DAY(m1_crossvalid[[#This Row],[cutoff]]))</f>
        <v>45777</v>
      </c>
      <c r="B133" s="7">
        <f>DATE(YEAR(m1_crossvalid[[#This Row],[ds]]),MONTH(m1_crossvalid[[#This Row],[ds]]),DAY(m1_crossvalid[[#This Row],[ds]]))</f>
        <v>45785</v>
      </c>
      <c r="C133">
        <v>1538</v>
      </c>
      <c r="D133" s="1">
        <v>45785.333333333336</v>
      </c>
      <c r="E133">
        <v>3283.9328716747477</v>
      </c>
      <c r="F133">
        <v>799.9862573878504</v>
      </c>
      <c r="G133">
        <v>5940.4777466612286</v>
      </c>
      <c r="H133" s="1">
        <v>45777.333333333336</v>
      </c>
    </row>
    <row r="134" spans="1:8" x14ac:dyDescent="0.25">
      <c r="A134" s="7">
        <f>DATE(YEAR(m1_crossvalid[[#This Row],[cutoff]]),MONTH(m1_crossvalid[[#This Row],[cutoff]]),DAY(m1_crossvalid[[#This Row],[cutoff]]))</f>
        <v>45777</v>
      </c>
      <c r="B134" s="7">
        <f>DATE(YEAR(m1_crossvalid[[#This Row],[ds]]),MONTH(m1_crossvalid[[#This Row],[ds]]),DAY(m1_crossvalid[[#This Row],[ds]]))</f>
        <v>45786</v>
      </c>
      <c r="C134">
        <v>1799</v>
      </c>
      <c r="D134" s="1">
        <v>45786.333333333336</v>
      </c>
      <c r="E134">
        <v>3276.8809034291216</v>
      </c>
      <c r="F134">
        <v>608.30376870887471</v>
      </c>
      <c r="G134">
        <v>5825.4581429531827</v>
      </c>
      <c r="H134" s="1">
        <v>45777.333333333336</v>
      </c>
    </row>
    <row r="135" spans="1:8" x14ac:dyDescent="0.25">
      <c r="A135" s="7">
        <f>DATE(YEAR(m1_crossvalid[[#This Row],[cutoff]]),MONTH(m1_crossvalid[[#This Row],[cutoff]]),DAY(m1_crossvalid[[#This Row],[cutoff]]))</f>
        <v>45777</v>
      </c>
      <c r="B135" s="7">
        <f>DATE(YEAR(m1_crossvalid[[#This Row],[ds]]),MONTH(m1_crossvalid[[#This Row],[ds]]),DAY(m1_crossvalid[[#This Row],[ds]]))</f>
        <v>45787</v>
      </c>
      <c r="C135">
        <v>415</v>
      </c>
      <c r="D135" s="1">
        <v>45787.333333333336</v>
      </c>
      <c r="E135">
        <v>1003.7775062587093</v>
      </c>
      <c r="F135">
        <v>-1628.5008023814287</v>
      </c>
      <c r="G135">
        <v>3708.4077001513947</v>
      </c>
      <c r="H135" s="1">
        <v>45777.333333333336</v>
      </c>
    </row>
    <row r="136" spans="1:8" x14ac:dyDescent="0.25">
      <c r="A136" s="7">
        <f>DATE(YEAR(m1_crossvalid[[#This Row],[cutoff]]),MONTH(m1_crossvalid[[#This Row],[cutoff]]),DAY(m1_crossvalid[[#This Row],[cutoff]]))</f>
        <v>45777</v>
      </c>
      <c r="B136" s="7">
        <f>DATE(YEAR(m1_crossvalid[[#This Row],[ds]]),MONTH(m1_crossvalid[[#This Row],[ds]]),DAY(m1_crossvalid[[#This Row],[ds]]))</f>
        <v>45788</v>
      </c>
      <c r="C136">
        <v>169</v>
      </c>
      <c r="D136" s="1">
        <v>45788.333333333336</v>
      </c>
      <c r="E136">
        <v>450.77915554937317</v>
      </c>
      <c r="F136">
        <v>-2025.6803664237443</v>
      </c>
      <c r="G136">
        <v>3004.1072370346892</v>
      </c>
      <c r="H136" s="1">
        <v>45777.333333333336</v>
      </c>
    </row>
    <row r="137" spans="1:8" x14ac:dyDescent="0.25">
      <c r="A137" s="7">
        <f>DATE(YEAR(m1_crossvalid[[#This Row],[cutoff]]),MONTH(m1_crossvalid[[#This Row],[cutoff]]),DAY(m1_crossvalid[[#This Row],[cutoff]]))</f>
        <v>45777</v>
      </c>
      <c r="B137" s="7">
        <f>DATE(YEAR(m1_crossvalid[[#This Row],[ds]]),MONTH(m1_crossvalid[[#This Row],[ds]]),DAY(m1_crossvalid[[#This Row],[ds]]))</f>
        <v>45789</v>
      </c>
      <c r="C137">
        <v>185</v>
      </c>
      <c r="D137" s="1">
        <v>45789.333333333336</v>
      </c>
      <c r="E137">
        <v>2713.8487411360202</v>
      </c>
      <c r="F137">
        <v>-23.883799566467076</v>
      </c>
      <c r="G137">
        <v>5299.1987795673085</v>
      </c>
      <c r="H137" s="1">
        <v>45777.333333333336</v>
      </c>
    </row>
    <row r="138" spans="1:8" x14ac:dyDescent="0.25">
      <c r="A138" s="7">
        <f>DATE(YEAR(m1_crossvalid[[#This Row],[cutoff]]),MONTH(m1_crossvalid[[#This Row],[cutoff]]),DAY(m1_crossvalid[[#This Row],[cutoff]]))</f>
        <v>45777</v>
      </c>
      <c r="B138" s="7">
        <f>DATE(YEAR(m1_crossvalid[[#This Row],[ds]]),MONTH(m1_crossvalid[[#This Row],[ds]]),DAY(m1_crossvalid[[#This Row],[ds]]))</f>
        <v>45790</v>
      </c>
      <c r="C138">
        <v>2011</v>
      </c>
      <c r="D138" s="1">
        <v>45790.333333333336</v>
      </c>
      <c r="E138">
        <v>3249.1417212650663</v>
      </c>
      <c r="F138">
        <v>555.8926722653996</v>
      </c>
      <c r="G138">
        <v>5679.1849873926903</v>
      </c>
      <c r="H138" s="1">
        <v>45777.333333333336</v>
      </c>
    </row>
    <row r="139" spans="1:8" x14ac:dyDescent="0.25">
      <c r="A139" s="7">
        <f>DATE(YEAR(m1_crossvalid[[#This Row],[cutoff]]),MONTH(m1_crossvalid[[#This Row],[cutoff]]),DAY(m1_crossvalid[[#This Row],[cutoff]]))</f>
        <v>45777</v>
      </c>
      <c r="B139" s="7">
        <f>DATE(YEAR(m1_crossvalid[[#This Row],[ds]]),MONTH(m1_crossvalid[[#This Row],[ds]]),DAY(m1_crossvalid[[#This Row],[ds]]))</f>
        <v>45791</v>
      </c>
      <c r="C139">
        <v>2630</v>
      </c>
      <c r="D139" s="1">
        <v>45791.333333333336</v>
      </c>
      <c r="E139">
        <v>3253.8501789617649</v>
      </c>
      <c r="F139">
        <v>600.61537922679736</v>
      </c>
      <c r="G139">
        <v>5976.9398575959503</v>
      </c>
      <c r="H139" s="1">
        <v>45777.333333333336</v>
      </c>
    </row>
    <row r="140" spans="1:8" x14ac:dyDescent="0.25">
      <c r="A140" s="7">
        <f>DATE(YEAR(m1_crossvalid[[#This Row],[cutoff]]),MONTH(m1_crossvalid[[#This Row],[cutoff]]),DAY(m1_crossvalid[[#This Row],[cutoff]]))</f>
        <v>45777</v>
      </c>
      <c r="B140" s="7">
        <f>DATE(YEAR(m1_crossvalid[[#This Row],[ds]]),MONTH(m1_crossvalid[[#This Row],[ds]]),DAY(m1_crossvalid[[#This Row],[ds]]))</f>
        <v>45792</v>
      </c>
      <c r="C140">
        <v>2985</v>
      </c>
      <c r="D140" s="1">
        <v>45792.333333333336</v>
      </c>
      <c r="E140">
        <v>3224.4056146842922</v>
      </c>
      <c r="F140">
        <v>777.47642789779513</v>
      </c>
      <c r="G140">
        <v>5891.5486525171</v>
      </c>
      <c r="H140" s="1">
        <v>45777.333333333336</v>
      </c>
    </row>
    <row r="141" spans="1:8" x14ac:dyDescent="0.25">
      <c r="A141" s="7">
        <f>DATE(YEAR(m1_crossvalid[[#This Row],[cutoff]]),MONTH(m1_crossvalid[[#This Row],[cutoff]]),DAY(m1_crossvalid[[#This Row],[cutoff]]))</f>
        <v>45777</v>
      </c>
      <c r="B141" s="7">
        <f>DATE(YEAR(m1_crossvalid[[#This Row],[ds]]),MONTH(m1_crossvalid[[#This Row],[ds]]),DAY(m1_crossvalid[[#This Row],[ds]]))</f>
        <v>45793</v>
      </c>
      <c r="C141">
        <v>3081</v>
      </c>
      <c r="D141" s="1">
        <v>45793.333333333336</v>
      </c>
      <c r="E141">
        <v>3208.7230983845934</v>
      </c>
      <c r="F141">
        <v>629.66262330141399</v>
      </c>
      <c r="G141">
        <v>5971.7446240512209</v>
      </c>
      <c r="H141" s="1">
        <v>45777.333333333336</v>
      </c>
    </row>
    <row r="142" spans="1:8" x14ac:dyDescent="0.25">
      <c r="A142" s="7">
        <f>DATE(YEAR(m1_crossvalid[[#This Row],[cutoff]]),MONTH(m1_crossvalid[[#This Row],[cutoff]]),DAY(m1_crossvalid[[#This Row],[cutoff]]))</f>
        <v>45777</v>
      </c>
      <c r="B142" s="7">
        <f>DATE(YEAR(m1_crossvalid[[#This Row],[ds]]),MONTH(m1_crossvalid[[#This Row],[ds]]),DAY(m1_crossvalid[[#This Row],[ds]]))</f>
        <v>45794</v>
      </c>
      <c r="C142">
        <v>609</v>
      </c>
      <c r="D142" s="1">
        <v>45794.333333333336</v>
      </c>
      <c r="E142">
        <v>930.03340687789182</v>
      </c>
      <c r="F142">
        <v>-1646.8647379679492</v>
      </c>
      <c r="G142">
        <v>3453.8873919985358</v>
      </c>
      <c r="H142" s="1">
        <v>45777.333333333336</v>
      </c>
    </row>
    <row r="143" spans="1:8" x14ac:dyDescent="0.25">
      <c r="A143" s="7">
        <f>DATE(YEAR(m1_crossvalid[[#This Row],[cutoff]]),MONTH(m1_crossvalid[[#This Row],[cutoff]]),DAY(m1_crossvalid[[#This Row],[cutoff]]))</f>
        <v>45777</v>
      </c>
      <c r="B143" s="7">
        <f>DATE(YEAR(m1_crossvalid[[#This Row],[ds]]),MONTH(m1_crossvalid[[#This Row],[ds]]),DAY(m1_crossvalid[[#This Row],[ds]]))</f>
        <v>45795</v>
      </c>
      <c r="C143">
        <v>185</v>
      </c>
      <c r="D143" s="1">
        <v>45795.333333333336</v>
      </c>
      <c r="E143">
        <v>374.6715585615043</v>
      </c>
      <c r="F143">
        <v>-2366.4902593450042</v>
      </c>
      <c r="G143">
        <v>2810.8809780201564</v>
      </c>
      <c r="H143" s="1">
        <v>45777.333333333336</v>
      </c>
    </row>
    <row r="144" spans="1:8" x14ac:dyDescent="0.25">
      <c r="A144" s="7">
        <f>DATE(YEAR(m1_crossvalid[[#This Row],[cutoff]]),MONTH(m1_crossvalid[[#This Row],[cutoff]]),DAY(m1_crossvalid[[#This Row],[cutoff]]))</f>
        <v>45777</v>
      </c>
      <c r="B144" s="7">
        <f>DATE(YEAR(m1_crossvalid[[#This Row],[ds]]),MONTH(m1_crossvalid[[#This Row],[ds]]),DAY(m1_crossvalid[[#This Row],[ds]]))</f>
        <v>45796</v>
      </c>
      <c r="C144">
        <v>2926</v>
      </c>
      <c r="D144" s="1">
        <v>45796.333333333336</v>
      </c>
      <c r="E144">
        <v>2638.6865849720593</v>
      </c>
      <c r="F144">
        <v>44.279004025868957</v>
      </c>
      <c r="G144">
        <v>5337.8506481849172</v>
      </c>
      <c r="H144" s="1">
        <v>45777.333333333336</v>
      </c>
    </row>
    <row r="145" spans="1:8" x14ac:dyDescent="0.25">
      <c r="A145" s="7">
        <f>DATE(YEAR(m1_crossvalid[[#This Row],[cutoff]]),MONTH(m1_crossvalid[[#This Row],[cutoff]]),DAY(m1_crossvalid[[#This Row],[cutoff]]))</f>
        <v>45777</v>
      </c>
      <c r="B145" s="7">
        <f>DATE(YEAR(m1_crossvalid[[#This Row],[ds]]),MONTH(m1_crossvalid[[#This Row],[ds]]),DAY(m1_crossvalid[[#This Row],[ds]]))</f>
        <v>45797</v>
      </c>
      <c r="C145">
        <v>3213</v>
      </c>
      <c r="D145" s="1">
        <v>45797.333333333336</v>
      </c>
      <c r="E145">
        <v>3178.2246212979881</v>
      </c>
      <c r="F145">
        <v>633.11575649849749</v>
      </c>
      <c r="G145">
        <v>5855.9141812021189</v>
      </c>
      <c r="H145" s="1">
        <v>45777.333333333336</v>
      </c>
    </row>
    <row r="146" spans="1:8" x14ac:dyDescent="0.25">
      <c r="A146" s="7">
        <f>DATE(YEAR(m1_crossvalid[[#This Row],[cutoff]]),MONTH(m1_crossvalid[[#This Row],[cutoff]]),DAY(m1_crossvalid[[#This Row],[cutoff]]))</f>
        <v>45777</v>
      </c>
      <c r="B146" s="7">
        <f>DATE(YEAR(m1_crossvalid[[#This Row],[ds]]),MONTH(m1_crossvalid[[#This Row],[ds]]),DAY(m1_crossvalid[[#This Row],[ds]]))</f>
        <v>45798</v>
      </c>
      <c r="C146">
        <v>3566</v>
      </c>
      <c r="D146" s="1">
        <v>45798.333333333336</v>
      </c>
      <c r="E146">
        <v>3190.3724912656207</v>
      </c>
      <c r="F146">
        <v>549.31327058217983</v>
      </c>
      <c r="G146">
        <v>5833.4825381597611</v>
      </c>
      <c r="H146" s="1">
        <v>45777.333333333336</v>
      </c>
    </row>
    <row r="147" spans="1:8" x14ac:dyDescent="0.25">
      <c r="A147" s="7">
        <f>DATE(YEAR(m1_crossvalid[[#This Row],[cutoff]]),MONTH(m1_crossvalid[[#This Row],[cutoff]]),DAY(m1_crossvalid[[#This Row],[cutoff]]))</f>
        <v>45777</v>
      </c>
      <c r="B147" s="7">
        <f>DATE(YEAR(m1_crossvalid[[#This Row],[ds]]),MONTH(m1_crossvalid[[#This Row],[ds]]),DAY(m1_crossvalid[[#This Row],[ds]]))</f>
        <v>45799</v>
      </c>
      <c r="C147">
        <v>3706</v>
      </c>
      <c r="D147" s="1">
        <v>45799.333333333336</v>
      </c>
      <c r="E147">
        <v>3171.3626569892535</v>
      </c>
      <c r="F147">
        <v>450.74941746478373</v>
      </c>
      <c r="G147">
        <v>5723.1544793019393</v>
      </c>
      <c r="H147" s="1">
        <v>45777.333333333336</v>
      </c>
    </row>
    <row r="148" spans="1:8" x14ac:dyDescent="0.25">
      <c r="A148" s="7">
        <f>DATE(YEAR(m1_crossvalid[[#This Row],[cutoff]]),MONTH(m1_crossvalid[[#This Row],[cutoff]]),DAY(m1_crossvalid[[#This Row],[cutoff]]))</f>
        <v>45777</v>
      </c>
      <c r="B148" s="7">
        <f>DATE(YEAR(m1_crossvalid[[#This Row],[ds]]),MONTH(m1_crossvalid[[#This Row],[ds]]),DAY(m1_crossvalid[[#This Row],[ds]]))</f>
        <v>45800</v>
      </c>
      <c r="C148">
        <v>3920</v>
      </c>
      <c r="D148" s="1">
        <v>45800.333333333336</v>
      </c>
      <c r="E148">
        <v>3168.8221206450662</v>
      </c>
      <c r="F148">
        <v>550.47607397961212</v>
      </c>
      <c r="G148">
        <v>5956.883834318347</v>
      </c>
      <c r="H148" s="1">
        <v>45777.333333333336</v>
      </c>
    </row>
    <row r="149" spans="1:8" x14ac:dyDescent="0.25">
      <c r="A149" s="7">
        <f>DATE(YEAR(m1_crossvalid[[#This Row],[cutoff]]),MONTH(m1_crossvalid[[#This Row],[cutoff]]),DAY(m1_crossvalid[[#This Row],[cutoff]]))</f>
        <v>45777</v>
      </c>
      <c r="B149" s="7">
        <f>DATE(YEAR(m1_crossvalid[[#This Row],[ds]]),MONTH(m1_crossvalid[[#This Row],[ds]]),DAY(m1_crossvalid[[#This Row],[ds]]))</f>
        <v>45801</v>
      </c>
      <c r="C149">
        <v>857</v>
      </c>
      <c r="D149" s="1">
        <v>45801.333333333336</v>
      </c>
      <c r="E149">
        <v>905.6117959609935</v>
      </c>
      <c r="F149">
        <v>-1885.6241215592299</v>
      </c>
      <c r="G149">
        <v>3408.1632658081303</v>
      </c>
      <c r="H149" s="1">
        <v>45777.333333333336</v>
      </c>
    </row>
    <row r="150" spans="1:8" x14ac:dyDescent="0.25">
      <c r="A150" s="7">
        <f>DATE(YEAR(m1_crossvalid[[#This Row],[cutoff]]),MONTH(m1_crossvalid[[#This Row],[cutoff]]),DAY(m1_crossvalid[[#This Row],[cutoff]]))</f>
        <v>45777</v>
      </c>
      <c r="B150" s="7">
        <f>DATE(YEAR(m1_crossvalid[[#This Row],[ds]]),MONTH(m1_crossvalid[[#This Row],[ds]]),DAY(m1_crossvalid[[#This Row],[ds]]))</f>
        <v>45802</v>
      </c>
      <c r="C150">
        <v>215</v>
      </c>
      <c r="D150" s="1">
        <v>45802.333333333336</v>
      </c>
      <c r="E150">
        <v>367.62458367891895</v>
      </c>
      <c r="F150">
        <v>-2230.7218374014406</v>
      </c>
      <c r="G150">
        <v>3165.6463224884305</v>
      </c>
      <c r="H150" s="1">
        <v>45777.333333333336</v>
      </c>
    </row>
    <row r="151" spans="1:8" x14ac:dyDescent="0.25">
      <c r="A151" s="7">
        <f>DATE(YEAR(m1_crossvalid[[#This Row],[cutoff]]),MONTH(m1_crossvalid[[#This Row],[cutoff]]),DAY(m1_crossvalid[[#This Row],[cutoff]]))</f>
        <v>45777</v>
      </c>
      <c r="B151" s="7">
        <f>DATE(YEAR(m1_crossvalid[[#This Row],[ds]]),MONTH(m1_crossvalid[[#This Row],[ds]]),DAY(m1_crossvalid[[#This Row],[ds]]))</f>
        <v>45803</v>
      </c>
      <c r="C151">
        <v>4297</v>
      </c>
      <c r="D151" s="1">
        <v>45803.333333333336</v>
      </c>
      <c r="E151">
        <v>2650.4067476983791</v>
      </c>
      <c r="F151">
        <v>-74.057780024088984</v>
      </c>
      <c r="G151">
        <v>5143.6829662208565</v>
      </c>
      <c r="H151" s="1">
        <v>45777.333333333336</v>
      </c>
    </row>
    <row r="152" spans="1:8" x14ac:dyDescent="0.25">
      <c r="A152" s="7">
        <f>DATE(YEAR(m1_crossvalid[[#This Row],[cutoff]]),MONTH(m1_crossvalid[[#This Row],[cutoff]]),DAY(m1_crossvalid[[#This Row],[cutoff]]))</f>
        <v>45777</v>
      </c>
      <c r="B152" s="7">
        <f>DATE(YEAR(m1_crossvalid[[#This Row],[ds]]),MONTH(m1_crossvalid[[#This Row],[ds]]),DAY(m1_crossvalid[[#This Row],[ds]]))</f>
        <v>45804</v>
      </c>
      <c r="C152">
        <v>5188</v>
      </c>
      <c r="D152" s="1">
        <v>45804.333333333336</v>
      </c>
      <c r="E152">
        <v>3209.5543718021104</v>
      </c>
      <c r="F152">
        <v>525.86373518381833</v>
      </c>
      <c r="G152">
        <v>5840.1734555730955</v>
      </c>
      <c r="H152" s="1">
        <v>45777.333333333336</v>
      </c>
    </row>
    <row r="153" spans="1:8" x14ac:dyDescent="0.25">
      <c r="A153" s="7">
        <f>DATE(YEAR(m1_crossvalid[[#This Row],[cutoff]]),MONTH(m1_crossvalid[[#This Row],[cutoff]]),DAY(m1_crossvalid[[#This Row],[cutoff]]))</f>
        <v>45777</v>
      </c>
      <c r="B153" s="7">
        <f>DATE(YEAR(m1_crossvalid[[#This Row],[ds]]),MONTH(m1_crossvalid[[#This Row],[ds]]),DAY(m1_crossvalid[[#This Row],[ds]]))</f>
        <v>45805</v>
      </c>
      <c r="C153">
        <v>5701</v>
      </c>
      <c r="D153" s="1">
        <v>45805.333333333336</v>
      </c>
      <c r="E153">
        <v>3241.571719692412</v>
      </c>
      <c r="F153">
        <v>706.48158619079118</v>
      </c>
      <c r="G153">
        <v>6037.7405511037732</v>
      </c>
      <c r="H153" s="1">
        <v>45777.333333333336</v>
      </c>
    </row>
    <row r="154" spans="1:8" x14ac:dyDescent="0.25">
      <c r="A154" s="7">
        <f>DATE(YEAR(m1_crossvalid[[#This Row],[cutoff]]),MONTH(m1_crossvalid[[#This Row],[cutoff]]),DAY(m1_crossvalid[[#This Row],[cutoff]]))</f>
        <v>45777</v>
      </c>
      <c r="B154" s="7">
        <f>DATE(YEAR(m1_crossvalid[[#This Row],[ds]]),MONTH(m1_crossvalid[[#This Row],[ds]]),DAY(m1_crossvalid[[#This Row],[ds]]))</f>
        <v>45806</v>
      </c>
      <c r="C154">
        <v>8103</v>
      </c>
      <c r="D154" s="1">
        <v>45806.333333333336</v>
      </c>
      <c r="E154">
        <v>3242.0919743372242</v>
      </c>
      <c r="F154">
        <v>521.39983758464177</v>
      </c>
      <c r="G154">
        <v>5979.1605845333515</v>
      </c>
      <c r="H154" s="1">
        <v>45777.333333333336</v>
      </c>
    </row>
    <row r="155" spans="1:8" x14ac:dyDescent="0.25">
      <c r="A155" s="7">
        <f>DATE(YEAR(m1_crossvalid[[#This Row],[cutoff]]),MONTH(m1_crossvalid[[#This Row],[cutoff]]),DAY(m1_crossvalid[[#This Row],[cutoff]]))</f>
        <v>45777</v>
      </c>
      <c r="B155" s="7">
        <f>DATE(YEAR(m1_crossvalid[[#This Row],[ds]]),MONTH(m1_crossvalid[[#This Row],[ds]]),DAY(m1_crossvalid[[#This Row],[ds]]))</f>
        <v>45807</v>
      </c>
      <c r="C155">
        <v>8920</v>
      </c>
      <c r="D155" s="1">
        <v>45807.333333333336</v>
      </c>
      <c r="E155">
        <v>3258.1425182715279</v>
      </c>
      <c r="F155">
        <v>619.28830254050968</v>
      </c>
      <c r="G155">
        <v>5911.6954521855496</v>
      </c>
      <c r="H155" s="1">
        <v>45777.333333333336</v>
      </c>
    </row>
    <row r="156" spans="1:8" x14ac:dyDescent="0.25">
      <c r="A156" s="7">
        <f>DATE(YEAR(m1_crossvalid[[#This Row],[cutoff]]),MONTH(m1_crossvalid[[#This Row],[cutoff]]),DAY(m1_crossvalid[[#This Row],[cutoff]]))</f>
        <v>45777</v>
      </c>
      <c r="B156" s="7">
        <f>DATE(YEAR(m1_crossvalid[[#This Row],[ds]]),MONTH(m1_crossvalid[[#This Row],[ds]]),DAY(m1_crossvalid[[#This Row],[ds]]))</f>
        <v>45808</v>
      </c>
      <c r="C156">
        <v>4108</v>
      </c>
      <c r="D156" s="1">
        <v>45808.333333333336</v>
      </c>
      <c r="E156">
        <v>1012.000828362314</v>
      </c>
      <c r="F156">
        <v>-1630.9500527534574</v>
      </c>
      <c r="G156">
        <v>3968.0341624102416</v>
      </c>
      <c r="H156" s="1">
        <v>45777.333333333336</v>
      </c>
    </row>
    <row r="157" spans="1:8" x14ac:dyDescent="0.25">
      <c r="A157" s="7">
        <f>DATE(YEAR(m1_crossvalid[[#This Row],[cutoff]]),MONTH(m1_crossvalid[[#This Row],[cutoff]]),DAY(m1_crossvalid[[#This Row],[cutoff]]))</f>
        <v>45808</v>
      </c>
      <c r="B157" s="7">
        <f>DATE(YEAR(m1_crossvalid[[#This Row],[ds]]),MONTH(m1_crossvalid[[#This Row],[ds]]),DAY(m1_crossvalid[[#This Row],[ds]]))</f>
        <v>45809</v>
      </c>
      <c r="C157">
        <v>75</v>
      </c>
      <c r="D157" s="1">
        <v>45809.333333333336</v>
      </c>
      <c r="E157">
        <v>863.87389847212853</v>
      </c>
      <c r="F157">
        <v>-1708.6795541660358</v>
      </c>
      <c r="G157">
        <v>3465.4051235940747</v>
      </c>
      <c r="H157" s="1">
        <v>45808.333333333336</v>
      </c>
    </row>
    <row r="158" spans="1:8" x14ac:dyDescent="0.25">
      <c r="A158" s="7">
        <f>DATE(YEAR(m1_crossvalid[[#This Row],[cutoff]]),MONTH(m1_crossvalid[[#This Row],[cutoff]]),DAY(m1_crossvalid[[#This Row],[cutoff]]))</f>
        <v>45808</v>
      </c>
      <c r="B158" s="7">
        <f>DATE(YEAR(m1_crossvalid[[#This Row],[ds]]),MONTH(m1_crossvalid[[#This Row],[ds]]),DAY(m1_crossvalid[[#This Row],[ds]]))</f>
        <v>45810</v>
      </c>
      <c r="C158">
        <v>3</v>
      </c>
      <c r="D158" s="1">
        <v>45810.333333333336</v>
      </c>
      <c r="E158">
        <v>3138.4423945242052</v>
      </c>
      <c r="F158">
        <v>256.98955630428139</v>
      </c>
      <c r="G158">
        <v>5690.551876507875</v>
      </c>
      <c r="H158" s="1">
        <v>45808.333333333336</v>
      </c>
    </row>
    <row r="159" spans="1:8" x14ac:dyDescent="0.25">
      <c r="A159" s="7">
        <f>DATE(YEAR(m1_crossvalid[[#This Row],[cutoff]]),MONTH(m1_crossvalid[[#This Row],[cutoff]]),DAY(m1_crossvalid[[#This Row],[cutoff]]))</f>
        <v>45808</v>
      </c>
      <c r="B159" s="7">
        <f>DATE(YEAR(m1_crossvalid[[#This Row],[ds]]),MONTH(m1_crossvalid[[#This Row],[ds]]),DAY(m1_crossvalid[[#This Row],[ds]]))</f>
        <v>45811</v>
      </c>
      <c r="C159">
        <v>578</v>
      </c>
      <c r="D159" s="1">
        <v>45811.333333333336</v>
      </c>
      <c r="E159">
        <v>3694.4986356809004</v>
      </c>
      <c r="F159">
        <v>1149.2392651283551</v>
      </c>
      <c r="G159">
        <v>6348.4786041131038</v>
      </c>
      <c r="H159" s="1">
        <v>45808.333333333336</v>
      </c>
    </row>
    <row r="160" spans="1:8" x14ac:dyDescent="0.25">
      <c r="A160" s="7">
        <f>DATE(YEAR(m1_crossvalid[[#This Row],[cutoff]]),MONTH(m1_crossvalid[[#This Row],[cutoff]]),DAY(m1_crossvalid[[#This Row],[cutoff]]))</f>
        <v>45808</v>
      </c>
      <c r="B160" s="7">
        <f>DATE(YEAR(m1_crossvalid[[#This Row],[ds]]),MONTH(m1_crossvalid[[#This Row],[ds]]),DAY(m1_crossvalid[[#This Row],[ds]]))</f>
        <v>45812</v>
      </c>
      <c r="C160">
        <v>842</v>
      </c>
      <c r="D160" s="1">
        <v>45812.333333333336</v>
      </c>
      <c r="E160">
        <v>3723.4109308802872</v>
      </c>
      <c r="F160">
        <v>985.07906992342407</v>
      </c>
      <c r="G160">
        <v>6269.4557350451196</v>
      </c>
      <c r="H160" s="1">
        <v>45808.333333333336</v>
      </c>
    </row>
    <row r="161" spans="1:8" x14ac:dyDescent="0.25">
      <c r="A161" s="7">
        <f>DATE(YEAR(m1_crossvalid[[#This Row],[cutoff]]),MONTH(m1_crossvalid[[#This Row],[cutoff]]),DAY(m1_crossvalid[[#This Row],[cutoff]]))</f>
        <v>45808</v>
      </c>
      <c r="B161" s="7">
        <f>DATE(YEAR(m1_crossvalid[[#This Row],[ds]]),MONTH(m1_crossvalid[[#This Row],[ds]]),DAY(m1_crossvalid[[#This Row],[ds]]))</f>
        <v>45813</v>
      </c>
      <c r="C161">
        <v>1102</v>
      </c>
      <c r="D161" s="1">
        <v>45813.333333333336</v>
      </c>
      <c r="E161">
        <v>3701.4640378535114</v>
      </c>
      <c r="F161">
        <v>1131.3105201754822</v>
      </c>
      <c r="G161">
        <v>6145.3676318503376</v>
      </c>
      <c r="H161" s="1">
        <v>45808.333333333336</v>
      </c>
    </row>
    <row r="162" spans="1:8" x14ac:dyDescent="0.25">
      <c r="A162" s="7">
        <f>DATE(YEAR(m1_crossvalid[[#This Row],[cutoff]]),MONTH(m1_crossvalid[[#This Row],[cutoff]]),DAY(m1_crossvalid[[#This Row],[cutoff]]))</f>
        <v>45808</v>
      </c>
      <c r="B162" s="7">
        <f>DATE(YEAR(m1_crossvalid[[#This Row],[ds]]),MONTH(m1_crossvalid[[#This Row],[ds]]),DAY(m1_crossvalid[[#This Row],[ds]]))</f>
        <v>45814</v>
      </c>
      <c r="C162">
        <v>1098</v>
      </c>
      <c r="D162" s="1">
        <v>45814.333333333336</v>
      </c>
      <c r="E162">
        <v>3700.0150945102632</v>
      </c>
      <c r="F162">
        <v>1025.7630693220622</v>
      </c>
      <c r="G162">
        <v>6308.9688421225055</v>
      </c>
      <c r="H162" s="1">
        <v>45808.333333333336</v>
      </c>
    </row>
    <row r="163" spans="1:8" x14ac:dyDescent="0.25">
      <c r="A163" s="7">
        <f>DATE(YEAR(m1_crossvalid[[#This Row],[cutoff]]),MONTH(m1_crossvalid[[#This Row],[cutoff]]),DAY(m1_crossvalid[[#This Row],[cutoff]]))</f>
        <v>45808</v>
      </c>
      <c r="B163" s="7">
        <f>DATE(YEAR(m1_crossvalid[[#This Row],[ds]]),MONTH(m1_crossvalid[[#This Row],[ds]]),DAY(m1_crossvalid[[#This Row],[ds]]))</f>
        <v>45815</v>
      </c>
      <c r="C163">
        <v>17</v>
      </c>
      <c r="D163" s="1">
        <v>45815.333333333336</v>
      </c>
      <c r="E163">
        <v>1412.1077291257329</v>
      </c>
      <c r="F163">
        <v>-1244.6768373789757</v>
      </c>
      <c r="G163">
        <v>4191.6498785061576</v>
      </c>
      <c r="H163" s="1">
        <v>45808.333333333336</v>
      </c>
    </row>
    <row r="164" spans="1:8" x14ac:dyDescent="0.25">
      <c r="A164" s="7">
        <f>DATE(YEAR(m1_crossvalid[[#This Row],[cutoff]]),MONTH(m1_crossvalid[[#This Row],[cutoff]]),DAY(m1_crossvalid[[#This Row],[cutoff]]))</f>
        <v>45808</v>
      </c>
      <c r="B164" s="7">
        <f>DATE(YEAR(m1_crossvalid[[#This Row],[ds]]),MONTH(m1_crossvalid[[#This Row],[ds]]),DAY(m1_crossvalid[[#This Row],[ds]]))</f>
        <v>45816</v>
      </c>
      <c r="C164">
        <v>2</v>
      </c>
      <c r="D164" s="1">
        <v>45816.333333333336</v>
      </c>
      <c r="E164">
        <v>836.5935944730611</v>
      </c>
      <c r="F164">
        <v>-1913.7145403564978</v>
      </c>
      <c r="G164">
        <v>3434.0203115317345</v>
      </c>
      <c r="H164" s="1">
        <v>45808.333333333336</v>
      </c>
    </row>
    <row r="165" spans="1:8" x14ac:dyDescent="0.25">
      <c r="A165" s="7">
        <f>DATE(YEAR(m1_crossvalid[[#This Row],[cutoff]]),MONTH(m1_crossvalid[[#This Row],[cutoff]]),DAY(m1_crossvalid[[#This Row],[cutoff]]))</f>
        <v>45808</v>
      </c>
      <c r="B165" s="7">
        <f>DATE(YEAR(m1_crossvalid[[#This Row],[ds]]),MONTH(m1_crossvalid[[#This Row],[ds]]),DAY(m1_crossvalid[[#This Row],[ds]]))</f>
        <v>45817</v>
      </c>
      <c r="C165">
        <v>716</v>
      </c>
      <c r="D165" s="1">
        <v>45817.333333333336</v>
      </c>
      <c r="E165">
        <v>3076.3825202898233</v>
      </c>
      <c r="F165">
        <v>508.65642661909595</v>
      </c>
      <c r="G165">
        <v>5713.9557584356298</v>
      </c>
      <c r="H165" s="1">
        <v>45808.333333333336</v>
      </c>
    </row>
    <row r="166" spans="1:8" x14ac:dyDescent="0.25">
      <c r="A166" s="7">
        <f>DATE(YEAR(m1_crossvalid[[#This Row],[cutoff]]),MONTH(m1_crossvalid[[#This Row],[cutoff]]),DAY(m1_crossvalid[[#This Row],[cutoff]]))</f>
        <v>45808</v>
      </c>
      <c r="B166" s="7">
        <f>DATE(YEAR(m1_crossvalid[[#This Row],[ds]]),MONTH(m1_crossvalid[[#This Row],[ds]]),DAY(m1_crossvalid[[#This Row],[ds]]))</f>
        <v>45818</v>
      </c>
      <c r="C166">
        <v>1129</v>
      </c>
      <c r="D166" s="1">
        <v>45818.333333333336</v>
      </c>
      <c r="E166">
        <v>3598.4791126264408</v>
      </c>
      <c r="F166">
        <v>957.6146316423351</v>
      </c>
      <c r="G166">
        <v>6184.553632644016</v>
      </c>
      <c r="H166" s="1">
        <v>45808.333333333336</v>
      </c>
    </row>
    <row r="167" spans="1:8" x14ac:dyDescent="0.25">
      <c r="A167" s="7">
        <f>DATE(YEAR(m1_crossvalid[[#This Row],[cutoff]]),MONTH(m1_crossvalid[[#This Row],[cutoff]]),DAY(m1_crossvalid[[#This Row],[cutoff]]))</f>
        <v>45808</v>
      </c>
      <c r="B167" s="7">
        <f>DATE(YEAR(m1_crossvalid[[#This Row],[ds]]),MONTH(m1_crossvalid[[#This Row],[ds]]),DAY(m1_crossvalid[[#This Row],[ds]]))</f>
        <v>45819</v>
      </c>
      <c r="C167">
        <v>1387</v>
      </c>
      <c r="D167" s="1">
        <v>45819.333333333336</v>
      </c>
      <c r="E167">
        <v>3594.7942077911839</v>
      </c>
      <c r="F167">
        <v>878.01932474960574</v>
      </c>
      <c r="G167">
        <v>6264.1369915666255</v>
      </c>
      <c r="H167" s="1">
        <v>45808.333333333336</v>
      </c>
    </row>
    <row r="168" spans="1:8" x14ac:dyDescent="0.25">
      <c r="A168" s="7">
        <f>DATE(YEAR(m1_crossvalid[[#This Row],[cutoff]]),MONTH(m1_crossvalid[[#This Row],[cutoff]]),DAY(m1_crossvalid[[#This Row],[cutoff]]))</f>
        <v>45808</v>
      </c>
      <c r="B168" s="7">
        <f>DATE(YEAR(m1_crossvalid[[#This Row],[ds]]),MONTH(m1_crossvalid[[#This Row],[ds]]),DAY(m1_crossvalid[[#This Row],[ds]]))</f>
        <v>45820</v>
      </c>
      <c r="C168">
        <v>1689</v>
      </c>
      <c r="D168" s="1">
        <v>45820.333333333336</v>
      </c>
      <c r="E168">
        <v>3542.1361652341293</v>
      </c>
      <c r="F168">
        <v>862.22698896297106</v>
      </c>
      <c r="G168">
        <v>6082.2913055040126</v>
      </c>
      <c r="H168" s="1">
        <v>45808.333333333336</v>
      </c>
    </row>
    <row r="169" spans="1:8" x14ac:dyDescent="0.25">
      <c r="A169" s="7">
        <f>DATE(YEAR(m1_crossvalid[[#This Row],[cutoff]]),MONTH(m1_crossvalid[[#This Row],[cutoff]]),DAY(m1_crossvalid[[#This Row],[cutoff]]))</f>
        <v>45808</v>
      </c>
      <c r="B169" s="7">
        <f>DATE(YEAR(m1_crossvalid[[#This Row],[ds]]),MONTH(m1_crossvalid[[#This Row],[ds]]),DAY(m1_crossvalid[[#This Row],[ds]]))</f>
        <v>45821</v>
      </c>
      <c r="C169">
        <v>1883</v>
      </c>
      <c r="D169" s="1">
        <v>45821.333333333336</v>
      </c>
      <c r="E169">
        <v>3512.3561348196495</v>
      </c>
      <c r="F169">
        <v>854.31862163141125</v>
      </c>
      <c r="G169">
        <v>6061.1774865270872</v>
      </c>
      <c r="H169" s="1">
        <v>45808.333333333336</v>
      </c>
    </row>
    <row r="170" spans="1:8" x14ac:dyDescent="0.25">
      <c r="A170" s="7">
        <f>DATE(YEAR(m1_crossvalid[[#This Row],[cutoff]]),MONTH(m1_crossvalid[[#This Row],[cutoff]]),DAY(m1_crossvalid[[#This Row],[cutoff]]))</f>
        <v>45808</v>
      </c>
      <c r="B170" s="7">
        <f>DATE(YEAR(m1_crossvalid[[#This Row],[ds]]),MONTH(m1_crossvalid[[#This Row],[ds]]),DAY(m1_crossvalid[[#This Row],[ds]]))</f>
        <v>45822</v>
      </c>
      <c r="C170">
        <v>280</v>
      </c>
      <c r="D170" s="1">
        <v>45822.333333333336</v>
      </c>
      <c r="E170">
        <v>1198.952005709478</v>
      </c>
      <c r="F170">
        <v>-1496.3363286624867</v>
      </c>
      <c r="G170">
        <v>3769.6460293811137</v>
      </c>
      <c r="H170" s="1">
        <v>45808.333333333336</v>
      </c>
    </row>
    <row r="171" spans="1:8" x14ac:dyDescent="0.25">
      <c r="A171" s="7">
        <f>DATE(YEAR(m1_crossvalid[[#This Row],[cutoff]]),MONTH(m1_crossvalid[[#This Row],[cutoff]]),DAY(m1_crossvalid[[#This Row],[cutoff]]))</f>
        <v>45808</v>
      </c>
      <c r="B171" s="7">
        <f>DATE(YEAR(m1_crossvalid[[#This Row],[ds]]),MONTH(m1_crossvalid[[#This Row],[ds]]),DAY(m1_crossvalid[[#This Row],[ds]]))</f>
        <v>45823</v>
      </c>
      <c r="C171">
        <v>71</v>
      </c>
      <c r="D171" s="1">
        <v>45823.333333333336</v>
      </c>
      <c r="E171">
        <v>601.18052120145148</v>
      </c>
      <c r="F171">
        <v>-1885.5222303699104</v>
      </c>
      <c r="G171">
        <v>3399.9537192026319</v>
      </c>
      <c r="H171" s="1">
        <v>45808.333333333336</v>
      </c>
    </row>
    <row r="172" spans="1:8" x14ac:dyDescent="0.25">
      <c r="A172" s="7">
        <f>DATE(YEAR(m1_crossvalid[[#This Row],[cutoff]]),MONTH(m1_crossvalid[[#This Row],[cutoff]]),DAY(m1_crossvalid[[#This Row],[cutoff]]))</f>
        <v>45808</v>
      </c>
      <c r="B172" s="7">
        <f>DATE(YEAR(m1_crossvalid[[#This Row],[ds]]),MONTH(m1_crossvalid[[#This Row],[ds]]),DAY(m1_crossvalid[[#This Row],[ds]]))</f>
        <v>45824</v>
      </c>
      <c r="C172">
        <v>1852</v>
      </c>
      <c r="D172" s="1">
        <v>45824.333333333336</v>
      </c>
      <c r="E172">
        <v>2822.2989786870721</v>
      </c>
      <c r="F172">
        <v>185.39537986177703</v>
      </c>
      <c r="G172">
        <v>5622.3025487664008</v>
      </c>
      <c r="H172" s="1">
        <v>45808.333333333336</v>
      </c>
    </row>
    <row r="173" spans="1:8" x14ac:dyDescent="0.25">
      <c r="A173" s="7">
        <f>DATE(YEAR(m1_crossvalid[[#This Row],[cutoff]]),MONTH(m1_crossvalid[[#This Row],[cutoff]]),DAY(m1_crossvalid[[#This Row],[cutoff]]))</f>
        <v>45808</v>
      </c>
      <c r="B173" s="7">
        <f>DATE(YEAR(m1_crossvalid[[#This Row],[ds]]),MONTH(m1_crossvalid[[#This Row],[ds]]),DAY(m1_crossvalid[[#This Row],[ds]]))</f>
        <v>45825</v>
      </c>
      <c r="C173">
        <v>2251</v>
      </c>
      <c r="D173" s="1">
        <v>45825.333333333336</v>
      </c>
      <c r="E173">
        <v>3329.5945478294761</v>
      </c>
      <c r="F173">
        <v>535.42383274655742</v>
      </c>
      <c r="G173">
        <v>5870.6165886980407</v>
      </c>
      <c r="H173" s="1">
        <v>45808.333333333336</v>
      </c>
    </row>
    <row r="174" spans="1:8" x14ac:dyDescent="0.25">
      <c r="A174" s="7">
        <f>DATE(YEAR(m1_crossvalid[[#This Row],[cutoff]]),MONTH(m1_crossvalid[[#This Row],[cutoff]]),DAY(m1_crossvalid[[#This Row],[cutoff]]))</f>
        <v>45808</v>
      </c>
      <c r="B174" s="7">
        <f>DATE(YEAR(m1_crossvalid[[#This Row],[ds]]),MONTH(m1_crossvalid[[#This Row],[ds]]),DAY(m1_crossvalid[[#This Row],[ds]]))</f>
        <v>45826</v>
      </c>
      <c r="C174">
        <v>2552</v>
      </c>
      <c r="D174" s="1">
        <v>45826.333333333336</v>
      </c>
      <c r="E174">
        <v>3315.1897935522024</v>
      </c>
      <c r="F174">
        <v>594.90317880774626</v>
      </c>
      <c r="G174">
        <v>6015.4755134945126</v>
      </c>
      <c r="H174" s="1">
        <v>45808.333333333336</v>
      </c>
    </row>
    <row r="175" spans="1:8" x14ac:dyDescent="0.25">
      <c r="A175" s="7">
        <f>DATE(YEAR(m1_crossvalid[[#This Row],[cutoff]]),MONTH(m1_crossvalid[[#This Row],[cutoff]]),DAY(m1_crossvalid[[#This Row],[cutoff]]))</f>
        <v>45808</v>
      </c>
      <c r="B175" s="7">
        <f>DATE(YEAR(m1_crossvalid[[#This Row],[ds]]),MONTH(m1_crossvalid[[#This Row],[ds]]),DAY(m1_crossvalid[[#This Row],[ds]]))</f>
        <v>45827</v>
      </c>
      <c r="C175">
        <v>2813</v>
      </c>
      <c r="D175" s="1">
        <v>45827.333333333336</v>
      </c>
      <c r="E175">
        <v>3256.0295370633498</v>
      </c>
      <c r="F175">
        <v>683.88077367458573</v>
      </c>
      <c r="G175">
        <v>5910.3286197244051</v>
      </c>
      <c r="H175" s="1">
        <v>45808.333333333336</v>
      </c>
    </row>
    <row r="176" spans="1:8" x14ac:dyDescent="0.25">
      <c r="A176" s="7">
        <f>DATE(YEAR(m1_crossvalid[[#This Row],[cutoff]]),MONTH(m1_crossvalid[[#This Row],[cutoff]]),DAY(m1_crossvalid[[#This Row],[cutoff]]))</f>
        <v>45808</v>
      </c>
      <c r="B176" s="7">
        <f>DATE(YEAR(m1_crossvalid[[#This Row],[ds]]),MONTH(m1_crossvalid[[#This Row],[ds]]),DAY(m1_crossvalid[[#This Row],[ds]]))</f>
        <v>45828</v>
      </c>
      <c r="C176">
        <v>3023</v>
      </c>
      <c r="D176" s="1">
        <v>45828.333333333336</v>
      </c>
      <c r="E176">
        <v>3224.0233045319405</v>
      </c>
      <c r="F176">
        <v>560.99181265207926</v>
      </c>
      <c r="G176">
        <v>5802.4285418759082</v>
      </c>
      <c r="H176" s="1">
        <v>45808.333333333336</v>
      </c>
    </row>
    <row r="177" spans="1:8" x14ac:dyDescent="0.25">
      <c r="A177" s="7">
        <f>DATE(YEAR(m1_crossvalid[[#This Row],[cutoff]]),MONTH(m1_crossvalid[[#This Row],[cutoff]]),DAY(m1_crossvalid[[#This Row],[cutoff]]))</f>
        <v>45808</v>
      </c>
      <c r="B177" s="7">
        <f>DATE(YEAR(m1_crossvalid[[#This Row],[ds]]),MONTH(m1_crossvalid[[#This Row],[ds]]),DAY(m1_crossvalid[[#This Row],[ds]]))</f>
        <v>45829</v>
      </c>
      <c r="C177">
        <v>360</v>
      </c>
      <c r="D177" s="1">
        <v>45829.333333333336</v>
      </c>
      <c r="E177">
        <v>912.64814755566681</v>
      </c>
      <c r="F177">
        <v>-1895.1106294056665</v>
      </c>
      <c r="G177">
        <v>3445.6457900050382</v>
      </c>
      <c r="H177" s="1">
        <v>45808.333333333336</v>
      </c>
    </row>
    <row r="178" spans="1:8" x14ac:dyDescent="0.25">
      <c r="A178" s="7">
        <f>DATE(YEAR(m1_crossvalid[[#This Row],[cutoff]]),MONTH(m1_crossvalid[[#This Row],[cutoff]]),DAY(m1_crossvalid[[#This Row],[cutoff]]))</f>
        <v>45808</v>
      </c>
      <c r="B178" s="7">
        <f>DATE(YEAR(m1_crossvalid[[#This Row],[ds]]),MONTH(m1_crossvalid[[#This Row],[ds]]),DAY(m1_crossvalid[[#This Row],[ds]]))</f>
        <v>45830</v>
      </c>
      <c r="C178">
        <v>129</v>
      </c>
      <c r="D178" s="1">
        <v>45830.333333333336</v>
      </c>
      <c r="E178">
        <v>321.06135678807686</v>
      </c>
      <c r="F178">
        <v>-2239.5021682761658</v>
      </c>
      <c r="G178">
        <v>2964.7622274255291</v>
      </c>
      <c r="H178" s="1">
        <v>45808.333333333336</v>
      </c>
    </row>
    <row r="179" spans="1:8" x14ac:dyDescent="0.25">
      <c r="A179" s="7">
        <f>DATE(YEAR(m1_crossvalid[[#This Row],[cutoff]]),MONTH(m1_crossvalid[[#This Row],[cutoff]]),DAY(m1_crossvalid[[#This Row],[cutoff]]))</f>
        <v>45808</v>
      </c>
      <c r="B179" s="7">
        <f>DATE(YEAR(m1_crossvalid[[#This Row],[ds]]),MONTH(m1_crossvalid[[#This Row],[ds]]),DAY(m1_crossvalid[[#This Row],[ds]]))</f>
        <v>45831</v>
      </c>
      <c r="C179">
        <v>3291</v>
      </c>
      <c r="D179" s="1">
        <v>45831.333333333336</v>
      </c>
      <c r="E179">
        <v>2552.344483515606</v>
      </c>
      <c r="F179">
        <v>-194.45119974345781</v>
      </c>
      <c r="G179">
        <v>5179.0840907087022</v>
      </c>
      <c r="H179" s="1">
        <v>45808.333333333336</v>
      </c>
    </row>
    <row r="180" spans="1:8" x14ac:dyDescent="0.25">
      <c r="A180" s="7">
        <f>DATE(YEAR(m1_crossvalid[[#This Row],[cutoff]]),MONTH(m1_crossvalid[[#This Row],[cutoff]]),DAY(m1_crossvalid[[#This Row],[cutoff]]))</f>
        <v>45808</v>
      </c>
      <c r="B180" s="7">
        <f>DATE(YEAR(m1_crossvalid[[#This Row],[ds]]),MONTH(m1_crossvalid[[#This Row],[ds]]),DAY(m1_crossvalid[[#This Row],[ds]]))</f>
        <v>45832</v>
      </c>
      <c r="C180">
        <v>3743</v>
      </c>
      <c r="D180" s="1">
        <v>45832.333333333336</v>
      </c>
      <c r="E180">
        <v>3073.536656813008</v>
      </c>
      <c r="F180">
        <v>382.33329446338632</v>
      </c>
      <c r="G180">
        <v>5729.5430013001633</v>
      </c>
      <c r="H180" s="1">
        <v>45808.333333333336</v>
      </c>
    </row>
    <row r="181" spans="1:8" x14ac:dyDescent="0.25">
      <c r="A181" s="7">
        <f>DATE(YEAR(m1_crossvalid[[#This Row],[cutoff]]),MONTH(m1_crossvalid[[#This Row],[cutoff]]),DAY(m1_crossvalid[[#This Row],[cutoff]]))</f>
        <v>45808</v>
      </c>
      <c r="B181" s="7">
        <f>DATE(YEAR(m1_crossvalid[[#This Row],[ds]]),MONTH(m1_crossvalid[[#This Row],[ds]]),DAY(m1_crossvalid[[#This Row],[ds]]))</f>
        <v>45833</v>
      </c>
      <c r="C181">
        <v>4576</v>
      </c>
      <c r="D181" s="1">
        <v>45833.333333333336</v>
      </c>
      <c r="E181">
        <v>3076.445696448091</v>
      </c>
      <c r="F181">
        <v>584.47336060419332</v>
      </c>
      <c r="G181">
        <v>5768.1090947166977</v>
      </c>
      <c r="H181" s="1">
        <v>45808.333333333336</v>
      </c>
    </row>
    <row r="182" spans="1:8" x14ac:dyDescent="0.25">
      <c r="A182" s="7">
        <f>DATE(YEAR(m1_crossvalid[[#This Row],[cutoff]]),MONTH(m1_crossvalid[[#This Row],[cutoff]]),DAY(m1_crossvalid[[#This Row],[cutoff]]))</f>
        <v>45808</v>
      </c>
      <c r="B182" s="7">
        <f>DATE(YEAR(m1_crossvalid[[#This Row],[ds]]),MONTH(m1_crossvalid[[#This Row],[ds]]),DAY(m1_crossvalid[[#This Row],[ds]]))</f>
        <v>45834</v>
      </c>
      <c r="C182">
        <v>6205</v>
      </c>
      <c r="D182" s="1">
        <v>45834.333333333336</v>
      </c>
      <c r="E182">
        <v>3037.6420295239122</v>
      </c>
      <c r="F182">
        <v>468.14988105752252</v>
      </c>
      <c r="G182">
        <v>5560.4902086616648</v>
      </c>
      <c r="H182" s="1">
        <v>45808.333333333336</v>
      </c>
    </row>
    <row r="183" spans="1:8" x14ac:dyDescent="0.25">
      <c r="A183" s="7">
        <f>DATE(YEAR(m1_crossvalid[[#This Row],[cutoff]]),MONTH(m1_crossvalid[[#This Row],[cutoff]]),DAY(m1_crossvalid[[#This Row],[cutoff]]))</f>
        <v>45808</v>
      </c>
      <c r="B183" s="7">
        <f>DATE(YEAR(m1_crossvalid[[#This Row],[ds]]),MONTH(m1_crossvalid[[#This Row],[ds]]),DAY(m1_crossvalid[[#This Row],[ds]]))</f>
        <v>45835</v>
      </c>
      <c r="C183">
        <v>814</v>
      </c>
      <c r="D183" s="1">
        <v>45835.333333333336</v>
      </c>
      <c r="E183">
        <v>3028.6094992571266</v>
      </c>
      <c r="F183">
        <v>337.90967822431929</v>
      </c>
      <c r="G183">
        <v>5941.1430442673045</v>
      </c>
      <c r="H183" s="1">
        <v>45808.333333333336</v>
      </c>
    </row>
    <row r="184" spans="1:8" x14ac:dyDescent="0.25">
      <c r="A184" s="7">
        <f>DATE(YEAR(m1_crossvalid[[#This Row],[cutoff]]),MONTH(m1_crossvalid[[#This Row],[cutoff]]),DAY(m1_crossvalid[[#This Row],[cutoff]]))</f>
        <v>45808</v>
      </c>
      <c r="B184" s="7">
        <f>DATE(YEAR(m1_crossvalid[[#This Row],[ds]]),MONTH(m1_crossvalid[[#This Row],[ds]]),DAY(m1_crossvalid[[#This Row],[ds]]))</f>
        <v>45836</v>
      </c>
      <c r="C184">
        <v>2326</v>
      </c>
      <c r="D184" s="1">
        <v>45836.333333333336</v>
      </c>
      <c r="E184">
        <v>742.35765636939504</v>
      </c>
      <c r="F184">
        <v>-1964.9966327799702</v>
      </c>
      <c r="G184">
        <v>3309.3292619608928</v>
      </c>
      <c r="H184" s="1">
        <v>45808.333333333336</v>
      </c>
    </row>
    <row r="185" spans="1:8" x14ac:dyDescent="0.25">
      <c r="A185" s="7">
        <f>DATE(YEAR(m1_crossvalid[[#This Row],[cutoff]]),MONTH(m1_crossvalid[[#This Row],[cutoff]]),DAY(m1_crossvalid[[#This Row],[cutoff]]))</f>
        <v>45808</v>
      </c>
      <c r="B185" s="7">
        <f>DATE(YEAR(m1_crossvalid[[#This Row],[ds]]),MONTH(m1_crossvalid[[#This Row],[ds]]),DAY(m1_crossvalid[[#This Row],[ds]]))</f>
        <v>45837</v>
      </c>
      <c r="C185">
        <v>427</v>
      </c>
      <c r="D185" s="1">
        <v>45837.333333333336</v>
      </c>
      <c r="E185">
        <v>177.54483321964108</v>
      </c>
      <c r="F185">
        <v>-2454.030444115906</v>
      </c>
      <c r="G185">
        <v>2908.4219841003519</v>
      </c>
      <c r="H185" s="1">
        <v>45808.333333333336</v>
      </c>
    </row>
    <row r="186" spans="1:8" x14ac:dyDescent="0.25">
      <c r="A186" s="7">
        <f>DATE(YEAR(m1_crossvalid[[#This Row],[cutoff]]),MONTH(m1_crossvalid[[#This Row],[cutoff]]),DAY(m1_crossvalid[[#This Row],[cutoff]]))</f>
        <v>45808</v>
      </c>
      <c r="B186" s="7">
        <f>DATE(YEAR(m1_crossvalid[[#This Row],[ds]]),MONTH(m1_crossvalid[[#This Row],[ds]]),DAY(m1_crossvalid[[#This Row],[ds]]))</f>
        <v>45838</v>
      </c>
      <c r="C186">
        <v>13624</v>
      </c>
      <c r="D186" s="1">
        <v>45838.333333333336</v>
      </c>
      <c r="E186">
        <v>2436.7331717755924</v>
      </c>
      <c r="F186">
        <v>-509.60607072253026</v>
      </c>
      <c r="G186">
        <v>5100.6129065305031</v>
      </c>
      <c r="H186" s="1">
        <v>45808.333333333336</v>
      </c>
    </row>
    <row r="187" spans="1:8" x14ac:dyDescent="0.25">
      <c r="A187" s="7">
        <f>DATE(YEAR(m1_crossvalid[[#This Row],[cutoff]]),MONTH(m1_crossvalid[[#This Row],[cutoff]]),DAY(m1_crossvalid[[#This Row],[cutoff]]))</f>
        <v>45808</v>
      </c>
      <c r="B187" s="7">
        <f>DATE(YEAR(m1_crossvalid[[#This Row],[ds]]),MONTH(m1_crossvalid[[#This Row],[ds]]),DAY(m1_crossvalid[[#This Row],[ds]]))</f>
        <v>45839</v>
      </c>
      <c r="C187">
        <v>624</v>
      </c>
      <c r="D187" s="1">
        <v>45839.333333333336</v>
      </c>
      <c r="E187">
        <v>2986.4333330676213</v>
      </c>
      <c r="F187">
        <v>481.9549605185772</v>
      </c>
      <c r="G187">
        <v>5660.5321203946778</v>
      </c>
      <c r="H187" s="1">
        <v>45808.333333333336</v>
      </c>
    </row>
    <row r="188" spans="1:8" x14ac:dyDescent="0.25">
      <c r="A188" s="7">
        <f>DATE(YEAR(m1_crossvalid[[#This Row],[cutoff]]),MONTH(m1_crossvalid[[#This Row],[cutoff]]),DAY(m1_crossvalid[[#This Row],[cutoff]]))</f>
        <v>45838</v>
      </c>
      <c r="B188" s="7">
        <f>DATE(YEAR(m1_crossvalid[[#This Row],[ds]]),MONTH(m1_crossvalid[[#This Row],[ds]]),DAY(m1_crossvalid[[#This Row],[ds]]))</f>
        <v>45839</v>
      </c>
      <c r="C188">
        <v>624</v>
      </c>
      <c r="D188" s="1">
        <v>45839.333333333336</v>
      </c>
      <c r="E188">
        <v>3245.4082418571984</v>
      </c>
      <c r="F188">
        <v>689.46754348812215</v>
      </c>
      <c r="G188">
        <v>5872.5271890946406</v>
      </c>
      <c r="H188" s="1">
        <v>45838.333333333336</v>
      </c>
    </row>
    <row r="189" spans="1:8" x14ac:dyDescent="0.25">
      <c r="A189" s="7">
        <f>DATE(YEAR(m1_crossvalid[[#This Row],[cutoff]]),MONTH(m1_crossvalid[[#This Row],[cutoff]]),DAY(m1_crossvalid[[#This Row],[cutoff]]))</f>
        <v>45838</v>
      </c>
      <c r="B189" s="7">
        <f>DATE(YEAR(m1_crossvalid[[#This Row],[ds]]),MONTH(m1_crossvalid[[#This Row],[ds]]),DAY(m1_crossvalid[[#This Row],[ds]]))</f>
        <v>45840</v>
      </c>
      <c r="C189">
        <v>733</v>
      </c>
      <c r="D189" s="1">
        <v>45840.333333333336</v>
      </c>
      <c r="E189">
        <v>3286.5776834074113</v>
      </c>
      <c r="F189">
        <v>432.43143920057281</v>
      </c>
      <c r="G189">
        <v>5766.4404453805673</v>
      </c>
      <c r="H189" s="1">
        <v>45838.333333333336</v>
      </c>
    </row>
    <row r="190" spans="1:8" x14ac:dyDescent="0.25">
      <c r="A190" s="7">
        <f>DATE(YEAR(m1_crossvalid[[#This Row],[cutoff]]),MONTH(m1_crossvalid[[#This Row],[cutoff]]),DAY(m1_crossvalid[[#This Row],[cutoff]]))</f>
        <v>45838</v>
      </c>
      <c r="B190" s="7">
        <f>DATE(YEAR(m1_crossvalid[[#This Row],[ds]]),MONTH(m1_crossvalid[[#This Row],[ds]]),DAY(m1_crossvalid[[#This Row],[ds]]))</f>
        <v>45841</v>
      </c>
      <c r="C190">
        <v>1036</v>
      </c>
      <c r="D190" s="1">
        <v>45841.333333333336</v>
      </c>
      <c r="E190">
        <v>3284.9555023915086</v>
      </c>
      <c r="F190">
        <v>631.34169458567544</v>
      </c>
      <c r="G190">
        <v>6102.2171529634752</v>
      </c>
      <c r="H190" s="1">
        <v>45838.333333333336</v>
      </c>
    </row>
    <row r="191" spans="1:8" x14ac:dyDescent="0.25">
      <c r="A191" s="7">
        <f>DATE(YEAR(m1_crossvalid[[#This Row],[cutoff]]),MONTH(m1_crossvalid[[#This Row],[cutoff]]),DAY(m1_crossvalid[[#This Row],[cutoff]]))</f>
        <v>45838</v>
      </c>
      <c r="B191" s="7">
        <f>DATE(YEAR(m1_crossvalid[[#This Row],[ds]]),MONTH(m1_crossvalid[[#This Row],[ds]]),DAY(m1_crossvalid[[#This Row],[ds]]))</f>
        <v>45842</v>
      </c>
      <c r="C191">
        <v>1189</v>
      </c>
      <c r="D191" s="1">
        <v>45842.333333333336</v>
      </c>
      <c r="E191">
        <v>3265.6603950520894</v>
      </c>
      <c r="F191">
        <v>701.94307066381441</v>
      </c>
      <c r="G191">
        <v>5753.9675702038685</v>
      </c>
      <c r="H191" s="1">
        <v>45838.333333333336</v>
      </c>
    </row>
    <row r="192" spans="1:8" x14ac:dyDescent="0.25">
      <c r="A192" s="7">
        <f>DATE(YEAR(m1_crossvalid[[#This Row],[cutoff]]),MONTH(m1_crossvalid[[#This Row],[cutoff]]),DAY(m1_crossvalid[[#This Row],[cutoff]]))</f>
        <v>45838</v>
      </c>
      <c r="B192" s="7">
        <f>DATE(YEAR(m1_crossvalid[[#This Row],[ds]]),MONTH(m1_crossvalid[[#This Row],[ds]]),DAY(m1_crossvalid[[#This Row],[ds]]))</f>
        <v>45843</v>
      </c>
      <c r="C192">
        <v>170</v>
      </c>
      <c r="D192" s="1">
        <v>45843.333333333336</v>
      </c>
      <c r="E192">
        <v>1019.1847917599362</v>
      </c>
      <c r="F192">
        <v>-1656.2433391268119</v>
      </c>
      <c r="G192">
        <v>3618.5980761155688</v>
      </c>
      <c r="H192" s="1">
        <v>45838.333333333336</v>
      </c>
    </row>
    <row r="193" spans="1:8" x14ac:dyDescent="0.25">
      <c r="A193" s="7">
        <f>DATE(YEAR(m1_crossvalid[[#This Row],[cutoff]]),MONTH(m1_crossvalid[[#This Row],[cutoff]]),DAY(m1_crossvalid[[#This Row],[cutoff]]))</f>
        <v>45838</v>
      </c>
      <c r="B193" s="7">
        <f>DATE(YEAR(m1_crossvalid[[#This Row],[ds]]),MONTH(m1_crossvalid[[#This Row],[ds]]),DAY(m1_crossvalid[[#This Row],[ds]]))</f>
        <v>45844</v>
      </c>
      <c r="C193">
        <v>30</v>
      </c>
      <c r="D193" s="1">
        <v>45844.333333333336</v>
      </c>
      <c r="E193">
        <v>455.13640341495079</v>
      </c>
      <c r="F193">
        <v>-2293.5114065415301</v>
      </c>
      <c r="G193">
        <v>3157.0833082026566</v>
      </c>
      <c r="H193" s="1">
        <v>45838.333333333336</v>
      </c>
    </row>
    <row r="194" spans="1:8" x14ac:dyDescent="0.25">
      <c r="A194" s="7">
        <f>DATE(YEAR(m1_crossvalid[[#This Row],[cutoff]]),MONTH(m1_crossvalid[[#This Row],[cutoff]]),DAY(m1_crossvalid[[#This Row],[cutoff]]))</f>
        <v>45838</v>
      </c>
      <c r="B194" s="7">
        <f>DATE(YEAR(m1_crossvalid[[#This Row],[ds]]),MONTH(m1_crossvalid[[#This Row],[ds]]),DAY(m1_crossvalid[[#This Row],[ds]]))</f>
        <v>45845</v>
      </c>
      <c r="C194">
        <v>1218</v>
      </c>
      <c r="D194" s="1">
        <v>45845.333333333336</v>
      </c>
      <c r="E194">
        <v>2753.7463123996658</v>
      </c>
      <c r="F194">
        <v>64.267929560410295</v>
      </c>
      <c r="G194">
        <v>5173.8655199560262</v>
      </c>
      <c r="H194" s="1">
        <v>45838.333333333336</v>
      </c>
    </row>
    <row r="195" spans="1:8" x14ac:dyDescent="0.25">
      <c r="A195" s="7">
        <f>DATE(YEAR(m1_crossvalid[[#This Row],[cutoff]]),MONTH(m1_crossvalid[[#This Row],[cutoff]]),DAY(m1_crossvalid[[#This Row],[cutoff]]))</f>
        <v>45838</v>
      </c>
      <c r="B195" s="7">
        <f>DATE(YEAR(m1_crossvalid[[#This Row],[ds]]),MONTH(m1_crossvalid[[#This Row],[ds]]),DAY(m1_crossvalid[[#This Row],[ds]]))</f>
        <v>45846</v>
      </c>
      <c r="C195">
        <v>1543</v>
      </c>
      <c r="D195" s="1">
        <v>45846.333333333336</v>
      </c>
      <c r="E195">
        <v>3235.4233755421865</v>
      </c>
      <c r="F195">
        <v>583.28588623874532</v>
      </c>
      <c r="G195">
        <v>5953.3365508291517</v>
      </c>
      <c r="H195" s="1">
        <v>45838.333333333336</v>
      </c>
    </row>
    <row r="196" spans="1:8" x14ac:dyDescent="0.25">
      <c r="A196" s="7">
        <f>DATE(YEAR(m1_crossvalid[[#This Row],[cutoff]]),MONTH(m1_crossvalid[[#This Row],[cutoff]]),DAY(m1_crossvalid[[#This Row],[cutoff]]))</f>
        <v>45838</v>
      </c>
      <c r="B196" s="7">
        <f>DATE(YEAR(m1_crossvalid[[#This Row],[ds]]),MONTH(m1_crossvalid[[#This Row],[ds]]),DAY(m1_crossvalid[[#This Row],[ds]]))</f>
        <v>45847</v>
      </c>
      <c r="C196">
        <v>2120</v>
      </c>
      <c r="D196" s="1">
        <v>45847.333333333336</v>
      </c>
      <c r="E196">
        <v>3264.6335826449649</v>
      </c>
      <c r="F196">
        <v>631.58314164943295</v>
      </c>
      <c r="G196">
        <v>5969.054750940576</v>
      </c>
      <c r="H196" s="1">
        <v>45838.333333333336</v>
      </c>
    </row>
    <row r="197" spans="1:8" x14ac:dyDescent="0.25">
      <c r="A197" s="7">
        <f>DATE(YEAR(m1_crossvalid[[#This Row],[cutoff]]),MONTH(m1_crossvalid[[#This Row],[cutoff]]),DAY(m1_crossvalid[[#This Row],[cutoff]]))</f>
        <v>45838</v>
      </c>
      <c r="B197" s="7">
        <f>DATE(YEAR(m1_crossvalid[[#This Row],[ds]]),MONTH(m1_crossvalid[[#This Row],[ds]]),DAY(m1_crossvalid[[#This Row],[ds]]))</f>
        <v>45848</v>
      </c>
      <c r="C197">
        <v>2298</v>
      </c>
      <c r="D197" s="1">
        <v>45848.333333333336</v>
      </c>
      <c r="E197">
        <v>3252.0596513867927</v>
      </c>
      <c r="F197">
        <v>692.96925138915685</v>
      </c>
      <c r="G197">
        <v>5827.4684431427177</v>
      </c>
      <c r="H197" s="1">
        <v>45838.333333333336</v>
      </c>
    </row>
    <row r="198" spans="1:8" x14ac:dyDescent="0.25">
      <c r="A198" s="7">
        <f>DATE(YEAR(m1_crossvalid[[#This Row],[cutoff]]),MONTH(m1_crossvalid[[#This Row],[cutoff]]),DAY(m1_crossvalid[[#This Row],[cutoff]]))</f>
        <v>45838</v>
      </c>
      <c r="B198" s="7">
        <f>DATE(YEAR(m1_crossvalid[[#This Row],[ds]]),MONTH(m1_crossvalid[[#This Row],[ds]]),DAY(m1_crossvalid[[#This Row],[ds]]))</f>
        <v>45849</v>
      </c>
      <c r="C198">
        <v>2183</v>
      </c>
      <c r="D198" s="1">
        <v>45849.333333333336</v>
      </c>
      <c r="E198">
        <v>3223.1279786388932</v>
      </c>
      <c r="F198">
        <v>734.99512008767954</v>
      </c>
      <c r="G198">
        <v>5793.0699262879225</v>
      </c>
      <c r="H198" s="1">
        <v>45838.333333333336</v>
      </c>
    </row>
    <row r="199" spans="1:8" x14ac:dyDescent="0.25">
      <c r="A199" s="7">
        <f>DATE(YEAR(m1_crossvalid[[#This Row],[cutoff]]),MONTH(m1_crossvalid[[#This Row],[cutoff]]),DAY(m1_crossvalid[[#This Row],[cutoff]]))</f>
        <v>45838</v>
      </c>
      <c r="B199" s="7">
        <f>DATE(YEAR(m1_crossvalid[[#This Row],[ds]]),MONTH(m1_crossvalid[[#This Row],[ds]]),DAY(m1_crossvalid[[#This Row],[ds]]))</f>
        <v>45850</v>
      </c>
      <c r="C199">
        <v>462</v>
      </c>
      <c r="D199" s="1">
        <v>45850.333333333336</v>
      </c>
      <c r="E199">
        <v>968.60311591546633</v>
      </c>
      <c r="F199">
        <v>-1565.4205825477252</v>
      </c>
      <c r="G199">
        <v>3599.3960902722297</v>
      </c>
      <c r="H199" s="1">
        <v>45838.333333333336</v>
      </c>
    </row>
    <row r="200" spans="1:8" x14ac:dyDescent="0.25">
      <c r="A200" s="7">
        <f>DATE(YEAR(m1_crossvalid[[#This Row],[cutoff]]),MONTH(m1_crossvalid[[#This Row],[cutoff]]),DAY(m1_crossvalid[[#This Row],[cutoff]]))</f>
        <v>45838</v>
      </c>
      <c r="B200" s="7">
        <f>DATE(YEAR(m1_crossvalid[[#This Row],[ds]]),MONTH(m1_crossvalid[[#This Row],[ds]]),DAY(m1_crossvalid[[#This Row],[ds]]))</f>
        <v>45851</v>
      </c>
      <c r="C200">
        <v>114</v>
      </c>
      <c r="D200" s="1">
        <v>45851.333333333336</v>
      </c>
      <c r="E200">
        <v>398.32298005375469</v>
      </c>
      <c r="F200">
        <v>-2432.0979804964068</v>
      </c>
      <c r="G200">
        <v>3134.0736530430854</v>
      </c>
      <c r="H200" s="1">
        <v>45838.333333333336</v>
      </c>
    </row>
    <row r="201" spans="1:8" x14ac:dyDescent="0.25">
      <c r="A201" s="7">
        <f>DATE(YEAR(m1_crossvalid[[#This Row],[cutoff]]),MONTH(m1_crossvalid[[#This Row],[cutoff]]),DAY(m1_crossvalid[[#This Row],[cutoff]]))</f>
        <v>45838</v>
      </c>
      <c r="B201" s="7">
        <f>DATE(YEAR(m1_crossvalid[[#This Row],[ds]]),MONTH(m1_crossvalid[[#This Row],[ds]]),DAY(m1_crossvalid[[#This Row],[ds]]))</f>
        <v>45852</v>
      </c>
      <c r="C201">
        <v>2356</v>
      </c>
      <c r="D201" s="1">
        <v>45852.333333333336</v>
      </c>
      <c r="E201">
        <v>2692.7017460024308</v>
      </c>
      <c r="F201">
        <v>108.1630862871845</v>
      </c>
      <c r="G201">
        <v>5419.3727440867488</v>
      </c>
      <c r="H201" s="1">
        <v>45838.333333333336</v>
      </c>
    </row>
    <row r="202" spans="1:8" x14ac:dyDescent="0.25">
      <c r="A202" s="7">
        <f>DATE(YEAR(m1_crossvalid[[#This Row],[cutoff]]),MONTH(m1_crossvalid[[#This Row],[cutoff]]),DAY(m1_crossvalid[[#This Row],[cutoff]]))</f>
        <v>45838</v>
      </c>
      <c r="B202" s="7">
        <f>DATE(YEAR(m1_crossvalid[[#This Row],[ds]]),MONTH(m1_crossvalid[[#This Row],[ds]]),DAY(m1_crossvalid[[#This Row],[ds]]))</f>
        <v>45853</v>
      </c>
      <c r="C202">
        <v>2694</v>
      </c>
      <c r="D202" s="1">
        <v>45853.333333333336</v>
      </c>
      <c r="E202">
        <v>3172.280298210314</v>
      </c>
      <c r="F202">
        <v>548.57365613854279</v>
      </c>
      <c r="G202">
        <v>5810.780124434903</v>
      </c>
      <c r="H202" s="1">
        <v>45838.333333333336</v>
      </c>
    </row>
    <row r="203" spans="1:8" x14ac:dyDescent="0.25">
      <c r="A203" s="7">
        <f>DATE(YEAR(m1_crossvalid[[#This Row],[cutoff]]),MONTH(m1_crossvalid[[#This Row],[cutoff]]),DAY(m1_crossvalid[[#This Row],[cutoff]]))</f>
        <v>45838</v>
      </c>
      <c r="B203" s="7">
        <f>DATE(YEAR(m1_crossvalid[[#This Row],[ds]]),MONTH(m1_crossvalid[[#This Row],[ds]]),DAY(m1_crossvalid[[#This Row],[ds]]))</f>
        <v>45854</v>
      </c>
      <c r="C203">
        <v>2796</v>
      </c>
      <c r="D203" s="1">
        <v>45854.333333333336</v>
      </c>
      <c r="E203">
        <v>3201.6029603446705</v>
      </c>
      <c r="F203">
        <v>472.7122084061923</v>
      </c>
      <c r="G203">
        <v>5860.0336940928946</v>
      </c>
      <c r="H203" s="1">
        <v>45838.333333333336</v>
      </c>
    </row>
    <row r="204" spans="1:8" x14ac:dyDescent="0.25">
      <c r="A204" s="7">
        <f>DATE(YEAR(m1_crossvalid[[#This Row],[cutoff]]),MONTH(m1_crossvalid[[#This Row],[cutoff]]),DAY(m1_crossvalid[[#This Row],[cutoff]]))</f>
        <v>45838</v>
      </c>
      <c r="B204" s="7">
        <f>DATE(YEAR(m1_crossvalid[[#This Row],[ds]]),MONTH(m1_crossvalid[[#This Row],[ds]]),DAY(m1_crossvalid[[#This Row],[ds]]))</f>
        <v>45855</v>
      </c>
      <c r="C204">
        <v>2972</v>
      </c>
      <c r="D204" s="1">
        <v>45855.333333333336</v>
      </c>
      <c r="E204">
        <v>3191.3758245634672</v>
      </c>
      <c r="F204">
        <v>557.51385992054122</v>
      </c>
      <c r="G204">
        <v>5839.3594561430555</v>
      </c>
      <c r="H204" s="1">
        <v>45838.333333333336</v>
      </c>
    </row>
    <row r="205" spans="1:8" x14ac:dyDescent="0.25">
      <c r="A205" s="7">
        <f>DATE(YEAR(m1_crossvalid[[#This Row],[cutoff]]),MONTH(m1_crossvalid[[#This Row],[cutoff]]),DAY(m1_crossvalid[[#This Row],[cutoff]]))</f>
        <v>45838</v>
      </c>
      <c r="B205" s="7">
        <f>DATE(YEAR(m1_crossvalid[[#This Row],[ds]]),MONTH(m1_crossvalid[[#This Row],[ds]]),DAY(m1_crossvalid[[#This Row],[ds]]))</f>
        <v>45856</v>
      </c>
      <c r="C205">
        <v>2891</v>
      </c>
      <c r="D205" s="1">
        <v>45856.333333333336</v>
      </c>
      <c r="E205">
        <v>3166.9938060210661</v>
      </c>
      <c r="F205">
        <v>572.64330550025318</v>
      </c>
      <c r="G205">
        <v>5846.3792232802298</v>
      </c>
      <c r="H205" s="1">
        <v>45838.333333333336</v>
      </c>
    </row>
    <row r="206" spans="1:8" x14ac:dyDescent="0.25">
      <c r="A206" s="7">
        <f>DATE(YEAR(m1_crossvalid[[#This Row],[cutoff]]),MONTH(m1_crossvalid[[#This Row],[cutoff]]),DAY(m1_crossvalid[[#This Row],[cutoff]]))</f>
        <v>45838</v>
      </c>
      <c r="B206" s="7">
        <f>DATE(YEAR(m1_crossvalid[[#This Row],[ds]]),MONTH(m1_crossvalid[[#This Row],[ds]]),DAY(m1_crossvalid[[#This Row],[ds]]))</f>
        <v>45857</v>
      </c>
      <c r="C206">
        <v>521</v>
      </c>
      <c r="D206" s="1">
        <v>45857.333333333336</v>
      </c>
      <c r="E206">
        <v>919.1365609180325</v>
      </c>
      <c r="F206">
        <v>-1753.0776994336416</v>
      </c>
      <c r="G206">
        <v>3515.6376004880181</v>
      </c>
      <c r="H206" s="1">
        <v>45838.333333333336</v>
      </c>
    </row>
    <row r="207" spans="1:8" x14ac:dyDescent="0.25">
      <c r="A207" s="7">
        <f>DATE(YEAR(m1_crossvalid[[#This Row],[cutoff]]),MONTH(m1_crossvalid[[#This Row],[cutoff]]),DAY(m1_crossvalid[[#This Row],[cutoff]]))</f>
        <v>45838</v>
      </c>
      <c r="B207" s="7">
        <f>DATE(YEAR(m1_crossvalid[[#This Row],[ds]]),MONTH(m1_crossvalid[[#This Row],[ds]]),DAY(m1_crossvalid[[#This Row],[ds]]))</f>
        <v>45858</v>
      </c>
      <c r="C207">
        <v>189</v>
      </c>
      <c r="D207" s="1">
        <v>45858.333333333336</v>
      </c>
      <c r="E207">
        <v>357.5064166868674</v>
      </c>
      <c r="F207">
        <v>-2204.0771312004099</v>
      </c>
      <c r="G207">
        <v>3132.9721786215086</v>
      </c>
      <c r="H207" s="1">
        <v>45838.333333333336</v>
      </c>
    </row>
    <row r="208" spans="1:8" x14ac:dyDescent="0.25">
      <c r="A208" s="7">
        <f>DATE(YEAR(m1_crossvalid[[#This Row],[cutoff]]),MONTH(m1_crossvalid[[#This Row],[cutoff]]),DAY(m1_crossvalid[[#This Row],[cutoff]]))</f>
        <v>45838</v>
      </c>
      <c r="B208" s="7">
        <f>DATE(YEAR(m1_crossvalid[[#This Row],[ds]]),MONTH(m1_crossvalid[[#This Row],[ds]]),DAY(m1_crossvalid[[#This Row],[ds]]))</f>
        <v>45859</v>
      </c>
      <c r="C208">
        <v>2798</v>
      </c>
      <c r="D208" s="1">
        <v>45859.333333333336</v>
      </c>
      <c r="E208">
        <v>2662.3351675823005</v>
      </c>
      <c r="F208">
        <v>267.19486990922439</v>
      </c>
      <c r="G208">
        <v>5341.0751976775045</v>
      </c>
      <c r="H208" s="1">
        <v>45838.333333333336</v>
      </c>
    </row>
    <row r="209" spans="1:8" x14ac:dyDescent="0.25">
      <c r="A209" s="7">
        <f>DATE(YEAR(m1_crossvalid[[#This Row],[cutoff]]),MONTH(m1_crossvalid[[#This Row],[cutoff]]),DAY(m1_crossvalid[[#This Row],[cutoff]]))</f>
        <v>45838</v>
      </c>
      <c r="B209" s="7">
        <f>DATE(YEAR(m1_crossvalid[[#This Row],[ds]]),MONTH(m1_crossvalid[[#This Row],[ds]]),DAY(m1_crossvalid[[#This Row],[ds]]))</f>
        <v>45860</v>
      </c>
      <c r="C209">
        <v>2894</v>
      </c>
      <c r="D209" s="1">
        <v>45860.333333333336</v>
      </c>
      <c r="E209">
        <v>3153.9394909097718</v>
      </c>
      <c r="F209">
        <v>386.77213245073278</v>
      </c>
      <c r="G209">
        <v>5657.3562403052601</v>
      </c>
      <c r="H209" s="1">
        <v>45838.333333333336</v>
      </c>
    </row>
    <row r="210" spans="1:8" x14ac:dyDescent="0.25">
      <c r="A210" s="7">
        <f>DATE(YEAR(m1_crossvalid[[#This Row],[cutoff]]),MONTH(m1_crossvalid[[#This Row],[cutoff]]),DAY(m1_crossvalid[[#This Row],[cutoff]]))</f>
        <v>45838</v>
      </c>
      <c r="B210" s="7">
        <f>DATE(YEAR(m1_crossvalid[[#This Row],[ds]]),MONTH(m1_crossvalid[[#This Row],[ds]]),DAY(m1_crossvalid[[#This Row],[ds]]))</f>
        <v>45861</v>
      </c>
      <c r="C210">
        <v>3299</v>
      </c>
      <c r="D210" s="1">
        <v>45861.333333333336</v>
      </c>
      <c r="E210">
        <v>3196.6035580367061</v>
      </c>
      <c r="F210">
        <v>589.22579780307944</v>
      </c>
      <c r="G210">
        <v>6136.2308315877108</v>
      </c>
      <c r="H210" s="1">
        <v>45838.333333333336</v>
      </c>
    </row>
    <row r="211" spans="1:8" x14ac:dyDescent="0.25">
      <c r="A211" s="7">
        <f>DATE(YEAR(m1_crossvalid[[#This Row],[cutoff]]),MONTH(m1_crossvalid[[#This Row],[cutoff]]),DAY(m1_crossvalid[[#This Row],[cutoff]]))</f>
        <v>45838</v>
      </c>
      <c r="B211" s="7">
        <f>DATE(YEAR(m1_crossvalid[[#This Row],[ds]]),MONTH(m1_crossvalid[[#This Row],[ds]]),DAY(m1_crossvalid[[#This Row],[ds]]))</f>
        <v>45862</v>
      </c>
      <c r="C211">
        <v>3785</v>
      </c>
      <c r="D211" s="1">
        <v>45862.333333333336</v>
      </c>
      <c r="E211">
        <v>3200.7439962039457</v>
      </c>
      <c r="F211">
        <v>492.95539723578929</v>
      </c>
      <c r="G211">
        <v>5723.5422350877052</v>
      </c>
      <c r="H211" s="1">
        <v>45838.333333333336</v>
      </c>
    </row>
    <row r="212" spans="1:8" x14ac:dyDescent="0.25">
      <c r="A212" s="7">
        <f>DATE(YEAR(m1_crossvalid[[#This Row],[cutoff]]),MONTH(m1_crossvalid[[#This Row],[cutoff]]),DAY(m1_crossvalid[[#This Row],[cutoff]]))</f>
        <v>45838</v>
      </c>
      <c r="B212" s="7">
        <f>DATE(YEAR(m1_crossvalid[[#This Row],[ds]]),MONTH(m1_crossvalid[[#This Row],[ds]]),DAY(m1_crossvalid[[#This Row],[ds]]))</f>
        <v>45863</v>
      </c>
      <c r="C212">
        <v>3663</v>
      </c>
      <c r="D212" s="1">
        <v>45863.333333333336</v>
      </c>
      <c r="E212">
        <v>3191.4441464663214</v>
      </c>
      <c r="F212">
        <v>585.81933989178913</v>
      </c>
      <c r="G212">
        <v>5968.5390148017041</v>
      </c>
      <c r="H212" s="1">
        <v>45838.333333333336</v>
      </c>
    </row>
    <row r="213" spans="1:8" x14ac:dyDescent="0.25">
      <c r="A213" s="7">
        <f>DATE(YEAR(m1_crossvalid[[#This Row],[cutoff]]),MONTH(m1_crossvalid[[#This Row],[cutoff]]),DAY(m1_crossvalid[[#This Row],[cutoff]]))</f>
        <v>45838</v>
      </c>
      <c r="B213" s="7">
        <f>DATE(YEAR(m1_crossvalid[[#This Row],[ds]]),MONTH(m1_crossvalid[[#This Row],[ds]]),DAY(m1_crossvalid[[#This Row],[ds]]))</f>
        <v>45864</v>
      </c>
      <c r="C213">
        <v>901</v>
      </c>
      <c r="D213" s="1">
        <v>45864.333333333336</v>
      </c>
      <c r="E213">
        <v>959.05756564832814</v>
      </c>
      <c r="F213">
        <v>-1678.5030478992362</v>
      </c>
      <c r="G213">
        <v>3695.0272214172246</v>
      </c>
      <c r="H213" s="1">
        <v>45838.333333333336</v>
      </c>
    </row>
    <row r="214" spans="1:8" x14ac:dyDescent="0.25">
      <c r="A214" s="7">
        <f>DATE(YEAR(m1_crossvalid[[#This Row],[cutoff]]),MONTH(m1_crossvalid[[#This Row],[cutoff]]),DAY(m1_crossvalid[[#This Row],[cutoff]]))</f>
        <v>45838</v>
      </c>
      <c r="B214" s="7">
        <f>DATE(YEAR(m1_crossvalid[[#This Row],[ds]]),MONTH(m1_crossvalid[[#This Row],[ds]]),DAY(m1_crossvalid[[#This Row],[ds]]))</f>
        <v>45865</v>
      </c>
      <c r="C214">
        <v>262</v>
      </c>
      <c r="D214" s="1">
        <v>45865.333333333336</v>
      </c>
      <c r="E214">
        <v>412.95372561142267</v>
      </c>
      <c r="F214">
        <v>-2083.7688117594466</v>
      </c>
      <c r="G214">
        <v>2963.3776220720556</v>
      </c>
      <c r="H214" s="1">
        <v>45838.333333333336</v>
      </c>
    </row>
    <row r="215" spans="1:8" x14ac:dyDescent="0.25">
      <c r="A215" s="7">
        <f>DATE(YEAR(m1_crossvalid[[#This Row],[cutoff]]),MONTH(m1_crossvalid[[#This Row],[cutoff]]),DAY(m1_crossvalid[[#This Row],[cutoff]]))</f>
        <v>45838</v>
      </c>
      <c r="B215" s="7">
        <f>DATE(YEAR(m1_crossvalid[[#This Row],[ds]]),MONTH(m1_crossvalid[[#This Row],[ds]]),DAY(m1_crossvalid[[#This Row],[ds]]))</f>
        <v>45866</v>
      </c>
      <c r="C215">
        <v>4324</v>
      </c>
      <c r="D215" s="1">
        <v>45866.333333333336</v>
      </c>
      <c r="E215">
        <v>2733.0325680900833</v>
      </c>
      <c r="F215">
        <v>261.70152097036748</v>
      </c>
      <c r="G215">
        <v>5174.1008120716933</v>
      </c>
      <c r="H215" s="1">
        <v>45838.333333333336</v>
      </c>
    </row>
    <row r="216" spans="1:8" x14ac:dyDescent="0.25">
      <c r="A216" s="7">
        <f>DATE(YEAR(m1_crossvalid[[#This Row],[cutoff]]),MONTH(m1_crossvalid[[#This Row],[cutoff]]),DAY(m1_crossvalid[[#This Row],[cutoff]]))</f>
        <v>45838</v>
      </c>
      <c r="B216" s="7">
        <f>DATE(YEAR(m1_crossvalid[[#This Row],[ds]]),MONTH(m1_crossvalid[[#This Row],[ds]]),DAY(m1_crossvalid[[#This Row],[ds]]))</f>
        <v>45867</v>
      </c>
      <c r="C216">
        <v>5336</v>
      </c>
      <c r="D216" s="1">
        <v>45867.333333333336</v>
      </c>
      <c r="E216">
        <v>3239.2874806307123</v>
      </c>
      <c r="F216">
        <v>698.03488371681283</v>
      </c>
      <c r="G216">
        <v>5847.6573258394119</v>
      </c>
      <c r="H216" s="1">
        <v>45838.333333333336</v>
      </c>
    </row>
    <row r="217" spans="1:8" x14ac:dyDescent="0.25">
      <c r="A217" s="7">
        <f>DATE(YEAR(m1_crossvalid[[#This Row],[cutoff]]),MONTH(m1_crossvalid[[#This Row],[cutoff]]),DAY(m1_crossvalid[[#This Row],[cutoff]]))</f>
        <v>45838</v>
      </c>
      <c r="B217" s="7">
        <f>DATE(YEAR(m1_crossvalid[[#This Row],[ds]]),MONTH(m1_crossvalid[[#This Row],[ds]]),DAY(m1_crossvalid[[#This Row],[ds]]))</f>
        <v>45868</v>
      </c>
      <c r="C217">
        <v>8373</v>
      </c>
      <c r="D217" s="1">
        <v>45868.333333333336</v>
      </c>
      <c r="E217">
        <v>3295.6950879854521</v>
      </c>
      <c r="F217">
        <v>515.66374807290106</v>
      </c>
      <c r="G217">
        <v>5910.912363716131</v>
      </c>
      <c r="H217" s="1">
        <v>45838.333333333336</v>
      </c>
    </row>
    <row r="218" spans="1:8" x14ac:dyDescent="0.25">
      <c r="A218" s="7">
        <f>DATE(YEAR(m1_crossvalid[[#This Row],[cutoff]]),MONTH(m1_crossvalid[[#This Row],[cutoff]]),DAY(m1_crossvalid[[#This Row],[cutoff]]))</f>
        <v>45838</v>
      </c>
      <c r="B218" s="7">
        <f>DATE(YEAR(m1_crossvalid[[#This Row],[ds]]),MONTH(m1_crossvalid[[#This Row],[ds]]),DAY(m1_crossvalid[[#This Row],[ds]]))</f>
        <v>45869</v>
      </c>
      <c r="C218">
        <v>11889</v>
      </c>
      <c r="D218" s="1">
        <v>45869.333333333336</v>
      </c>
      <c r="E218">
        <v>3312.3868499849318</v>
      </c>
      <c r="F218">
        <v>735.46360664384156</v>
      </c>
      <c r="G218">
        <v>6190.7596819899773</v>
      </c>
      <c r="H218" s="1">
        <v>45838.333333333336</v>
      </c>
    </row>
    <row r="219" spans="1:8" x14ac:dyDescent="0.25">
      <c r="A219" s="7">
        <f>DATE(YEAR(m1_crossvalid[[#This Row],[cutoff]]),MONTH(m1_crossvalid[[#This Row],[cutoff]]),DAY(m1_crossvalid[[#This Row],[cutoff]]))</f>
        <v>45869</v>
      </c>
      <c r="B219" s="7">
        <f>DATE(YEAR(m1_crossvalid[[#This Row],[ds]]),MONTH(m1_crossvalid[[#This Row],[ds]]),DAY(m1_crossvalid[[#This Row],[ds]]))</f>
        <v>45870</v>
      </c>
      <c r="C219">
        <v>761</v>
      </c>
      <c r="D219" s="1">
        <v>45870.333333333336</v>
      </c>
      <c r="E219">
        <v>3635.4984822020147</v>
      </c>
      <c r="F219">
        <v>909.24818979378347</v>
      </c>
      <c r="G219">
        <v>6333.000481559242</v>
      </c>
      <c r="H219" s="1">
        <v>45869.333333333336</v>
      </c>
    </row>
    <row r="220" spans="1:8" x14ac:dyDescent="0.25">
      <c r="A220" s="7">
        <f>DATE(YEAR(m1_crossvalid[[#This Row],[cutoff]]),MONTH(m1_crossvalid[[#This Row],[cutoff]]),DAY(m1_crossvalid[[#This Row],[cutoff]]))</f>
        <v>45869</v>
      </c>
      <c r="B220" s="7">
        <f>DATE(YEAR(m1_crossvalid[[#This Row],[ds]]),MONTH(m1_crossvalid[[#This Row],[ds]]),DAY(m1_crossvalid[[#This Row],[ds]]))</f>
        <v>45871</v>
      </c>
      <c r="C220">
        <v>74</v>
      </c>
      <c r="D220" s="1">
        <v>45871.333333333336</v>
      </c>
      <c r="E220">
        <v>1412.2078059990358</v>
      </c>
      <c r="F220">
        <v>-1512.1215425047283</v>
      </c>
      <c r="G220">
        <v>4002.9481459567141</v>
      </c>
      <c r="H220" s="1">
        <v>45869.333333333336</v>
      </c>
    </row>
    <row r="221" spans="1:8" x14ac:dyDescent="0.25">
      <c r="A221" s="7">
        <f>DATE(YEAR(m1_crossvalid[[#This Row],[cutoff]]),MONTH(m1_crossvalid[[#This Row],[cutoff]]),DAY(m1_crossvalid[[#This Row],[cutoff]]))</f>
        <v>45869</v>
      </c>
      <c r="B221" s="7">
        <f>DATE(YEAR(m1_crossvalid[[#This Row],[ds]]),MONTH(m1_crossvalid[[#This Row],[ds]]),DAY(m1_crossvalid[[#This Row],[ds]]))</f>
        <v>45872</v>
      </c>
      <c r="C221">
        <v>28</v>
      </c>
      <c r="D221" s="1">
        <v>45872.333333333336</v>
      </c>
      <c r="E221">
        <v>865.80942297598153</v>
      </c>
      <c r="F221">
        <v>-1901.2767998308373</v>
      </c>
      <c r="G221">
        <v>3475.2670039951845</v>
      </c>
      <c r="H221" s="1">
        <v>45869.333333333336</v>
      </c>
    </row>
    <row r="222" spans="1:8" x14ac:dyDescent="0.25">
      <c r="A222" s="7">
        <f>DATE(YEAR(m1_crossvalid[[#This Row],[cutoff]]),MONTH(m1_crossvalid[[#This Row],[cutoff]]),DAY(m1_crossvalid[[#This Row],[cutoff]]))</f>
        <v>45869</v>
      </c>
      <c r="B222" s="7">
        <f>DATE(YEAR(m1_crossvalid[[#This Row],[ds]]),MONTH(m1_crossvalid[[#This Row],[ds]]),DAY(m1_crossvalid[[#This Row],[ds]]))</f>
        <v>45873</v>
      </c>
      <c r="C222">
        <v>912</v>
      </c>
      <c r="D222" s="1">
        <v>45873.333333333336</v>
      </c>
      <c r="E222">
        <v>3182.4854990732588</v>
      </c>
      <c r="F222">
        <v>445.78552765187624</v>
      </c>
      <c r="G222">
        <v>5937.4120263215627</v>
      </c>
      <c r="H222" s="1">
        <v>45869.333333333336</v>
      </c>
    </row>
    <row r="223" spans="1:8" x14ac:dyDescent="0.25">
      <c r="A223" s="7">
        <f>DATE(YEAR(m1_crossvalid[[#This Row],[cutoff]]),MONTH(m1_crossvalid[[#This Row],[cutoff]]),DAY(m1_crossvalid[[#This Row],[cutoff]]))</f>
        <v>45869</v>
      </c>
      <c r="B223" s="7">
        <f>DATE(YEAR(m1_crossvalid[[#This Row],[ds]]),MONTH(m1_crossvalid[[#This Row],[ds]]),DAY(m1_crossvalid[[#This Row],[ds]]))</f>
        <v>45874</v>
      </c>
      <c r="C223">
        <v>2022</v>
      </c>
      <c r="D223" s="1">
        <v>45874.333333333336</v>
      </c>
      <c r="E223">
        <v>3658.7051667609157</v>
      </c>
      <c r="F223">
        <v>1054.4088159193318</v>
      </c>
      <c r="G223">
        <v>6236.7339290111549</v>
      </c>
      <c r="H223" s="1">
        <v>45869.333333333336</v>
      </c>
    </row>
    <row r="224" spans="1:8" x14ac:dyDescent="0.25">
      <c r="A224" s="7">
        <f>DATE(YEAR(m1_crossvalid[[#This Row],[cutoff]]),MONTH(m1_crossvalid[[#This Row],[cutoff]]),DAY(m1_crossvalid[[#This Row],[cutoff]]))</f>
        <v>45869</v>
      </c>
      <c r="B224" s="7">
        <f>DATE(YEAR(m1_crossvalid[[#This Row],[ds]]),MONTH(m1_crossvalid[[#This Row],[ds]]),DAY(m1_crossvalid[[#This Row],[ds]]))</f>
        <v>45875</v>
      </c>
      <c r="C224">
        <v>1344</v>
      </c>
      <c r="D224" s="1">
        <v>45875.333333333336</v>
      </c>
      <c r="E224">
        <v>3716.4166739449465</v>
      </c>
      <c r="F224">
        <v>1193.0420163216324</v>
      </c>
      <c r="G224">
        <v>6458.7808962853414</v>
      </c>
      <c r="H224" s="1">
        <v>45869.333333333336</v>
      </c>
    </row>
    <row r="225" spans="1:8" x14ac:dyDescent="0.25">
      <c r="A225" s="7">
        <f>DATE(YEAR(m1_crossvalid[[#This Row],[cutoff]]),MONTH(m1_crossvalid[[#This Row],[cutoff]]),DAY(m1_crossvalid[[#This Row],[cutoff]]))</f>
        <v>45869</v>
      </c>
      <c r="B225" s="7">
        <f>DATE(YEAR(m1_crossvalid[[#This Row],[ds]]),MONTH(m1_crossvalid[[#This Row],[ds]]),DAY(m1_crossvalid[[#This Row],[ds]]))</f>
        <v>45876</v>
      </c>
      <c r="C225">
        <v>1585</v>
      </c>
      <c r="D225" s="1">
        <v>45876.333333333336</v>
      </c>
      <c r="E225">
        <v>3732.8600110949301</v>
      </c>
      <c r="F225">
        <v>798.06950648383508</v>
      </c>
      <c r="G225">
        <v>6516.7165187001865</v>
      </c>
      <c r="H225" s="1">
        <v>45869.333333333336</v>
      </c>
    </row>
    <row r="226" spans="1:8" x14ac:dyDescent="0.25">
      <c r="A226" s="7">
        <f>DATE(YEAR(m1_crossvalid[[#This Row],[cutoff]]),MONTH(m1_crossvalid[[#This Row],[cutoff]]),DAY(m1_crossvalid[[#This Row],[cutoff]]))</f>
        <v>45869</v>
      </c>
      <c r="B226" s="7">
        <f>DATE(YEAR(m1_crossvalid[[#This Row],[ds]]),MONTH(m1_crossvalid[[#This Row],[ds]]),DAY(m1_crossvalid[[#This Row],[ds]]))</f>
        <v>45877</v>
      </c>
      <c r="C226">
        <v>2032</v>
      </c>
      <c r="D226" s="1">
        <v>45877.333333333336</v>
      </c>
      <c r="E226">
        <v>3660.7311156049618</v>
      </c>
      <c r="F226">
        <v>1055.3977477454571</v>
      </c>
      <c r="G226">
        <v>6432.1663948929881</v>
      </c>
      <c r="H226" s="1">
        <v>45869.333333333336</v>
      </c>
    </row>
    <row r="227" spans="1:8" x14ac:dyDescent="0.25">
      <c r="A227" s="7">
        <f>DATE(YEAR(m1_crossvalid[[#This Row],[cutoff]]),MONTH(m1_crossvalid[[#This Row],[cutoff]]),DAY(m1_crossvalid[[#This Row],[cutoff]]))</f>
        <v>45869</v>
      </c>
      <c r="B227" s="7">
        <f>DATE(YEAR(m1_crossvalid[[#This Row],[ds]]),MONTH(m1_crossvalid[[#This Row],[ds]]),DAY(m1_crossvalid[[#This Row],[ds]]))</f>
        <v>45878</v>
      </c>
      <c r="C227">
        <v>327</v>
      </c>
      <c r="D227" s="1">
        <v>45878.333333333336</v>
      </c>
      <c r="E227">
        <v>1410.9232232708996</v>
      </c>
      <c r="F227">
        <v>-1213.6376440165404</v>
      </c>
      <c r="G227">
        <v>3993.5672764824108</v>
      </c>
      <c r="H227" s="1">
        <v>45869.333333333336</v>
      </c>
    </row>
    <row r="228" spans="1:8" x14ac:dyDescent="0.25">
      <c r="A228" s="7">
        <f>DATE(YEAR(m1_crossvalid[[#This Row],[cutoff]]),MONTH(m1_crossvalid[[#This Row],[cutoff]]),DAY(m1_crossvalid[[#This Row],[cutoff]]))</f>
        <v>45869</v>
      </c>
      <c r="B228" s="7">
        <f>DATE(YEAR(m1_crossvalid[[#This Row],[ds]]),MONTH(m1_crossvalid[[#This Row],[ds]]),DAY(m1_crossvalid[[#This Row],[ds]]))</f>
        <v>45879</v>
      </c>
      <c r="C228">
        <v>78</v>
      </c>
      <c r="D228" s="1">
        <v>45879.333333333336</v>
      </c>
      <c r="E228">
        <v>839.54908449618301</v>
      </c>
      <c r="F228">
        <v>-1880.2862833866973</v>
      </c>
      <c r="G228">
        <v>3556.9959132579988</v>
      </c>
      <c r="H228" s="1">
        <v>45869.333333333336</v>
      </c>
    </row>
    <row r="229" spans="1:8" x14ac:dyDescent="0.25">
      <c r="A229" s="7">
        <f>DATE(YEAR(m1_crossvalid[[#This Row],[cutoff]]),MONTH(m1_crossvalid[[#This Row],[cutoff]]),DAY(m1_crossvalid[[#This Row],[cutoff]]))</f>
        <v>45869</v>
      </c>
      <c r="B229" s="7">
        <f>DATE(YEAR(m1_crossvalid[[#This Row],[ds]]),MONTH(m1_crossvalid[[#This Row],[ds]]),DAY(m1_crossvalid[[#This Row],[ds]]))</f>
        <v>45880</v>
      </c>
      <c r="C229">
        <v>2043</v>
      </c>
      <c r="D229" s="1">
        <v>45880.333333333336</v>
      </c>
      <c r="E229">
        <v>3133.1923121759874</v>
      </c>
      <c r="F229">
        <v>569.29053708775837</v>
      </c>
      <c r="G229">
        <v>5779.1534790183214</v>
      </c>
      <c r="H229" s="1">
        <v>45869.333333333336</v>
      </c>
    </row>
    <row r="230" spans="1:8" x14ac:dyDescent="0.25">
      <c r="A230" s="7">
        <f>DATE(YEAR(m1_crossvalid[[#This Row],[cutoff]]),MONTH(m1_crossvalid[[#This Row],[cutoff]]),DAY(m1_crossvalid[[#This Row],[cutoff]]))</f>
        <v>45869</v>
      </c>
      <c r="B230" s="7">
        <f>DATE(YEAR(m1_crossvalid[[#This Row],[ds]]),MONTH(m1_crossvalid[[#This Row],[ds]]),DAY(m1_crossvalid[[#This Row],[ds]]))</f>
        <v>45881</v>
      </c>
      <c r="C230">
        <v>2431</v>
      </c>
      <c r="D230" s="1">
        <v>45881.333333333336</v>
      </c>
      <c r="E230">
        <v>3588.6655736099692</v>
      </c>
      <c r="F230">
        <v>999.66669061643495</v>
      </c>
      <c r="G230">
        <v>6351.9237860300918</v>
      </c>
      <c r="H230" s="1">
        <v>45869.333333333336</v>
      </c>
    </row>
    <row r="231" spans="1:8" x14ac:dyDescent="0.25">
      <c r="A231" s="7">
        <f>DATE(YEAR(m1_crossvalid[[#This Row],[cutoff]]),MONTH(m1_crossvalid[[#This Row],[cutoff]]),DAY(m1_crossvalid[[#This Row],[cutoff]]))</f>
        <v>45869</v>
      </c>
      <c r="B231" s="7">
        <f>DATE(YEAR(m1_crossvalid[[#This Row],[ds]]),MONTH(m1_crossvalid[[#This Row],[ds]]),DAY(m1_crossvalid[[#This Row],[ds]]))</f>
        <v>45882</v>
      </c>
      <c r="C231">
        <v>2484</v>
      </c>
      <c r="D231" s="1">
        <v>45882.333333333336</v>
      </c>
      <c r="E231">
        <v>3628.1957055750058</v>
      </c>
      <c r="F231">
        <v>875.69621940789148</v>
      </c>
      <c r="G231">
        <v>6279.9532138284549</v>
      </c>
      <c r="H231" s="1">
        <v>45869.333333333336</v>
      </c>
    </row>
    <row r="232" spans="1:8" x14ac:dyDescent="0.25">
      <c r="A232" s="7">
        <f>DATE(YEAR(m1_crossvalid[[#This Row],[cutoff]]),MONTH(m1_crossvalid[[#This Row],[cutoff]]),DAY(m1_crossvalid[[#This Row],[cutoff]]))</f>
        <v>45869</v>
      </c>
      <c r="B232" s="7">
        <f>DATE(YEAR(m1_crossvalid[[#This Row],[ds]]),MONTH(m1_crossvalid[[#This Row],[ds]]),DAY(m1_crossvalid[[#This Row],[ds]]))</f>
        <v>45883</v>
      </c>
      <c r="C232">
        <v>2669</v>
      </c>
      <c r="D232" s="1">
        <v>45883.333333333336</v>
      </c>
      <c r="E232">
        <v>3629.2311397794861</v>
      </c>
      <c r="F232">
        <v>1007.3672399091568</v>
      </c>
      <c r="G232">
        <v>6287.2931921409045</v>
      </c>
      <c r="H232" s="1">
        <v>45869.333333333336</v>
      </c>
    </row>
    <row r="233" spans="1:8" x14ac:dyDescent="0.25">
      <c r="A233" s="7">
        <f>DATE(YEAR(m1_crossvalid[[#This Row],[cutoff]]),MONTH(m1_crossvalid[[#This Row],[cutoff]]),DAY(m1_crossvalid[[#This Row],[cutoff]]))</f>
        <v>45869</v>
      </c>
      <c r="B233" s="7">
        <f>DATE(YEAR(m1_crossvalid[[#This Row],[ds]]),MONTH(m1_crossvalid[[#This Row],[ds]]),DAY(m1_crossvalid[[#This Row],[ds]]))</f>
        <v>45884</v>
      </c>
      <c r="C233">
        <v>3160</v>
      </c>
      <c r="D233" s="1">
        <v>45884.333333333336</v>
      </c>
      <c r="E233">
        <v>3544.6028530132239</v>
      </c>
      <c r="F233">
        <v>673.42438573335608</v>
      </c>
      <c r="G233">
        <v>6278.3164404046556</v>
      </c>
      <c r="H233" s="1">
        <v>45869.333333333336</v>
      </c>
    </row>
    <row r="234" spans="1:8" x14ac:dyDescent="0.25">
      <c r="A234" s="7">
        <f>DATE(YEAR(m1_crossvalid[[#This Row],[cutoff]]),MONTH(m1_crossvalid[[#This Row],[cutoff]]),DAY(m1_crossvalid[[#This Row],[cutoff]]))</f>
        <v>45869</v>
      </c>
      <c r="B234" s="7">
        <f>DATE(YEAR(m1_crossvalid[[#This Row],[ds]]),MONTH(m1_crossvalid[[#This Row],[ds]]),DAY(m1_crossvalid[[#This Row],[ds]]))</f>
        <v>45885</v>
      </c>
      <c r="C234">
        <v>560</v>
      </c>
      <c r="D234" s="1">
        <v>45885.333333333336</v>
      </c>
      <c r="E234">
        <v>1285.264471783576</v>
      </c>
      <c r="F234">
        <v>-1568.422622640913</v>
      </c>
      <c r="G234">
        <v>3966.6781970743637</v>
      </c>
      <c r="H234" s="1">
        <v>45869.333333333336</v>
      </c>
    </row>
    <row r="235" spans="1:8" x14ac:dyDescent="0.25">
      <c r="A235" s="7">
        <f>DATE(YEAR(m1_crossvalid[[#This Row],[cutoff]]),MONTH(m1_crossvalid[[#This Row],[cutoff]]),DAY(m1_crossvalid[[#This Row],[cutoff]]))</f>
        <v>45869</v>
      </c>
      <c r="B235" s="7">
        <f>DATE(YEAR(m1_crossvalid[[#This Row],[ds]]),MONTH(m1_crossvalid[[#This Row],[ds]]),DAY(m1_crossvalid[[#This Row],[ds]]))</f>
        <v>45886</v>
      </c>
      <c r="C235">
        <v>166</v>
      </c>
      <c r="D235" s="1">
        <v>45886.333333333336</v>
      </c>
      <c r="E235">
        <v>707.31525238172048</v>
      </c>
      <c r="F235">
        <v>-1829.8082401250615</v>
      </c>
      <c r="G235">
        <v>3385.8549344315657</v>
      </c>
      <c r="H235" s="1">
        <v>45869.333333333336</v>
      </c>
    </row>
    <row r="236" spans="1:8" x14ac:dyDescent="0.25">
      <c r="A236" s="7">
        <f>DATE(YEAR(m1_crossvalid[[#This Row],[cutoff]]),MONTH(m1_crossvalid[[#This Row],[cutoff]]),DAY(m1_crossvalid[[#This Row],[cutoff]]))</f>
        <v>45869</v>
      </c>
      <c r="B236" s="7">
        <f>DATE(YEAR(m1_crossvalid[[#This Row],[ds]]),MONTH(m1_crossvalid[[#This Row],[ds]]),DAY(m1_crossvalid[[#This Row],[ds]]))</f>
        <v>45887</v>
      </c>
      <c r="C236">
        <v>3003</v>
      </c>
      <c r="D236" s="1">
        <v>45887.333333333336</v>
      </c>
      <c r="E236">
        <v>2997.2541508290483</v>
      </c>
      <c r="F236">
        <v>249.07732866175766</v>
      </c>
      <c r="G236">
        <v>5664.0757547683115</v>
      </c>
      <c r="H236" s="1">
        <v>45869.333333333336</v>
      </c>
    </row>
    <row r="237" spans="1:8" x14ac:dyDescent="0.25">
      <c r="A237" s="7">
        <f>DATE(YEAR(m1_crossvalid[[#This Row],[cutoff]]),MONTH(m1_crossvalid[[#This Row],[cutoff]]),DAY(m1_crossvalid[[#This Row],[cutoff]]))</f>
        <v>45869</v>
      </c>
      <c r="B237" s="7">
        <f>DATE(YEAR(m1_crossvalid[[#This Row],[ds]]),MONTH(m1_crossvalid[[#This Row],[ds]]),DAY(m1_crossvalid[[#This Row],[ds]]))</f>
        <v>45888</v>
      </c>
      <c r="C237">
        <v>3182</v>
      </c>
      <c r="D237" s="1">
        <v>45888.333333333336</v>
      </c>
      <c r="E237">
        <v>3451.7425880919641</v>
      </c>
      <c r="F237">
        <v>812.59605074528167</v>
      </c>
      <c r="G237">
        <v>6122.5561725616908</v>
      </c>
      <c r="H237" s="1">
        <v>45869.333333333336</v>
      </c>
    </row>
    <row r="238" spans="1:8" x14ac:dyDescent="0.25">
      <c r="A238" s="7">
        <f>DATE(YEAR(m1_crossvalid[[#This Row],[cutoff]]),MONTH(m1_crossvalid[[#This Row],[cutoff]]),DAY(m1_crossvalid[[#This Row],[cutoff]]))</f>
        <v>45869</v>
      </c>
      <c r="B238" s="7">
        <f>DATE(YEAR(m1_crossvalid[[#This Row],[ds]]),MONTH(m1_crossvalid[[#This Row],[ds]]),DAY(m1_crossvalid[[#This Row],[ds]]))</f>
        <v>45889</v>
      </c>
      <c r="C238">
        <v>3745</v>
      </c>
      <c r="D238" s="1">
        <v>45889.333333333336</v>
      </c>
      <c r="E238">
        <v>3492.7958328351096</v>
      </c>
      <c r="F238">
        <v>1007.2232371627392</v>
      </c>
      <c r="G238">
        <v>6136.4083924205715</v>
      </c>
      <c r="H238" s="1">
        <v>45869.333333333336</v>
      </c>
    </row>
    <row r="239" spans="1:8" x14ac:dyDescent="0.25">
      <c r="A239" s="7">
        <f>DATE(YEAR(m1_crossvalid[[#This Row],[cutoff]]),MONTH(m1_crossvalid[[#This Row],[cutoff]]),DAY(m1_crossvalid[[#This Row],[cutoff]]))</f>
        <v>45869</v>
      </c>
      <c r="B239" s="7">
        <f>DATE(YEAR(m1_crossvalid[[#This Row],[ds]]),MONTH(m1_crossvalid[[#This Row],[ds]]),DAY(m1_crossvalid[[#This Row],[ds]]))</f>
        <v>45890</v>
      </c>
      <c r="C239">
        <v>3754</v>
      </c>
      <c r="D239" s="1">
        <v>45890.333333333336</v>
      </c>
      <c r="E239">
        <v>3497.5981862364874</v>
      </c>
      <c r="F239">
        <v>791.78762789543623</v>
      </c>
      <c r="G239">
        <v>6071.7300327229086</v>
      </c>
      <c r="H239" s="1">
        <v>45869.333333333336</v>
      </c>
    </row>
    <row r="240" spans="1:8" x14ac:dyDescent="0.25">
      <c r="A240" s="7">
        <f>DATE(YEAR(m1_crossvalid[[#This Row],[cutoff]]),MONTH(m1_crossvalid[[#This Row],[cutoff]]),DAY(m1_crossvalid[[#This Row],[cutoff]]))</f>
        <v>45869</v>
      </c>
      <c r="B240" s="7">
        <f>DATE(YEAR(m1_crossvalid[[#This Row],[ds]]),MONTH(m1_crossvalid[[#This Row],[ds]]),DAY(m1_crossvalid[[#This Row],[ds]]))</f>
        <v>45891</v>
      </c>
      <c r="C240">
        <v>3741</v>
      </c>
      <c r="D240" s="1">
        <v>45891.333333333336</v>
      </c>
      <c r="E240">
        <v>3418.6729414913452</v>
      </c>
      <c r="F240">
        <v>744.76778240760746</v>
      </c>
      <c r="G240">
        <v>6055.0381003669518</v>
      </c>
      <c r="H240" s="1">
        <v>45869.333333333336</v>
      </c>
    </row>
    <row r="241" spans="1:8" x14ac:dyDescent="0.25">
      <c r="A241" s="7">
        <f>DATE(YEAR(m1_crossvalid[[#This Row],[cutoff]]),MONTH(m1_crossvalid[[#This Row],[cutoff]]),DAY(m1_crossvalid[[#This Row],[cutoff]]))</f>
        <v>45869</v>
      </c>
      <c r="B241" s="7">
        <f>DATE(YEAR(m1_crossvalid[[#This Row],[ds]]),MONTH(m1_crossvalid[[#This Row],[ds]]),DAY(m1_crossvalid[[#This Row],[ds]]))</f>
        <v>45892</v>
      </c>
      <c r="C241">
        <v>761</v>
      </c>
      <c r="D241" s="1">
        <v>45892.333333333336</v>
      </c>
      <c r="E241">
        <v>1166.6324742336089</v>
      </c>
      <c r="F241">
        <v>-1520.1670080775004</v>
      </c>
      <c r="G241">
        <v>3913.9735031803307</v>
      </c>
      <c r="H241" s="1">
        <v>45869.333333333336</v>
      </c>
    </row>
    <row r="242" spans="1:8" x14ac:dyDescent="0.25">
      <c r="A242" s="7">
        <f>DATE(YEAR(m1_crossvalid[[#This Row],[cutoff]]),MONTH(m1_crossvalid[[#This Row],[cutoff]]),DAY(m1_crossvalid[[#This Row],[cutoff]]))</f>
        <v>45869</v>
      </c>
      <c r="B242" s="7">
        <f>DATE(YEAR(m1_crossvalid[[#This Row],[ds]]),MONTH(m1_crossvalid[[#This Row],[ds]]),DAY(m1_crossvalid[[#This Row],[ds]]))</f>
        <v>45893</v>
      </c>
      <c r="C242">
        <v>239</v>
      </c>
      <c r="D242" s="1">
        <v>45893.333333333336</v>
      </c>
      <c r="E242">
        <v>597.21188745873246</v>
      </c>
      <c r="F242">
        <v>-2007.2404722929534</v>
      </c>
      <c r="G242">
        <v>3331.830477992065</v>
      </c>
      <c r="H242" s="1">
        <v>45869.333333333336</v>
      </c>
    </row>
    <row r="243" spans="1:8" x14ac:dyDescent="0.25">
      <c r="A243" s="7">
        <f>DATE(YEAR(m1_crossvalid[[#This Row],[cutoff]]),MONTH(m1_crossvalid[[#This Row],[cutoff]]),DAY(m1_crossvalid[[#This Row],[cutoff]]))</f>
        <v>45869</v>
      </c>
      <c r="B243" s="7">
        <f>DATE(YEAR(m1_crossvalid[[#This Row],[ds]]),MONTH(m1_crossvalid[[#This Row],[ds]]),DAY(m1_crossvalid[[#This Row],[ds]]))</f>
        <v>45894</v>
      </c>
      <c r="C243">
        <v>3838</v>
      </c>
      <c r="D243" s="1">
        <v>45894.333333333336</v>
      </c>
      <c r="E243">
        <v>2896.5341132658705</v>
      </c>
      <c r="F243">
        <v>228.23085725509037</v>
      </c>
      <c r="G243">
        <v>5632.6351644510232</v>
      </c>
      <c r="H243" s="1">
        <v>45869.333333333336</v>
      </c>
    </row>
    <row r="244" spans="1:8" x14ac:dyDescent="0.25">
      <c r="A244" s="7">
        <f>DATE(YEAR(m1_crossvalid[[#This Row],[cutoff]]),MONTH(m1_crossvalid[[#This Row],[cutoff]]),DAY(m1_crossvalid[[#This Row],[cutoff]]))</f>
        <v>45869</v>
      </c>
      <c r="B244" s="7">
        <f>DATE(YEAR(m1_crossvalid[[#This Row],[ds]]),MONTH(m1_crossvalid[[#This Row],[ds]]),DAY(m1_crossvalid[[#This Row],[ds]]))</f>
        <v>45895</v>
      </c>
      <c r="C244">
        <v>5214</v>
      </c>
      <c r="D244" s="1">
        <v>45895.333333333336</v>
      </c>
      <c r="E244">
        <v>3360.8837586770928</v>
      </c>
      <c r="F244">
        <v>707.34303664541335</v>
      </c>
      <c r="G244">
        <v>5824.6720133825738</v>
      </c>
      <c r="H244" s="1">
        <v>45869.333333333336</v>
      </c>
    </row>
    <row r="245" spans="1:8" x14ac:dyDescent="0.25">
      <c r="A245" s="7">
        <f>DATE(YEAR(m1_crossvalid[[#This Row],[cutoff]]),MONTH(m1_crossvalid[[#This Row],[cutoff]]),DAY(m1_crossvalid[[#This Row],[cutoff]]))</f>
        <v>45869</v>
      </c>
      <c r="B245" s="7">
        <f>DATE(YEAR(m1_crossvalid[[#This Row],[ds]]),MONTH(m1_crossvalid[[#This Row],[ds]]),DAY(m1_crossvalid[[#This Row],[ds]]))</f>
        <v>45896</v>
      </c>
      <c r="C245">
        <v>5989</v>
      </c>
      <c r="D245" s="1">
        <v>45896.333333333336</v>
      </c>
      <c r="E245">
        <v>3411.909303242981</v>
      </c>
      <c r="F245">
        <v>876.050281229088</v>
      </c>
      <c r="G245">
        <v>6047.6752187271368</v>
      </c>
      <c r="H245" s="1">
        <v>45869.333333333336</v>
      </c>
    </row>
    <row r="246" spans="1:8" x14ac:dyDescent="0.25">
      <c r="A246" s="7">
        <f>DATE(YEAR(m1_crossvalid[[#This Row],[cutoff]]),MONTH(m1_crossvalid[[#This Row],[cutoff]]),DAY(m1_crossvalid[[#This Row],[cutoff]]))</f>
        <v>45869</v>
      </c>
      <c r="B246" s="7">
        <f>DATE(YEAR(m1_crossvalid[[#This Row],[ds]]),MONTH(m1_crossvalid[[#This Row],[ds]]),DAY(m1_crossvalid[[#This Row],[ds]]))</f>
        <v>45897</v>
      </c>
      <c r="C246">
        <v>7115</v>
      </c>
      <c r="D246" s="1">
        <v>45897.333333333336</v>
      </c>
      <c r="E246">
        <v>3426.4485305096091</v>
      </c>
      <c r="F246">
        <v>700.70775391162408</v>
      </c>
      <c r="G246">
        <v>5800.9179521065307</v>
      </c>
      <c r="H246" s="1">
        <v>45869.333333333336</v>
      </c>
    </row>
    <row r="247" spans="1:8" x14ac:dyDescent="0.25">
      <c r="A247" s="7">
        <f>DATE(YEAR(m1_crossvalid[[#This Row],[cutoff]]),MONTH(m1_crossvalid[[#This Row],[cutoff]]),DAY(m1_crossvalid[[#This Row],[cutoff]]))</f>
        <v>45869</v>
      </c>
      <c r="B247" s="7">
        <f>DATE(YEAR(m1_crossvalid[[#This Row],[ds]]),MONTH(m1_crossvalid[[#This Row],[ds]]),DAY(m1_crossvalid[[#This Row],[ds]]))</f>
        <v>45898</v>
      </c>
      <c r="C247">
        <v>9571</v>
      </c>
      <c r="D247" s="1">
        <v>45898.333333333336</v>
      </c>
      <c r="E247">
        <v>3356.7078846470158</v>
      </c>
      <c r="F247">
        <v>535.42786758001671</v>
      </c>
      <c r="G247">
        <v>5939.6438523918441</v>
      </c>
      <c r="H247" s="1">
        <v>45869.333333333336</v>
      </c>
    </row>
    <row r="248" spans="1:8" x14ac:dyDescent="0.25">
      <c r="A248" s="7">
        <f>DATE(YEAR(m1_crossvalid[[#This Row],[cutoff]]),MONTH(m1_crossvalid[[#This Row],[cutoff]]),DAY(m1_crossvalid[[#This Row],[cutoff]]))</f>
        <v>45869</v>
      </c>
      <c r="B248" s="7">
        <f>DATE(YEAR(m1_crossvalid[[#This Row],[ds]]),MONTH(m1_crossvalid[[#This Row],[ds]]),DAY(m1_crossvalid[[#This Row],[ds]]))</f>
        <v>45899</v>
      </c>
      <c r="C248">
        <v>5764</v>
      </c>
      <c r="D248" s="1">
        <v>45899.333333333336</v>
      </c>
      <c r="E248">
        <v>1113.0208557510921</v>
      </c>
      <c r="F248">
        <v>-1554.2841810772049</v>
      </c>
      <c r="G248">
        <v>3767.4525937808171</v>
      </c>
      <c r="H248" s="1">
        <v>45869.333333333336</v>
      </c>
    </row>
    <row r="249" spans="1:8" x14ac:dyDescent="0.25">
      <c r="A249" s="7">
        <f>DATE(YEAR(m1_crossvalid[[#This Row],[cutoff]]),MONTH(m1_crossvalid[[#This Row],[cutoff]]),DAY(m1_crossvalid[[#This Row],[cutoff]]))</f>
        <v>45869</v>
      </c>
      <c r="B249" s="7">
        <f>DATE(YEAR(m1_crossvalid[[#This Row],[ds]]),MONTH(m1_crossvalid[[#This Row],[ds]]),DAY(m1_crossvalid[[#This Row],[ds]]))</f>
        <v>45900</v>
      </c>
      <c r="C249">
        <v>386</v>
      </c>
      <c r="D249" s="1">
        <v>45900.333333333336</v>
      </c>
      <c r="E249">
        <v>550.88860041102294</v>
      </c>
      <c r="F249">
        <v>-2076.2123365514731</v>
      </c>
      <c r="G249">
        <v>3199.8627734485426</v>
      </c>
      <c r="H249" s="1">
        <v>45869.333333333336</v>
      </c>
    </row>
    <row r="250" spans="1:8" x14ac:dyDescent="0.25">
      <c r="A250" s="7">
        <f>DATE(YEAR(m1_crossvalid[[#This Row],[cutoff]]),MONTH(m1_crossvalid[[#This Row],[cutoff]]),DAY(m1_crossvalid[[#This Row],[cutoff]]))</f>
        <v>45900</v>
      </c>
      <c r="B250" s="7">
        <f>DATE(YEAR(m1_crossvalid[[#This Row],[ds]]),MONTH(m1_crossvalid[[#This Row],[ds]]),DAY(m1_crossvalid[[#This Row],[ds]]))</f>
        <v>45901</v>
      </c>
      <c r="C250">
        <v>34</v>
      </c>
      <c r="D250" s="1">
        <v>45901.333333333336</v>
      </c>
      <c r="E250">
        <v>3186.5016735612026</v>
      </c>
      <c r="F250">
        <v>557.53978796845388</v>
      </c>
      <c r="G250">
        <v>5627.8992722410585</v>
      </c>
      <c r="H250" s="1">
        <v>45900.333333333336</v>
      </c>
    </row>
    <row r="251" spans="1:8" x14ac:dyDescent="0.25">
      <c r="A251" s="7">
        <f>DATE(YEAR(m1_crossvalid[[#This Row],[cutoff]]),MONTH(m1_crossvalid[[#This Row],[cutoff]]),DAY(m1_crossvalid[[#This Row],[cutoff]]))</f>
        <v>45900</v>
      </c>
      <c r="B251" s="7">
        <f>DATE(YEAR(m1_crossvalid[[#This Row],[ds]]),MONTH(m1_crossvalid[[#This Row],[ds]]),DAY(m1_crossvalid[[#This Row],[ds]]))</f>
        <v>45902</v>
      </c>
      <c r="C251">
        <v>463</v>
      </c>
      <c r="D251" s="1">
        <v>45902.333333333336</v>
      </c>
      <c r="E251">
        <v>3651.6646383222296</v>
      </c>
      <c r="F251">
        <v>1045.9790255836492</v>
      </c>
      <c r="G251">
        <v>6108.1877963792194</v>
      </c>
      <c r="H251" s="1">
        <v>45900.333333333336</v>
      </c>
    </row>
    <row r="252" spans="1:8" x14ac:dyDescent="0.25">
      <c r="A252" s="7">
        <f>DATE(YEAR(m1_crossvalid[[#This Row],[cutoff]]),MONTH(m1_crossvalid[[#This Row],[cutoff]]),DAY(m1_crossvalid[[#This Row],[cutoff]]))</f>
        <v>45900</v>
      </c>
      <c r="B252" s="7">
        <f>DATE(YEAR(m1_crossvalid[[#This Row],[ds]]),MONTH(m1_crossvalid[[#This Row],[ds]]),DAY(m1_crossvalid[[#This Row],[ds]]))</f>
        <v>45903</v>
      </c>
      <c r="C252">
        <v>734</v>
      </c>
      <c r="D252" s="1">
        <v>45903.333333333336</v>
      </c>
      <c r="E252">
        <v>3693.0799430569346</v>
      </c>
      <c r="F252">
        <v>1049.4857104383605</v>
      </c>
      <c r="G252">
        <v>6331.3003393351464</v>
      </c>
      <c r="H252" s="1">
        <v>45900.333333333336</v>
      </c>
    </row>
    <row r="253" spans="1:8" x14ac:dyDescent="0.25">
      <c r="A253" s="7">
        <f>DATE(YEAR(m1_crossvalid[[#This Row],[cutoff]]),MONTH(m1_crossvalid[[#This Row],[cutoff]]),DAY(m1_crossvalid[[#This Row],[cutoff]]))</f>
        <v>45900</v>
      </c>
      <c r="B253" s="7">
        <f>DATE(YEAR(m1_crossvalid[[#This Row],[ds]]),MONTH(m1_crossvalid[[#This Row],[ds]]),DAY(m1_crossvalid[[#This Row],[ds]]))</f>
        <v>45904</v>
      </c>
      <c r="C253">
        <v>973</v>
      </c>
      <c r="D253" s="1">
        <v>45904.333333333336</v>
      </c>
      <c r="E253">
        <v>3697.5151297888169</v>
      </c>
      <c r="F253">
        <v>1124.2695658986031</v>
      </c>
      <c r="G253">
        <v>6508.5726352461234</v>
      </c>
      <c r="H253" s="1">
        <v>45900.333333333336</v>
      </c>
    </row>
    <row r="254" spans="1:8" x14ac:dyDescent="0.25">
      <c r="A254" s="7">
        <f>DATE(YEAR(m1_crossvalid[[#This Row],[cutoff]]),MONTH(m1_crossvalid[[#This Row],[cutoff]]),DAY(m1_crossvalid[[#This Row],[cutoff]]))</f>
        <v>45900</v>
      </c>
      <c r="B254" s="7">
        <f>DATE(YEAR(m1_crossvalid[[#This Row],[ds]]),MONTH(m1_crossvalid[[#This Row],[ds]]),DAY(m1_crossvalid[[#This Row],[ds]]))</f>
        <v>45905</v>
      </c>
      <c r="C254">
        <v>61</v>
      </c>
      <c r="D254" s="1">
        <v>45905.333333333336</v>
      </c>
      <c r="E254">
        <v>3608.7168000425477</v>
      </c>
      <c r="F254">
        <v>1082.0369935471956</v>
      </c>
      <c r="G254">
        <v>6365.7790707145341</v>
      </c>
      <c r="H254" s="1">
        <v>45900.333333333336</v>
      </c>
    </row>
    <row r="255" spans="1:8" x14ac:dyDescent="0.25">
      <c r="A255" s="7">
        <f>DATE(YEAR(m1_crossvalid[[#This Row],[cutoff]]),MONTH(m1_crossvalid[[#This Row],[cutoff]]),DAY(m1_crossvalid[[#This Row],[cutoff]]))</f>
        <v>45900</v>
      </c>
      <c r="B255" s="7">
        <f>DATE(YEAR(m1_crossvalid[[#This Row],[ds]]),MONTH(m1_crossvalid[[#This Row],[ds]]),DAY(m1_crossvalid[[#This Row],[ds]]))</f>
        <v>45906</v>
      </c>
      <c r="C255">
        <v>107</v>
      </c>
      <c r="D255" s="1">
        <v>45906.333333333336</v>
      </c>
      <c r="E255">
        <v>1330.286609136333</v>
      </c>
      <c r="F255">
        <v>-1486.8421455046589</v>
      </c>
      <c r="G255">
        <v>3823.9070972903933</v>
      </c>
      <c r="H255" s="1">
        <v>45900.333333333336</v>
      </c>
    </row>
    <row r="256" spans="1:8" x14ac:dyDescent="0.25">
      <c r="A256" s="7">
        <f>DATE(YEAR(m1_crossvalid[[#This Row],[cutoff]]),MONTH(m1_crossvalid[[#This Row],[cutoff]]),DAY(m1_crossvalid[[#This Row],[cutoff]]))</f>
        <v>45900</v>
      </c>
      <c r="B256" s="7">
        <f>DATE(YEAR(m1_crossvalid[[#This Row],[ds]]),MONTH(m1_crossvalid[[#This Row],[ds]]),DAY(m1_crossvalid[[#This Row],[ds]]))</f>
        <v>45907</v>
      </c>
      <c r="C256">
        <v>30</v>
      </c>
      <c r="D256" s="1">
        <v>45907.333333333336</v>
      </c>
      <c r="E256">
        <v>716.60579110907793</v>
      </c>
      <c r="F256">
        <v>-1743.8376036686266</v>
      </c>
      <c r="G256">
        <v>3569.4058664694803</v>
      </c>
      <c r="H256" s="1">
        <v>45900.333333333336</v>
      </c>
    </row>
    <row r="257" spans="1:8" x14ac:dyDescent="0.25">
      <c r="A257" s="7">
        <f>DATE(YEAR(m1_crossvalid[[#This Row],[cutoff]]),MONTH(m1_crossvalid[[#This Row],[cutoff]]),DAY(m1_crossvalid[[#This Row],[cutoff]]))</f>
        <v>45900</v>
      </c>
      <c r="B257" s="7">
        <f>DATE(YEAR(m1_crossvalid[[#This Row],[ds]]),MONTH(m1_crossvalid[[#This Row],[ds]]),DAY(m1_crossvalid[[#This Row],[ds]]))</f>
        <v>45908</v>
      </c>
      <c r="C257">
        <v>1382</v>
      </c>
      <c r="D257" s="1">
        <v>45908.333333333336</v>
      </c>
      <c r="E257">
        <v>2995.1663596334961</v>
      </c>
      <c r="F257">
        <v>302.22074498559311</v>
      </c>
      <c r="G257">
        <v>5878.1140629493075</v>
      </c>
      <c r="H257" s="1">
        <v>45900.333333333336</v>
      </c>
    </row>
    <row r="258" spans="1:8" x14ac:dyDescent="0.25">
      <c r="A258" s="7">
        <f>DATE(YEAR(m1_crossvalid[[#This Row],[cutoff]]),MONTH(m1_crossvalid[[#This Row],[cutoff]]),DAY(m1_crossvalid[[#This Row],[cutoff]]))</f>
        <v>45900</v>
      </c>
      <c r="B258" s="7">
        <f>DATE(YEAR(m1_crossvalid[[#This Row],[ds]]),MONTH(m1_crossvalid[[#This Row],[ds]]),DAY(m1_crossvalid[[#This Row],[ds]]))</f>
        <v>45909</v>
      </c>
      <c r="C258">
        <v>1925</v>
      </c>
      <c r="D258" s="1">
        <v>45909.333333333336</v>
      </c>
      <c r="E258">
        <v>3435.4179101244895</v>
      </c>
      <c r="F258">
        <v>707.21974714601697</v>
      </c>
      <c r="G258">
        <v>6056.7059884515193</v>
      </c>
      <c r="H258" s="1">
        <v>45900.333333333336</v>
      </c>
    </row>
    <row r="259" spans="1:8" x14ac:dyDescent="0.25">
      <c r="A259" s="7">
        <f>DATE(YEAR(m1_crossvalid[[#This Row],[cutoff]]),MONTH(m1_crossvalid[[#This Row],[cutoff]]),DAY(m1_crossvalid[[#This Row],[cutoff]]))</f>
        <v>45900</v>
      </c>
      <c r="B259" s="7">
        <f>DATE(YEAR(m1_crossvalid[[#This Row],[ds]]),MONTH(m1_crossvalid[[#This Row],[ds]]),DAY(m1_crossvalid[[#This Row],[ds]]))</f>
        <v>45910</v>
      </c>
      <c r="C259">
        <v>1988</v>
      </c>
      <c r="D259" s="1">
        <v>45910.333333333336</v>
      </c>
      <c r="E259">
        <v>3455.6008228366982</v>
      </c>
      <c r="F259">
        <v>736.91316586490177</v>
      </c>
      <c r="G259">
        <v>5934.1223020366333</v>
      </c>
      <c r="H259" s="1">
        <v>45900.333333333336</v>
      </c>
    </row>
    <row r="260" spans="1:8" x14ac:dyDescent="0.25">
      <c r="A260" s="7">
        <f>DATE(YEAR(m1_crossvalid[[#This Row],[cutoff]]),MONTH(m1_crossvalid[[#This Row],[cutoff]]),DAY(m1_crossvalid[[#This Row],[cutoff]]))</f>
        <v>45900</v>
      </c>
      <c r="B260" s="7">
        <f>DATE(YEAR(m1_crossvalid[[#This Row],[ds]]),MONTH(m1_crossvalid[[#This Row],[ds]]),DAY(m1_crossvalid[[#This Row],[ds]]))</f>
        <v>45911</v>
      </c>
      <c r="C260">
        <v>2414</v>
      </c>
      <c r="D260" s="1">
        <v>45911.333333333336</v>
      </c>
      <c r="E260">
        <v>3442.9667715130636</v>
      </c>
      <c r="F260">
        <v>740.56355637798481</v>
      </c>
      <c r="G260">
        <v>6039.1609986706835</v>
      </c>
      <c r="H260" s="1">
        <v>45900.333333333336</v>
      </c>
    </row>
    <row r="261" spans="1:8" x14ac:dyDescent="0.25">
      <c r="A261" s="7">
        <f>DATE(YEAR(m1_crossvalid[[#This Row],[cutoff]]),MONTH(m1_crossvalid[[#This Row],[cutoff]]),DAY(m1_crossvalid[[#This Row],[cutoff]]))</f>
        <v>45900</v>
      </c>
      <c r="B261" s="7">
        <f>DATE(YEAR(m1_crossvalid[[#This Row],[ds]]),MONTH(m1_crossvalid[[#This Row],[ds]]),DAY(m1_crossvalid[[#This Row],[ds]]))</f>
        <v>45912</v>
      </c>
      <c r="C261">
        <v>2644</v>
      </c>
      <c r="D261" s="1">
        <v>45912.333333333336</v>
      </c>
      <c r="E261">
        <v>3341.6512811310899</v>
      </c>
      <c r="F261">
        <v>646.26954169349642</v>
      </c>
      <c r="G261">
        <v>6077.451176316802</v>
      </c>
      <c r="H261" s="1">
        <v>45900.333333333336</v>
      </c>
    </row>
    <row r="262" spans="1:8" x14ac:dyDescent="0.25">
      <c r="A262" s="7">
        <f>DATE(YEAR(m1_crossvalid[[#This Row],[cutoff]]),MONTH(m1_crossvalid[[#This Row],[cutoff]]),DAY(m1_crossvalid[[#This Row],[cutoff]]))</f>
        <v>45900</v>
      </c>
      <c r="B262" s="7">
        <f>DATE(YEAR(m1_crossvalid[[#This Row],[ds]]),MONTH(m1_crossvalid[[#This Row],[ds]]),DAY(m1_crossvalid[[#This Row],[ds]]))</f>
        <v>45913</v>
      </c>
      <c r="C262">
        <v>439</v>
      </c>
      <c r="D262" s="1">
        <v>45913.333333333336</v>
      </c>
      <c r="E262">
        <v>1055.5397871458815</v>
      </c>
      <c r="F262">
        <v>-1713.3251986682415</v>
      </c>
      <c r="G262">
        <v>3857.9464890019535</v>
      </c>
      <c r="H262" s="1">
        <v>45900.333333333336</v>
      </c>
    </row>
    <row r="263" spans="1:8" x14ac:dyDescent="0.25">
      <c r="A263" s="7">
        <f>DATE(YEAR(m1_crossvalid[[#This Row],[cutoff]]),MONTH(m1_crossvalid[[#This Row],[cutoff]]),DAY(m1_crossvalid[[#This Row],[cutoff]]))</f>
        <v>45900</v>
      </c>
      <c r="B263" s="7">
        <f>DATE(YEAR(m1_crossvalid[[#This Row],[ds]]),MONTH(m1_crossvalid[[#This Row],[ds]]),DAY(m1_crossvalid[[#This Row],[ds]]))</f>
        <v>45914</v>
      </c>
      <c r="C263">
        <v>108</v>
      </c>
      <c r="D263" s="1">
        <v>45914.333333333336</v>
      </c>
      <c r="E263">
        <v>439.18497231931951</v>
      </c>
      <c r="F263">
        <v>-2269.1485384035209</v>
      </c>
      <c r="G263">
        <v>2993.548559196433</v>
      </c>
      <c r="H263" s="1">
        <v>45900.333333333336</v>
      </c>
    </row>
    <row r="264" spans="1:8" x14ac:dyDescent="0.25">
      <c r="A264" s="7">
        <f>DATE(YEAR(m1_crossvalid[[#This Row],[cutoff]]),MONTH(m1_crossvalid[[#This Row],[cutoff]]),DAY(m1_crossvalid[[#This Row],[cutoff]]))</f>
        <v>45900</v>
      </c>
      <c r="B264" s="7">
        <f>DATE(YEAR(m1_crossvalid[[#This Row],[ds]]),MONTH(m1_crossvalid[[#This Row],[ds]]),DAY(m1_crossvalid[[#This Row],[ds]]))</f>
        <v>45915</v>
      </c>
      <c r="C264">
        <v>19</v>
      </c>
      <c r="D264" s="1">
        <v>45915.333333333336</v>
      </c>
      <c r="E264">
        <v>2720.1337175449553</v>
      </c>
      <c r="F264">
        <v>177.56891711804076</v>
      </c>
      <c r="G264">
        <v>5399.1358641904872</v>
      </c>
      <c r="H264" s="1">
        <v>45900.333333333336</v>
      </c>
    </row>
    <row r="265" spans="1:8" x14ac:dyDescent="0.25">
      <c r="A265" s="7">
        <f>DATE(YEAR(m1_crossvalid[[#This Row],[cutoff]]),MONTH(m1_crossvalid[[#This Row],[cutoff]]),DAY(m1_crossvalid[[#This Row],[cutoff]]))</f>
        <v>45900</v>
      </c>
      <c r="B265" s="7">
        <f>DATE(YEAR(m1_crossvalid[[#This Row],[ds]]),MONTH(m1_crossvalid[[#This Row],[ds]]),DAY(m1_crossvalid[[#This Row],[ds]]))</f>
        <v>45916</v>
      </c>
      <c r="C265">
        <v>5</v>
      </c>
      <c r="D265" s="1">
        <v>45916.333333333336</v>
      </c>
      <c r="E265">
        <v>3167.7727025594772</v>
      </c>
      <c r="F265">
        <v>347.39271962411084</v>
      </c>
      <c r="G265">
        <v>5985.487185558075</v>
      </c>
      <c r="H265" s="1">
        <v>45900.333333333336</v>
      </c>
    </row>
    <row r="266" spans="1:8" x14ac:dyDescent="0.25">
      <c r="A266" s="7">
        <f>DATE(YEAR(m1_crossvalid[[#This Row],[cutoff]]),MONTH(m1_crossvalid[[#This Row],[cutoff]]),DAY(m1_crossvalid[[#This Row],[cutoff]]))</f>
        <v>45900</v>
      </c>
      <c r="B266" s="7">
        <f>DATE(YEAR(m1_crossvalid[[#This Row],[ds]]),MONTH(m1_crossvalid[[#This Row],[ds]]),DAY(m1_crossvalid[[#This Row],[ds]]))</f>
        <v>45917</v>
      </c>
      <c r="C266">
        <v>2108</v>
      </c>
      <c r="D266" s="1">
        <v>45917.333333333336</v>
      </c>
      <c r="E266">
        <v>3200.1634822586852</v>
      </c>
      <c r="F266">
        <v>575.86980735400277</v>
      </c>
      <c r="G266">
        <v>5866.2030715431165</v>
      </c>
      <c r="H266" s="1">
        <v>45900.333333333336</v>
      </c>
    </row>
    <row r="267" spans="1:8" x14ac:dyDescent="0.25">
      <c r="A267" s="7">
        <f>DATE(YEAR(m1_crossvalid[[#This Row],[cutoff]]),MONTH(m1_crossvalid[[#This Row],[cutoff]]),DAY(m1_crossvalid[[#This Row],[cutoff]]))</f>
        <v>45900</v>
      </c>
      <c r="B267" s="7">
        <f>DATE(YEAR(m1_crossvalid[[#This Row],[ds]]),MONTH(m1_crossvalid[[#This Row],[ds]]),DAY(m1_crossvalid[[#This Row],[ds]]))</f>
        <v>45918</v>
      </c>
      <c r="C267">
        <v>3129</v>
      </c>
      <c r="D267" s="1">
        <v>45918.333333333336</v>
      </c>
      <c r="E267">
        <v>3204.2678851677483</v>
      </c>
      <c r="F267">
        <v>513.68000318219106</v>
      </c>
      <c r="G267">
        <v>6025.8161711539196</v>
      </c>
      <c r="H267" s="1">
        <v>45900.333333333336</v>
      </c>
    </row>
    <row r="268" spans="1:8" x14ac:dyDescent="0.25">
      <c r="A268" s="7">
        <f>DATE(YEAR(m1_crossvalid[[#This Row],[cutoff]]),MONTH(m1_crossvalid[[#This Row],[cutoff]]),DAY(m1_crossvalid[[#This Row],[cutoff]]))</f>
        <v>45900</v>
      </c>
      <c r="B268" s="7">
        <f>DATE(YEAR(m1_crossvalid[[#This Row],[ds]]),MONTH(m1_crossvalid[[#This Row],[ds]]),DAY(m1_crossvalid[[#This Row],[ds]]))</f>
        <v>45919</v>
      </c>
      <c r="C268">
        <v>3027</v>
      </c>
      <c r="D268" s="1">
        <v>45919.333333333336</v>
      </c>
      <c r="E268">
        <v>3123.828336066973</v>
      </c>
      <c r="F268">
        <v>394.82598154300621</v>
      </c>
      <c r="G268">
        <v>5948.693975982439</v>
      </c>
      <c r="H268" s="1">
        <v>45900.333333333336</v>
      </c>
    </row>
    <row r="269" spans="1:8" x14ac:dyDescent="0.25">
      <c r="A269" s="7">
        <f>DATE(YEAR(m1_crossvalid[[#This Row],[cutoff]]),MONTH(m1_crossvalid[[#This Row],[cutoff]]),DAY(m1_crossvalid[[#This Row],[cutoff]]))</f>
        <v>45900</v>
      </c>
      <c r="B269" s="7">
        <f>DATE(YEAR(m1_crossvalid[[#This Row],[ds]]),MONTH(m1_crossvalid[[#This Row],[ds]]),DAY(m1_crossvalid[[#This Row],[ds]]))</f>
        <v>45920</v>
      </c>
      <c r="C269">
        <v>525</v>
      </c>
      <c r="D269" s="1">
        <v>45920.333333333336</v>
      </c>
      <c r="E269">
        <v>862.24433524938649</v>
      </c>
      <c r="F269">
        <v>-1795.3401563536224</v>
      </c>
      <c r="G269">
        <v>3405.8077185198772</v>
      </c>
      <c r="H269" s="1">
        <v>45900.333333333336</v>
      </c>
    </row>
    <row r="270" spans="1:8" x14ac:dyDescent="0.25">
      <c r="A270" s="7">
        <f>DATE(YEAR(m1_crossvalid[[#This Row],[cutoff]]),MONTH(m1_crossvalid[[#This Row],[cutoff]]),DAY(m1_crossvalid[[#This Row],[cutoff]]))</f>
        <v>45900</v>
      </c>
      <c r="B270" s="7">
        <f>DATE(YEAR(m1_crossvalid[[#This Row],[ds]]),MONTH(m1_crossvalid[[#This Row],[ds]]),DAY(m1_crossvalid[[#This Row],[ds]]))</f>
        <v>45921</v>
      </c>
      <c r="C270">
        <v>107</v>
      </c>
      <c r="D270" s="1">
        <v>45921.333333333336</v>
      </c>
      <c r="E270">
        <v>273.50257779466165</v>
      </c>
      <c r="F270">
        <v>-2402.1177075133328</v>
      </c>
      <c r="G270">
        <v>2935.478023453692</v>
      </c>
      <c r="H270" s="1">
        <v>45900.333333333336</v>
      </c>
    </row>
    <row r="271" spans="1:8" x14ac:dyDescent="0.25">
      <c r="A271" s="7">
        <f>DATE(YEAR(m1_crossvalid[[#This Row],[cutoff]]),MONTH(m1_crossvalid[[#This Row],[cutoff]]),DAY(m1_crossvalid[[#This Row],[cutoff]]))</f>
        <v>45900</v>
      </c>
      <c r="B271" s="7">
        <f>DATE(YEAR(m1_crossvalid[[#This Row],[ds]]),MONTH(m1_crossvalid[[#This Row],[ds]]),DAY(m1_crossvalid[[#This Row],[ds]]))</f>
        <v>45922</v>
      </c>
      <c r="C271">
        <v>2480</v>
      </c>
      <c r="D271" s="1">
        <v>45922.333333333336</v>
      </c>
      <c r="E271">
        <v>2584.5186927958216</v>
      </c>
      <c r="F271">
        <v>-101.55855099798413</v>
      </c>
      <c r="G271">
        <v>5323.5872250473594</v>
      </c>
      <c r="H271" s="1">
        <v>45900.333333333336</v>
      </c>
    </row>
    <row r="272" spans="1:8" x14ac:dyDescent="0.25">
      <c r="A272" s="7">
        <f>DATE(YEAR(m1_crossvalid[[#This Row],[cutoff]]),MONTH(m1_crossvalid[[#This Row],[cutoff]]),DAY(m1_crossvalid[[#This Row],[cutoff]]))</f>
        <v>45900</v>
      </c>
      <c r="B272" s="7">
        <f>DATE(YEAR(m1_crossvalid[[#This Row],[ds]]),MONTH(m1_crossvalid[[#This Row],[ds]]),DAY(m1_crossvalid[[#This Row],[ds]]))</f>
        <v>45923</v>
      </c>
      <c r="C272">
        <v>2893</v>
      </c>
      <c r="D272" s="1">
        <v>45923.333333333336</v>
      </c>
      <c r="E272">
        <v>3063.9992275445879</v>
      </c>
      <c r="F272">
        <v>421.42848315643533</v>
      </c>
      <c r="G272">
        <v>5751.7572610739735</v>
      </c>
      <c r="H272" s="1">
        <v>45900.333333333336</v>
      </c>
    </row>
    <row r="273" spans="1:8" x14ac:dyDescent="0.25">
      <c r="A273" s="7">
        <f>DATE(YEAR(m1_crossvalid[[#This Row],[cutoff]]),MONTH(m1_crossvalid[[#This Row],[cutoff]]),DAY(m1_crossvalid[[#This Row],[cutoff]]))</f>
        <v>45900</v>
      </c>
      <c r="B273" s="7">
        <f>DATE(YEAR(m1_crossvalid[[#This Row],[ds]]),MONTH(m1_crossvalid[[#This Row],[ds]]),DAY(m1_crossvalid[[#This Row],[ds]]))</f>
        <v>45924</v>
      </c>
      <c r="C273">
        <v>3143</v>
      </c>
      <c r="D273" s="1">
        <v>45924.333333333336</v>
      </c>
      <c r="E273">
        <v>3129.2942498229713</v>
      </c>
      <c r="F273">
        <v>465.42041900956002</v>
      </c>
      <c r="G273">
        <v>5625.6522808084183</v>
      </c>
      <c r="H273" s="1">
        <v>45900.333333333336</v>
      </c>
    </row>
    <row r="274" spans="1:8" x14ac:dyDescent="0.25">
      <c r="A274" s="7">
        <f>DATE(YEAR(m1_crossvalid[[#This Row],[cutoff]]),MONTH(m1_crossvalid[[#This Row],[cutoff]]),DAY(m1_crossvalid[[#This Row],[cutoff]]))</f>
        <v>45900</v>
      </c>
      <c r="B274" s="7">
        <f>DATE(YEAR(m1_crossvalid[[#This Row],[ds]]),MONTH(m1_crossvalid[[#This Row],[ds]]),DAY(m1_crossvalid[[#This Row],[ds]]))</f>
        <v>45925</v>
      </c>
      <c r="C274">
        <v>3361</v>
      </c>
      <c r="D274" s="1">
        <v>45925.333333333336</v>
      </c>
      <c r="E274">
        <v>3166.6409324492679</v>
      </c>
      <c r="F274">
        <v>513.35535260745598</v>
      </c>
      <c r="G274">
        <v>5686.3709673256844</v>
      </c>
      <c r="H274" s="1">
        <v>45900.333333333336</v>
      </c>
    </row>
    <row r="275" spans="1:8" x14ac:dyDescent="0.25">
      <c r="A275" s="7">
        <f>DATE(YEAR(m1_crossvalid[[#This Row],[cutoff]]),MONTH(m1_crossvalid[[#This Row],[cutoff]]),DAY(m1_crossvalid[[#This Row],[cutoff]]))</f>
        <v>45900</v>
      </c>
      <c r="B275" s="7">
        <f>DATE(YEAR(m1_crossvalid[[#This Row],[ds]]),MONTH(m1_crossvalid[[#This Row],[ds]]),DAY(m1_crossvalid[[#This Row],[ds]]))</f>
        <v>45926</v>
      </c>
      <c r="C275">
        <v>3885</v>
      </c>
      <c r="D275" s="1">
        <v>45926.333333333336</v>
      </c>
      <c r="E275">
        <v>3119.062224242738</v>
      </c>
      <c r="F275">
        <v>538.46878247770246</v>
      </c>
      <c r="G275">
        <v>5718.6031581012139</v>
      </c>
      <c r="H275" s="1">
        <v>45900.333333333336</v>
      </c>
    </row>
    <row r="276" spans="1:8" x14ac:dyDescent="0.25">
      <c r="A276" s="7">
        <f>DATE(YEAR(m1_crossvalid[[#This Row],[cutoff]]),MONTH(m1_crossvalid[[#This Row],[cutoff]]),DAY(m1_crossvalid[[#This Row],[cutoff]]))</f>
        <v>45900</v>
      </c>
      <c r="B276" s="7">
        <f>DATE(YEAR(m1_crossvalid[[#This Row],[ds]]),MONTH(m1_crossvalid[[#This Row],[ds]]),DAY(m1_crossvalid[[#This Row],[ds]]))</f>
        <v>45927</v>
      </c>
      <c r="C276">
        <v>1024</v>
      </c>
      <c r="D276" s="1">
        <v>45927.333333333336</v>
      </c>
      <c r="E276">
        <v>889.26134032364848</v>
      </c>
      <c r="F276">
        <v>-1689.2366404287636</v>
      </c>
      <c r="G276">
        <v>3621.4887623108734</v>
      </c>
      <c r="H276" s="1">
        <v>45900.333333333336</v>
      </c>
    </row>
    <row r="277" spans="1:8" x14ac:dyDescent="0.25">
      <c r="A277" s="7">
        <f>DATE(YEAR(m1_crossvalid[[#This Row],[cutoff]]),MONTH(m1_crossvalid[[#This Row],[cutoff]]),DAY(m1_crossvalid[[#This Row],[cutoff]]))</f>
        <v>45900</v>
      </c>
      <c r="B277" s="7">
        <f>DATE(YEAR(m1_crossvalid[[#This Row],[ds]]),MONTH(m1_crossvalid[[#This Row],[ds]]),DAY(m1_crossvalid[[#This Row],[ds]]))</f>
        <v>45928</v>
      </c>
      <c r="C277">
        <v>280</v>
      </c>
      <c r="D277" s="1">
        <v>45928.333333333336</v>
      </c>
      <c r="E277">
        <v>330.56906803956053</v>
      </c>
      <c r="F277">
        <v>-2407.3113976932359</v>
      </c>
      <c r="G277">
        <v>2866.4874568475216</v>
      </c>
      <c r="H277" s="1">
        <v>45900.333333333336</v>
      </c>
    </row>
    <row r="278" spans="1:8" x14ac:dyDescent="0.25">
      <c r="A278" s="7">
        <f>DATE(YEAR(m1_crossvalid[[#This Row],[cutoff]]),MONTH(m1_crossvalid[[#This Row],[cutoff]]),DAY(m1_crossvalid[[#This Row],[cutoff]]))</f>
        <v>45900</v>
      </c>
      <c r="B278" s="7">
        <f>DATE(YEAR(m1_crossvalid[[#This Row],[ds]]),MONTH(m1_crossvalid[[#This Row],[ds]]),DAY(m1_crossvalid[[#This Row],[ds]]))</f>
        <v>45929</v>
      </c>
      <c r="C278">
        <v>8852</v>
      </c>
      <c r="D278" s="1">
        <v>45929.333333333336</v>
      </c>
      <c r="E278">
        <v>2669.3014075432984</v>
      </c>
      <c r="F278">
        <v>3.7643459410735147</v>
      </c>
      <c r="G278">
        <v>5175.7618467127986</v>
      </c>
      <c r="H278" s="1">
        <v>45900.333333333336</v>
      </c>
    </row>
    <row r="279" spans="1:8" x14ac:dyDescent="0.25">
      <c r="A279" s="7">
        <f>DATE(YEAR(m1_crossvalid[[#This Row],[cutoff]]),MONTH(m1_crossvalid[[#This Row],[cutoff]]),DAY(m1_crossvalid[[#This Row],[cutoff]]))</f>
        <v>45900</v>
      </c>
      <c r="B279" s="7">
        <f>DATE(YEAR(m1_crossvalid[[#This Row],[ds]]),MONTH(m1_crossvalid[[#This Row],[ds]]),DAY(m1_crossvalid[[#This Row],[ds]]))</f>
        <v>45930</v>
      </c>
      <c r="C279">
        <v>14458</v>
      </c>
      <c r="D279" s="1">
        <v>45930.333333333336</v>
      </c>
      <c r="E279">
        <v>3173.6357501884904</v>
      </c>
      <c r="F279">
        <v>455.10406583236045</v>
      </c>
      <c r="G279">
        <v>5795.8052004068813</v>
      </c>
      <c r="H279" s="1">
        <v>45900.333333333336</v>
      </c>
    </row>
    <row r="280" spans="1:8" x14ac:dyDescent="0.25">
      <c r="A280" s="7">
        <f>DATE(YEAR(m1_crossvalid[[#This Row],[cutoff]]),MONTH(m1_crossvalid[[#This Row],[cutoff]]),DAY(m1_crossvalid[[#This Row],[cutoff]]))</f>
        <v>45900</v>
      </c>
      <c r="B280" s="7">
        <f>DATE(YEAR(m1_crossvalid[[#This Row],[ds]]),MONTH(m1_crossvalid[[#This Row],[ds]]),DAY(m1_crossvalid[[#This Row],[ds]]))</f>
        <v>45931</v>
      </c>
      <c r="C280">
        <v>639</v>
      </c>
      <c r="D280" s="1">
        <v>45931.333333333336</v>
      </c>
      <c r="E280">
        <v>3260.4755967816118</v>
      </c>
      <c r="F280">
        <v>746.332080780404</v>
      </c>
      <c r="G280">
        <v>6101.7309326397281</v>
      </c>
      <c r="H280" s="1">
        <v>45900.333333333336</v>
      </c>
    </row>
    <row r="281" spans="1:8" x14ac:dyDescent="0.25">
      <c r="A281" s="7">
        <f>DATE(YEAR(m1_crossvalid[[#This Row],[cutoff]]),MONTH(m1_crossvalid[[#This Row],[cutoff]]),DAY(m1_crossvalid[[#This Row],[cutoff]]))</f>
        <v>45930</v>
      </c>
      <c r="B281" s="7">
        <f>DATE(YEAR(m1_crossvalid[[#This Row],[ds]]),MONTH(m1_crossvalid[[#This Row],[ds]]),DAY(m1_crossvalid[[#This Row],[ds]]))</f>
        <v>45931</v>
      </c>
      <c r="C281">
        <v>639</v>
      </c>
      <c r="D281" s="1">
        <v>45931.333333333336</v>
      </c>
      <c r="E281">
        <v>3563.6651633219712</v>
      </c>
      <c r="F281">
        <v>742.01529661069935</v>
      </c>
      <c r="G281">
        <v>6111.6133616488378</v>
      </c>
      <c r="H281" s="1">
        <v>45930.333333333336</v>
      </c>
    </row>
    <row r="282" spans="1:8" x14ac:dyDescent="0.25">
      <c r="A282" s="7">
        <f>DATE(YEAR(m1_crossvalid[[#This Row],[cutoff]]),MONTH(m1_crossvalid[[#This Row],[cutoff]]),DAY(m1_crossvalid[[#This Row],[cutoff]]))</f>
        <v>45930</v>
      </c>
      <c r="B282" s="7">
        <f>DATE(YEAR(m1_crossvalid[[#This Row],[ds]]),MONTH(m1_crossvalid[[#This Row],[ds]]),DAY(m1_crossvalid[[#This Row],[ds]]))</f>
        <v>45932</v>
      </c>
      <c r="C282">
        <v>823</v>
      </c>
      <c r="D282" s="1">
        <v>45932.333333333336</v>
      </c>
      <c r="E282">
        <v>3630.4197875844843</v>
      </c>
      <c r="F282">
        <v>888.37890466404258</v>
      </c>
      <c r="G282">
        <v>6011.0734281981022</v>
      </c>
      <c r="H282" s="1">
        <v>45930.333333333336</v>
      </c>
    </row>
    <row r="283" spans="1:8" x14ac:dyDescent="0.25">
      <c r="A283" s="7">
        <f>DATE(YEAR(m1_crossvalid[[#This Row],[cutoff]]),MONTH(m1_crossvalid[[#This Row],[cutoff]]),DAY(m1_crossvalid[[#This Row],[cutoff]]))</f>
        <v>45930</v>
      </c>
      <c r="B283" s="7">
        <f>DATE(YEAR(m1_crossvalid[[#This Row],[ds]]),MONTH(m1_crossvalid[[#This Row],[ds]]),DAY(m1_crossvalid[[#This Row],[ds]]))</f>
        <v>45933</v>
      </c>
      <c r="C283">
        <v>996</v>
      </c>
      <c r="D283" s="1">
        <v>45933.333333333336</v>
      </c>
      <c r="E283">
        <v>3593.2575986780375</v>
      </c>
      <c r="F283">
        <v>1056.967250182282</v>
      </c>
      <c r="G283">
        <v>6361.1686839574113</v>
      </c>
      <c r="H283" s="1">
        <v>45930.333333333336</v>
      </c>
    </row>
    <row r="284" spans="1:8" x14ac:dyDescent="0.25">
      <c r="A284" s="7">
        <f>DATE(YEAR(m1_crossvalid[[#This Row],[cutoff]]),MONTH(m1_crossvalid[[#This Row],[cutoff]]),DAY(m1_crossvalid[[#This Row],[cutoff]]))</f>
        <v>45930</v>
      </c>
      <c r="B284" s="7">
        <f>DATE(YEAR(m1_crossvalid[[#This Row],[ds]]),MONTH(m1_crossvalid[[#This Row],[ds]]),DAY(m1_crossvalid[[#This Row],[ds]]))</f>
        <v>45934</v>
      </c>
      <c r="C284">
        <v>141</v>
      </c>
      <c r="D284" s="1">
        <v>45934.333333333336</v>
      </c>
      <c r="E284">
        <v>1373.560676749584</v>
      </c>
      <c r="F284">
        <v>-1302.7180548189128</v>
      </c>
      <c r="G284">
        <v>4059.7238222548767</v>
      </c>
      <c r="H284" s="1">
        <v>45930.333333333336</v>
      </c>
    </row>
    <row r="285" spans="1:8" x14ac:dyDescent="0.25">
      <c r="A285" s="7">
        <f>DATE(YEAR(m1_crossvalid[[#This Row],[cutoff]]),MONTH(m1_crossvalid[[#This Row],[cutoff]]),DAY(m1_crossvalid[[#This Row],[cutoff]]))</f>
        <v>45930</v>
      </c>
      <c r="B285" s="7">
        <f>DATE(YEAR(m1_crossvalid[[#This Row],[ds]]),MONTH(m1_crossvalid[[#This Row],[ds]]),DAY(m1_crossvalid[[#This Row],[ds]]))</f>
        <v>45935</v>
      </c>
      <c r="C285">
        <v>38</v>
      </c>
      <c r="D285" s="1">
        <v>45935.333333333336</v>
      </c>
      <c r="E285">
        <v>814.50596908963621</v>
      </c>
      <c r="F285">
        <v>-1844.5521827316147</v>
      </c>
      <c r="G285">
        <v>3721.869096534891</v>
      </c>
      <c r="H285" s="1">
        <v>45930.333333333336</v>
      </c>
    </row>
    <row r="286" spans="1:8" x14ac:dyDescent="0.25">
      <c r="A286" s="7">
        <f>DATE(YEAR(m1_crossvalid[[#This Row],[cutoff]]),MONTH(m1_crossvalid[[#This Row],[cutoff]]),DAY(m1_crossvalid[[#This Row],[cutoff]]))</f>
        <v>45930</v>
      </c>
      <c r="B286" s="7">
        <f>DATE(YEAR(m1_crossvalid[[#This Row],[ds]]),MONTH(m1_crossvalid[[#This Row],[ds]]),DAY(m1_crossvalid[[#This Row],[ds]]))</f>
        <v>45936</v>
      </c>
      <c r="C286">
        <v>1044</v>
      </c>
      <c r="D286" s="1">
        <v>45936.333333333336</v>
      </c>
      <c r="E286">
        <v>3130.2560230727058</v>
      </c>
      <c r="F286">
        <v>546.47627887962062</v>
      </c>
      <c r="G286">
        <v>5998.9930683675084</v>
      </c>
      <c r="H286" s="1">
        <v>45930.333333333336</v>
      </c>
    </row>
    <row r="287" spans="1:8" x14ac:dyDescent="0.25">
      <c r="A287" s="7">
        <f>DATE(YEAR(m1_crossvalid[[#This Row],[cutoff]]),MONTH(m1_crossvalid[[#This Row],[cutoff]]),DAY(m1_crossvalid[[#This Row],[cutoff]]))</f>
        <v>45930</v>
      </c>
      <c r="B287" s="7">
        <f>DATE(YEAR(m1_crossvalid[[#This Row],[ds]]),MONTH(m1_crossvalid[[#This Row],[ds]]),DAY(m1_crossvalid[[#This Row],[ds]]))</f>
        <v>45937</v>
      </c>
      <c r="C287">
        <v>1351</v>
      </c>
      <c r="D287" s="1">
        <v>45937.333333333336</v>
      </c>
      <c r="E287">
        <v>3632.6887865416679</v>
      </c>
      <c r="F287">
        <v>1078.2269557518912</v>
      </c>
      <c r="G287">
        <v>6214.0477540127486</v>
      </c>
      <c r="H287" s="1">
        <v>45930.333333333336</v>
      </c>
    </row>
    <row r="288" spans="1:8" x14ac:dyDescent="0.25">
      <c r="A288" s="7">
        <f>DATE(YEAR(m1_crossvalid[[#This Row],[cutoff]]),MONTH(m1_crossvalid[[#This Row],[cutoff]]),DAY(m1_crossvalid[[#This Row],[cutoff]]))</f>
        <v>45930</v>
      </c>
      <c r="B288" s="7">
        <f>DATE(YEAR(m1_crossvalid[[#This Row],[ds]]),MONTH(m1_crossvalid[[#This Row],[ds]]),DAY(m1_crossvalid[[#This Row],[ds]]))</f>
        <v>45938</v>
      </c>
      <c r="C288">
        <v>1654</v>
      </c>
      <c r="D288" s="1">
        <v>45938.333333333336</v>
      </c>
      <c r="E288">
        <v>3643.5608076965309</v>
      </c>
      <c r="F288">
        <v>1061.6227551269189</v>
      </c>
      <c r="G288">
        <v>6201.8563414106447</v>
      </c>
      <c r="H288" s="1">
        <v>45930.333333333336</v>
      </c>
    </row>
    <row r="289" spans="1:8" x14ac:dyDescent="0.25">
      <c r="A289" s="7">
        <f>DATE(YEAR(m1_crossvalid[[#This Row],[cutoff]]),MONTH(m1_crossvalid[[#This Row],[cutoff]]),DAY(m1_crossvalid[[#This Row],[cutoff]]))</f>
        <v>45930</v>
      </c>
      <c r="B289" s="7">
        <f>DATE(YEAR(m1_crossvalid[[#This Row],[ds]]),MONTH(m1_crossvalid[[#This Row],[ds]]),DAY(m1_crossvalid[[#This Row],[ds]]))</f>
        <v>45939</v>
      </c>
      <c r="C289">
        <v>2108</v>
      </c>
      <c r="D289" s="1">
        <v>45939.333333333336</v>
      </c>
      <c r="E289">
        <v>3670.3303816404923</v>
      </c>
      <c r="F289">
        <v>924.02885097327544</v>
      </c>
      <c r="G289">
        <v>6428.6012770325015</v>
      </c>
      <c r="H289" s="1">
        <v>45930.333333333336</v>
      </c>
    </row>
    <row r="290" spans="1:8" x14ac:dyDescent="0.25">
      <c r="A290" s="7">
        <f>DATE(YEAR(m1_crossvalid[[#This Row],[cutoff]]),MONTH(m1_crossvalid[[#This Row],[cutoff]]),DAY(m1_crossvalid[[#This Row],[cutoff]]))</f>
        <v>45930</v>
      </c>
      <c r="B290" s="7">
        <f>DATE(YEAR(m1_crossvalid[[#This Row],[ds]]),MONTH(m1_crossvalid[[#This Row],[ds]]),DAY(m1_crossvalid[[#This Row],[ds]]))</f>
        <v>45940</v>
      </c>
      <c r="C290">
        <v>2215</v>
      </c>
      <c r="D290" s="1">
        <v>45940.333333333336</v>
      </c>
      <c r="E290">
        <v>3593.9532129010595</v>
      </c>
      <c r="F290">
        <v>821.3296613607115</v>
      </c>
      <c r="G290">
        <v>6101.0576368157444</v>
      </c>
      <c r="H290" s="1">
        <v>45930.333333333336</v>
      </c>
    </row>
    <row r="291" spans="1:8" x14ac:dyDescent="0.25">
      <c r="A291" s="7">
        <f>DATE(YEAR(m1_crossvalid[[#This Row],[cutoff]]),MONTH(m1_crossvalid[[#This Row],[cutoff]]),DAY(m1_crossvalid[[#This Row],[cutoff]]))</f>
        <v>45930</v>
      </c>
      <c r="B291" s="7">
        <f>DATE(YEAR(m1_crossvalid[[#This Row],[ds]]),MONTH(m1_crossvalid[[#This Row],[ds]]),DAY(m1_crossvalid[[#This Row],[ds]]))</f>
        <v>45941</v>
      </c>
      <c r="C291">
        <v>380</v>
      </c>
      <c r="D291" s="1">
        <v>45941.333333333336</v>
      </c>
      <c r="E291">
        <v>1336.717976563983</v>
      </c>
      <c r="F291">
        <v>-1490.6364434974525</v>
      </c>
      <c r="G291">
        <v>4140.9680709908489</v>
      </c>
      <c r="H291" s="1">
        <v>45930.333333333336</v>
      </c>
    </row>
    <row r="292" spans="1:8" x14ac:dyDescent="0.25">
      <c r="A292" s="7">
        <f>DATE(YEAR(m1_crossvalid[[#This Row],[cutoff]]),MONTH(m1_crossvalid[[#This Row],[cutoff]]),DAY(m1_crossvalid[[#This Row],[cutoff]]))</f>
        <v>45930</v>
      </c>
      <c r="B292" s="7">
        <f>DATE(YEAR(m1_crossvalid[[#This Row],[ds]]),MONTH(m1_crossvalid[[#This Row],[ds]]),DAY(m1_crossvalid[[#This Row],[ds]]))</f>
        <v>45942</v>
      </c>
      <c r="C292">
        <v>120</v>
      </c>
      <c r="D292" s="1">
        <v>45942.333333333336</v>
      </c>
      <c r="E292">
        <v>742.65036949322189</v>
      </c>
      <c r="F292">
        <v>-1989.2328837782402</v>
      </c>
      <c r="G292">
        <v>3347.0673183641375</v>
      </c>
      <c r="H292" s="1">
        <v>45930.333333333336</v>
      </c>
    </row>
    <row r="293" spans="1:8" x14ac:dyDescent="0.25">
      <c r="A293" s="7">
        <f>DATE(YEAR(m1_crossvalid[[#This Row],[cutoff]]),MONTH(m1_crossvalid[[#This Row],[cutoff]]),DAY(m1_crossvalid[[#This Row],[cutoff]]))</f>
        <v>45930</v>
      </c>
      <c r="B293" s="7">
        <f>DATE(YEAR(m1_crossvalid[[#This Row],[ds]]),MONTH(m1_crossvalid[[#This Row],[ds]]),DAY(m1_crossvalid[[#This Row],[ds]]))</f>
        <v>45943</v>
      </c>
      <c r="C293">
        <v>2406</v>
      </c>
      <c r="D293" s="1">
        <v>45943.333333333336</v>
      </c>
      <c r="E293">
        <v>3026.6823772305465</v>
      </c>
      <c r="F293">
        <v>373.99541961429441</v>
      </c>
      <c r="G293">
        <v>5795.0495498242071</v>
      </c>
      <c r="H293" s="1">
        <v>45930.333333333336</v>
      </c>
    </row>
    <row r="294" spans="1:8" x14ac:dyDescent="0.25">
      <c r="A294" s="7">
        <f>DATE(YEAR(m1_crossvalid[[#This Row],[cutoff]]),MONTH(m1_crossvalid[[#This Row],[cutoff]]),DAY(m1_crossvalid[[#This Row],[cutoff]]))</f>
        <v>45930</v>
      </c>
      <c r="B294" s="7">
        <f>DATE(YEAR(m1_crossvalid[[#This Row],[ds]]),MONTH(m1_crossvalid[[#This Row],[ds]]),DAY(m1_crossvalid[[#This Row],[ds]]))</f>
        <v>45944</v>
      </c>
      <c r="C294">
        <v>2958</v>
      </c>
      <c r="D294" s="1">
        <v>45944.333333333336</v>
      </c>
      <c r="E294">
        <v>3501.3628575907364</v>
      </c>
      <c r="F294">
        <v>840.13270160250022</v>
      </c>
      <c r="G294">
        <v>6220.9679269717917</v>
      </c>
      <c r="H294" s="1">
        <v>45930.333333333336</v>
      </c>
    </row>
    <row r="295" spans="1:8" x14ac:dyDescent="0.25">
      <c r="A295" s="7">
        <f>DATE(YEAR(m1_crossvalid[[#This Row],[cutoff]]),MONTH(m1_crossvalid[[#This Row],[cutoff]]),DAY(m1_crossvalid[[#This Row],[cutoff]]))</f>
        <v>45930</v>
      </c>
      <c r="B295" s="7">
        <f>DATE(YEAR(m1_crossvalid[[#This Row],[ds]]),MONTH(m1_crossvalid[[#This Row],[ds]]),DAY(m1_crossvalid[[#This Row],[ds]]))</f>
        <v>45945</v>
      </c>
      <c r="C295">
        <v>3074</v>
      </c>
      <c r="D295" s="1">
        <v>45945.333333333336</v>
      </c>
      <c r="E295">
        <v>3489.0042897644448</v>
      </c>
      <c r="F295">
        <v>782.0156360949843</v>
      </c>
      <c r="G295">
        <v>5942.6511674634239</v>
      </c>
      <c r="H295" s="1">
        <v>45930.333333333336</v>
      </c>
    </row>
    <row r="296" spans="1:8" x14ac:dyDescent="0.25">
      <c r="A296" s="7">
        <f>DATE(YEAR(m1_crossvalid[[#This Row],[cutoff]]),MONTH(m1_crossvalid[[#This Row],[cutoff]]),DAY(m1_crossvalid[[#This Row],[cutoff]]))</f>
        <v>45930</v>
      </c>
      <c r="B296" s="7">
        <f>DATE(YEAR(m1_crossvalid[[#This Row],[ds]]),MONTH(m1_crossvalid[[#This Row],[ds]]),DAY(m1_crossvalid[[#This Row],[ds]]))</f>
        <v>45946</v>
      </c>
      <c r="C296">
        <v>3505</v>
      </c>
      <c r="D296" s="1">
        <v>45946.333333333336</v>
      </c>
      <c r="E296">
        <v>3497.4926759584305</v>
      </c>
      <c r="F296">
        <v>584.8252210574509</v>
      </c>
      <c r="G296">
        <v>6108.2574546938413</v>
      </c>
      <c r="H296" s="1">
        <v>45930.333333333336</v>
      </c>
    </row>
    <row r="297" spans="1:8" x14ac:dyDescent="0.25">
      <c r="A297" s="7">
        <f>DATE(YEAR(m1_crossvalid[[#This Row],[cutoff]]),MONTH(m1_crossvalid[[#This Row],[cutoff]]),DAY(m1_crossvalid[[#This Row],[cutoff]]))</f>
        <v>45930</v>
      </c>
      <c r="B297" s="7">
        <f>DATE(YEAR(m1_crossvalid[[#This Row],[ds]]),MONTH(m1_crossvalid[[#This Row],[ds]]),DAY(m1_crossvalid[[#This Row],[ds]]))</f>
        <v>45947</v>
      </c>
      <c r="C297">
        <v>3630</v>
      </c>
      <c r="D297" s="1">
        <v>45947.333333333336</v>
      </c>
      <c r="E297">
        <v>3408.0735164050629</v>
      </c>
      <c r="F297">
        <v>728.13232514275887</v>
      </c>
      <c r="G297">
        <v>6110.893744788309</v>
      </c>
      <c r="H297" s="1">
        <v>45930.333333333336</v>
      </c>
    </row>
    <row r="298" spans="1:8" x14ac:dyDescent="0.25">
      <c r="A298" s="7">
        <f>DATE(YEAR(m1_crossvalid[[#This Row],[cutoff]]),MONTH(m1_crossvalid[[#This Row],[cutoff]]),DAY(m1_crossvalid[[#This Row],[cutoff]]))</f>
        <v>45930</v>
      </c>
      <c r="B298" s="7">
        <f>DATE(YEAR(m1_crossvalid[[#This Row],[ds]]),MONTH(m1_crossvalid[[#This Row],[ds]]),DAY(m1_crossvalid[[#This Row],[ds]]))</f>
        <v>45948</v>
      </c>
      <c r="C298">
        <v>653</v>
      </c>
      <c r="D298" s="1">
        <v>45948.333333333336</v>
      </c>
      <c r="E298">
        <v>1143.1814930522301</v>
      </c>
      <c r="F298">
        <v>-1594.5190256718593</v>
      </c>
      <c r="G298">
        <v>3833.8089337429151</v>
      </c>
      <c r="H298" s="1">
        <v>45930.333333333336</v>
      </c>
    </row>
    <row r="299" spans="1:8" x14ac:dyDescent="0.25">
      <c r="A299" s="7">
        <f>DATE(YEAR(m1_crossvalid[[#This Row],[cutoff]]),MONTH(m1_crossvalid[[#This Row],[cutoff]]),DAY(m1_crossvalid[[#This Row],[cutoff]]))</f>
        <v>45930</v>
      </c>
      <c r="B299" s="7">
        <f>DATE(YEAR(m1_crossvalid[[#This Row],[ds]]),MONTH(m1_crossvalid[[#This Row],[ds]]),DAY(m1_crossvalid[[#This Row],[ds]]))</f>
        <v>45949</v>
      </c>
      <c r="C299">
        <v>180</v>
      </c>
      <c r="D299" s="1">
        <v>45949.333333333336</v>
      </c>
      <c r="E299">
        <v>546.84260071273411</v>
      </c>
      <c r="F299">
        <v>-2223.4979009891913</v>
      </c>
      <c r="G299">
        <v>3148.7231794072727</v>
      </c>
      <c r="H299" s="1">
        <v>45930.333333333336</v>
      </c>
    </row>
    <row r="300" spans="1:8" x14ac:dyDescent="0.25">
      <c r="A300" s="7">
        <f>DATE(YEAR(m1_crossvalid[[#This Row],[cutoff]]),MONTH(m1_crossvalid[[#This Row],[cutoff]]),DAY(m1_crossvalid[[#This Row],[cutoff]]))</f>
        <v>45930</v>
      </c>
      <c r="B300" s="7">
        <f>DATE(YEAR(m1_crossvalid[[#This Row],[ds]]),MONTH(m1_crossvalid[[#This Row],[ds]]),DAY(m1_crossvalid[[#This Row],[ds]]))</f>
        <v>45950</v>
      </c>
      <c r="C300">
        <v>250</v>
      </c>
      <c r="D300" s="1">
        <v>45950.333333333336</v>
      </c>
      <c r="E300">
        <v>2833.8454883875884</v>
      </c>
      <c r="F300">
        <v>203.50827091040563</v>
      </c>
      <c r="G300">
        <v>5516.4997138951348</v>
      </c>
      <c r="H300" s="1">
        <v>45930.333333333336</v>
      </c>
    </row>
    <row r="301" spans="1:8" x14ac:dyDescent="0.25">
      <c r="A301" s="7">
        <f>DATE(YEAR(m1_crossvalid[[#This Row],[cutoff]]),MONTH(m1_crossvalid[[#This Row],[cutoff]]),DAY(m1_crossvalid[[#This Row],[cutoff]]))</f>
        <v>45930</v>
      </c>
      <c r="B301" s="7">
        <f>DATE(YEAR(m1_crossvalid[[#This Row],[ds]]),MONTH(m1_crossvalid[[#This Row],[ds]]),DAY(m1_crossvalid[[#This Row],[ds]]))</f>
        <v>45951</v>
      </c>
      <c r="C301">
        <v>2797</v>
      </c>
      <c r="D301" s="1">
        <v>45951.333333333336</v>
      </c>
      <c r="E301">
        <v>3316.4580386538328</v>
      </c>
      <c r="F301">
        <v>532.34314314691665</v>
      </c>
      <c r="G301">
        <v>5949.5731422891458</v>
      </c>
      <c r="H301" s="1">
        <v>45930.333333333336</v>
      </c>
    </row>
    <row r="302" spans="1:8" x14ac:dyDescent="0.25">
      <c r="A302" s="7">
        <f>DATE(YEAR(m1_crossvalid[[#This Row],[cutoff]]),MONTH(m1_crossvalid[[#This Row],[cutoff]]),DAY(m1_crossvalid[[#This Row],[cutoff]]))</f>
        <v>45930</v>
      </c>
      <c r="B302" s="7">
        <f>DATE(YEAR(m1_crossvalid[[#This Row],[ds]]),MONTH(m1_crossvalid[[#This Row],[ds]]),DAY(m1_crossvalid[[#This Row],[ds]]))</f>
        <v>45952</v>
      </c>
      <c r="C302">
        <v>3644</v>
      </c>
      <c r="D302" s="1">
        <v>45952.333333333336</v>
      </c>
      <c r="E302">
        <v>3316.5838514925977</v>
      </c>
      <c r="F302">
        <v>700.46237255834012</v>
      </c>
      <c r="G302">
        <v>6298.0196341530755</v>
      </c>
      <c r="H302" s="1">
        <v>45930.333333333336</v>
      </c>
    </row>
    <row r="303" spans="1:8" x14ac:dyDescent="0.25">
      <c r="A303" s="7">
        <f>DATE(YEAR(m1_crossvalid[[#This Row],[cutoff]]),MONTH(m1_crossvalid[[#This Row],[cutoff]]),DAY(m1_crossvalid[[#This Row],[cutoff]]))</f>
        <v>45930</v>
      </c>
      <c r="B303" s="7">
        <f>DATE(YEAR(m1_crossvalid[[#This Row],[ds]]),MONTH(m1_crossvalid[[#This Row],[ds]]),DAY(m1_crossvalid[[#This Row],[ds]]))</f>
        <v>45953</v>
      </c>
      <c r="C303">
        <v>4009</v>
      </c>
      <c r="D303" s="1">
        <v>45953.333333333336</v>
      </c>
      <c r="E303">
        <v>3341.5853337972549</v>
      </c>
      <c r="F303">
        <v>614.3733984484893</v>
      </c>
      <c r="G303">
        <v>5956.5429515359447</v>
      </c>
      <c r="H303" s="1">
        <v>45930.333333333336</v>
      </c>
    </row>
    <row r="304" spans="1:8" x14ac:dyDescent="0.25">
      <c r="A304" s="7">
        <f>DATE(YEAR(m1_crossvalid[[#This Row],[cutoff]]),MONTH(m1_crossvalid[[#This Row],[cutoff]]),DAY(m1_crossvalid[[#This Row],[cutoff]]))</f>
        <v>45930</v>
      </c>
      <c r="B304" s="7">
        <f>DATE(YEAR(m1_crossvalid[[#This Row],[ds]]),MONTH(m1_crossvalid[[#This Row],[ds]]),DAY(m1_crossvalid[[#This Row],[ds]]))</f>
        <v>45954</v>
      </c>
      <c r="C304">
        <v>4008</v>
      </c>
      <c r="D304" s="1">
        <v>45954.333333333336</v>
      </c>
      <c r="E304">
        <v>3272.0859338310156</v>
      </c>
      <c r="F304">
        <v>525.75640407748972</v>
      </c>
      <c r="G304">
        <v>5815.9922024566958</v>
      </c>
      <c r="H304" s="1">
        <v>45930.333333333336</v>
      </c>
    </row>
    <row r="305" spans="1:8" x14ac:dyDescent="0.25">
      <c r="A305" s="7">
        <f>DATE(YEAR(m1_crossvalid[[#This Row],[cutoff]]),MONTH(m1_crossvalid[[#This Row],[cutoff]]),DAY(m1_crossvalid[[#This Row],[cutoff]]))</f>
        <v>45930</v>
      </c>
      <c r="B305" s="7">
        <f>DATE(YEAR(m1_crossvalid[[#This Row],[ds]]),MONTH(m1_crossvalid[[#This Row],[ds]]),DAY(m1_crossvalid[[#This Row],[ds]]))</f>
        <v>45955</v>
      </c>
      <c r="C305">
        <v>971</v>
      </c>
      <c r="D305" s="1">
        <v>45955.333333333336</v>
      </c>
      <c r="E305">
        <v>1029.8186894483886</v>
      </c>
      <c r="F305">
        <v>-1561.2224858573741</v>
      </c>
      <c r="G305">
        <v>3578.0945202879134</v>
      </c>
      <c r="H305" s="1">
        <v>45930.333333333336</v>
      </c>
    </row>
    <row r="306" spans="1:8" x14ac:dyDescent="0.25">
      <c r="A306" s="7">
        <f>DATE(YEAR(m1_crossvalid[[#This Row],[cutoff]]),MONTH(m1_crossvalid[[#This Row],[cutoff]]),DAY(m1_crossvalid[[#This Row],[cutoff]]))</f>
        <v>45930</v>
      </c>
      <c r="B306" s="7">
        <f>DATE(YEAR(m1_crossvalid[[#This Row],[ds]]),MONTH(m1_crossvalid[[#This Row],[ds]]),DAY(m1_crossvalid[[#This Row],[ds]]))</f>
        <v>45956</v>
      </c>
      <c r="C306">
        <v>238</v>
      </c>
      <c r="D306" s="1">
        <v>45956.333333333336</v>
      </c>
      <c r="E306">
        <v>458.04929043929428</v>
      </c>
      <c r="F306">
        <v>-2251.4510075068415</v>
      </c>
      <c r="G306">
        <v>2961.0528036949704</v>
      </c>
      <c r="H306" s="1">
        <v>45930.333333333336</v>
      </c>
    </row>
    <row r="307" spans="1:8" x14ac:dyDescent="0.25">
      <c r="A307" s="7">
        <f>DATE(YEAR(m1_crossvalid[[#This Row],[cutoff]]),MONTH(m1_crossvalid[[#This Row],[cutoff]]),DAY(m1_crossvalid[[#This Row],[cutoff]]))</f>
        <v>45930</v>
      </c>
      <c r="B307" s="7">
        <f>DATE(YEAR(m1_crossvalid[[#This Row],[ds]]),MONTH(m1_crossvalid[[#This Row],[ds]]),DAY(m1_crossvalid[[#This Row],[ds]]))</f>
        <v>45957</v>
      </c>
      <c r="C307">
        <v>4219</v>
      </c>
      <c r="D307" s="1">
        <v>45957.333333333336</v>
      </c>
      <c r="E307">
        <v>2770.7698226177122</v>
      </c>
      <c r="F307">
        <v>187.08864957937809</v>
      </c>
      <c r="G307">
        <v>5418.0398259946251</v>
      </c>
      <c r="H307" s="1">
        <v>45930.333333333336</v>
      </c>
    </row>
    <row r="308" spans="1:8" x14ac:dyDescent="0.25">
      <c r="A308" s="7">
        <f>DATE(YEAR(m1_crossvalid[[#This Row],[cutoff]]),MONTH(m1_crossvalid[[#This Row],[cutoff]]),DAY(m1_crossvalid[[#This Row],[cutoff]]))</f>
        <v>45930</v>
      </c>
      <c r="B308" s="7">
        <f>DATE(YEAR(m1_crossvalid[[#This Row],[ds]]),MONTH(m1_crossvalid[[#This Row],[ds]]),DAY(m1_crossvalid[[#This Row],[ds]]))</f>
        <v>45958</v>
      </c>
      <c r="C308">
        <v>5659</v>
      </c>
      <c r="D308" s="1">
        <v>45958.333333333336</v>
      </c>
      <c r="E308">
        <v>3279.4385863717794</v>
      </c>
      <c r="F308">
        <v>453.43708875027949</v>
      </c>
      <c r="G308">
        <v>5892.7510899674808</v>
      </c>
      <c r="H308" s="1">
        <v>45930.333333333336</v>
      </c>
    </row>
    <row r="309" spans="1:8" x14ac:dyDescent="0.25">
      <c r="A309" s="7">
        <f>DATE(YEAR(m1_crossvalid[[#This Row],[cutoff]]),MONTH(m1_crossvalid[[#This Row],[cutoff]]),DAY(m1_crossvalid[[#This Row],[cutoff]]))</f>
        <v>45930</v>
      </c>
      <c r="B309" s="7">
        <f>DATE(YEAR(m1_crossvalid[[#This Row],[ds]]),MONTH(m1_crossvalid[[#This Row],[ds]]),DAY(m1_crossvalid[[#This Row],[ds]]))</f>
        <v>45959</v>
      </c>
      <c r="C309">
        <v>6381</v>
      </c>
      <c r="D309" s="1">
        <v>45959.333333333336</v>
      </c>
      <c r="E309">
        <v>3305.1599986701572</v>
      </c>
      <c r="F309">
        <v>684.55372939601807</v>
      </c>
      <c r="G309">
        <v>6271.1299035426637</v>
      </c>
      <c r="H309" s="1">
        <v>45930.333333333336</v>
      </c>
    </row>
    <row r="310" spans="1:8" x14ac:dyDescent="0.25">
      <c r="A310" s="7">
        <f>DATE(YEAR(m1_crossvalid[[#This Row],[cutoff]]),MONTH(m1_crossvalid[[#This Row],[cutoff]]),DAY(m1_crossvalid[[#This Row],[cutoff]]))</f>
        <v>45930</v>
      </c>
      <c r="B310" s="7">
        <f>DATE(YEAR(m1_crossvalid[[#This Row],[ds]]),MONTH(m1_crossvalid[[#This Row],[ds]]),DAY(m1_crossvalid[[#This Row],[ds]]))</f>
        <v>45960</v>
      </c>
      <c r="C310">
        <v>7936</v>
      </c>
      <c r="D310" s="1">
        <v>45960.333333333336</v>
      </c>
      <c r="E310">
        <v>3354.5306187104748</v>
      </c>
      <c r="F310">
        <v>650.33375827205782</v>
      </c>
      <c r="G310">
        <v>5960.2171647527657</v>
      </c>
      <c r="H310" s="1">
        <v>45930.333333333336</v>
      </c>
    </row>
    <row r="311" spans="1:8" x14ac:dyDescent="0.25">
      <c r="A311" s="7">
        <f>DATE(YEAR(m1_crossvalid[[#This Row],[cutoff]]),MONTH(m1_crossvalid[[#This Row],[cutoff]]),DAY(m1_crossvalid[[#This Row],[cutoff]]))</f>
        <v>45930</v>
      </c>
      <c r="B311" s="7">
        <f>DATE(YEAR(m1_crossvalid[[#This Row],[ds]]),MONTH(m1_crossvalid[[#This Row],[ds]]),DAY(m1_crossvalid[[#This Row],[ds]]))</f>
        <v>45961</v>
      </c>
      <c r="C311">
        <v>13386</v>
      </c>
      <c r="D311" s="1">
        <v>45961.333333333336</v>
      </c>
      <c r="E311">
        <v>3307.4631902858596</v>
      </c>
      <c r="F311">
        <v>734.08205125356744</v>
      </c>
      <c r="G311">
        <v>5880.3561167834832</v>
      </c>
      <c r="H311" s="1">
        <v>45930.333333333336</v>
      </c>
    </row>
    <row r="312" spans="1:8" x14ac:dyDescent="0.25">
      <c r="A312" s="7">
        <f>DATE(YEAR(m1_crossvalid[[#This Row],[cutoff]]),MONTH(m1_crossvalid[[#This Row],[cutoff]]),DAY(m1_crossvalid[[#This Row],[cutoff]]))</f>
        <v>45961</v>
      </c>
      <c r="B312" s="7">
        <f>DATE(YEAR(m1_crossvalid[[#This Row],[ds]]),MONTH(m1_crossvalid[[#This Row],[ds]]),DAY(m1_crossvalid[[#This Row],[ds]]))</f>
        <v>45962</v>
      </c>
      <c r="C312">
        <v>104</v>
      </c>
      <c r="D312" s="1">
        <v>45962.333333333336</v>
      </c>
      <c r="E312">
        <v>1465.9216443185142</v>
      </c>
      <c r="F312">
        <v>-1335.0859154571872</v>
      </c>
      <c r="G312">
        <v>4147.1297643969729</v>
      </c>
      <c r="H312" s="1">
        <v>45961.333333333336</v>
      </c>
    </row>
    <row r="313" spans="1:8" x14ac:dyDescent="0.25">
      <c r="A313" s="7">
        <f>DATE(YEAR(m1_crossvalid[[#This Row],[cutoff]]),MONTH(m1_crossvalid[[#This Row],[cutoff]]),DAY(m1_crossvalid[[#This Row],[cutoff]]))</f>
        <v>45961</v>
      </c>
      <c r="B313" s="7">
        <f>DATE(YEAR(m1_crossvalid[[#This Row],[ds]]),MONTH(m1_crossvalid[[#This Row],[ds]]),DAY(m1_crossvalid[[#This Row],[ds]]))</f>
        <v>45963</v>
      </c>
      <c r="C313">
        <v>32</v>
      </c>
      <c r="D313" s="1">
        <v>45963.333333333336</v>
      </c>
      <c r="E313">
        <v>905.78041277989632</v>
      </c>
      <c r="F313">
        <v>-1860.803183677278</v>
      </c>
      <c r="G313">
        <v>3815.7309833771556</v>
      </c>
      <c r="H313" s="1">
        <v>45961.333333333336</v>
      </c>
    </row>
    <row r="314" spans="1:8" x14ac:dyDescent="0.25">
      <c r="A314" s="7">
        <f>DATE(YEAR(m1_crossvalid[[#This Row],[cutoff]]),MONTH(m1_crossvalid[[#This Row],[cutoff]]),DAY(m1_crossvalid[[#This Row],[cutoff]]))</f>
        <v>45961</v>
      </c>
      <c r="B314" s="7">
        <f>DATE(YEAR(m1_crossvalid[[#This Row],[ds]]),MONTH(m1_crossvalid[[#This Row],[ds]]),DAY(m1_crossvalid[[#This Row],[ds]]))</f>
        <v>45964</v>
      </c>
      <c r="C314">
        <v>607</v>
      </c>
      <c r="D314" s="1">
        <v>45964.333333333336</v>
      </c>
      <c r="E314">
        <v>3211.4136873449893</v>
      </c>
      <c r="F314">
        <v>596.73822074724546</v>
      </c>
      <c r="G314">
        <v>5793.5101796399522</v>
      </c>
      <c r="H314" s="1">
        <v>45961.333333333336</v>
      </c>
    </row>
    <row r="315" spans="1:8" x14ac:dyDescent="0.25">
      <c r="A315" s="7">
        <f>DATE(YEAR(m1_crossvalid[[#This Row],[cutoff]]),MONTH(m1_crossvalid[[#This Row],[cutoff]]),DAY(m1_crossvalid[[#This Row],[cutoff]]))</f>
        <v>45961</v>
      </c>
      <c r="B315" s="7">
        <f>DATE(YEAR(m1_crossvalid[[#This Row],[ds]]),MONTH(m1_crossvalid[[#This Row],[ds]]),DAY(m1_crossvalid[[#This Row],[ds]]))</f>
        <v>45965</v>
      </c>
      <c r="C315">
        <v>821</v>
      </c>
      <c r="D315" s="1">
        <v>45965.333333333336</v>
      </c>
      <c r="E315">
        <v>3726.4576469473895</v>
      </c>
      <c r="F315">
        <v>952.6730417925861</v>
      </c>
      <c r="G315">
        <v>6387.8302667920689</v>
      </c>
      <c r="H315" s="1">
        <v>45961.333333333336</v>
      </c>
    </row>
    <row r="316" spans="1:8" x14ac:dyDescent="0.25">
      <c r="A316" s="7">
        <f>DATE(YEAR(m1_crossvalid[[#This Row],[cutoff]]),MONTH(m1_crossvalid[[#This Row],[cutoff]]),DAY(m1_crossvalid[[#This Row],[cutoff]]))</f>
        <v>45961</v>
      </c>
      <c r="B316" s="7">
        <f>DATE(YEAR(m1_crossvalid[[#This Row],[ds]]),MONTH(m1_crossvalid[[#This Row],[ds]]),DAY(m1_crossvalid[[#This Row],[ds]]))</f>
        <v>45966</v>
      </c>
      <c r="C316">
        <v>1032</v>
      </c>
      <c r="D316" s="1">
        <v>45966.333333333336</v>
      </c>
      <c r="E316">
        <v>3730.9126627524984</v>
      </c>
      <c r="F316">
        <v>1050.0665680337836</v>
      </c>
      <c r="G316">
        <v>6357.6727869577144</v>
      </c>
      <c r="H316" s="1">
        <v>45961.333333333336</v>
      </c>
    </row>
    <row r="317" spans="1:8" x14ac:dyDescent="0.25">
      <c r="A317" s="7">
        <f>DATE(YEAR(m1_crossvalid[[#This Row],[cutoff]]),MONTH(m1_crossvalid[[#This Row],[cutoff]]),DAY(m1_crossvalid[[#This Row],[cutoff]]))</f>
        <v>45961</v>
      </c>
      <c r="B317" s="7">
        <f>DATE(YEAR(m1_crossvalid[[#This Row],[ds]]),MONTH(m1_crossvalid[[#This Row],[ds]]),DAY(m1_crossvalid[[#This Row],[ds]]))</f>
        <v>45967</v>
      </c>
      <c r="C317">
        <v>1396</v>
      </c>
      <c r="D317" s="1">
        <v>45967.333333333336</v>
      </c>
      <c r="E317">
        <v>3770.1213620578405</v>
      </c>
      <c r="F317">
        <v>920.07475305688422</v>
      </c>
      <c r="G317">
        <v>6371.2931247651286</v>
      </c>
      <c r="H317" s="1">
        <v>45961.333333333336</v>
      </c>
    </row>
    <row r="318" spans="1:8" x14ac:dyDescent="0.25">
      <c r="A318" s="7">
        <f>DATE(YEAR(m1_crossvalid[[#This Row],[cutoff]]),MONTH(m1_crossvalid[[#This Row],[cutoff]]),DAY(m1_crossvalid[[#This Row],[cutoff]]))</f>
        <v>45961</v>
      </c>
      <c r="B318" s="7">
        <f>DATE(YEAR(m1_crossvalid[[#This Row],[ds]]),MONTH(m1_crossvalid[[#This Row],[ds]]),DAY(m1_crossvalid[[#This Row],[ds]]))</f>
        <v>45968</v>
      </c>
      <c r="C318">
        <v>1612</v>
      </c>
      <c r="D318" s="1">
        <v>45968.333333333336</v>
      </c>
      <c r="E318">
        <v>3722.2851400312752</v>
      </c>
      <c r="F318">
        <v>1230.0166795478524</v>
      </c>
      <c r="G318">
        <v>6428.8800792772363</v>
      </c>
      <c r="H318" s="1">
        <v>45961.333333333336</v>
      </c>
    </row>
    <row r="319" spans="1:8" x14ac:dyDescent="0.25">
      <c r="A319" s="7">
        <f>DATE(YEAR(m1_crossvalid[[#This Row],[cutoff]]),MONTH(m1_crossvalid[[#This Row],[cutoff]]),DAY(m1_crossvalid[[#This Row],[cutoff]]))</f>
        <v>45961</v>
      </c>
      <c r="B319" s="7">
        <f>DATE(YEAR(m1_crossvalid[[#This Row],[ds]]),MONTH(m1_crossvalid[[#This Row],[ds]]),DAY(m1_crossvalid[[#This Row],[ds]]))</f>
        <v>45969</v>
      </c>
      <c r="C319">
        <v>206</v>
      </c>
      <c r="D319" s="1">
        <v>45969.333333333336</v>
      </c>
      <c r="E319">
        <v>1416.5085685630213</v>
      </c>
      <c r="F319">
        <v>-1357.1335955690388</v>
      </c>
      <c r="G319">
        <v>3856.3556769304892</v>
      </c>
      <c r="H319" s="1">
        <v>45961.333333333336</v>
      </c>
    </row>
    <row r="320" spans="1:8" x14ac:dyDescent="0.25">
      <c r="A320" s="7">
        <f>DATE(YEAR(m1_crossvalid[[#This Row],[cutoff]]),MONTH(m1_crossvalid[[#This Row],[cutoff]]),DAY(m1_crossvalid[[#This Row],[cutoff]]))</f>
        <v>45961</v>
      </c>
      <c r="B320" s="7">
        <f>DATE(YEAR(m1_crossvalid[[#This Row],[ds]]),MONTH(m1_crossvalid[[#This Row],[ds]]),DAY(m1_crossvalid[[#This Row],[ds]]))</f>
        <v>45970</v>
      </c>
      <c r="C320">
        <v>95</v>
      </c>
      <c r="D320" s="1">
        <v>45970.333333333336</v>
      </c>
      <c r="E320">
        <v>819.47822274724081</v>
      </c>
      <c r="F320">
        <v>-1859.115233112316</v>
      </c>
      <c r="G320">
        <v>3512.3791979341249</v>
      </c>
      <c r="H320" s="1">
        <v>45961.333333333336</v>
      </c>
    </row>
    <row r="321" spans="1:8" x14ac:dyDescent="0.25">
      <c r="A321" s="7">
        <f>DATE(YEAR(m1_crossvalid[[#This Row],[cutoff]]),MONTH(m1_crossvalid[[#This Row],[cutoff]]),DAY(m1_crossvalid[[#This Row],[cutoff]]))</f>
        <v>45961</v>
      </c>
      <c r="B321" s="7">
        <f>DATE(YEAR(m1_crossvalid[[#This Row],[ds]]),MONTH(m1_crossvalid[[#This Row],[ds]]),DAY(m1_crossvalid[[#This Row],[ds]]))</f>
        <v>45971</v>
      </c>
      <c r="C321">
        <v>1552</v>
      </c>
      <c r="D321" s="1">
        <v>45971.333333333336</v>
      </c>
      <c r="E321">
        <v>3089.3418788274016</v>
      </c>
      <c r="F321">
        <v>506.90514322551195</v>
      </c>
      <c r="G321">
        <v>5711.7538051831716</v>
      </c>
      <c r="H321" s="1">
        <v>45961.333333333336</v>
      </c>
    </row>
    <row r="322" spans="1:8" x14ac:dyDescent="0.25">
      <c r="A322" s="7">
        <f>DATE(YEAR(m1_crossvalid[[#This Row],[cutoff]]),MONTH(m1_crossvalid[[#This Row],[cutoff]]),DAY(m1_crossvalid[[#This Row],[cutoff]]))</f>
        <v>45961</v>
      </c>
      <c r="B322" s="7">
        <f>DATE(YEAR(m1_crossvalid[[#This Row],[ds]]),MONTH(m1_crossvalid[[#This Row],[ds]]),DAY(m1_crossvalid[[#This Row],[ds]]))</f>
        <v>45972</v>
      </c>
      <c r="C322">
        <v>1937</v>
      </c>
      <c r="D322" s="1">
        <v>45972.333333333336</v>
      </c>
      <c r="E322">
        <v>3570.6076759402199</v>
      </c>
      <c r="F322">
        <v>824.27208976029067</v>
      </c>
      <c r="G322">
        <v>6255.542919077373</v>
      </c>
      <c r="H322" s="1">
        <v>45961.333333333336</v>
      </c>
    </row>
    <row r="323" spans="1:8" x14ac:dyDescent="0.25">
      <c r="A323" s="7">
        <f>DATE(YEAR(m1_crossvalid[[#This Row],[cutoff]]),MONTH(m1_crossvalid[[#This Row],[cutoff]]),DAY(m1_crossvalid[[#This Row],[cutoff]]))</f>
        <v>45961</v>
      </c>
      <c r="B323" s="7">
        <f>DATE(YEAR(m1_crossvalid[[#This Row],[ds]]),MONTH(m1_crossvalid[[#This Row],[ds]]),DAY(m1_crossvalid[[#This Row],[ds]]))</f>
        <v>45973</v>
      </c>
      <c r="C323">
        <v>2198</v>
      </c>
      <c r="D323" s="1">
        <v>45973.333333333336</v>
      </c>
      <c r="E323">
        <v>3544.1222896688323</v>
      </c>
      <c r="F323">
        <v>674.4854077847059</v>
      </c>
      <c r="G323">
        <v>6073.0447457716109</v>
      </c>
      <c r="H323" s="1">
        <v>45961.333333333336</v>
      </c>
    </row>
    <row r="324" spans="1:8" x14ac:dyDescent="0.25">
      <c r="A324" s="7">
        <f>DATE(YEAR(m1_crossvalid[[#This Row],[cutoff]]),MONTH(m1_crossvalid[[#This Row],[cutoff]]),DAY(m1_crossvalid[[#This Row],[cutoff]]))</f>
        <v>45961</v>
      </c>
      <c r="B324" s="7">
        <f>DATE(YEAR(m1_crossvalid[[#This Row],[ds]]),MONTH(m1_crossvalid[[#This Row],[ds]]),DAY(m1_crossvalid[[#This Row],[ds]]))</f>
        <v>45974</v>
      </c>
      <c r="C324">
        <v>2401</v>
      </c>
      <c r="D324" s="1">
        <v>45974.333333333336</v>
      </c>
      <c r="E324">
        <v>3556.0265331329574</v>
      </c>
      <c r="F324">
        <v>820.62680309942198</v>
      </c>
      <c r="G324">
        <v>6289.1290553879307</v>
      </c>
      <c r="H324" s="1">
        <v>45961.333333333336</v>
      </c>
    </row>
    <row r="325" spans="1:8" x14ac:dyDescent="0.25">
      <c r="A325" s="7">
        <f>DATE(YEAR(m1_crossvalid[[#This Row],[cutoff]]),MONTH(m1_crossvalid[[#This Row],[cutoff]]),DAY(m1_crossvalid[[#This Row],[cutoff]]))</f>
        <v>45961</v>
      </c>
      <c r="B325" s="7">
        <f>DATE(YEAR(m1_crossvalid[[#This Row],[ds]]),MONTH(m1_crossvalid[[#This Row],[ds]]),DAY(m1_crossvalid[[#This Row],[ds]]))</f>
        <v>45975</v>
      </c>
      <c r="C325">
        <v>2547</v>
      </c>
      <c r="D325" s="1">
        <v>45975.333333333336</v>
      </c>
      <c r="E325">
        <v>3485.2502894382906</v>
      </c>
      <c r="F325">
        <v>758.87926264080443</v>
      </c>
      <c r="G325">
        <v>6126.1679313385075</v>
      </c>
      <c r="H325" s="1">
        <v>45961.333333333336</v>
      </c>
    </row>
    <row r="326" spans="1:8" x14ac:dyDescent="0.25">
      <c r="A326" s="7">
        <f>DATE(YEAR(m1_crossvalid[[#This Row],[cutoff]]),MONTH(m1_crossvalid[[#This Row],[cutoff]]),DAY(m1_crossvalid[[#This Row],[cutoff]]))</f>
        <v>45961</v>
      </c>
      <c r="B326" s="7">
        <f>DATE(YEAR(m1_crossvalid[[#This Row],[ds]]),MONTH(m1_crossvalid[[#This Row],[ds]]),DAY(m1_crossvalid[[#This Row],[ds]]))</f>
        <v>45976</v>
      </c>
      <c r="C326">
        <v>773</v>
      </c>
      <c r="D326" s="1">
        <v>45976.333333333336</v>
      </c>
      <c r="E326">
        <v>1161.5368109542583</v>
      </c>
      <c r="F326">
        <v>-1306.9173482177739</v>
      </c>
      <c r="G326">
        <v>3900.2162410179171</v>
      </c>
      <c r="H326" s="1">
        <v>45961.333333333336</v>
      </c>
    </row>
    <row r="327" spans="1:8" x14ac:dyDescent="0.25">
      <c r="A327" s="7">
        <f>DATE(YEAR(m1_crossvalid[[#This Row],[cutoff]]),MONTH(m1_crossvalid[[#This Row],[cutoff]]),DAY(m1_crossvalid[[#This Row],[cutoff]]))</f>
        <v>45961</v>
      </c>
      <c r="B327" s="7">
        <f>DATE(YEAR(m1_crossvalid[[#This Row],[ds]]),MONTH(m1_crossvalid[[#This Row],[ds]]),DAY(m1_crossvalid[[#This Row],[ds]]))</f>
        <v>45977</v>
      </c>
      <c r="C327">
        <v>113</v>
      </c>
      <c r="D327" s="1">
        <v>45977.333333333336</v>
      </c>
      <c r="E327">
        <v>552.10345834535565</v>
      </c>
      <c r="F327">
        <v>-1872.4434572979244</v>
      </c>
      <c r="G327">
        <v>3210.0006953912371</v>
      </c>
      <c r="H327" s="1">
        <v>45961.333333333336</v>
      </c>
    </row>
    <row r="328" spans="1:8" x14ac:dyDescent="0.25">
      <c r="A328" s="7">
        <f>DATE(YEAR(m1_crossvalid[[#This Row],[cutoff]]),MONTH(m1_crossvalid[[#This Row],[cutoff]]),DAY(m1_crossvalid[[#This Row],[cutoff]]))</f>
        <v>45961</v>
      </c>
      <c r="B328" s="7">
        <f>DATE(YEAR(m1_crossvalid[[#This Row],[ds]]),MONTH(m1_crossvalid[[#This Row],[ds]]),DAY(m1_crossvalid[[#This Row],[ds]]))</f>
        <v>45978</v>
      </c>
      <c r="C328">
        <v>2849</v>
      </c>
      <c r="D328" s="1">
        <v>45978.333333333336</v>
      </c>
      <c r="E328">
        <v>2815.5053363805087</v>
      </c>
      <c r="F328">
        <v>348.4799276051034</v>
      </c>
      <c r="G328">
        <v>5659.73195374432</v>
      </c>
      <c r="H328" s="1">
        <v>45961.333333333336</v>
      </c>
    </row>
    <row r="329" spans="1:8" x14ac:dyDescent="0.25">
      <c r="A329" s="7">
        <f>DATE(YEAR(m1_crossvalid[[#This Row],[cutoff]]),MONTH(m1_crossvalid[[#This Row],[cutoff]]),DAY(m1_crossvalid[[#This Row],[cutoff]]))</f>
        <v>45961</v>
      </c>
      <c r="B329" s="7">
        <f>DATE(YEAR(m1_crossvalid[[#This Row],[ds]]),MONTH(m1_crossvalid[[#This Row],[ds]]),DAY(m1_crossvalid[[#This Row],[ds]]))</f>
        <v>45979</v>
      </c>
      <c r="C329">
        <v>3351</v>
      </c>
      <c r="D329" s="1">
        <v>45979.333333333336</v>
      </c>
      <c r="E329">
        <v>3296.5218589456508</v>
      </c>
      <c r="F329">
        <v>504.05983528705787</v>
      </c>
      <c r="G329">
        <v>5902.065650339995</v>
      </c>
      <c r="H329" s="1">
        <v>45961.333333333336</v>
      </c>
    </row>
    <row r="330" spans="1:8" x14ac:dyDescent="0.25">
      <c r="A330" s="7">
        <f>DATE(YEAR(m1_crossvalid[[#This Row],[cutoff]]),MONTH(m1_crossvalid[[#This Row],[cutoff]]),DAY(m1_crossvalid[[#This Row],[cutoff]]))</f>
        <v>45961</v>
      </c>
      <c r="B330" s="7">
        <f>DATE(YEAR(m1_crossvalid[[#This Row],[ds]]),MONTH(m1_crossvalid[[#This Row],[ds]]),DAY(m1_crossvalid[[#This Row],[ds]]))</f>
        <v>45980</v>
      </c>
      <c r="C330">
        <v>3248</v>
      </c>
      <c r="D330" s="1">
        <v>45980.333333333336</v>
      </c>
      <c r="E330">
        <v>3276.1256559425524</v>
      </c>
      <c r="F330">
        <v>707.74034366571425</v>
      </c>
      <c r="G330">
        <v>5916.286441478107</v>
      </c>
      <c r="H330" s="1">
        <v>45961.333333333336</v>
      </c>
    </row>
    <row r="331" spans="1:8" x14ac:dyDescent="0.25">
      <c r="A331" s="7">
        <f>DATE(YEAR(m1_crossvalid[[#This Row],[cutoff]]),MONTH(m1_crossvalid[[#This Row],[cutoff]]),DAY(m1_crossvalid[[#This Row],[cutoff]]))</f>
        <v>45961</v>
      </c>
      <c r="B331" s="7">
        <f>DATE(YEAR(m1_crossvalid[[#This Row],[ds]]),MONTH(m1_crossvalid[[#This Row],[ds]]),DAY(m1_crossvalid[[#This Row],[ds]]))</f>
        <v>45981</v>
      </c>
      <c r="C331">
        <v>3581</v>
      </c>
      <c r="D331" s="1">
        <v>45981.333333333336</v>
      </c>
      <c r="E331">
        <v>3300.4325166080225</v>
      </c>
      <c r="F331">
        <v>522.82504730688447</v>
      </c>
      <c r="G331">
        <v>5873.4054229025414</v>
      </c>
      <c r="H331" s="1">
        <v>45961.333333333336</v>
      </c>
    </row>
    <row r="332" spans="1:8" x14ac:dyDescent="0.25">
      <c r="A332" s="7">
        <f>DATE(YEAR(m1_crossvalid[[#This Row],[cutoff]]),MONTH(m1_crossvalid[[#This Row],[cutoff]]),DAY(m1_crossvalid[[#This Row],[cutoff]]))</f>
        <v>45961</v>
      </c>
      <c r="B332" s="7">
        <f>DATE(YEAR(m1_crossvalid[[#This Row],[ds]]),MONTH(m1_crossvalid[[#This Row],[ds]]),DAY(m1_crossvalid[[#This Row],[ds]]))</f>
        <v>45982</v>
      </c>
      <c r="C332">
        <v>3622</v>
      </c>
      <c r="D332" s="1">
        <v>45982.333333333336</v>
      </c>
      <c r="E332">
        <v>3248.1944581508924</v>
      </c>
      <c r="F332">
        <v>786.41113499397204</v>
      </c>
      <c r="G332">
        <v>5836.6304283858881</v>
      </c>
      <c r="H332" s="1">
        <v>45961.333333333336</v>
      </c>
    </row>
    <row r="333" spans="1:8" x14ac:dyDescent="0.25">
      <c r="A333" s="7">
        <f>DATE(YEAR(m1_crossvalid[[#This Row],[cutoff]]),MONTH(m1_crossvalid[[#This Row],[cutoff]]),DAY(m1_crossvalid[[#This Row],[cutoff]]))</f>
        <v>45961</v>
      </c>
      <c r="B333" s="7">
        <f>DATE(YEAR(m1_crossvalid[[#This Row],[ds]]),MONTH(m1_crossvalid[[#This Row],[ds]]),DAY(m1_crossvalid[[#This Row],[ds]]))</f>
        <v>45983</v>
      </c>
      <c r="C333">
        <v>783</v>
      </c>
      <c r="D333" s="1">
        <v>45983.333333333336</v>
      </c>
      <c r="E333">
        <v>948.82604080659689</v>
      </c>
      <c r="F333">
        <v>-1762.6642936115925</v>
      </c>
      <c r="G333">
        <v>3702.2850210670108</v>
      </c>
      <c r="H333" s="1">
        <v>45961.333333333336</v>
      </c>
    </row>
    <row r="334" spans="1:8" x14ac:dyDescent="0.25">
      <c r="A334" s="7">
        <f>DATE(YEAR(m1_crossvalid[[#This Row],[cutoff]]),MONTH(m1_crossvalid[[#This Row],[cutoff]]),DAY(m1_crossvalid[[#This Row],[cutoff]]))</f>
        <v>45961</v>
      </c>
      <c r="B334" s="7">
        <f>DATE(YEAR(m1_crossvalid[[#This Row],[ds]]),MONTH(m1_crossvalid[[#This Row],[ds]]),DAY(m1_crossvalid[[#This Row],[ds]]))</f>
        <v>45984</v>
      </c>
      <c r="C334">
        <v>188</v>
      </c>
      <c r="D334" s="1">
        <v>45984.333333333336</v>
      </c>
      <c r="E334">
        <v>369.07098570586868</v>
      </c>
      <c r="F334">
        <v>-2285.4816004310446</v>
      </c>
      <c r="G334">
        <v>2846.0065440108374</v>
      </c>
      <c r="H334" s="1">
        <v>45961.333333333336</v>
      </c>
    </row>
    <row r="335" spans="1:8" x14ac:dyDescent="0.25">
      <c r="A335" s="7">
        <f>DATE(YEAR(m1_crossvalid[[#This Row],[cutoff]]),MONTH(m1_crossvalid[[#This Row],[cutoff]]),DAY(m1_crossvalid[[#This Row],[cutoff]]))</f>
        <v>45961</v>
      </c>
      <c r="B335" s="7">
        <f>DATE(YEAR(m1_crossvalid[[#This Row],[ds]]),MONTH(m1_crossvalid[[#This Row],[ds]]),DAY(m1_crossvalid[[#This Row],[ds]]))</f>
        <v>45985</v>
      </c>
      <c r="C335">
        <v>3515</v>
      </c>
      <c r="D335" s="1">
        <v>45985.333333333336</v>
      </c>
      <c r="E335">
        <v>2666.8754336885236</v>
      </c>
      <c r="F335">
        <v>-43.580846209078338</v>
      </c>
      <c r="G335">
        <v>5239.8267137005205</v>
      </c>
      <c r="H335" s="1">
        <v>45961.333333333336</v>
      </c>
    </row>
    <row r="336" spans="1:8" x14ac:dyDescent="0.25">
      <c r="A336" s="7">
        <f>DATE(YEAR(m1_crossvalid[[#This Row],[cutoff]]),MONTH(m1_crossvalid[[#This Row],[cutoff]]),DAY(m1_crossvalid[[#This Row],[cutoff]]))</f>
        <v>45961</v>
      </c>
      <c r="B336" s="7">
        <f>DATE(YEAR(m1_crossvalid[[#This Row],[ds]]),MONTH(m1_crossvalid[[#This Row],[ds]]),DAY(m1_crossvalid[[#This Row],[ds]]))</f>
        <v>45986</v>
      </c>
      <c r="C336">
        <v>4824</v>
      </c>
      <c r="D336" s="1">
        <v>45986.333333333336</v>
      </c>
      <c r="E336">
        <v>3186.2876591708837</v>
      </c>
      <c r="F336">
        <v>668.40303093855948</v>
      </c>
      <c r="G336">
        <v>5772.4361907737075</v>
      </c>
      <c r="H336" s="1">
        <v>45961.333333333336</v>
      </c>
    </row>
    <row r="337" spans="1:8" x14ac:dyDescent="0.25">
      <c r="A337" s="7">
        <f>DATE(YEAR(m1_crossvalid[[#This Row],[cutoff]]),MONTH(m1_crossvalid[[#This Row],[cutoff]]),DAY(m1_crossvalid[[#This Row],[cutoff]]))</f>
        <v>45961</v>
      </c>
      <c r="B337" s="7">
        <f>DATE(YEAR(m1_crossvalid[[#This Row],[ds]]),MONTH(m1_crossvalid[[#This Row],[ds]]),DAY(m1_crossvalid[[#This Row],[ds]]))</f>
        <v>45987</v>
      </c>
      <c r="C337">
        <v>5463</v>
      </c>
      <c r="D337" s="1">
        <v>45987.333333333336</v>
      </c>
      <c r="E337">
        <v>3207.4433387959139</v>
      </c>
      <c r="F337">
        <v>531.54834016196605</v>
      </c>
      <c r="G337">
        <v>5866.0187581231758</v>
      </c>
      <c r="H337" s="1">
        <v>45961.333333333336</v>
      </c>
    </row>
    <row r="338" spans="1:8" x14ac:dyDescent="0.25">
      <c r="A338" s="7">
        <f>DATE(YEAR(m1_crossvalid[[#This Row],[cutoff]]),MONTH(m1_crossvalid[[#This Row],[cutoff]]),DAY(m1_crossvalid[[#This Row],[cutoff]]))</f>
        <v>45961</v>
      </c>
      <c r="B338" s="7">
        <f>DATE(YEAR(m1_crossvalid[[#This Row],[ds]]),MONTH(m1_crossvalid[[#This Row],[ds]]),DAY(m1_crossvalid[[#This Row],[ds]]))</f>
        <v>45988</v>
      </c>
      <c r="C338">
        <v>7236</v>
      </c>
      <c r="D338" s="1">
        <v>45988.333333333336</v>
      </c>
      <c r="E338">
        <v>3275.5346708153934</v>
      </c>
      <c r="F338">
        <v>619.17471218736523</v>
      </c>
      <c r="G338">
        <v>5984.7839462068978</v>
      </c>
      <c r="H338" s="1">
        <v>45961.333333333336</v>
      </c>
    </row>
    <row r="339" spans="1:8" x14ac:dyDescent="0.25">
      <c r="A339" s="7">
        <f>DATE(YEAR(m1_crossvalid[[#This Row],[cutoff]]),MONTH(m1_crossvalid[[#This Row],[cutoff]]),DAY(m1_crossvalid[[#This Row],[cutoff]]))</f>
        <v>45961</v>
      </c>
      <c r="B339" s="7">
        <f>DATE(YEAR(m1_crossvalid[[#This Row],[ds]]),MONTH(m1_crossvalid[[#This Row],[ds]]),DAY(m1_crossvalid[[#This Row],[ds]]))</f>
        <v>45989</v>
      </c>
      <c r="C339">
        <v>10013</v>
      </c>
      <c r="D339" s="1">
        <v>45989.333333333336</v>
      </c>
      <c r="E339">
        <v>3268.324958941248</v>
      </c>
      <c r="F339">
        <v>741.48896318619768</v>
      </c>
      <c r="G339">
        <v>5985.0834954419843</v>
      </c>
      <c r="H339" s="1">
        <v>45961.333333333336</v>
      </c>
    </row>
    <row r="340" spans="1:8" x14ac:dyDescent="0.25">
      <c r="A340" s="7">
        <f>DATE(YEAR(m1_crossvalid[[#This Row],[cutoff]]),MONTH(m1_crossvalid[[#This Row],[cutoff]]),DAY(m1_crossvalid[[#This Row],[cutoff]]))</f>
        <v>45961</v>
      </c>
      <c r="B340" s="7">
        <f>DATE(YEAR(m1_crossvalid[[#This Row],[ds]]),MONTH(m1_crossvalid[[#This Row],[ds]]),DAY(m1_crossvalid[[#This Row],[ds]]))</f>
        <v>45990</v>
      </c>
      <c r="C340">
        <v>8210</v>
      </c>
      <c r="D340" s="1">
        <v>45990.333333333336</v>
      </c>
      <c r="E340">
        <v>1014.198243559146</v>
      </c>
      <c r="F340">
        <v>-1892.3169024305309</v>
      </c>
      <c r="G340">
        <v>3489.7054646913707</v>
      </c>
      <c r="H340" s="1">
        <v>45961.333333333336</v>
      </c>
    </row>
    <row r="341" spans="1:8" x14ac:dyDescent="0.25">
      <c r="A341" s="7">
        <f>DATE(YEAR(m1_crossvalid[[#This Row],[cutoff]]),MONTH(m1_crossvalid[[#This Row],[cutoff]]),DAY(m1_crossvalid[[#This Row],[cutoff]]))</f>
        <v>45961</v>
      </c>
      <c r="B341" s="7">
        <f>DATE(YEAR(m1_crossvalid[[#This Row],[ds]]),MONTH(m1_crossvalid[[#This Row],[ds]]),DAY(m1_crossvalid[[#This Row],[ds]]))</f>
        <v>45991</v>
      </c>
      <c r="C341">
        <v>3567</v>
      </c>
      <c r="D341" s="1">
        <v>45991.333333333336</v>
      </c>
      <c r="E341">
        <v>478.85044873943798</v>
      </c>
      <c r="F341">
        <v>-2347.4861510829514</v>
      </c>
      <c r="G341">
        <v>3063.3744442835041</v>
      </c>
      <c r="H341" s="1">
        <v>45961.333333333336</v>
      </c>
    </row>
    <row r="342" spans="1:8" x14ac:dyDescent="0.25">
      <c r="A342" s="7">
        <f>DATE(YEAR(m1_crossvalid[[#This Row],[cutoff]]),MONTH(m1_crossvalid[[#This Row],[cutoff]]),DAY(m1_crossvalid[[#This Row],[cutoff]]))</f>
        <v>45961</v>
      </c>
      <c r="B342" s="7">
        <f>DATE(YEAR(m1_crossvalid[[#This Row],[ds]]),MONTH(m1_crossvalid[[#This Row],[ds]]),DAY(m1_crossvalid[[#This Row],[ds]]))</f>
        <v>45992</v>
      </c>
      <c r="C342">
        <v>659</v>
      </c>
      <c r="D342" s="1">
        <v>45992.333333333336</v>
      </c>
      <c r="E342">
        <v>2819.1877617273544</v>
      </c>
      <c r="F342">
        <v>47.264929862485253</v>
      </c>
      <c r="G342">
        <v>5516.6539165367603</v>
      </c>
      <c r="H342" s="1">
        <v>45961.333333333336</v>
      </c>
    </row>
    <row r="343" spans="1:8" x14ac:dyDescent="0.25">
      <c r="A343" s="7">
        <f>DATE(YEAR(m1_crossvalid[[#This Row],[cutoff]]),MONTH(m1_crossvalid[[#This Row],[cutoff]]),DAY(m1_crossvalid[[#This Row],[cutoff]]))</f>
        <v>45991</v>
      </c>
      <c r="B343" s="7">
        <f>DATE(YEAR(m1_crossvalid[[#This Row],[ds]]),MONTH(m1_crossvalid[[#This Row],[ds]]),DAY(m1_crossvalid[[#This Row],[ds]]))</f>
        <v>45992</v>
      </c>
      <c r="C343">
        <v>659</v>
      </c>
      <c r="D343" s="1">
        <v>45992.333333333336</v>
      </c>
      <c r="E343">
        <v>3273.6111128375401</v>
      </c>
      <c r="F343">
        <v>378.57708731401277</v>
      </c>
      <c r="G343">
        <v>5940.9720584628321</v>
      </c>
      <c r="H343" s="1">
        <v>45991.333333333336</v>
      </c>
    </row>
    <row r="344" spans="1:8" x14ac:dyDescent="0.25">
      <c r="A344" s="7">
        <f>DATE(YEAR(m1_crossvalid[[#This Row],[cutoff]]),MONTH(m1_crossvalid[[#This Row],[cutoff]]),DAY(m1_crossvalid[[#This Row],[cutoff]]))</f>
        <v>45991</v>
      </c>
      <c r="B344" s="7">
        <f>DATE(YEAR(m1_crossvalid[[#This Row],[ds]]),MONTH(m1_crossvalid[[#This Row],[ds]]),DAY(m1_crossvalid[[#This Row],[ds]]))</f>
        <v>45993</v>
      </c>
      <c r="C344">
        <v>963</v>
      </c>
      <c r="D344" s="1">
        <v>45993.333333333336</v>
      </c>
      <c r="E344">
        <v>3824.6707823985898</v>
      </c>
      <c r="F344">
        <v>1098.2193015787236</v>
      </c>
      <c r="G344">
        <v>6811.6159022464772</v>
      </c>
      <c r="H344" s="1">
        <v>45991.333333333336</v>
      </c>
    </row>
    <row r="345" spans="1:8" x14ac:dyDescent="0.25">
      <c r="A345" s="7">
        <f>DATE(YEAR(m1_crossvalid[[#This Row],[cutoff]]),MONTH(m1_crossvalid[[#This Row],[cutoff]]),DAY(m1_crossvalid[[#This Row],[cutoff]]))</f>
        <v>45991</v>
      </c>
      <c r="B345" s="7">
        <f>DATE(YEAR(m1_crossvalid[[#This Row],[ds]]),MONTH(m1_crossvalid[[#This Row],[ds]]),DAY(m1_crossvalid[[#This Row],[ds]]))</f>
        <v>45994</v>
      </c>
      <c r="C345">
        <v>1248</v>
      </c>
      <c r="D345" s="1">
        <v>45994.333333333336</v>
      </c>
      <c r="E345">
        <v>3870.454436651065</v>
      </c>
      <c r="F345">
        <v>1106.5081279069921</v>
      </c>
      <c r="G345">
        <v>6553.34638358754</v>
      </c>
      <c r="H345" s="1">
        <v>45991.333333333336</v>
      </c>
    </row>
    <row r="346" spans="1:8" x14ac:dyDescent="0.25">
      <c r="A346" s="7">
        <f>DATE(YEAR(m1_crossvalid[[#This Row],[cutoff]]),MONTH(m1_crossvalid[[#This Row],[cutoff]]),DAY(m1_crossvalid[[#This Row],[cutoff]]))</f>
        <v>45991</v>
      </c>
      <c r="B346" s="7">
        <f>DATE(YEAR(m1_crossvalid[[#This Row],[ds]]),MONTH(m1_crossvalid[[#This Row],[ds]]),DAY(m1_crossvalid[[#This Row],[ds]]))</f>
        <v>45995</v>
      </c>
      <c r="C346">
        <v>1462</v>
      </c>
      <c r="D346" s="1">
        <v>45995.333333333336</v>
      </c>
      <c r="E346">
        <v>3960.527195859424</v>
      </c>
      <c r="F346">
        <v>1381.4213676941213</v>
      </c>
      <c r="G346">
        <v>6699.173197823583</v>
      </c>
      <c r="H346" s="1">
        <v>45991.333333333336</v>
      </c>
    </row>
    <row r="347" spans="1:8" x14ac:dyDescent="0.25">
      <c r="A347" s="7">
        <f>DATE(YEAR(m1_crossvalid[[#This Row],[cutoff]]),MONTH(m1_crossvalid[[#This Row],[cutoff]]),DAY(m1_crossvalid[[#This Row],[cutoff]]))</f>
        <v>45991</v>
      </c>
      <c r="B347" s="7">
        <f>DATE(YEAR(m1_crossvalid[[#This Row],[ds]]),MONTH(m1_crossvalid[[#This Row],[ds]]),DAY(m1_crossvalid[[#This Row],[ds]]))</f>
        <v>45996</v>
      </c>
      <c r="C347">
        <v>1441</v>
      </c>
      <c r="D347" s="1">
        <v>45996.333333333336</v>
      </c>
      <c r="E347">
        <v>3968.7145677755593</v>
      </c>
      <c r="F347">
        <v>1446.9621356835253</v>
      </c>
      <c r="G347">
        <v>6710.8527353215031</v>
      </c>
      <c r="H347" s="1">
        <v>45991.333333333336</v>
      </c>
    </row>
    <row r="348" spans="1:8" x14ac:dyDescent="0.25">
      <c r="A348" s="7">
        <f>DATE(YEAR(m1_crossvalid[[#This Row],[cutoff]]),MONTH(m1_crossvalid[[#This Row],[cutoff]]),DAY(m1_crossvalid[[#This Row],[cutoff]]))</f>
        <v>45991</v>
      </c>
      <c r="B348" s="7">
        <f>DATE(YEAR(m1_crossvalid[[#This Row],[ds]]),MONTH(m1_crossvalid[[#This Row],[ds]]),DAY(m1_crossvalid[[#This Row],[ds]]))</f>
        <v>45997</v>
      </c>
      <c r="C348">
        <v>380</v>
      </c>
      <c r="D348" s="1">
        <v>45997.333333333336</v>
      </c>
      <c r="E348">
        <v>1704.0743326077124</v>
      </c>
      <c r="F348">
        <v>-725.4429036252892</v>
      </c>
      <c r="G348">
        <v>4534.1724707629537</v>
      </c>
      <c r="H348" s="1">
        <v>45991.333333333336</v>
      </c>
    </row>
    <row r="349" spans="1:8" x14ac:dyDescent="0.25">
      <c r="A349" s="7">
        <f>DATE(YEAR(m1_crossvalid[[#This Row],[cutoff]]),MONTH(m1_crossvalid[[#This Row],[cutoff]]),DAY(m1_crossvalid[[#This Row],[cutoff]]))</f>
        <v>45991</v>
      </c>
      <c r="B349" s="7">
        <f>DATE(YEAR(m1_crossvalid[[#This Row],[ds]]),MONTH(m1_crossvalid[[#This Row],[ds]]),DAY(m1_crossvalid[[#This Row],[ds]]))</f>
        <v>45998</v>
      </c>
      <c r="C349">
        <v>59</v>
      </c>
      <c r="D349" s="1">
        <v>45998.333333333336</v>
      </c>
      <c r="E349">
        <v>1129.354563504796</v>
      </c>
      <c r="F349">
        <v>-1512.9729701160338</v>
      </c>
      <c r="G349">
        <v>3774.6147783582965</v>
      </c>
      <c r="H349" s="1">
        <v>45991.333333333336</v>
      </c>
    </row>
    <row r="350" spans="1:8" x14ac:dyDescent="0.25">
      <c r="A350" s="7">
        <f>DATE(YEAR(m1_crossvalid[[#This Row],[cutoff]]),MONTH(m1_crossvalid[[#This Row],[cutoff]]),DAY(m1_crossvalid[[#This Row],[cutoff]]))</f>
        <v>45991</v>
      </c>
      <c r="B350" s="7">
        <f>DATE(YEAR(m1_crossvalid[[#This Row],[ds]]),MONTH(m1_crossvalid[[#This Row],[ds]]),DAY(m1_crossvalid[[#This Row],[ds]]))</f>
        <v>45999</v>
      </c>
      <c r="C350">
        <v>1698</v>
      </c>
      <c r="D350" s="1">
        <v>45999.333333333336</v>
      </c>
      <c r="E350">
        <v>3420.8312234728119</v>
      </c>
      <c r="F350">
        <v>787.25640059964826</v>
      </c>
      <c r="G350">
        <v>6300.4556831224972</v>
      </c>
      <c r="H350" s="1">
        <v>45991.333333333336</v>
      </c>
    </row>
    <row r="351" spans="1:8" x14ac:dyDescent="0.25">
      <c r="A351" s="7">
        <f>DATE(YEAR(m1_crossvalid[[#This Row],[cutoff]]),MONTH(m1_crossvalid[[#This Row],[cutoff]]),DAY(m1_crossvalid[[#This Row],[cutoff]]))</f>
        <v>45991</v>
      </c>
      <c r="B351" s="7">
        <f>DATE(YEAR(m1_crossvalid[[#This Row],[ds]]),MONTH(m1_crossvalid[[#This Row],[ds]]),DAY(m1_crossvalid[[#This Row],[ds]]))</f>
        <v>46000</v>
      </c>
      <c r="C351">
        <v>1924</v>
      </c>
      <c r="D351" s="1">
        <v>46000.333333333336</v>
      </c>
      <c r="E351">
        <v>3941.4714852585566</v>
      </c>
      <c r="F351">
        <v>1087.0317156637768</v>
      </c>
      <c r="G351">
        <v>6512.7733734782723</v>
      </c>
      <c r="H351" s="1">
        <v>45991.333333333336</v>
      </c>
    </row>
    <row r="352" spans="1:8" x14ac:dyDescent="0.25">
      <c r="A352" s="7">
        <f>DATE(YEAR(m1_crossvalid[[#This Row],[cutoff]]),MONTH(m1_crossvalid[[#This Row],[cutoff]]),DAY(m1_crossvalid[[#This Row],[cutoff]]))</f>
        <v>45991</v>
      </c>
      <c r="B352" s="7">
        <f>DATE(YEAR(m1_crossvalid[[#This Row],[ds]]),MONTH(m1_crossvalid[[#This Row],[ds]]),DAY(m1_crossvalid[[#This Row],[ds]]))</f>
        <v>46001</v>
      </c>
      <c r="C352">
        <v>2624</v>
      </c>
      <c r="D352" s="1">
        <v>46001.333333333336</v>
      </c>
      <c r="E352">
        <v>3954.4657740311213</v>
      </c>
      <c r="F352">
        <v>1252.6476301433506</v>
      </c>
      <c r="G352">
        <v>6847.5058097068004</v>
      </c>
      <c r="H352" s="1">
        <v>45991.333333333336</v>
      </c>
    </row>
    <row r="353" spans="1:8" x14ac:dyDescent="0.25">
      <c r="A353" s="7">
        <f>DATE(YEAR(m1_crossvalid[[#This Row],[cutoff]]),MONTH(m1_crossvalid[[#This Row],[cutoff]]),DAY(m1_crossvalid[[#This Row],[cutoff]]))</f>
        <v>45991</v>
      </c>
      <c r="B353" s="7">
        <f>DATE(YEAR(m1_crossvalid[[#This Row],[ds]]),MONTH(m1_crossvalid[[#This Row],[ds]]),DAY(m1_crossvalid[[#This Row],[ds]]))</f>
        <v>46002</v>
      </c>
      <c r="C353">
        <v>1853</v>
      </c>
      <c r="D353" s="1">
        <v>46002.333333333336</v>
      </c>
      <c r="E353">
        <v>4009.8553005572066</v>
      </c>
      <c r="F353">
        <v>1243.7805389753012</v>
      </c>
      <c r="G353">
        <v>6505.6918639176129</v>
      </c>
      <c r="H353" s="1">
        <v>45991.333333333336</v>
      </c>
    </row>
    <row r="354" spans="1:8" x14ac:dyDescent="0.25">
      <c r="A354" s="7">
        <f>DATE(YEAR(m1_crossvalid[[#This Row],[cutoff]]),MONTH(m1_crossvalid[[#This Row],[cutoff]]),DAY(m1_crossvalid[[#This Row],[cutoff]]))</f>
        <v>45991</v>
      </c>
      <c r="B354" s="7">
        <f>DATE(YEAR(m1_crossvalid[[#This Row],[ds]]),MONTH(m1_crossvalid[[#This Row],[ds]]),DAY(m1_crossvalid[[#This Row],[ds]]))</f>
        <v>46003</v>
      </c>
      <c r="C354">
        <v>3010</v>
      </c>
      <c r="D354" s="1">
        <v>46003.333333333336</v>
      </c>
      <c r="E354">
        <v>3981.9783664262727</v>
      </c>
      <c r="F354">
        <v>1368.4012022225577</v>
      </c>
      <c r="G354">
        <v>6720.5791319576492</v>
      </c>
      <c r="H354" s="1">
        <v>45991.333333333336</v>
      </c>
    </row>
    <row r="355" spans="1:8" x14ac:dyDescent="0.25">
      <c r="A355" s="7">
        <f>DATE(YEAR(m1_crossvalid[[#This Row],[cutoff]]),MONTH(m1_crossvalid[[#This Row],[cutoff]]),DAY(m1_crossvalid[[#This Row],[cutoff]]))</f>
        <v>45991</v>
      </c>
      <c r="B355" s="7">
        <f>DATE(YEAR(m1_crossvalid[[#This Row],[ds]]),MONTH(m1_crossvalid[[#This Row],[ds]]),DAY(m1_crossvalid[[#This Row],[ds]]))</f>
        <v>46004</v>
      </c>
      <c r="C355">
        <v>552</v>
      </c>
      <c r="D355" s="1">
        <v>46004.333333333336</v>
      </c>
      <c r="E355">
        <v>1680.4321352326203</v>
      </c>
      <c r="F355">
        <v>-977.29747340701817</v>
      </c>
      <c r="G355">
        <v>4272.5780213298613</v>
      </c>
      <c r="H355" s="1">
        <v>45991.333333333336</v>
      </c>
    </row>
    <row r="356" spans="1:8" x14ac:dyDescent="0.25">
      <c r="A356" s="7">
        <f>DATE(YEAR(m1_crossvalid[[#This Row],[cutoff]]),MONTH(m1_crossvalid[[#This Row],[cutoff]]),DAY(m1_crossvalid[[#This Row],[cutoff]]))</f>
        <v>45991</v>
      </c>
      <c r="B356" s="7">
        <f>DATE(YEAR(m1_crossvalid[[#This Row],[ds]]),MONTH(m1_crossvalid[[#This Row],[ds]]),DAY(m1_crossvalid[[#This Row],[ds]]))</f>
        <v>46005</v>
      </c>
      <c r="C356">
        <v>162</v>
      </c>
      <c r="D356" s="1">
        <v>46005.333333333336</v>
      </c>
      <c r="E356">
        <v>1068.5199444522189</v>
      </c>
      <c r="F356">
        <v>-1660.9224271519754</v>
      </c>
      <c r="G356">
        <v>3710.3873635914956</v>
      </c>
      <c r="H356" s="1">
        <v>45991.333333333336</v>
      </c>
    </row>
    <row r="357" spans="1:8" x14ac:dyDescent="0.25">
      <c r="A357" s="7">
        <f>DATE(YEAR(m1_crossvalid[[#This Row],[cutoff]]),MONTH(m1_crossvalid[[#This Row],[cutoff]]),DAY(m1_crossvalid[[#This Row],[cutoff]]))</f>
        <v>45991</v>
      </c>
      <c r="B357" s="7">
        <f>DATE(YEAR(m1_crossvalid[[#This Row],[ds]]),MONTH(m1_crossvalid[[#This Row],[ds]]),DAY(m1_crossvalid[[#This Row],[ds]]))</f>
        <v>46006</v>
      </c>
      <c r="C357">
        <v>2685</v>
      </c>
      <c r="D357" s="1">
        <v>46006.333333333336</v>
      </c>
      <c r="E357">
        <v>3323.0778442757191</v>
      </c>
      <c r="F357">
        <v>698.15747704412843</v>
      </c>
      <c r="G357">
        <v>6012.3228033326532</v>
      </c>
      <c r="H357" s="1">
        <v>45991.333333333336</v>
      </c>
    </row>
    <row r="358" spans="1:8" x14ac:dyDescent="0.25">
      <c r="A358" s="7">
        <f>DATE(YEAR(m1_crossvalid[[#This Row],[cutoff]]),MONTH(m1_crossvalid[[#This Row],[cutoff]]),DAY(m1_crossvalid[[#This Row],[cutoff]]))</f>
        <v>45991</v>
      </c>
      <c r="B358" s="7">
        <f>DATE(YEAR(m1_crossvalid[[#This Row],[ds]]),MONTH(m1_crossvalid[[#This Row],[ds]]),DAY(m1_crossvalid[[#This Row],[ds]]))</f>
        <v>46007</v>
      </c>
      <c r="C358">
        <v>3397</v>
      </c>
      <c r="D358" s="1">
        <v>46007.333333333336</v>
      </c>
      <c r="E358">
        <v>3807.6267641123218</v>
      </c>
      <c r="F358">
        <v>1129.304327912891</v>
      </c>
      <c r="G358">
        <v>6612.2603485384134</v>
      </c>
      <c r="H358" s="1">
        <v>45991.333333333336</v>
      </c>
    </row>
    <row r="359" spans="1:8" x14ac:dyDescent="0.25">
      <c r="A359" s="7">
        <f>DATE(YEAR(m1_crossvalid[[#This Row],[cutoff]]),MONTH(m1_crossvalid[[#This Row],[cutoff]]),DAY(m1_crossvalid[[#This Row],[cutoff]]))</f>
        <v>45991</v>
      </c>
      <c r="B359" s="7">
        <f>DATE(YEAR(m1_crossvalid[[#This Row],[ds]]),MONTH(m1_crossvalid[[#This Row],[ds]]),DAY(m1_crossvalid[[#This Row],[ds]]))</f>
        <v>46008</v>
      </c>
      <c r="C359">
        <v>4029</v>
      </c>
      <c r="D359" s="1">
        <v>46008.333333333336</v>
      </c>
      <c r="E359">
        <v>3785.8935630708784</v>
      </c>
      <c r="F359">
        <v>1173.8199233276782</v>
      </c>
      <c r="G359">
        <v>6571.7228144212331</v>
      </c>
      <c r="H359" s="1">
        <v>45991.333333333336</v>
      </c>
    </row>
    <row r="360" spans="1:8" x14ac:dyDescent="0.25">
      <c r="A360" s="7">
        <f>DATE(YEAR(m1_crossvalid[[#This Row],[cutoff]]),MONTH(m1_crossvalid[[#This Row],[cutoff]]),DAY(m1_crossvalid[[#This Row],[cutoff]]))</f>
        <v>45991</v>
      </c>
      <c r="B360" s="7">
        <f>DATE(YEAR(m1_crossvalid[[#This Row],[ds]]),MONTH(m1_crossvalid[[#This Row],[ds]]),DAY(m1_crossvalid[[#This Row],[ds]]))</f>
        <v>46009</v>
      </c>
      <c r="C360">
        <v>3874</v>
      </c>
      <c r="D360" s="1">
        <v>46009.333333333336</v>
      </c>
      <c r="E360">
        <v>3808.4279846179143</v>
      </c>
      <c r="F360">
        <v>1087.060347664549</v>
      </c>
      <c r="G360">
        <v>6494.4487291583355</v>
      </c>
      <c r="H360" s="1">
        <v>45991.333333333336</v>
      </c>
    </row>
    <row r="361" spans="1:8" x14ac:dyDescent="0.25">
      <c r="A361" s="7">
        <f>DATE(YEAR(m1_crossvalid[[#This Row],[cutoff]]),MONTH(m1_crossvalid[[#This Row],[cutoff]]),DAY(m1_crossvalid[[#This Row],[cutoff]]))</f>
        <v>45991</v>
      </c>
      <c r="B361" s="7">
        <f>DATE(YEAR(m1_crossvalid[[#This Row],[ds]]),MONTH(m1_crossvalid[[#This Row],[ds]]),DAY(m1_crossvalid[[#This Row],[ds]]))</f>
        <v>46010</v>
      </c>
      <c r="C361">
        <v>4261</v>
      </c>
      <c r="D361" s="1">
        <v>46010.333333333336</v>
      </c>
      <c r="E361">
        <v>3750.039039144749</v>
      </c>
      <c r="F361">
        <v>1240.4737391002132</v>
      </c>
      <c r="G361">
        <v>6303.3005638919185</v>
      </c>
      <c r="H361" s="1">
        <v>45991.333333333336</v>
      </c>
    </row>
    <row r="362" spans="1:8" x14ac:dyDescent="0.25">
      <c r="A362" s="7">
        <f>DATE(YEAR(m1_crossvalid[[#This Row],[cutoff]]),MONTH(m1_crossvalid[[#This Row],[cutoff]]),DAY(m1_crossvalid[[#This Row],[cutoff]]))</f>
        <v>45991</v>
      </c>
      <c r="B362" s="7">
        <f>DATE(YEAR(m1_crossvalid[[#This Row],[ds]]),MONTH(m1_crossvalid[[#This Row],[ds]]),DAY(m1_crossvalid[[#This Row],[ds]]))</f>
        <v>46011</v>
      </c>
      <c r="C362">
        <v>999</v>
      </c>
      <c r="D362" s="1">
        <v>46011.333333333336</v>
      </c>
      <c r="E362">
        <v>1420.7477341513704</v>
      </c>
      <c r="F362">
        <v>-1426.0634347434896</v>
      </c>
      <c r="G362">
        <v>4083.908237324054</v>
      </c>
      <c r="H362" s="1">
        <v>45991.333333333336</v>
      </c>
    </row>
    <row r="363" spans="1:8" x14ac:dyDescent="0.25">
      <c r="A363" s="7">
        <f>DATE(YEAR(m1_crossvalid[[#This Row],[cutoff]]),MONTH(m1_crossvalid[[#This Row],[cutoff]]),DAY(m1_crossvalid[[#This Row],[cutoff]]))</f>
        <v>45991</v>
      </c>
      <c r="B363" s="7">
        <f>DATE(YEAR(m1_crossvalid[[#This Row],[ds]]),MONTH(m1_crossvalid[[#This Row],[ds]]),DAY(m1_crossvalid[[#This Row],[ds]]))</f>
        <v>46012</v>
      </c>
      <c r="C363">
        <v>251</v>
      </c>
      <c r="D363" s="1">
        <v>46012.333333333336</v>
      </c>
      <c r="E363">
        <v>784.22643052724857</v>
      </c>
      <c r="F363">
        <v>-1936.5302685190052</v>
      </c>
      <c r="G363">
        <v>3610.4451454575892</v>
      </c>
      <c r="H363" s="1">
        <v>45991.333333333336</v>
      </c>
    </row>
    <row r="364" spans="1:8" x14ac:dyDescent="0.25">
      <c r="A364" s="7">
        <f>DATE(YEAR(m1_crossvalid[[#This Row],[cutoff]]),MONTH(m1_crossvalid[[#This Row],[cutoff]]),DAY(m1_crossvalid[[#This Row],[cutoff]]))</f>
        <v>45991</v>
      </c>
      <c r="B364" s="7">
        <f>DATE(YEAR(m1_crossvalid[[#This Row],[ds]]),MONTH(m1_crossvalid[[#This Row],[ds]]),DAY(m1_crossvalid[[#This Row],[ds]]))</f>
        <v>46013</v>
      </c>
      <c r="C364">
        <v>4791</v>
      </c>
      <c r="D364" s="1">
        <v>46013.333333333336</v>
      </c>
      <c r="E364">
        <v>3017.6186881001663</v>
      </c>
      <c r="F364">
        <v>271.39859227419589</v>
      </c>
      <c r="G364">
        <v>5738.4403147613702</v>
      </c>
      <c r="H364" s="1">
        <v>45991.333333333336</v>
      </c>
    </row>
    <row r="365" spans="1:8" x14ac:dyDescent="0.25">
      <c r="A365" s="7">
        <f>DATE(YEAR(m1_crossvalid[[#This Row],[cutoff]]),MONTH(m1_crossvalid[[#This Row],[cutoff]]),DAY(m1_crossvalid[[#This Row],[cutoff]]))</f>
        <v>45991</v>
      </c>
      <c r="B365" s="7">
        <f>DATE(YEAR(m1_crossvalid[[#This Row],[ds]]),MONTH(m1_crossvalid[[#This Row],[ds]]),DAY(m1_crossvalid[[#This Row],[ds]]))</f>
        <v>46014</v>
      </c>
      <c r="C365">
        <v>5802</v>
      </c>
      <c r="D365" s="1">
        <v>46014.333333333336</v>
      </c>
      <c r="E365">
        <v>3484.6861464698259</v>
      </c>
      <c r="F365">
        <v>765.96203610758937</v>
      </c>
      <c r="G365">
        <v>6221.3320207680545</v>
      </c>
      <c r="H365" s="1">
        <v>45991.333333333336</v>
      </c>
    </row>
    <row r="366" spans="1:8" x14ac:dyDescent="0.25">
      <c r="A366" s="7">
        <f>DATE(YEAR(m1_crossvalid[[#This Row],[cutoff]]),MONTH(m1_crossvalid[[#This Row],[cutoff]]),DAY(m1_crossvalid[[#This Row],[cutoff]]))</f>
        <v>45991</v>
      </c>
      <c r="B366" s="7">
        <f>DATE(YEAR(m1_crossvalid[[#This Row],[ds]]),MONTH(m1_crossvalid[[#This Row],[ds]]),DAY(m1_crossvalid[[#This Row],[ds]]))</f>
        <v>46015</v>
      </c>
      <c r="C366">
        <v>6117</v>
      </c>
      <c r="D366" s="1">
        <v>46015.333333333336</v>
      </c>
      <c r="E366">
        <v>3449.3258082631419</v>
      </c>
      <c r="F366">
        <v>866.87348202635314</v>
      </c>
      <c r="G366">
        <v>6220.1735405546797</v>
      </c>
      <c r="H366" s="1">
        <v>45991.333333333336</v>
      </c>
    </row>
    <row r="367" spans="1:8" x14ac:dyDescent="0.25">
      <c r="A367" s="7">
        <f>DATE(YEAR(m1_crossvalid[[#This Row],[cutoff]]),MONTH(m1_crossvalid[[#This Row],[cutoff]]),DAY(m1_crossvalid[[#This Row],[cutoff]]))</f>
        <v>45991</v>
      </c>
      <c r="B367" s="7">
        <f>DATE(YEAR(m1_crossvalid[[#This Row],[ds]]),MONTH(m1_crossvalid[[#This Row],[ds]]),DAY(m1_crossvalid[[#This Row],[ds]]))</f>
        <v>46016</v>
      </c>
      <c r="C367">
        <v>400</v>
      </c>
      <c r="D367" s="1">
        <v>46016.333333333336</v>
      </c>
      <c r="E367">
        <v>3462.1848179618551</v>
      </c>
      <c r="F367">
        <v>606.90386839617599</v>
      </c>
      <c r="G367">
        <v>6170.3834801552912</v>
      </c>
      <c r="H367" s="1">
        <v>45991.333333333336</v>
      </c>
    </row>
    <row r="368" spans="1:8" x14ac:dyDescent="0.25">
      <c r="A368" s="7">
        <f>DATE(YEAR(m1_crossvalid[[#This Row],[cutoff]]),MONTH(m1_crossvalid[[#This Row],[cutoff]]),DAY(m1_crossvalid[[#This Row],[cutoff]]))</f>
        <v>45991</v>
      </c>
      <c r="B368" s="7">
        <f>DATE(YEAR(m1_crossvalid[[#This Row],[ds]]),MONTH(m1_crossvalid[[#This Row],[ds]]),DAY(m1_crossvalid[[#This Row],[ds]]))</f>
        <v>46017</v>
      </c>
      <c r="C368">
        <v>6559</v>
      </c>
      <c r="D368" s="1">
        <v>46017.333333333336</v>
      </c>
      <c r="E368">
        <v>3398.0962943463483</v>
      </c>
      <c r="F368">
        <v>618.52186560110658</v>
      </c>
      <c r="G368">
        <v>6250.2676287084714</v>
      </c>
      <c r="H368" s="1">
        <v>45991.333333333336</v>
      </c>
    </row>
    <row r="369" spans="1:8" x14ac:dyDescent="0.25">
      <c r="A369" s="7">
        <f>DATE(YEAR(m1_crossvalid[[#This Row],[cutoff]]),MONTH(m1_crossvalid[[#This Row],[cutoff]]),DAY(m1_crossvalid[[#This Row],[cutoff]]))</f>
        <v>45991</v>
      </c>
      <c r="B369" s="7">
        <f>DATE(YEAR(m1_crossvalid[[#This Row],[ds]]),MONTH(m1_crossvalid[[#This Row],[ds]]),DAY(m1_crossvalid[[#This Row],[ds]]))</f>
        <v>46018</v>
      </c>
      <c r="C369">
        <v>1928</v>
      </c>
      <c r="D369" s="1">
        <v>46018.333333333336</v>
      </c>
      <c r="E369">
        <v>1067.0331306026601</v>
      </c>
      <c r="F369">
        <v>-1626.0262945413228</v>
      </c>
      <c r="G369">
        <v>3899.3027285376293</v>
      </c>
      <c r="H369" s="1">
        <v>45991.333333333336</v>
      </c>
    </row>
    <row r="370" spans="1:8" x14ac:dyDescent="0.25">
      <c r="A370" s="7">
        <f>DATE(YEAR(m1_crossvalid[[#This Row],[cutoff]]),MONTH(m1_crossvalid[[#This Row],[cutoff]]),DAY(m1_crossvalid[[#This Row],[cutoff]]))</f>
        <v>45991</v>
      </c>
      <c r="B370" s="7">
        <f>DATE(YEAR(m1_crossvalid[[#This Row],[ds]]),MONTH(m1_crossvalid[[#This Row],[ds]]),DAY(m1_crossvalid[[#This Row],[ds]]))</f>
        <v>46019</v>
      </c>
      <c r="C370">
        <v>428</v>
      </c>
      <c r="D370" s="1">
        <v>46019.333333333336</v>
      </c>
      <c r="E370">
        <v>432.54999596607968</v>
      </c>
      <c r="F370">
        <v>-2326.4701705025568</v>
      </c>
      <c r="G370">
        <v>3038.9654418018604</v>
      </c>
      <c r="H370" s="1">
        <v>45991.333333333336</v>
      </c>
    </row>
    <row r="371" spans="1:8" x14ac:dyDescent="0.25">
      <c r="A371" s="7">
        <f>DATE(YEAR(m1_crossvalid[[#This Row],[cutoff]]),MONTH(m1_crossvalid[[#This Row],[cutoff]]),DAY(m1_crossvalid[[#This Row],[cutoff]]))</f>
        <v>45991</v>
      </c>
      <c r="B371" s="7">
        <f>DATE(YEAR(m1_crossvalid[[#This Row],[ds]]),MONTH(m1_crossvalid[[#This Row],[ds]]),DAY(m1_crossvalid[[#This Row],[ds]]))</f>
        <v>46020</v>
      </c>
      <c r="C371">
        <v>7441</v>
      </c>
      <c r="D371" s="1">
        <v>46020.333333333336</v>
      </c>
      <c r="E371">
        <v>2671.6073192175327</v>
      </c>
      <c r="F371">
        <v>76.577647068204286</v>
      </c>
      <c r="G371">
        <v>5361.0095290274448</v>
      </c>
      <c r="H371" s="1">
        <v>45991.333333333336</v>
      </c>
    </row>
    <row r="372" spans="1:8" x14ac:dyDescent="0.25">
      <c r="A372" s="7">
        <f>DATE(YEAR(m1_crossvalid[[#This Row],[cutoff]]),MONTH(m1_crossvalid[[#This Row],[cutoff]]),DAY(m1_crossvalid[[#This Row],[cutoff]]))</f>
        <v>45991</v>
      </c>
      <c r="B372" s="7">
        <f>DATE(YEAR(m1_crossvalid[[#This Row],[ds]]),MONTH(m1_crossvalid[[#This Row],[ds]]),DAY(m1_crossvalid[[#This Row],[ds]]))</f>
        <v>46021</v>
      </c>
      <c r="C372">
        <v>10603</v>
      </c>
      <c r="D372" s="1">
        <v>46021.333333333336</v>
      </c>
      <c r="E372">
        <v>3147.7236823324733</v>
      </c>
      <c r="F372">
        <v>438.75004337836674</v>
      </c>
      <c r="G372">
        <v>6054.3265970851207</v>
      </c>
      <c r="H372" s="1">
        <v>45991.333333333336</v>
      </c>
    </row>
    <row r="373" spans="1:8" x14ac:dyDescent="0.25">
      <c r="A373" s="7">
        <f>DATE(YEAR(m1_crossvalid[[#This Row],[cutoff]]),MONTH(m1_crossvalid[[#This Row],[cutoff]]),DAY(m1_crossvalid[[#This Row],[cutoff]]))</f>
        <v>45991</v>
      </c>
      <c r="B373" s="7">
        <f>DATE(YEAR(m1_crossvalid[[#This Row],[ds]]),MONTH(m1_crossvalid[[#This Row],[ds]]),DAY(m1_crossvalid[[#This Row],[ds]]))</f>
        <v>46022</v>
      </c>
      <c r="C373">
        <v>15370</v>
      </c>
      <c r="D373" s="1">
        <v>46022.333333333336</v>
      </c>
      <c r="E373">
        <v>3124.499841040365</v>
      </c>
      <c r="F373">
        <v>330.74390374315703</v>
      </c>
      <c r="G373">
        <v>5653.5670015925862</v>
      </c>
      <c r="H373" s="1">
        <v>45991.333333333336</v>
      </c>
    </row>
    <row r="374" spans="1:8" x14ac:dyDescent="0.25">
      <c r="A374" s="7">
        <f>DATE(YEAR(m1_crossvalid[[#This Row],[cutoff]]),MONTH(m1_crossvalid[[#This Row],[cutoff]]),DAY(m1_crossvalid[[#This Row],[cutoff]]))</f>
        <v>46022</v>
      </c>
      <c r="B374" s="7">
        <f>DATE(YEAR(m1_crossvalid[[#This Row],[ds]]),MONTH(m1_crossvalid[[#This Row],[ds]]),DAY(m1_crossvalid[[#This Row],[ds]]))</f>
        <v>46023</v>
      </c>
      <c r="C374">
        <v>2584</v>
      </c>
      <c r="D374" s="1">
        <v>46023.333333333336</v>
      </c>
      <c r="E374">
        <v>3633.2621354243361</v>
      </c>
      <c r="F374">
        <v>1003.8033436903739</v>
      </c>
      <c r="G374">
        <v>6394.1642821228716</v>
      </c>
      <c r="H374" s="1">
        <v>46022.333333333336</v>
      </c>
    </row>
    <row r="375" spans="1:8" x14ac:dyDescent="0.25">
      <c r="A375" s="7">
        <f>DATE(YEAR(m1_crossvalid[[#This Row],[cutoff]]),MONTH(m1_crossvalid[[#This Row],[cutoff]]),DAY(m1_crossvalid[[#This Row],[cutoff]]))</f>
        <v>46022</v>
      </c>
      <c r="B375" s="7">
        <f>DATE(YEAR(m1_crossvalid[[#This Row],[ds]]),MONTH(m1_crossvalid[[#This Row],[ds]]),DAY(m1_crossvalid[[#This Row],[ds]]))</f>
        <v>46024</v>
      </c>
      <c r="C375">
        <v>1536</v>
      </c>
      <c r="D375" s="1">
        <v>46024.333333333336</v>
      </c>
      <c r="E375">
        <v>3609.006752963161</v>
      </c>
      <c r="F375">
        <v>847.3647022980947</v>
      </c>
      <c r="G375">
        <v>6266.947609122255</v>
      </c>
      <c r="H375" s="1">
        <v>46022.333333333336</v>
      </c>
    </row>
    <row r="376" spans="1:8" x14ac:dyDescent="0.25">
      <c r="A376" s="7">
        <f>DATE(YEAR(m1_crossvalid[[#This Row],[cutoff]]),MONTH(m1_crossvalid[[#This Row],[cutoff]]),DAY(m1_crossvalid[[#This Row],[cutoff]]))</f>
        <v>46022</v>
      </c>
      <c r="B376" s="7">
        <f>DATE(YEAR(m1_crossvalid[[#This Row],[ds]]),MONTH(m1_crossvalid[[#This Row],[ds]]),DAY(m1_crossvalid[[#This Row],[ds]]))</f>
        <v>46025</v>
      </c>
      <c r="C376">
        <v>80</v>
      </c>
      <c r="D376" s="1">
        <v>46025.333333333336</v>
      </c>
      <c r="E376">
        <v>1261.7532471464824</v>
      </c>
      <c r="F376">
        <v>-1371.6953937424339</v>
      </c>
      <c r="G376">
        <v>3916.235685333922</v>
      </c>
      <c r="H376" s="1">
        <v>46022.333333333336</v>
      </c>
    </row>
    <row r="377" spans="1:8" x14ac:dyDescent="0.25">
      <c r="A377" s="7">
        <f>DATE(YEAR(m1_crossvalid[[#This Row],[cutoff]]),MONTH(m1_crossvalid[[#This Row],[cutoff]]),DAY(m1_crossvalid[[#This Row],[cutoff]]))</f>
        <v>46022</v>
      </c>
      <c r="B377" s="7">
        <f>DATE(YEAR(m1_crossvalid[[#This Row],[ds]]),MONTH(m1_crossvalid[[#This Row],[ds]]),DAY(m1_crossvalid[[#This Row],[ds]]))</f>
        <v>46026</v>
      </c>
      <c r="C377">
        <v>17</v>
      </c>
      <c r="D377" s="1">
        <v>46026.333333333336</v>
      </c>
      <c r="E377">
        <v>621.38206663403662</v>
      </c>
      <c r="F377">
        <v>-1822.9027436121098</v>
      </c>
      <c r="G377">
        <v>3523.884933805457</v>
      </c>
      <c r="H377" s="1">
        <v>46022.333333333336</v>
      </c>
    </row>
    <row r="378" spans="1:8" x14ac:dyDescent="0.25">
      <c r="A378" s="7">
        <f>DATE(YEAR(m1_crossvalid[[#This Row],[cutoff]]),MONTH(m1_crossvalid[[#This Row],[cutoff]]),DAY(m1_crossvalid[[#This Row],[cutoff]]))</f>
        <v>46022</v>
      </c>
      <c r="B378" s="7">
        <f>DATE(YEAR(m1_crossvalid[[#This Row],[ds]]),MONTH(m1_crossvalid[[#This Row],[ds]]),DAY(m1_crossvalid[[#This Row],[ds]]))</f>
        <v>46027</v>
      </c>
      <c r="C378">
        <v>340</v>
      </c>
      <c r="D378" s="1">
        <v>46027.333333333336</v>
      </c>
      <c r="E378">
        <v>2871.0952150118856</v>
      </c>
      <c r="F378">
        <v>170.16588274748483</v>
      </c>
      <c r="G378">
        <v>5516.8352168812498</v>
      </c>
      <c r="H378" s="1">
        <v>46022.333333333336</v>
      </c>
    </row>
    <row r="379" spans="1:8" x14ac:dyDescent="0.25">
      <c r="A379" s="7">
        <f>DATE(YEAR(m1_crossvalid[[#This Row],[cutoff]]),MONTH(m1_crossvalid[[#This Row],[cutoff]]),DAY(m1_crossvalid[[#This Row],[cutoff]]))</f>
        <v>46022</v>
      </c>
      <c r="B379" s="7">
        <f>DATE(YEAR(m1_crossvalid[[#This Row],[ds]]),MONTH(m1_crossvalid[[#This Row],[ds]]),DAY(m1_crossvalid[[#This Row],[ds]]))</f>
        <v>46028</v>
      </c>
      <c r="C379">
        <v>485</v>
      </c>
      <c r="D379" s="1">
        <v>46028.333333333336</v>
      </c>
      <c r="E379">
        <v>3348.7094823713041</v>
      </c>
      <c r="F379">
        <v>731.17948048642461</v>
      </c>
      <c r="G379">
        <v>6113.1044974660344</v>
      </c>
      <c r="H379" s="1">
        <v>46022.333333333336</v>
      </c>
    </row>
    <row r="380" spans="1:8" x14ac:dyDescent="0.25">
      <c r="A380" s="7">
        <f>DATE(YEAR(m1_crossvalid[[#This Row],[cutoff]]),MONTH(m1_crossvalid[[#This Row],[cutoff]]),DAY(m1_crossvalid[[#This Row],[cutoff]]))</f>
        <v>46022</v>
      </c>
      <c r="B380" s="7">
        <f>DATE(YEAR(m1_crossvalid[[#This Row],[ds]]),MONTH(m1_crossvalid[[#This Row],[ds]]),DAY(m1_crossvalid[[#This Row],[ds]]))</f>
        <v>46029</v>
      </c>
      <c r="C380">
        <v>532</v>
      </c>
      <c r="D380" s="1">
        <v>46029.333333333336</v>
      </c>
      <c r="E380">
        <v>3342.960920416619</v>
      </c>
      <c r="F380">
        <v>626.18484105409482</v>
      </c>
      <c r="G380">
        <v>6150.2902333547027</v>
      </c>
      <c r="H380" s="1">
        <v>46022.333333333336</v>
      </c>
    </row>
    <row r="381" spans="1:8" x14ac:dyDescent="0.25">
      <c r="A381" s="7">
        <f>DATE(YEAR(m1_crossvalid[[#This Row],[cutoff]]),MONTH(m1_crossvalid[[#This Row],[cutoff]]),DAY(m1_crossvalid[[#This Row],[cutoff]]))</f>
        <v>46022</v>
      </c>
      <c r="B381" s="7">
        <f>DATE(YEAR(m1_crossvalid[[#This Row],[ds]]),MONTH(m1_crossvalid[[#This Row],[ds]]),DAY(m1_crossvalid[[#This Row],[ds]]))</f>
        <v>46030</v>
      </c>
      <c r="C381">
        <v>659</v>
      </c>
      <c r="D381" s="1">
        <v>46030.333333333336</v>
      </c>
      <c r="E381">
        <v>3265.1629101216954</v>
      </c>
      <c r="F381">
        <v>669.25829726239431</v>
      </c>
      <c r="G381">
        <v>6145.1467889048181</v>
      </c>
      <c r="H381" s="1">
        <v>46022.333333333336</v>
      </c>
    </row>
    <row r="382" spans="1:8" x14ac:dyDescent="0.25">
      <c r="A382" s="7">
        <f>DATE(YEAR(m1_crossvalid[[#This Row],[cutoff]]),MONTH(m1_crossvalid[[#This Row],[cutoff]]),DAY(m1_crossvalid[[#This Row],[cutoff]]))</f>
        <v>46022</v>
      </c>
      <c r="B382" s="7">
        <f>DATE(YEAR(m1_crossvalid[[#This Row],[ds]]),MONTH(m1_crossvalid[[#This Row],[ds]]),DAY(m1_crossvalid[[#This Row],[ds]]))</f>
        <v>46031</v>
      </c>
      <c r="C382">
        <v>787</v>
      </c>
      <c r="D382" s="1">
        <v>46031.333333333336</v>
      </c>
      <c r="E382">
        <v>3236.6763451026472</v>
      </c>
      <c r="F382">
        <v>400.64669437914489</v>
      </c>
      <c r="G382">
        <v>5945.280914609034</v>
      </c>
      <c r="H382" s="1">
        <v>46022.333333333336</v>
      </c>
    </row>
    <row r="383" spans="1:8" x14ac:dyDescent="0.25">
      <c r="A383" s="7">
        <f>DATE(YEAR(m1_crossvalid[[#This Row],[cutoff]]),MONTH(m1_crossvalid[[#This Row],[cutoff]]),DAY(m1_crossvalid[[#This Row],[cutoff]]))</f>
        <v>46022</v>
      </c>
      <c r="B383" s="7">
        <f>DATE(YEAR(m1_crossvalid[[#This Row],[ds]]),MONTH(m1_crossvalid[[#This Row],[ds]]),DAY(m1_crossvalid[[#This Row],[ds]]))</f>
        <v>46032</v>
      </c>
      <c r="C383">
        <v>137</v>
      </c>
      <c r="D383" s="1">
        <v>46032.333333333336</v>
      </c>
      <c r="E383">
        <v>889.80184941628772</v>
      </c>
      <c r="F383">
        <v>-1967.8756264665737</v>
      </c>
      <c r="G383">
        <v>3529.7130271101751</v>
      </c>
      <c r="H383" s="1">
        <v>46022.333333333336</v>
      </c>
    </row>
    <row r="384" spans="1:8" x14ac:dyDescent="0.25">
      <c r="A384" s="7">
        <f>DATE(YEAR(m1_crossvalid[[#This Row],[cutoff]]),MONTH(m1_crossvalid[[#This Row],[cutoff]]),DAY(m1_crossvalid[[#This Row],[cutoff]]))</f>
        <v>46022</v>
      </c>
      <c r="B384" s="7">
        <f>DATE(YEAR(m1_crossvalid[[#This Row],[ds]]),MONTH(m1_crossvalid[[#This Row],[ds]]),DAY(m1_crossvalid[[#This Row],[ds]]))</f>
        <v>46033</v>
      </c>
      <c r="C384">
        <v>44</v>
      </c>
      <c r="D384" s="1">
        <v>46033.333333333336</v>
      </c>
      <c r="E384">
        <v>254.37924114147791</v>
      </c>
      <c r="F384">
        <v>-2607.7348797807467</v>
      </c>
      <c r="G384">
        <v>2959.3628821774464</v>
      </c>
      <c r="H384" s="1">
        <v>46022.333333333336</v>
      </c>
    </row>
    <row r="385" spans="1:8" x14ac:dyDescent="0.25">
      <c r="A385" s="7">
        <f>DATE(YEAR(m1_crossvalid[[#This Row],[cutoff]]),MONTH(m1_crossvalid[[#This Row],[cutoff]]),DAY(m1_crossvalid[[#This Row],[cutoff]]))</f>
        <v>46022</v>
      </c>
      <c r="B385" s="7">
        <f>DATE(YEAR(m1_crossvalid[[#This Row],[ds]]),MONTH(m1_crossvalid[[#This Row],[ds]]),DAY(m1_crossvalid[[#This Row],[ds]]))</f>
        <v>46034</v>
      </c>
      <c r="C385">
        <v>779</v>
      </c>
      <c r="D385" s="1">
        <v>46034.333333333336</v>
      </c>
      <c r="E385">
        <v>2513.4830493841264</v>
      </c>
      <c r="F385">
        <v>-276.03374002340661</v>
      </c>
      <c r="G385">
        <v>5089.6957781023775</v>
      </c>
      <c r="H385" s="1">
        <v>46022.333333333336</v>
      </c>
    </row>
    <row r="386" spans="1:8" x14ac:dyDescent="0.25">
      <c r="A386" s="7">
        <f>DATE(YEAR(m1_crossvalid[[#This Row],[cutoff]]),MONTH(m1_crossvalid[[#This Row],[cutoff]]),DAY(m1_crossvalid[[#This Row],[cutoff]]))</f>
        <v>46022</v>
      </c>
      <c r="B386" s="7">
        <f>DATE(YEAR(m1_crossvalid[[#This Row],[ds]]),MONTH(m1_crossvalid[[#This Row],[ds]]),DAY(m1_crossvalid[[#This Row],[ds]]))</f>
        <v>46035</v>
      </c>
      <c r="C386">
        <v>1113</v>
      </c>
      <c r="D386" s="1">
        <v>46035.333333333336</v>
      </c>
      <c r="E386">
        <v>3004.7192059718673</v>
      </c>
      <c r="F386">
        <v>344.52735304683728</v>
      </c>
      <c r="G386">
        <v>5783.7715469203249</v>
      </c>
      <c r="H386" s="1">
        <v>46022.333333333336</v>
      </c>
    </row>
    <row r="387" spans="1:8" x14ac:dyDescent="0.25">
      <c r="A387" s="7">
        <f>DATE(YEAR(m1_crossvalid[[#This Row],[cutoff]]),MONTH(m1_crossvalid[[#This Row],[cutoff]]),DAY(m1_crossvalid[[#This Row],[cutoff]]))</f>
        <v>46022</v>
      </c>
      <c r="B387" s="7">
        <f>DATE(YEAR(m1_crossvalid[[#This Row],[ds]]),MONTH(m1_crossvalid[[#This Row],[ds]]),DAY(m1_crossvalid[[#This Row],[ds]]))</f>
        <v>46036</v>
      </c>
      <c r="C387">
        <v>1419</v>
      </c>
      <c r="D387" s="1">
        <v>46036.333333333336</v>
      </c>
      <c r="E387">
        <v>3016.5348945068913</v>
      </c>
      <c r="F387">
        <v>192.89388837733443</v>
      </c>
      <c r="G387">
        <v>5656.0070512474131</v>
      </c>
      <c r="H387" s="1">
        <v>46022.333333333336</v>
      </c>
    </row>
    <row r="388" spans="1:8" x14ac:dyDescent="0.25">
      <c r="A388" s="7">
        <f>DATE(YEAR(m1_crossvalid[[#This Row],[cutoff]]),MONTH(m1_crossvalid[[#This Row],[cutoff]]),DAY(m1_crossvalid[[#This Row],[cutoff]]))</f>
        <v>46022</v>
      </c>
      <c r="B388" s="7">
        <f>DATE(YEAR(m1_crossvalid[[#This Row],[ds]]),MONTH(m1_crossvalid[[#This Row],[ds]]),DAY(m1_crossvalid[[#This Row],[ds]]))</f>
        <v>46037</v>
      </c>
      <c r="C388">
        <v>1874</v>
      </c>
      <c r="D388" s="1">
        <v>46037.333333333336</v>
      </c>
      <c r="E388">
        <v>2959.8837650242349</v>
      </c>
      <c r="F388">
        <v>54.296295238370689</v>
      </c>
      <c r="G388">
        <v>5613.6475896679576</v>
      </c>
      <c r="H388" s="1">
        <v>46022.333333333336</v>
      </c>
    </row>
    <row r="389" spans="1:8" x14ac:dyDescent="0.25">
      <c r="A389" s="7">
        <f>DATE(YEAR(m1_crossvalid[[#This Row],[cutoff]]),MONTH(m1_crossvalid[[#This Row],[cutoff]]),DAY(m1_crossvalid[[#This Row],[cutoff]]))</f>
        <v>46022</v>
      </c>
      <c r="B389" s="7">
        <f>DATE(YEAR(m1_crossvalid[[#This Row],[ds]]),MONTH(m1_crossvalid[[#This Row],[ds]]),DAY(m1_crossvalid[[#This Row],[ds]]))</f>
        <v>46038</v>
      </c>
      <c r="C389">
        <v>2020</v>
      </c>
      <c r="D389" s="1">
        <v>46038.333333333336</v>
      </c>
      <c r="E389">
        <v>2955.7048523749731</v>
      </c>
      <c r="F389">
        <v>246.44345269756937</v>
      </c>
      <c r="G389">
        <v>5491.3529862474388</v>
      </c>
      <c r="H389" s="1">
        <v>46022.333333333336</v>
      </c>
    </row>
    <row r="390" spans="1:8" x14ac:dyDescent="0.25">
      <c r="A390" s="7">
        <f>DATE(YEAR(m1_crossvalid[[#This Row],[cutoff]]),MONTH(m1_crossvalid[[#This Row],[cutoff]]),DAY(m1_crossvalid[[#This Row],[cutoff]]))</f>
        <v>46022</v>
      </c>
      <c r="B390" s="7">
        <f>DATE(YEAR(m1_crossvalid[[#This Row],[ds]]),MONTH(m1_crossvalid[[#This Row],[ds]]),DAY(m1_crossvalid[[#This Row],[ds]]))</f>
        <v>46039</v>
      </c>
      <c r="C390">
        <v>451</v>
      </c>
      <c r="D390" s="1">
        <v>46039.333333333336</v>
      </c>
      <c r="E390">
        <v>635.82489265022787</v>
      </c>
      <c r="F390">
        <v>-2064.802335097866</v>
      </c>
      <c r="G390">
        <v>3342.2406671427048</v>
      </c>
      <c r="H390" s="1">
        <v>46022.333333333336</v>
      </c>
    </row>
    <row r="391" spans="1:8" x14ac:dyDescent="0.25">
      <c r="A391" s="7">
        <f>DATE(YEAR(m1_crossvalid[[#This Row],[cutoff]]),MONTH(m1_crossvalid[[#This Row],[cutoff]]),DAY(m1_crossvalid[[#This Row],[cutoff]]))</f>
        <v>46022</v>
      </c>
      <c r="B391" s="7">
        <f>DATE(YEAR(m1_crossvalid[[#This Row],[ds]]),MONTH(m1_crossvalid[[#This Row],[ds]]),DAY(m1_crossvalid[[#This Row],[ds]]))</f>
        <v>46040</v>
      </c>
      <c r="C391">
        <v>76</v>
      </c>
      <c r="D391" s="1">
        <v>46040.333333333336</v>
      </c>
      <c r="E391">
        <v>29.568991213101071</v>
      </c>
      <c r="F391">
        <v>-2679.8280478773731</v>
      </c>
      <c r="G391">
        <v>2830.0071908746077</v>
      </c>
      <c r="H391" s="1">
        <v>46022.333333333336</v>
      </c>
    </row>
    <row r="392" spans="1:8" x14ac:dyDescent="0.25">
      <c r="A392" s="7">
        <f>DATE(YEAR(m1_crossvalid[[#This Row],[cutoff]]),MONTH(m1_crossvalid[[#This Row],[cutoff]]),DAY(m1_crossvalid[[#This Row],[cutoff]]))</f>
        <v>46022</v>
      </c>
      <c r="B392" s="7">
        <f>DATE(YEAR(m1_crossvalid[[#This Row],[ds]]),MONTH(m1_crossvalid[[#This Row],[ds]]),DAY(m1_crossvalid[[#This Row],[ds]]))</f>
        <v>46041</v>
      </c>
      <c r="C392">
        <v>1963</v>
      </c>
      <c r="D392" s="1">
        <v>46041.333333333336</v>
      </c>
      <c r="E392">
        <v>2319.4681658689192</v>
      </c>
      <c r="F392">
        <v>-377.51185788083484</v>
      </c>
      <c r="G392">
        <v>5008.8383816194</v>
      </c>
      <c r="H392" s="1">
        <v>46022.333333333336</v>
      </c>
    </row>
    <row r="393" spans="1:8" x14ac:dyDescent="0.25">
      <c r="A393" s="7">
        <f>DATE(YEAR(m1_crossvalid[[#This Row],[cutoff]]),MONTH(m1_crossvalid[[#This Row],[cutoff]]),DAY(m1_crossvalid[[#This Row],[cutoff]]))</f>
        <v>46022</v>
      </c>
      <c r="B393" s="7">
        <f>DATE(YEAR(m1_crossvalid[[#This Row],[ds]]),MONTH(m1_crossvalid[[#This Row],[ds]]),DAY(m1_crossvalid[[#This Row],[ds]]))</f>
        <v>46042</v>
      </c>
      <c r="C393">
        <v>2481</v>
      </c>
      <c r="D393" s="1">
        <v>46042.333333333336</v>
      </c>
      <c r="E393">
        <v>2842.5685828712126</v>
      </c>
      <c r="F393">
        <v>66.028048568105859</v>
      </c>
      <c r="G393">
        <v>5553.4947249942907</v>
      </c>
      <c r="H393" s="1">
        <v>46022.333333333336</v>
      </c>
    </row>
    <row r="394" spans="1:8" x14ac:dyDescent="0.25">
      <c r="A394" s="7">
        <f>DATE(YEAR(m1_crossvalid[[#This Row],[cutoff]]),MONTH(m1_crossvalid[[#This Row],[cutoff]]),DAY(m1_crossvalid[[#This Row],[cutoff]]))</f>
        <v>46022</v>
      </c>
      <c r="B394" s="7">
        <f>DATE(YEAR(m1_crossvalid[[#This Row],[ds]]),MONTH(m1_crossvalid[[#This Row],[ds]]),DAY(m1_crossvalid[[#This Row],[ds]]))</f>
        <v>46043</v>
      </c>
      <c r="C394">
        <v>2679</v>
      </c>
      <c r="D394" s="1">
        <v>46043.333333333336</v>
      </c>
      <c r="E394">
        <v>2886.7541543324605</v>
      </c>
      <c r="F394">
        <v>353.6061013821743</v>
      </c>
      <c r="G394">
        <v>5702.8873656947098</v>
      </c>
      <c r="H394" s="1">
        <v>46022.333333333336</v>
      </c>
    </row>
    <row r="395" spans="1:8" x14ac:dyDescent="0.25">
      <c r="A395" s="7">
        <f>DATE(YEAR(m1_crossvalid[[#This Row],[cutoff]]),MONTH(m1_crossvalid[[#This Row],[cutoff]]),DAY(m1_crossvalid[[#This Row],[cutoff]]))</f>
        <v>46022</v>
      </c>
      <c r="B395" s="7">
        <f>DATE(YEAR(m1_crossvalid[[#This Row],[ds]]),MONTH(m1_crossvalid[[#This Row],[ds]]),DAY(m1_crossvalid[[#This Row],[ds]]))</f>
        <v>46044</v>
      </c>
      <c r="C395">
        <v>2830</v>
      </c>
      <c r="D395" s="1">
        <v>46044.333333333336</v>
      </c>
      <c r="E395">
        <v>2862.4243878980096</v>
      </c>
      <c r="F395">
        <v>218.98466179946826</v>
      </c>
      <c r="G395">
        <v>5408.4227398985595</v>
      </c>
      <c r="H395" s="1">
        <v>46022.333333333336</v>
      </c>
    </row>
    <row r="396" spans="1:8" x14ac:dyDescent="0.25">
      <c r="A396" s="7">
        <f>DATE(YEAR(m1_crossvalid[[#This Row],[cutoff]]),MONTH(m1_crossvalid[[#This Row],[cutoff]]),DAY(m1_crossvalid[[#This Row],[cutoff]]))</f>
        <v>46022</v>
      </c>
      <c r="B396" s="7">
        <f>DATE(YEAR(m1_crossvalid[[#This Row],[ds]]),MONTH(m1_crossvalid[[#This Row],[ds]]),DAY(m1_crossvalid[[#This Row],[ds]]))</f>
        <v>46045</v>
      </c>
      <c r="C396">
        <v>3000</v>
      </c>
      <c r="D396" s="1">
        <v>46045.333333333336</v>
      </c>
      <c r="E396">
        <v>2889.9855151386796</v>
      </c>
      <c r="F396">
        <v>317.53827452548751</v>
      </c>
      <c r="G396">
        <v>5585.1438306885966</v>
      </c>
      <c r="H396" s="1">
        <v>46022.333333333336</v>
      </c>
    </row>
    <row r="397" spans="1:8" x14ac:dyDescent="0.25">
      <c r="A397" s="7">
        <f>DATE(YEAR(m1_crossvalid[[#This Row],[cutoff]]),MONTH(m1_crossvalid[[#This Row],[cutoff]]),DAY(m1_crossvalid[[#This Row],[cutoff]]))</f>
        <v>46022</v>
      </c>
      <c r="B397" s="7">
        <f>DATE(YEAR(m1_crossvalid[[#This Row],[ds]]),MONTH(m1_crossvalid[[#This Row],[ds]]),DAY(m1_crossvalid[[#This Row],[ds]]))</f>
        <v>46046</v>
      </c>
      <c r="C397">
        <v>902</v>
      </c>
      <c r="D397" s="1">
        <v>46046.333333333336</v>
      </c>
      <c r="E397">
        <v>600.7642946767171</v>
      </c>
      <c r="F397">
        <v>-2048.9530055923733</v>
      </c>
      <c r="G397">
        <v>3391.6295770298375</v>
      </c>
      <c r="H397" s="1">
        <v>46022.333333333336</v>
      </c>
    </row>
    <row r="398" spans="1:8" x14ac:dyDescent="0.25">
      <c r="A398" s="7">
        <f>DATE(YEAR(m1_crossvalid[[#This Row],[cutoff]]),MONTH(m1_crossvalid[[#This Row],[cutoff]]),DAY(m1_crossvalid[[#This Row],[cutoff]]))</f>
        <v>46022</v>
      </c>
      <c r="B398" s="7">
        <f>DATE(YEAR(m1_crossvalid[[#This Row],[ds]]),MONTH(m1_crossvalid[[#This Row],[ds]]),DAY(m1_crossvalid[[#This Row],[ds]]))</f>
        <v>46047</v>
      </c>
      <c r="C398">
        <v>150</v>
      </c>
      <c r="D398" s="1">
        <v>46047.333333333336</v>
      </c>
      <c r="E398">
        <v>23.629166600915141</v>
      </c>
      <c r="F398">
        <v>-2891.7868293424949</v>
      </c>
      <c r="G398">
        <v>2654.7857956762937</v>
      </c>
      <c r="H398" s="1">
        <v>46022.333333333336</v>
      </c>
    </row>
    <row r="399" spans="1:8" x14ac:dyDescent="0.25">
      <c r="A399" s="7">
        <f>DATE(YEAR(m1_crossvalid[[#This Row],[cutoff]]),MONTH(m1_crossvalid[[#This Row],[cutoff]]),DAY(m1_crossvalid[[#This Row],[cutoff]]))</f>
        <v>46022</v>
      </c>
      <c r="B399" s="7">
        <f>DATE(YEAR(m1_crossvalid[[#This Row],[ds]]),MONTH(m1_crossvalid[[#This Row],[ds]]),DAY(m1_crossvalid[[#This Row],[ds]]))</f>
        <v>46048</v>
      </c>
      <c r="C399">
        <v>3603</v>
      </c>
      <c r="D399" s="1">
        <v>46048.333333333336</v>
      </c>
      <c r="E399">
        <v>2340.7070329201019</v>
      </c>
      <c r="F399">
        <v>-190.17639175390173</v>
      </c>
      <c r="G399">
        <v>5031.6120575913501</v>
      </c>
      <c r="H399" s="1">
        <v>46022.333333333336</v>
      </c>
    </row>
    <row r="400" spans="1:8" x14ac:dyDescent="0.25">
      <c r="A400" s="7">
        <f>DATE(YEAR(m1_crossvalid[[#This Row],[cutoff]]),MONTH(m1_crossvalid[[#This Row],[cutoff]]),DAY(m1_crossvalid[[#This Row],[cutoff]]))</f>
        <v>46022</v>
      </c>
      <c r="B400" s="7">
        <f>DATE(YEAR(m1_crossvalid[[#This Row],[ds]]),MONTH(m1_crossvalid[[#This Row],[ds]]),DAY(m1_crossvalid[[#This Row],[ds]]))</f>
        <v>46049</v>
      </c>
      <c r="C400">
        <v>4548</v>
      </c>
      <c r="D400" s="1">
        <v>46049.333333333336</v>
      </c>
      <c r="E400">
        <v>2888.700267519735</v>
      </c>
      <c r="F400">
        <v>-60.377517006047171</v>
      </c>
      <c r="G400">
        <v>5587.7800546492481</v>
      </c>
      <c r="H400" s="1">
        <v>46022.333333333336</v>
      </c>
    </row>
    <row r="401" spans="1:8" x14ac:dyDescent="0.25">
      <c r="A401" s="7">
        <f>DATE(YEAR(m1_crossvalid[[#This Row],[cutoff]]),MONTH(m1_crossvalid[[#This Row],[cutoff]]),DAY(m1_crossvalid[[#This Row],[cutoff]]))</f>
        <v>46022</v>
      </c>
      <c r="B401" s="7">
        <f>DATE(YEAR(m1_crossvalid[[#This Row],[ds]]),MONTH(m1_crossvalid[[#This Row],[ds]]),DAY(m1_crossvalid[[#This Row],[ds]]))</f>
        <v>46050</v>
      </c>
      <c r="C401">
        <v>5313</v>
      </c>
      <c r="D401" s="1">
        <v>46050.333333333336</v>
      </c>
      <c r="E401">
        <v>2955.2154498852028</v>
      </c>
      <c r="F401">
        <v>-9.8937323567130697</v>
      </c>
      <c r="G401">
        <v>5562.2525392080397</v>
      </c>
      <c r="H401" s="1">
        <v>46022.333333333336</v>
      </c>
    </row>
    <row r="402" spans="1:8" x14ac:dyDescent="0.25">
      <c r="A402" s="7">
        <f>DATE(YEAR(m1_crossvalid[[#This Row],[cutoff]]),MONTH(m1_crossvalid[[#This Row],[cutoff]]),DAY(m1_crossvalid[[#This Row],[cutoff]]))</f>
        <v>46022</v>
      </c>
      <c r="B402" s="7">
        <f>DATE(YEAR(m1_crossvalid[[#This Row],[ds]]),MONTH(m1_crossvalid[[#This Row],[ds]]),DAY(m1_crossvalid[[#This Row],[ds]]))</f>
        <v>46051</v>
      </c>
      <c r="C402">
        <v>7326</v>
      </c>
      <c r="D402" s="1">
        <v>46051.333333333336</v>
      </c>
      <c r="E402">
        <v>2950.4455831582081</v>
      </c>
      <c r="F402">
        <v>48.011476222202944</v>
      </c>
      <c r="G402">
        <v>5888.4614184178172</v>
      </c>
      <c r="H402" s="1">
        <v>46022.333333333336</v>
      </c>
    </row>
    <row r="403" spans="1:8" x14ac:dyDescent="0.25">
      <c r="A403" s="7">
        <f>DATE(YEAR(m1_crossvalid[[#This Row],[cutoff]]),MONTH(m1_crossvalid[[#This Row],[cutoff]]),DAY(m1_crossvalid[[#This Row],[cutoff]]))</f>
        <v>46022</v>
      </c>
      <c r="B403" s="7">
        <f>DATE(YEAR(m1_crossvalid[[#This Row],[ds]]),MONTH(m1_crossvalid[[#This Row],[ds]]),DAY(m1_crossvalid[[#This Row],[ds]]))</f>
        <v>46052</v>
      </c>
      <c r="C403">
        <v>10276</v>
      </c>
      <c r="D403" s="1">
        <v>46052.333333333336</v>
      </c>
      <c r="E403">
        <v>2994.6637399675546</v>
      </c>
      <c r="F403">
        <v>172.49330867051839</v>
      </c>
      <c r="G403">
        <v>5644.8448587903895</v>
      </c>
      <c r="H403" s="1">
        <v>46022.333333333336</v>
      </c>
    </row>
    <row r="404" spans="1:8" x14ac:dyDescent="0.25">
      <c r="A404" s="7">
        <f>DATE(YEAR(m1_crossvalid[[#This Row],[cutoff]]),MONTH(m1_crossvalid[[#This Row],[cutoff]]),DAY(m1_crossvalid[[#This Row],[cutoff]]))</f>
        <v>46022</v>
      </c>
      <c r="B404" s="7">
        <f>DATE(YEAR(m1_crossvalid[[#This Row],[ds]]),MONTH(m1_crossvalid[[#This Row],[ds]]),DAY(m1_crossvalid[[#This Row],[ds]]))</f>
        <v>46053</v>
      </c>
      <c r="C404">
        <v>7991</v>
      </c>
      <c r="D404" s="1">
        <v>46053.333333333336</v>
      </c>
      <c r="E404">
        <v>719.13749775947349</v>
      </c>
      <c r="F404">
        <v>-1743.074199488397</v>
      </c>
      <c r="G404">
        <v>3580.5715949183359</v>
      </c>
      <c r="H404" s="1">
        <v>46022.333333333336</v>
      </c>
    </row>
    <row r="405" spans="1:8" x14ac:dyDescent="0.25">
      <c r="A405" s="7">
        <f>DATE(YEAR(m1_crossvalid[[#This Row],[cutoff]]),MONTH(m1_crossvalid[[#This Row],[cutoff]]),DAY(m1_crossvalid[[#This Row],[cutoff]]))</f>
        <v>46053</v>
      </c>
      <c r="B405" s="7">
        <f>DATE(YEAR(m1_crossvalid[[#This Row],[ds]]),MONTH(m1_crossvalid[[#This Row],[ds]]),DAY(m1_crossvalid[[#This Row],[ds]]))</f>
        <v>46054</v>
      </c>
      <c r="C405">
        <v>26</v>
      </c>
      <c r="D405" s="1">
        <v>46054.333333333336</v>
      </c>
      <c r="E405">
        <v>485.58171658480342</v>
      </c>
      <c r="F405">
        <v>-2157.6727708665985</v>
      </c>
      <c r="G405">
        <v>3393.0839773563494</v>
      </c>
      <c r="H405" s="1">
        <v>46053.333333333336</v>
      </c>
    </row>
    <row r="406" spans="1:8" x14ac:dyDescent="0.25">
      <c r="A406" s="7">
        <f>DATE(YEAR(m1_crossvalid[[#This Row],[cutoff]]),MONTH(m1_crossvalid[[#This Row],[cutoff]]),DAY(m1_crossvalid[[#This Row],[cutoff]]))</f>
        <v>46053</v>
      </c>
      <c r="B406" s="7">
        <f>DATE(YEAR(m1_crossvalid[[#This Row],[ds]]),MONTH(m1_crossvalid[[#This Row],[ds]]),DAY(m1_crossvalid[[#This Row],[ds]]))</f>
        <v>46055</v>
      </c>
      <c r="C406">
        <v>134</v>
      </c>
      <c r="D406" s="1">
        <v>46055.333333333336</v>
      </c>
      <c r="E406">
        <v>2790.206426414441</v>
      </c>
      <c r="F406">
        <v>-22.521076705873437</v>
      </c>
      <c r="G406">
        <v>5458.9465122686106</v>
      </c>
      <c r="H406" s="1">
        <v>46053.333333333336</v>
      </c>
    </row>
    <row r="407" spans="1:8" x14ac:dyDescent="0.25">
      <c r="A407" s="7">
        <f>DATE(YEAR(m1_crossvalid[[#This Row],[cutoff]]),MONTH(m1_crossvalid[[#This Row],[cutoff]]),DAY(m1_crossvalid[[#This Row],[cutoff]]))</f>
        <v>46053</v>
      </c>
      <c r="B407" s="7">
        <f>DATE(YEAR(m1_crossvalid[[#This Row],[ds]]),MONTH(m1_crossvalid[[#This Row],[ds]]),DAY(m1_crossvalid[[#This Row],[ds]]))</f>
        <v>46056</v>
      </c>
      <c r="C407">
        <v>521</v>
      </c>
      <c r="D407" s="1">
        <v>46056.333333333336</v>
      </c>
      <c r="E407">
        <v>3331.5449820210201</v>
      </c>
      <c r="F407">
        <v>667.28691385248453</v>
      </c>
      <c r="G407">
        <v>5827.3790359897412</v>
      </c>
      <c r="H407" s="1">
        <v>46053.333333333336</v>
      </c>
    </row>
    <row r="408" spans="1:8" x14ac:dyDescent="0.25">
      <c r="A408" s="7">
        <f>DATE(YEAR(m1_crossvalid[[#This Row],[cutoff]]),MONTH(m1_crossvalid[[#This Row],[cutoff]]),DAY(m1_crossvalid[[#This Row],[cutoff]]))</f>
        <v>46053</v>
      </c>
      <c r="B408" s="7">
        <f>DATE(YEAR(m1_crossvalid[[#This Row],[ds]]),MONTH(m1_crossvalid[[#This Row],[ds]]),DAY(m1_crossvalid[[#This Row],[ds]]))</f>
        <v>46057</v>
      </c>
      <c r="C408">
        <v>696</v>
      </c>
      <c r="D408" s="1">
        <v>46057.333333333336</v>
      </c>
      <c r="E408">
        <v>3390.4516807198142</v>
      </c>
      <c r="F408">
        <v>551.90265418263471</v>
      </c>
      <c r="G408">
        <v>6245.5564900307709</v>
      </c>
      <c r="H408" s="1">
        <v>46053.333333333336</v>
      </c>
    </row>
    <row r="409" spans="1:8" x14ac:dyDescent="0.25">
      <c r="A409" s="7">
        <f>DATE(YEAR(m1_crossvalid[[#This Row],[cutoff]]),MONTH(m1_crossvalid[[#This Row],[cutoff]]),DAY(m1_crossvalid[[#This Row],[cutoff]]))</f>
        <v>46053</v>
      </c>
      <c r="B409" s="7">
        <f>DATE(YEAR(m1_crossvalid[[#This Row],[ds]]),MONTH(m1_crossvalid[[#This Row],[ds]]),DAY(m1_crossvalid[[#This Row],[ds]]))</f>
        <v>46058</v>
      </c>
      <c r="C409">
        <v>1038</v>
      </c>
      <c r="D409" s="1">
        <v>46058.333333333336</v>
      </c>
      <c r="E409">
        <v>3374.5935804523469</v>
      </c>
      <c r="F409">
        <v>750.27280763713122</v>
      </c>
      <c r="G409">
        <v>6070.1590683313225</v>
      </c>
      <c r="H409" s="1">
        <v>46053.333333333336</v>
      </c>
    </row>
    <row r="410" spans="1:8" x14ac:dyDescent="0.25">
      <c r="A410" s="7">
        <f>DATE(YEAR(m1_crossvalid[[#This Row],[cutoff]]),MONTH(m1_crossvalid[[#This Row],[cutoff]]),DAY(m1_crossvalid[[#This Row],[cutoff]]))</f>
        <v>46053</v>
      </c>
      <c r="B410" s="7">
        <f>DATE(YEAR(m1_crossvalid[[#This Row],[ds]]),MONTH(m1_crossvalid[[#This Row],[ds]]),DAY(m1_crossvalid[[#This Row],[ds]]))</f>
        <v>46059</v>
      </c>
      <c r="C410">
        <v>1414</v>
      </c>
      <c r="D410" s="1">
        <v>46059.333333333336</v>
      </c>
      <c r="E410">
        <v>3404.4634073242305</v>
      </c>
      <c r="F410">
        <v>638.2470832150168</v>
      </c>
      <c r="G410">
        <v>6152.3781054354395</v>
      </c>
      <c r="H410" s="1">
        <v>46053.333333333336</v>
      </c>
    </row>
    <row r="411" spans="1:8" x14ac:dyDescent="0.25">
      <c r="A411" s="7">
        <f>DATE(YEAR(m1_crossvalid[[#This Row],[cutoff]]),MONTH(m1_crossvalid[[#This Row],[cutoff]]),DAY(m1_crossvalid[[#This Row],[cutoff]]))</f>
        <v>46053</v>
      </c>
      <c r="B411" s="7">
        <f>DATE(YEAR(m1_crossvalid[[#This Row],[ds]]),MONTH(m1_crossvalid[[#This Row],[ds]]),DAY(m1_crossvalid[[#This Row],[ds]]))</f>
        <v>46060</v>
      </c>
      <c r="C411">
        <v>286</v>
      </c>
      <c r="D411" s="1">
        <v>46060.333333333336</v>
      </c>
      <c r="E411">
        <v>1117.2637845495024</v>
      </c>
      <c r="F411">
        <v>-1744.804636037775</v>
      </c>
      <c r="G411">
        <v>3676.1671871113485</v>
      </c>
      <c r="H411" s="1">
        <v>46053.333333333336</v>
      </c>
    </row>
    <row r="412" spans="1:8" x14ac:dyDescent="0.25">
      <c r="A412" s="7">
        <f>DATE(YEAR(m1_crossvalid[[#This Row],[cutoff]]),MONTH(m1_crossvalid[[#This Row],[cutoff]]),DAY(m1_crossvalid[[#This Row],[cutoff]]))</f>
        <v>46053</v>
      </c>
      <c r="B412" s="7">
        <f>DATE(YEAR(m1_crossvalid[[#This Row],[ds]]),MONTH(m1_crossvalid[[#This Row],[ds]]),DAY(m1_crossvalid[[#This Row],[ds]]))</f>
        <v>46061</v>
      </c>
      <c r="C412">
        <v>82</v>
      </c>
      <c r="D412" s="1">
        <v>46061.333333333336</v>
      </c>
      <c r="E412">
        <v>490.74906339147992</v>
      </c>
      <c r="F412">
        <v>-2131.8543492960644</v>
      </c>
      <c r="G412">
        <v>3165.3929946556555</v>
      </c>
      <c r="H412" s="1">
        <v>46053.333333333336</v>
      </c>
    </row>
    <row r="413" spans="1:8" x14ac:dyDescent="0.25">
      <c r="A413" s="7">
        <f>DATE(YEAR(m1_crossvalid[[#This Row],[cutoff]]),MONTH(m1_crossvalid[[#This Row],[cutoff]]),DAY(m1_crossvalid[[#This Row],[cutoff]]))</f>
        <v>46053</v>
      </c>
      <c r="B413" s="7">
        <f>DATE(YEAR(m1_crossvalid[[#This Row],[ds]]),MONTH(m1_crossvalid[[#This Row],[ds]]),DAY(m1_crossvalid[[#This Row],[ds]]))</f>
        <v>46062</v>
      </c>
      <c r="C413">
        <v>1902</v>
      </c>
      <c r="D413" s="1">
        <v>46062.333333333336</v>
      </c>
      <c r="E413">
        <v>2765.8134494817809</v>
      </c>
      <c r="F413">
        <v>228.77968690085129</v>
      </c>
      <c r="G413">
        <v>5324.7449564191402</v>
      </c>
      <c r="H413" s="1">
        <v>46053.333333333336</v>
      </c>
    </row>
    <row r="414" spans="1:8" x14ac:dyDescent="0.25">
      <c r="A414" s="7">
        <f>DATE(YEAR(m1_crossvalid[[#This Row],[cutoff]]),MONTH(m1_crossvalid[[#This Row],[cutoff]]),DAY(m1_crossvalid[[#This Row],[cutoff]]))</f>
        <v>46053</v>
      </c>
      <c r="B414" s="7">
        <f>DATE(YEAR(m1_crossvalid[[#This Row],[ds]]),MONTH(m1_crossvalid[[#This Row],[ds]]),DAY(m1_crossvalid[[#This Row],[ds]]))</f>
        <v>46063</v>
      </c>
      <c r="C414">
        <v>2288</v>
      </c>
      <c r="D414" s="1">
        <v>46063.333333333336</v>
      </c>
      <c r="E414">
        <v>3281.0074915390878</v>
      </c>
      <c r="F414">
        <v>455.07325538867468</v>
      </c>
      <c r="G414">
        <v>6045.3907039000105</v>
      </c>
      <c r="H414" s="1">
        <v>46053.333333333336</v>
      </c>
    </row>
    <row r="415" spans="1:8" x14ac:dyDescent="0.25">
      <c r="A415" s="7">
        <f>DATE(YEAR(m1_crossvalid[[#This Row],[cutoff]]),MONTH(m1_crossvalid[[#This Row],[cutoff]]),DAY(m1_crossvalid[[#This Row],[cutoff]]))</f>
        <v>46053</v>
      </c>
      <c r="B415" s="7">
        <f>DATE(YEAR(m1_crossvalid[[#This Row],[ds]]),MONTH(m1_crossvalid[[#This Row],[ds]]),DAY(m1_crossvalid[[#This Row],[ds]]))</f>
        <v>46064</v>
      </c>
      <c r="C415">
        <v>2663</v>
      </c>
      <c r="D415" s="1">
        <v>46064.333333333336</v>
      </c>
      <c r="E415">
        <v>3317.8491258904064</v>
      </c>
      <c r="F415">
        <v>519.22463436911414</v>
      </c>
      <c r="G415">
        <v>5966.4592945940203</v>
      </c>
      <c r="H415" s="1">
        <v>46053.333333333336</v>
      </c>
    </row>
    <row r="416" spans="1:8" x14ac:dyDescent="0.25">
      <c r="A416" s="7">
        <f>DATE(YEAR(m1_crossvalid[[#This Row],[cutoff]]),MONTH(m1_crossvalid[[#This Row],[cutoff]]),DAY(m1_crossvalid[[#This Row],[cutoff]]))</f>
        <v>46053</v>
      </c>
      <c r="B416" s="7">
        <f>DATE(YEAR(m1_crossvalid[[#This Row],[ds]]),MONTH(m1_crossvalid[[#This Row],[ds]]),DAY(m1_crossvalid[[#This Row],[ds]]))</f>
        <v>46065</v>
      </c>
      <c r="C416">
        <v>3108</v>
      </c>
      <c r="D416" s="1">
        <v>46065.333333333336</v>
      </c>
      <c r="E416">
        <v>3284.547255380714</v>
      </c>
      <c r="F416">
        <v>526.0111637627457</v>
      </c>
      <c r="G416">
        <v>5884.7793274394708</v>
      </c>
      <c r="H416" s="1">
        <v>46053.333333333336</v>
      </c>
    </row>
    <row r="417" spans="1:8" x14ac:dyDescent="0.25">
      <c r="A417" s="7">
        <f>DATE(YEAR(m1_crossvalid[[#This Row],[cutoff]]),MONTH(m1_crossvalid[[#This Row],[cutoff]]),DAY(m1_crossvalid[[#This Row],[cutoff]]))</f>
        <v>46053</v>
      </c>
      <c r="B417" s="7">
        <f>DATE(YEAR(m1_crossvalid[[#This Row],[ds]]),MONTH(m1_crossvalid[[#This Row],[ds]]),DAY(m1_crossvalid[[#This Row],[ds]]))</f>
        <v>46066</v>
      </c>
      <c r="C417">
        <v>3172</v>
      </c>
      <c r="D417" s="1">
        <v>46066.333333333336</v>
      </c>
      <c r="E417">
        <v>3302.0026800462556</v>
      </c>
      <c r="F417">
        <v>400.03661257011601</v>
      </c>
      <c r="G417">
        <v>5976.8946583884554</v>
      </c>
      <c r="H417" s="1">
        <v>46053.333333333336</v>
      </c>
    </row>
    <row r="418" spans="1:8" x14ac:dyDescent="0.25">
      <c r="A418" s="7">
        <f>DATE(YEAR(m1_crossvalid[[#This Row],[cutoff]]),MONTH(m1_crossvalid[[#This Row],[cutoff]]),DAY(m1_crossvalid[[#This Row],[cutoff]]))</f>
        <v>46053</v>
      </c>
      <c r="B418" s="7">
        <f>DATE(YEAR(m1_crossvalid[[#This Row],[ds]]),MONTH(m1_crossvalid[[#This Row],[ds]]),DAY(m1_crossvalid[[#This Row],[ds]]))</f>
        <v>46067</v>
      </c>
      <c r="C418">
        <v>913</v>
      </c>
      <c r="D418" s="1">
        <v>46067.333333333336</v>
      </c>
      <c r="E418">
        <v>1007.6839816190998</v>
      </c>
      <c r="F418">
        <v>-1802.8912422694443</v>
      </c>
      <c r="G418">
        <v>3777.1718895425442</v>
      </c>
      <c r="H418" s="1">
        <v>46053.333333333336</v>
      </c>
    </row>
    <row r="419" spans="1:8" x14ac:dyDescent="0.25">
      <c r="A419" s="7">
        <f>DATE(YEAR(m1_crossvalid[[#This Row],[cutoff]]),MONTH(m1_crossvalid[[#This Row],[cutoff]]),DAY(m1_crossvalid[[#This Row],[cutoff]]))</f>
        <v>46053</v>
      </c>
      <c r="B419" s="7">
        <f>DATE(YEAR(m1_crossvalid[[#This Row],[ds]]),MONTH(m1_crossvalid[[#This Row],[ds]]),DAY(m1_crossvalid[[#This Row],[ds]]))</f>
        <v>46068</v>
      </c>
      <c r="C419">
        <v>208</v>
      </c>
      <c r="D419" s="1">
        <v>46068.333333333336</v>
      </c>
      <c r="E419">
        <v>379.46481520599809</v>
      </c>
      <c r="F419">
        <v>-2339.7803848889116</v>
      </c>
      <c r="G419">
        <v>3180.5277041405902</v>
      </c>
      <c r="H419" s="1">
        <v>46053.333333333336</v>
      </c>
    </row>
    <row r="420" spans="1:8" x14ac:dyDescent="0.25">
      <c r="A420" s="7">
        <f>DATE(YEAR(m1_crossvalid[[#This Row],[cutoff]]),MONTH(m1_crossvalid[[#This Row],[cutoff]]),DAY(m1_crossvalid[[#This Row],[cutoff]]))</f>
        <v>46053</v>
      </c>
      <c r="B420" s="7">
        <f>DATE(YEAR(m1_crossvalid[[#This Row],[ds]]),MONTH(m1_crossvalid[[#This Row],[ds]]),DAY(m1_crossvalid[[#This Row],[ds]]))</f>
        <v>46069</v>
      </c>
      <c r="C420">
        <v>1728</v>
      </c>
      <c r="D420" s="1">
        <v>46069.333333333336</v>
      </c>
      <c r="E420">
        <v>2658.2113713067142</v>
      </c>
      <c r="F420">
        <v>193.88633694686263</v>
      </c>
      <c r="G420">
        <v>5562.8778562891293</v>
      </c>
      <c r="H420" s="1">
        <v>46053.333333333336</v>
      </c>
    </row>
    <row r="421" spans="1:8" x14ac:dyDescent="0.25">
      <c r="A421" s="7">
        <f>DATE(YEAR(m1_crossvalid[[#This Row],[cutoff]]),MONTH(m1_crossvalid[[#This Row],[cutoff]]),DAY(m1_crossvalid[[#This Row],[cutoff]]))</f>
        <v>46053</v>
      </c>
      <c r="B421" s="7">
        <f>DATE(YEAR(m1_crossvalid[[#This Row],[ds]]),MONTH(m1_crossvalid[[#This Row],[ds]]),DAY(m1_crossvalid[[#This Row],[ds]]))</f>
        <v>46070</v>
      </c>
      <c r="C421">
        <v>27</v>
      </c>
      <c r="D421" s="1">
        <v>46070.333333333336</v>
      </c>
      <c r="E421">
        <v>3182.3020418547467</v>
      </c>
      <c r="F421">
        <v>448.74263349384785</v>
      </c>
      <c r="G421">
        <v>6004.7116956640984</v>
      </c>
      <c r="H421" s="1">
        <v>46053.333333333336</v>
      </c>
    </row>
    <row r="422" spans="1:8" x14ac:dyDescent="0.25">
      <c r="A422" s="7">
        <f>DATE(YEAR(m1_crossvalid[[#This Row],[cutoff]]),MONTH(m1_crossvalid[[#This Row],[cutoff]]),DAY(m1_crossvalid[[#This Row],[cutoff]]))</f>
        <v>46053</v>
      </c>
      <c r="B422" s="7">
        <f>DATE(YEAR(m1_crossvalid[[#This Row],[ds]]),MONTH(m1_crossvalid[[#This Row],[ds]]),DAY(m1_crossvalid[[#This Row],[ds]]))</f>
        <v>46071</v>
      </c>
      <c r="C422">
        <v>21</v>
      </c>
      <c r="D422" s="1">
        <v>46071.333333333336</v>
      </c>
      <c r="E422">
        <v>3232.9453482672302</v>
      </c>
      <c r="F422">
        <v>456.42138823835319</v>
      </c>
      <c r="G422">
        <v>5802.5358620698516</v>
      </c>
      <c r="H422" s="1">
        <v>46053.333333333336</v>
      </c>
    </row>
    <row r="423" spans="1:8" x14ac:dyDescent="0.25">
      <c r="A423" s="7">
        <f>DATE(YEAR(m1_crossvalid[[#This Row],[cutoff]]),MONTH(m1_crossvalid[[#This Row],[cutoff]]),DAY(m1_crossvalid[[#This Row],[cutoff]]))</f>
        <v>46053</v>
      </c>
      <c r="B423" s="7">
        <f>DATE(YEAR(m1_crossvalid[[#This Row],[ds]]),MONTH(m1_crossvalid[[#This Row],[ds]]),DAY(m1_crossvalid[[#This Row],[ds]]))</f>
        <v>46072</v>
      </c>
      <c r="C423">
        <v>1000</v>
      </c>
      <c r="D423" s="1">
        <v>46072.333333333336</v>
      </c>
      <c r="E423">
        <v>3217.9138779876903</v>
      </c>
      <c r="F423">
        <v>529.6527660928366</v>
      </c>
      <c r="G423">
        <v>5987.7225345004508</v>
      </c>
      <c r="H423" s="1">
        <v>46053.333333333336</v>
      </c>
    </row>
    <row r="424" spans="1:8" x14ac:dyDescent="0.25">
      <c r="A424" s="7">
        <f>DATE(YEAR(m1_crossvalid[[#This Row],[cutoff]]),MONTH(m1_crossvalid[[#This Row],[cutoff]]),DAY(m1_crossvalid[[#This Row],[cutoff]]))</f>
        <v>46053</v>
      </c>
      <c r="B424" s="7">
        <f>DATE(YEAR(m1_crossvalid[[#This Row],[ds]]),MONTH(m1_crossvalid[[#This Row],[ds]]),DAY(m1_crossvalid[[#This Row],[ds]]))</f>
        <v>46073</v>
      </c>
      <c r="C424">
        <v>1555</v>
      </c>
      <c r="D424" s="1">
        <v>46073.333333333336</v>
      </c>
      <c r="E424">
        <v>3257.5587250040212</v>
      </c>
      <c r="F424">
        <v>688.99826829072992</v>
      </c>
      <c r="G424">
        <v>5907.1780340913192</v>
      </c>
      <c r="H424" s="1">
        <v>46053.333333333336</v>
      </c>
    </row>
    <row r="425" spans="1:8" x14ac:dyDescent="0.25">
      <c r="A425" s="7">
        <f>DATE(YEAR(m1_crossvalid[[#This Row],[cutoff]]),MONTH(m1_crossvalid[[#This Row],[cutoff]]),DAY(m1_crossvalid[[#This Row],[cutoff]]))</f>
        <v>46053</v>
      </c>
      <c r="B425" s="7">
        <f>DATE(YEAR(m1_crossvalid[[#This Row],[ds]]),MONTH(m1_crossvalid[[#This Row],[ds]]),DAY(m1_crossvalid[[#This Row],[ds]]))</f>
        <v>46074</v>
      </c>
      <c r="C425">
        <v>492</v>
      </c>
      <c r="D425" s="1">
        <v>46074.333333333336</v>
      </c>
      <c r="E425">
        <v>988.70163445573348</v>
      </c>
      <c r="F425">
        <v>-1803.3432355877903</v>
      </c>
      <c r="G425">
        <v>3841.4046808228231</v>
      </c>
      <c r="H425" s="1">
        <v>46053.333333333336</v>
      </c>
    </row>
    <row r="426" spans="1:8" x14ac:dyDescent="0.25">
      <c r="A426" s="7">
        <f>DATE(YEAR(m1_crossvalid[[#This Row],[cutoff]]),MONTH(m1_crossvalid[[#This Row],[cutoff]]),DAY(m1_crossvalid[[#This Row],[cutoff]]))</f>
        <v>46053</v>
      </c>
      <c r="B426" s="7">
        <f>DATE(YEAR(m1_crossvalid[[#This Row],[ds]]),MONTH(m1_crossvalid[[#This Row],[ds]]),DAY(m1_crossvalid[[#This Row],[ds]]))</f>
        <v>46075</v>
      </c>
      <c r="C426">
        <v>159</v>
      </c>
      <c r="D426" s="1">
        <v>46075.333333333336</v>
      </c>
      <c r="E426">
        <v>388.49083440585127</v>
      </c>
      <c r="F426">
        <v>-2290.8924120496376</v>
      </c>
      <c r="G426">
        <v>3098.4767582281183</v>
      </c>
      <c r="H426" s="1">
        <v>46053.333333333336</v>
      </c>
    </row>
    <row r="427" spans="1:8" x14ac:dyDescent="0.25">
      <c r="A427" s="7">
        <f>DATE(YEAR(m1_crossvalid[[#This Row],[cutoff]]),MONTH(m1_crossvalid[[#This Row],[cutoff]]),DAY(m1_crossvalid[[#This Row],[cutoff]]))</f>
        <v>46053</v>
      </c>
      <c r="B427" s="7">
        <f>DATE(YEAR(m1_crossvalid[[#This Row],[ds]]),MONTH(m1_crossvalid[[#This Row],[ds]]),DAY(m1_crossvalid[[#This Row],[ds]]))</f>
        <v>46076</v>
      </c>
      <c r="C427">
        <v>2313</v>
      </c>
      <c r="D427" s="1">
        <v>46076.333333333336</v>
      </c>
      <c r="E427">
        <v>2697.0087927949116</v>
      </c>
      <c r="F427">
        <v>-7.2060743762735715</v>
      </c>
      <c r="G427">
        <v>5327.8964449199439</v>
      </c>
      <c r="H427" s="1">
        <v>46053.333333333336</v>
      </c>
    </row>
    <row r="428" spans="1:8" x14ac:dyDescent="0.25">
      <c r="A428" s="7">
        <f>DATE(YEAR(m1_crossvalid[[#This Row],[cutoff]]),MONTH(m1_crossvalid[[#This Row],[cutoff]]),DAY(m1_crossvalid[[#This Row],[cutoff]]))</f>
        <v>46053</v>
      </c>
      <c r="B428" s="7">
        <f>DATE(YEAR(m1_crossvalid[[#This Row],[ds]]),MONTH(m1_crossvalid[[#This Row],[ds]]),DAY(m1_crossvalid[[#This Row],[ds]]))</f>
        <v>46077</v>
      </c>
      <c r="C428">
        <v>3081</v>
      </c>
      <c r="D428" s="1">
        <v>46077.333333333336</v>
      </c>
      <c r="E428">
        <v>3251.81336818411</v>
      </c>
      <c r="F428">
        <v>486.28299404953822</v>
      </c>
      <c r="G428">
        <v>6103.0313855804479</v>
      </c>
      <c r="H428" s="1">
        <v>46053.333333333336</v>
      </c>
    </row>
    <row r="429" spans="1:8" x14ac:dyDescent="0.25">
      <c r="A429" s="7">
        <f>DATE(YEAR(m1_crossvalid[[#This Row],[cutoff]]),MONTH(m1_crossvalid[[#This Row],[cutoff]]),DAY(m1_crossvalid[[#This Row],[cutoff]]))</f>
        <v>46053</v>
      </c>
      <c r="B429" s="7">
        <f>DATE(YEAR(m1_crossvalid[[#This Row],[ds]]),MONTH(m1_crossvalid[[#This Row],[ds]]),DAY(m1_crossvalid[[#This Row],[ds]]))</f>
        <v>46078</v>
      </c>
      <c r="C429">
        <v>4066</v>
      </c>
      <c r="D429" s="1">
        <v>46078.333333333336</v>
      </c>
      <c r="E429">
        <v>3333.2778228719299</v>
      </c>
      <c r="F429">
        <v>695.30736618931701</v>
      </c>
      <c r="G429">
        <v>6031.5916929390041</v>
      </c>
      <c r="H429" s="1">
        <v>46053.333333333336</v>
      </c>
    </row>
    <row r="430" spans="1:8" x14ac:dyDescent="0.25">
      <c r="A430" s="7">
        <f>DATE(YEAR(m1_crossvalid[[#This Row],[cutoff]]),MONTH(m1_crossvalid[[#This Row],[cutoff]]),DAY(m1_crossvalid[[#This Row],[cutoff]]))</f>
        <v>46053</v>
      </c>
      <c r="B430" s="7">
        <f>DATE(YEAR(m1_crossvalid[[#This Row],[ds]]),MONTH(m1_crossvalid[[#This Row],[ds]]),DAY(m1_crossvalid[[#This Row],[ds]]))</f>
        <v>46079</v>
      </c>
      <c r="C430">
        <v>5569</v>
      </c>
      <c r="D430" s="1">
        <v>46079.333333333336</v>
      </c>
      <c r="E430">
        <v>3348.3468475955933</v>
      </c>
      <c r="F430">
        <v>761.27416176288125</v>
      </c>
      <c r="G430">
        <v>6278.8836571410902</v>
      </c>
      <c r="H430" s="1">
        <v>46053.333333333336</v>
      </c>
    </row>
    <row r="431" spans="1:8" x14ac:dyDescent="0.25">
      <c r="A431" s="7">
        <f>DATE(YEAR(m1_crossvalid[[#This Row],[cutoff]]),MONTH(m1_crossvalid[[#This Row],[cutoff]]),DAY(m1_crossvalid[[#This Row],[cutoff]]))</f>
        <v>46053</v>
      </c>
      <c r="B431" s="7">
        <f>DATE(YEAR(m1_crossvalid[[#This Row],[ds]]),MONTH(m1_crossvalid[[#This Row],[ds]]),DAY(m1_crossvalid[[#This Row],[ds]]))</f>
        <v>46080</v>
      </c>
      <c r="C431">
        <v>8803</v>
      </c>
      <c r="D431" s="1">
        <v>46080.333333333336</v>
      </c>
      <c r="E431">
        <v>3416.5725044436431</v>
      </c>
      <c r="F431">
        <v>732.43762764088899</v>
      </c>
      <c r="G431">
        <v>6030.7921624607161</v>
      </c>
      <c r="H431" s="1">
        <v>46053.333333333336</v>
      </c>
    </row>
    <row r="432" spans="1:8" x14ac:dyDescent="0.25">
      <c r="A432" s="7">
        <f>DATE(YEAR(m1_crossvalid[[#This Row],[cutoff]]),MONTH(m1_crossvalid[[#This Row],[cutoff]]),DAY(m1_crossvalid[[#This Row],[cutoff]]))</f>
        <v>46053</v>
      </c>
      <c r="B432" s="7">
        <f>DATE(YEAR(m1_crossvalid[[#This Row],[ds]]),MONTH(m1_crossvalid[[#This Row],[ds]]),DAY(m1_crossvalid[[#This Row],[ds]]))</f>
        <v>46081</v>
      </c>
      <c r="C432">
        <v>9425</v>
      </c>
      <c r="D432" s="1">
        <v>46081.333333333336</v>
      </c>
      <c r="E432">
        <v>1174.0267235361746</v>
      </c>
      <c r="F432">
        <v>-1728.0893284364433</v>
      </c>
      <c r="G432">
        <v>3741.1868677529374</v>
      </c>
      <c r="H432" s="1">
        <v>46053.333333333336</v>
      </c>
    </row>
    <row r="433" spans="1:8" x14ac:dyDescent="0.25">
      <c r="A433" s="7">
        <f>DATE(YEAR(m1_crossvalid[[#This Row],[cutoff]]),MONTH(m1_crossvalid[[#This Row],[cutoff]]),DAY(m1_crossvalid[[#This Row],[cutoff]]))</f>
        <v>46053</v>
      </c>
      <c r="B433" s="7">
        <f>DATE(YEAR(m1_crossvalid[[#This Row],[ds]]),MONTH(m1_crossvalid[[#This Row],[ds]]),DAY(m1_crossvalid[[#This Row],[ds]]))</f>
        <v>46082</v>
      </c>
      <c r="C433">
        <v>40</v>
      </c>
      <c r="D433" s="1">
        <v>46082.333333333336</v>
      </c>
      <c r="E433">
        <v>597.17581136701551</v>
      </c>
      <c r="F433">
        <v>-1958.0508952737991</v>
      </c>
      <c r="G433">
        <v>3367.7892786529987</v>
      </c>
      <c r="H433" s="1">
        <v>46053.333333333336</v>
      </c>
    </row>
    <row r="434" spans="1:8" x14ac:dyDescent="0.25">
      <c r="A434" s="7">
        <f>DATE(YEAR(m1_crossvalid[[#This Row],[cutoff]]),MONTH(m1_crossvalid[[#This Row],[cutoff]]),DAY(m1_crossvalid[[#This Row],[cutoff]]))</f>
        <v>46053</v>
      </c>
      <c r="B434" s="7">
        <f>DATE(YEAR(m1_crossvalid[[#This Row],[ds]]),MONTH(m1_crossvalid[[#This Row],[ds]]),DAY(m1_crossvalid[[#This Row],[ds]]))</f>
        <v>46083</v>
      </c>
      <c r="C434">
        <v>617</v>
      </c>
      <c r="D434" s="1">
        <v>46083.333333333336</v>
      </c>
      <c r="E434">
        <v>2925.5047370166785</v>
      </c>
      <c r="F434">
        <v>262.62802143846778</v>
      </c>
      <c r="G434">
        <v>5528.5175566848538</v>
      </c>
      <c r="H434" s="1">
        <v>46053.333333333336</v>
      </c>
    </row>
    <row r="435" spans="1:8" x14ac:dyDescent="0.25">
      <c r="A435" s="7">
        <f>DATE(YEAR(m1_crossvalid[[#This Row],[cutoff]]),MONTH(m1_crossvalid[[#This Row],[cutoff]]),DAY(m1_crossvalid[[#This Row],[cutoff]]))</f>
        <v>46053</v>
      </c>
      <c r="B435" s="7">
        <f>DATE(YEAR(m1_crossvalid[[#This Row],[ds]]),MONTH(m1_crossvalid[[#This Row],[ds]]),DAY(m1_crossvalid[[#This Row],[ds]]))</f>
        <v>46084</v>
      </c>
      <c r="C435">
        <v>799</v>
      </c>
      <c r="D435" s="1">
        <v>46084.333333333336</v>
      </c>
      <c r="E435">
        <v>3496.0722582347316</v>
      </c>
      <c r="F435">
        <v>852.25235987673125</v>
      </c>
      <c r="G435">
        <v>6012.7721168608705</v>
      </c>
      <c r="H435" s="1">
        <v>46053.333333333336</v>
      </c>
    </row>
    <row r="436" spans="1:8" x14ac:dyDescent="0.25">
      <c r="A436" s="7">
        <f>DATE(YEAR(m1_crossvalid[[#This Row],[cutoff]]),MONTH(m1_crossvalid[[#This Row],[cutoff]]),DAY(m1_crossvalid[[#This Row],[cutoff]]))</f>
        <v>46081</v>
      </c>
      <c r="B436" s="7">
        <f>DATE(YEAR(m1_crossvalid[[#This Row],[ds]]),MONTH(m1_crossvalid[[#This Row],[ds]]),DAY(m1_crossvalid[[#This Row],[ds]]))</f>
        <v>46082</v>
      </c>
      <c r="C436">
        <v>40</v>
      </c>
      <c r="D436" s="1">
        <v>46082.333333333336</v>
      </c>
      <c r="E436">
        <v>759.03135531903126</v>
      </c>
      <c r="F436">
        <v>-2079.0495709020247</v>
      </c>
      <c r="G436">
        <v>3451.3373938430827</v>
      </c>
      <c r="H436" s="1">
        <v>46081.333333333336</v>
      </c>
    </row>
    <row r="437" spans="1:8" x14ac:dyDescent="0.25">
      <c r="A437" s="7">
        <f>DATE(YEAR(m1_crossvalid[[#This Row],[cutoff]]),MONTH(m1_crossvalid[[#This Row],[cutoff]]),DAY(m1_crossvalid[[#This Row],[cutoff]]))</f>
        <v>46081</v>
      </c>
      <c r="B437" s="7">
        <f>DATE(YEAR(m1_crossvalid[[#This Row],[ds]]),MONTH(m1_crossvalid[[#This Row],[ds]]),DAY(m1_crossvalid[[#This Row],[ds]]))</f>
        <v>46083</v>
      </c>
      <c r="C437">
        <v>617</v>
      </c>
      <c r="D437" s="1">
        <v>46083.333333333336</v>
      </c>
      <c r="E437">
        <v>3079.0870842143581</v>
      </c>
      <c r="F437">
        <v>372.1466147991714</v>
      </c>
      <c r="G437">
        <v>5599.4952765825292</v>
      </c>
      <c r="H437" s="1">
        <v>46081.333333333336</v>
      </c>
    </row>
    <row r="438" spans="1:8" x14ac:dyDescent="0.25">
      <c r="A438" s="7">
        <f>DATE(YEAR(m1_crossvalid[[#This Row],[cutoff]]),MONTH(m1_crossvalid[[#This Row],[cutoff]]),DAY(m1_crossvalid[[#This Row],[cutoff]]))</f>
        <v>46081</v>
      </c>
      <c r="B438" s="7">
        <f>DATE(YEAR(m1_crossvalid[[#This Row],[ds]]),MONTH(m1_crossvalid[[#This Row],[ds]]),DAY(m1_crossvalid[[#This Row],[ds]]))</f>
        <v>46084</v>
      </c>
      <c r="C438">
        <v>799</v>
      </c>
      <c r="D438" s="1">
        <v>46084.333333333336</v>
      </c>
      <c r="E438">
        <v>3643.9015677592215</v>
      </c>
      <c r="F438">
        <v>973.71524455757435</v>
      </c>
      <c r="G438">
        <v>6222.2147718166507</v>
      </c>
      <c r="H438" s="1">
        <v>46081.333333333336</v>
      </c>
    </row>
    <row r="439" spans="1:8" x14ac:dyDescent="0.25">
      <c r="A439" s="7">
        <f>DATE(YEAR(m1_crossvalid[[#This Row],[cutoff]]),MONTH(m1_crossvalid[[#This Row],[cutoff]]),DAY(m1_crossvalid[[#This Row],[cutoff]]))</f>
        <v>46081</v>
      </c>
      <c r="B439" s="7">
        <f>DATE(YEAR(m1_crossvalid[[#This Row],[ds]]),MONTH(m1_crossvalid[[#This Row],[ds]]),DAY(m1_crossvalid[[#This Row],[ds]]))</f>
        <v>46085</v>
      </c>
      <c r="C439">
        <v>995</v>
      </c>
      <c r="D439" s="1">
        <v>46085.333333333336</v>
      </c>
      <c r="E439">
        <v>3744.3274384845981</v>
      </c>
      <c r="F439">
        <v>882.01107614151329</v>
      </c>
      <c r="G439">
        <v>6495.929067027053</v>
      </c>
      <c r="H439" s="1">
        <v>46081.333333333336</v>
      </c>
    </row>
    <row r="440" spans="1:8" x14ac:dyDescent="0.25">
      <c r="A440" s="7">
        <f>DATE(YEAR(m1_crossvalid[[#This Row],[cutoff]]),MONTH(m1_crossvalid[[#This Row],[cutoff]]),DAY(m1_crossvalid[[#This Row],[cutoff]]))</f>
        <v>46081</v>
      </c>
      <c r="B440" s="7">
        <f>DATE(YEAR(m1_crossvalid[[#This Row],[ds]]),MONTH(m1_crossvalid[[#This Row],[ds]]),DAY(m1_crossvalid[[#This Row],[ds]]))</f>
        <v>46086</v>
      </c>
      <c r="C440">
        <v>1314</v>
      </c>
      <c r="D440" s="1">
        <v>46086.333333333336</v>
      </c>
      <c r="E440">
        <v>3779.1654321786368</v>
      </c>
      <c r="F440">
        <v>912.48385748693613</v>
      </c>
      <c r="G440">
        <v>6489.8375746406155</v>
      </c>
      <c r="H440" s="1">
        <v>46081.333333333336</v>
      </c>
    </row>
    <row r="441" spans="1:8" x14ac:dyDescent="0.25">
      <c r="A441" s="7">
        <f>DATE(YEAR(m1_crossvalid[[#This Row],[cutoff]]),MONTH(m1_crossvalid[[#This Row],[cutoff]]),DAY(m1_crossvalid[[#This Row],[cutoff]]))</f>
        <v>46081</v>
      </c>
      <c r="B441" s="7">
        <f>DATE(YEAR(m1_crossvalid[[#This Row],[ds]]),MONTH(m1_crossvalid[[#This Row],[ds]]),DAY(m1_crossvalid[[#This Row],[ds]]))</f>
        <v>46087</v>
      </c>
      <c r="C441">
        <v>1617</v>
      </c>
      <c r="D441" s="1">
        <v>46087.333333333336</v>
      </c>
      <c r="E441">
        <v>3862.6031730662708</v>
      </c>
      <c r="F441">
        <v>1068.341000130391</v>
      </c>
      <c r="G441">
        <v>6730.1249696937102</v>
      </c>
      <c r="H441" s="1">
        <v>46081.333333333336</v>
      </c>
    </row>
    <row r="442" spans="1:8" x14ac:dyDescent="0.25">
      <c r="A442" s="7">
        <f>DATE(YEAR(m1_crossvalid[[#This Row],[cutoff]]),MONTH(m1_crossvalid[[#This Row],[cutoff]]),DAY(m1_crossvalid[[#This Row],[cutoff]]))</f>
        <v>46081</v>
      </c>
      <c r="B442" s="7">
        <f>DATE(YEAR(m1_crossvalid[[#This Row],[ds]]),MONTH(m1_crossvalid[[#This Row],[ds]]),DAY(m1_crossvalid[[#This Row],[ds]]))</f>
        <v>46088</v>
      </c>
      <c r="C442">
        <v>220</v>
      </c>
      <c r="D442" s="1">
        <v>46088.333333333336</v>
      </c>
      <c r="E442">
        <v>1633.8431415348496</v>
      </c>
      <c r="F442">
        <v>-1195.9937344022974</v>
      </c>
      <c r="G442">
        <v>4321.8189155182645</v>
      </c>
      <c r="H442" s="1">
        <v>46081.333333333336</v>
      </c>
    </row>
    <row r="443" spans="1:8" x14ac:dyDescent="0.25">
      <c r="A443" s="7">
        <f>DATE(YEAR(m1_crossvalid[[#This Row],[cutoff]]),MONTH(m1_crossvalid[[#This Row],[cutoff]]),DAY(m1_crossvalid[[#This Row],[cutoff]]))</f>
        <v>46081</v>
      </c>
      <c r="B443" s="7">
        <f>DATE(YEAR(m1_crossvalid[[#This Row],[ds]]),MONTH(m1_crossvalid[[#This Row],[ds]]),DAY(m1_crossvalid[[#This Row],[ds]]))</f>
        <v>46089</v>
      </c>
      <c r="C443">
        <v>43</v>
      </c>
      <c r="D443" s="1">
        <v>46089.333333333336</v>
      </c>
      <c r="E443">
        <v>1000.7111890698991</v>
      </c>
      <c r="F443">
        <v>-1787.2465606910941</v>
      </c>
      <c r="G443">
        <v>3603.2733346281693</v>
      </c>
      <c r="H443" s="1">
        <v>46081.333333333336</v>
      </c>
    </row>
    <row r="444" spans="1:8" x14ac:dyDescent="0.25">
      <c r="A444" s="7">
        <f>DATE(YEAR(m1_crossvalid[[#This Row],[cutoff]]),MONTH(m1_crossvalid[[#This Row],[cutoff]]),DAY(m1_crossvalid[[#This Row],[cutoff]]))</f>
        <v>46081</v>
      </c>
      <c r="B444" s="7">
        <f>DATE(YEAR(m1_crossvalid[[#This Row],[ds]]),MONTH(m1_crossvalid[[#This Row],[ds]]),DAY(m1_crossvalid[[#This Row],[ds]]))</f>
        <v>46090</v>
      </c>
      <c r="C444">
        <v>1766</v>
      </c>
      <c r="D444" s="1">
        <v>46090.333333333336</v>
      </c>
      <c r="E444">
        <v>3286.501084178426</v>
      </c>
      <c r="F444">
        <v>581.7779862958273</v>
      </c>
      <c r="G444">
        <v>6124.7261241397964</v>
      </c>
      <c r="H444" s="1">
        <v>46081.333333333336</v>
      </c>
    </row>
    <row r="445" spans="1:8" x14ac:dyDescent="0.25">
      <c r="A445" s="7">
        <f>DATE(YEAR(m1_crossvalid[[#This Row],[cutoff]]),MONTH(m1_crossvalid[[#This Row],[cutoff]]),DAY(m1_crossvalid[[#This Row],[cutoff]]))</f>
        <v>46081</v>
      </c>
      <c r="B445" s="7">
        <f>DATE(YEAR(m1_crossvalid[[#This Row],[ds]]),MONTH(m1_crossvalid[[#This Row],[ds]]),DAY(m1_crossvalid[[#This Row],[ds]]))</f>
        <v>46091</v>
      </c>
      <c r="C445">
        <v>2170</v>
      </c>
      <c r="D445" s="1">
        <v>46091.333333333336</v>
      </c>
      <c r="E445">
        <v>3814.3592356211102</v>
      </c>
      <c r="F445">
        <v>1184.1263660960105</v>
      </c>
      <c r="G445">
        <v>6508.5943643970031</v>
      </c>
      <c r="H445" s="1">
        <v>46081.333333333336</v>
      </c>
    </row>
    <row r="446" spans="1:8" x14ac:dyDescent="0.25">
      <c r="A446" s="7">
        <f>DATE(YEAR(m1_crossvalid[[#This Row],[cutoff]]),MONTH(m1_crossvalid[[#This Row],[cutoff]]),DAY(m1_crossvalid[[#This Row],[cutoff]]))</f>
        <v>46081</v>
      </c>
      <c r="B446" s="7">
        <f>DATE(YEAR(m1_crossvalid[[#This Row],[ds]]),MONTH(m1_crossvalid[[#This Row],[ds]]),DAY(m1_crossvalid[[#This Row],[ds]]))</f>
        <v>46092</v>
      </c>
      <c r="C446">
        <v>2907</v>
      </c>
      <c r="D446" s="1">
        <v>46092.333333333336</v>
      </c>
      <c r="E446">
        <v>3875.9316676173657</v>
      </c>
      <c r="F446">
        <v>1234.7033168984622</v>
      </c>
      <c r="G446">
        <v>6780.2934972204221</v>
      </c>
      <c r="H446" s="1">
        <v>46081.333333333336</v>
      </c>
    </row>
    <row r="447" spans="1:8" x14ac:dyDescent="0.25">
      <c r="A447" s="7">
        <f>DATE(YEAR(m1_crossvalid[[#This Row],[cutoff]]),MONTH(m1_crossvalid[[#This Row],[cutoff]]),DAY(m1_crossvalid[[#This Row],[cutoff]]))</f>
        <v>46081</v>
      </c>
      <c r="B447" s="7">
        <f>DATE(YEAR(m1_crossvalid[[#This Row],[ds]]),MONTH(m1_crossvalid[[#This Row],[ds]]),DAY(m1_crossvalid[[#This Row],[ds]]))</f>
        <v>46093</v>
      </c>
      <c r="C447">
        <v>3020</v>
      </c>
      <c r="D447" s="1">
        <v>46093.333333333336</v>
      </c>
      <c r="E447">
        <v>3870.8439063083733</v>
      </c>
      <c r="F447">
        <v>1137.4158845571533</v>
      </c>
      <c r="G447">
        <v>6607.3759802687218</v>
      </c>
      <c r="H447" s="1">
        <v>46081.333333333336</v>
      </c>
    </row>
    <row r="448" spans="1:8" x14ac:dyDescent="0.25">
      <c r="A448" s="7">
        <f>DATE(YEAR(m1_crossvalid[[#This Row],[cutoff]]),MONTH(m1_crossvalid[[#This Row],[cutoff]]),DAY(m1_crossvalid[[#This Row],[cutoff]]))</f>
        <v>46081</v>
      </c>
      <c r="B448" s="7">
        <f>DATE(YEAR(m1_crossvalid[[#This Row],[ds]]),MONTH(m1_crossvalid[[#This Row],[ds]]),DAY(m1_crossvalid[[#This Row],[ds]]))</f>
        <v>46094</v>
      </c>
      <c r="C448">
        <v>3551</v>
      </c>
      <c r="D448" s="1">
        <v>46094.333333333336</v>
      </c>
      <c r="E448">
        <v>3914.1177636665498</v>
      </c>
      <c r="F448">
        <v>1400.6426436812158</v>
      </c>
      <c r="G448">
        <v>6837.3767219172823</v>
      </c>
      <c r="H448" s="1">
        <v>46081.333333333336</v>
      </c>
    </row>
    <row r="449" spans="1:8" x14ac:dyDescent="0.25">
      <c r="A449" s="7">
        <f>DATE(YEAR(m1_crossvalid[[#This Row],[cutoff]]),MONTH(m1_crossvalid[[#This Row],[cutoff]]),DAY(m1_crossvalid[[#This Row],[cutoff]]))</f>
        <v>46081</v>
      </c>
      <c r="B449" s="7">
        <f>DATE(YEAR(m1_crossvalid[[#This Row],[ds]]),MONTH(m1_crossvalid[[#This Row],[ds]]),DAY(m1_crossvalid[[#This Row],[ds]]))</f>
        <v>46095</v>
      </c>
      <c r="C449">
        <v>1088</v>
      </c>
      <c r="D449" s="1">
        <v>46095.333333333336</v>
      </c>
      <c r="E449">
        <v>1645.7773568403575</v>
      </c>
      <c r="F449">
        <v>-898.3695237178822</v>
      </c>
      <c r="G449">
        <v>4241.6016834394577</v>
      </c>
      <c r="H449" s="1">
        <v>46081.333333333336</v>
      </c>
    </row>
    <row r="450" spans="1:8" x14ac:dyDescent="0.25">
      <c r="A450" s="7">
        <f>DATE(YEAR(m1_crossvalid[[#This Row],[cutoff]]),MONTH(m1_crossvalid[[#This Row],[cutoff]]),DAY(m1_crossvalid[[#This Row],[cutoff]]))</f>
        <v>46081</v>
      </c>
      <c r="B450" s="7">
        <f>DATE(YEAR(m1_crossvalid[[#This Row],[ds]]),MONTH(m1_crossvalid[[#This Row],[ds]]),DAY(m1_crossvalid[[#This Row],[ds]]))</f>
        <v>46096</v>
      </c>
      <c r="C450">
        <v>228</v>
      </c>
      <c r="D450" s="1">
        <v>46096.333333333336</v>
      </c>
      <c r="E450">
        <v>974.43633479121513</v>
      </c>
      <c r="F450">
        <v>-1796.0019854222451</v>
      </c>
      <c r="G450">
        <v>3904.4694577399214</v>
      </c>
      <c r="H450" s="1">
        <v>46081.333333333336</v>
      </c>
    </row>
    <row r="451" spans="1:8" x14ac:dyDescent="0.25">
      <c r="A451" s="7">
        <f>DATE(YEAR(m1_crossvalid[[#This Row],[cutoff]]),MONTH(m1_crossvalid[[#This Row],[cutoff]]),DAY(m1_crossvalid[[#This Row],[cutoff]]))</f>
        <v>46081</v>
      </c>
      <c r="B451" s="7">
        <f>DATE(YEAR(m1_crossvalid[[#This Row],[ds]]),MONTH(m1_crossvalid[[#This Row],[ds]]),DAY(m1_crossvalid[[#This Row],[ds]]))</f>
        <v>46097</v>
      </c>
      <c r="C451">
        <v>3950</v>
      </c>
      <c r="D451" s="1">
        <v>46097.333333333336</v>
      </c>
      <c r="E451">
        <v>3224.1223781852414</v>
      </c>
      <c r="F451">
        <v>622.35086972605325</v>
      </c>
      <c r="G451">
        <v>6044.3435576814936</v>
      </c>
      <c r="H451" s="1">
        <v>46081.333333333336</v>
      </c>
    </row>
    <row r="452" spans="1:8" x14ac:dyDescent="0.25">
      <c r="A452" s="7">
        <f>DATE(YEAR(m1_crossvalid[[#This Row],[cutoff]]),MONTH(m1_crossvalid[[#This Row],[cutoff]]),DAY(m1_crossvalid[[#This Row],[cutoff]]))</f>
        <v>46081</v>
      </c>
      <c r="B452" s="7">
        <f>DATE(YEAR(m1_crossvalid[[#This Row],[ds]]),MONTH(m1_crossvalid[[#This Row],[ds]]),DAY(m1_crossvalid[[#This Row],[ds]]))</f>
        <v>46098</v>
      </c>
      <c r="C452">
        <v>5807</v>
      </c>
      <c r="D452" s="1">
        <v>46098.333333333336</v>
      </c>
      <c r="E452">
        <v>3718.6436599225322</v>
      </c>
      <c r="F452">
        <v>1091.8168964694514</v>
      </c>
      <c r="G452">
        <v>6514.3711750067723</v>
      </c>
      <c r="H452" s="1">
        <v>46081.333333333336</v>
      </c>
    </row>
    <row r="453" spans="1:8" x14ac:dyDescent="0.25">
      <c r="A453" s="7">
        <f>DATE(YEAR(m1_crossvalid[[#This Row],[cutoff]]),MONTH(m1_crossvalid[[#This Row],[cutoff]]),DAY(m1_crossvalid[[#This Row],[cutoff]]))</f>
        <v>46081</v>
      </c>
      <c r="B453" s="7">
        <f>DATE(YEAR(m1_crossvalid[[#This Row],[ds]]),MONTH(m1_crossvalid[[#This Row],[ds]]),DAY(m1_crossvalid[[#This Row],[ds]]))</f>
        <v>46099</v>
      </c>
      <c r="C453">
        <v>5295</v>
      </c>
      <c r="D453" s="1">
        <v>46099.333333333336</v>
      </c>
      <c r="E453">
        <v>3750.219826095803</v>
      </c>
      <c r="F453">
        <v>971.67280751913916</v>
      </c>
      <c r="G453">
        <v>6260.8117740208763</v>
      </c>
      <c r="H453" s="1">
        <v>46081.333333333336</v>
      </c>
    </row>
    <row r="454" spans="1:8" x14ac:dyDescent="0.25">
      <c r="A454" s="7">
        <f>DATE(YEAR(m1_crossvalid[[#This Row],[cutoff]]),MONTH(m1_crossvalid[[#This Row],[cutoff]]),DAY(m1_crossvalid[[#This Row],[cutoff]]))</f>
        <v>46081</v>
      </c>
      <c r="B454" s="7">
        <f>DATE(YEAR(m1_crossvalid[[#This Row],[ds]]),MONTH(m1_crossvalid[[#This Row],[ds]]),DAY(m1_crossvalid[[#This Row],[ds]]))</f>
        <v>46100</v>
      </c>
      <c r="C454">
        <v>3557</v>
      </c>
      <c r="D454" s="1">
        <v>46100.333333333336</v>
      </c>
      <c r="E454">
        <v>3718.9485725550776</v>
      </c>
      <c r="F454">
        <v>1006.2274788067601</v>
      </c>
      <c r="G454">
        <v>6396.5848176297268</v>
      </c>
      <c r="H454" s="1">
        <v>46081.333333333336</v>
      </c>
    </row>
    <row r="455" spans="1:8" x14ac:dyDescent="0.25">
      <c r="A455" s="7">
        <f>DATE(YEAR(m1_crossvalid[[#This Row],[cutoff]]),MONTH(m1_crossvalid[[#This Row],[cutoff]]),DAY(m1_crossvalid[[#This Row],[cutoff]]))</f>
        <v>46081</v>
      </c>
      <c r="B455" s="7">
        <f>DATE(YEAR(m1_crossvalid[[#This Row],[ds]]),MONTH(m1_crossvalid[[#This Row],[ds]]),DAY(m1_crossvalid[[#This Row],[ds]]))</f>
        <v>46101</v>
      </c>
      <c r="C455">
        <v>61</v>
      </c>
      <c r="D455" s="1">
        <v>46101.333333333336</v>
      </c>
      <c r="E455">
        <v>3740.212139084234</v>
      </c>
      <c r="F455">
        <v>1273.5338722500096</v>
      </c>
      <c r="G455">
        <v>6375.9278020032816</v>
      </c>
      <c r="H455" s="1">
        <v>46081.333333333336</v>
      </c>
    </row>
    <row r="456" spans="1:8" x14ac:dyDescent="0.25">
      <c r="A456" s="7">
        <f>DATE(YEAR(m1_crossvalid[[#This Row],[cutoff]]),MONTH(m1_crossvalid[[#This Row],[cutoff]]),DAY(m1_crossvalid[[#This Row],[cutoff]]))</f>
        <v>46081</v>
      </c>
      <c r="B456" s="7">
        <f>DATE(YEAR(m1_crossvalid[[#This Row],[ds]]),MONTH(m1_crossvalid[[#This Row],[ds]]),DAY(m1_crossvalid[[#This Row],[ds]]))</f>
        <v>46102</v>
      </c>
      <c r="C456">
        <v>3</v>
      </c>
      <c r="D456" s="1">
        <v>46102.333333333336</v>
      </c>
      <c r="E456">
        <v>1454.2763060097047</v>
      </c>
      <c r="F456">
        <v>-1273.0341421006292</v>
      </c>
      <c r="G456">
        <v>3968.5497335947157</v>
      </c>
      <c r="H456" s="1">
        <v>46081.333333333336</v>
      </c>
    </row>
    <row r="457" spans="1:8" x14ac:dyDescent="0.25">
      <c r="A457" s="7">
        <f>DATE(YEAR(m1_crossvalid[[#This Row],[cutoff]]),MONTH(m1_crossvalid[[#This Row],[cutoff]]),DAY(m1_crossvalid[[#This Row],[cutoff]]))</f>
        <v>46081</v>
      </c>
      <c r="B457" s="7">
        <f>DATE(YEAR(m1_crossvalid[[#This Row],[ds]]),MONTH(m1_crossvalid[[#This Row],[ds]]),DAY(m1_crossvalid[[#This Row],[ds]]))</f>
        <v>46103</v>
      </c>
      <c r="C457">
        <v>6</v>
      </c>
      <c r="D457" s="1">
        <v>46103.333333333336</v>
      </c>
      <c r="E457">
        <v>769.87401695268954</v>
      </c>
      <c r="F457">
        <v>-1767.4446894941107</v>
      </c>
      <c r="G457">
        <v>3444.2134707318478</v>
      </c>
      <c r="H457" s="1">
        <v>46081.333333333336</v>
      </c>
    </row>
    <row r="458" spans="1:8" x14ac:dyDescent="0.25">
      <c r="A458" s="7">
        <f>DATE(YEAR(m1_crossvalid[[#This Row],[cutoff]]),MONTH(m1_crossvalid[[#This Row],[cutoff]]),DAY(m1_crossvalid[[#This Row],[cutoff]]))</f>
        <v>46081</v>
      </c>
      <c r="B458" s="7">
        <f>DATE(YEAR(m1_crossvalid[[#This Row],[ds]]),MONTH(m1_crossvalid[[#This Row],[ds]]),DAY(m1_crossvalid[[#This Row],[ds]]))</f>
        <v>46104</v>
      </c>
      <c r="C458">
        <v>23</v>
      </c>
      <c r="D458" s="1">
        <v>46104.333333333336</v>
      </c>
      <c r="E458">
        <v>3011.0297472012239</v>
      </c>
      <c r="F458">
        <v>161.03685344464611</v>
      </c>
      <c r="G458">
        <v>5618.4384803165312</v>
      </c>
      <c r="H458" s="1">
        <v>46081.333333333336</v>
      </c>
    </row>
    <row r="459" spans="1:8" x14ac:dyDescent="0.25">
      <c r="A459" s="7">
        <f>DATE(YEAR(m1_crossvalid[[#This Row],[cutoff]]),MONTH(m1_crossvalid[[#This Row],[cutoff]]),DAY(m1_crossvalid[[#This Row],[cutoff]]))</f>
        <v>46081</v>
      </c>
      <c r="B459" s="7">
        <f>DATE(YEAR(m1_crossvalid[[#This Row],[ds]]),MONTH(m1_crossvalid[[#This Row],[ds]]),DAY(m1_crossvalid[[#This Row],[ds]]))</f>
        <v>46105</v>
      </c>
      <c r="C459">
        <v>974</v>
      </c>
      <c r="D459" s="1">
        <v>46105.333333333336</v>
      </c>
      <c r="E459">
        <v>3501.4292598857628</v>
      </c>
      <c r="F459">
        <v>836.19352147513291</v>
      </c>
      <c r="G459">
        <v>6204.958568826597</v>
      </c>
      <c r="H459" s="1">
        <v>46081.333333333336</v>
      </c>
    </row>
    <row r="460" spans="1:8" x14ac:dyDescent="0.25">
      <c r="A460" s="7">
        <f>DATE(YEAR(m1_crossvalid[[#This Row],[cutoff]]),MONTH(m1_crossvalid[[#This Row],[cutoff]]),DAY(m1_crossvalid[[#This Row],[cutoff]]))</f>
        <v>46081</v>
      </c>
      <c r="B460" s="7">
        <f>DATE(YEAR(m1_crossvalid[[#This Row],[ds]]),MONTH(m1_crossvalid[[#This Row],[ds]]),DAY(m1_crossvalid[[#This Row],[ds]]))</f>
        <v>46106</v>
      </c>
      <c r="C460">
        <v>1752</v>
      </c>
      <c r="D460" s="1">
        <v>46106.333333333336</v>
      </c>
      <c r="E460">
        <v>3533.0571675937686</v>
      </c>
      <c r="F460">
        <v>848.60813995610567</v>
      </c>
      <c r="G460">
        <v>6107.1163738600371</v>
      </c>
      <c r="H460" s="1">
        <v>46081.333333333336</v>
      </c>
    </row>
    <row r="461" spans="1:8" x14ac:dyDescent="0.25">
      <c r="A461" s="7">
        <f>DATE(YEAR(m1_crossvalid[[#This Row],[cutoff]]),MONTH(m1_crossvalid[[#This Row],[cutoff]]),DAY(m1_crossvalid[[#This Row],[cutoff]]))</f>
        <v>46081</v>
      </c>
      <c r="B461" s="7">
        <f>DATE(YEAR(m1_crossvalid[[#This Row],[ds]]),MONTH(m1_crossvalid[[#This Row],[ds]]),DAY(m1_crossvalid[[#This Row],[ds]]))</f>
        <v>46107</v>
      </c>
      <c r="C461">
        <v>2884</v>
      </c>
      <c r="D461" s="1">
        <v>46107.333333333336</v>
      </c>
      <c r="E461">
        <v>3505.6731415817435</v>
      </c>
      <c r="F461">
        <v>1066.5966972827091</v>
      </c>
      <c r="G461">
        <v>6444.9564509369038</v>
      </c>
      <c r="H461" s="1">
        <v>46081.333333333336</v>
      </c>
    </row>
    <row r="462" spans="1:8" x14ac:dyDescent="0.25">
      <c r="A462" s="7">
        <f>DATE(YEAR(m1_crossvalid[[#This Row],[cutoff]]),MONTH(m1_crossvalid[[#This Row],[cutoff]]),DAY(m1_crossvalid[[#This Row],[cutoff]]))</f>
        <v>46081</v>
      </c>
      <c r="B462" s="7">
        <f>DATE(YEAR(m1_crossvalid[[#This Row],[ds]]),MONTH(m1_crossvalid[[#This Row],[ds]]),DAY(m1_crossvalid[[#This Row],[ds]]))</f>
        <v>46108</v>
      </c>
      <c r="C462">
        <v>3597</v>
      </c>
      <c r="D462" s="1">
        <v>46108.333333333336</v>
      </c>
      <c r="E462">
        <v>3534.2307729495897</v>
      </c>
      <c r="F462">
        <v>806.16199188666178</v>
      </c>
      <c r="G462">
        <v>6098.9763637691476</v>
      </c>
      <c r="H462" s="1">
        <v>46081.333333333336</v>
      </c>
    </row>
    <row r="463" spans="1:8" x14ac:dyDescent="0.25">
      <c r="A463" s="7">
        <f>DATE(YEAR(m1_crossvalid[[#This Row],[cutoff]]),MONTH(m1_crossvalid[[#This Row],[cutoff]]),DAY(m1_crossvalid[[#This Row],[cutoff]]))</f>
        <v>46081</v>
      </c>
      <c r="B463" s="7">
        <f>DATE(YEAR(m1_crossvalid[[#This Row],[ds]]),MONTH(m1_crossvalid[[#This Row],[ds]]),DAY(m1_crossvalid[[#This Row],[ds]]))</f>
        <v>46109</v>
      </c>
      <c r="C463">
        <v>1207</v>
      </c>
      <c r="D463" s="1">
        <v>46109.333333333336</v>
      </c>
      <c r="E463">
        <v>1258.4912794997551</v>
      </c>
      <c r="F463">
        <v>-1692.5076174488588</v>
      </c>
      <c r="G463">
        <v>3712.5334773445984</v>
      </c>
      <c r="H463" s="1">
        <v>46081.333333333336</v>
      </c>
    </row>
    <row r="464" spans="1:8" x14ac:dyDescent="0.25">
      <c r="A464" s="7">
        <f>DATE(YEAR(m1_crossvalid[[#This Row],[cutoff]]),MONTH(m1_crossvalid[[#This Row],[cutoff]]),DAY(m1_crossvalid[[#This Row],[cutoff]]))</f>
        <v>46081</v>
      </c>
      <c r="B464" s="7">
        <f>DATE(YEAR(m1_crossvalid[[#This Row],[ds]]),MONTH(m1_crossvalid[[#This Row],[ds]]),DAY(m1_crossvalid[[#This Row],[ds]]))</f>
        <v>46110</v>
      </c>
      <c r="C464">
        <v>183</v>
      </c>
      <c r="D464" s="1">
        <v>46110.333333333336</v>
      </c>
      <c r="E464">
        <v>586.62372847186771</v>
      </c>
      <c r="F464">
        <v>-2232.4047378348469</v>
      </c>
      <c r="G464">
        <v>3329.0694208241453</v>
      </c>
      <c r="H464" s="1">
        <v>46081.333333333336</v>
      </c>
    </row>
    <row r="465" spans="1:8" x14ac:dyDescent="0.25">
      <c r="A465" s="7">
        <f>DATE(YEAR(m1_crossvalid[[#This Row],[cutoff]]),MONTH(m1_crossvalid[[#This Row],[cutoff]]),DAY(m1_crossvalid[[#This Row],[cutoff]]))</f>
        <v>46081</v>
      </c>
      <c r="B465" s="7">
        <f>DATE(YEAR(m1_crossvalid[[#This Row],[ds]]),MONTH(m1_crossvalid[[#This Row],[ds]]),DAY(m1_crossvalid[[#This Row],[ds]]))</f>
        <v>46111</v>
      </c>
      <c r="C465">
        <v>4959</v>
      </c>
      <c r="D465" s="1">
        <v>46111.333333333336</v>
      </c>
      <c r="E465">
        <v>2842.0473930102007</v>
      </c>
      <c r="F465">
        <v>128.69717891841773</v>
      </c>
      <c r="G465">
        <v>5551.9407149226772</v>
      </c>
      <c r="H465" s="1">
        <v>46081.333333333336</v>
      </c>
    </row>
    <row r="466" spans="1:8" x14ac:dyDescent="0.25">
      <c r="A466" s="7">
        <f>DATE(YEAR(m1_crossvalid[[#This Row],[cutoff]]),MONTH(m1_crossvalid[[#This Row],[cutoff]]),DAY(m1_crossvalid[[#This Row],[cutoff]]))</f>
        <v>46081</v>
      </c>
      <c r="B466" s="7">
        <f>DATE(YEAR(m1_crossvalid[[#This Row],[ds]]),MONTH(m1_crossvalid[[#This Row],[ds]]),DAY(m1_crossvalid[[#This Row],[ds]]))</f>
        <v>46112</v>
      </c>
      <c r="C466">
        <v>13213</v>
      </c>
      <c r="D466" s="1">
        <v>46112.333333333336</v>
      </c>
      <c r="E466">
        <v>3347.8203488354889</v>
      </c>
      <c r="F466">
        <v>603.58288091029488</v>
      </c>
      <c r="G466">
        <v>6202.7719846576465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E697-4367-444E-BF49-F14B6AD61B48}">
  <dimension ref="A1:H466"/>
  <sheetViews>
    <sheetView workbookViewId="0"/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DATE(YEAR(m2_crossvalid[[#This Row],[cutoff]]),MONTH(m2_crossvalid[[#This Row],[cutoff]]),DAY(m2_crossvalid[[#This Row],[cutoff]]))</f>
        <v>45657</v>
      </c>
      <c r="B2" s="7">
        <f>DATE(YEAR(m2_crossvalid[[#This Row],[ds]]),MONTH(m2_crossvalid[[#This Row],[ds]]),DAY(m2_crossvalid[[#This Row],[ds]]))</f>
        <v>45658</v>
      </c>
      <c r="C2">
        <v>90</v>
      </c>
      <c r="D2" s="1">
        <v>45658.333333333336</v>
      </c>
      <c r="E2">
        <v>4095.5033909017252</v>
      </c>
      <c r="F2">
        <v>2259.5287201043807</v>
      </c>
      <c r="G2">
        <v>6013.1462655481755</v>
      </c>
      <c r="H2" s="1">
        <v>45657.333333333336</v>
      </c>
    </row>
    <row r="3" spans="1:8" x14ac:dyDescent="0.25">
      <c r="A3" s="7">
        <f>DATE(YEAR(m2_crossvalid[[#This Row],[cutoff]]),MONTH(m2_crossvalid[[#This Row],[cutoff]]),DAY(m2_crossvalid[[#This Row],[cutoff]]))</f>
        <v>45657</v>
      </c>
      <c r="B3" s="7">
        <f>DATE(YEAR(m2_crossvalid[[#This Row],[ds]]),MONTH(m2_crossvalid[[#This Row],[ds]]),DAY(m2_crossvalid[[#This Row],[ds]]))</f>
        <v>45659</v>
      </c>
      <c r="C3">
        <v>541</v>
      </c>
      <c r="D3" s="1">
        <v>45659.333333333336</v>
      </c>
      <c r="E3">
        <v>2253.1822027252265</v>
      </c>
      <c r="F3">
        <v>294.80032856185761</v>
      </c>
      <c r="G3">
        <v>4195.5112015414188</v>
      </c>
      <c r="H3" s="1">
        <v>45657.333333333336</v>
      </c>
    </row>
    <row r="4" spans="1:8" x14ac:dyDescent="0.25">
      <c r="A4" s="7">
        <f>DATE(YEAR(m2_crossvalid[[#This Row],[cutoff]]),MONTH(m2_crossvalid[[#This Row],[cutoff]]),DAY(m2_crossvalid[[#This Row],[cutoff]]))</f>
        <v>45657</v>
      </c>
      <c r="B4" s="7">
        <f>DATE(YEAR(m2_crossvalid[[#This Row],[ds]]),MONTH(m2_crossvalid[[#This Row],[ds]]),DAY(m2_crossvalid[[#This Row],[ds]]))</f>
        <v>45660</v>
      </c>
      <c r="C4">
        <v>563</v>
      </c>
      <c r="D4" s="1">
        <v>45660.333333333336</v>
      </c>
      <c r="E4">
        <v>1152.5289199198837</v>
      </c>
      <c r="F4">
        <v>-710.39150755517937</v>
      </c>
      <c r="G4">
        <v>3048.7516022146069</v>
      </c>
      <c r="H4" s="1">
        <v>45657.333333333336</v>
      </c>
    </row>
    <row r="5" spans="1:8" x14ac:dyDescent="0.25">
      <c r="A5" s="7">
        <f>DATE(YEAR(m2_crossvalid[[#This Row],[cutoff]]),MONTH(m2_crossvalid[[#This Row],[cutoff]]),DAY(m2_crossvalid[[#This Row],[cutoff]]))</f>
        <v>45657</v>
      </c>
      <c r="B5" s="7">
        <f>DATE(YEAR(m2_crossvalid[[#This Row],[ds]]),MONTH(m2_crossvalid[[#This Row],[ds]]),DAY(m2_crossvalid[[#This Row],[ds]]))</f>
        <v>45661</v>
      </c>
      <c r="C5">
        <v>42</v>
      </c>
      <c r="D5" s="1">
        <v>45661.333333333336</v>
      </c>
      <c r="E5">
        <v>-1043.5396808411192</v>
      </c>
      <c r="F5">
        <v>-2872.5383401199774</v>
      </c>
      <c r="G5">
        <v>872.37490452534064</v>
      </c>
      <c r="H5" s="1">
        <v>45657.333333333336</v>
      </c>
    </row>
    <row r="6" spans="1:8" x14ac:dyDescent="0.25">
      <c r="A6" s="7">
        <f>DATE(YEAR(m2_crossvalid[[#This Row],[cutoff]]),MONTH(m2_crossvalid[[#This Row],[cutoff]]),DAY(m2_crossvalid[[#This Row],[cutoff]]))</f>
        <v>45657</v>
      </c>
      <c r="B6" s="7">
        <f>DATE(YEAR(m2_crossvalid[[#This Row],[ds]]),MONTH(m2_crossvalid[[#This Row],[ds]]),DAY(m2_crossvalid[[#This Row],[ds]]))</f>
        <v>45662</v>
      </c>
      <c r="C6">
        <v>22</v>
      </c>
      <c r="D6" s="1">
        <v>45662.333333333336</v>
      </c>
      <c r="E6">
        <v>-1137.7022905128333</v>
      </c>
      <c r="F6">
        <v>-3055.2588955250412</v>
      </c>
      <c r="G6">
        <v>658.08301007906448</v>
      </c>
      <c r="H6" s="1">
        <v>45657.333333333336</v>
      </c>
    </row>
    <row r="7" spans="1:8" x14ac:dyDescent="0.25">
      <c r="A7" s="7">
        <f>DATE(YEAR(m2_crossvalid[[#This Row],[cutoff]]),MONTH(m2_crossvalid[[#This Row],[cutoff]]),DAY(m2_crossvalid[[#This Row],[cutoff]]))</f>
        <v>45657</v>
      </c>
      <c r="B7" s="7">
        <f>DATE(YEAR(m2_crossvalid[[#This Row],[ds]]),MONTH(m2_crossvalid[[#This Row],[ds]]),DAY(m2_crossvalid[[#This Row],[ds]]))</f>
        <v>45663</v>
      </c>
      <c r="C7">
        <v>533</v>
      </c>
      <c r="D7" s="1">
        <v>45663.333333333336</v>
      </c>
      <c r="E7">
        <v>1504.4046573050393</v>
      </c>
      <c r="F7">
        <v>-516.51030261853566</v>
      </c>
      <c r="G7">
        <v>3391.3880906887853</v>
      </c>
      <c r="H7" s="1">
        <v>45657.333333333336</v>
      </c>
    </row>
    <row r="8" spans="1:8" x14ac:dyDescent="0.25">
      <c r="A8" s="7">
        <f>DATE(YEAR(m2_crossvalid[[#This Row],[cutoff]]),MONTH(m2_crossvalid[[#This Row],[cutoff]]),DAY(m2_crossvalid[[#This Row],[cutoff]]))</f>
        <v>45657</v>
      </c>
      <c r="B8" s="7">
        <f>DATE(YEAR(m2_crossvalid[[#This Row],[ds]]),MONTH(m2_crossvalid[[#This Row],[ds]]),DAY(m2_crossvalid[[#This Row],[ds]]))</f>
        <v>45664</v>
      </c>
      <c r="C8">
        <v>712</v>
      </c>
      <c r="D8" s="1">
        <v>45664.333333333336</v>
      </c>
      <c r="E8">
        <v>2042.9504043321442</v>
      </c>
      <c r="F8">
        <v>233.13552300291443</v>
      </c>
      <c r="G8">
        <v>3729.7018088300892</v>
      </c>
      <c r="H8" s="1">
        <v>45657.333333333336</v>
      </c>
    </row>
    <row r="9" spans="1:8" x14ac:dyDescent="0.25">
      <c r="A9" s="7">
        <f>DATE(YEAR(m2_crossvalid[[#This Row],[cutoff]]),MONTH(m2_crossvalid[[#This Row],[cutoff]]),DAY(m2_crossvalid[[#This Row],[cutoff]]))</f>
        <v>45657</v>
      </c>
      <c r="B9" s="7">
        <f>DATE(YEAR(m2_crossvalid[[#This Row],[ds]]),MONTH(m2_crossvalid[[#This Row],[ds]]),DAY(m2_crossvalid[[#This Row],[ds]]))</f>
        <v>45665</v>
      </c>
      <c r="C9">
        <v>904</v>
      </c>
      <c r="D9" s="1">
        <v>45665.333333333336</v>
      </c>
      <c r="E9">
        <v>1850.130716913357</v>
      </c>
      <c r="F9">
        <v>6.1160537267553883</v>
      </c>
      <c r="G9">
        <v>3651.1053088332014</v>
      </c>
      <c r="H9" s="1">
        <v>45657.333333333336</v>
      </c>
    </row>
    <row r="10" spans="1:8" x14ac:dyDescent="0.25">
      <c r="A10" s="7">
        <f>DATE(YEAR(m2_crossvalid[[#This Row],[cutoff]]),MONTH(m2_crossvalid[[#This Row],[cutoff]]),DAY(m2_crossvalid[[#This Row],[cutoff]]))</f>
        <v>45657</v>
      </c>
      <c r="B10" s="7">
        <f>DATE(YEAR(m2_crossvalid[[#This Row],[ds]]),MONTH(m2_crossvalid[[#This Row],[ds]]),DAY(m2_crossvalid[[#This Row],[ds]]))</f>
        <v>45666</v>
      </c>
      <c r="C10">
        <v>1135</v>
      </c>
      <c r="D10" s="1">
        <v>45666.333333333336</v>
      </c>
      <c r="E10">
        <v>1773.4087888378799</v>
      </c>
      <c r="F10">
        <v>-90.327101558168025</v>
      </c>
      <c r="G10">
        <v>3637.8429578697369</v>
      </c>
      <c r="H10" s="1">
        <v>45657.333333333336</v>
      </c>
    </row>
    <row r="11" spans="1:8" x14ac:dyDescent="0.25">
      <c r="A11" s="7">
        <f>DATE(YEAR(m2_crossvalid[[#This Row],[cutoff]]),MONTH(m2_crossvalid[[#This Row],[cutoff]]),DAY(m2_crossvalid[[#This Row],[cutoff]]))</f>
        <v>45657</v>
      </c>
      <c r="B11" s="7">
        <f>DATE(YEAR(m2_crossvalid[[#This Row],[ds]]),MONTH(m2_crossvalid[[#This Row],[ds]]),DAY(m2_crossvalid[[#This Row],[ds]]))</f>
        <v>45667</v>
      </c>
      <c r="C11">
        <v>1270</v>
      </c>
      <c r="D11" s="1">
        <v>45667.333333333336</v>
      </c>
      <c r="E11">
        <v>1814.021955223033</v>
      </c>
      <c r="F11">
        <v>-59.177844276267805</v>
      </c>
      <c r="G11">
        <v>3690.5516953207889</v>
      </c>
      <c r="H11" s="1">
        <v>45657.333333333336</v>
      </c>
    </row>
    <row r="12" spans="1:8" x14ac:dyDescent="0.25">
      <c r="A12" s="7">
        <f>DATE(YEAR(m2_crossvalid[[#This Row],[cutoff]]),MONTH(m2_crossvalid[[#This Row],[cutoff]]),DAY(m2_crossvalid[[#This Row],[cutoff]]))</f>
        <v>45657</v>
      </c>
      <c r="B12" s="7">
        <f>DATE(YEAR(m2_crossvalid[[#This Row],[ds]]),MONTH(m2_crossvalid[[#This Row],[ds]]),DAY(m2_crossvalid[[#This Row],[ds]]))</f>
        <v>45668</v>
      </c>
      <c r="C12">
        <v>203</v>
      </c>
      <c r="D12" s="1">
        <v>45668.333333333336</v>
      </c>
      <c r="E12">
        <v>-118.92957386588432</v>
      </c>
      <c r="F12">
        <v>-2123.6242742885897</v>
      </c>
      <c r="G12">
        <v>1572.1453823288964</v>
      </c>
      <c r="H12" s="1">
        <v>45657.333333333336</v>
      </c>
    </row>
    <row r="13" spans="1:8" x14ac:dyDescent="0.25">
      <c r="A13" s="7">
        <f>DATE(YEAR(m2_crossvalid[[#This Row],[cutoff]]),MONTH(m2_crossvalid[[#This Row],[cutoff]]),DAY(m2_crossvalid[[#This Row],[cutoff]]))</f>
        <v>45657</v>
      </c>
      <c r="B13" s="7">
        <f>DATE(YEAR(m2_crossvalid[[#This Row],[ds]]),MONTH(m2_crossvalid[[#This Row],[ds]]),DAY(m2_crossvalid[[#This Row],[ds]]))</f>
        <v>45669</v>
      </c>
      <c r="C13">
        <v>41</v>
      </c>
      <c r="D13" s="1">
        <v>45669.333333333336</v>
      </c>
      <c r="E13">
        <v>-554.21470405499986</v>
      </c>
      <c r="F13">
        <v>-2243.0373688969453</v>
      </c>
      <c r="G13">
        <v>1217.4512377056274</v>
      </c>
      <c r="H13" s="1">
        <v>45657.333333333336</v>
      </c>
    </row>
    <row r="14" spans="1:8" x14ac:dyDescent="0.25">
      <c r="A14" s="7">
        <f>DATE(YEAR(m2_crossvalid[[#This Row],[cutoff]]),MONTH(m2_crossvalid[[#This Row],[cutoff]]),DAY(m2_crossvalid[[#This Row],[cutoff]]))</f>
        <v>45657</v>
      </c>
      <c r="B14" s="7">
        <f>DATE(YEAR(m2_crossvalid[[#This Row],[ds]]),MONTH(m2_crossvalid[[#This Row],[ds]]),DAY(m2_crossvalid[[#This Row],[ds]]))</f>
        <v>45670</v>
      </c>
      <c r="C14">
        <v>1313</v>
      </c>
      <c r="D14" s="1">
        <v>45670.333333333336</v>
      </c>
      <c r="E14">
        <v>1704.7967551216489</v>
      </c>
      <c r="F14">
        <v>-398.83779684804375</v>
      </c>
      <c r="G14">
        <v>3644.1965013762597</v>
      </c>
      <c r="H14" s="1">
        <v>45657.333333333336</v>
      </c>
    </row>
    <row r="15" spans="1:8" x14ac:dyDescent="0.25">
      <c r="A15" s="7">
        <f>DATE(YEAR(m2_crossvalid[[#This Row],[cutoff]]),MONTH(m2_crossvalid[[#This Row],[cutoff]]),DAY(m2_crossvalid[[#This Row],[cutoff]]))</f>
        <v>45657</v>
      </c>
      <c r="B15" s="7">
        <f>DATE(YEAR(m2_crossvalid[[#This Row],[ds]]),MONTH(m2_crossvalid[[#This Row],[ds]]),DAY(m2_crossvalid[[#This Row],[ds]]))</f>
        <v>45671</v>
      </c>
      <c r="C15">
        <v>1609</v>
      </c>
      <c r="D15" s="1">
        <v>45671.333333333336</v>
      </c>
      <c r="E15">
        <v>2224.0888750835525</v>
      </c>
      <c r="F15">
        <v>354.47927983988245</v>
      </c>
      <c r="G15">
        <v>3964.6693011547973</v>
      </c>
      <c r="H15" s="1">
        <v>45657.333333333336</v>
      </c>
    </row>
    <row r="16" spans="1:8" x14ac:dyDescent="0.25">
      <c r="A16" s="7">
        <f>DATE(YEAR(m2_crossvalid[[#This Row],[cutoff]]),MONTH(m2_crossvalid[[#This Row],[cutoff]]),DAY(m2_crossvalid[[#This Row],[cutoff]]))</f>
        <v>45657</v>
      </c>
      <c r="B16" s="7">
        <f>DATE(YEAR(m2_crossvalid[[#This Row],[ds]]),MONTH(m2_crossvalid[[#This Row],[ds]]),DAY(m2_crossvalid[[#This Row],[ds]]))</f>
        <v>45672</v>
      </c>
      <c r="C16">
        <v>2010</v>
      </c>
      <c r="D16" s="1">
        <v>45672.333333333336</v>
      </c>
      <c r="E16">
        <v>2347.683265517971</v>
      </c>
      <c r="F16">
        <v>597.6164527766847</v>
      </c>
      <c r="G16">
        <v>4201.4650712520934</v>
      </c>
      <c r="H16" s="1">
        <v>45657.333333333336</v>
      </c>
    </row>
    <row r="17" spans="1:8" x14ac:dyDescent="0.25">
      <c r="A17" s="7">
        <f>DATE(YEAR(m2_crossvalid[[#This Row],[cutoff]]),MONTH(m2_crossvalid[[#This Row],[cutoff]]),DAY(m2_crossvalid[[#This Row],[cutoff]]))</f>
        <v>45657</v>
      </c>
      <c r="B17" s="7">
        <f>DATE(YEAR(m2_crossvalid[[#This Row],[ds]]),MONTH(m2_crossvalid[[#This Row],[ds]]),DAY(m2_crossvalid[[#This Row],[ds]]))</f>
        <v>45673</v>
      </c>
      <c r="C17">
        <v>2206</v>
      </c>
      <c r="D17" s="1">
        <v>45673.333333333336</v>
      </c>
      <c r="E17">
        <v>2574.6011894259459</v>
      </c>
      <c r="F17">
        <v>645.86059164766198</v>
      </c>
      <c r="G17">
        <v>4358.7307671751432</v>
      </c>
      <c r="H17" s="1">
        <v>45657.333333333336</v>
      </c>
    </row>
    <row r="18" spans="1:8" x14ac:dyDescent="0.25">
      <c r="A18" s="7">
        <f>DATE(YEAR(m2_crossvalid[[#This Row],[cutoff]]),MONTH(m2_crossvalid[[#This Row],[cutoff]]),DAY(m2_crossvalid[[#This Row],[cutoff]]))</f>
        <v>45657</v>
      </c>
      <c r="B18" s="7">
        <f>DATE(YEAR(m2_crossvalid[[#This Row],[ds]]),MONTH(m2_crossvalid[[#This Row],[ds]]),DAY(m2_crossvalid[[#This Row],[ds]]))</f>
        <v>45674</v>
      </c>
      <c r="C18">
        <v>2291</v>
      </c>
      <c r="D18" s="1">
        <v>45674.333333333336</v>
      </c>
      <c r="E18">
        <v>2613.9620730551978</v>
      </c>
      <c r="F18">
        <v>767.98910777078743</v>
      </c>
      <c r="G18">
        <v>4526.5414098604024</v>
      </c>
      <c r="H18" s="1">
        <v>45657.333333333336</v>
      </c>
    </row>
    <row r="19" spans="1:8" x14ac:dyDescent="0.25">
      <c r="A19" s="7">
        <f>DATE(YEAR(m2_crossvalid[[#This Row],[cutoff]]),MONTH(m2_crossvalid[[#This Row],[cutoff]]),DAY(m2_crossvalid[[#This Row],[cutoff]]))</f>
        <v>45657</v>
      </c>
      <c r="B19" s="7">
        <f>DATE(YEAR(m2_crossvalid[[#This Row],[ds]]),MONTH(m2_crossvalid[[#This Row],[ds]]),DAY(m2_crossvalid[[#This Row],[ds]]))</f>
        <v>45675</v>
      </c>
      <c r="C19">
        <v>401</v>
      </c>
      <c r="D19" s="1">
        <v>45675.333333333336</v>
      </c>
      <c r="E19">
        <v>419.73604180321718</v>
      </c>
      <c r="F19">
        <v>-1355.8752713629403</v>
      </c>
      <c r="G19">
        <v>2071.4705088230703</v>
      </c>
      <c r="H19" s="1">
        <v>45657.333333333336</v>
      </c>
    </row>
    <row r="20" spans="1:8" x14ac:dyDescent="0.25">
      <c r="A20" s="7">
        <f>DATE(YEAR(m2_crossvalid[[#This Row],[cutoff]]),MONTH(m2_crossvalid[[#This Row],[cutoff]]),DAY(m2_crossvalid[[#This Row],[cutoff]]))</f>
        <v>45657</v>
      </c>
      <c r="B20" s="7">
        <f>DATE(YEAR(m2_crossvalid[[#This Row],[ds]]),MONTH(m2_crossvalid[[#This Row],[ds]]),DAY(m2_crossvalid[[#This Row],[ds]]))</f>
        <v>45676</v>
      </c>
      <c r="C20">
        <v>129</v>
      </c>
      <c r="D20" s="1">
        <v>45676.333333333336</v>
      </c>
      <c r="E20">
        <v>-223.62091022500499</v>
      </c>
      <c r="F20">
        <v>-2121.2697153529771</v>
      </c>
      <c r="G20">
        <v>1738.2387807362898</v>
      </c>
      <c r="H20" s="1">
        <v>45657.333333333336</v>
      </c>
    </row>
    <row r="21" spans="1:8" x14ac:dyDescent="0.25">
      <c r="A21" s="7">
        <f>DATE(YEAR(m2_crossvalid[[#This Row],[cutoff]]),MONTH(m2_crossvalid[[#This Row],[cutoff]]),DAY(m2_crossvalid[[#This Row],[cutoff]]))</f>
        <v>45657</v>
      </c>
      <c r="B21" s="7">
        <f>DATE(YEAR(m2_crossvalid[[#This Row],[ds]]),MONTH(m2_crossvalid[[#This Row],[ds]]),DAY(m2_crossvalid[[#This Row],[ds]]))</f>
        <v>45677</v>
      </c>
      <c r="C21">
        <v>2385</v>
      </c>
      <c r="D21" s="1">
        <v>45677.333333333336</v>
      </c>
      <c r="E21">
        <v>2129.9825421488476</v>
      </c>
      <c r="F21">
        <v>230.82148528590915</v>
      </c>
      <c r="G21">
        <v>3996.1651466513817</v>
      </c>
      <c r="H21" s="1">
        <v>45657.333333333336</v>
      </c>
    </row>
    <row r="22" spans="1:8" x14ac:dyDescent="0.25">
      <c r="A22" s="7">
        <f>DATE(YEAR(m2_crossvalid[[#This Row],[cutoff]]),MONTH(m2_crossvalid[[#This Row],[cutoff]]),DAY(m2_crossvalid[[#This Row],[cutoff]]))</f>
        <v>45657</v>
      </c>
      <c r="B22" s="7">
        <f>DATE(YEAR(m2_crossvalid[[#This Row],[ds]]),MONTH(m2_crossvalid[[#This Row],[ds]]),DAY(m2_crossvalid[[#This Row],[ds]]))</f>
        <v>45678</v>
      </c>
      <c r="C22">
        <v>3051</v>
      </c>
      <c r="D22" s="1">
        <v>45678.333333333336</v>
      </c>
      <c r="E22">
        <v>2972.7507809461567</v>
      </c>
      <c r="F22">
        <v>1198.0162698205959</v>
      </c>
      <c r="G22">
        <v>4750.0723264127182</v>
      </c>
      <c r="H22" s="1">
        <v>45657.333333333336</v>
      </c>
    </row>
    <row r="23" spans="1:8" x14ac:dyDescent="0.25">
      <c r="A23" s="7">
        <f>DATE(YEAR(m2_crossvalid[[#This Row],[cutoff]]),MONTH(m2_crossvalid[[#This Row],[cutoff]]),DAY(m2_crossvalid[[#This Row],[cutoff]]))</f>
        <v>45657</v>
      </c>
      <c r="B23" s="7">
        <f>DATE(YEAR(m2_crossvalid[[#This Row],[ds]]),MONTH(m2_crossvalid[[#This Row],[ds]]),DAY(m2_crossvalid[[#This Row],[ds]]))</f>
        <v>45679</v>
      </c>
      <c r="C23">
        <v>2878</v>
      </c>
      <c r="D23" s="1">
        <v>45679.333333333336</v>
      </c>
      <c r="E23">
        <v>3325.4906736273256</v>
      </c>
      <c r="F23">
        <v>1499.9842989615081</v>
      </c>
      <c r="G23">
        <v>5220.9906008687649</v>
      </c>
      <c r="H23" s="1">
        <v>45657.333333333336</v>
      </c>
    </row>
    <row r="24" spans="1:8" x14ac:dyDescent="0.25">
      <c r="A24" s="7">
        <f>DATE(YEAR(m2_crossvalid[[#This Row],[cutoff]]),MONTH(m2_crossvalid[[#This Row],[cutoff]]),DAY(m2_crossvalid[[#This Row],[cutoff]]))</f>
        <v>45657</v>
      </c>
      <c r="B24" s="7">
        <f>DATE(YEAR(m2_crossvalid[[#This Row],[ds]]),MONTH(m2_crossvalid[[#This Row],[ds]]),DAY(m2_crossvalid[[#This Row],[ds]]))</f>
        <v>45680</v>
      </c>
      <c r="C24">
        <v>4853</v>
      </c>
      <c r="D24" s="1">
        <v>45680.333333333336</v>
      </c>
      <c r="E24">
        <v>3454.9862376086962</v>
      </c>
      <c r="F24">
        <v>1538.7089192031201</v>
      </c>
      <c r="G24">
        <v>5314.944968407417</v>
      </c>
      <c r="H24" s="1">
        <v>45657.333333333336</v>
      </c>
    </row>
    <row r="25" spans="1:8" x14ac:dyDescent="0.25">
      <c r="A25" s="7">
        <f>DATE(YEAR(m2_crossvalid[[#This Row],[cutoff]]),MONTH(m2_crossvalid[[#This Row],[cutoff]]),DAY(m2_crossvalid[[#This Row],[cutoff]]))</f>
        <v>45657</v>
      </c>
      <c r="B25" s="7">
        <f>DATE(YEAR(m2_crossvalid[[#This Row],[ds]]),MONTH(m2_crossvalid[[#This Row],[ds]]),DAY(m2_crossvalid[[#This Row],[ds]]))</f>
        <v>45681</v>
      </c>
      <c r="C25">
        <v>5202</v>
      </c>
      <c r="D25" s="1">
        <v>45681.333333333336</v>
      </c>
      <c r="E25">
        <v>3204.2037336469184</v>
      </c>
      <c r="F25">
        <v>1424.2194567674792</v>
      </c>
      <c r="G25">
        <v>5045.1414533000871</v>
      </c>
      <c r="H25" s="1">
        <v>45657.333333333336</v>
      </c>
    </row>
    <row r="26" spans="1:8" x14ac:dyDescent="0.25">
      <c r="A26" s="7">
        <f>DATE(YEAR(m2_crossvalid[[#This Row],[cutoff]]),MONTH(m2_crossvalid[[#This Row],[cutoff]]),DAY(m2_crossvalid[[#This Row],[cutoff]]))</f>
        <v>45657</v>
      </c>
      <c r="B26" s="7">
        <f>DATE(YEAR(m2_crossvalid[[#This Row],[ds]]),MONTH(m2_crossvalid[[#This Row],[ds]]),DAY(m2_crossvalid[[#This Row],[ds]]))</f>
        <v>45682</v>
      </c>
      <c r="C26">
        <v>1624</v>
      </c>
      <c r="D26" s="1">
        <v>45682.333333333336</v>
      </c>
      <c r="E26">
        <v>956.25845510894214</v>
      </c>
      <c r="F26">
        <v>-867.9993173804562</v>
      </c>
      <c r="G26">
        <v>2831.0126256757649</v>
      </c>
      <c r="H26" s="1">
        <v>45657.333333333336</v>
      </c>
    </row>
    <row r="27" spans="1:8" x14ac:dyDescent="0.25">
      <c r="A27" s="7">
        <f>DATE(YEAR(m2_crossvalid[[#This Row],[cutoff]]),MONTH(m2_crossvalid[[#This Row],[cutoff]]),DAY(m2_crossvalid[[#This Row],[cutoff]]))</f>
        <v>45657</v>
      </c>
      <c r="B27" s="7">
        <f>DATE(YEAR(m2_crossvalid[[#This Row],[ds]]),MONTH(m2_crossvalid[[#This Row],[ds]]),DAY(m2_crossvalid[[#This Row],[ds]]))</f>
        <v>45683</v>
      </c>
      <c r="C27">
        <v>454</v>
      </c>
      <c r="D27" s="1">
        <v>45683.333333333336</v>
      </c>
      <c r="E27">
        <v>843.948224989457</v>
      </c>
      <c r="F27">
        <v>-926.1426822591593</v>
      </c>
      <c r="G27">
        <v>2630.5613469249793</v>
      </c>
      <c r="H27" s="1">
        <v>45657.333333333336</v>
      </c>
    </row>
    <row r="28" spans="1:8" x14ac:dyDescent="0.25">
      <c r="A28" s="7">
        <f>DATE(YEAR(m2_crossvalid[[#This Row],[cutoff]]),MONTH(m2_crossvalid[[#This Row],[cutoff]]),DAY(m2_crossvalid[[#This Row],[cutoff]]))</f>
        <v>45657</v>
      </c>
      <c r="B28" s="7">
        <f>DATE(YEAR(m2_crossvalid[[#This Row],[ds]]),MONTH(m2_crossvalid[[#This Row],[ds]]),DAY(m2_crossvalid[[#This Row],[ds]]))</f>
        <v>45684</v>
      </c>
      <c r="C28">
        <v>5598</v>
      </c>
      <c r="D28" s="1">
        <v>45684.333333333336</v>
      </c>
      <c r="E28">
        <v>4228.898416779225</v>
      </c>
      <c r="F28">
        <v>2383.4494705548391</v>
      </c>
      <c r="G28">
        <v>6091.535618881102</v>
      </c>
      <c r="H28" s="1">
        <v>45657.333333333336</v>
      </c>
    </row>
    <row r="29" spans="1:8" x14ac:dyDescent="0.25">
      <c r="A29" s="7">
        <f>DATE(YEAR(m2_crossvalid[[#This Row],[cutoff]]),MONTH(m2_crossvalid[[#This Row],[cutoff]]),DAY(m2_crossvalid[[#This Row],[cutoff]]))</f>
        <v>45657</v>
      </c>
      <c r="B29" s="7">
        <f>DATE(YEAR(m2_crossvalid[[#This Row],[ds]]),MONTH(m2_crossvalid[[#This Row],[ds]]),DAY(m2_crossvalid[[#This Row],[ds]]))</f>
        <v>45685</v>
      </c>
      <c r="C29">
        <v>5264</v>
      </c>
      <c r="D29" s="1">
        <v>45685.333333333336</v>
      </c>
      <c r="E29">
        <v>6074.0831433470885</v>
      </c>
      <c r="F29">
        <v>4103.4600055990741</v>
      </c>
      <c r="G29">
        <v>7984.7553446395968</v>
      </c>
      <c r="H29" s="1">
        <v>45657.333333333336</v>
      </c>
    </row>
    <row r="30" spans="1:8" x14ac:dyDescent="0.25">
      <c r="A30" s="7">
        <f>DATE(YEAR(m2_crossvalid[[#This Row],[cutoff]]),MONTH(m2_crossvalid[[#This Row],[cutoff]]),DAY(m2_crossvalid[[#This Row],[cutoff]]))</f>
        <v>45657</v>
      </c>
      <c r="B30" s="7">
        <f>DATE(YEAR(m2_crossvalid[[#This Row],[ds]]),MONTH(m2_crossvalid[[#This Row],[ds]]),DAY(m2_crossvalid[[#This Row],[ds]]))</f>
        <v>45686</v>
      </c>
      <c r="C30">
        <v>310</v>
      </c>
      <c r="D30" s="1">
        <v>45686.333333333336</v>
      </c>
      <c r="E30">
        <v>6770.4810663001954</v>
      </c>
      <c r="F30">
        <v>4851.3998754447275</v>
      </c>
      <c r="G30">
        <v>8701.1700291288944</v>
      </c>
      <c r="H30" s="1">
        <v>45657.333333333336</v>
      </c>
    </row>
    <row r="31" spans="1:8" x14ac:dyDescent="0.25">
      <c r="A31" s="7">
        <f>DATE(YEAR(m2_crossvalid[[#This Row],[cutoff]]),MONTH(m2_crossvalid[[#This Row],[cutoff]]),DAY(m2_crossvalid[[#This Row],[cutoff]]))</f>
        <v>45657</v>
      </c>
      <c r="B31" s="7">
        <f>DATE(YEAR(m2_crossvalid[[#This Row],[ds]]),MONTH(m2_crossvalid[[#This Row],[ds]]),DAY(m2_crossvalid[[#This Row],[ds]]))</f>
        <v>45687</v>
      </c>
      <c r="C31">
        <v>255</v>
      </c>
      <c r="D31" s="1">
        <v>45687.333333333336</v>
      </c>
      <c r="E31">
        <v>6265.7209302079791</v>
      </c>
      <c r="F31">
        <v>4372.4890278182374</v>
      </c>
      <c r="G31">
        <v>8039.4204115025486</v>
      </c>
      <c r="H31" s="1">
        <v>45657.333333333336</v>
      </c>
    </row>
    <row r="32" spans="1:8" x14ac:dyDescent="0.25">
      <c r="A32" s="7">
        <f>DATE(YEAR(m2_crossvalid[[#This Row],[cutoff]]),MONTH(m2_crossvalid[[#This Row],[cutoff]]),DAY(m2_crossvalid[[#This Row],[cutoff]]))</f>
        <v>45657</v>
      </c>
      <c r="B32" s="7">
        <f>DATE(YEAR(m2_crossvalid[[#This Row],[ds]]),MONTH(m2_crossvalid[[#This Row],[ds]]),DAY(m2_crossvalid[[#This Row],[ds]]))</f>
        <v>45688</v>
      </c>
      <c r="C32">
        <v>6041</v>
      </c>
      <c r="D32" s="1">
        <v>45688.333333333336</v>
      </c>
      <c r="E32">
        <v>4549.5164627562353</v>
      </c>
      <c r="F32">
        <v>2600.3692577615511</v>
      </c>
      <c r="G32">
        <v>6326.7366045062117</v>
      </c>
      <c r="H32" s="1">
        <v>45657.333333333336</v>
      </c>
    </row>
    <row r="33" spans="1:8" x14ac:dyDescent="0.25">
      <c r="A33" s="7">
        <f>DATE(YEAR(m2_crossvalid[[#This Row],[cutoff]]),MONTH(m2_crossvalid[[#This Row],[cutoff]]),DAY(m2_crossvalid[[#This Row],[cutoff]]))</f>
        <v>45688</v>
      </c>
      <c r="B33" s="7">
        <f>DATE(YEAR(m2_crossvalid[[#This Row],[ds]]),MONTH(m2_crossvalid[[#This Row],[ds]]),DAY(m2_crossvalid[[#This Row],[ds]]))</f>
        <v>45689</v>
      </c>
      <c r="C33">
        <v>47</v>
      </c>
      <c r="D33" s="1">
        <v>45689.333333333336</v>
      </c>
      <c r="E33">
        <v>215.37855731051604</v>
      </c>
      <c r="F33">
        <v>-1640.8952196199871</v>
      </c>
      <c r="G33">
        <v>2125.6499999496104</v>
      </c>
      <c r="H33" s="1">
        <v>45688.333333333336</v>
      </c>
    </row>
    <row r="34" spans="1:8" x14ac:dyDescent="0.25">
      <c r="A34" s="7">
        <f>DATE(YEAR(m2_crossvalid[[#This Row],[cutoff]]),MONTH(m2_crossvalid[[#This Row],[cutoff]]),DAY(m2_crossvalid[[#This Row],[cutoff]]))</f>
        <v>45688</v>
      </c>
      <c r="B34" s="7">
        <f>DATE(YEAR(m2_crossvalid[[#This Row],[ds]]),MONTH(m2_crossvalid[[#This Row],[ds]]),DAY(m2_crossvalid[[#This Row],[ds]]))</f>
        <v>45690</v>
      </c>
      <c r="C34">
        <v>14</v>
      </c>
      <c r="D34" s="1">
        <v>45690.333333333336</v>
      </c>
      <c r="E34">
        <v>-1666.2479859808827</v>
      </c>
      <c r="F34">
        <v>-3549.6184534917261</v>
      </c>
      <c r="G34">
        <v>117.08306881271579</v>
      </c>
      <c r="H34" s="1">
        <v>45688.333333333336</v>
      </c>
    </row>
    <row r="35" spans="1:8" x14ac:dyDescent="0.25">
      <c r="A35" s="7">
        <f>DATE(YEAR(m2_crossvalid[[#This Row],[cutoff]]),MONTH(m2_crossvalid[[#This Row],[cutoff]]),DAY(m2_crossvalid[[#This Row],[cutoff]]))</f>
        <v>45688</v>
      </c>
      <c r="B35" s="7">
        <f>DATE(YEAR(m2_crossvalid[[#This Row],[ds]]),MONTH(m2_crossvalid[[#This Row],[ds]]),DAY(m2_crossvalid[[#This Row],[ds]]))</f>
        <v>45691</v>
      </c>
      <c r="C35">
        <v>454</v>
      </c>
      <c r="D35" s="1">
        <v>45691.333333333336</v>
      </c>
      <c r="E35">
        <v>259.59027676724781</v>
      </c>
      <c r="F35">
        <v>-1529.9041809302262</v>
      </c>
      <c r="G35">
        <v>1987.3866302528265</v>
      </c>
      <c r="H35" s="1">
        <v>45688.333333333336</v>
      </c>
    </row>
    <row r="36" spans="1:8" x14ac:dyDescent="0.25">
      <c r="A36" s="7">
        <f>DATE(YEAR(m2_crossvalid[[#This Row],[cutoff]]),MONTH(m2_crossvalid[[#This Row],[cutoff]]),DAY(m2_crossvalid[[#This Row],[cutoff]]))</f>
        <v>45688</v>
      </c>
      <c r="B36" s="7">
        <f>DATE(YEAR(m2_crossvalid[[#This Row],[ds]]),MONTH(m2_crossvalid[[#This Row],[ds]]),DAY(m2_crossvalid[[#This Row],[ds]]))</f>
        <v>45692</v>
      </c>
      <c r="C36">
        <v>626</v>
      </c>
      <c r="D36" s="1">
        <v>45692.333333333336</v>
      </c>
      <c r="E36">
        <v>1149.8906693501954</v>
      </c>
      <c r="F36">
        <v>-676.22833672339459</v>
      </c>
      <c r="G36">
        <v>3007.2911658398707</v>
      </c>
      <c r="H36" s="1">
        <v>45688.333333333336</v>
      </c>
    </row>
    <row r="37" spans="1:8" x14ac:dyDescent="0.25">
      <c r="A37" s="7">
        <f>DATE(YEAR(m2_crossvalid[[#This Row],[cutoff]]),MONTH(m2_crossvalid[[#This Row],[cutoff]]),DAY(m2_crossvalid[[#This Row],[cutoff]]))</f>
        <v>45688</v>
      </c>
      <c r="B37" s="7">
        <f>DATE(YEAR(m2_crossvalid[[#This Row],[ds]]),MONTH(m2_crossvalid[[#This Row],[ds]]),DAY(m2_crossvalid[[#This Row],[ds]]))</f>
        <v>45693</v>
      </c>
      <c r="C37">
        <v>886</v>
      </c>
      <c r="D37" s="1">
        <v>45693.333333333336</v>
      </c>
      <c r="E37">
        <v>1575.0486238137992</v>
      </c>
      <c r="F37">
        <v>-173.94437465798765</v>
      </c>
      <c r="G37">
        <v>3586.5862947790442</v>
      </c>
      <c r="H37" s="1">
        <v>45688.333333333336</v>
      </c>
    </row>
    <row r="38" spans="1:8" x14ac:dyDescent="0.25">
      <c r="A38" s="7">
        <f>DATE(YEAR(m2_crossvalid[[#This Row],[cutoff]]),MONTH(m2_crossvalid[[#This Row],[cutoff]]),DAY(m2_crossvalid[[#This Row],[cutoff]]))</f>
        <v>45688</v>
      </c>
      <c r="B38" s="7">
        <f>DATE(YEAR(m2_crossvalid[[#This Row],[ds]]),MONTH(m2_crossvalid[[#This Row],[ds]]),DAY(m2_crossvalid[[#This Row],[ds]]))</f>
        <v>45694</v>
      </c>
      <c r="C38">
        <v>1159</v>
      </c>
      <c r="D38" s="1">
        <v>45694.333333333336</v>
      </c>
      <c r="E38">
        <v>1785.5263248192532</v>
      </c>
      <c r="F38">
        <v>-225.90647151896306</v>
      </c>
      <c r="G38">
        <v>3566.3223438717937</v>
      </c>
      <c r="H38" s="1">
        <v>45688.333333333336</v>
      </c>
    </row>
    <row r="39" spans="1:8" x14ac:dyDescent="0.25">
      <c r="A39" s="7">
        <f>DATE(YEAR(m2_crossvalid[[#This Row],[cutoff]]),MONTH(m2_crossvalid[[#This Row],[cutoff]]),DAY(m2_crossvalid[[#This Row],[cutoff]]))</f>
        <v>45688</v>
      </c>
      <c r="B39" s="7">
        <f>DATE(YEAR(m2_crossvalid[[#This Row],[ds]]),MONTH(m2_crossvalid[[#This Row],[ds]]),DAY(m2_crossvalid[[#This Row],[ds]]))</f>
        <v>45695</v>
      </c>
      <c r="C39">
        <v>1342</v>
      </c>
      <c r="D39" s="1">
        <v>45695.333333333336</v>
      </c>
      <c r="E39">
        <v>1623.5353227233907</v>
      </c>
      <c r="F39">
        <v>-253.46032488782316</v>
      </c>
      <c r="G39">
        <v>3518.023504399333</v>
      </c>
      <c r="H39" s="1">
        <v>45688.333333333336</v>
      </c>
    </row>
    <row r="40" spans="1:8" x14ac:dyDescent="0.25">
      <c r="A40" s="7">
        <f>DATE(YEAR(m2_crossvalid[[#This Row],[cutoff]]),MONTH(m2_crossvalid[[#This Row],[cutoff]]),DAY(m2_crossvalid[[#This Row],[cutoff]]))</f>
        <v>45688</v>
      </c>
      <c r="B40" s="7">
        <f>DATE(YEAR(m2_crossvalid[[#This Row],[ds]]),MONTH(m2_crossvalid[[#This Row],[ds]]),DAY(m2_crossvalid[[#This Row],[ds]]))</f>
        <v>45696</v>
      </c>
      <c r="C40">
        <v>301</v>
      </c>
      <c r="D40" s="1">
        <v>45696.333333333336</v>
      </c>
      <c r="E40">
        <v>-638.24871820399949</v>
      </c>
      <c r="F40">
        <v>-2489.1542421645245</v>
      </c>
      <c r="G40">
        <v>1286.3314796829115</v>
      </c>
      <c r="H40" s="1">
        <v>45688.333333333336</v>
      </c>
    </row>
    <row r="41" spans="1:8" x14ac:dyDescent="0.25">
      <c r="A41" s="7">
        <f>DATE(YEAR(m2_crossvalid[[#This Row],[cutoff]]),MONTH(m2_crossvalid[[#This Row],[cutoff]]),DAY(m2_crossvalid[[#This Row],[cutoff]]))</f>
        <v>45688</v>
      </c>
      <c r="B41" s="7">
        <f>DATE(YEAR(m2_crossvalid[[#This Row],[ds]]),MONTH(m2_crossvalid[[#This Row],[ds]]),DAY(m2_crossvalid[[#This Row],[ds]]))</f>
        <v>45697</v>
      </c>
      <c r="C41">
        <v>54</v>
      </c>
      <c r="D41" s="1">
        <v>45697.333333333336</v>
      </c>
      <c r="E41">
        <v>-1047.8326441880458</v>
      </c>
      <c r="F41">
        <v>-2928.5993290116967</v>
      </c>
      <c r="G41">
        <v>902.98923798506644</v>
      </c>
      <c r="H41" s="1">
        <v>45688.333333333336</v>
      </c>
    </row>
    <row r="42" spans="1:8" x14ac:dyDescent="0.25">
      <c r="A42" s="7">
        <f>DATE(YEAR(m2_crossvalid[[#This Row],[cutoff]]),MONTH(m2_crossvalid[[#This Row],[cutoff]]),DAY(m2_crossvalid[[#This Row],[cutoff]]))</f>
        <v>45688</v>
      </c>
      <c r="B42" s="7">
        <f>DATE(YEAR(m2_crossvalid[[#This Row],[ds]]),MONTH(m2_crossvalid[[#This Row],[ds]]),DAY(m2_crossvalid[[#This Row],[ds]]))</f>
        <v>45698</v>
      </c>
      <c r="C42">
        <v>1577</v>
      </c>
      <c r="D42" s="1">
        <v>45698.333333333336</v>
      </c>
      <c r="E42">
        <v>1546.8465749857569</v>
      </c>
      <c r="F42">
        <v>-509.61853245069</v>
      </c>
      <c r="G42">
        <v>3469.6822870505343</v>
      </c>
      <c r="H42" s="1">
        <v>45688.333333333336</v>
      </c>
    </row>
    <row r="43" spans="1:8" x14ac:dyDescent="0.25">
      <c r="A43" s="7">
        <f>DATE(YEAR(m2_crossvalid[[#This Row],[cutoff]]),MONTH(m2_crossvalid[[#This Row],[cutoff]]),DAY(m2_crossvalid[[#This Row],[cutoff]]))</f>
        <v>45688</v>
      </c>
      <c r="B43" s="7">
        <f>DATE(YEAR(m2_crossvalid[[#This Row],[ds]]),MONTH(m2_crossvalid[[#This Row],[ds]]),DAY(m2_crossvalid[[#This Row],[ds]]))</f>
        <v>45699</v>
      </c>
      <c r="C43">
        <v>555</v>
      </c>
      <c r="D43" s="1">
        <v>45699.333333333336</v>
      </c>
      <c r="E43">
        <v>2320.9549435950776</v>
      </c>
      <c r="F43">
        <v>521.04702692204808</v>
      </c>
      <c r="G43">
        <v>4261.8184476414035</v>
      </c>
      <c r="H43" s="1">
        <v>45688.333333333336</v>
      </c>
    </row>
    <row r="44" spans="1:8" x14ac:dyDescent="0.25">
      <c r="A44" s="7">
        <f>DATE(YEAR(m2_crossvalid[[#This Row],[cutoff]]),MONTH(m2_crossvalid[[#This Row],[cutoff]]),DAY(m2_crossvalid[[#This Row],[cutoff]]))</f>
        <v>45688</v>
      </c>
      <c r="B44" s="7">
        <f>DATE(YEAR(m2_crossvalid[[#This Row],[ds]]),MONTH(m2_crossvalid[[#This Row],[ds]]),DAY(m2_crossvalid[[#This Row],[ds]]))</f>
        <v>45700</v>
      </c>
      <c r="C44">
        <v>1823</v>
      </c>
      <c r="D44" s="1">
        <v>45700.333333333336</v>
      </c>
      <c r="E44">
        <v>2306.7079219744805</v>
      </c>
      <c r="F44">
        <v>536.15137517266385</v>
      </c>
      <c r="G44">
        <v>4266.2589387763173</v>
      </c>
      <c r="H44" s="1">
        <v>45688.333333333336</v>
      </c>
    </row>
    <row r="45" spans="1:8" x14ac:dyDescent="0.25">
      <c r="A45" s="7">
        <f>DATE(YEAR(m2_crossvalid[[#This Row],[cutoff]]),MONTH(m2_crossvalid[[#This Row],[cutoff]]),DAY(m2_crossvalid[[#This Row],[cutoff]]))</f>
        <v>45688</v>
      </c>
      <c r="B45" s="7">
        <f>DATE(YEAR(m2_crossvalid[[#This Row],[ds]]),MONTH(m2_crossvalid[[#This Row],[ds]]),DAY(m2_crossvalid[[#This Row],[ds]]))</f>
        <v>45701</v>
      </c>
      <c r="C45">
        <v>2210</v>
      </c>
      <c r="D45" s="1">
        <v>45701.333333333336</v>
      </c>
      <c r="E45">
        <v>2281.1435643399063</v>
      </c>
      <c r="F45">
        <v>389.17923907894607</v>
      </c>
      <c r="G45">
        <v>4135.4032295987281</v>
      </c>
      <c r="H45" s="1">
        <v>45688.333333333336</v>
      </c>
    </row>
    <row r="46" spans="1:8" x14ac:dyDescent="0.25">
      <c r="A46" s="7">
        <f>DATE(YEAR(m2_crossvalid[[#This Row],[cutoff]]),MONTH(m2_crossvalid[[#This Row],[cutoff]]),DAY(m2_crossvalid[[#This Row],[cutoff]]))</f>
        <v>45688</v>
      </c>
      <c r="B46" s="7">
        <f>DATE(YEAR(m2_crossvalid[[#This Row],[ds]]),MONTH(m2_crossvalid[[#This Row],[ds]]),DAY(m2_crossvalid[[#This Row],[ds]]))</f>
        <v>45702</v>
      </c>
      <c r="C46">
        <v>2308</v>
      </c>
      <c r="D46" s="1">
        <v>45702.333333333336</v>
      </c>
      <c r="E46">
        <v>2278.831676402734</v>
      </c>
      <c r="F46">
        <v>310.71031487154391</v>
      </c>
      <c r="G46">
        <v>4054.2761760823596</v>
      </c>
      <c r="H46" s="1">
        <v>45688.333333333336</v>
      </c>
    </row>
    <row r="47" spans="1:8" x14ac:dyDescent="0.25">
      <c r="A47" s="7">
        <f>DATE(YEAR(m2_crossvalid[[#This Row],[cutoff]]),MONTH(m2_crossvalid[[#This Row],[cutoff]]),DAY(m2_crossvalid[[#This Row],[cutoff]]))</f>
        <v>45688</v>
      </c>
      <c r="B47" s="7">
        <f>DATE(YEAR(m2_crossvalid[[#This Row],[ds]]),MONTH(m2_crossvalid[[#This Row],[ds]]),DAY(m2_crossvalid[[#This Row],[ds]]))</f>
        <v>45703</v>
      </c>
      <c r="C47">
        <v>485</v>
      </c>
      <c r="D47" s="1">
        <v>45703.333333333336</v>
      </c>
      <c r="E47">
        <v>346.10490770398064</v>
      </c>
      <c r="F47">
        <v>-1439.9209399045596</v>
      </c>
      <c r="G47">
        <v>2047.6005480868196</v>
      </c>
      <c r="H47" s="1">
        <v>45688.333333333336</v>
      </c>
    </row>
    <row r="48" spans="1:8" x14ac:dyDescent="0.25">
      <c r="A48" s="7">
        <f>DATE(YEAR(m2_crossvalid[[#This Row],[cutoff]]),MONTH(m2_crossvalid[[#This Row],[cutoff]]),DAY(m2_crossvalid[[#This Row],[cutoff]]))</f>
        <v>45688</v>
      </c>
      <c r="B48" s="7">
        <f>DATE(YEAR(m2_crossvalid[[#This Row],[ds]]),MONTH(m2_crossvalid[[#This Row],[ds]]),DAY(m2_crossvalid[[#This Row],[ds]]))</f>
        <v>45704</v>
      </c>
      <c r="C48">
        <v>118</v>
      </c>
      <c r="D48" s="1">
        <v>45704.333333333336</v>
      </c>
      <c r="E48">
        <v>71.144622660455298</v>
      </c>
      <c r="F48">
        <v>-1644.9509395175528</v>
      </c>
      <c r="G48">
        <v>1932.925681112798</v>
      </c>
      <c r="H48" s="1">
        <v>45688.333333333336</v>
      </c>
    </row>
    <row r="49" spans="1:8" x14ac:dyDescent="0.25">
      <c r="A49" s="7">
        <f>DATE(YEAR(m2_crossvalid[[#This Row],[cutoff]]),MONTH(m2_crossvalid[[#This Row],[cutoff]]),DAY(m2_crossvalid[[#This Row],[cutoff]]))</f>
        <v>45688</v>
      </c>
      <c r="B49" s="7">
        <f>DATE(YEAR(m2_crossvalid[[#This Row],[ds]]),MONTH(m2_crossvalid[[#This Row],[ds]]),DAY(m2_crossvalid[[#This Row],[ds]]))</f>
        <v>45705</v>
      </c>
      <c r="C49">
        <v>2482</v>
      </c>
      <c r="D49" s="1">
        <v>45705.333333333336</v>
      </c>
      <c r="E49">
        <v>2474.5511495594947</v>
      </c>
      <c r="F49">
        <v>649.27489641691227</v>
      </c>
      <c r="G49">
        <v>4444.5841527775647</v>
      </c>
      <c r="H49" s="1">
        <v>45688.333333333336</v>
      </c>
    </row>
    <row r="50" spans="1:8" x14ac:dyDescent="0.25">
      <c r="A50" s="7">
        <f>DATE(YEAR(m2_crossvalid[[#This Row],[cutoff]]),MONTH(m2_crossvalid[[#This Row],[cutoff]]),DAY(m2_crossvalid[[#This Row],[cutoff]]))</f>
        <v>45688</v>
      </c>
      <c r="B50" s="7">
        <f>DATE(YEAR(m2_crossvalid[[#This Row],[ds]]),MONTH(m2_crossvalid[[#This Row],[ds]]),DAY(m2_crossvalid[[#This Row],[ds]]))</f>
        <v>45706</v>
      </c>
      <c r="C50">
        <v>2913</v>
      </c>
      <c r="D50" s="1">
        <v>45706.333333333336</v>
      </c>
      <c r="E50">
        <v>2945.7286122455262</v>
      </c>
      <c r="F50">
        <v>1019.7471644134283</v>
      </c>
      <c r="G50">
        <v>4837.9615339891461</v>
      </c>
      <c r="H50" s="1">
        <v>45688.333333333336</v>
      </c>
    </row>
    <row r="51" spans="1:8" x14ac:dyDescent="0.25">
      <c r="A51" s="7">
        <f>DATE(YEAR(m2_crossvalid[[#This Row],[cutoff]]),MONTH(m2_crossvalid[[#This Row],[cutoff]]),DAY(m2_crossvalid[[#This Row],[cutoff]]))</f>
        <v>45688</v>
      </c>
      <c r="B51" s="7">
        <f>DATE(YEAR(m2_crossvalid[[#This Row],[ds]]),MONTH(m2_crossvalid[[#This Row],[ds]]),DAY(m2_crossvalid[[#This Row],[ds]]))</f>
        <v>45707</v>
      </c>
      <c r="C51">
        <v>3106</v>
      </c>
      <c r="D51" s="1">
        <v>45707.333333333336</v>
      </c>
      <c r="E51">
        <v>2842.8199618816916</v>
      </c>
      <c r="F51">
        <v>1024.901263731565</v>
      </c>
      <c r="G51">
        <v>4763.9962546654897</v>
      </c>
      <c r="H51" s="1">
        <v>45688.333333333336</v>
      </c>
    </row>
    <row r="52" spans="1:8" x14ac:dyDescent="0.25">
      <c r="A52" s="7">
        <f>DATE(YEAR(m2_crossvalid[[#This Row],[cutoff]]),MONTH(m2_crossvalid[[#This Row],[cutoff]]),DAY(m2_crossvalid[[#This Row],[cutoff]]))</f>
        <v>45688</v>
      </c>
      <c r="B52" s="7">
        <f>DATE(YEAR(m2_crossvalid[[#This Row],[ds]]),MONTH(m2_crossvalid[[#This Row],[ds]]),DAY(m2_crossvalid[[#This Row],[ds]]))</f>
        <v>45708</v>
      </c>
      <c r="C52">
        <v>3104</v>
      </c>
      <c r="D52" s="1">
        <v>45708.333333333336</v>
      </c>
      <c r="E52">
        <v>3041.9344053674899</v>
      </c>
      <c r="F52">
        <v>1265.9831666265575</v>
      </c>
      <c r="G52">
        <v>4978.2102243110321</v>
      </c>
      <c r="H52" s="1">
        <v>45688.333333333336</v>
      </c>
    </row>
    <row r="53" spans="1:8" x14ac:dyDescent="0.25">
      <c r="A53" s="7">
        <f>DATE(YEAR(m2_crossvalid[[#This Row],[cutoff]]),MONTH(m2_crossvalid[[#This Row],[cutoff]]),DAY(m2_crossvalid[[#This Row],[cutoff]]))</f>
        <v>45688</v>
      </c>
      <c r="B53" s="7">
        <f>DATE(YEAR(m2_crossvalid[[#This Row],[ds]]),MONTH(m2_crossvalid[[#This Row],[ds]]),DAY(m2_crossvalid[[#This Row],[ds]]))</f>
        <v>45709</v>
      </c>
      <c r="C53">
        <v>3309</v>
      </c>
      <c r="D53" s="1">
        <v>45709.333333333336</v>
      </c>
      <c r="E53">
        <v>3345.8231260497873</v>
      </c>
      <c r="F53">
        <v>1531.7944374321287</v>
      </c>
      <c r="G53">
        <v>5174.2832846894235</v>
      </c>
      <c r="H53" s="1">
        <v>45688.333333333336</v>
      </c>
    </row>
    <row r="54" spans="1:8" x14ac:dyDescent="0.25">
      <c r="A54" s="7">
        <f>DATE(YEAR(m2_crossvalid[[#This Row],[cutoff]]),MONTH(m2_crossvalid[[#This Row],[cutoff]]),DAY(m2_crossvalid[[#This Row],[cutoff]]))</f>
        <v>45688</v>
      </c>
      <c r="B54" s="7">
        <f>DATE(YEAR(m2_crossvalid[[#This Row],[ds]]),MONTH(m2_crossvalid[[#This Row],[ds]]),DAY(m2_crossvalid[[#This Row],[ds]]))</f>
        <v>45710</v>
      </c>
      <c r="C54">
        <v>732</v>
      </c>
      <c r="D54" s="1">
        <v>45710.333333333336</v>
      </c>
      <c r="E54">
        <v>1476.2784411217233</v>
      </c>
      <c r="F54">
        <v>-383.22568625394405</v>
      </c>
      <c r="G54">
        <v>3359.612218760582</v>
      </c>
      <c r="H54" s="1">
        <v>45688.333333333336</v>
      </c>
    </row>
    <row r="55" spans="1:8" x14ac:dyDescent="0.25">
      <c r="A55" s="7">
        <f>DATE(YEAR(m2_crossvalid[[#This Row],[cutoff]]),MONTH(m2_crossvalid[[#This Row],[cutoff]]),DAY(m2_crossvalid[[#This Row],[cutoff]]))</f>
        <v>45688</v>
      </c>
      <c r="B55" s="7">
        <f>DATE(YEAR(m2_crossvalid[[#This Row],[ds]]),MONTH(m2_crossvalid[[#This Row],[ds]]),DAY(m2_crossvalid[[#This Row],[ds]]))</f>
        <v>45711</v>
      </c>
      <c r="C55">
        <v>202</v>
      </c>
      <c r="D55" s="1">
        <v>45711.333333333336</v>
      </c>
      <c r="E55">
        <v>955.81921402010494</v>
      </c>
      <c r="F55">
        <v>-721.84286706973342</v>
      </c>
      <c r="G55">
        <v>2792.0446572123542</v>
      </c>
      <c r="H55" s="1">
        <v>45688.333333333336</v>
      </c>
    </row>
    <row r="56" spans="1:8" x14ac:dyDescent="0.25">
      <c r="A56" s="7">
        <f>DATE(YEAR(m2_crossvalid[[#This Row],[cutoff]]),MONTH(m2_crossvalid[[#This Row],[cutoff]]),DAY(m2_crossvalid[[#This Row],[cutoff]]))</f>
        <v>45688</v>
      </c>
      <c r="B56" s="7">
        <f>DATE(YEAR(m2_crossvalid[[#This Row],[ds]]),MONTH(m2_crossvalid[[#This Row],[ds]]),DAY(m2_crossvalid[[#This Row],[ds]]))</f>
        <v>45712</v>
      </c>
      <c r="C56">
        <v>3545</v>
      </c>
      <c r="D56" s="1">
        <v>45712.333333333336</v>
      </c>
      <c r="E56">
        <v>3115.5130788377592</v>
      </c>
      <c r="F56">
        <v>1282.2385682641916</v>
      </c>
      <c r="G56">
        <v>5077.1300713589699</v>
      </c>
      <c r="H56" s="1">
        <v>45688.333333333336</v>
      </c>
    </row>
    <row r="57" spans="1:8" x14ac:dyDescent="0.25">
      <c r="A57" s="7">
        <f>DATE(YEAR(m2_crossvalid[[#This Row],[cutoff]]),MONTH(m2_crossvalid[[#This Row],[cutoff]]),DAY(m2_crossvalid[[#This Row],[cutoff]]))</f>
        <v>45688</v>
      </c>
      <c r="B57" s="7">
        <f>DATE(YEAR(m2_crossvalid[[#This Row],[ds]]),MONTH(m2_crossvalid[[#This Row],[ds]]),DAY(m2_crossvalid[[#This Row],[ds]]))</f>
        <v>45713</v>
      </c>
      <c r="C57">
        <v>4868</v>
      </c>
      <c r="D57" s="1">
        <v>45713.333333333336</v>
      </c>
      <c r="E57">
        <v>3780.220144257024</v>
      </c>
      <c r="F57">
        <v>1994.6605673269603</v>
      </c>
      <c r="G57">
        <v>5707.9140581545653</v>
      </c>
      <c r="H57" s="1">
        <v>45688.333333333336</v>
      </c>
    </row>
    <row r="58" spans="1:8" x14ac:dyDescent="0.25">
      <c r="A58" s="7">
        <f>DATE(YEAR(m2_crossvalid[[#This Row],[cutoff]]),MONTH(m2_crossvalid[[#This Row],[cutoff]]),DAY(m2_crossvalid[[#This Row],[cutoff]]))</f>
        <v>45688</v>
      </c>
      <c r="B58" s="7">
        <f>DATE(YEAR(m2_crossvalid[[#This Row],[ds]]),MONTH(m2_crossvalid[[#This Row],[ds]]),DAY(m2_crossvalid[[#This Row],[ds]]))</f>
        <v>45714</v>
      </c>
      <c r="C58">
        <v>6187</v>
      </c>
      <c r="D58" s="1">
        <v>45714.333333333336</v>
      </c>
      <c r="E58">
        <v>4460.5794570639446</v>
      </c>
      <c r="F58">
        <v>2555.9410759360808</v>
      </c>
      <c r="G58">
        <v>6212.8578043336947</v>
      </c>
      <c r="H58" s="1">
        <v>45688.333333333336</v>
      </c>
    </row>
    <row r="59" spans="1:8" x14ac:dyDescent="0.25">
      <c r="A59" s="7">
        <f>DATE(YEAR(m2_crossvalid[[#This Row],[cutoff]]),MONTH(m2_crossvalid[[#This Row],[cutoff]]),DAY(m2_crossvalid[[#This Row],[cutoff]]))</f>
        <v>45688</v>
      </c>
      <c r="B59" s="7">
        <f>DATE(YEAR(m2_crossvalid[[#This Row],[ds]]),MONTH(m2_crossvalid[[#This Row],[ds]]),DAY(m2_crossvalid[[#This Row],[ds]]))</f>
        <v>45715</v>
      </c>
      <c r="C59">
        <v>8082</v>
      </c>
      <c r="D59" s="1">
        <v>45715.333333333336</v>
      </c>
      <c r="E59">
        <v>5701.7440153739335</v>
      </c>
      <c r="F59">
        <v>3667.1752354853897</v>
      </c>
      <c r="G59">
        <v>7464.4038492175605</v>
      </c>
      <c r="H59" s="1">
        <v>45688.333333333336</v>
      </c>
    </row>
    <row r="60" spans="1:8" x14ac:dyDescent="0.25">
      <c r="A60" s="7">
        <f>DATE(YEAR(m2_crossvalid[[#This Row],[cutoff]]),MONTH(m2_crossvalid[[#This Row],[cutoff]]),DAY(m2_crossvalid[[#This Row],[cutoff]]))</f>
        <v>45688</v>
      </c>
      <c r="B60" s="7">
        <f>DATE(YEAR(m2_crossvalid[[#This Row],[ds]]),MONTH(m2_crossvalid[[#This Row],[ds]]),DAY(m2_crossvalid[[#This Row],[ds]]))</f>
        <v>45716</v>
      </c>
      <c r="C60">
        <v>14838</v>
      </c>
      <c r="D60" s="1">
        <v>45716.333333333336</v>
      </c>
      <c r="E60">
        <v>6681.9820000950767</v>
      </c>
      <c r="F60">
        <v>4874.527657344599</v>
      </c>
      <c r="G60">
        <v>8432.327373197104</v>
      </c>
      <c r="H60" s="1">
        <v>45688.333333333336</v>
      </c>
    </row>
    <row r="61" spans="1:8" x14ac:dyDescent="0.25">
      <c r="A61" s="7">
        <f>DATE(YEAR(m2_crossvalid[[#This Row],[cutoff]]),MONTH(m2_crossvalid[[#This Row],[cutoff]]),DAY(m2_crossvalid[[#This Row],[cutoff]]))</f>
        <v>45688</v>
      </c>
      <c r="B61" s="7">
        <f>DATE(YEAR(m2_crossvalid[[#This Row],[ds]]),MONTH(m2_crossvalid[[#This Row],[ds]]),DAY(m2_crossvalid[[#This Row],[ds]]))</f>
        <v>45717</v>
      </c>
      <c r="C61">
        <v>74</v>
      </c>
      <c r="D61" s="1">
        <v>45717.333333333336</v>
      </c>
      <c r="E61">
        <v>4625.6153527297874</v>
      </c>
      <c r="F61">
        <v>2676.4128916702161</v>
      </c>
      <c r="G61">
        <v>6477.2586757161671</v>
      </c>
      <c r="H61" s="1">
        <v>45688.333333333336</v>
      </c>
    </row>
    <row r="62" spans="1:8" x14ac:dyDescent="0.25">
      <c r="A62" s="7">
        <f>DATE(YEAR(m2_crossvalid[[#This Row],[cutoff]]),MONTH(m2_crossvalid[[#This Row],[cutoff]]),DAY(m2_crossvalid[[#This Row],[cutoff]]))</f>
        <v>45688</v>
      </c>
      <c r="B62" s="7">
        <f>DATE(YEAR(m2_crossvalid[[#This Row],[ds]]),MONTH(m2_crossvalid[[#This Row],[ds]]),DAY(m2_crossvalid[[#This Row],[ds]]))</f>
        <v>45718</v>
      </c>
      <c r="C62">
        <v>27</v>
      </c>
      <c r="D62" s="1">
        <v>45718.333333333336</v>
      </c>
      <c r="E62">
        <v>2989.0959277397606</v>
      </c>
      <c r="F62">
        <v>1129.311146431965</v>
      </c>
      <c r="G62">
        <v>4937.6679084891866</v>
      </c>
      <c r="H62" s="1">
        <v>45688.333333333336</v>
      </c>
    </row>
    <row r="63" spans="1:8" x14ac:dyDescent="0.25">
      <c r="A63" s="7">
        <f>DATE(YEAR(m2_crossvalid[[#This Row],[cutoff]]),MONTH(m2_crossvalid[[#This Row],[cutoff]]),DAY(m2_crossvalid[[#This Row],[cutoff]]))</f>
        <v>45688</v>
      </c>
      <c r="B63" s="7">
        <f>DATE(YEAR(m2_crossvalid[[#This Row],[ds]]),MONTH(m2_crossvalid[[#This Row],[ds]]),DAY(m2_crossvalid[[#This Row],[ds]]))</f>
        <v>45719</v>
      </c>
      <c r="C63">
        <v>378</v>
      </c>
      <c r="D63" s="1">
        <v>45719.333333333336</v>
      </c>
      <c r="E63">
        <v>3439.8986838559294</v>
      </c>
      <c r="F63">
        <v>1615.7557126491174</v>
      </c>
      <c r="G63">
        <v>5305.7506877407377</v>
      </c>
      <c r="H63" s="1">
        <v>45688.333333333336</v>
      </c>
    </row>
    <row r="64" spans="1:8" x14ac:dyDescent="0.25">
      <c r="A64" s="7">
        <f>DATE(YEAR(m2_crossvalid[[#This Row],[cutoff]]),MONTH(m2_crossvalid[[#This Row],[cutoff]]),DAY(m2_crossvalid[[#This Row],[cutoff]]))</f>
        <v>45716</v>
      </c>
      <c r="B64" s="7">
        <f>DATE(YEAR(m2_crossvalid[[#This Row],[ds]]),MONTH(m2_crossvalid[[#This Row],[ds]]),DAY(m2_crossvalid[[#This Row],[ds]]))</f>
        <v>45717</v>
      </c>
      <c r="C64">
        <v>74</v>
      </c>
      <c r="D64" s="1">
        <v>45717.333333333336</v>
      </c>
      <c r="E64">
        <v>4943.2217238482317</v>
      </c>
      <c r="F64">
        <v>3178.5701910704211</v>
      </c>
      <c r="G64">
        <v>6723.2494562813208</v>
      </c>
      <c r="H64" s="1">
        <v>45716.333333333336</v>
      </c>
    </row>
    <row r="65" spans="1:8" x14ac:dyDescent="0.25">
      <c r="A65" s="7">
        <f>DATE(YEAR(m2_crossvalid[[#This Row],[cutoff]]),MONTH(m2_crossvalid[[#This Row],[cutoff]]),DAY(m2_crossvalid[[#This Row],[cutoff]]))</f>
        <v>45716</v>
      </c>
      <c r="B65" s="7">
        <f>DATE(YEAR(m2_crossvalid[[#This Row],[ds]]),MONTH(m2_crossvalid[[#This Row],[ds]]),DAY(m2_crossvalid[[#This Row],[ds]]))</f>
        <v>45718</v>
      </c>
      <c r="C65">
        <v>27</v>
      </c>
      <c r="D65" s="1">
        <v>45718.333333333336</v>
      </c>
      <c r="E65">
        <v>3280.6084565478886</v>
      </c>
      <c r="F65">
        <v>1445.9097901047849</v>
      </c>
      <c r="G65">
        <v>4998.1902472520378</v>
      </c>
      <c r="H65" s="1">
        <v>45716.333333333336</v>
      </c>
    </row>
    <row r="66" spans="1:8" x14ac:dyDescent="0.25">
      <c r="A66" s="7">
        <f>DATE(YEAR(m2_crossvalid[[#This Row],[cutoff]]),MONTH(m2_crossvalid[[#This Row],[cutoff]]),DAY(m2_crossvalid[[#This Row],[cutoff]]))</f>
        <v>45716</v>
      </c>
      <c r="B66" s="7">
        <f>DATE(YEAR(m2_crossvalid[[#This Row],[ds]]),MONTH(m2_crossvalid[[#This Row],[ds]]),DAY(m2_crossvalid[[#This Row],[ds]]))</f>
        <v>45719</v>
      </c>
      <c r="C66">
        <v>378</v>
      </c>
      <c r="D66" s="1">
        <v>45719.333333333336</v>
      </c>
      <c r="E66">
        <v>3705.1259687588481</v>
      </c>
      <c r="F66">
        <v>1860.3501217481023</v>
      </c>
      <c r="G66">
        <v>5684.5582185044659</v>
      </c>
      <c r="H66" s="1">
        <v>45716.333333333336</v>
      </c>
    </row>
    <row r="67" spans="1:8" x14ac:dyDescent="0.25">
      <c r="A67" s="7">
        <f>DATE(YEAR(m2_crossvalid[[#This Row],[cutoff]]),MONTH(m2_crossvalid[[#This Row],[cutoff]]),DAY(m2_crossvalid[[#This Row],[cutoff]]))</f>
        <v>45716</v>
      </c>
      <c r="B67" s="7">
        <f>DATE(YEAR(m2_crossvalid[[#This Row],[ds]]),MONTH(m2_crossvalid[[#This Row],[ds]]),DAY(m2_crossvalid[[#This Row],[ds]]))</f>
        <v>45720</v>
      </c>
      <c r="C67">
        <v>666</v>
      </c>
      <c r="D67" s="1">
        <v>45720.333333333336</v>
      </c>
      <c r="E67">
        <v>2521.8871706016289</v>
      </c>
      <c r="F67">
        <v>709.80664949306788</v>
      </c>
      <c r="G67">
        <v>4429.77207170166</v>
      </c>
      <c r="H67" s="1">
        <v>45716.333333333336</v>
      </c>
    </row>
    <row r="68" spans="1:8" x14ac:dyDescent="0.25">
      <c r="A68" s="7">
        <f>DATE(YEAR(m2_crossvalid[[#This Row],[cutoff]]),MONTH(m2_crossvalid[[#This Row],[cutoff]]),DAY(m2_crossvalid[[#This Row],[cutoff]]))</f>
        <v>45716</v>
      </c>
      <c r="B68" s="7">
        <f>DATE(YEAR(m2_crossvalid[[#This Row],[ds]]),MONTH(m2_crossvalid[[#This Row],[ds]]),DAY(m2_crossvalid[[#This Row],[ds]]))</f>
        <v>45721</v>
      </c>
      <c r="C68">
        <v>793</v>
      </c>
      <c r="D68" s="1">
        <v>45721.333333333336</v>
      </c>
      <c r="E68">
        <v>1603.8665380897764</v>
      </c>
      <c r="F68">
        <v>-193.87911089018212</v>
      </c>
      <c r="G68">
        <v>3633.1139410512833</v>
      </c>
      <c r="H68" s="1">
        <v>45716.333333333336</v>
      </c>
    </row>
    <row r="69" spans="1:8" x14ac:dyDescent="0.25">
      <c r="A69" s="7">
        <f>DATE(YEAR(m2_crossvalid[[#This Row],[cutoff]]),MONTH(m2_crossvalid[[#This Row],[cutoff]]),DAY(m2_crossvalid[[#This Row],[cutoff]]))</f>
        <v>45716</v>
      </c>
      <c r="B69" s="7">
        <f>DATE(YEAR(m2_crossvalid[[#This Row],[ds]]),MONTH(m2_crossvalid[[#This Row],[ds]]),DAY(m2_crossvalid[[#This Row],[ds]]))</f>
        <v>45722</v>
      </c>
      <c r="C69">
        <v>1426</v>
      </c>
      <c r="D69" s="1">
        <v>45722.333333333336</v>
      </c>
      <c r="E69">
        <v>1660.2340742392378</v>
      </c>
      <c r="F69">
        <v>-195.9110598563619</v>
      </c>
      <c r="G69">
        <v>3595.2126997999403</v>
      </c>
      <c r="H69" s="1">
        <v>45716.333333333336</v>
      </c>
    </row>
    <row r="70" spans="1:8" x14ac:dyDescent="0.25">
      <c r="A70" s="7">
        <f>DATE(YEAR(m2_crossvalid[[#This Row],[cutoff]]),MONTH(m2_crossvalid[[#This Row],[cutoff]]),DAY(m2_crossvalid[[#This Row],[cutoff]]))</f>
        <v>45716</v>
      </c>
      <c r="B70" s="7">
        <f>DATE(YEAR(m2_crossvalid[[#This Row],[ds]]),MONTH(m2_crossvalid[[#This Row],[ds]]),DAY(m2_crossvalid[[#This Row],[ds]]))</f>
        <v>45723</v>
      </c>
      <c r="C70">
        <v>1674</v>
      </c>
      <c r="D70" s="1">
        <v>45723.333333333336</v>
      </c>
      <c r="E70">
        <v>2094.5895174104885</v>
      </c>
      <c r="F70">
        <v>211.06484634222051</v>
      </c>
      <c r="G70">
        <v>3884.6081542763486</v>
      </c>
      <c r="H70" s="1">
        <v>45716.333333333336</v>
      </c>
    </row>
    <row r="71" spans="1:8" x14ac:dyDescent="0.25">
      <c r="A71" s="7">
        <f>DATE(YEAR(m2_crossvalid[[#This Row],[cutoff]]),MONTH(m2_crossvalid[[#This Row],[cutoff]]),DAY(m2_crossvalid[[#This Row],[cutoff]]))</f>
        <v>45716</v>
      </c>
      <c r="B71" s="7">
        <f>DATE(YEAR(m2_crossvalid[[#This Row],[ds]]),MONTH(m2_crossvalid[[#This Row],[ds]]),DAY(m2_crossvalid[[#This Row],[ds]]))</f>
        <v>45724</v>
      </c>
      <c r="C71">
        <v>310</v>
      </c>
      <c r="D71" s="1">
        <v>45724.333333333336</v>
      </c>
      <c r="E71">
        <v>225.40788113732651</v>
      </c>
      <c r="F71">
        <v>-1563.1269563292883</v>
      </c>
      <c r="G71">
        <v>2120.5577615769671</v>
      </c>
      <c r="H71" s="1">
        <v>45716.333333333336</v>
      </c>
    </row>
    <row r="72" spans="1:8" x14ac:dyDescent="0.25">
      <c r="A72" s="7">
        <f>DATE(YEAR(m2_crossvalid[[#This Row],[cutoff]]),MONTH(m2_crossvalid[[#This Row],[cutoff]]),DAY(m2_crossvalid[[#This Row],[cutoff]]))</f>
        <v>45716</v>
      </c>
      <c r="B72" s="7">
        <f>DATE(YEAR(m2_crossvalid[[#This Row],[ds]]),MONTH(m2_crossvalid[[#This Row],[ds]]),DAY(m2_crossvalid[[#This Row],[ds]]))</f>
        <v>45725</v>
      </c>
      <c r="C72">
        <v>109</v>
      </c>
      <c r="D72" s="1">
        <v>45725.333333333336</v>
      </c>
      <c r="E72">
        <v>-286.88995386641363</v>
      </c>
      <c r="F72">
        <v>-2138.0479354053582</v>
      </c>
      <c r="G72">
        <v>1596.5936427071729</v>
      </c>
      <c r="H72" s="1">
        <v>45716.333333333336</v>
      </c>
    </row>
    <row r="73" spans="1:8" x14ac:dyDescent="0.25">
      <c r="A73" s="7">
        <f>DATE(YEAR(m2_crossvalid[[#This Row],[cutoff]]),MONTH(m2_crossvalid[[#This Row],[cutoff]]),DAY(m2_crossvalid[[#This Row],[cutoff]]))</f>
        <v>45716</v>
      </c>
      <c r="B73" s="7">
        <f>DATE(YEAR(m2_crossvalid[[#This Row],[ds]]),MONTH(m2_crossvalid[[#This Row],[ds]]),DAY(m2_crossvalid[[#This Row],[ds]]))</f>
        <v>45726</v>
      </c>
      <c r="C73">
        <v>1900</v>
      </c>
      <c r="D73" s="1">
        <v>45726.333333333336</v>
      </c>
      <c r="E73">
        <v>1869.9415135346057</v>
      </c>
      <c r="F73">
        <v>12.881210264203894</v>
      </c>
      <c r="G73">
        <v>3717.2129195980842</v>
      </c>
      <c r="H73" s="1">
        <v>45716.333333333336</v>
      </c>
    </row>
    <row r="74" spans="1:8" x14ac:dyDescent="0.25">
      <c r="A74" s="7">
        <f>DATE(YEAR(m2_crossvalid[[#This Row],[cutoff]]),MONTH(m2_crossvalid[[#This Row],[cutoff]]),DAY(m2_crossvalid[[#This Row],[cutoff]]))</f>
        <v>45716</v>
      </c>
      <c r="B74" s="7">
        <f>DATE(YEAR(m2_crossvalid[[#This Row],[ds]]),MONTH(m2_crossvalid[[#This Row],[ds]]),DAY(m2_crossvalid[[#This Row],[ds]]))</f>
        <v>45727</v>
      </c>
      <c r="C74">
        <v>2294</v>
      </c>
      <c r="D74" s="1">
        <v>45727.333333333336</v>
      </c>
      <c r="E74">
        <v>2390.9686912749435</v>
      </c>
      <c r="F74">
        <v>580.88357035684157</v>
      </c>
      <c r="G74">
        <v>4155.3454263703115</v>
      </c>
      <c r="H74" s="1">
        <v>45716.333333333336</v>
      </c>
    </row>
    <row r="75" spans="1:8" x14ac:dyDescent="0.25">
      <c r="A75" s="7">
        <f>DATE(YEAR(m2_crossvalid[[#This Row],[cutoff]]),MONTH(m2_crossvalid[[#This Row],[cutoff]]),DAY(m2_crossvalid[[#This Row],[cutoff]]))</f>
        <v>45716</v>
      </c>
      <c r="B75" s="7">
        <f>DATE(YEAR(m2_crossvalid[[#This Row],[ds]]),MONTH(m2_crossvalid[[#This Row],[ds]]),DAY(m2_crossvalid[[#This Row],[ds]]))</f>
        <v>45728</v>
      </c>
      <c r="C75">
        <v>2576</v>
      </c>
      <c r="D75" s="1">
        <v>45728.333333333336</v>
      </c>
      <c r="E75">
        <v>2540.530483720589</v>
      </c>
      <c r="F75">
        <v>752.36889867909667</v>
      </c>
      <c r="G75">
        <v>4287.8097340334507</v>
      </c>
      <c r="H75" s="1">
        <v>45716.333333333336</v>
      </c>
    </row>
    <row r="76" spans="1:8" x14ac:dyDescent="0.25">
      <c r="A76" s="7">
        <f>DATE(YEAR(m2_crossvalid[[#This Row],[cutoff]]),MONTH(m2_crossvalid[[#This Row],[cutoff]]),DAY(m2_crossvalid[[#This Row],[cutoff]]))</f>
        <v>45716</v>
      </c>
      <c r="B76" s="7">
        <f>DATE(YEAR(m2_crossvalid[[#This Row],[ds]]),MONTH(m2_crossvalid[[#This Row],[ds]]),DAY(m2_crossvalid[[#This Row],[ds]]))</f>
        <v>45729</v>
      </c>
      <c r="C76">
        <v>2235</v>
      </c>
      <c r="D76" s="1">
        <v>45729.333333333336</v>
      </c>
      <c r="E76">
        <v>2801.6832044070816</v>
      </c>
      <c r="F76">
        <v>949.51114788312032</v>
      </c>
      <c r="G76">
        <v>4701.2022292833944</v>
      </c>
      <c r="H76" s="1">
        <v>45716.333333333336</v>
      </c>
    </row>
    <row r="77" spans="1:8" x14ac:dyDescent="0.25">
      <c r="A77" s="7">
        <f>DATE(YEAR(m2_crossvalid[[#This Row],[cutoff]]),MONTH(m2_crossvalid[[#This Row],[cutoff]]),DAY(m2_crossvalid[[#This Row],[cutoff]]))</f>
        <v>45716</v>
      </c>
      <c r="B77" s="7">
        <f>DATE(YEAR(m2_crossvalid[[#This Row],[ds]]),MONTH(m2_crossvalid[[#This Row],[ds]]),DAY(m2_crossvalid[[#This Row],[ds]]))</f>
        <v>45730</v>
      </c>
      <c r="C77">
        <v>3818</v>
      </c>
      <c r="D77" s="1">
        <v>45730.333333333336</v>
      </c>
      <c r="E77">
        <v>2865.848542648474</v>
      </c>
      <c r="F77">
        <v>1134.1497802906981</v>
      </c>
      <c r="G77">
        <v>4817.4731873854653</v>
      </c>
      <c r="H77" s="1">
        <v>45716.333333333336</v>
      </c>
    </row>
    <row r="78" spans="1:8" x14ac:dyDescent="0.25">
      <c r="A78" s="7">
        <f>DATE(YEAR(m2_crossvalid[[#This Row],[cutoff]]),MONTH(m2_crossvalid[[#This Row],[cutoff]]),DAY(m2_crossvalid[[#This Row],[cutoff]]))</f>
        <v>45716</v>
      </c>
      <c r="B78" s="7">
        <f>DATE(YEAR(m2_crossvalid[[#This Row],[ds]]),MONTH(m2_crossvalid[[#This Row],[ds]]),DAY(m2_crossvalid[[#This Row],[ds]]))</f>
        <v>45731</v>
      </c>
      <c r="C78">
        <v>927</v>
      </c>
      <c r="D78" s="1">
        <v>45731.333333333336</v>
      </c>
      <c r="E78">
        <v>603.0426393927653</v>
      </c>
      <c r="F78">
        <v>-1279.9488200378273</v>
      </c>
      <c r="G78">
        <v>2538.0994372759346</v>
      </c>
      <c r="H78" s="1">
        <v>45716.333333333336</v>
      </c>
    </row>
    <row r="79" spans="1:8" x14ac:dyDescent="0.25">
      <c r="A79" s="7">
        <f>DATE(YEAR(m2_crossvalid[[#This Row],[cutoff]]),MONTH(m2_crossvalid[[#This Row],[cutoff]]),DAY(m2_crossvalid[[#This Row],[cutoff]]))</f>
        <v>45716</v>
      </c>
      <c r="B79" s="7">
        <f>DATE(YEAR(m2_crossvalid[[#This Row],[ds]]),MONTH(m2_crossvalid[[#This Row],[ds]]),DAY(m2_crossvalid[[#This Row],[ds]]))</f>
        <v>45732</v>
      </c>
      <c r="C79">
        <v>263</v>
      </c>
      <c r="D79" s="1">
        <v>45732.333333333336</v>
      </c>
      <c r="E79">
        <v>54.876166819948594</v>
      </c>
      <c r="F79">
        <v>-1813.0468103002804</v>
      </c>
      <c r="G79">
        <v>1945.1534024304171</v>
      </c>
      <c r="H79" s="1">
        <v>45716.333333333336</v>
      </c>
    </row>
    <row r="80" spans="1:8" x14ac:dyDescent="0.25">
      <c r="A80" s="7">
        <f>DATE(YEAR(m2_crossvalid[[#This Row],[cutoff]]),MONTH(m2_crossvalid[[#This Row],[cutoff]]),DAY(m2_crossvalid[[#This Row],[cutoff]]))</f>
        <v>45716</v>
      </c>
      <c r="B80" s="7">
        <f>DATE(YEAR(m2_crossvalid[[#This Row],[ds]]),MONTH(m2_crossvalid[[#This Row],[ds]]),DAY(m2_crossvalid[[#This Row],[ds]]))</f>
        <v>45733</v>
      </c>
      <c r="C80">
        <v>4812</v>
      </c>
      <c r="D80" s="1">
        <v>45733.333333333336</v>
      </c>
      <c r="E80">
        <v>2489.9010604722662</v>
      </c>
      <c r="F80">
        <v>751.6981632911245</v>
      </c>
      <c r="G80">
        <v>4293.5752641460622</v>
      </c>
      <c r="H80" s="1">
        <v>45716.333333333336</v>
      </c>
    </row>
    <row r="81" spans="1:8" x14ac:dyDescent="0.25">
      <c r="A81" s="7">
        <f>DATE(YEAR(m2_crossvalid[[#This Row],[cutoff]]),MONTH(m2_crossvalid[[#This Row],[cutoff]]),DAY(m2_crossvalid[[#This Row],[cutoff]]))</f>
        <v>45716</v>
      </c>
      <c r="B81" s="7">
        <f>DATE(YEAR(m2_crossvalid[[#This Row],[ds]]),MONTH(m2_crossvalid[[#This Row],[ds]]),DAY(m2_crossvalid[[#This Row],[ds]]))</f>
        <v>45734</v>
      </c>
      <c r="C81">
        <v>1459</v>
      </c>
      <c r="D81" s="1">
        <v>45734.333333333336</v>
      </c>
      <c r="E81">
        <v>3262.4276565832879</v>
      </c>
      <c r="F81">
        <v>1607.4756180164609</v>
      </c>
      <c r="G81">
        <v>5196.5606947288134</v>
      </c>
      <c r="H81" s="1">
        <v>45716.333333333336</v>
      </c>
    </row>
    <row r="82" spans="1:8" x14ac:dyDescent="0.25">
      <c r="A82" s="7">
        <f>DATE(YEAR(m2_crossvalid[[#This Row],[cutoff]]),MONTH(m2_crossvalid[[#This Row],[cutoff]]),DAY(m2_crossvalid[[#This Row],[cutoff]]))</f>
        <v>45716</v>
      </c>
      <c r="B82" s="7">
        <f>DATE(YEAR(m2_crossvalid[[#This Row],[ds]]),MONTH(m2_crossvalid[[#This Row],[ds]]),DAY(m2_crossvalid[[#This Row],[ds]]))</f>
        <v>45735</v>
      </c>
      <c r="C82">
        <v>3508</v>
      </c>
      <c r="D82" s="1">
        <v>45735.333333333336</v>
      </c>
      <c r="E82">
        <v>3367.6454739244532</v>
      </c>
      <c r="F82">
        <v>1543.6763167857848</v>
      </c>
      <c r="G82">
        <v>5188.4928091346537</v>
      </c>
      <c r="H82" s="1">
        <v>45716.333333333336</v>
      </c>
    </row>
    <row r="83" spans="1:8" x14ac:dyDescent="0.25">
      <c r="A83" s="7">
        <f>DATE(YEAR(m2_crossvalid[[#This Row],[cutoff]]),MONTH(m2_crossvalid[[#This Row],[cutoff]]),DAY(m2_crossvalid[[#This Row],[cutoff]]))</f>
        <v>45716</v>
      </c>
      <c r="B83" s="7">
        <f>DATE(YEAR(m2_crossvalid[[#This Row],[ds]]),MONTH(m2_crossvalid[[#This Row],[ds]]),DAY(m2_crossvalid[[#This Row],[ds]]))</f>
        <v>45736</v>
      </c>
      <c r="C83">
        <v>3947</v>
      </c>
      <c r="D83" s="1">
        <v>45736.333333333336</v>
      </c>
      <c r="E83">
        <v>3349.4076426351294</v>
      </c>
      <c r="F83">
        <v>1574.3915020750353</v>
      </c>
      <c r="G83">
        <v>5192.7853605355085</v>
      </c>
      <c r="H83" s="1">
        <v>45716.333333333336</v>
      </c>
    </row>
    <row r="84" spans="1:8" x14ac:dyDescent="0.25">
      <c r="A84" s="7">
        <f>DATE(YEAR(m2_crossvalid[[#This Row],[cutoff]]),MONTH(m2_crossvalid[[#This Row],[cutoff]]),DAY(m2_crossvalid[[#This Row],[cutoff]]))</f>
        <v>45716</v>
      </c>
      <c r="B84" s="7">
        <f>DATE(YEAR(m2_crossvalid[[#This Row],[ds]]),MONTH(m2_crossvalid[[#This Row],[ds]]),DAY(m2_crossvalid[[#This Row],[ds]]))</f>
        <v>45737</v>
      </c>
      <c r="C84">
        <v>4280</v>
      </c>
      <c r="D84" s="1">
        <v>45737.333333333336</v>
      </c>
      <c r="E84">
        <v>3205.9014785752925</v>
      </c>
      <c r="F84">
        <v>1235.8168302078814</v>
      </c>
      <c r="G84">
        <v>4993.5661605304504</v>
      </c>
      <c r="H84" s="1">
        <v>45716.333333333336</v>
      </c>
    </row>
    <row r="85" spans="1:8" x14ac:dyDescent="0.25">
      <c r="A85" s="7">
        <f>DATE(YEAR(m2_crossvalid[[#This Row],[cutoff]]),MONTH(m2_crossvalid[[#This Row],[cutoff]]),DAY(m2_crossvalid[[#This Row],[cutoff]]))</f>
        <v>45716</v>
      </c>
      <c r="B85" s="7">
        <f>DATE(YEAR(m2_crossvalid[[#This Row],[ds]]),MONTH(m2_crossvalid[[#This Row],[ds]]),DAY(m2_crossvalid[[#This Row],[ds]]))</f>
        <v>45738</v>
      </c>
      <c r="C85">
        <v>1076</v>
      </c>
      <c r="D85" s="1">
        <v>45738.333333333336</v>
      </c>
      <c r="E85">
        <v>1034.2367835280827</v>
      </c>
      <c r="F85">
        <v>-900.80973333845816</v>
      </c>
      <c r="G85">
        <v>2876.8981339830243</v>
      </c>
      <c r="H85" s="1">
        <v>45716.333333333336</v>
      </c>
    </row>
    <row r="86" spans="1:8" x14ac:dyDescent="0.25">
      <c r="A86" s="7">
        <f>DATE(YEAR(m2_crossvalid[[#This Row],[cutoff]]),MONTH(m2_crossvalid[[#This Row],[cutoff]]),DAY(m2_crossvalid[[#This Row],[cutoff]]))</f>
        <v>45716</v>
      </c>
      <c r="B86" s="7">
        <f>DATE(YEAR(m2_crossvalid[[#This Row],[ds]]),MONTH(m2_crossvalid[[#This Row],[ds]]),DAY(m2_crossvalid[[#This Row],[ds]]))</f>
        <v>45739</v>
      </c>
      <c r="C86">
        <v>301</v>
      </c>
      <c r="D86" s="1">
        <v>45739.333333333336</v>
      </c>
      <c r="E86">
        <v>786.24725154251973</v>
      </c>
      <c r="F86">
        <v>-1131.6494798187848</v>
      </c>
      <c r="G86">
        <v>2642.9968337326563</v>
      </c>
      <c r="H86" s="1">
        <v>45716.333333333336</v>
      </c>
    </row>
    <row r="87" spans="1:8" x14ac:dyDescent="0.25">
      <c r="A87" s="7">
        <f>DATE(YEAR(m2_crossvalid[[#This Row],[cutoff]]),MONTH(m2_crossvalid[[#This Row],[cutoff]]),DAY(m2_crossvalid[[#This Row],[cutoff]]))</f>
        <v>45716</v>
      </c>
      <c r="B87" s="7">
        <f>DATE(YEAR(m2_crossvalid[[#This Row],[ds]]),MONTH(m2_crossvalid[[#This Row],[ds]]),DAY(m2_crossvalid[[#This Row],[ds]]))</f>
        <v>45740</v>
      </c>
      <c r="C87">
        <v>4292</v>
      </c>
      <c r="D87" s="1">
        <v>45740.333333333336</v>
      </c>
      <c r="E87">
        <v>3414.3170208803567</v>
      </c>
      <c r="F87">
        <v>1585.0298056572733</v>
      </c>
      <c r="G87">
        <v>5246.0952407062841</v>
      </c>
      <c r="H87" s="1">
        <v>45716.333333333336</v>
      </c>
    </row>
    <row r="88" spans="1:8" x14ac:dyDescent="0.25">
      <c r="A88" s="7">
        <f>DATE(YEAR(m2_crossvalid[[#This Row],[cutoff]]),MONTH(m2_crossvalid[[#This Row],[cutoff]]),DAY(m2_crossvalid[[#This Row],[cutoff]]))</f>
        <v>45716</v>
      </c>
      <c r="B88" s="7">
        <f>DATE(YEAR(m2_crossvalid[[#This Row],[ds]]),MONTH(m2_crossvalid[[#This Row],[ds]]),DAY(m2_crossvalid[[#This Row],[ds]]))</f>
        <v>45741</v>
      </c>
      <c r="C88">
        <v>5571</v>
      </c>
      <c r="D88" s="1">
        <v>45741.333333333336</v>
      </c>
      <c r="E88">
        <v>4065.1813139106503</v>
      </c>
      <c r="F88">
        <v>2178.6347631094673</v>
      </c>
      <c r="G88">
        <v>6036.0395967831482</v>
      </c>
      <c r="H88" s="1">
        <v>45716.333333333336</v>
      </c>
    </row>
    <row r="89" spans="1:8" x14ac:dyDescent="0.25">
      <c r="A89" s="7">
        <f>DATE(YEAR(m2_crossvalid[[#This Row],[cutoff]]),MONTH(m2_crossvalid[[#This Row],[cutoff]]),DAY(m2_crossvalid[[#This Row],[cutoff]]))</f>
        <v>45716</v>
      </c>
      <c r="B89" s="7">
        <f>DATE(YEAR(m2_crossvalid[[#This Row],[ds]]),MONTH(m2_crossvalid[[#This Row],[ds]]),DAY(m2_crossvalid[[#This Row],[ds]]))</f>
        <v>45742</v>
      </c>
      <c r="C89">
        <v>6352</v>
      </c>
      <c r="D89" s="1">
        <v>45742.333333333336</v>
      </c>
      <c r="E89">
        <v>3886.9000887991269</v>
      </c>
      <c r="F89">
        <v>2063.1288911314437</v>
      </c>
      <c r="G89">
        <v>5747.6793855600645</v>
      </c>
      <c r="H89" s="1">
        <v>45716.333333333336</v>
      </c>
    </row>
    <row r="90" spans="1:8" x14ac:dyDescent="0.25">
      <c r="A90" s="7">
        <f>DATE(YEAR(m2_crossvalid[[#This Row],[cutoff]]),MONTH(m2_crossvalid[[#This Row],[cutoff]]),DAY(m2_crossvalid[[#This Row],[cutoff]]))</f>
        <v>45716</v>
      </c>
      <c r="B90" s="7">
        <f>DATE(YEAR(m2_crossvalid[[#This Row],[ds]]),MONTH(m2_crossvalid[[#This Row],[ds]]),DAY(m2_crossvalid[[#This Row],[ds]]))</f>
        <v>45743</v>
      </c>
      <c r="C90">
        <v>8836</v>
      </c>
      <c r="D90" s="1">
        <v>45743.333333333336</v>
      </c>
      <c r="E90">
        <v>3846.1375095676408</v>
      </c>
      <c r="F90">
        <v>1935.6829970917302</v>
      </c>
      <c r="G90">
        <v>5704.9265498739305</v>
      </c>
      <c r="H90" s="1">
        <v>45716.333333333336</v>
      </c>
    </row>
    <row r="91" spans="1:8" x14ac:dyDescent="0.25">
      <c r="A91" s="7">
        <f>DATE(YEAR(m2_crossvalid[[#This Row],[cutoff]]),MONTH(m2_crossvalid[[#This Row],[cutoff]]),DAY(m2_crossvalid[[#This Row],[cutoff]]))</f>
        <v>45716</v>
      </c>
      <c r="B91" s="7">
        <f>DATE(YEAR(m2_crossvalid[[#This Row],[ds]]),MONTH(m2_crossvalid[[#This Row],[ds]]),DAY(m2_crossvalid[[#This Row],[ds]]))</f>
        <v>45744</v>
      </c>
      <c r="C91">
        <v>9717</v>
      </c>
      <c r="D91" s="1">
        <v>45744.333333333336</v>
      </c>
      <c r="E91">
        <v>4260.1202700809799</v>
      </c>
      <c r="F91">
        <v>2298.0679780801183</v>
      </c>
      <c r="G91">
        <v>6246.8567285078725</v>
      </c>
      <c r="H91" s="1">
        <v>45716.333333333336</v>
      </c>
    </row>
    <row r="92" spans="1:8" x14ac:dyDescent="0.25">
      <c r="A92" s="7">
        <f>DATE(YEAR(m2_crossvalid[[#This Row],[cutoff]]),MONTH(m2_crossvalid[[#This Row],[cutoff]]),DAY(m2_crossvalid[[#This Row],[cutoff]]))</f>
        <v>45716</v>
      </c>
      <c r="B92" s="7">
        <f>DATE(YEAR(m2_crossvalid[[#This Row],[ds]]),MONTH(m2_crossvalid[[#This Row],[ds]]),DAY(m2_crossvalid[[#This Row],[ds]]))</f>
        <v>45745</v>
      </c>
      <c r="C92">
        <v>3249</v>
      </c>
      <c r="D92" s="1">
        <v>45745.333333333336</v>
      </c>
      <c r="E92">
        <v>3112.199312702915</v>
      </c>
      <c r="F92">
        <v>1240.1384326342052</v>
      </c>
      <c r="G92">
        <v>5090.4662928270873</v>
      </c>
      <c r="H92" s="1">
        <v>45716.333333333336</v>
      </c>
    </row>
    <row r="93" spans="1:8" x14ac:dyDescent="0.25">
      <c r="A93" s="7">
        <f>DATE(YEAR(m2_crossvalid[[#This Row],[cutoff]]),MONTH(m2_crossvalid[[#This Row],[cutoff]]),DAY(m2_crossvalid[[#This Row],[cutoff]]))</f>
        <v>45716</v>
      </c>
      <c r="B93" s="7">
        <f>DATE(YEAR(m2_crossvalid[[#This Row],[ds]]),MONTH(m2_crossvalid[[#This Row],[ds]]),DAY(m2_crossvalid[[#This Row],[ds]]))</f>
        <v>45746</v>
      </c>
      <c r="C93">
        <v>198</v>
      </c>
      <c r="D93" s="1">
        <v>45746.333333333336</v>
      </c>
      <c r="E93">
        <v>3819.1238897976182</v>
      </c>
      <c r="F93">
        <v>2020.6832867036128</v>
      </c>
      <c r="G93">
        <v>5721.3759603782255</v>
      </c>
      <c r="H93" s="1">
        <v>45716.333333333336</v>
      </c>
    </row>
    <row r="94" spans="1:8" x14ac:dyDescent="0.25">
      <c r="A94" s="7">
        <f>DATE(YEAR(m2_crossvalid[[#This Row],[cutoff]]),MONTH(m2_crossvalid[[#This Row],[cutoff]]),DAY(m2_crossvalid[[#This Row],[cutoff]]))</f>
        <v>45716</v>
      </c>
      <c r="B94" s="7">
        <f>DATE(YEAR(m2_crossvalid[[#This Row],[ds]]),MONTH(m2_crossvalid[[#This Row],[ds]]),DAY(m2_crossvalid[[#This Row],[ds]]))</f>
        <v>45747</v>
      </c>
      <c r="C94">
        <v>53</v>
      </c>
      <c r="D94" s="1">
        <v>45747.333333333336</v>
      </c>
      <c r="E94">
        <v>6724.8096825353678</v>
      </c>
      <c r="F94">
        <v>4758.2498854997857</v>
      </c>
      <c r="G94">
        <v>8636.2032906045642</v>
      </c>
      <c r="H94" s="1">
        <v>45716.333333333336</v>
      </c>
    </row>
    <row r="95" spans="1:8" x14ac:dyDescent="0.25">
      <c r="A95" s="7">
        <f>DATE(YEAR(m2_crossvalid[[#This Row],[cutoff]]),MONTH(m2_crossvalid[[#This Row],[cutoff]]),DAY(m2_crossvalid[[#This Row],[cutoff]]))</f>
        <v>45747</v>
      </c>
      <c r="B95" s="7">
        <f>DATE(YEAR(m2_crossvalid[[#This Row],[ds]]),MONTH(m2_crossvalid[[#This Row],[ds]]),DAY(m2_crossvalid[[#This Row],[ds]]))</f>
        <v>45748</v>
      </c>
      <c r="C95">
        <v>2</v>
      </c>
      <c r="D95" s="1">
        <v>45748.333333333336</v>
      </c>
      <c r="E95">
        <v>6563.4704194132155</v>
      </c>
      <c r="F95">
        <v>4523.664247658051</v>
      </c>
      <c r="G95">
        <v>8439.5219636158363</v>
      </c>
      <c r="H95" s="1">
        <v>45747.333333333336</v>
      </c>
    </row>
    <row r="96" spans="1:8" x14ac:dyDescent="0.25">
      <c r="A96" s="7">
        <f>DATE(YEAR(m2_crossvalid[[#This Row],[cutoff]]),MONTH(m2_crossvalid[[#This Row],[cutoff]]),DAY(m2_crossvalid[[#This Row],[cutoff]]))</f>
        <v>45747</v>
      </c>
      <c r="B96" s="7">
        <f>DATE(YEAR(m2_crossvalid[[#This Row],[ds]]),MONTH(m2_crossvalid[[#This Row],[ds]]),DAY(m2_crossvalid[[#This Row],[ds]]))</f>
        <v>45749</v>
      </c>
      <c r="C96">
        <v>105</v>
      </c>
      <c r="D96" s="1">
        <v>45749.333333333336</v>
      </c>
      <c r="E96">
        <v>4954.9066178696075</v>
      </c>
      <c r="F96">
        <v>3140.4400201874023</v>
      </c>
      <c r="G96">
        <v>6817.2558463743871</v>
      </c>
      <c r="H96" s="1">
        <v>45747.333333333336</v>
      </c>
    </row>
    <row r="97" spans="1:8" x14ac:dyDescent="0.25">
      <c r="A97" s="7">
        <f>DATE(YEAR(m2_crossvalid[[#This Row],[cutoff]]),MONTH(m2_crossvalid[[#This Row],[cutoff]]),DAY(m2_crossvalid[[#This Row],[cutoff]]))</f>
        <v>45747</v>
      </c>
      <c r="B97" s="7">
        <f>DATE(YEAR(m2_crossvalid[[#This Row],[ds]]),MONTH(m2_crossvalid[[#This Row],[ds]]),DAY(m2_crossvalid[[#This Row],[ds]]))</f>
        <v>45750</v>
      </c>
      <c r="C97">
        <v>284</v>
      </c>
      <c r="D97" s="1">
        <v>45750.333333333336</v>
      </c>
      <c r="E97">
        <v>3118.5353535837753</v>
      </c>
      <c r="F97">
        <v>1183.0027941775838</v>
      </c>
      <c r="G97">
        <v>5036.1107917168174</v>
      </c>
      <c r="H97" s="1">
        <v>45747.333333333336</v>
      </c>
    </row>
    <row r="98" spans="1:8" x14ac:dyDescent="0.25">
      <c r="A98" s="7">
        <f>DATE(YEAR(m2_crossvalid[[#This Row],[cutoff]]),MONTH(m2_crossvalid[[#This Row],[cutoff]]),DAY(m2_crossvalid[[#This Row],[cutoff]]))</f>
        <v>45747</v>
      </c>
      <c r="B98" s="7">
        <f>DATE(YEAR(m2_crossvalid[[#This Row],[ds]]),MONTH(m2_crossvalid[[#This Row],[ds]]),DAY(m2_crossvalid[[#This Row],[ds]]))</f>
        <v>45751</v>
      </c>
      <c r="C98">
        <v>403</v>
      </c>
      <c r="D98" s="1">
        <v>45751.333333333336</v>
      </c>
      <c r="E98">
        <v>1761.9157548650637</v>
      </c>
      <c r="F98">
        <v>-73.224981272797095</v>
      </c>
      <c r="G98">
        <v>3657.4053649230455</v>
      </c>
      <c r="H98" s="1">
        <v>45747.333333333336</v>
      </c>
    </row>
    <row r="99" spans="1:8" x14ac:dyDescent="0.25">
      <c r="A99" s="7">
        <f>DATE(YEAR(m2_crossvalid[[#This Row],[cutoff]]),MONTH(m2_crossvalid[[#This Row],[cutoff]]),DAY(m2_crossvalid[[#This Row],[cutoff]]))</f>
        <v>45747</v>
      </c>
      <c r="B99" s="7">
        <f>DATE(YEAR(m2_crossvalid[[#This Row],[ds]]),MONTH(m2_crossvalid[[#This Row],[ds]]),DAY(m2_crossvalid[[#This Row],[ds]]))</f>
        <v>45752</v>
      </c>
      <c r="C99">
        <v>47</v>
      </c>
      <c r="D99" s="1">
        <v>45752.333333333336</v>
      </c>
      <c r="E99">
        <v>-929.11131772872113</v>
      </c>
      <c r="F99">
        <v>-2781.8022777821816</v>
      </c>
      <c r="G99">
        <v>949.35781161635555</v>
      </c>
      <c r="H99" s="1">
        <v>45747.333333333336</v>
      </c>
    </row>
    <row r="100" spans="1:8" x14ac:dyDescent="0.25">
      <c r="A100" s="7">
        <f>DATE(YEAR(m2_crossvalid[[#This Row],[cutoff]]),MONTH(m2_crossvalid[[#This Row],[cutoff]]),DAY(m2_crossvalid[[#This Row],[cutoff]]))</f>
        <v>45747</v>
      </c>
      <c r="B100" s="7">
        <f>DATE(YEAR(m2_crossvalid[[#This Row],[ds]]),MONTH(m2_crossvalid[[#This Row],[ds]]),DAY(m2_crossvalid[[#This Row],[ds]]))</f>
        <v>45753</v>
      </c>
      <c r="C100">
        <v>11</v>
      </c>
      <c r="D100" s="1">
        <v>45753.333333333336</v>
      </c>
      <c r="E100">
        <v>-1176.7856265468945</v>
      </c>
      <c r="F100">
        <v>-3152.8727952961453</v>
      </c>
      <c r="G100">
        <v>773.93877906564046</v>
      </c>
      <c r="H100" s="1">
        <v>45747.333333333336</v>
      </c>
    </row>
    <row r="101" spans="1:8" x14ac:dyDescent="0.25">
      <c r="A101" s="7">
        <f>DATE(YEAR(m2_crossvalid[[#This Row],[cutoff]]),MONTH(m2_crossvalid[[#This Row],[cutoff]]),DAY(m2_crossvalid[[#This Row],[cutoff]]))</f>
        <v>45747</v>
      </c>
      <c r="B101" s="7">
        <f>DATE(YEAR(m2_crossvalid[[#This Row],[ds]]),MONTH(m2_crossvalid[[#This Row],[ds]]),DAY(m2_crossvalid[[#This Row],[ds]]))</f>
        <v>45754</v>
      </c>
      <c r="C101">
        <v>477</v>
      </c>
      <c r="D101" s="1">
        <v>45754.333333333336</v>
      </c>
      <c r="E101">
        <v>1551.1868597762523</v>
      </c>
      <c r="F101">
        <v>-371.44493760429333</v>
      </c>
      <c r="G101">
        <v>3330.8071665297598</v>
      </c>
      <c r="H101" s="1">
        <v>45747.333333333336</v>
      </c>
    </row>
    <row r="102" spans="1:8" x14ac:dyDescent="0.25">
      <c r="A102" s="7">
        <f>DATE(YEAR(m2_crossvalid[[#This Row],[cutoff]]),MONTH(m2_crossvalid[[#This Row],[cutoff]]),DAY(m2_crossvalid[[#This Row],[cutoff]]))</f>
        <v>45747</v>
      </c>
      <c r="B102" s="7">
        <f>DATE(YEAR(m2_crossvalid[[#This Row],[ds]]),MONTH(m2_crossvalid[[#This Row],[ds]]),DAY(m2_crossvalid[[#This Row],[ds]]))</f>
        <v>45755</v>
      </c>
      <c r="C102">
        <v>775</v>
      </c>
      <c r="D102" s="1">
        <v>45755.333333333336</v>
      </c>
      <c r="E102">
        <v>2268.6895565214691</v>
      </c>
      <c r="F102">
        <v>443.54943306379766</v>
      </c>
      <c r="G102">
        <v>4151.0922612204595</v>
      </c>
      <c r="H102" s="1">
        <v>45747.333333333336</v>
      </c>
    </row>
    <row r="103" spans="1:8" x14ac:dyDescent="0.25">
      <c r="A103" s="7">
        <f>DATE(YEAR(m2_crossvalid[[#This Row],[cutoff]]),MONTH(m2_crossvalid[[#This Row],[cutoff]]),DAY(m2_crossvalid[[#This Row],[cutoff]]))</f>
        <v>45747</v>
      </c>
      <c r="B103" s="7">
        <f>DATE(YEAR(m2_crossvalid[[#This Row],[ds]]),MONTH(m2_crossvalid[[#This Row],[ds]]),DAY(m2_crossvalid[[#This Row],[ds]]))</f>
        <v>45756</v>
      </c>
      <c r="C103">
        <v>1016</v>
      </c>
      <c r="D103" s="1">
        <v>45756.333333333336</v>
      </c>
      <c r="E103">
        <v>2124.4208996928701</v>
      </c>
      <c r="F103">
        <v>260.10136876983648</v>
      </c>
      <c r="G103">
        <v>4153.9639499641207</v>
      </c>
      <c r="H103" s="1">
        <v>45747.333333333336</v>
      </c>
    </row>
    <row r="104" spans="1:8" x14ac:dyDescent="0.25">
      <c r="A104" s="7">
        <f>DATE(YEAR(m2_crossvalid[[#This Row],[cutoff]]),MONTH(m2_crossvalid[[#This Row],[cutoff]]),DAY(m2_crossvalid[[#This Row],[cutoff]]))</f>
        <v>45747</v>
      </c>
      <c r="B104" s="7">
        <f>DATE(YEAR(m2_crossvalid[[#This Row],[ds]]),MONTH(m2_crossvalid[[#This Row],[ds]]),DAY(m2_crossvalid[[#This Row],[ds]]))</f>
        <v>45757</v>
      </c>
      <c r="C104">
        <v>1422</v>
      </c>
      <c r="D104" s="1">
        <v>45757.333333333336</v>
      </c>
      <c r="E104">
        <v>2030.0857687890132</v>
      </c>
      <c r="F104">
        <v>-84.935849045994203</v>
      </c>
      <c r="G104">
        <v>3864.9788712047985</v>
      </c>
      <c r="H104" s="1">
        <v>45747.333333333336</v>
      </c>
    </row>
    <row r="105" spans="1:8" x14ac:dyDescent="0.25">
      <c r="A105" s="7">
        <f>DATE(YEAR(m2_crossvalid[[#This Row],[cutoff]]),MONTH(m2_crossvalid[[#This Row],[cutoff]]),DAY(m2_crossvalid[[#This Row],[cutoff]]))</f>
        <v>45747</v>
      </c>
      <c r="B105" s="7">
        <f>DATE(YEAR(m2_crossvalid[[#This Row],[ds]]),MONTH(m2_crossvalid[[#This Row],[ds]]),DAY(m2_crossvalid[[#This Row],[ds]]))</f>
        <v>45758</v>
      </c>
      <c r="C105">
        <v>1565</v>
      </c>
      <c r="D105" s="1">
        <v>45758.333333333336</v>
      </c>
      <c r="E105">
        <v>2076.6882039521397</v>
      </c>
      <c r="F105">
        <v>168.22083989449538</v>
      </c>
      <c r="G105">
        <v>3938.8451190442397</v>
      </c>
      <c r="H105" s="1">
        <v>45747.333333333336</v>
      </c>
    </row>
    <row r="106" spans="1:8" x14ac:dyDescent="0.25">
      <c r="A106" s="7">
        <f>DATE(YEAR(m2_crossvalid[[#This Row],[cutoff]]),MONTH(m2_crossvalid[[#This Row],[cutoff]]),DAY(m2_crossvalid[[#This Row],[cutoff]]))</f>
        <v>45747</v>
      </c>
      <c r="B106" s="7">
        <f>DATE(YEAR(m2_crossvalid[[#This Row],[ds]]),MONTH(m2_crossvalid[[#This Row],[ds]]),DAY(m2_crossvalid[[#This Row],[ds]]))</f>
        <v>45759</v>
      </c>
      <c r="C106">
        <v>276</v>
      </c>
      <c r="D106" s="1">
        <v>45759.333333333336</v>
      </c>
      <c r="E106">
        <v>14.079390078173219</v>
      </c>
      <c r="F106">
        <v>-1860.7297900372457</v>
      </c>
      <c r="G106">
        <v>2044.2662574762994</v>
      </c>
      <c r="H106" s="1">
        <v>45747.333333333336</v>
      </c>
    </row>
    <row r="107" spans="1:8" x14ac:dyDescent="0.25">
      <c r="A107" s="7">
        <f>DATE(YEAR(m2_crossvalid[[#This Row],[cutoff]]),MONTH(m2_crossvalid[[#This Row],[cutoff]]),DAY(m2_crossvalid[[#This Row],[cutoff]]))</f>
        <v>45747</v>
      </c>
      <c r="B107" s="7">
        <f>DATE(YEAR(m2_crossvalid[[#This Row],[ds]]),MONTH(m2_crossvalid[[#This Row],[ds]]),DAY(m2_crossvalid[[#This Row],[ds]]))</f>
        <v>45760</v>
      </c>
      <c r="C107">
        <v>55</v>
      </c>
      <c r="D107" s="1">
        <v>45760.333333333336</v>
      </c>
      <c r="E107">
        <v>-355.37119464776379</v>
      </c>
      <c r="F107">
        <v>-2181.9673901453543</v>
      </c>
      <c r="G107">
        <v>1595.3061804025722</v>
      </c>
      <c r="H107" s="1">
        <v>45747.333333333336</v>
      </c>
    </row>
    <row r="108" spans="1:8" x14ac:dyDescent="0.25">
      <c r="A108" s="7">
        <f>DATE(YEAR(m2_crossvalid[[#This Row],[cutoff]]),MONTH(m2_crossvalid[[#This Row],[cutoff]]),DAY(m2_crossvalid[[#This Row],[cutoff]]))</f>
        <v>45747</v>
      </c>
      <c r="B108" s="7">
        <f>DATE(YEAR(m2_crossvalid[[#This Row],[ds]]),MONTH(m2_crossvalid[[#This Row],[ds]]),DAY(m2_crossvalid[[#This Row],[ds]]))</f>
        <v>45761</v>
      </c>
      <c r="C108">
        <v>1634</v>
      </c>
      <c r="D108" s="1">
        <v>45761.333333333336</v>
      </c>
      <c r="E108">
        <v>1940.1485426537222</v>
      </c>
      <c r="F108">
        <v>-37.369424449625704</v>
      </c>
      <c r="G108">
        <v>3816.5539640383122</v>
      </c>
      <c r="H108" s="1">
        <v>45747.333333333336</v>
      </c>
    </row>
    <row r="109" spans="1:8" x14ac:dyDescent="0.25">
      <c r="A109" s="7">
        <f>DATE(YEAR(m2_crossvalid[[#This Row],[cutoff]]),MONTH(m2_crossvalid[[#This Row],[cutoff]]),DAY(m2_crossvalid[[#This Row],[cutoff]]))</f>
        <v>45747</v>
      </c>
      <c r="B109" s="7">
        <f>DATE(YEAR(m2_crossvalid[[#This Row],[ds]]),MONTH(m2_crossvalid[[#This Row],[ds]]),DAY(m2_crossvalid[[#This Row],[ds]]))</f>
        <v>45762</v>
      </c>
      <c r="C109">
        <v>1965</v>
      </c>
      <c r="D109" s="1">
        <v>45762.333333333336</v>
      </c>
      <c r="E109">
        <v>2414.2233786597913</v>
      </c>
      <c r="F109">
        <v>527.16760529098883</v>
      </c>
      <c r="G109">
        <v>4283.8213297417578</v>
      </c>
      <c r="H109" s="1">
        <v>45747.333333333336</v>
      </c>
    </row>
    <row r="110" spans="1:8" x14ac:dyDescent="0.25">
      <c r="A110" s="7">
        <f>DATE(YEAR(m2_crossvalid[[#This Row],[cutoff]]),MONTH(m2_crossvalid[[#This Row],[cutoff]]),DAY(m2_crossvalid[[#This Row],[cutoff]]))</f>
        <v>45747</v>
      </c>
      <c r="B110" s="7">
        <f>DATE(YEAR(m2_crossvalid[[#This Row],[ds]]),MONTH(m2_crossvalid[[#This Row],[ds]]),DAY(m2_crossvalid[[#This Row],[ds]]))</f>
        <v>45763</v>
      </c>
      <c r="C110">
        <v>2361</v>
      </c>
      <c r="D110" s="1">
        <v>45763.333333333336</v>
      </c>
      <c r="E110">
        <v>2402.3091565406653</v>
      </c>
      <c r="F110">
        <v>448.18249093103799</v>
      </c>
      <c r="G110">
        <v>4349.2865886191075</v>
      </c>
      <c r="H110" s="1">
        <v>45747.333333333336</v>
      </c>
    </row>
    <row r="111" spans="1:8" x14ac:dyDescent="0.25">
      <c r="A111" s="7">
        <f>DATE(YEAR(m2_crossvalid[[#This Row],[cutoff]]),MONTH(m2_crossvalid[[#This Row],[cutoff]]),DAY(m2_crossvalid[[#This Row],[cutoff]]))</f>
        <v>45747</v>
      </c>
      <c r="B111" s="7">
        <f>DATE(YEAR(m2_crossvalid[[#This Row],[ds]]),MONTH(m2_crossvalid[[#This Row],[ds]]),DAY(m2_crossvalid[[#This Row],[ds]]))</f>
        <v>45764</v>
      </c>
      <c r="C111">
        <v>2761</v>
      </c>
      <c r="D111" s="1">
        <v>45764.333333333336</v>
      </c>
      <c r="E111">
        <v>2608.9464576064911</v>
      </c>
      <c r="F111">
        <v>659.63540246810965</v>
      </c>
      <c r="G111">
        <v>4475.0942555953334</v>
      </c>
      <c r="H111" s="1">
        <v>45747.333333333336</v>
      </c>
    </row>
    <row r="112" spans="1:8" x14ac:dyDescent="0.25">
      <c r="A112" s="7">
        <f>DATE(YEAR(m2_crossvalid[[#This Row],[cutoff]]),MONTH(m2_crossvalid[[#This Row],[cutoff]]),DAY(m2_crossvalid[[#This Row],[cutoff]]))</f>
        <v>45747</v>
      </c>
      <c r="B112" s="7">
        <f>DATE(YEAR(m2_crossvalid[[#This Row],[ds]]),MONTH(m2_crossvalid[[#This Row],[ds]]),DAY(m2_crossvalid[[#This Row],[ds]]))</f>
        <v>45765</v>
      </c>
      <c r="C112">
        <v>2721</v>
      </c>
      <c r="D112" s="1">
        <v>45765.333333333336</v>
      </c>
      <c r="E112">
        <v>2784.1605796537688</v>
      </c>
      <c r="F112">
        <v>937.04730201916539</v>
      </c>
      <c r="G112">
        <v>4621.2177008635454</v>
      </c>
      <c r="H112" s="1">
        <v>45747.333333333336</v>
      </c>
    </row>
    <row r="113" spans="1:8" x14ac:dyDescent="0.25">
      <c r="A113" s="7">
        <f>DATE(YEAR(m2_crossvalid[[#This Row],[cutoff]]),MONTH(m2_crossvalid[[#This Row],[cutoff]]),DAY(m2_crossvalid[[#This Row],[cutoff]]))</f>
        <v>45747</v>
      </c>
      <c r="B113" s="7">
        <f>DATE(YEAR(m2_crossvalid[[#This Row],[ds]]),MONTH(m2_crossvalid[[#This Row],[ds]]),DAY(m2_crossvalid[[#This Row],[ds]]))</f>
        <v>45766</v>
      </c>
      <c r="C113">
        <v>420</v>
      </c>
      <c r="D113" s="1">
        <v>45766.333333333336</v>
      </c>
      <c r="E113">
        <v>548.49533581612968</v>
      </c>
      <c r="F113">
        <v>-1459.4545808348728</v>
      </c>
      <c r="G113">
        <v>2524.0081376015032</v>
      </c>
      <c r="H113" s="1">
        <v>45747.333333333336</v>
      </c>
    </row>
    <row r="114" spans="1:8" x14ac:dyDescent="0.25">
      <c r="A114" s="7">
        <f>DATE(YEAR(m2_crossvalid[[#This Row],[cutoff]]),MONTH(m2_crossvalid[[#This Row],[cutoff]]),DAY(m2_crossvalid[[#This Row],[cutoff]]))</f>
        <v>45747</v>
      </c>
      <c r="B114" s="7">
        <f>DATE(YEAR(m2_crossvalid[[#This Row],[ds]]),MONTH(m2_crossvalid[[#This Row],[ds]]),DAY(m2_crossvalid[[#This Row],[ds]]))</f>
        <v>45767</v>
      </c>
      <c r="C114">
        <v>166</v>
      </c>
      <c r="D114" s="1">
        <v>45767.333333333336</v>
      </c>
      <c r="E114">
        <v>-103.10652322265742</v>
      </c>
      <c r="F114">
        <v>-1979.9529751569862</v>
      </c>
      <c r="G114">
        <v>1748.2702660338834</v>
      </c>
      <c r="H114" s="1">
        <v>45747.333333333336</v>
      </c>
    </row>
    <row r="115" spans="1:8" x14ac:dyDescent="0.25">
      <c r="A115" s="7">
        <f>DATE(YEAR(m2_crossvalid[[#This Row],[cutoff]]),MONTH(m2_crossvalid[[#This Row],[cutoff]]),DAY(m2_crossvalid[[#This Row],[cutoff]]))</f>
        <v>45747</v>
      </c>
      <c r="B115" s="7">
        <f>DATE(YEAR(m2_crossvalid[[#This Row],[ds]]),MONTH(m2_crossvalid[[#This Row],[ds]]),DAY(m2_crossvalid[[#This Row],[ds]]))</f>
        <v>45768</v>
      </c>
      <c r="C115">
        <v>2715</v>
      </c>
      <c r="D115" s="1">
        <v>45768.333333333336</v>
      </c>
      <c r="E115">
        <v>2103.3508532442293</v>
      </c>
      <c r="F115">
        <v>161.35854722250531</v>
      </c>
      <c r="G115">
        <v>3946.6736995718543</v>
      </c>
      <c r="H115" s="1">
        <v>45747.333333333336</v>
      </c>
    </row>
    <row r="116" spans="1:8" x14ac:dyDescent="0.25">
      <c r="A116" s="7">
        <f>DATE(YEAR(m2_crossvalid[[#This Row],[cutoff]]),MONTH(m2_crossvalid[[#This Row],[cutoff]]),DAY(m2_crossvalid[[#This Row],[cutoff]]))</f>
        <v>45747</v>
      </c>
      <c r="B116" s="7">
        <f>DATE(YEAR(m2_crossvalid[[#This Row],[ds]]),MONTH(m2_crossvalid[[#This Row],[ds]]),DAY(m2_crossvalid[[#This Row],[ds]]))</f>
        <v>45769</v>
      </c>
      <c r="C116">
        <v>3162</v>
      </c>
      <c r="D116" s="1">
        <v>45769.333333333336</v>
      </c>
      <c r="E116">
        <v>2780.4579733714295</v>
      </c>
      <c r="F116">
        <v>826.98436273440541</v>
      </c>
      <c r="G116">
        <v>4773.2344497101276</v>
      </c>
      <c r="H116" s="1">
        <v>45747.333333333336</v>
      </c>
    </row>
    <row r="117" spans="1:8" x14ac:dyDescent="0.25">
      <c r="A117" s="7">
        <f>DATE(YEAR(m2_crossvalid[[#This Row],[cutoff]]),MONTH(m2_crossvalid[[#This Row],[cutoff]]),DAY(m2_crossvalid[[#This Row],[cutoff]]))</f>
        <v>45747</v>
      </c>
      <c r="B117" s="7">
        <f>DATE(YEAR(m2_crossvalid[[#This Row],[ds]]),MONTH(m2_crossvalid[[#This Row],[ds]]),DAY(m2_crossvalid[[#This Row],[ds]]))</f>
        <v>45770</v>
      </c>
      <c r="C117">
        <v>3604</v>
      </c>
      <c r="D117" s="1">
        <v>45770.333333333336</v>
      </c>
      <c r="E117">
        <v>3059.6177558633217</v>
      </c>
      <c r="F117">
        <v>1005.7195960379835</v>
      </c>
      <c r="G117">
        <v>4930.4406529224825</v>
      </c>
      <c r="H117" s="1">
        <v>45747.333333333336</v>
      </c>
    </row>
    <row r="118" spans="1:8" x14ac:dyDescent="0.25">
      <c r="A118" s="7">
        <f>DATE(YEAR(m2_crossvalid[[#This Row],[cutoff]]),MONTH(m2_crossvalid[[#This Row],[cutoff]]),DAY(m2_crossvalid[[#This Row],[cutoff]]))</f>
        <v>45747</v>
      </c>
      <c r="B118" s="7">
        <f>DATE(YEAR(m2_crossvalid[[#This Row],[ds]]),MONTH(m2_crossvalid[[#This Row],[ds]]),DAY(m2_crossvalid[[#This Row],[ds]]))</f>
        <v>45771</v>
      </c>
      <c r="C118">
        <v>3831</v>
      </c>
      <c r="D118" s="1">
        <v>45771.333333333336</v>
      </c>
      <c r="E118">
        <v>3353.262123656129</v>
      </c>
      <c r="F118">
        <v>1492.0625472303059</v>
      </c>
      <c r="G118">
        <v>5312.5367298321107</v>
      </c>
      <c r="H118" s="1">
        <v>45747.333333333336</v>
      </c>
    </row>
    <row r="119" spans="1:8" x14ac:dyDescent="0.25">
      <c r="A119" s="7">
        <f>DATE(YEAR(m2_crossvalid[[#This Row],[cutoff]]),MONTH(m2_crossvalid[[#This Row],[cutoff]]),DAY(m2_crossvalid[[#This Row],[cutoff]]))</f>
        <v>45747</v>
      </c>
      <c r="B119" s="7">
        <f>DATE(YEAR(m2_crossvalid[[#This Row],[ds]]),MONTH(m2_crossvalid[[#This Row],[ds]]),DAY(m2_crossvalid[[#This Row],[ds]]))</f>
        <v>45772</v>
      </c>
      <c r="C119">
        <v>4600</v>
      </c>
      <c r="D119" s="1">
        <v>45772.333333333336</v>
      </c>
      <c r="E119">
        <v>3352.5330108881521</v>
      </c>
      <c r="F119">
        <v>1512.676783248849</v>
      </c>
      <c r="G119">
        <v>5278.81563579453</v>
      </c>
      <c r="H119" s="1">
        <v>45747.333333333336</v>
      </c>
    </row>
    <row r="120" spans="1:8" x14ac:dyDescent="0.25">
      <c r="A120" s="7">
        <f>DATE(YEAR(m2_crossvalid[[#This Row],[cutoff]]),MONTH(m2_crossvalid[[#This Row],[cutoff]]),DAY(m2_crossvalid[[#This Row],[cutoff]]))</f>
        <v>45747</v>
      </c>
      <c r="B120" s="7">
        <f>DATE(YEAR(m2_crossvalid[[#This Row],[ds]]),MONTH(m2_crossvalid[[#This Row],[ds]]),DAY(m2_crossvalid[[#This Row],[ds]]))</f>
        <v>45773</v>
      </c>
      <c r="C120">
        <v>1014</v>
      </c>
      <c r="D120" s="1">
        <v>45773.333333333336</v>
      </c>
      <c r="E120">
        <v>959.65328743101577</v>
      </c>
      <c r="F120">
        <v>-950.38005313079861</v>
      </c>
      <c r="G120">
        <v>2841.8849602380715</v>
      </c>
      <c r="H120" s="1">
        <v>45747.333333333336</v>
      </c>
    </row>
    <row r="121" spans="1:8" x14ac:dyDescent="0.25">
      <c r="A121" s="7">
        <f>DATE(YEAR(m2_crossvalid[[#This Row],[cutoff]]),MONTH(m2_crossvalid[[#This Row],[cutoff]]),DAY(m2_crossvalid[[#This Row],[cutoff]]))</f>
        <v>45747</v>
      </c>
      <c r="B121" s="7">
        <f>DATE(YEAR(m2_crossvalid[[#This Row],[ds]]),MONTH(m2_crossvalid[[#This Row],[ds]]),DAY(m2_crossvalid[[#This Row],[ds]]))</f>
        <v>45774</v>
      </c>
      <c r="C121">
        <v>198</v>
      </c>
      <c r="D121" s="1">
        <v>45774.333333333336</v>
      </c>
      <c r="E121">
        <v>560.62198184964109</v>
      </c>
      <c r="F121">
        <v>-1443.1513381130153</v>
      </c>
      <c r="G121">
        <v>2418.4812494966677</v>
      </c>
      <c r="H121" s="1">
        <v>45747.333333333336</v>
      </c>
    </row>
    <row r="122" spans="1:8" x14ac:dyDescent="0.25">
      <c r="A122" s="7">
        <f>DATE(YEAR(m2_crossvalid[[#This Row],[cutoff]]),MONTH(m2_crossvalid[[#This Row],[cutoff]]),DAY(m2_crossvalid[[#This Row],[cutoff]]))</f>
        <v>45747</v>
      </c>
      <c r="B122" s="7">
        <f>DATE(YEAR(m2_crossvalid[[#This Row],[ds]]),MONTH(m2_crossvalid[[#This Row],[ds]]),DAY(m2_crossvalid[[#This Row],[ds]]))</f>
        <v>45775</v>
      </c>
      <c r="C122">
        <v>5133</v>
      </c>
      <c r="D122" s="1">
        <v>45775.333333333336</v>
      </c>
      <c r="E122">
        <v>3554.606468168121</v>
      </c>
      <c r="F122">
        <v>1826.196815710171</v>
      </c>
      <c r="G122">
        <v>5405.3244183646702</v>
      </c>
      <c r="H122" s="1">
        <v>45747.333333333336</v>
      </c>
    </row>
    <row r="123" spans="1:8" x14ac:dyDescent="0.25">
      <c r="A123" s="7">
        <f>DATE(YEAR(m2_crossvalid[[#This Row],[cutoff]]),MONTH(m2_crossvalid[[#This Row],[cutoff]]),DAY(m2_crossvalid[[#This Row],[cutoff]]))</f>
        <v>45747</v>
      </c>
      <c r="B123" s="7">
        <f>DATE(YEAR(m2_crossvalid[[#This Row],[ds]]),MONTH(m2_crossvalid[[#This Row],[ds]]),DAY(m2_crossvalid[[#This Row],[ds]]))</f>
        <v>45776</v>
      </c>
      <c r="C123">
        <v>7913</v>
      </c>
      <c r="D123" s="1">
        <v>45776.333333333336</v>
      </c>
      <c r="E123">
        <v>5230.7849638867447</v>
      </c>
      <c r="F123">
        <v>3303.9177392464085</v>
      </c>
      <c r="G123">
        <v>6996.1573813600353</v>
      </c>
      <c r="H123" s="1">
        <v>45747.333333333336</v>
      </c>
    </row>
    <row r="124" spans="1:8" x14ac:dyDescent="0.25">
      <c r="A124" s="7">
        <f>DATE(YEAR(m2_crossvalid[[#This Row],[cutoff]]),MONTH(m2_crossvalid[[#This Row],[cutoff]]),DAY(m2_crossvalid[[#This Row],[cutoff]]))</f>
        <v>45747</v>
      </c>
      <c r="B124" s="7">
        <f>DATE(YEAR(m2_crossvalid[[#This Row],[ds]]),MONTH(m2_crossvalid[[#This Row],[ds]]),DAY(m2_crossvalid[[#This Row],[ds]]))</f>
        <v>45777</v>
      </c>
      <c r="C124">
        <v>14564</v>
      </c>
      <c r="D124" s="1">
        <v>45777.333333333336</v>
      </c>
      <c r="E124">
        <v>6128.4160131076806</v>
      </c>
      <c r="F124">
        <v>4221.4976747220562</v>
      </c>
      <c r="G124">
        <v>7989.6487012102461</v>
      </c>
      <c r="H124" s="1">
        <v>45747.333333333336</v>
      </c>
    </row>
    <row r="125" spans="1:8" x14ac:dyDescent="0.25">
      <c r="A125" s="7">
        <f>DATE(YEAR(m2_crossvalid[[#This Row],[cutoff]]),MONTH(m2_crossvalid[[#This Row],[cutoff]]),DAY(m2_crossvalid[[#This Row],[cutoff]]))</f>
        <v>45747</v>
      </c>
      <c r="B125" s="7">
        <f>DATE(YEAR(m2_crossvalid[[#This Row],[ds]]),MONTH(m2_crossvalid[[#This Row],[ds]]),DAY(m2_crossvalid[[#This Row],[ds]]))</f>
        <v>45778</v>
      </c>
      <c r="C125">
        <v>24</v>
      </c>
      <c r="D125" s="1">
        <v>45778.333333333336</v>
      </c>
      <c r="E125">
        <v>6193.804882001371</v>
      </c>
      <c r="F125">
        <v>4165.0087106962419</v>
      </c>
      <c r="G125">
        <v>8137.2920925483641</v>
      </c>
      <c r="H125" s="1">
        <v>45747.333333333336</v>
      </c>
    </row>
    <row r="126" spans="1:8" x14ac:dyDescent="0.25">
      <c r="A126" s="7">
        <f>DATE(YEAR(m2_crossvalid[[#This Row],[cutoff]]),MONTH(m2_crossvalid[[#This Row],[cutoff]]),DAY(m2_crossvalid[[#This Row],[cutoff]]))</f>
        <v>45777</v>
      </c>
      <c r="B126" s="7">
        <f>DATE(YEAR(m2_crossvalid[[#This Row],[ds]]),MONTH(m2_crossvalid[[#This Row],[ds]]),DAY(m2_crossvalid[[#This Row],[ds]]))</f>
        <v>45778</v>
      </c>
      <c r="C126">
        <v>24</v>
      </c>
      <c r="D126" s="1">
        <v>45778.333333333336</v>
      </c>
      <c r="E126">
        <v>6461.1956110176152</v>
      </c>
      <c r="F126">
        <v>4641.607273796184</v>
      </c>
      <c r="G126">
        <v>8419.1482704086811</v>
      </c>
      <c r="H126" s="1">
        <v>45777.333333333336</v>
      </c>
    </row>
    <row r="127" spans="1:8" x14ac:dyDescent="0.25">
      <c r="A127" s="7">
        <f>DATE(YEAR(m2_crossvalid[[#This Row],[cutoff]]),MONTH(m2_crossvalid[[#This Row],[cutoff]]),DAY(m2_crossvalid[[#This Row],[cutoff]]))</f>
        <v>45777</v>
      </c>
      <c r="B127" s="7">
        <f>DATE(YEAR(m2_crossvalid[[#This Row],[ds]]),MONTH(m2_crossvalid[[#This Row],[ds]]),DAY(m2_crossvalid[[#This Row],[ds]]))</f>
        <v>45779</v>
      </c>
      <c r="C127">
        <v>750</v>
      </c>
      <c r="D127" s="1">
        <v>45779.333333333336</v>
      </c>
      <c r="E127">
        <v>5251.8055744867252</v>
      </c>
      <c r="F127">
        <v>3325.270701694838</v>
      </c>
      <c r="G127">
        <v>7150.9194341702741</v>
      </c>
      <c r="H127" s="1">
        <v>45777.333333333336</v>
      </c>
    </row>
    <row r="128" spans="1:8" x14ac:dyDescent="0.25">
      <c r="A128" s="7">
        <f>DATE(YEAR(m2_crossvalid[[#This Row],[cutoff]]),MONTH(m2_crossvalid[[#This Row],[cutoff]]),DAY(m2_crossvalid[[#This Row],[cutoff]]))</f>
        <v>45777</v>
      </c>
      <c r="B128" s="7">
        <f>DATE(YEAR(m2_crossvalid[[#This Row],[ds]]),MONTH(m2_crossvalid[[#This Row],[ds]]),DAY(m2_crossvalid[[#This Row],[ds]]))</f>
        <v>45780</v>
      </c>
      <c r="C128">
        <v>70</v>
      </c>
      <c r="D128" s="1">
        <v>45780.333333333336</v>
      </c>
      <c r="E128">
        <v>1136.780143714217</v>
      </c>
      <c r="F128">
        <v>-751.65810146612523</v>
      </c>
      <c r="G128">
        <v>2950.9910608157556</v>
      </c>
      <c r="H128" s="1">
        <v>45777.333333333336</v>
      </c>
    </row>
    <row r="129" spans="1:8" x14ac:dyDescent="0.25">
      <c r="A129" s="7">
        <f>DATE(YEAR(m2_crossvalid[[#This Row],[cutoff]]),MONTH(m2_crossvalid[[#This Row],[cutoff]]),DAY(m2_crossvalid[[#This Row],[cutoff]]))</f>
        <v>45777</v>
      </c>
      <c r="B129" s="7">
        <f>DATE(YEAR(m2_crossvalid[[#This Row],[ds]]),MONTH(m2_crossvalid[[#This Row],[ds]]),DAY(m2_crossvalid[[#This Row],[ds]]))</f>
        <v>45781</v>
      </c>
      <c r="C129">
        <v>31</v>
      </c>
      <c r="D129" s="1">
        <v>45781.333333333336</v>
      </c>
      <c r="E129">
        <v>-1028.3086027709833</v>
      </c>
      <c r="F129">
        <v>-2991.8912428578387</v>
      </c>
      <c r="G129">
        <v>972.56238248145962</v>
      </c>
      <c r="H129" s="1">
        <v>45777.333333333336</v>
      </c>
    </row>
    <row r="130" spans="1:8" x14ac:dyDescent="0.25">
      <c r="A130" s="7">
        <f>DATE(YEAR(m2_crossvalid[[#This Row],[cutoff]]),MONTH(m2_crossvalid[[#This Row],[cutoff]]),DAY(m2_crossvalid[[#This Row],[cutoff]]))</f>
        <v>45777</v>
      </c>
      <c r="B130" s="7">
        <f>DATE(YEAR(m2_crossvalid[[#This Row],[ds]]),MONTH(m2_crossvalid[[#This Row],[ds]]),DAY(m2_crossvalid[[#This Row],[ds]]))</f>
        <v>45782</v>
      </c>
      <c r="C130">
        <v>1026</v>
      </c>
      <c r="D130" s="1">
        <v>45782.333333333336</v>
      </c>
      <c r="E130">
        <v>470.76900277428535</v>
      </c>
      <c r="F130">
        <v>-1463.2524546467434</v>
      </c>
      <c r="G130">
        <v>2247.8284108006947</v>
      </c>
      <c r="H130" s="1">
        <v>45777.333333333336</v>
      </c>
    </row>
    <row r="131" spans="1:8" x14ac:dyDescent="0.25">
      <c r="A131" s="7">
        <f>DATE(YEAR(m2_crossvalid[[#This Row],[cutoff]]),MONTH(m2_crossvalid[[#This Row],[cutoff]]),DAY(m2_crossvalid[[#This Row],[cutoff]]))</f>
        <v>45777</v>
      </c>
      <c r="B131" s="7">
        <f>DATE(YEAR(m2_crossvalid[[#This Row],[ds]]),MONTH(m2_crossvalid[[#This Row],[ds]]),DAY(m2_crossvalid[[#This Row],[ds]]))</f>
        <v>45783</v>
      </c>
      <c r="C131">
        <v>940</v>
      </c>
      <c r="D131" s="1">
        <v>45783.333333333336</v>
      </c>
      <c r="E131">
        <v>1057.5519027015127</v>
      </c>
      <c r="F131">
        <v>-944.89238225748011</v>
      </c>
      <c r="G131">
        <v>3081.7178717346887</v>
      </c>
      <c r="H131" s="1">
        <v>45777.333333333336</v>
      </c>
    </row>
    <row r="132" spans="1:8" x14ac:dyDescent="0.25">
      <c r="A132" s="7">
        <f>DATE(YEAR(m2_crossvalid[[#This Row],[cutoff]]),MONTH(m2_crossvalid[[#This Row],[cutoff]]),DAY(m2_crossvalid[[#This Row],[cutoff]]))</f>
        <v>45777</v>
      </c>
      <c r="B132" s="7">
        <f>DATE(YEAR(m2_crossvalid[[#This Row],[ds]]),MONTH(m2_crossvalid[[#This Row],[ds]]),DAY(m2_crossvalid[[#This Row],[ds]]))</f>
        <v>45784</v>
      </c>
      <c r="C132">
        <v>1225</v>
      </c>
      <c r="D132" s="1">
        <v>45784.333333333336</v>
      </c>
      <c r="E132">
        <v>1526.7510447410982</v>
      </c>
      <c r="F132">
        <v>-260.50190051945486</v>
      </c>
      <c r="G132">
        <v>3521.0586711043934</v>
      </c>
      <c r="H132" s="1">
        <v>45777.333333333336</v>
      </c>
    </row>
    <row r="133" spans="1:8" x14ac:dyDescent="0.25">
      <c r="A133" s="7">
        <f>DATE(YEAR(m2_crossvalid[[#This Row],[cutoff]]),MONTH(m2_crossvalid[[#This Row],[cutoff]]),DAY(m2_crossvalid[[#This Row],[cutoff]]))</f>
        <v>45777</v>
      </c>
      <c r="B133" s="7">
        <f>DATE(YEAR(m2_crossvalid[[#This Row],[ds]]),MONTH(m2_crossvalid[[#This Row],[ds]]),DAY(m2_crossvalid[[#This Row],[ds]]))</f>
        <v>45785</v>
      </c>
      <c r="C133">
        <v>1538</v>
      </c>
      <c r="D133" s="1">
        <v>45785.333333333336</v>
      </c>
      <c r="E133">
        <v>1846.959406996343</v>
      </c>
      <c r="F133">
        <v>-139.3780367997179</v>
      </c>
      <c r="G133">
        <v>3730.9041138111083</v>
      </c>
      <c r="H133" s="1">
        <v>45777.333333333336</v>
      </c>
    </row>
    <row r="134" spans="1:8" x14ac:dyDescent="0.25">
      <c r="A134" s="7">
        <f>DATE(YEAR(m2_crossvalid[[#This Row],[cutoff]]),MONTH(m2_crossvalid[[#This Row],[cutoff]]),DAY(m2_crossvalid[[#This Row],[cutoff]]))</f>
        <v>45777</v>
      </c>
      <c r="B134" s="7">
        <f>DATE(YEAR(m2_crossvalid[[#This Row],[ds]]),MONTH(m2_crossvalid[[#This Row],[ds]]),DAY(m2_crossvalid[[#This Row],[ds]]))</f>
        <v>45786</v>
      </c>
      <c r="C134">
        <v>1799</v>
      </c>
      <c r="D134" s="1">
        <v>45786.333333333336</v>
      </c>
      <c r="E134">
        <v>1843.5240992119798</v>
      </c>
      <c r="F134">
        <v>-17.879537408253675</v>
      </c>
      <c r="G134">
        <v>3732.5776699260041</v>
      </c>
      <c r="H134" s="1">
        <v>45777.333333333336</v>
      </c>
    </row>
    <row r="135" spans="1:8" x14ac:dyDescent="0.25">
      <c r="A135" s="7">
        <f>DATE(YEAR(m2_crossvalid[[#This Row],[cutoff]]),MONTH(m2_crossvalid[[#This Row],[cutoff]]),DAY(m2_crossvalid[[#This Row],[cutoff]]))</f>
        <v>45777</v>
      </c>
      <c r="B135" s="7">
        <f>DATE(YEAR(m2_crossvalid[[#This Row],[ds]]),MONTH(m2_crossvalid[[#This Row],[ds]]),DAY(m2_crossvalid[[#This Row],[ds]]))</f>
        <v>45787</v>
      </c>
      <c r="C135">
        <v>415</v>
      </c>
      <c r="D135" s="1">
        <v>45787.333333333336</v>
      </c>
      <c r="E135">
        <v>-544.81311980103555</v>
      </c>
      <c r="F135">
        <v>-2472.09874318539</v>
      </c>
      <c r="G135">
        <v>1390.5146034029003</v>
      </c>
      <c r="H135" s="1">
        <v>45777.333333333336</v>
      </c>
    </row>
    <row r="136" spans="1:8" x14ac:dyDescent="0.25">
      <c r="A136" s="7">
        <f>DATE(YEAR(m2_crossvalid[[#This Row],[cutoff]]),MONTH(m2_crossvalid[[#This Row],[cutoff]]),DAY(m2_crossvalid[[#This Row],[cutoff]]))</f>
        <v>45777</v>
      </c>
      <c r="B136" s="7">
        <f>DATE(YEAR(m2_crossvalid[[#This Row],[ds]]),MONTH(m2_crossvalid[[#This Row],[ds]]),DAY(m2_crossvalid[[#This Row],[ds]]))</f>
        <v>45788</v>
      </c>
      <c r="C136">
        <v>169</v>
      </c>
      <c r="D136" s="1">
        <v>45788.333333333336</v>
      </c>
      <c r="E136">
        <v>-1052.602884098168</v>
      </c>
      <c r="F136">
        <v>-3101.4690969885582</v>
      </c>
      <c r="G136">
        <v>981.38168555162508</v>
      </c>
      <c r="H136" s="1">
        <v>45777.333333333336</v>
      </c>
    </row>
    <row r="137" spans="1:8" x14ac:dyDescent="0.25">
      <c r="A137" s="7">
        <f>DATE(YEAR(m2_crossvalid[[#This Row],[cutoff]]),MONTH(m2_crossvalid[[#This Row],[cutoff]]),DAY(m2_crossvalid[[#This Row],[cutoff]]))</f>
        <v>45777</v>
      </c>
      <c r="B137" s="7">
        <f>DATE(YEAR(m2_crossvalid[[#This Row],[ds]]),MONTH(m2_crossvalid[[#This Row],[ds]]),DAY(m2_crossvalid[[#This Row],[ds]]))</f>
        <v>45789</v>
      </c>
      <c r="C137">
        <v>185</v>
      </c>
      <c r="D137" s="1">
        <v>45789.333333333336</v>
      </c>
      <c r="E137">
        <v>1466.424739242965</v>
      </c>
      <c r="F137">
        <v>-482.58194818211751</v>
      </c>
      <c r="G137">
        <v>3337.9536216832257</v>
      </c>
      <c r="H137" s="1">
        <v>45777.333333333336</v>
      </c>
    </row>
    <row r="138" spans="1:8" x14ac:dyDescent="0.25">
      <c r="A138" s="7">
        <f>DATE(YEAR(m2_crossvalid[[#This Row],[cutoff]]),MONTH(m2_crossvalid[[#This Row],[cutoff]]),DAY(m2_crossvalid[[#This Row],[cutoff]]))</f>
        <v>45777</v>
      </c>
      <c r="B138" s="7">
        <f>DATE(YEAR(m2_crossvalid[[#This Row],[ds]]),MONTH(m2_crossvalid[[#This Row],[ds]]),DAY(m2_crossvalid[[#This Row],[ds]]))</f>
        <v>45790</v>
      </c>
      <c r="C138">
        <v>2011</v>
      </c>
      <c r="D138" s="1">
        <v>45790.333333333336</v>
      </c>
      <c r="E138">
        <v>2246.4660432140731</v>
      </c>
      <c r="F138">
        <v>426.1832225184948</v>
      </c>
      <c r="G138">
        <v>4329.7199058496735</v>
      </c>
      <c r="H138" s="1">
        <v>45777.333333333336</v>
      </c>
    </row>
    <row r="139" spans="1:8" x14ac:dyDescent="0.25">
      <c r="A139" s="7">
        <f>DATE(YEAR(m2_crossvalid[[#This Row],[cutoff]]),MONTH(m2_crossvalid[[#This Row],[cutoff]]),DAY(m2_crossvalid[[#This Row],[cutoff]]))</f>
        <v>45777</v>
      </c>
      <c r="B139" s="7">
        <f>DATE(YEAR(m2_crossvalid[[#This Row],[ds]]),MONTH(m2_crossvalid[[#This Row],[ds]]),DAY(m2_crossvalid[[#This Row],[ds]]))</f>
        <v>45791</v>
      </c>
      <c r="C139">
        <v>2630</v>
      </c>
      <c r="D139" s="1">
        <v>45791.333333333336</v>
      </c>
      <c r="E139">
        <v>2378.4866805772517</v>
      </c>
      <c r="F139">
        <v>333.59070562949529</v>
      </c>
      <c r="G139">
        <v>4327.3172536126649</v>
      </c>
      <c r="H139" s="1">
        <v>45777.333333333336</v>
      </c>
    </row>
    <row r="140" spans="1:8" x14ac:dyDescent="0.25">
      <c r="A140" s="7">
        <f>DATE(YEAR(m2_crossvalid[[#This Row],[cutoff]]),MONTH(m2_crossvalid[[#This Row],[cutoff]]),DAY(m2_crossvalid[[#This Row],[cutoff]]))</f>
        <v>45777</v>
      </c>
      <c r="B140" s="7">
        <f>DATE(YEAR(m2_crossvalid[[#This Row],[ds]]),MONTH(m2_crossvalid[[#This Row],[ds]]),DAY(m2_crossvalid[[#This Row],[ds]]))</f>
        <v>45792</v>
      </c>
      <c r="C140">
        <v>2985</v>
      </c>
      <c r="D140" s="1">
        <v>45792.333333333336</v>
      </c>
      <c r="E140">
        <v>2358.8124966058763</v>
      </c>
      <c r="F140">
        <v>302.565013714033</v>
      </c>
      <c r="G140">
        <v>4214.824674481104</v>
      </c>
      <c r="H140" s="1">
        <v>45777.333333333336</v>
      </c>
    </row>
    <row r="141" spans="1:8" x14ac:dyDescent="0.25">
      <c r="A141" s="7">
        <f>DATE(YEAR(m2_crossvalid[[#This Row],[cutoff]]),MONTH(m2_crossvalid[[#This Row],[cutoff]]),DAY(m2_crossvalid[[#This Row],[cutoff]]))</f>
        <v>45777</v>
      </c>
      <c r="B141" s="7">
        <f>DATE(YEAR(m2_crossvalid[[#This Row],[ds]]),MONTH(m2_crossvalid[[#This Row],[ds]]),DAY(m2_crossvalid[[#This Row],[ds]]))</f>
        <v>45793</v>
      </c>
      <c r="C141">
        <v>3081</v>
      </c>
      <c r="D141" s="1">
        <v>45793.333333333336</v>
      </c>
      <c r="E141">
        <v>2358.6137976980644</v>
      </c>
      <c r="F141">
        <v>489.92444385745267</v>
      </c>
      <c r="G141">
        <v>4368.0024086042586</v>
      </c>
      <c r="H141" s="1">
        <v>45777.333333333336</v>
      </c>
    </row>
    <row r="142" spans="1:8" x14ac:dyDescent="0.25">
      <c r="A142" s="7">
        <f>DATE(YEAR(m2_crossvalid[[#This Row],[cutoff]]),MONTH(m2_crossvalid[[#This Row],[cutoff]]),DAY(m2_crossvalid[[#This Row],[cutoff]]))</f>
        <v>45777</v>
      </c>
      <c r="B142" s="7">
        <f>DATE(YEAR(m2_crossvalid[[#This Row],[ds]]),MONTH(m2_crossvalid[[#This Row],[ds]]),DAY(m2_crossvalid[[#This Row],[ds]]))</f>
        <v>45794</v>
      </c>
      <c r="C142">
        <v>609</v>
      </c>
      <c r="D142" s="1">
        <v>45794.333333333336</v>
      </c>
      <c r="E142">
        <v>254.19640627704166</v>
      </c>
      <c r="F142">
        <v>-1634.8227940850454</v>
      </c>
      <c r="G142">
        <v>1980.8050232875989</v>
      </c>
      <c r="H142" s="1">
        <v>45777.333333333336</v>
      </c>
    </row>
    <row r="143" spans="1:8" x14ac:dyDescent="0.25">
      <c r="A143" s="7">
        <f>DATE(YEAR(m2_crossvalid[[#This Row],[cutoff]]),MONTH(m2_crossvalid[[#This Row],[cutoff]]),DAY(m2_crossvalid[[#This Row],[cutoff]]))</f>
        <v>45777</v>
      </c>
      <c r="B143" s="7">
        <f>DATE(YEAR(m2_crossvalid[[#This Row],[ds]]),MONTH(m2_crossvalid[[#This Row],[ds]]),DAY(m2_crossvalid[[#This Row],[ds]]))</f>
        <v>45795</v>
      </c>
      <c r="C143">
        <v>185</v>
      </c>
      <c r="D143" s="1">
        <v>45795.333333333336</v>
      </c>
      <c r="E143">
        <v>-19.79809049018786</v>
      </c>
      <c r="F143">
        <v>-2043.4950274404355</v>
      </c>
      <c r="G143">
        <v>1822.4556802334066</v>
      </c>
      <c r="H143" s="1">
        <v>45777.333333333336</v>
      </c>
    </row>
    <row r="144" spans="1:8" x14ac:dyDescent="0.25">
      <c r="A144" s="7">
        <f>DATE(YEAR(m2_crossvalid[[#This Row],[cutoff]]),MONTH(m2_crossvalid[[#This Row],[cutoff]]),DAY(m2_crossvalid[[#This Row],[cutoff]]))</f>
        <v>45777</v>
      </c>
      <c r="B144" s="7">
        <f>DATE(YEAR(m2_crossvalid[[#This Row],[ds]]),MONTH(m2_crossvalid[[#This Row],[ds]]),DAY(m2_crossvalid[[#This Row],[ds]]))</f>
        <v>45796</v>
      </c>
      <c r="C144">
        <v>2926</v>
      </c>
      <c r="D144" s="1">
        <v>45796.333333333336</v>
      </c>
      <c r="E144">
        <v>2439.3104695754078</v>
      </c>
      <c r="F144">
        <v>617.73858866217438</v>
      </c>
      <c r="G144">
        <v>4344.6609678895447</v>
      </c>
      <c r="H144" s="1">
        <v>45777.333333333336</v>
      </c>
    </row>
    <row r="145" spans="1:8" x14ac:dyDescent="0.25">
      <c r="A145" s="7">
        <f>DATE(YEAR(m2_crossvalid[[#This Row],[cutoff]]),MONTH(m2_crossvalid[[#This Row],[cutoff]]),DAY(m2_crossvalid[[#This Row],[cutoff]]))</f>
        <v>45777</v>
      </c>
      <c r="B145" s="7">
        <f>DATE(YEAR(m2_crossvalid[[#This Row],[ds]]),MONTH(m2_crossvalid[[#This Row],[ds]]),DAY(m2_crossvalid[[#This Row],[ds]]))</f>
        <v>45797</v>
      </c>
      <c r="C145">
        <v>3213</v>
      </c>
      <c r="D145" s="1">
        <v>45797.333333333336</v>
      </c>
      <c r="E145">
        <v>2942.9845408808196</v>
      </c>
      <c r="F145">
        <v>1129.9912670722829</v>
      </c>
      <c r="G145">
        <v>4867.2870152745263</v>
      </c>
      <c r="H145" s="1">
        <v>45777.333333333336</v>
      </c>
    </row>
    <row r="146" spans="1:8" x14ac:dyDescent="0.25">
      <c r="A146" s="7">
        <f>DATE(YEAR(m2_crossvalid[[#This Row],[cutoff]]),MONTH(m2_crossvalid[[#This Row],[cutoff]]),DAY(m2_crossvalid[[#This Row],[cutoff]]))</f>
        <v>45777</v>
      </c>
      <c r="B146" s="7">
        <f>DATE(YEAR(m2_crossvalid[[#This Row],[ds]]),MONTH(m2_crossvalid[[#This Row],[ds]]),DAY(m2_crossvalid[[#This Row],[ds]]))</f>
        <v>45798</v>
      </c>
      <c r="C146">
        <v>3566</v>
      </c>
      <c r="D146" s="1">
        <v>45798.333333333336</v>
      </c>
      <c r="E146">
        <v>2883.2556556192758</v>
      </c>
      <c r="F146">
        <v>884.45250811373955</v>
      </c>
      <c r="G146">
        <v>4824.1397011101735</v>
      </c>
      <c r="H146" s="1">
        <v>45777.333333333336</v>
      </c>
    </row>
    <row r="147" spans="1:8" x14ac:dyDescent="0.25">
      <c r="A147" s="7">
        <f>DATE(YEAR(m2_crossvalid[[#This Row],[cutoff]]),MONTH(m2_crossvalid[[#This Row],[cutoff]]),DAY(m2_crossvalid[[#This Row],[cutoff]]))</f>
        <v>45777</v>
      </c>
      <c r="B147" s="7">
        <f>DATE(YEAR(m2_crossvalid[[#This Row],[ds]]),MONTH(m2_crossvalid[[#This Row],[ds]]),DAY(m2_crossvalid[[#This Row],[ds]]))</f>
        <v>45799</v>
      </c>
      <c r="C147">
        <v>3706</v>
      </c>
      <c r="D147" s="1">
        <v>45799.333333333336</v>
      </c>
      <c r="E147">
        <v>2965.4568725038444</v>
      </c>
      <c r="F147">
        <v>940.61838212447788</v>
      </c>
      <c r="G147">
        <v>4790.0593297083569</v>
      </c>
      <c r="H147" s="1">
        <v>45777.333333333336</v>
      </c>
    </row>
    <row r="148" spans="1:8" x14ac:dyDescent="0.25">
      <c r="A148" s="7">
        <f>DATE(YEAR(m2_crossvalid[[#This Row],[cutoff]]),MONTH(m2_crossvalid[[#This Row],[cutoff]]),DAY(m2_crossvalid[[#This Row],[cutoff]]))</f>
        <v>45777</v>
      </c>
      <c r="B148" s="7">
        <f>DATE(YEAR(m2_crossvalid[[#This Row],[ds]]),MONTH(m2_crossvalid[[#This Row],[ds]]),DAY(m2_crossvalid[[#This Row],[ds]]))</f>
        <v>45800</v>
      </c>
      <c r="C148">
        <v>3920</v>
      </c>
      <c r="D148" s="1">
        <v>45800.333333333336</v>
      </c>
      <c r="E148">
        <v>3262.159019565669</v>
      </c>
      <c r="F148">
        <v>1309.5927301057852</v>
      </c>
      <c r="G148">
        <v>5243.2820763976197</v>
      </c>
      <c r="H148" s="1">
        <v>45777.333333333336</v>
      </c>
    </row>
    <row r="149" spans="1:8" x14ac:dyDescent="0.25">
      <c r="A149" s="7">
        <f>DATE(YEAR(m2_crossvalid[[#This Row],[cutoff]]),MONTH(m2_crossvalid[[#This Row],[cutoff]]),DAY(m2_crossvalid[[#This Row],[cutoff]]))</f>
        <v>45777</v>
      </c>
      <c r="B149" s="7">
        <f>DATE(YEAR(m2_crossvalid[[#This Row],[ds]]),MONTH(m2_crossvalid[[#This Row],[ds]]),DAY(m2_crossvalid[[#This Row],[ds]]))</f>
        <v>45801</v>
      </c>
      <c r="C149">
        <v>857</v>
      </c>
      <c r="D149" s="1">
        <v>45801.333333333336</v>
      </c>
      <c r="E149">
        <v>1345.1152673043682</v>
      </c>
      <c r="F149">
        <v>-608.82505470133628</v>
      </c>
      <c r="G149">
        <v>3187.4907346467985</v>
      </c>
      <c r="H149" s="1">
        <v>45777.333333333336</v>
      </c>
    </row>
    <row r="150" spans="1:8" x14ac:dyDescent="0.25">
      <c r="A150" s="7">
        <f>DATE(YEAR(m2_crossvalid[[#This Row],[cutoff]]),MONTH(m2_crossvalid[[#This Row],[cutoff]]),DAY(m2_crossvalid[[#This Row],[cutoff]]))</f>
        <v>45777</v>
      </c>
      <c r="B150" s="7">
        <f>DATE(YEAR(m2_crossvalid[[#This Row],[ds]]),MONTH(m2_crossvalid[[#This Row],[ds]]),DAY(m2_crossvalid[[#This Row],[ds]]))</f>
        <v>45802</v>
      </c>
      <c r="C150">
        <v>215</v>
      </c>
      <c r="D150" s="1">
        <v>45802.333333333336</v>
      </c>
      <c r="E150">
        <v>962.07208404207427</v>
      </c>
      <c r="F150">
        <v>-1162.4934503523498</v>
      </c>
      <c r="G150">
        <v>2879.4647647110387</v>
      </c>
      <c r="H150" s="1">
        <v>45777.333333333336</v>
      </c>
    </row>
    <row r="151" spans="1:8" x14ac:dyDescent="0.25">
      <c r="A151" s="7">
        <f>DATE(YEAR(m2_crossvalid[[#This Row],[cutoff]]),MONTH(m2_crossvalid[[#This Row],[cutoff]]),DAY(m2_crossvalid[[#This Row],[cutoff]]))</f>
        <v>45777</v>
      </c>
      <c r="B151" s="7">
        <f>DATE(YEAR(m2_crossvalid[[#This Row],[ds]]),MONTH(m2_crossvalid[[#This Row],[ds]]),DAY(m2_crossvalid[[#This Row],[ds]]))</f>
        <v>45803</v>
      </c>
      <c r="C151">
        <v>4297</v>
      </c>
      <c r="D151" s="1">
        <v>45803.333333333336</v>
      </c>
      <c r="E151">
        <v>3174.4610851102257</v>
      </c>
      <c r="F151">
        <v>1372.6139504068713</v>
      </c>
      <c r="G151">
        <v>5263.3302431552438</v>
      </c>
      <c r="H151" s="1">
        <v>45777.333333333336</v>
      </c>
    </row>
    <row r="152" spans="1:8" x14ac:dyDescent="0.25">
      <c r="A152" s="7">
        <f>DATE(YEAR(m2_crossvalid[[#This Row],[cutoff]]),MONTH(m2_crossvalid[[#This Row],[cutoff]]),DAY(m2_crossvalid[[#This Row],[cutoff]]))</f>
        <v>45777</v>
      </c>
      <c r="B152" s="7">
        <f>DATE(YEAR(m2_crossvalid[[#This Row],[ds]]),MONTH(m2_crossvalid[[#This Row],[ds]]),DAY(m2_crossvalid[[#This Row],[ds]]))</f>
        <v>45804</v>
      </c>
      <c r="C152">
        <v>5188</v>
      </c>
      <c r="D152" s="1">
        <v>45804.333333333336</v>
      </c>
      <c r="E152">
        <v>3694.2869783492224</v>
      </c>
      <c r="F152">
        <v>1920.0571096060023</v>
      </c>
      <c r="G152">
        <v>5717.4874796305776</v>
      </c>
      <c r="H152" s="1">
        <v>45777.333333333336</v>
      </c>
    </row>
    <row r="153" spans="1:8" x14ac:dyDescent="0.25">
      <c r="A153" s="7">
        <f>DATE(YEAR(m2_crossvalid[[#This Row],[cutoff]]),MONTH(m2_crossvalid[[#This Row],[cutoff]]),DAY(m2_crossvalid[[#This Row],[cutoff]]))</f>
        <v>45777</v>
      </c>
      <c r="B153" s="7">
        <f>DATE(YEAR(m2_crossvalid[[#This Row],[ds]]),MONTH(m2_crossvalid[[#This Row],[ds]]),DAY(m2_crossvalid[[#This Row],[ds]]))</f>
        <v>45805</v>
      </c>
      <c r="C153">
        <v>5701</v>
      </c>
      <c r="D153" s="1">
        <v>45805.333333333336</v>
      </c>
      <c r="E153">
        <v>4193.7579469950224</v>
      </c>
      <c r="F153">
        <v>2315.736431922579</v>
      </c>
      <c r="G153">
        <v>5962.4529570604745</v>
      </c>
      <c r="H153" s="1">
        <v>45777.333333333336</v>
      </c>
    </row>
    <row r="154" spans="1:8" x14ac:dyDescent="0.25">
      <c r="A154" s="7">
        <f>DATE(YEAR(m2_crossvalid[[#This Row],[cutoff]]),MONTH(m2_crossvalid[[#This Row],[cutoff]]),DAY(m2_crossvalid[[#This Row],[cutoff]]))</f>
        <v>45777</v>
      </c>
      <c r="B154" s="7">
        <f>DATE(YEAR(m2_crossvalid[[#This Row],[ds]]),MONTH(m2_crossvalid[[#This Row],[ds]]),DAY(m2_crossvalid[[#This Row],[ds]]))</f>
        <v>45806</v>
      </c>
      <c r="C154">
        <v>8103</v>
      </c>
      <c r="D154" s="1">
        <v>45806.333333333336</v>
      </c>
      <c r="E154">
        <v>5237.5519674322341</v>
      </c>
      <c r="F154">
        <v>3285.0621096831619</v>
      </c>
      <c r="G154">
        <v>7085.5471589212602</v>
      </c>
      <c r="H154" s="1">
        <v>45777.333333333336</v>
      </c>
    </row>
    <row r="155" spans="1:8" x14ac:dyDescent="0.25">
      <c r="A155" s="7">
        <f>DATE(YEAR(m2_crossvalid[[#This Row],[cutoff]]),MONTH(m2_crossvalid[[#This Row],[cutoff]]),DAY(m2_crossvalid[[#This Row],[cutoff]]))</f>
        <v>45777</v>
      </c>
      <c r="B155" s="7">
        <f>DATE(YEAR(m2_crossvalid[[#This Row],[ds]]),MONTH(m2_crossvalid[[#This Row],[ds]]),DAY(m2_crossvalid[[#This Row],[ds]]))</f>
        <v>45807</v>
      </c>
      <c r="C155">
        <v>8920</v>
      </c>
      <c r="D155" s="1">
        <v>45807.333333333336</v>
      </c>
      <c r="E155">
        <v>6370.4719946781925</v>
      </c>
      <c r="F155">
        <v>4492.4560264553838</v>
      </c>
      <c r="G155">
        <v>8412.7085832626963</v>
      </c>
      <c r="H155" s="1">
        <v>45777.333333333336</v>
      </c>
    </row>
    <row r="156" spans="1:8" x14ac:dyDescent="0.25">
      <c r="A156" s="7">
        <f>DATE(YEAR(m2_crossvalid[[#This Row],[cutoff]]),MONTH(m2_crossvalid[[#This Row],[cutoff]]),DAY(m2_crossvalid[[#This Row],[cutoff]]))</f>
        <v>45777</v>
      </c>
      <c r="B156" s="7">
        <f>DATE(YEAR(m2_crossvalid[[#This Row],[ds]]),MONTH(m2_crossvalid[[#This Row],[ds]]),DAY(m2_crossvalid[[#This Row],[ds]]))</f>
        <v>45808</v>
      </c>
      <c r="C156">
        <v>4108</v>
      </c>
      <c r="D156" s="1">
        <v>45808.333333333336</v>
      </c>
      <c r="E156">
        <v>4595.3041168964219</v>
      </c>
      <c r="F156">
        <v>2629.4610067583421</v>
      </c>
      <c r="G156">
        <v>6590.746079092818</v>
      </c>
      <c r="H156" s="1">
        <v>45777.333333333336</v>
      </c>
    </row>
    <row r="157" spans="1:8" x14ac:dyDescent="0.25">
      <c r="A157" s="7">
        <f>DATE(YEAR(m2_crossvalid[[#This Row],[cutoff]]),MONTH(m2_crossvalid[[#This Row],[cutoff]]),DAY(m2_crossvalid[[#This Row],[cutoff]]))</f>
        <v>45808</v>
      </c>
      <c r="B157" s="7">
        <f>DATE(YEAR(m2_crossvalid[[#This Row],[ds]]),MONTH(m2_crossvalid[[#This Row],[ds]]),DAY(m2_crossvalid[[#This Row],[ds]]))</f>
        <v>45809</v>
      </c>
      <c r="C157">
        <v>75</v>
      </c>
      <c r="D157" s="1">
        <v>45809.333333333336</v>
      </c>
      <c r="E157">
        <v>3508.9199496364308</v>
      </c>
      <c r="F157">
        <v>1461.0227782323839</v>
      </c>
      <c r="G157">
        <v>5351.3316720595194</v>
      </c>
      <c r="H157" s="1">
        <v>45808.333333333336</v>
      </c>
    </row>
    <row r="158" spans="1:8" x14ac:dyDescent="0.25">
      <c r="A158" s="7">
        <f>DATE(YEAR(m2_crossvalid[[#This Row],[cutoff]]),MONTH(m2_crossvalid[[#This Row],[cutoff]]),DAY(m2_crossvalid[[#This Row],[cutoff]]))</f>
        <v>45808</v>
      </c>
      <c r="B158" s="7">
        <f>DATE(YEAR(m2_crossvalid[[#This Row],[ds]]),MONTH(m2_crossvalid[[#This Row],[ds]]),DAY(m2_crossvalid[[#This Row],[ds]]))</f>
        <v>45810</v>
      </c>
      <c r="C158">
        <v>3</v>
      </c>
      <c r="D158" s="1">
        <v>45810.333333333336</v>
      </c>
      <c r="E158">
        <v>4192.6477152926873</v>
      </c>
      <c r="F158">
        <v>2274.9342684336234</v>
      </c>
      <c r="G158">
        <v>6290.7530493537288</v>
      </c>
      <c r="H158" s="1">
        <v>45808.333333333336</v>
      </c>
    </row>
    <row r="159" spans="1:8" x14ac:dyDescent="0.25">
      <c r="A159" s="7">
        <f>DATE(YEAR(m2_crossvalid[[#This Row],[cutoff]]),MONTH(m2_crossvalid[[#This Row],[cutoff]]),DAY(m2_crossvalid[[#This Row],[cutoff]]))</f>
        <v>45808</v>
      </c>
      <c r="B159" s="7">
        <f>DATE(YEAR(m2_crossvalid[[#This Row],[ds]]),MONTH(m2_crossvalid[[#This Row],[ds]]),DAY(m2_crossvalid[[#This Row],[ds]]))</f>
        <v>45811</v>
      </c>
      <c r="C159">
        <v>578</v>
      </c>
      <c r="D159" s="1">
        <v>45811.333333333336</v>
      </c>
      <c r="E159">
        <v>2924.0294530383799</v>
      </c>
      <c r="F159">
        <v>1051.2618502933587</v>
      </c>
      <c r="G159">
        <v>4725.0422728073763</v>
      </c>
      <c r="H159" s="1">
        <v>45808.333333333336</v>
      </c>
    </row>
    <row r="160" spans="1:8" x14ac:dyDescent="0.25">
      <c r="A160" s="7">
        <f>DATE(YEAR(m2_crossvalid[[#This Row],[cutoff]]),MONTH(m2_crossvalid[[#This Row],[cutoff]]),DAY(m2_crossvalid[[#This Row],[cutoff]]))</f>
        <v>45808</v>
      </c>
      <c r="B160" s="7">
        <f>DATE(YEAR(m2_crossvalid[[#This Row],[ds]]),MONTH(m2_crossvalid[[#This Row],[ds]]),DAY(m2_crossvalid[[#This Row],[ds]]))</f>
        <v>45812</v>
      </c>
      <c r="C160">
        <v>842</v>
      </c>
      <c r="D160" s="1">
        <v>45812.333333333336</v>
      </c>
      <c r="E160">
        <v>1734.4923829660047</v>
      </c>
      <c r="F160">
        <v>-165.98174189148199</v>
      </c>
      <c r="G160">
        <v>3727.1528408030222</v>
      </c>
      <c r="H160" s="1">
        <v>45808.333333333336</v>
      </c>
    </row>
    <row r="161" spans="1:8" x14ac:dyDescent="0.25">
      <c r="A161" s="7">
        <f>DATE(YEAR(m2_crossvalid[[#This Row],[cutoff]]),MONTH(m2_crossvalid[[#This Row],[cutoff]]),DAY(m2_crossvalid[[#This Row],[cutoff]]))</f>
        <v>45808</v>
      </c>
      <c r="B161" s="7">
        <f>DATE(YEAR(m2_crossvalid[[#This Row],[ds]]),MONTH(m2_crossvalid[[#This Row],[ds]]),DAY(m2_crossvalid[[#This Row],[ds]]))</f>
        <v>45813</v>
      </c>
      <c r="C161">
        <v>1102</v>
      </c>
      <c r="D161" s="1">
        <v>45813.333333333336</v>
      </c>
      <c r="E161">
        <v>1392.3469445169658</v>
      </c>
      <c r="F161">
        <v>-440.79497127015651</v>
      </c>
      <c r="G161">
        <v>3237.6911821297081</v>
      </c>
      <c r="H161" s="1">
        <v>45808.333333333336</v>
      </c>
    </row>
    <row r="162" spans="1:8" x14ac:dyDescent="0.25">
      <c r="A162" s="7">
        <f>DATE(YEAR(m2_crossvalid[[#This Row],[cutoff]]),MONTH(m2_crossvalid[[#This Row],[cutoff]]),DAY(m2_crossvalid[[#This Row],[cutoff]]))</f>
        <v>45808</v>
      </c>
      <c r="B162" s="7">
        <f>DATE(YEAR(m2_crossvalid[[#This Row],[ds]]),MONTH(m2_crossvalid[[#This Row],[ds]]),DAY(m2_crossvalid[[#This Row],[ds]]))</f>
        <v>45814</v>
      </c>
      <c r="C162">
        <v>1098</v>
      </c>
      <c r="D162" s="1">
        <v>45814.333333333336</v>
      </c>
      <c r="E162">
        <v>1701.6800217260347</v>
      </c>
      <c r="F162">
        <v>-212.51829580911311</v>
      </c>
      <c r="G162">
        <v>3625.6696037755801</v>
      </c>
      <c r="H162" s="1">
        <v>45808.333333333336</v>
      </c>
    </row>
    <row r="163" spans="1:8" x14ac:dyDescent="0.25">
      <c r="A163" s="7">
        <f>DATE(YEAR(m2_crossvalid[[#This Row],[cutoff]]),MONTH(m2_crossvalid[[#This Row],[cutoff]]),DAY(m2_crossvalid[[#This Row],[cutoff]]))</f>
        <v>45808</v>
      </c>
      <c r="B163" s="7">
        <f>DATE(YEAR(m2_crossvalid[[#This Row],[ds]]),MONTH(m2_crossvalid[[#This Row],[ds]]),DAY(m2_crossvalid[[#This Row],[ds]]))</f>
        <v>45815</v>
      </c>
      <c r="C163">
        <v>17</v>
      </c>
      <c r="D163" s="1">
        <v>45815.333333333336</v>
      </c>
      <c r="E163">
        <v>-170.67905104109923</v>
      </c>
      <c r="F163">
        <v>-2227.9499613131361</v>
      </c>
      <c r="G163">
        <v>1931.1715337103242</v>
      </c>
      <c r="H163" s="1">
        <v>45808.333333333336</v>
      </c>
    </row>
    <row r="164" spans="1:8" x14ac:dyDescent="0.25">
      <c r="A164" s="7">
        <f>DATE(YEAR(m2_crossvalid[[#This Row],[cutoff]]),MONTH(m2_crossvalid[[#This Row],[cutoff]]),DAY(m2_crossvalid[[#This Row],[cutoff]]))</f>
        <v>45808</v>
      </c>
      <c r="B164" s="7">
        <f>DATE(YEAR(m2_crossvalid[[#This Row],[ds]]),MONTH(m2_crossvalid[[#This Row],[ds]]),DAY(m2_crossvalid[[#This Row],[ds]]))</f>
        <v>45816</v>
      </c>
      <c r="C164">
        <v>2</v>
      </c>
      <c r="D164" s="1">
        <v>45816.333333333336</v>
      </c>
      <c r="E164">
        <v>-552.62787180550185</v>
      </c>
      <c r="F164">
        <v>-2567.0479282933184</v>
      </c>
      <c r="G164">
        <v>1386.1981358694579</v>
      </c>
      <c r="H164" s="1">
        <v>45808.333333333336</v>
      </c>
    </row>
    <row r="165" spans="1:8" x14ac:dyDescent="0.25">
      <c r="A165" s="7">
        <f>DATE(YEAR(m2_crossvalid[[#This Row],[cutoff]]),MONTH(m2_crossvalid[[#This Row],[cutoff]]),DAY(m2_crossvalid[[#This Row],[cutoff]]))</f>
        <v>45808</v>
      </c>
      <c r="B165" s="7">
        <f>DATE(YEAR(m2_crossvalid[[#This Row],[ds]]),MONTH(m2_crossvalid[[#This Row],[ds]]),DAY(m2_crossvalid[[#This Row],[ds]]))</f>
        <v>45817</v>
      </c>
      <c r="C165">
        <v>716</v>
      </c>
      <c r="D165" s="1">
        <v>45817.333333333336</v>
      </c>
      <c r="E165">
        <v>1635.0400611973341</v>
      </c>
      <c r="F165">
        <v>-307.10928007882609</v>
      </c>
      <c r="G165">
        <v>3601.6908688610979</v>
      </c>
      <c r="H165" s="1">
        <v>45808.333333333336</v>
      </c>
    </row>
    <row r="166" spans="1:8" x14ac:dyDescent="0.25">
      <c r="A166" s="7">
        <f>DATE(YEAR(m2_crossvalid[[#This Row],[cutoff]]),MONTH(m2_crossvalid[[#This Row],[cutoff]]),DAY(m2_crossvalid[[#This Row],[cutoff]]))</f>
        <v>45808</v>
      </c>
      <c r="B166" s="7">
        <f>DATE(YEAR(m2_crossvalid[[#This Row],[ds]]),MONTH(m2_crossvalid[[#This Row],[ds]]),DAY(m2_crossvalid[[#This Row],[ds]]))</f>
        <v>45818</v>
      </c>
      <c r="C166">
        <v>1129</v>
      </c>
      <c r="D166" s="1">
        <v>45818.333333333336</v>
      </c>
      <c r="E166">
        <v>2079.3624606273174</v>
      </c>
      <c r="F166">
        <v>146.49401615072557</v>
      </c>
      <c r="G166">
        <v>4001.0177472628061</v>
      </c>
      <c r="H166" s="1">
        <v>45808.333333333336</v>
      </c>
    </row>
    <row r="167" spans="1:8" x14ac:dyDescent="0.25">
      <c r="A167" s="7">
        <f>DATE(YEAR(m2_crossvalid[[#This Row],[cutoff]]),MONTH(m2_crossvalid[[#This Row],[cutoff]]),DAY(m2_crossvalid[[#This Row],[cutoff]]))</f>
        <v>45808</v>
      </c>
      <c r="B167" s="7">
        <f>DATE(YEAR(m2_crossvalid[[#This Row],[ds]]),MONTH(m2_crossvalid[[#This Row],[ds]]),DAY(m2_crossvalid[[#This Row],[ds]]))</f>
        <v>45819</v>
      </c>
      <c r="C167">
        <v>1387</v>
      </c>
      <c r="D167" s="1">
        <v>45819.333333333336</v>
      </c>
      <c r="E167">
        <v>2213.6172154364394</v>
      </c>
      <c r="F167">
        <v>416.91587502521861</v>
      </c>
      <c r="G167">
        <v>4183.3440365134165</v>
      </c>
      <c r="H167" s="1">
        <v>45808.333333333336</v>
      </c>
    </row>
    <row r="168" spans="1:8" x14ac:dyDescent="0.25">
      <c r="A168" s="7">
        <f>DATE(YEAR(m2_crossvalid[[#This Row],[cutoff]]),MONTH(m2_crossvalid[[#This Row],[cutoff]]),DAY(m2_crossvalid[[#This Row],[cutoff]]))</f>
        <v>45808</v>
      </c>
      <c r="B168" s="7">
        <f>DATE(YEAR(m2_crossvalid[[#This Row],[ds]]),MONTH(m2_crossvalid[[#This Row],[ds]]),DAY(m2_crossvalid[[#This Row],[ds]]))</f>
        <v>45820</v>
      </c>
      <c r="C168">
        <v>1689</v>
      </c>
      <c r="D168" s="1">
        <v>45820.333333333336</v>
      </c>
      <c r="E168">
        <v>2426.5506623652454</v>
      </c>
      <c r="F168">
        <v>481.95106165388916</v>
      </c>
      <c r="G168">
        <v>4356.167853201805</v>
      </c>
      <c r="H168" s="1">
        <v>45808.333333333336</v>
      </c>
    </row>
    <row r="169" spans="1:8" x14ac:dyDescent="0.25">
      <c r="A169" s="7">
        <f>DATE(YEAR(m2_crossvalid[[#This Row],[cutoff]]),MONTH(m2_crossvalid[[#This Row],[cutoff]]),DAY(m2_crossvalid[[#This Row],[cutoff]]))</f>
        <v>45808</v>
      </c>
      <c r="B169" s="7">
        <f>DATE(YEAR(m2_crossvalid[[#This Row],[ds]]),MONTH(m2_crossvalid[[#This Row],[ds]]),DAY(m2_crossvalid[[#This Row],[ds]]))</f>
        <v>45821</v>
      </c>
      <c r="C169">
        <v>1883</v>
      </c>
      <c r="D169" s="1">
        <v>45821.333333333336</v>
      </c>
      <c r="E169">
        <v>2597.5330204414486</v>
      </c>
      <c r="F169">
        <v>635.90709161244672</v>
      </c>
      <c r="G169">
        <v>4647.8292217974886</v>
      </c>
      <c r="H169" s="1">
        <v>45808.333333333336</v>
      </c>
    </row>
    <row r="170" spans="1:8" x14ac:dyDescent="0.25">
      <c r="A170" s="7">
        <f>DATE(YEAR(m2_crossvalid[[#This Row],[cutoff]]),MONTH(m2_crossvalid[[#This Row],[cutoff]]),DAY(m2_crossvalid[[#This Row],[cutoff]]))</f>
        <v>45808</v>
      </c>
      <c r="B170" s="7">
        <f>DATE(YEAR(m2_crossvalid[[#This Row],[ds]]),MONTH(m2_crossvalid[[#This Row],[ds]]),DAY(m2_crossvalid[[#This Row],[ds]]))</f>
        <v>45822</v>
      </c>
      <c r="C170">
        <v>280</v>
      </c>
      <c r="D170" s="1">
        <v>45822.333333333336</v>
      </c>
      <c r="E170">
        <v>336.13591861625855</v>
      </c>
      <c r="F170">
        <v>-1545.1370305218643</v>
      </c>
      <c r="G170">
        <v>2309.7843098019953</v>
      </c>
      <c r="H170" s="1">
        <v>45808.333333333336</v>
      </c>
    </row>
    <row r="171" spans="1:8" x14ac:dyDescent="0.25">
      <c r="A171" s="7">
        <f>DATE(YEAR(m2_crossvalid[[#This Row],[cutoff]]),MONTH(m2_crossvalid[[#This Row],[cutoff]]),DAY(m2_crossvalid[[#This Row],[cutoff]]))</f>
        <v>45808</v>
      </c>
      <c r="B171" s="7">
        <f>DATE(YEAR(m2_crossvalid[[#This Row],[ds]]),MONTH(m2_crossvalid[[#This Row],[ds]]),DAY(m2_crossvalid[[#This Row],[ds]]))</f>
        <v>45823</v>
      </c>
      <c r="C171">
        <v>71</v>
      </c>
      <c r="D171" s="1">
        <v>45823.333333333336</v>
      </c>
      <c r="E171">
        <v>-231.31081722343242</v>
      </c>
      <c r="F171">
        <v>-2324.004879573647</v>
      </c>
      <c r="G171">
        <v>1689.026055336386</v>
      </c>
      <c r="H171" s="1">
        <v>45808.333333333336</v>
      </c>
    </row>
    <row r="172" spans="1:8" x14ac:dyDescent="0.25">
      <c r="A172" s="7">
        <f>DATE(YEAR(m2_crossvalid[[#This Row],[cutoff]]),MONTH(m2_crossvalid[[#This Row],[cutoff]]),DAY(m2_crossvalid[[#This Row],[cutoff]]))</f>
        <v>45808</v>
      </c>
      <c r="B172" s="7">
        <f>DATE(YEAR(m2_crossvalid[[#This Row],[ds]]),MONTH(m2_crossvalid[[#This Row],[ds]]),DAY(m2_crossvalid[[#This Row],[ds]]))</f>
        <v>45824</v>
      </c>
      <c r="C172">
        <v>1852</v>
      </c>
      <c r="D172" s="1">
        <v>45824.333333333336</v>
      </c>
      <c r="E172">
        <v>2108.3070044887013</v>
      </c>
      <c r="F172">
        <v>93.526379310118159</v>
      </c>
      <c r="G172">
        <v>3992.6443766662887</v>
      </c>
      <c r="H172" s="1">
        <v>45808.333333333336</v>
      </c>
    </row>
    <row r="173" spans="1:8" x14ac:dyDescent="0.25">
      <c r="A173" s="7">
        <f>DATE(YEAR(m2_crossvalid[[#This Row],[cutoff]]),MONTH(m2_crossvalid[[#This Row],[cutoff]]),DAY(m2_crossvalid[[#This Row],[cutoff]]))</f>
        <v>45808</v>
      </c>
      <c r="B173" s="7">
        <f>DATE(YEAR(m2_crossvalid[[#This Row],[ds]]),MONTH(m2_crossvalid[[#This Row],[ds]]),DAY(m2_crossvalid[[#This Row],[ds]]))</f>
        <v>45825</v>
      </c>
      <c r="C173">
        <v>2251</v>
      </c>
      <c r="D173" s="1">
        <v>45825.333333333336</v>
      </c>
      <c r="E173">
        <v>2821.1289835279572</v>
      </c>
      <c r="F173">
        <v>912.82514646494167</v>
      </c>
      <c r="G173">
        <v>4786.3176313756967</v>
      </c>
      <c r="H173" s="1">
        <v>45808.333333333336</v>
      </c>
    </row>
    <row r="174" spans="1:8" x14ac:dyDescent="0.25">
      <c r="A174" s="7">
        <f>DATE(YEAR(m2_crossvalid[[#This Row],[cutoff]]),MONTH(m2_crossvalid[[#This Row],[cutoff]]),DAY(m2_crossvalid[[#This Row],[cutoff]]))</f>
        <v>45808</v>
      </c>
      <c r="B174" s="7">
        <f>DATE(YEAR(m2_crossvalid[[#This Row],[ds]]),MONTH(m2_crossvalid[[#This Row],[ds]]),DAY(m2_crossvalid[[#This Row],[ds]]))</f>
        <v>45826</v>
      </c>
      <c r="C174">
        <v>2552</v>
      </c>
      <c r="D174" s="1">
        <v>45826.333333333336</v>
      </c>
      <c r="E174">
        <v>3034.0412761834132</v>
      </c>
      <c r="F174">
        <v>1015.2732107947056</v>
      </c>
      <c r="G174">
        <v>4923.4063738799705</v>
      </c>
      <c r="H174" s="1">
        <v>45808.333333333336</v>
      </c>
    </row>
    <row r="175" spans="1:8" x14ac:dyDescent="0.25">
      <c r="A175" s="7">
        <f>DATE(YEAR(m2_crossvalid[[#This Row],[cutoff]]),MONTH(m2_crossvalid[[#This Row],[cutoff]]),DAY(m2_crossvalid[[#This Row],[cutoff]]))</f>
        <v>45808</v>
      </c>
      <c r="B175" s="7">
        <f>DATE(YEAR(m2_crossvalid[[#This Row],[ds]]),MONTH(m2_crossvalid[[#This Row],[ds]]),DAY(m2_crossvalid[[#This Row],[ds]]))</f>
        <v>45827</v>
      </c>
      <c r="C175">
        <v>2813</v>
      </c>
      <c r="D175" s="1">
        <v>45827.333333333336</v>
      </c>
      <c r="E175">
        <v>3053.7075297792194</v>
      </c>
      <c r="F175">
        <v>1176.1013004413521</v>
      </c>
      <c r="G175">
        <v>5075.411525466372</v>
      </c>
      <c r="H175" s="1">
        <v>45808.333333333336</v>
      </c>
    </row>
    <row r="176" spans="1:8" x14ac:dyDescent="0.25">
      <c r="A176" s="7">
        <f>DATE(YEAR(m2_crossvalid[[#This Row],[cutoff]]),MONTH(m2_crossvalid[[#This Row],[cutoff]]),DAY(m2_crossvalid[[#This Row],[cutoff]]))</f>
        <v>45808</v>
      </c>
      <c r="B176" s="7">
        <f>DATE(YEAR(m2_crossvalid[[#This Row],[ds]]),MONTH(m2_crossvalid[[#This Row],[ds]]),DAY(m2_crossvalid[[#This Row],[ds]]))</f>
        <v>45828</v>
      </c>
      <c r="C176">
        <v>3023</v>
      </c>
      <c r="D176" s="1">
        <v>45828.333333333336</v>
      </c>
      <c r="E176">
        <v>2965.8584348778004</v>
      </c>
      <c r="F176">
        <v>1056.4331858043693</v>
      </c>
      <c r="G176">
        <v>4936.3742232010973</v>
      </c>
      <c r="H176" s="1">
        <v>45808.333333333336</v>
      </c>
    </row>
    <row r="177" spans="1:8" x14ac:dyDescent="0.25">
      <c r="A177" s="7">
        <f>DATE(YEAR(m2_crossvalid[[#This Row],[cutoff]]),MONTH(m2_crossvalid[[#This Row],[cutoff]]),DAY(m2_crossvalid[[#This Row],[cutoff]]))</f>
        <v>45808</v>
      </c>
      <c r="B177" s="7">
        <f>DATE(YEAR(m2_crossvalid[[#This Row],[ds]]),MONTH(m2_crossvalid[[#This Row],[ds]]),DAY(m2_crossvalid[[#This Row],[ds]]))</f>
        <v>45829</v>
      </c>
      <c r="C177">
        <v>360</v>
      </c>
      <c r="D177" s="1">
        <v>45829.333333333336</v>
      </c>
      <c r="E177">
        <v>650.04475000229559</v>
      </c>
      <c r="F177">
        <v>-1348.9631956280246</v>
      </c>
      <c r="G177">
        <v>2548.2908414090048</v>
      </c>
      <c r="H177" s="1">
        <v>45808.333333333336</v>
      </c>
    </row>
    <row r="178" spans="1:8" x14ac:dyDescent="0.25">
      <c r="A178" s="7">
        <f>DATE(YEAR(m2_crossvalid[[#This Row],[cutoff]]),MONTH(m2_crossvalid[[#This Row],[cutoff]]),DAY(m2_crossvalid[[#This Row],[cutoff]]))</f>
        <v>45808</v>
      </c>
      <c r="B178" s="7">
        <f>DATE(YEAR(m2_crossvalid[[#This Row],[ds]]),MONTH(m2_crossvalid[[#This Row],[ds]]),DAY(m2_crossvalid[[#This Row],[ds]]))</f>
        <v>45830</v>
      </c>
      <c r="C178">
        <v>129</v>
      </c>
      <c r="D178" s="1">
        <v>45830.333333333336</v>
      </c>
      <c r="E178">
        <v>286.00603997056896</v>
      </c>
      <c r="F178">
        <v>-1634.2429182430565</v>
      </c>
      <c r="G178">
        <v>2292.3166488532238</v>
      </c>
      <c r="H178" s="1">
        <v>45808.333333333336</v>
      </c>
    </row>
    <row r="179" spans="1:8" x14ac:dyDescent="0.25">
      <c r="A179" s="7">
        <f>DATE(YEAR(m2_crossvalid[[#This Row],[cutoff]]),MONTH(m2_crossvalid[[#This Row],[cutoff]]),DAY(m2_crossvalid[[#This Row],[cutoff]]))</f>
        <v>45808</v>
      </c>
      <c r="B179" s="7">
        <f>DATE(YEAR(m2_crossvalid[[#This Row],[ds]]),MONTH(m2_crossvalid[[#This Row],[ds]]),DAY(m2_crossvalid[[#This Row],[ds]]))</f>
        <v>45831</v>
      </c>
      <c r="C179">
        <v>3291</v>
      </c>
      <c r="D179" s="1">
        <v>45831.333333333336</v>
      </c>
      <c r="E179">
        <v>2869.9271930146219</v>
      </c>
      <c r="F179">
        <v>1065.3573906113345</v>
      </c>
      <c r="G179">
        <v>4838.4036270335018</v>
      </c>
      <c r="H179" s="1">
        <v>45808.333333333336</v>
      </c>
    </row>
    <row r="180" spans="1:8" x14ac:dyDescent="0.25">
      <c r="A180" s="7">
        <f>DATE(YEAR(m2_crossvalid[[#This Row],[cutoff]]),MONTH(m2_crossvalid[[#This Row],[cutoff]]),DAY(m2_crossvalid[[#This Row],[cutoff]]))</f>
        <v>45808</v>
      </c>
      <c r="B180" s="7">
        <f>DATE(YEAR(m2_crossvalid[[#This Row],[ds]]),MONTH(m2_crossvalid[[#This Row],[ds]]),DAY(m2_crossvalid[[#This Row],[ds]]))</f>
        <v>45832</v>
      </c>
      <c r="C180">
        <v>3743</v>
      </c>
      <c r="D180" s="1">
        <v>45832.333333333336</v>
      </c>
      <c r="E180">
        <v>3610.5993360321013</v>
      </c>
      <c r="F180">
        <v>1551.483818616643</v>
      </c>
      <c r="G180">
        <v>5574.3536170125708</v>
      </c>
      <c r="H180" s="1">
        <v>45808.333333333336</v>
      </c>
    </row>
    <row r="181" spans="1:8" x14ac:dyDescent="0.25">
      <c r="A181" s="7">
        <f>DATE(YEAR(m2_crossvalid[[#This Row],[cutoff]]),MONTH(m2_crossvalid[[#This Row],[cutoff]]),DAY(m2_crossvalid[[#This Row],[cutoff]]))</f>
        <v>45808</v>
      </c>
      <c r="B181" s="7">
        <f>DATE(YEAR(m2_crossvalid[[#This Row],[ds]]),MONTH(m2_crossvalid[[#This Row],[ds]]),DAY(m2_crossvalid[[#This Row],[ds]]))</f>
        <v>45833</v>
      </c>
      <c r="C181">
        <v>4576</v>
      </c>
      <c r="D181" s="1">
        <v>45833.333333333336</v>
      </c>
      <c r="E181">
        <v>3627.0210774218099</v>
      </c>
      <c r="F181">
        <v>1685.0531597571614</v>
      </c>
      <c r="G181">
        <v>5534.4869164576085</v>
      </c>
      <c r="H181" s="1">
        <v>45808.333333333336</v>
      </c>
    </row>
    <row r="182" spans="1:8" x14ac:dyDescent="0.25">
      <c r="A182" s="7">
        <f>DATE(YEAR(m2_crossvalid[[#This Row],[cutoff]]),MONTH(m2_crossvalid[[#This Row],[cutoff]]),DAY(m2_crossvalid[[#This Row],[cutoff]]))</f>
        <v>45808</v>
      </c>
      <c r="B182" s="7">
        <f>DATE(YEAR(m2_crossvalid[[#This Row],[ds]]),MONTH(m2_crossvalid[[#This Row],[ds]]),DAY(m2_crossvalid[[#This Row],[ds]]))</f>
        <v>45834</v>
      </c>
      <c r="C182">
        <v>6205</v>
      </c>
      <c r="D182" s="1">
        <v>45834.333333333336</v>
      </c>
      <c r="E182">
        <v>3525.975979565922</v>
      </c>
      <c r="F182">
        <v>1374.5953897036629</v>
      </c>
      <c r="G182">
        <v>5459.5988822575227</v>
      </c>
      <c r="H182" s="1">
        <v>45808.333333333336</v>
      </c>
    </row>
    <row r="183" spans="1:8" x14ac:dyDescent="0.25">
      <c r="A183" s="7">
        <f>DATE(YEAR(m2_crossvalid[[#This Row],[cutoff]]),MONTH(m2_crossvalid[[#This Row],[cutoff]]),DAY(m2_crossvalid[[#This Row],[cutoff]]))</f>
        <v>45808</v>
      </c>
      <c r="B183" s="7">
        <f>DATE(YEAR(m2_crossvalid[[#This Row],[ds]]),MONTH(m2_crossvalid[[#This Row],[ds]]),DAY(m2_crossvalid[[#This Row],[ds]]))</f>
        <v>45835</v>
      </c>
      <c r="C183">
        <v>814</v>
      </c>
      <c r="D183" s="1">
        <v>45835.333333333336</v>
      </c>
      <c r="E183">
        <v>3749.6119091420828</v>
      </c>
      <c r="F183">
        <v>1757.8122528498607</v>
      </c>
      <c r="G183">
        <v>5683.6511291770712</v>
      </c>
      <c r="H183" s="1">
        <v>45808.333333333336</v>
      </c>
    </row>
    <row r="184" spans="1:8" x14ac:dyDescent="0.25">
      <c r="A184" s="7">
        <f>DATE(YEAR(m2_crossvalid[[#This Row],[cutoff]]),MONTH(m2_crossvalid[[#This Row],[cutoff]]),DAY(m2_crossvalid[[#This Row],[cutoff]]))</f>
        <v>45808</v>
      </c>
      <c r="B184" s="7">
        <f>DATE(YEAR(m2_crossvalid[[#This Row],[ds]]),MONTH(m2_crossvalid[[#This Row],[ds]]),DAY(m2_crossvalid[[#This Row],[ds]]))</f>
        <v>45836</v>
      </c>
      <c r="C184">
        <v>2326</v>
      </c>
      <c r="D184" s="1">
        <v>45836.333333333336</v>
      </c>
      <c r="E184">
        <v>2242.1137978971105</v>
      </c>
      <c r="F184">
        <v>477.34795331764849</v>
      </c>
      <c r="G184">
        <v>4218.8577631462922</v>
      </c>
      <c r="H184" s="1">
        <v>45808.333333333336</v>
      </c>
    </row>
    <row r="185" spans="1:8" x14ac:dyDescent="0.25">
      <c r="A185" s="7">
        <f>DATE(YEAR(m2_crossvalid[[#This Row],[cutoff]]),MONTH(m2_crossvalid[[#This Row],[cutoff]]),DAY(m2_crossvalid[[#This Row],[cutoff]]))</f>
        <v>45808</v>
      </c>
      <c r="B185" s="7">
        <f>DATE(YEAR(m2_crossvalid[[#This Row],[ds]]),MONTH(m2_crossvalid[[#This Row],[ds]]),DAY(m2_crossvalid[[#This Row],[ds]]))</f>
        <v>45837</v>
      </c>
      <c r="C185">
        <v>427</v>
      </c>
      <c r="D185" s="1">
        <v>45837.333333333336</v>
      </c>
      <c r="E185">
        <v>2823.6670420616647</v>
      </c>
      <c r="F185">
        <v>824.72144078595227</v>
      </c>
      <c r="G185">
        <v>4607.6677802713593</v>
      </c>
      <c r="H185" s="1">
        <v>45808.333333333336</v>
      </c>
    </row>
    <row r="186" spans="1:8" x14ac:dyDescent="0.25">
      <c r="A186" s="7">
        <f>DATE(YEAR(m2_crossvalid[[#This Row],[cutoff]]),MONTH(m2_crossvalid[[#This Row],[cutoff]]),DAY(m2_crossvalid[[#This Row],[cutoff]]))</f>
        <v>45808</v>
      </c>
      <c r="B186" s="7">
        <f>DATE(YEAR(m2_crossvalid[[#This Row],[ds]]),MONTH(m2_crossvalid[[#This Row],[ds]]),DAY(m2_crossvalid[[#This Row],[ds]]))</f>
        <v>45838</v>
      </c>
      <c r="C186">
        <v>13624</v>
      </c>
      <c r="D186" s="1">
        <v>45838.333333333336</v>
      </c>
      <c r="E186">
        <v>5915.0136789320923</v>
      </c>
      <c r="F186">
        <v>3973.4858152236043</v>
      </c>
      <c r="G186">
        <v>7821.4354908753421</v>
      </c>
      <c r="H186" s="1">
        <v>45808.333333333336</v>
      </c>
    </row>
    <row r="187" spans="1:8" x14ac:dyDescent="0.25">
      <c r="A187" s="7">
        <f>DATE(YEAR(m2_crossvalid[[#This Row],[cutoff]]),MONTH(m2_crossvalid[[#This Row],[cutoff]]),DAY(m2_crossvalid[[#This Row],[cutoff]]))</f>
        <v>45808</v>
      </c>
      <c r="B187" s="7">
        <f>DATE(YEAR(m2_crossvalid[[#This Row],[ds]]),MONTH(m2_crossvalid[[#This Row],[ds]]),DAY(m2_crossvalid[[#This Row],[ds]]))</f>
        <v>45839</v>
      </c>
      <c r="C187">
        <v>624</v>
      </c>
      <c r="D187" s="1">
        <v>45839.333333333336</v>
      </c>
      <c r="E187">
        <v>6311.6133313938462</v>
      </c>
      <c r="F187">
        <v>4324.1005304884457</v>
      </c>
      <c r="G187">
        <v>8316.2499900847852</v>
      </c>
      <c r="H187" s="1">
        <v>45808.333333333336</v>
      </c>
    </row>
    <row r="188" spans="1:8" x14ac:dyDescent="0.25">
      <c r="A188" s="7">
        <f>DATE(YEAR(m2_crossvalid[[#This Row],[cutoff]]),MONTH(m2_crossvalid[[#This Row],[cutoff]]),DAY(m2_crossvalid[[#This Row],[cutoff]]))</f>
        <v>45838</v>
      </c>
      <c r="B188" s="7">
        <f>DATE(YEAR(m2_crossvalid[[#This Row],[ds]]),MONTH(m2_crossvalid[[#This Row],[ds]]),DAY(m2_crossvalid[[#This Row],[ds]]))</f>
        <v>45839</v>
      </c>
      <c r="C188">
        <v>624</v>
      </c>
      <c r="D188" s="1">
        <v>45839.333333333336</v>
      </c>
      <c r="E188">
        <v>6392.716979797844</v>
      </c>
      <c r="F188">
        <v>4516.1332808570487</v>
      </c>
      <c r="G188">
        <v>8351.1536194891305</v>
      </c>
      <c r="H188" s="1">
        <v>45838.333333333336</v>
      </c>
    </row>
    <row r="189" spans="1:8" x14ac:dyDescent="0.25">
      <c r="A189" s="7">
        <f>DATE(YEAR(m2_crossvalid[[#This Row],[cutoff]]),MONTH(m2_crossvalid[[#This Row],[cutoff]]),DAY(m2_crossvalid[[#This Row],[cutoff]]))</f>
        <v>45838</v>
      </c>
      <c r="B189" s="7">
        <f>DATE(YEAR(m2_crossvalid[[#This Row],[ds]]),MONTH(m2_crossvalid[[#This Row],[ds]]),DAY(m2_crossvalid[[#This Row],[ds]]))</f>
        <v>45840</v>
      </c>
      <c r="C189">
        <v>733</v>
      </c>
      <c r="D189" s="1">
        <v>45840.333333333336</v>
      </c>
      <c r="E189">
        <v>5171.9446281827186</v>
      </c>
      <c r="F189">
        <v>3082.2073801599154</v>
      </c>
      <c r="G189">
        <v>7157.1567993679873</v>
      </c>
      <c r="H189" s="1">
        <v>45838.333333333336</v>
      </c>
    </row>
    <row r="190" spans="1:8" x14ac:dyDescent="0.25">
      <c r="A190" s="7">
        <f>DATE(YEAR(m2_crossvalid[[#This Row],[cutoff]]),MONTH(m2_crossvalid[[#This Row],[cutoff]]),DAY(m2_crossvalid[[#This Row],[cutoff]]))</f>
        <v>45838</v>
      </c>
      <c r="B190" s="7">
        <f>DATE(YEAR(m2_crossvalid[[#This Row],[ds]]),MONTH(m2_crossvalid[[#This Row],[ds]]),DAY(m2_crossvalid[[#This Row],[ds]]))</f>
        <v>45841</v>
      </c>
      <c r="C190">
        <v>1036</v>
      </c>
      <c r="D190" s="1">
        <v>45841.333333333336</v>
      </c>
      <c r="E190">
        <v>3328.6634182387679</v>
      </c>
      <c r="F190">
        <v>1400.1106991573286</v>
      </c>
      <c r="G190">
        <v>5185.1012298130918</v>
      </c>
      <c r="H190" s="1">
        <v>45838.333333333336</v>
      </c>
    </row>
    <row r="191" spans="1:8" x14ac:dyDescent="0.25">
      <c r="A191" s="7">
        <f>DATE(YEAR(m2_crossvalid[[#This Row],[cutoff]]),MONTH(m2_crossvalid[[#This Row],[cutoff]]),DAY(m2_crossvalid[[#This Row],[cutoff]]))</f>
        <v>45838</v>
      </c>
      <c r="B191" s="7">
        <f>DATE(YEAR(m2_crossvalid[[#This Row],[ds]]),MONTH(m2_crossvalid[[#This Row],[ds]]),DAY(m2_crossvalid[[#This Row],[ds]]))</f>
        <v>45842</v>
      </c>
      <c r="C191">
        <v>1189</v>
      </c>
      <c r="D191" s="1">
        <v>45842.333333333336</v>
      </c>
      <c r="E191">
        <v>1725.3471168641695</v>
      </c>
      <c r="F191">
        <v>-138.55486668975243</v>
      </c>
      <c r="G191">
        <v>3677.5222135878935</v>
      </c>
      <c r="H191" s="1">
        <v>45838.333333333336</v>
      </c>
    </row>
    <row r="192" spans="1:8" x14ac:dyDescent="0.25">
      <c r="A192" s="7">
        <f>DATE(YEAR(m2_crossvalid[[#This Row],[cutoff]]),MONTH(m2_crossvalid[[#This Row],[cutoff]]),DAY(m2_crossvalid[[#This Row],[cutoff]]))</f>
        <v>45838</v>
      </c>
      <c r="B192" s="7">
        <f>DATE(YEAR(m2_crossvalid[[#This Row],[ds]]),MONTH(m2_crossvalid[[#This Row],[ds]]),DAY(m2_crossvalid[[#This Row],[ds]]))</f>
        <v>45843</v>
      </c>
      <c r="C192">
        <v>170</v>
      </c>
      <c r="D192" s="1">
        <v>45843.333333333336</v>
      </c>
      <c r="E192">
        <v>-1257.8719626070438</v>
      </c>
      <c r="F192">
        <v>-3368.1017727874714</v>
      </c>
      <c r="G192">
        <v>675.67486359066572</v>
      </c>
      <c r="H192" s="1">
        <v>45838.333333333336</v>
      </c>
    </row>
    <row r="193" spans="1:8" x14ac:dyDescent="0.25">
      <c r="A193" s="7">
        <f>DATE(YEAR(m2_crossvalid[[#This Row],[cutoff]]),MONTH(m2_crossvalid[[#This Row],[cutoff]]),DAY(m2_crossvalid[[#This Row],[cutoff]]))</f>
        <v>45838</v>
      </c>
      <c r="B193" s="7">
        <f>DATE(YEAR(m2_crossvalid[[#This Row],[ds]]),MONTH(m2_crossvalid[[#This Row],[ds]]),DAY(m2_crossvalid[[#This Row],[ds]]))</f>
        <v>45844</v>
      </c>
      <c r="C193">
        <v>30</v>
      </c>
      <c r="D193" s="1">
        <v>45844.333333333336</v>
      </c>
      <c r="E193">
        <v>-1715.7109237537402</v>
      </c>
      <c r="F193">
        <v>-3711.8113189913656</v>
      </c>
      <c r="G193">
        <v>299.65492193423398</v>
      </c>
      <c r="H193" s="1">
        <v>45838.333333333336</v>
      </c>
    </row>
    <row r="194" spans="1:8" x14ac:dyDescent="0.25">
      <c r="A194" s="7">
        <f>DATE(YEAR(m2_crossvalid[[#This Row],[cutoff]]),MONTH(m2_crossvalid[[#This Row],[cutoff]]),DAY(m2_crossvalid[[#This Row],[cutoff]]))</f>
        <v>45838</v>
      </c>
      <c r="B194" s="7">
        <f>DATE(YEAR(m2_crossvalid[[#This Row],[ds]]),MONTH(m2_crossvalid[[#This Row],[ds]]),DAY(m2_crossvalid[[#This Row],[ds]]))</f>
        <v>45845</v>
      </c>
      <c r="C194">
        <v>1218</v>
      </c>
      <c r="D194" s="1">
        <v>45845.333333333336</v>
      </c>
      <c r="E194">
        <v>1047.6225828460804</v>
      </c>
      <c r="F194">
        <v>-831.23579864701344</v>
      </c>
      <c r="G194">
        <v>3095.2884896967289</v>
      </c>
      <c r="H194" s="1">
        <v>45838.333333333336</v>
      </c>
    </row>
    <row r="195" spans="1:8" x14ac:dyDescent="0.25">
      <c r="A195" s="7">
        <f>DATE(YEAR(m2_crossvalid[[#This Row],[cutoff]]),MONTH(m2_crossvalid[[#This Row],[cutoff]]),DAY(m2_crossvalid[[#This Row],[cutoff]]))</f>
        <v>45838</v>
      </c>
      <c r="B195" s="7">
        <f>DATE(YEAR(m2_crossvalid[[#This Row],[ds]]),MONTH(m2_crossvalid[[#This Row],[ds]]),DAY(m2_crossvalid[[#This Row],[ds]]))</f>
        <v>45846</v>
      </c>
      <c r="C195">
        <v>1543</v>
      </c>
      <c r="D195" s="1">
        <v>45846.333333333336</v>
      </c>
      <c r="E195">
        <v>1820.8433770510501</v>
      </c>
      <c r="F195">
        <v>-42.921406720570218</v>
      </c>
      <c r="G195">
        <v>3896.6311133603454</v>
      </c>
      <c r="H195" s="1">
        <v>45838.333333333336</v>
      </c>
    </row>
    <row r="196" spans="1:8" x14ac:dyDescent="0.25">
      <c r="A196" s="7">
        <f>DATE(YEAR(m2_crossvalid[[#This Row],[cutoff]]),MONTH(m2_crossvalid[[#This Row],[cutoff]]),DAY(m2_crossvalid[[#This Row],[cutoff]]))</f>
        <v>45838</v>
      </c>
      <c r="B196" s="7">
        <f>DATE(YEAR(m2_crossvalid[[#This Row],[ds]]),MONTH(m2_crossvalid[[#This Row],[ds]]),DAY(m2_crossvalid[[#This Row],[ds]]))</f>
        <v>45847</v>
      </c>
      <c r="C196">
        <v>2120</v>
      </c>
      <c r="D196" s="1">
        <v>45847.333333333336</v>
      </c>
      <c r="E196">
        <v>1843.7105838912291</v>
      </c>
      <c r="F196">
        <v>-74.768031093524129</v>
      </c>
      <c r="G196">
        <v>3775.2394764756996</v>
      </c>
      <c r="H196" s="1">
        <v>45838.333333333336</v>
      </c>
    </row>
    <row r="197" spans="1:8" x14ac:dyDescent="0.25">
      <c r="A197" s="7">
        <f>DATE(YEAR(m2_crossvalid[[#This Row],[cutoff]]),MONTH(m2_crossvalid[[#This Row],[cutoff]]),DAY(m2_crossvalid[[#This Row],[cutoff]]))</f>
        <v>45838</v>
      </c>
      <c r="B197" s="7">
        <f>DATE(YEAR(m2_crossvalid[[#This Row],[ds]]),MONTH(m2_crossvalid[[#This Row],[ds]]),DAY(m2_crossvalid[[#This Row],[ds]]))</f>
        <v>45848</v>
      </c>
      <c r="C197">
        <v>2298</v>
      </c>
      <c r="D197" s="1">
        <v>45848.333333333336</v>
      </c>
      <c r="E197">
        <v>1718.9109980306162</v>
      </c>
      <c r="F197">
        <v>-407.82645874832264</v>
      </c>
      <c r="G197">
        <v>3595.6457420540373</v>
      </c>
      <c r="H197" s="1">
        <v>45838.333333333336</v>
      </c>
    </row>
    <row r="198" spans="1:8" x14ac:dyDescent="0.25">
      <c r="A198" s="7">
        <f>DATE(YEAR(m2_crossvalid[[#This Row],[cutoff]]),MONTH(m2_crossvalid[[#This Row],[cutoff]]),DAY(m2_crossvalid[[#This Row],[cutoff]]))</f>
        <v>45838</v>
      </c>
      <c r="B198" s="7">
        <f>DATE(YEAR(m2_crossvalid[[#This Row],[ds]]),MONTH(m2_crossvalid[[#This Row],[ds]]),DAY(m2_crossvalid[[#This Row],[ds]]))</f>
        <v>45849</v>
      </c>
      <c r="C198">
        <v>2183</v>
      </c>
      <c r="D198" s="1">
        <v>45849.333333333336</v>
      </c>
      <c r="E198">
        <v>1723.2234908242838</v>
      </c>
      <c r="F198">
        <v>-334.75666782052031</v>
      </c>
      <c r="G198">
        <v>3695.1355912303234</v>
      </c>
      <c r="H198" s="1">
        <v>45838.333333333336</v>
      </c>
    </row>
    <row r="199" spans="1:8" x14ac:dyDescent="0.25">
      <c r="A199" s="7">
        <f>DATE(YEAR(m2_crossvalid[[#This Row],[cutoff]]),MONTH(m2_crossvalid[[#This Row],[cutoff]]),DAY(m2_crossvalid[[#This Row],[cutoff]]))</f>
        <v>45838</v>
      </c>
      <c r="B199" s="7">
        <f>DATE(YEAR(m2_crossvalid[[#This Row],[ds]]),MONTH(m2_crossvalid[[#This Row],[ds]]),DAY(m2_crossvalid[[#This Row],[ds]]))</f>
        <v>45850</v>
      </c>
      <c r="C199">
        <v>462</v>
      </c>
      <c r="D199" s="1">
        <v>45850.333333333336</v>
      </c>
      <c r="E199">
        <v>-300.45515783218661</v>
      </c>
      <c r="F199">
        <v>-2266.403649570223</v>
      </c>
      <c r="G199">
        <v>1805.8441107065726</v>
      </c>
      <c r="H199" s="1">
        <v>45838.333333333336</v>
      </c>
    </row>
    <row r="200" spans="1:8" x14ac:dyDescent="0.25">
      <c r="A200" s="7">
        <f>DATE(YEAR(m2_crossvalid[[#This Row],[cutoff]]),MONTH(m2_crossvalid[[#This Row],[cutoff]]),DAY(m2_crossvalid[[#This Row],[cutoff]]))</f>
        <v>45838</v>
      </c>
      <c r="B200" s="7">
        <f>DATE(YEAR(m2_crossvalid[[#This Row],[ds]]),MONTH(m2_crossvalid[[#This Row],[ds]]),DAY(m2_crossvalid[[#This Row],[ds]]))</f>
        <v>45851</v>
      </c>
      <c r="C200">
        <v>114</v>
      </c>
      <c r="D200" s="1">
        <v>45851.333333333336</v>
      </c>
      <c r="E200">
        <v>-599.29037207144711</v>
      </c>
      <c r="F200">
        <v>-2548.1641460372252</v>
      </c>
      <c r="G200">
        <v>1358.276064657515</v>
      </c>
      <c r="H200" s="1">
        <v>45838.333333333336</v>
      </c>
    </row>
    <row r="201" spans="1:8" x14ac:dyDescent="0.25">
      <c r="A201" s="7">
        <f>DATE(YEAR(m2_crossvalid[[#This Row],[cutoff]]),MONTH(m2_crossvalid[[#This Row],[cutoff]]),DAY(m2_crossvalid[[#This Row],[cutoff]]))</f>
        <v>45838</v>
      </c>
      <c r="B201" s="7">
        <f>DATE(YEAR(m2_crossvalid[[#This Row],[ds]]),MONTH(m2_crossvalid[[#This Row],[ds]]),DAY(m2_crossvalid[[#This Row],[ds]]))</f>
        <v>45852</v>
      </c>
      <c r="C201">
        <v>2356</v>
      </c>
      <c r="D201" s="1">
        <v>45852.333333333336</v>
      </c>
      <c r="E201">
        <v>1835.1561666260302</v>
      </c>
      <c r="F201">
        <v>-55.657965126670618</v>
      </c>
      <c r="G201">
        <v>3781.4710792803435</v>
      </c>
      <c r="H201" s="1">
        <v>45838.333333333336</v>
      </c>
    </row>
    <row r="202" spans="1:8" x14ac:dyDescent="0.25">
      <c r="A202" s="7">
        <f>DATE(YEAR(m2_crossvalid[[#This Row],[cutoff]]),MONTH(m2_crossvalid[[#This Row],[cutoff]]),DAY(m2_crossvalid[[#This Row],[cutoff]]))</f>
        <v>45838</v>
      </c>
      <c r="B202" s="7">
        <f>DATE(YEAR(m2_crossvalid[[#This Row],[ds]]),MONTH(m2_crossvalid[[#This Row],[ds]]),DAY(m2_crossvalid[[#This Row],[ds]]))</f>
        <v>45853</v>
      </c>
      <c r="C202">
        <v>2694</v>
      </c>
      <c r="D202" s="1">
        <v>45853.333333333336</v>
      </c>
      <c r="E202">
        <v>2304.6267675434333</v>
      </c>
      <c r="F202">
        <v>517.01150194077377</v>
      </c>
      <c r="G202">
        <v>4309.5553462288581</v>
      </c>
      <c r="H202" s="1">
        <v>45838.333333333336</v>
      </c>
    </row>
    <row r="203" spans="1:8" x14ac:dyDescent="0.25">
      <c r="A203" s="7">
        <f>DATE(YEAR(m2_crossvalid[[#This Row],[cutoff]]),MONTH(m2_crossvalid[[#This Row],[cutoff]]),DAY(m2_crossvalid[[#This Row],[cutoff]]))</f>
        <v>45838</v>
      </c>
      <c r="B203" s="7">
        <f>DATE(YEAR(m2_crossvalid[[#This Row],[ds]]),MONTH(m2_crossvalid[[#This Row],[ds]]),DAY(m2_crossvalid[[#This Row],[ds]]))</f>
        <v>45854</v>
      </c>
      <c r="C203">
        <v>2796</v>
      </c>
      <c r="D203" s="1">
        <v>45854.333333333336</v>
      </c>
      <c r="E203">
        <v>2363.5544091678416</v>
      </c>
      <c r="F203">
        <v>310.25073207559473</v>
      </c>
      <c r="G203">
        <v>4328.2345587838518</v>
      </c>
      <c r="H203" s="1">
        <v>45838.333333333336</v>
      </c>
    </row>
    <row r="204" spans="1:8" x14ac:dyDescent="0.25">
      <c r="A204" s="7">
        <f>DATE(YEAR(m2_crossvalid[[#This Row],[cutoff]]),MONTH(m2_crossvalid[[#This Row],[cutoff]]),DAY(m2_crossvalid[[#This Row],[cutoff]]))</f>
        <v>45838</v>
      </c>
      <c r="B204" s="7">
        <f>DATE(YEAR(m2_crossvalid[[#This Row],[ds]]),MONTH(m2_crossvalid[[#This Row],[ds]]),DAY(m2_crossvalid[[#This Row],[ds]]))</f>
        <v>45855</v>
      </c>
      <c r="C204">
        <v>2972</v>
      </c>
      <c r="D204" s="1">
        <v>45855.333333333336</v>
      </c>
      <c r="E204">
        <v>2531.351437687199</v>
      </c>
      <c r="F204">
        <v>479.56869579631262</v>
      </c>
      <c r="G204">
        <v>4339.7881103332784</v>
      </c>
      <c r="H204" s="1">
        <v>45838.333333333336</v>
      </c>
    </row>
    <row r="205" spans="1:8" x14ac:dyDescent="0.25">
      <c r="A205" s="7">
        <f>DATE(YEAR(m2_crossvalid[[#This Row],[cutoff]]),MONTH(m2_crossvalid[[#This Row],[cutoff]]),DAY(m2_crossvalid[[#This Row],[cutoff]]))</f>
        <v>45838</v>
      </c>
      <c r="B205" s="7">
        <f>DATE(YEAR(m2_crossvalid[[#This Row],[ds]]),MONTH(m2_crossvalid[[#This Row],[ds]]),DAY(m2_crossvalid[[#This Row],[ds]]))</f>
        <v>45856</v>
      </c>
      <c r="C205">
        <v>2891</v>
      </c>
      <c r="D205" s="1">
        <v>45856.333333333336</v>
      </c>
      <c r="E205">
        <v>2758.6773267998597</v>
      </c>
      <c r="F205">
        <v>751.85310624790623</v>
      </c>
      <c r="G205">
        <v>4591.9174208329541</v>
      </c>
      <c r="H205" s="1">
        <v>45838.333333333336</v>
      </c>
    </row>
    <row r="206" spans="1:8" x14ac:dyDescent="0.25">
      <c r="A206" s="7">
        <f>DATE(YEAR(m2_crossvalid[[#This Row],[cutoff]]),MONTH(m2_crossvalid[[#This Row],[cutoff]]),DAY(m2_crossvalid[[#This Row],[cutoff]]))</f>
        <v>45838</v>
      </c>
      <c r="B206" s="7">
        <f>DATE(YEAR(m2_crossvalid[[#This Row],[ds]]),MONTH(m2_crossvalid[[#This Row],[ds]]),DAY(m2_crossvalid[[#This Row],[ds]]))</f>
        <v>45857</v>
      </c>
      <c r="C206">
        <v>521</v>
      </c>
      <c r="D206" s="1">
        <v>45857.333333333336</v>
      </c>
      <c r="E206">
        <v>666.25965757466474</v>
      </c>
      <c r="F206">
        <v>-1319.4782652938331</v>
      </c>
      <c r="G206">
        <v>2549.1378499954753</v>
      </c>
      <c r="H206" s="1">
        <v>45838.333333333336</v>
      </c>
    </row>
    <row r="207" spans="1:8" x14ac:dyDescent="0.25">
      <c r="A207" s="7">
        <f>DATE(YEAR(m2_crossvalid[[#This Row],[cutoff]]),MONTH(m2_crossvalid[[#This Row],[cutoff]]),DAY(m2_crossvalid[[#This Row],[cutoff]]))</f>
        <v>45838</v>
      </c>
      <c r="B207" s="7">
        <f>DATE(YEAR(m2_crossvalid[[#This Row],[ds]]),MONTH(m2_crossvalid[[#This Row],[ds]]),DAY(m2_crossvalid[[#This Row],[ds]]))</f>
        <v>45858</v>
      </c>
      <c r="C207">
        <v>189</v>
      </c>
      <c r="D207" s="1">
        <v>45858.333333333336</v>
      </c>
      <c r="E207">
        <v>99.428100146229554</v>
      </c>
      <c r="F207">
        <v>-1960.3244092209561</v>
      </c>
      <c r="G207">
        <v>2099.7874843428199</v>
      </c>
      <c r="H207" s="1">
        <v>45838.333333333336</v>
      </c>
    </row>
    <row r="208" spans="1:8" x14ac:dyDescent="0.25">
      <c r="A208" s="7">
        <f>DATE(YEAR(m2_crossvalid[[#This Row],[cutoff]]),MONTH(m2_crossvalid[[#This Row],[cutoff]]),DAY(m2_crossvalid[[#This Row],[cutoff]]))</f>
        <v>45838</v>
      </c>
      <c r="B208" s="7">
        <f>DATE(YEAR(m2_crossvalid[[#This Row],[ds]]),MONTH(m2_crossvalid[[#This Row],[ds]]),DAY(m2_crossvalid[[#This Row],[ds]]))</f>
        <v>45859</v>
      </c>
      <c r="C208">
        <v>2798</v>
      </c>
      <c r="D208" s="1">
        <v>45859.333333333336</v>
      </c>
      <c r="E208">
        <v>2362.1008784693267</v>
      </c>
      <c r="F208">
        <v>256.5407926514963</v>
      </c>
      <c r="G208">
        <v>4303.4902250473669</v>
      </c>
      <c r="H208" s="1">
        <v>45838.333333333336</v>
      </c>
    </row>
    <row r="209" spans="1:8" x14ac:dyDescent="0.25">
      <c r="A209" s="7">
        <f>DATE(YEAR(m2_crossvalid[[#This Row],[cutoff]]),MONTH(m2_crossvalid[[#This Row],[cutoff]]),DAY(m2_crossvalid[[#This Row],[cutoff]]))</f>
        <v>45838</v>
      </c>
      <c r="B209" s="7">
        <f>DATE(YEAR(m2_crossvalid[[#This Row],[ds]]),MONTH(m2_crossvalid[[#This Row],[ds]]),DAY(m2_crossvalid[[#This Row],[ds]]))</f>
        <v>45860</v>
      </c>
      <c r="C209">
        <v>2894</v>
      </c>
      <c r="D209" s="1">
        <v>45860.333333333336</v>
      </c>
      <c r="E209">
        <v>2945.8737760858717</v>
      </c>
      <c r="F209">
        <v>1012.6082339486455</v>
      </c>
      <c r="G209">
        <v>4923.2092906558637</v>
      </c>
      <c r="H209" s="1">
        <v>45838.333333333336</v>
      </c>
    </row>
    <row r="210" spans="1:8" x14ac:dyDescent="0.25">
      <c r="A210" s="7">
        <f>DATE(YEAR(m2_crossvalid[[#This Row],[cutoff]]),MONTH(m2_crossvalid[[#This Row],[cutoff]]),DAY(m2_crossvalid[[#This Row],[cutoff]]))</f>
        <v>45838</v>
      </c>
      <c r="B210" s="7">
        <f>DATE(YEAR(m2_crossvalid[[#This Row],[ds]]),MONTH(m2_crossvalid[[#This Row],[ds]]),DAY(m2_crossvalid[[#This Row],[ds]]))</f>
        <v>45861</v>
      </c>
      <c r="C210">
        <v>3299</v>
      </c>
      <c r="D210" s="1">
        <v>45861.333333333336</v>
      </c>
      <c r="E210">
        <v>3295.0365175378251</v>
      </c>
      <c r="F210">
        <v>1313.0996692359615</v>
      </c>
      <c r="G210">
        <v>5260.4918969842693</v>
      </c>
      <c r="H210" s="1">
        <v>45838.333333333336</v>
      </c>
    </row>
    <row r="211" spans="1:8" x14ac:dyDescent="0.25">
      <c r="A211" s="7">
        <f>DATE(YEAR(m2_crossvalid[[#This Row],[cutoff]]),MONTH(m2_crossvalid[[#This Row],[cutoff]]),DAY(m2_crossvalid[[#This Row],[cutoff]]))</f>
        <v>45838</v>
      </c>
      <c r="B211" s="7">
        <f>DATE(YEAR(m2_crossvalid[[#This Row],[ds]]),MONTH(m2_crossvalid[[#This Row],[ds]]),DAY(m2_crossvalid[[#This Row],[ds]]))</f>
        <v>45862</v>
      </c>
      <c r="C211">
        <v>3785</v>
      </c>
      <c r="D211" s="1">
        <v>45862.333333333336</v>
      </c>
      <c r="E211">
        <v>3634.1919285698887</v>
      </c>
      <c r="F211">
        <v>1757.4001997421954</v>
      </c>
      <c r="G211">
        <v>5640.2769490926339</v>
      </c>
      <c r="H211" s="1">
        <v>45838.333333333336</v>
      </c>
    </row>
    <row r="212" spans="1:8" x14ac:dyDescent="0.25">
      <c r="A212" s="7">
        <f>DATE(YEAR(m2_crossvalid[[#This Row],[cutoff]]),MONTH(m2_crossvalid[[#This Row],[cutoff]]),DAY(m2_crossvalid[[#This Row],[cutoff]]))</f>
        <v>45838</v>
      </c>
      <c r="B212" s="7">
        <f>DATE(YEAR(m2_crossvalid[[#This Row],[ds]]),MONTH(m2_crossvalid[[#This Row],[ds]]),DAY(m2_crossvalid[[#This Row],[ds]]))</f>
        <v>45863</v>
      </c>
      <c r="C212">
        <v>3663</v>
      </c>
      <c r="D212" s="1">
        <v>45863.333333333336</v>
      </c>
      <c r="E212">
        <v>3750.2205059370258</v>
      </c>
      <c r="F212">
        <v>1830.3543608017462</v>
      </c>
      <c r="G212">
        <v>5653.0916681944909</v>
      </c>
      <c r="H212" s="1">
        <v>45838.333333333336</v>
      </c>
    </row>
    <row r="213" spans="1:8" x14ac:dyDescent="0.25">
      <c r="A213" s="7">
        <f>DATE(YEAR(m2_crossvalid[[#This Row],[cutoff]]),MONTH(m2_crossvalid[[#This Row],[cutoff]]),DAY(m2_crossvalid[[#This Row],[cutoff]]))</f>
        <v>45838</v>
      </c>
      <c r="B213" s="7">
        <f>DATE(YEAR(m2_crossvalid[[#This Row],[ds]]),MONTH(m2_crossvalid[[#This Row],[ds]]),DAY(m2_crossvalid[[#This Row],[ds]]))</f>
        <v>45864</v>
      </c>
      <c r="C213">
        <v>901</v>
      </c>
      <c r="D213" s="1">
        <v>45864.333333333336</v>
      </c>
      <c r="E213">
        <v>1436.4830222265853</v>
      </c>
      <c r="F213">
        <v>-521.92914023336789</v>
      </c>
      <c r="G213">
        <v>3641.7180036285627</v>
      </c>
      <c r="H213" s="1">
        <v>45838.333333333336</v>
      </c>
    </row>
    <row r="214" spans="1:8" x14ac:dyDescent="0.25">
      <c r="A214" s="7">
        <f>DATE(YEAR(m2_crossvalid[[#This Row],[cutoff]]),MONTH(m2_crossvalid[[#This Row],[cutoff]]),DAY(m2_crossvalid[[#This Row],[cutoff]]))</f>
        <v>45838</v>
      </c>
      <c r="B214" s="7">
        <f>DATE(YEAR(m2_crossvalid[[#This Row],[ds]]),MONTH(m2_crossvalid[[#This Row],[ds]]),DAY(m2_crossvalid[[#This Row],[ds]]))</f>
        <v>45865</v>
      </c>
      <c r="C214">
        <v>262</v>
      </c>
      <c r="D214" s="1">
        <v>45865.333333333336</v>
      </c>
      <c r="E214">
        <v>927.56866883459156</v>
      </c>
      <c r="F214">
        <v>-1004.8260243131904</v>
      </c>
      <c r="G214">
        <v>2906.6551498517683</v>
      </c>
      <c r="H214" s="1">
        <v>45838.333333333336</v>
      </c>
    </row>
    <row r="215" spans="1:8" x14ac:dyDescent="0.25">
      <c r="A215" s="7">
        <f>DATE(YEAR(m2_crossvalid[[#This Row],[cutoff]]),MONTH(m2_crossvalid[[#This Row],[cutoff]]),DAY(m2_crossvalid[[#This Row],[cutoff]]))</f>
        <v>45838</v>
      </c>
      <c r="B215" s="7">
        <f>DATE(YEAR(m2_crossvalid[[#This Row],[ds]]),MONTH(m2_crossvalid[[#This Row],[ds]]),DAY(m2_crossvalid[[#This Row],[ds]]))</f>
        <v>45866</v>
      </c>
      <c r="C215">
        <v>4324</v>
      </c>
      <c r="D215" s="1">
        <v>45866.333333333336</v>
      </c>
      <c r="E215">
        <v>3777.4137089205979</v>
      </c>
      <c r="F215">
        <v>1789.8323710831892</v>
      </c>
      <c r="G215">
        <v>5850.3321839730434</v>
      </c>
      <c r="H215" s="1">
        <v>45838.333333333336</v>
      </c>
    </row>
    <row r="216" spans="1:8" x14ac:dyDescent="0.25">
      <c r="A216" s="7">
        <f>DATE(YEAR(m2_crossvalid[[#This Row],[cutoff]]),MONTH(m2_crossvalid[[#This Row],[cutoff]]),DAY(m2_crossvalid[[#This Row],[cutoff]]))</f>
        <v>45838</v>
      </c>
      <c r="B216" s="7">
        <f>DATE(YEAR(m2_crossvalid[[#This Row],[ds]]),MONTH(m2_crossvalid[[#This Row],[ds]]),DAY(m2_crossvalid[[#This Row],[ds]]))</f>
        <v>45867</v>
      </c>
      <c r="C216">
        <v>5336</v>
      </c>
      <c r="D216" s="1">
        <v>45867.333333333336</v>
      </c>
      <c r="E216">
        <v>5311.4827947286467</v>
      </c>
      <c r="F216">
        <v>3312.4545623964395</v>
      </c>
      <c r="G216">
        <v>7320.4095506291942</v>
      </c>
      <c r="H216" s="1">
        <v>45838.333333333336</v>
      </c>
    </row>
    <row r="217" spans="1:8" x14ac:dyDescent="0.25">
      <c r="A217" s="7">
        <f>DATE(YEAR(m2_crossvalid[[#This Row],[cutoff]]),MONTH(m2_crossvalid[[#This Row],[cutoff]]),DAY(m2_crossvalid[[#This Row],[cutoff]]))</f>
        <v>45838</v>
      </c>
      <c r="B217" s="7">
        <f>DATE(YEAR(m2_crossvalid[[#This Row],[ds]]),MONTH(m2_crossvalid[[#This Row],[ds]]),DAY(m2_crossvalid[[#This Row],[ds]]))</f>
        <v>45868</v>
      </c>
      <c r="C217">
        <v>8373</v>
      </c>
      <c r="D217" s="1">
        <v>45868.333333333336</v>
      </c>
      <c r="E217">
        <v>6445.6759439094385</v>
      </c>
      <c r="F217">
        <v>4437.1346387988833</v>
      </c>
      <c r="G217">
        <v>8302.6928128988184</v>
      </c>
      <c r="H217" s="1">
        <v>45838.333333333336</v>
      </c>
    </row>
    <row r="218" spans="1:8" x14ac:dyDescent="0.25">
      <c r="A218" s="7">
        <f>DATE(YEAR(m2_crossvalid[[#This Row],[cutoff]]),MONTH(m2_crossvalid[[#This Row],[cutoff]]),DAY(m2_crossvalid[[#This Row],[cutoff]]))</f>
        <v>45838</v>
      </c>
      <c r="B218" s="7">
        <f>DATE(YEAR(m2_crossvalid[[#This Row],[ds]]),MONTH(m2_crossvalid[[#This Row],[ds]]),DAY(m2_crossvalid[[#This Row],[ds]]))</f>
        <v>45869</v>
      </c>
      <c r="C218">
        <v>11889</v>
      </c>
      <c r="D218" s="1">
        <v>45869.333333333336</v>
      </c>
      <c r="E218">
        <v>6859.6117070319542</v>
      </c>
      <c r="F218">
        <v>4852.7536802964978</v>
      </c>
      <c r="G218">
        <v>8831.1300136411301</v>
      </c>
      <c r="H218" s="1">
        <v>45838.333333333336</v>
      </c>
    </row>
    <row r="219" spans="1:8" x14ac:dyDescent="0.25">
      <c r="A219" s="7">
        <f>DATE(YEAR(m2_crossvalid[[#This Row],[cutoff]]),MONTH(m2_crossvalid[[#This Row],[cutoff]]),DAY(m2_crossvalid[[#This Row],[cutoff]]))</f>
        <v>45869</v>
      </c>
      <c r="B219" s="7">
        <f>DATE(YEAR(m2_crossvalid[[#This Row],[ds]]),MONTH(m2_crossvalid[[#This Row],[ds]]),DAY(m2_crossvalid[[#This Row],[ds]]))</f>
        <v>45870</v>
      </c>
      <c r="C219">
        <v>761</v>
      </c>
      <c r="D219" s="1">
        <v>45870.333333333336</v>
      </c>
      <c r="E219">
        <v>6195.3470335379061</v>
      </c>
      <c r="F219">
        <v>4123.2948361702202</v>
      </c>
      <c r="G219">
        <v>8036.9155780949122</v>
      </c>
      <c r="H219" s="1">
        <v>45869.333333333336</v>
      </c>
    </row>
    <row r="220" spans="1:8" x14ac:dyDescent="0.25">
      <c r="A220" s="7">
        <f>DATE(YEAR(m2_crossvalid[[#This Row],[cutoff]]),MONTH(m2_crossvalid[[#This Row],[cutoff]]),DAY(m2_crossvalid[[#This Row],[cutoff]]))</f>
        <v>45869</v>
      </c>
      <c r="B220" s="7">
        <f>DATE(YEAR(m2_crossvalid[[#This Row],[ds]]),MONTH(m2_crossvalid[[#This Row],[ds]]),DAY(m2_crossvalid[[#This Row],[ds]]))</f>
        <v>45871</v>
      </c>
      <c r="C220">
        <v>74</v>
      </c>
      <c r="D220" s="1">
        <v>45871.333333333336</v>
      </c>
      <c r="E220">
        <v>2311.9534564839646</v>
      </c>
      <c r="F220">
        <v>396.9877945371677</v>
      </c>
      <c r="G220">
        <v>4409.7383612888407</v>
      </c>
      <c r="H220" s="1">
        <v>45869.333333333336</v>
      </c>
    </row>
    <row r="221" spans="1:8" x14ac:dyDescent="0.25">
      <c r="A221" s="7">
        <f>DATE(YEAR(m2_crossvalid[[#This Row],[cutoff]]),MONTH(m2_crossvalid[[#This Row],[cutoff]]),DAY(m2_crossvalid[[#This Row],[cutoff]]))</f>
        <v>45869</v>
      </c>
      <c r="B221" s="7">
        <f>DATE(YEAR(m2_crossvalid[[#This Row],[ds]]),MONTH(m2_crossvalid[[#This Row],[ds]]),DAY(m2_crossvalid[[#This Row],[ds]]))</f>
        <v>45872</v>
      </c>
      <c r="C221">
        <v>28</v>
      </c>
      <c r="D221" s="1">
        <v>45872.333333333336</v>
      </c>
      <c r="E221">
        <v>-3.6177648951720585</v>
      </c>
      <c r="F221">
        <v>-1895.0361895614492</v>
      </c>
      <c r="G221">
        <v>1988.6856771569403</v>
      </c>
      <c r="H221" s="1">
        <v>45869.333333333336</v>
      </c>
    </row>
    <row r="222" spans="1:8" x14ac:dyDescent="0.25">
      <c r="A222" s="7">
        <f>DATE(YEAR(m2_crossvalid[[#This Row],[cutoff]]),MONTH(m2_crossvalid[[#This Row],[cutoff]]),DAY(m2_crossvalid[[#This Row],[cutoff]]))</f>
        <v>45869</v>
      </c>
      <c r="B222" s="7">
        <f>DATE(YEAR(m2_crossvalid[[#This Row],[ds]]),MONTH(m2_crossvalid[[#This Row],[ds]]),DAY(m2_crossvalid[[#This Row],[ds]]))</f>
        <v>45873</v>
      </c>
      <c r="C222">
        <v>912</v>
      </c>
      <c r="D222" s="1">
        <v>45873.333333333336</v>
      </c>
      <c r="E222">
        <v>1186.6737435693933</v>
      </c>
      <c r="F222">
        <v>-863.14978601017106</v>
      </c>
      <c r="G222">
        <v>3272.2165263626421</v>
      </c>
      <c r="H222" s="1">
        <v>45869.333333333336</v>
      </c>
    </row>
    <row r="223" spans="1:8" x14ac:dyDescent="0.25">
      <c r="A223" s="7">
        <f>DATE(YEAR(m2_crossvalid[[#This Row],[cutoff]]),MONTH(m2_crossvalid[[#This Row],[cutoff]]),DAY(m2_crossvalid[[#This Row],[cutoff]]))</f>
        <v>45869</v>
      </c>
      <c r="B223" s="7">
        <f>DATE(YEAR(m2_crossvalid[[#This Row],[ds]]),MONTH(m2_crossvalid[[#This Row],[ds]]),DAY(m2_crossvalid[[#This Row],[ds]]))</f>
        <v>45874</v>
      </c>
      <c r="C223">
        <v>2022</v>
      </c>
      <c r="D223" s="1">
        <v>45874.333333333336</v>
      </c>
      <c r="E223">
        <v>1397.8946106514513</v>
      </c>
      <c r="F223">
        <v>-568.97005896472331</v>
      </c>
      <c r="G223">
        <v>3497.1859740220534</v>
      </c>
      <c r="H223" s="1">
        <v>45869.333333333336</v>
      </c>
    </row>
    <row r="224" spans="1:8" x14ac:dyDescent="0.25">
      <c r="A224" s="7">
        <f>DATE(YEAR(m2_crossvalid[[#This Row],[cutoff]]),MONTH(m2_crossvalid[[#This Row],[cutoff]]),DAY(m2_crossvalid[[#This Row],[cutoff]]))</f>
        <v>45869</v>
      </c>
      <c r="B224" s="7">
        <f>DATE(YEAR(m2_crossvalid[[#This Row],[ds]]),MONTH(m2_crossvalid[[#This Row],[ds]]),DAY(m2_crossvalid[[#This Row],[ds]]))</f>
        <v>45875</v>
      </c>
      <c r="C224">
        <v>1344</v>
      </c>
      <c r="D224" s="1">
        <v>45875.333333333336</v>
      </c>
      <c r="E224">
        <v>1805.2894229287053</v>
      </c>
      <c r="F224">
        <v>-176.99648682924752</v>
      </c>
      <c r="G224">
        <v>3754.6256868002192</v>
      </c>
      <c r="H224" s="1">
        <v>45869.333333333336</v>
      </c>
    </row>
    <row r="225" spans="1:8" x14ac:dyDescent="0.25">
      <c r="A225" s="7">
        <f>DATE(YEAR(m2_crossvalid[[#This Row],[cutoff]]),MONTH(m2_crossvalid[[#This Row],[cutoff]]),DAY(m2_crossvalid[[#This Row],[cutoff]]))</f>
        <v>45869</v>
      </c>
      <c r="B225" s="7">
        <f>DATE(YEAR(m2_crossvalid[[#This Row],[ds]]),MONTH(m2_crossvalid[[#This Row],[ds]]),DAY(m2_crossvalid[[#This Row],[ds]]))</f>
        <v>45876</v>
      </c>
      <c r="C225">
        <v>1585</v>
      </c>
      <c r="D225" s="1">
        <v>45876.333333333336</v>
      </c>
      <c r="E225">
        <v>2223.6150420459458</v>
      </c>
      <c r="F225">
        <v>257.52944803086922</v>
      </c>
      <c r="G225">
        <v>4217.3126177551158</v>
      </c>
      <c r="H225" s="1">
        <v>45869.333333333336</v>
      </c>
    </row>
    <row r="226" spans="1:8" x14ac:dyDescent="0.25">
      <c r="A226" s="7">
        <f>DATE(YEAR(m2_crossvalid[[#This Row],[cutoff]]),MONTH(m2_crossvalid[[#This Row],[cutoff]]),DAY(m2_crossvalid[[#This Row],[cutoff]]))</f>
        <v>45869</v>
      </c>
      <c r="B226" s="7">
        <f>DATE(YEAR(m2_crossvalid[[#This Row],[ds]]),MONTH(m2_crossvalid[[#This Row],[ds]]),DAY(m2_crossvalid[[#This Row],[ds]]))</f>
        <v>45877</v>
      </c>
      <c r="C226">
        <v>2032</v>
      </c>
      <c r="D226" s="1">
        <v>45877.333333333336</v>
      </c>
      <c r="E226">
        <v>2289.6233700694202</v>
      </c>
      <c r="F226">
        <v>385.35770356723464</v>
      </c>
      <c r="G226">
        <v>4343.7730221441225</v>
      </c>
      <c r="H226" s="1">
        <v>45869.333333333336</v>
      </c>
    </row>
    <row r="227" spans="1:8" x14ac:dyDescent="0.25">
      <c r="A227" s="7">
        <f>DATE(YEAR(m2_crossvalid[[#This Row],[cutoff]]),MONTH(m2_crossvalid[[#This Row],[cutoff]]),DAY(m2_crossvalid[[#This Row],[cutoff]]))</f>
        <v>45869</v>
      </c>
      <c r="B227" s="7">
        <f>DATE(YEAR(m2_crossvalid[[#This Row],[ds]]),MONTH(m2_crossvalid[[#This Row],[ds]]),DAY(m2_crossvalid[[#This Row],[ds]]))</f>
        <v>45878</v>
      </c>
      <c r="C227">
        <v>327</v>
      </c>
      <c r="D227" s="1">
        <v>45878.333333333336</v>
      </c>
      <c r="E227">
        <v>-54.108047593590982</v>
      </c>
      <c r="F227">
        <v>-1957.5336964422418</v>
      </c>
      <c r="G227">
        <v>1777.8222139540312</v>
      </c>
      <c r="H227" s="1">
        <v>45869.333333333336</v>
      </c>
    </row>
    <row r="228" spans="1:8" x14ac:dyDescent="0.25">
      <c r="A228" s="7">
        <f>DATE(YEAR(m2_crossvalid[[#This Row],[cutoff]]),MONTH(m2_crossvalid[[#This Row],[cutoff]]),DAY(m2_crossvalid[[#This Row],[cutoff]]))</f>
        <v>45869</v>
      </c>
      <c r="B228" s="7">
        <f>DATE(YEAR(m2_crossvalid[[#This Row],[ds]]),MONTH(m2_crossvalid[[#This Row],[ds]]),DAY(m2_crossvalid[[#This Row],[ds]]))</f>
        <v>45879</v>
      </c>
      <c r="C228">
        <v>78</v>
      </c>
      <c r="D228" s="1">
        <v>45879.333333333336</v>
      </c>
      <c r="E228">
        <v>-655.30575588264628</v>
      </c>
      <c r="F228">
        <v>-2676.4532851661756</v>
      </c>
      <c r="G228">
        <v>1301.5663709191683</v>
      </c>
      <c r="H228" s="1">
        <v>45869.333333333336</v>
      </c>
    </row>
    <row r="229" spans="1:8" x14ac:dyDescent="0.25">
      <c r="A229" s="7">
        <f>DATE(YEAR(m2_crossvalid[[#This Row],[cutoff]]),MONTH(m2_crossvalid[[#This Row],[cutoff]]),DAY(m2_crossvalid[[#This Row],[cutoff]]))</f>
        <v>45869</v>
      </c>
      <c r="B229" s="7">
        <f>DATE(YEAR(m2_crossvalid[[#This Row],[ds]]),MONTH(m2_crossvalid[[#This Row],[ds]]),DAY(m2_crossvalid[[#This Row],[ds]]))</f>
        <v>45880</v>
      </c>
      <c r="C229">
        <v>2043</v>
      </c>
      <c r="D229" s="1">
        <v>45880.333333333336</v>
      </c>
      <c r="E229">
        <v>1817.7529781263388</v>
      </c>
      <c r="F229">
        <v>-220.46014124925438</v>
      </c>
      <c r="G229">
        <v>3806.1649744157348</v>
      </c>
      <c r="H229" s="1">
        <v>45869.333333333336</v>
      </c>
    </row>
    <row r="230" spans="1:8" x14ac:dyDescent="0.25">
      <c r="A230" s="7">
        <f>DATE(YEAR(m2_crossvalid[[#This Row],[cutoff]]),MONTH(m2_crossvalid[[#This Row],[cutoff]]),DAY(m2_crossvalid[[#This Row],[cutoff]]))</f>
        <v>45869</v>
      </c>
      <c r="B230" s="7">
        <f>DATE(YEAR(m2_crossvalid[[#This Row],[ds]]),MONTH(m2_crossvalid[[#This Row],[ds]]),DAY(m2_crossvalid[[#This Row],[ds]]))</f>
        <v>45881</v>
      </c>
      <c r="C230">
        <v>2431</v>
      </c>
      <c r="D230" s="1">
        <v>45881.333333333336</v>
      </c>
      <c r="E230">
        <v>2523.5864969198883</v>
      </c>
      <c r="F230">
        <v>514.51581802004728</v>
      </c>
      <c r="G230">
        <v>4546.483258257309</v>
      </c>
      <c r="H230" s="1">
        <v>45869.333333333336</v>
      </c>
    </row>
    <row r="231" spans="1:8" x14ac:dyDescent="0.25">
      <c r="A231" s="7">
        <f>DATE(YEAR(m2_crossvalid[[#This Row],[cutoff]]),MONTH(m2_crossvalid[[#This Row],[cutoff]]),DAY(m2_crossvalid[[#This Row],[cutoff]]))</f>
        <v>45869</v>
      </c>
      <c r="B231" s="7">
        <f>DATE(YEAR(m2_crossvalid[[#This Row],[ds]]),MONTH(m2_crossvalid[[#This Row],[ds]]),DAY(m2_crossvalid[[#This Row],[ds]]))</f>
        <v>45882</v>
      </c>
      <c r="C231">
        <v>2484</v>
      </c>
      <c r="D231" s="1">
        <v>45882.333333333336</v>
      </c>
      <c r="E231">
        <v>2753.027120531191</v>
      </c>
      <c r="F231">
        <v>850.92960304402618</v>
      </c>
      <c r="G231">
        <v>4663.5125079433337</v>
      </c>
      <c r="H231" s="1">
        <v>45869.333333333336</v>
      </c>
    </row>
    <row r="232" spans="1:8" x14ac:dyDescent="0.25">
      <c r="A232" s="7">
        <f>DATE(YEAR(m2_crossvalid[[#This Row],[cutoff]]),MONTH(m2_crossvalid[[#This Row],[cutoff]]),DAY(m2_crossvalid[[#This Row],[cutoff]]))</f>
        <v>45869</v>
      </c>
      <c r="B232" s="7">
        <f>DATE(YEAR(m2_crossvalid[[#This Row],[ds]]),MONTH(m2_crossvalid[[#This Row],[ds]]),DAY(m2_crossvalid[[#This Row],[ds]]))</f>
        <v>45883</v>
      </c>
      <c r="C232">
        <v>2669</v>
      </c>
      <c r="D232" s="1">
        <v>45883.333333333336</v>
      </c>
      <c r="E232">
        <v>2788.8834960445311</v>
      </c>
      <c r="F232">
        <v>769.83789104729885</v>
      </c>
      <c r="G232">
        <v>4814.8094620171296</v>
      </c>
      <c r="H232" s="1">
        <v>45869.333333333336</v>
      </c>
    </row>
    <row r="233" spans="1:8" x14ac:dyDescent="0.25">
      <c r="A233" s="7">
        <f>DATE(YEAR(m2_crossvalid[[#This Row],[cutoff]]),MONTH(m2_crossvalid[[#This Row],[cutoff]]),DAY(m2_crossvalid[[#This Row],[cutoff]]))</f>
        <v>45869</v>
      </c>
      <c r="B233" s="7">
        <f>DATE(YEAR(m2_crossvalid[[#This Row],[ds]]),MONTH(m2_crossvalid[[#This Row],[ds]]),DAY(m2_crossvalid[[#This Row],[ds]]))</f>
        <v>45884</v>
      </c>
      <c r="C233">
        <v>3160</v>
      </c>
      <c r="D233" s="1">
        <v>45884.333333333336</v>
      </c>
      <c r="E233">
        <v>2710.7188566114596</v>
      </c>
      <c r="F233">
        <v>875.33090519451594</v>
      </c>
      <c r="G233">
        <v>4556.1617329028195</v>
      </c>
      <c r="H233" s="1">
        <v>45869.333333333336</v>
      </c>
    </row>
    <row r="234" spans="1:8" x14ac:dyDescent="0.25">
      <c r="A234" s="7">
        <f>DATE(YEAR(m2_crossvalid[[#This Row],[cutoff]]),MONTH(m2_crossvalid[[#This Row],[cutoff]]),DAY(m2_crossvalid[[#This Row],[cutoff]]))</f>
        <v>45869</v>
      </c>
      <c r="B234" s="7">
        <f>DATE(YEAR(m2_crossvalid[[#This Row],[ds]]),MONTH(m2_crossvalid[[#This Row],[ds]]),DAY(m2_crossvalid[[#This Row],[ds]]))</f>
        <v>45885</v>
      </c>
      <c r="C234">
        <v>560</v>
      </c>
      <c r="D234" s="1">
        <v>45885.333333333336</v>
      </c>
      <c r="E234">
        <v>556.64872067171632</v>
      </c>
      <c r="F234">
        <v>-1481.1628666719794</v>
      </c>
      <c r="G234">
        <v>2592.8028409001795</v>
      </c>
      <c r="H234" s="1">
        <v>45869.333333333336</v>
      </c>
    </row>
    <row r="235" spans="1:8" x14ac:dyDescent="0.25">
      <c r="A235" s="7">
        <f>DATE(YEAR(m2_crossvalid[[#This Row],[cutoff]]),MONTH(m2_crossvalid[[#This Row],[cutoff]]),DAY(m2_crossvalid[[#This Row],[cutoff]]))</f>
        <v>45869</v>
      </c>
      <c r="B235" s="7">
        <f>DATE(YEAR(m2_crossvalid[[#This Row],[ds]]),MONTH(m2_crossvalid[[#This Row],[ds]]),DAY(m2_crossvalid[[#This Row],[ds]]))</f>
        <v>45886</v>
      </c>
      <c r="C235">
        <v>166</v>
      </c>
      <c r="D235" s="1">
        <v>45886.333333333336</v>
      </c>
      <c r="E235">
        <v>226.28927792950662</v>
      </c>
      <c r="F235">
        <v>-1645.6583467240855</v>
      </c>
      <c r="G235">
        <v>2118.5524202140855</v>
      </c>
      <c r="H235" s="1">
        <v>45869.333333333336</v>
      </c>
    </row>
    <row r="236" spans="1:8" x14ac:dyDescent="0.25">
      <c r="A236" s="7">
        <f>DATE(YEAR(m2_crossvalid[[#This Row],[cutoff]]),MONTH(m2_crossvalid[[#This Row],[cutoff]]),DAY(m2_crossvalid[[#This Row],[cutoff]]))</f>
        <v>45869</v>
      </c>
      <c r="B236" s="7">
        <f>DATE(YEAR(m2_crossvalid[[#This Row],[ds]]),MONTH(m2_crossvalid[[#This Row],[ds]]),DAY(m2_crossvalid[[#This Row],[ds]]))</f>
        <v>45887</v>
      </c>
      <c r="C236">
        <v>3003</v>
      </c>
      <c r="D236" s="1">
        <v>45887.333333333336</v>
      </c>
      <c r="E236">
        <v>2747.0307672394729</v>
      </c>
      <c r="F236">
        <v>760.18524759210595</v>
      </c>
      <c r="G236">
        <v>4667.337071115141</v>
      </c>
      <c r="H236" s="1">
        <v>45869.333333333336</v>
      </c>
    </row>
    <row r="237" spans="1:8" x14ac:dyDescent="0.25">
      <c r="A237" s="7">
        <f>DATE(YEAR(m2_crossvalid[[#This Row],[cutoff]]),MONTH(m2_crossvalid[[#This Row],[cutoff]]),DAY(m2_crossvalid[[#This Row],[cutoff]]))</f>
        <v>45869</v>
      </c>
      <c r="B237" s="7">
        <f>DATE(YEAR(m2_crossvalid[[#This Row],[ds]]),MONTH(m2_crossvalid[[#This Row],[ds]]),DAY(m2_crossvalid[[#This Row],[ds]]))</f>
        <v>45888</v>
      </c>
      <c r="C237">
        <v>3182</v>
      </c>
      <c r="D237" s="1">
        <v>45888.333333333336</v>
      </c>
      <c r="E237">
        <v>3227.3419565704598</v>
      </c>
      <c r="F237">
        <v>1179.8140442761348</v>
      </c>
      <c r="G237">
        <v>5175.0017156627709</v>
      </c>
      <c r="H237" s="1">
        <v>45869.333333333336</v>
      </c>
    </row>
    <row r="238" spans="1:8" x14ac:dyDescent="0.25">
      <c r="A238" s="7">
        <f>DATE(YEAR(m2_crossvalid[[#This Row],[cutoff]]),MONTH(m2_crossvalid[[#This Row],[cutoff]]),DAY(m2_crossvalid[[#This Row],[cutoff]]))</f>
        <v>45869</v>
      </c>
      <c r="B238" s="7">
        <f>DATE(YEAR(m2_crossvalid[[#This Row],[ds]]),MONTH(m2_crossvalid[[#This Row],[ds]]),DAY(m2_crossvalid[[#This Row],[ds]]))</f>
        <v>45889</v>
      </c>
      <c r="C238">
        <v>3745</v>
      </c>
      <c r="D238" s="1">
        <v>45889.333333333336</v>
      </c>
      <c r="E238">
        <v>3195.5460548012943</v>
      </c>
      <c r="F238">
        <v>1174.4202729852186</v>
      </c>
      <c r="G238">
        <v>5181.1460077320598</v>
      </c>
      <c r="H238" s="1">
        <v>45869.333333333336</v>
      </c>
    </row>
    <row r="239" spans="1:8" x14ac:dyDescent="0.25">
      <c r="A239" s="7">
        <f>DATE(YEAR(m2_crossvalid[[#This Row],[cutoff]]),MONTH(m2_crossvalid[[#This Row],[cutoff]]),DAY(m2_crossvalid[[#This Row],[cutoff]]))</f>
        <v>45869</v>
      </c>
      <c r="B239" s="7">
        <f>DATE(YEAR(m2_crossvalid[[#This Row],[ds]]),MONTH(m2_crossvalid[[#This Row],[ds]]),DAY(m2_crossvalid[[#This Row],[ds]]))</f>
        <v>45890</v>
      </c>
      <c r="C239">
        <v>3754</v>
      </c>
      <c r="D239" s="1">
        <v>45890.333333333336</v>
      </c>
      <c r="E239">
        <v>3205.8234403706529</v>
      </c>
      <c r="F239">
        <v>1223.147697162196</v>
      </c>
      <c r="G239">
        <v>5138.5690194709287</v>
      </c>
      <c r="H239" s="1">
        <v>45869.333333333336</v>
      </c>
    </row>
    <row r="240" spans="1:8" x14ac:dyDescent="0.25">
      <c r="A240" s="7">
        <f>DATE(YEAR(m2_crossvalid[[#This Row],[cutoff]]),MONTH(m2_crossvalid[[#This Row],[cutoff]]),DAY(m2_crossvalid[[#This Row],[cutoff]]))</f>
        <v>45869</v>
      </c>
      <c r="B240" s="7">
        <f>DATE(YEAR(m2_crossvalid[[#This Row],[ds]]),MONTH(m2_crossvalid[[#This Row],[ds]]),DAY(m2_crossvalid[[#This Row],[ds]]))</f>
        <v>45891</v>
      </c>
      <c r="C240">
        <v>3741</v>
      </c>
      <c r="D240" s="1">
        <v>45891.333333333336</v>
      </c>
      <c r="E240">
        <v>3362.7741798085326</v>
      </c>
      <c r="F240">
        <v>1458.9197454741036</v>
      </c>
      <c r="G240">
        <v>5316.409573541554</v>
      </c>
      <c r="H240" s="1">
        <v>45869.333333333336</v>
      </c>
    </row>
    <row r="241" spans="1:8" x14ac:dyDescent="0.25">
      <c r="A241" s="7">
        <f>DATE(YEAR(m2_crossvalid[[#This Row],[cutoff]]),MONTH(m2_crossvalid[[#This Row],[cutoff]]),DAY(m2_crossvalid[[#This Row],[cutoff]]))</f>
        <v>45869</v>
      </c>
      <c r="B241" s="7">
        <f>DATE(YEAR(m2_crossvalid[[#This Row],[ds]]),MONTH(m2_crossvalid[[#This Row],[ds]]),DAY(m2_crossvalid[[#This Row],[ds]]))</f>
        <v>45892</v>
      </c>
      <c r="C241">
        <v>761</v>
      </c>
      <c r="D241" s="1">
        <v>45892.333333333336</v>
      </c>
      <c r="E241">
        <v>1457.5252300840561</v>
      </c>
      <c r="F241">
        <v>-514.09192413600033</v>
      </c>
      <c r="G241">
        <v>3397.5191677256335</v>
      </c>
      <c r="H241" s="1">
        <v>45869.333333333336</v>
      </c>
    </row>
    <row r="242" spans="1:8" x14ac:dyDescent="0.25">
      <c r="A242" s="7">
        <f>DATE(YEAR(m2_crossvalid[[#This Row],[cutoff]]),MONTH(m2_crossvalid[[#This Row],[cutoff]]),DAY(m2_crossvalid[[#This Row],[cutoff]]))</f>
        <v>45869</v>
      </c>
      <c r="B242" s="7">
        <f>DATE(YEAR(m2_crossvalid[[#This Row],[ds]]),MONTH(m2_crossvalid[[#This Row],[ds]]),DAY(m2_crossvalid[[#This Row],[ds]]))</f>
        <v>45893</v>
      </c>
      <c r="C242">
        <v>239</v>
      </c>
      <c r="D242" s="1">
        <v>45893.333333333336</v>
      </c>
      <c r="E242">
        <v>1129.5541249857658</v>
      </c>
      <c r="F242">
        <v>-838.65336185322951</v>
      </c>
      <c r="G242">
        <v>3143.6631487206805</v>
      </c>
      <c r="H242" s="1">
        <v>45869.333333333336</v>
      </c>
    </row>
    <row r="243" spans="1:8" x14ac:dyDescent="0.25">
      <c r="A243" s="7">
        <f>DATE(YEAR(m2_crossvalid[[#This Row],[cutoff]]),MONTH(m2_crossvalid[[#This Row],[cutoff]]),DAY(m2_crossvalid[[#This Row],[cutoff]]))</f>
        <v>45869</v>
      </c>
      <c r="B243" s="7">
        <f>DATE(YEAR(m2_crossvalid[[#This Row],[ds]]),MONTH(m2_crossvalid[[#This Row],[ds]]),DAY(m2_crossvalid[[#This Row],[ds]]))</f>
        <v>45894</v>
      </c>
      <c r="C243">
        <v>3838</v>
      </c>
      <c r="D243" s="1">
        <v>45894.333333333336</v>
      </c>
      <c r="E243">
        <v>3424.977725859053</v>
      </c>
      <c r="F243">
        <v>1482.3479998129139</v>
      </c>
      <c r="G243">
        <v>5303.0137940330751</v>
      </c>
      <c r="H243" s="1">
        <v>45869.333333333336</v>
      </c>
    </row>
    <row r="244" spans="1:8" x14ac:dyDescent="0.25">
      <c r="A244" s="7">
        <f>DATE(YEAR(m2_crossvalid[[#This Row],[cutoff]]),MONTH(m2_crossvalid[[#This Row],[cutoff]]),DAY(m2_crossvalid[[#This Row],[cutoff]]))</f>
        <v>45869</v>
      </c>
      <c r="B244" s="7">
        <f>DATE(YEAR(m2_crossvalid[[#This Row],[ds]]),MONTH(m2_crossvalid[[#This Row],[ds]]),DAY(m2_crossvalid[[#This Row],[ds]]))</f>
        <v>45895</v>
      </c>
      <c r="C244">
        <v>5214</v>
      </c>
      <c r="D244" s="1">
        <v>45895.333333333336</v>
      </c>
      <c r="E244">
        <v>3781.8516086152113</v>
      </c>
      <c r="F244">
        <v>1714.1646291986206</v>
      </c>
      <c r="G244">
        <v>5635.8272099019741</v>
      </c>
      <c r="H244" s="1">
        <v>45869.333333333336</v>
      </c>
    </row>
    <row r="245" spans="1:8" x14ac:dyDescent="0.25">
      <c r="A245" s="7">
        <f>DATE(YEAR(m2_crossvalid[[#This Row],[cutoff]]),MONTH(m2_crossvalid[[#This Row],[cutoff]]),DAY(m2_crossvalid[[#This Row],[cutoff]]))</f>
        <v>45869</v>
      </c>
      <c r="B245" s="7">
        <f>DATE(YEAR(m2_crossvalid[[#This Row],[ds]]),MONTH(m2_crossvalid[[#This Row],[ds]]),DAY(m2_crossvalid[[#This Row],[ds]]))</f>
        <v>45896</v>
      </c>
      <c r="C245">
        <v>5989</v>
      </c>
      <c r="D245" s="1">
        <v>45896.333333333336</v>
      </c>
      <c r="E245">
        <v>4087.500411062179</v>
      </c>
      <c r="F245">
        <v>2222.4342567727749</v>
      </c>
      <c r="G245">
        <v>6055.3739842884006</v>
      </c>
      <c r="H245" s="1">
        <v>45869.333333333336</v>
      </c>
    </row>
    <row r="246" spans="1:8" x14ac:dyDescent="0.25">
      <c r="A246" s="7">
        <f>DATE(YEAR(m2_crossvalid[[#This Row],[cutoff]]),MONTH(m2_crossvalid[[#This Row],[cutoff]]),DAY(m2_crossvalid[[#This Row],[cutoff]]))</f>
        <v>45869</v>
      </c>
      <c r="B246" s="7">
        <f>DATE(YEAR(m2_crossvalid[[#This Row],[ds]]),MONTH(m2_crossvalid[[#This Row],[ds]]),DAY(m2_crossvalid[[#This Row],[ds]]))</f>
        <v>45897</v>
      </c>
      <c r="C246">
        <v>7115</v>
      </c>
      <c r="D246" s="1">
        <v>45897.333333333336</v>
      </c>
      <c r="E246">
        <v>4931.9442916372391</v>
      </c>
      <c r="F246">
        <v>2956.8731959180573</v>
      </c>
      <c r="G246">
        <v>7043.4779283894004</v>
      </c>
      <c r="H246" s="1">
        <v>45869.333333333336</v>
      </c>
    </row>
    <row r="247" spans="1:8" x14ac:dyDescent="0.25">
      <c r="A247" s="7">
        <f>DATE(YEAR(m2_crossvalid[[#This Row],[cutoff]]),MONTH(m2_crossvalid[[#This Row],[cutoff]]),DAY(m2_crossvalid[[#This Row],[cutoff]]))</f>
        <v>45869</v>
      </c>
      <c r="B247" s="7">
        <f>DATE(YEAR(m2_crossvalid[[#This Row],[ds]]),MONTH(m2_crossvalid[[#This Row],[ds]]),DAY(m2_crossvalid[[#This Row],[ds]]))</f>
        <v>45898</v>
      </c>
      <c r="C247">
        <v>9571</v>
      </c>
      <c r="D247" s="1">
        <v>45898.333333333336</v>
      </c>
      <c r="E247">
        <v>6025.2131846386683</v>
      </c>
      <c r="F247">
        <v>4125.0066785748868</v>
      </c>
      <c r="G247">
        <v>8111.9772301278554</v>
      </c>
      <c r="H247" s="1">
        <v>45869.333333333336</v>
      </c>
    </row>
    <row r="248" spans="1:8" x14ac:dyDescent="0.25">
      <c r="A248" s="7">
        <f>DATE(YEAR(m2_crossvalid[[#This Row],[cutoff]]),MONTH(m2_crossvalid[[#This Row],[cutoff]]),DAY(m2_crossvalid[[#This Row],[cutoff]]))</f>
        <v>45869</v>
      </c>
      <c r="B248" s="7">
        <f>DATE(YEAR(m2_crossvalid[[#This Row],[ds]]),MONTH(m2_crossvalid[[#This Row],[ds]]),DAY(m2_crossvalid[[#This Row],[ds]]))</f>
        <v>45899</v>
      </c>
      <c r="C248">
        <v>5764</v>
      </c>
      <c r="D248" s="1">
        <v>45899.333333333336</v>
      </c>
      <c r="E248">
        <v>4573.1445356757467</v>
      </c>
      <c r="F248">
        <v>2537.8695571028934</v>
      </c>
      <c r="G248">
        <v>6465.2445348240581</v>
      </c>
      <c r="H248" s="1">
        <v>45869.333333333336</v>
      </c>
    </row>
    <row r="249" spans="1:8" x14ac:dyDescent="0.25">
      <c r="A249" s="7">
        <f>DATE(YEAR(m2_crossvalid[[#This Row],[cutoff]]),MONTH(m2_crossvalid[[#This Row],[cutoff]]),DAY(m2_crossvalid[[#This Row],[cutoff]]))</f>
        <v>45869</v>
      </c>
      <c r="B249" s="7">
        <f>DATE(YEAR(m2_crossvalid[[#This Row],[ds]]),MONTH(m2_crossvalid[[#This Row],[ds]]),DAY(m2_crossvalid[[#This Row],[ds]]))</f>
        <v>45900</v>
      </c>
      <c r="C249">
        <v>386</v>
      </c>
      <c r="D249" s="1">
        <v>45900.333333333336</v>
      </c>
      <c r="E249">
        <v>3826.089457889907</v>
      </c>
      <c r="F249">
        <v>1930.6778287550733</v>
      </c>
      <c r="G249">
        <v>5875.5915060333782</v>
      </c>
      <c r="H249" s="1">
        <v>45869.333333333336</v>
      </c>
    </row>
    <row r="250" spans="1:8" x14ac:dyDescent="0.25">
      <c r="A250" s="7">
        <f>DATE(YEAR(m2_crossvalid[[#This Row],[cutoff]]),MONTH(m2_crossvalid[[#This Row],[cutoff]]),DAY(m2_crossvalid[[#This Row],[cutoff]]))</f>
        <v>45900</v>
      </c>
      <c r="B250" s="7">
        <f>DATE(YEAR(m2_crossvalid[[#This Row],[ds]]),MONTH(m2_crossvalid[[#This Row],[ds]]),DAY(m2_crossvalid[[#This Row],[ds]]))</f>
        <v>45901</v>
      </c>
      <c r="C250">
        <v>34</v>
      </c>
      <c r="D250" s="1">
        <v>45901.333333333336</v>
      </c>
      <c r="E250">
        <v>4895.3549551678279</v>
      </c>
      <c r="F250">
        <v>2852.078003667998</v>
      </c>
      <c r="G250">
        <v>6818.2082603622157</v>
      </c>
      <c r="H250" s="1">
        <v>45900.333333333336</v>
      </c>
    </row>
    <row r="251" spans="1:8" x14ac:dyDescent="0.25">
      <c r="A251" s="7">
        <f>DATE(YEAR(m2_crossvalid[[#This Row],[cutoff]]),MONTH(m2_crossvalid[[#This Row],[cutoff]]),DAY(m2_crossvalid[[#This Row],[cutoff]]))</f>
        <v>45900</v>
      </c>
      <c r="B251" s="7">
        <f>DATE(YEAR(m2_crossvalid[[#This Row],[ds]]),MONTH(m2_crossvalid[[#This Row],[ds]]),DAY(m2_crossvalid[[#This Row],[ds]]))</f>
        <v>45902</v>
      </c>
      <c r="C251">
        <v>463</v>
      </c>
      <c r="D251" s="1">
        <v>45902.333333333336</v>
      </c>
      <c r="E251">
        <v>3541.8141165957541</v>
      </c>
      <c r="F251">
        <v>1496.5868078227061</v>
      </c>
      <c r="G251">
        <v>5610.3106176873462</v>
      </c>
      <c r="H251" s="1">
        <v>45900.333333333336</v>
      </c>
    </row>
    <row r="252" spans="1:8" x14ac:dyDescent="0.25">
      <c r="A252" s="7">
        <f>DATE(YEAR(m2_crossvalid[[#This Row],[cutoff]]),MONTH(m2_crossvalid[[#This Row],[cutoff]]),DAY(m2_crossvalid[[#This Row],[cutoff]]))</f>
        <v>45900</v>
      </c>
      <c r="B252" s="7">
        <f>DATE(YEAR(m2_crossvalid[[#This Row],[ds]]),MONTH(m2_crossvalid[[#This Row],[ds]]),DAY(m2_crossvalid[[#This Row],[ds]]))</f>
        <v>45903</v>
      </c>
      <c r="C252">
        <v>734</v>
      </c>
      <c r="D252" s="1">
        <v>45903.333333333336</v>
      </c>
      <c r="E252">
        <v>2097.8672680331265</v>
      </c>
      <c r="F252">
        <v>200.80423117095972</v>
      </c>
      <c r="G252">
        <v>4149.6186660980366</v>
      </c>
      <c r="H252" s="1">
        <v>45900.333333333336</v>
      </c>
    </row>
    <row r="253" spans="1:8" x14ac:dyDescent="0.25">
      <c r="A253" s="7">
        <f>DATE(YEAR(m2_crossvalid[[#This Row],[cutoff]]),MONTH(m2_crossvalid[[#This Row],[cutoff]]),DAY(m2_crossvalid[[#This Row],[cutoff]]))</f>
        <v>45900</v>
      </c>
      <c r="B253" s="7">
        <f>DATE(YEAR(m2_crossvalid[[#This Row],[ds]]),MONTH(m2_crossvalid[[#This Row],[ds]]),DAY(m2_crossvalid[[#This Row],[ds]]))</f>
        <v>45904</v>
      </c>
      <c r="C253">
        <v>973</v>
      </c>
      <c r="D253" s="1">
        <v>45904.333333333336</v>
      </c>
      <c r="E253">
        <v>1449.2935397047838</v>
      </c>
      <c r="F253">
        <v>-590.55562056907718</v>
      </c>
      <c r="G253">
        <v>3468.3433568187966</v>
      </c>
      <c r="H253" s="1">
        <v>45900.333333333336</v>
      </c>
    </row>
    <row r="254" spans="1:8" x14ac:dyDescent="0.25">
      <c r="A254" s="7">
        <f>DATE(YEAR(m2_crossvalid[[#This Row],[cutoff]]),MONTH(m2_crossvalid[[#This Row],[cutoff]]),DAY(m2_crossvalid[[#This Row],[cutoff]]))</f>
        <v>45900</v>
      </c>
      <c r="B254" s="7">
        <f>DATE(YEAR(m2_crossvalid[[#This Row],[ds]]),MONTH(m2_crossvalid[[#This Row],[ds]]),DAY(m2_crossvalid[[#This Row],[ds]]))</f>
        <v>45905</v>
      </c>
      <c r="C254">
        <v>61</v>
      </c>
      <c r="D254" s="1">
        <v>45905.333333333336</v>
      </c>
      <c r="E254">
        <v>1478.5851815746835</v>
      </c>
      <c r="F254">
        <v>-595.24518091958441</v>
      </c>
      <c r="G254">
        <v>3404.4629089313803</v>
      </c>
      <c r="H254" s="1">
        <v>45900.333333333336</v>
      </c>
    </row>
    <row r="255" spans="1:8" x14ac:dyDescent="0.25">
      <c r="A255" s="7">
        <f>DATE(YEAR(m2_crossvalid[[#This Row],[cutoff]]),MONTH(m2_crossvalid[[#This Row],[cutoff]]),DAY(m2_crossvalid[[#This Row],[cutoff]]))</f>
        <v>45900</v>
      </c>
      <c r="B255" s="7">
        <f>DATE(YEAR(m2_crossvalid[[#This Row],[ds]]),MONTH(m2_crossvalid[[#This Row],[ds]]),DAY(m2_crossvalid[[#This Row],[ds]]))</f>
        <v>45906</v>
      </c>
      <c r="C255">
        <v>107</v>
      </c>
      <c r="D255" s="1">
        <v>45906.333333333336</v>
      </c>
      <c r="E255">
        <v>-372.71332061564226</v>
      </c>
      <c r="F255">
        <v>-2353.384655216244</v>
      </c>
      <c r="G255">
        <v>1609.1390786553604</v>
      </c>
      <c r="H255" s="1">
        <v>45900.333333333336</v>
      </c>
    </row>
    <row r="256" spans="1:8" x14ac:dyDescent="0.25">
      <c r="A256" s="7">
        <f>DATE(YEAR(m2_crossvalid[[#This Row],[cutoff]]),MONTH(m2_crossvalid[[#This Row],[cutoff]]),DAY(m2_crossvalid[[#This Row],[cutoff]]))</f>
        <v>45900</v>
      </c>
      <c r="B256" s="7">
        <f>DATE(YEAR(m2_crossvalid[[#This Row],[ds]]),MONTH(m2_crossvalid[[#This Row],[ds]]),DAY(m2_crossvalid[[#This Row],[ds]]))</f>
        <v>45907</v>
      </c>
      <c r="C256">
        <v>30</v>
      </c>
      <c r="D256" s="1">
        <v>45907.333333333336</v>
      </c>
      <c r="E256">
        <v>-698.13180554416658</v>
      </c>
      <c r="F256">
        <v>-2585.8093078733787</v>
      </c>
      <c r="G256">
        <v>1254.9656832464245</v>
      </c>
      <c r="H256" s="1">
        <v>45900.333333333336</v>
      </c>
    </row>
    <row r="257" spans="1:8" x14ac:dyDescent="0.25">
      <c r="A257" s="7">
        <f>DATE(YEAR(m2_crossvalid[[#This Row],[cutoff]]),MONTH(m2_crossvalid[[#This Row],[cutoff]]),DAY(m2_crossvalid[[#This Row],[cutoff]]))</f>
        <v>45900</v>
      </c>
      <c r="B257" s="7">
        <f>DATE(YEAR(m2_crossvalid[[#This Row],[ds]]),MONTH(m2_crossvalid[[#This Row],[ds]]),DAY(m2_crossvalid[[#This Row],[ds]]))</f>
        <v>45908</v>
      </c>
      <c r="C257">
        <v>1382</v>
      </c>
      <c r="D257" s="1">
        <v>45908.333333333336</v>
      </c>
      <c r="E257">
        <v>1609.918668146556</v>
      </c>
      <c r="F257">
        <v>-338.49005906293888</v>
      </c>
      <c r="G257">
        <v>3434.0478997568857</v>
      </c>
      <c r="H257" s="1">
        <v>45900.333333333336</v>
      </c>
    </row>
    <row r="258" spans="1:8" x14ac:dyDescent="0.25">
      <c r="A258" s="7">
        <f>DATE(YEAR(m2_crossvalid[[#This Row],[cutoff]]),MONTH(m2_crossvalid[[#This Row],[cutoff]]),DAY(m2_crossvalid[[#This Row],[cutoff]]))</f>
        <v>45900</v>
      </c>
      <c r="B258" s="7">
        <f>DATE(YEAR(m2_crossvalid[[#This Row],[ds]]),MONTH(m2_crossvalid[[#This Row],[ds]]),DAY(m2_crossvalid[[#This Row],[ds]]))</f>
        <v>45909</v>
      </c>
      <c r="C258">
        <v>1925</v>
      </c>
      <c r="D258" s="1">
        <v>45909.333333333336</v>
      </c>
      <c r="E258">
        <v>1950.1238966109436</v>
      </c>
      <c r="F258">
        <v>-112.79807459226556</v>
      </c>
      <c r="G258">
        <v>3822.3934485916329</v>
      </c>
      <c r="H258" s="1">
        <v>45900.333333333336</v>
      </c>
    </row>
    <row r="259" spans="1:8" x14ac:dyDescent="0.25">
      <c r="A259" s="7">
        <f>DATE(YEAR(m2_crossvalid[[#This Row],[cutoff]]),MONTH(m2_crossvalid[[#This Row],[cutoff]]),DAY(m2_crossvalid[[#This Row],[cutoff]]))</f>
        <v>45900</v>
      </c>
      <c r="B259" s="7">
        <f>DATE(YEAR(m2_crossvalid[[#This Row],[ds]]),MONTH(m2_crossvalid[[#This Row],[ds]]),DAY(m2_crossvalid[[#This Row],[ds]]))</f>
        <v>45910</v>
      </c>
      <c r="C259">
        <v>1988</v>
      </c>
      <c r="D259" s="1">
        <v>45910.333333333336</v>
      </c>
      <c r="E259">
        <v>2040.18648010632</v>
      </c>
      <c r="F259">
        <v>-134.3747643606869</v>
      </c>
      <c r="G259">
        <v>4101.8882183533542</v>
      </c>
      <c r="H259" s="1">
        <v>45900.333333333336</v>
      </c>
    </row>
    <row r="260" spans="1:8" x14ac:dyDescent="0.25">
      <c r="A260" s="7">
        <f>DATE(YEAR(m2_crossvalid[[#This Row],[cutoff]]),MONTH(m2_crossvalid[[#This Row],[cutoff]]),DAY(m2_crossvalid[[#This Row],[cutoff]]))</f>
        <v>45900</v>
      </c>
      <c r="B260" s="7">
        <f>DATE(YEAR(m2_crossvalid[[#This Row],[ds]]),MONTH(m2_crossvalid[[#This Row],[ds]]),DAY(m2_crossvalid[[#This Row],[ds]]))</f>
        <v>45911</v>
      </c>
      <c r="C260">
        <v>2414</v>
      </c>
      <c r="D260" s="1">
        <v>45911.333333333336</v>
      </c>
      <c r="E260">
        <v>2268.0382571388222</v>
      </c>
      <c r="F260">
        <v>237.95463476095068</v>
      </c>
      <c r="G260">
        <v>4248.0667485810063</v>
      </c>
      <c r="H260" s="1">
        <v>45900.333333333336</v>
      </c>
    </row>
    <row r="261" spans="1:8" x14ac:dyDescent="0.25">
      <c r="A261" s="7">
        <f>DATE(YEAR(m2_crossvalid[[#This Row],[cutoff]]),MONTH(m2_crossvalid[[#This Row],[cutoff]]),DAY(m2_crossvalid[[#This Row],[cutoff]]))</f>
        <v>45900</v>
      </c>
      <c r="B261" s="7">
        <f>DATE(YEAR(m2_crossvalid[[#This Row],[ds]]),MONTH(m2_crossvalid[[#This Row],[ds]]),DAY(m2_crossvalid[[#This Row],[ds]]))</f>
        <v>45912</v>
      </c>
      <c r="C261">
        <v>2644</v>
      </c>
      <c r="D261" s="1">
        <v>45912.333333333336</v>
      </c>
      <c r="E261">
        <v>2408.9030545352175</v>
      </c>
      <c r="F261">
        <v>499.72290763377441</v>
      </c>
      <c r="G261">
        <v>4177.8031032022845</v>
      </c>
      <c r="H261" s="1">
        <v>45900.333333333336</v>
      </c>
    </row>
    <row r="262" spans="1:8" x14ac:dyDescent="0.25">
      <c r="A262" s="7">
        <f>DATE(YEAR(m2_crossvalid[[#This Row],[cutoff]]),MONTH(m2_crossvalid[[#This Row],[cutoff]]),DAY(m2_crossvalid[[#This Row],[cutoff]]))</f>
        <v>45900</v>
      </c>
      <c r="B262" s="7">
        <f>DATE(YEAR(m2_crossvalid[[#This Row],[ds]]),MONTH(m2_crossvalid[[#This Row],[ds]]),DAY(m2_crossvalid[[#This Row],[ds]]))</f>
        <v>45913</v>
      </c>
      <c r="C262">
        <v>439</v>
      </c>
      <c r="D262" s="1">
        <v>45913.333333333336</v>
      </c>
      <c r="E262">
        <v>231.98863492604687</v>
      </c>
      <c r="F262">
        <v>-1617.577211335017</v>
      </c>
      <c r="G262">
        <v>2162.4608889350598</v>
      </c>
      <c r="H262" s="1">
        <v>45900.333333333336</v>
      </c>
    </row>
    <row r="263" spans="1:8" x14ac:dyDescent="0.25">
      <c r="A263" s="7">
        <f>DATE(YEAR(m2_crossvalid[[#This Row],[cutoff]]),MONTH(m2_crossvalid[[#This Row],[cutoff]]),DAY(m2_crossvalid[[#This Row],[cutoff]]))</f>
        <v>45900</v>
      </c>
      <c r="B263" s="7">
        <f>DATE(YEAR(m2_crossvalid[[#This Row],[ds]]),MONTH(m2_crossvalid[[#This Row],[ds]]),DAY(m2_crossvalid[[#This Row],[ds]]))</f>
        <v>45914</v>
      </c>
      <c r="C263">
        <v>108</v>
      </c>
      <c r="D263" s="1">
        <v>45914.333333333336</v>
      </c>
      <c r="E263">
        <v>-368.88779876726585</v>
      </c>
      <c r="F263">
        <v>-2434.3807412340634</v>
      </c>
      <c r="G263">
        <v>1654.4282109273449</v>
      </c>
      <c r="H263" s="1">
        <v>45900.333333333336</v>
      </c>
    </row>
    <row r="264" spans="1:8" x14ac:dyDescent="0.25">
      <c r="A264" s="7">
        <f>DATE(YEAR(m2_crossvalid[[#This Row],[cutoff]]),MONTH(m2_crossvalid[[#This Row],[cutoff]]),DAY(m2_crossvalid[[#This Row],[cutoff]]))</f>
        <v>45900</v>
      </c>
      <c r="B264" s="7">
        <f>DATE(YEAR(m2_crossvalid[[#This Row],[ds]]),MONTH(m2_crossvalid[[#This Row],[ds]]),DAY(m2_crossvalid[[#This Row],[ds]]))</f>
        <v>45915</v>
      </c>
      <c r="C264">
        <v>19</v>
      </c>
      <c r="D264" s="1">
        <v>45915.333333333336</v>
      </c>
      <c r="E264">
        <v>1987.2153720677138</v>
      </c>
      <c r="F264">
        <v>-111.35275823329337</v>
      </c>
      <c r="G264">
        <v>3964.4402824103936</v>
      </c>
      <c r="H264" s="1">
        <v>45900.333333333336</v>
      </c>
    </row>
    <row r="265" spans="1:8" x14ac:dyDescent="0.25">
      <c r="A265" s="7">
        <f>DATE(YEAR(m2_crossvalid[[#This Row],[cutoff]]),MONTH(m2_crossvalid[[#This Row],[cutoff]]),DAY(m2_crossvalid[[#This Row],[cutoff]]))</f>
        <v>45900</v>
      </c>
      <c r="B265" s="7">
        <f>DATE(YEAR(m2_crossvalid[[#This Row],[ds]]),MONTH(m2_crossvalid[[#This Row],[ds]]),DAY(m2_crossvalid[[#This Row],[ds]]))</f>
        <v>45916</v>
      </c>
      <c r="C265">
        <v>5</v>
      </c>
      <c r="D265" s="1">
        <v>45916.333333333336</v>
      </c>
      <c r="E265">
        <v>2596.6455700419574</v>
      </c>
      <c r="F265">
        <v>635.08401723296481</v>
      </c>
      <c r="G265">
        <v>4462.4469398521751</v>
      </c>
      <c r="H265" s="1">
        <v>45900.333333333336</v>
      </c>
    </row>
    <row r="266" spans="1:8" x14ac:dyDescent="0.25">
      <c r="A266" s="7">
        <f>DATE(YEAR(m2_crossvalid[[#This Row],[cutoff]]),MONTH(m2_crossvalid[[#This Row],[cutoff]]),DAY(m2_crossvalid[[#This Row],[cutoff]]))</f>
        <v>45900</v>
      </c>
      <c r="B266" s="7">
        <f>DATE(YEAR(m2_crossvalid[[#This Row],[ds]]),MONTH(m2_crossvalid[[#This Row],[ds]]),DAY(m2_crossvalid[[#This Row],[ds]]))</f>
        <v>45917</v>
      </c>
      <c r="C266">
        <v>2108</v>
      </c>
      <c r="D266" s="1">
        <v>45917.333333333336</v>
      </c>
      <c r="E266">
        <v>2870.0295450661042</v>
      </c>
      <c r="F266">
        <v>862.73915408340406</v>
      </c>
      <c r="G266">
        <v>4689.817035261518</v>
      </c>
      <c r="H266" s="1">
        <v>45900.333333333336</v>
      </c>
    </row>
    <row r="267" spans="1:8" x14ac:dyDescent="0.25">
      <c r="A267" s="7">
        <f>DATE(YEAR(m2_crossvalid[[#This Row],[cutoff]]),MONTH(m2_crossvalid[[#This Row],[cutoff]]),DAY(m2_crossvalid[[#This Row],[cutoff]]))</f>
        <v>45900</v>
      </c>
      <c r="B267" s="7">
        <f>DATE(YEAR(m2_crossvalid[[#This Row],[ds]]),MONTH(m2_crossvalid[[#This Row],[ds]]),DAY(m2_crossvalid[[#This Row],[ds]]))</f>
        <v>45918</v>
      </c>
      <c r="C267">
        <v>3129</v>
      </c>
      <c r="D267" s="1">
        <v>45918.333333333336</v>
      </c>
      <c r="E267">
        <v>3009.8702273788249</v>
      </c>
      <c r="F267">
        <v>1055.3963126545652</v>
      </c>
      <c r="G267">
        <v>4982.4843449472537</v>
      </c>
      <c r="H267" s="1">
        <v>45900.333333333336</v>
      </c>
    </row>
    <row r="268" spans="1:8" x14ac:dyDescent="0.25">
      <c r="A268" s="7">
        <f>DATE(YEAR(m2_crossvalid[[#This Row],[cutoff]]),MONTH(m2_crossvalid[[#This Row],[cutoff]]),DAY(m2_crossvalid[[#This Row],[cutoff]]))</f>
        <v>45900</v>
      </c>
      <c r="B268" s="7">
        <f>DATE(YEAR(m2_crossvalid[[#This Row],[ds]]),MONTH(m2_crossvalid[[#This Row],[ds]]),DAY(m2_crossvalid[[#This Row],[ds]]))</f>
        <v>45919</v>
      </c>
      <c r="C268">
        <v>3027</v>
      </c>
      <c r="D268" s="1">
        <v>45919.333333333336</v>
      </c>
      <c r="E268">
        <v>2901.6673058585075</v>
      </c>
      <c r="F268">
        <v>927.76627102754389</v>
      </c>
      <c r="G268">
        <v>4916.7345891339146</v>
      </c>
      <c r="H268" s="1">
        <v>45900.333333333336</v>
      </c>
    </row>
    <row r="269" spans="1:8" x14ac:dyDescent="0.25">
      <c r="A269" s="7">
        <f>DATE(YEAR(m2_crossvalid[[#This Row],[cutoff]]),MONTH(m2_crossvalid[[#This Row],[cutoff]]),DAY(m2_crossvalid[[#This Row],[cutoff]]))</f>
        <v>45900</v>
      </c>
      <c r="B269" s="7">
        <f>DATE(YEAR(m2_crossvalid[[#This Row],[ds]]),MONTH(m2_crossvalid[[#This Row],[ds]]),DAY(m2_crossvalid[[#This Row],[ds]]))</f>
        <v>45920</v>
      </c>
      <c r="C269">
        <v>525</v>
      </c>
      <c r="D269" s="1">
        <v>45920.333333333336</v>
      </c>
      <c r="E269">
        <v>591.33228892528564</v>
      </c>
      <c r="F269">
        <v>-1388.1654227422696</v>
      </c>
      <c r="G269">
        <v>2452.0180450777475</v>
      </c>
      <c r="H269" s="1">
        <v>45900.333333333336</v>
      </c>
    </row>
    <row r="270" spans="1:8" x14ac:dyDescent="0.25">
      <c r="A270" s="7">
        <f>DATE(YEAR(m2_crossvalid[[#This Row],[cutoff]]),MONTH(m2_crossvalid[[#This Row],[cutoff]]),DAY(m2_crossvalid[[#This Row],[cutoff]]))</f>
        <v>45900</v>
      </c>
      <c r="B270" s="7">
        <f>DATE(YEAR(m2_crossvalid[[#This Row],[ds]]),MONTH(m2_crossvalid[[#This Row],[ds]]),DAY(m2_crossvalid[[#This Row],[ds]]))</f>
        <v>45921</v>
      </c>
      <c r="C270">
        <v>107</v>
      </c>
      <c r="D270" s="1">
        <v>45921.333333333336</v>
      </c>
      <c r="E270">
        <v>125.63286260539689</v>
      </c>
      <c r="F270">
        <v>-1864.0248924635562</v>
      </c>
      <c r="G270">
        <v>2057.4385440514316</v>
      </c>
      <c r="H270" s="1">
        <v>45900.333333333336</v>
      </c>
    </row>
    <row r="271" spans="1:8" x14ac:dyDescent="0.25">
      <c r="A271" s="7">
        <f>DATE(YEAR(m2_crossvalid[[#This Row],[cutoff]]),MONTH(m2_crossvalid[[#This Row],[cutoff]]),DAY(m2_crossvalid[[#This Row],[cutoff]]))</f>
        <v>45900</v>
      </c>
      <c r="B271" s="7">
        <f>DATE(YEAR(m2_crossvalid[[#This Row],[ds]]),MONTH(m2_crossvalid[[#This Row],[ds]]),DAY(m2_crossvalid[[#This Row],[ds]]))</f>
        <v>45922</v>
      </c>
      <c r="C271">
        <v>2480</v>
      </c>
      <c r="D271" s="1">
        <v>45922.333333333336</v>
      </c>
      <c r="E271">
        <v>2757.1541509558156</v>
      </c>
      <c r="F271">
        <v>787.19057621508409</v>
      </c>
      <c r="G271">
        <v>4815.2107104479246</v>
      </c>
      <c r="H271" s="1">
        <v>45900.333333333336</v>
      </c>
    </row>
    <row r="272" spans="1:8" x14ac:dyDescent="0.25">
      <c r="A272" s="7">
        <f>DATE(YEAR(m2_crossvalid[[#This Row],[cutoff]]),MONTH(m2_crossvalid[[#This Row],[cutoff]]),DAY(m2_crossvalid[[#This Row],[cutoff]]))</f>
        <v>45900</v>
      </c>
      <c r="B272" s="7">
        <f>DATE(YEAR(m2_crossvalid[[#This Row],[ds]]),MONTH(m2_crossvalid[[#This Row],[ds]]),DAY(m2_crossvalid[[#This Row],[ds]]))</f>
        <v>45923</v>
      </c>
      <c r="C272">
        <v>2893</v>
      </c>
      <c r="D272" s="1">
        <v>45923.333333333336</v>
      </c>
      <c r="E272">
        <v>3507.5683648134518</v>
      </c>
      <c r="F272">
        <v>1576.7672607897139</v>
      </c>
      <c r="G272">
        <v>5561.9423338420402</v>
      </c>
      <c r="H272" s="1">
        <v>45900.333333333336</v>
      </c>
    </row>
    <row r="273" spans="1:8" x14ac:dyDescent="0.25">
      <c r="A273" s="7">
        <f>DATE(YEAR(m2_crossvalid[[#This Row],[cutoff]]),MONTH(m2_crossvalid[[#This Row],[cutoff]]),DAY(m2_crossvalid[[#This Row],[cutoff]]))</f>
        <v>45900</v>
      </c>
      <c r="B273" s="7">
        <f>DATE(YEAR(m2_crossvalid[[#This Row],[ds]]),MONTH(m2_crossvalid[[#This Row],[ds]]),DAY(m2_crossvalid[[#This Row],[ds]]))</f>
        <v>45924</v>
      </c>
      <c r="C273">
        <v>3143</v>
      </c>
      <c r="D273" s="1">
        <v>45924.333333333336</v>
      </c>
      <c r="E273">
        <v>3665.1131488763699</v>
      </c>
      <c r="F273">
        <v>1770.3434600598853</v>
      </c>
      <c r="G273">
        <v>5638.9828750644447</v>
      </c>
      <c r="H273" s="1">
        <v>45900.333333333336</v>
      </c>
    </row>
    <row r="274" spans="1:8" x14ac:dyDescent="0.25">
      <c r="A274" s="7">
        <f>DATE(YEAR(m2_crossvalid[[#This Row],[cutoff]]),MONTH(m2_crossvalid[[#This Row],[cutoff]]),DAY(m2_crossvalid[[#This Row],[cutoff]]))</f>
        <v>45900</v>
      </c>
      <c r="B274" s="7">
        <f>DATE(YEAR(m2_crossvalid[[#This Row],[ds]]),MONTH(m2_crossvalid[[#This Row],[ds]]),DAY(m2_crossvalid[[#This Row],[ds]]))</f>
        <v>45925</v>
      </c>
      <c r="C274">
        <v>3361</v>
      </c>
      <c r="D274" s="1">
        <v>45925.333333333336</v>
      </c>
      <c r="E274">
        <v>3628.8848130704091</v>
      </c>
      <c r="F274">
        <v>1736.7425724832233</v>
      </c>
      <c r="G274">
        <v>5616.0823965989639</v>
      </c>
      <c r="H274" s="1">
        <v>45900.333333333336</v>
      </c>
    </row>
    <row r="275" spans="1:8" x14ac:dyDescent="0.25">
      <c r="A275" s="7">
        <f>DATE(YEAR(m2_crossvalid[[#This Row],[cutoff]]),MONTH(m2_crossvalid[[#This Row],[cutoff]]),DAY(m2_crossvalid[[#This Row],[cutoff]]))</f>
        <v>45900</v>
      </c>
      <c r="B275" s="7">
        <f>DATE(YEAR(m2_crossvalid[[#This Row],[ds]]),MONTH(m2_crossvalid[[#This Row],[ds]]),DAY(m2_crossvalid[[#This Row],[ds]]))</f>
        <v>45926</v>
      </c>
      <c r="C275">
        <v>3885</v>
      </c>
      <c r="D275" s="1">
        <v>45926.333333333336</v>
      </c>
      <c r="E275">
        <v>3655.6794448892651</v>
      </c>
      <c r="F275">
        <v>1625.1069195964421</v>
      </c>
      <c r="G275">
        <v>5578.7866043687891</v>
      </c>
      <c r="H275" s="1">
        <v>45900.333333333336</v>
      </c>
    </row>
    <row r="276" spans="1:8" x14ac:dyDescent="0.25">
      <c r="A276" s="7">
        <f>DATE(YEAR(m2_crossvalid[[#This Row],[cutoff]]),MONTH(m2_crossvalid[[#This Row],[cutoff]]),DAY(m2_crossvalid[[#This Row],[cutoff]]))</f>
        <v>45900</v>
      </c>
      <c r="B276" s="7">
        <f>DATE(YEAR(m2_crossvalid[[#This Row],[ds]]),MONTH(m2_crossvalid[[#This Row],[ds]]),DAY(m2_crossvalid[[#This Row],[ds]]))</f>
        <v>45927</v>
      </c>
      <c r="C276">
        <v>1024</v>
      </c>
      <c r="D276" s="1">
        <v>45927.333333333336</v>
      </c>
      <c r="E276">
        <v>1994.1121190184133</v>
      </c>
      <c r="F276">
        <v>49.447857508969946</v>
      </c>
      <c r="G276">
        <v>3847.137694802097</v>
      </c>
      <c r="H276" s="1">
        <v>45900.333333333336</v>
      </c>
    </row>
    <row r="277" spans="1:8" x14ac:dyDescent="0.25">
      <c r="A277" s="7">
        <f>DATE(YEAR(m2_crossvalid[[#This Row],[cutoff]]),MONTH(m2_crossvalid[[#This Row],[cutoff]]),DAY(m2_crossvalid[[#This Row],[cutoff]]))</f>
        <v>45900</v>
      </c>
      <c r="B277" s="7">
        <f>DATE(YEAR(m2_crossvalid[[#This Row],[ds]]),MONTH(m2_crossvalid[[#This Row],[ds]]),DAY(m2_crossvalid[[#This Row],[ds]]))</f>
        <v>45928</v>
      </c>
      <c r="C277">
        <v>280</v>
      </c>
      <c r="D277" s="1">
        <v>45928.333333333336</v>
      </c>
      <c r="E277">
        <v>2486.5971926278535</v>
      </c>
      <c r="F277">
        <v>534.04089417330943</v>
      </c>
      <c r="G277">
        <v>4388.5419856446715</v>
      </c>
      <c r="H277" s="1">
        <v>45900.333333333336</v>
      </c>
    </row>
    <row r="278" spans="1:8" x14ac:dyDescent="0.25">
      <c r="A278" s="7">
        <f>DATE(YEAR(m2_crossvalid[[#This Row],[cutoff]]),MONTH(m2_crossvalid[[#This Row],[cutoff]]),DAY(m2_crossvalid[[#This Row],[cutoff]]))</f>
        <v>45900</v>
      </c>
      <c r="B278" s="7">
        <f>DATE(YEAR(m2_crossvalid[[#This Row],[ds]]),MONTH(m2_crossvalid[[#This Row],[ds]]),DAY(m2_crossvalid[[#This Row],[ds]]))</f>
        <v>45929</v>
      </c>
      <c r="C278">
        <v>8852</v>
      </c>
      <c r="D278" s="1">
        <v>45929.333333333336</v>
      </c>
      <c r="E278">
        <v>5858.1946903133439</v>
      </c>
      <c r="F278">
        <v>3841.7966331905591</v>
      </c>
      <c r="G278">
        <v>7938.3760636800325</v>
      </c>
      <c r="H278" s="1">
        <v>45900.333333333336</v>
      </c>
    </row>
    <row r="279" spans="1:8" x14ac:dyDescent="0.25">
      <c r="A279" s="7">
        <f>DATE(YEAR(m2_crossvalid[[#This Row],[cutoff]]),MONTH(m2_crossvalid[[#This Row],[cutoff]]),DAY(m2_crossvalid[[#This Row],[cutoff]]))</f>
        <v>45900</v>
      </c>
      <c r="B279" s="7">
        <f>DATE(YEAR(m2_crossvalid[[#This Row],[ds]]),MONTH(m2_crossvalid[[#This Row],[ds]]),DAY(m2_crossvalid[[#This Row],[ds]]))</f>
        <v>45930</v>
      </c>
      <c r="C279">
        <v>14458</v>
      </c>
      <c r="D279" s="1">
        <v>45930.333333333336</v>
      </c>
      <c r="E279">
        <v>6621.7511604579449</v>
      </c>
      <c r="F279">
        <v>4580.4167663402413</v>
      </c>
      <c r="G279">
        <v>8547.3223082463319</v>
      </c>
      <c r="H279" s="1">
        <v>45900.333333333336</v>
      </c>
    </row>
    <row r="280" spans="1:8" x14ac:dyDescent="0.25">
      <c r="A280" s="7">
        <f>DATE(YEAR(m2_crossvalid[[#This Row],[cutoff]]),MONTH(m2_crossvalid[[#This Row],[cutoff]]),DAY(m2_crossvalid[[#This Row],[cutoff]]))</f>
        <v>45900</v>
      </c>
      <c r="B280" s="7">
        <f>DATE(YEAR(m2_crossvalid[[#This Row],[ds]]),MONTH(m2_crossvalid[[#This Row],[ds]]),DAY(m2_crossvalid[[#This Row],[ds]]))</f>
        <v>45931</v>
      </c>
      <c r="C280">
        <v>639</v>
      </c>
      <c r="D280" s="1">
        <v>45931.333333333336</v>
      </c>
      <c r="E280">
        <v>5895.0824282679887</v>
      </c>
      <c r="F280">
        <v>3938.1109933478592</v>
      </c>
      <c r="G280">
        <v>7861.1743733924886</v>
      </c>
      <c r="H280" s="1">
        <v>45900.333333333336</v>
      </c>
    </row>
    <row r="281" spans="1:8" x14ac:dyDescent="0.25">
      <c r="A281" s="7">
        <f>DATE(YEAR(m2_crossvalid[[#This Row],[cutoff]]),MONTH(m2_crossvalid[[#This Row],[cutoff]]),DAY(m2_crossvalid[[#This Row],[cutoff]]))</f>
        <v>45930</v>
      </c>
      <c r="B281" s="7">
        <f>DATE(YEAR(m2_crossvalid[[#This Row],[ds]]),MONTH(m2_crossvalid[[#This Row],[ds]]),DAY(m2_crossvalid[[#This Row],[ds]]))</f>
        <v>45931</v>
      </c>
      <c r="C281">
        <v>639</v>
      </c>
      <c r="D281" s="1">
        <v>45931.333333333336</v>
      </c>
      <c r="E281">
        <v>6004.91407546152</v>
      </c>
      <c r="F281">
        <v>4109.7822936744951</v>
      </c>
      <c r="G281">
        <v>7982.6789328481645</v>
      </c>
      <c r="H281" s="1">
        <v>45930.333333333336</v>
      </c>
    </row>
    <row r="282" spans="1:8" x14ac:dyDescent="0.25">
      <c r="A282" s="7">
        <f>DATE(YEAR(m2_crossvalid[[#This Row],[cutoff]]),MONTH(m2_crossvalid[[#This Row],[cutoff]]),DAY(m2_crossvalid[[#This Row],[cutoff]]))</f>
        <v>45930</v>
      </c>
      <c r="B282" s="7">
        <f>DATE(YEAR(m2_crossvalid[[#This Row],[ds]]),MONTH(m2_crossvalid[[#This Row],[ds]]),DAY(m2_crossvalid[[#This Row],[ds]]))</f>
        <v>45932</v>
      </c>
      <c r="C282">
        <v>823</v>
      </c>
      <c r="D282" s="1">
        <v>45932.333333333336</v>
      </c>
      <c r="E282">
        <v>4371.570785752906</v>
      </c>
      <c r="F282">
        <v>2405.9428417358117</v>
      </c>
      <c r="G282">
        <v>6396.8583637506199</v>
      </c>
      <c r="H282" s="1">
        <v>45930.333333333336</v>
      </c>
    </row>
    <row r="283" spans="1:8" x14ac:dyDescent="0.25">
      <c r="A283" s="7">
        <f>DATE(YEAR(m2_crossvalid[[#This Row],[cutoff]]),MONTH(m2_crossvalid[[#This Row],[cutoff]]),DAY(m2_crossvalid[[#This Row],[cutoff]]))</f>
        <v>45930</v>
      </c>
      <c r="B283" s="7">
        <f>DATE(YEAR(m2_crossvalid[[#This Row],[ds]]),MONTH(m2_crossvalid[[#This Row],[ds]]),DAY(m2_crossvalid[[#This Row],[ds]]))</f>
        <v>45933</v>
      </c>
      <c r="C283">
        <v>996</v>
      </c>
      <c r="D283" s="1">
        <v>45933.333333333336</v>
      </c>
      <c r="E283">
        <v>2564.9269810440028</v>
      </c>
      <c r="F283">
        <v>469.27995803290662</v>
      </c>
      <c r="G283">
        <v>4556.9711714788536</v>
      </c>
      <c r="H283" s="1">
        <v>45930.333333333336</v>
      </c>
    </row>
    <row r="284" spans="1:8" x14ac:dyDescent="0.25">
      <c r="A284" s="7">
        <f>DATE(YEAR(m2_crossvalid[[#This Row],[cutoff]]),MONTH(m2_crossvalid[[#This Row],[cutoff]]),DAY(m2_crossvalid[[#This Row],[cutoff]]))</f>
        <v>45930</v>
      </c>
      <c r="B284" s="7">
        <f>DATE(YEAR(m2_crossvalid[[#This Row],[ds]]),MONTH(m2_crossvalid[[#This Row],[ds]]),DAY(m2_crossvalid[[#This Row],[ds]]))</f>
        <v>45934</v>
      </c>
      <c r="C284">
        <v>141</v>
      </c>
      <c r="D284" s="1">
        <v>45934.333333333336</v>
      </c>
      <c r="E284">
        <v>-744.11792298696855</v>
      </c>
      <c r="F284">
        <v>-2697.8444156122828</v>
      </c>
      <c r="G284">
        <v>1267.7673272049362</v>
      </c>
      <c r="H284" s="1">
        <v>45930.333333333336</v>
      </c>
    </row>
    <row r="285" spans="1:8" x14ac:dyDescent="0.25">
      <c r="A285" s="7">
        <f>DATE(YEAR(m2_crossvalid[[#This Row],[cutoff]]),MONTH(m2_crossvalid[[#This Row],[cutoff]]),DAY(m2_crossvalid[[#This Row],[cutoff]]))</f>
        <v>45930</v>
      </c>
      <c r="B285" s="7">
        <f>DATE(YEAR(m2_crossvalid[[#This Row],[ds]]),MONTH(m2_crossvalid[[#This Row],[ds]]),DAY(m2_crossvalid[[#This Row],[ds]]))</f>
        <v>45935</v>
      </c>
      <c r="C285">
        <v>38</v>
      </c>
      <c r="D285" s="1">
        <v>45935.333333333336</v>
      </c>
      <c r="E285">
        <v>-1479.5666345023201</v>
      </c>
      <c r="F285">
        <v>-3543.8760824702058</v>
      </c>
      <c r="G285">
        <v>508.15658904048871</v>
      </c>
      <c r="H285" s="1">
        <v>45930.333333333336</v>
      </c>
    </row>
    <row r="286" spans="1:8" x14ac:dyDescent="0.25">
      <c r="A286" s="7">
        <f>DATE(YEAR(m2_crossvalid[[#This Row],[cutoff]]),MONTH(m2_crossvalid[[#This Row],[cutoff]]),DAY(m2_crossvalid[[#This Row],[cutoff]]))</f>
        <v>45930</v>
      </c>
      <c r="B286" s="7">
        <f>DATE(YEAR(m2_crossvalid[[#This Row],[ds]]),MONTH(m2_crossvalid[[#This Row],[ds]]),DAY(m2_crossvalid[[#This Row],[ds]]))</f>
        <v>45936</v>
      </c>
      <c r="C286">
        <v>1044</v>
      </c>
      <c r="D286" s="1">
        <v>45936.333333333336</v>
      </c>
      <c r="E286">
        <v>1229.1294520254185</v>
      </c>
      <c r="F286">
        <v>-809.90348357359653</v>
      </c>
      <c r="G286">
        <v>3222.0669261863954</v>
      </c>
      <c r="H286" s="1">
        <v>45930.333333333336</v>
      </c>
    </row>
    <row r="287" spans="1:8" x14ac:dyDescent="0.25">
      <c r="A287" s="7">
        <f>DATE(YEAR(m2_crossvalid[[#This Row],[cutoff]]),MONTH(m2_crossvalid[[#This Row],[cutoff]]),DAY(m2_crossvalid[[#This Row],[cutoff]]))</f>
        <v>45930</v>
      </c>
      <c r="B287" s="7">
        <f>DATE(YEAR(m2_crossvalid[[#This Row],[ds]]),MONTH(m2_crossvalid[[#This Row],[ds]]),DAY(m2_crossvalid[[#This Row],[ds]]))</f>
        <v>45937</v>
      </c>
      <c r="C287">
        <v>1351</v>
      </c>
      <c r="D287" s="1">
        <v>45937.333333333336</v>
      </c>
      <c r="E287">
        <v>2106.8840463327474</v>
      </c>
      <c r="F287">
        <v>220.06123290501375</v>
      </c>
      <c r="G287">
        <v>4151.2008283971809</v>
      </c>
      <c r="H287" s="1">
        <v>45930.333333333336</v>
      </c>
    </row>
    <row r="288" spans="1:8" x14ac:dyDescent="0.25">
      <c r="A288" s="7">
        <f>DATE(YEAR(m2_crossvalid[[#This Row],[cutoff]]),MONTH(m2_crossvalid[[#This Row],[cutoff]]),DAY(m2_crossvalid[[#This Row],[cutoff]]))</f>
        <v>45930</v>
      </c>
      <c r="B288" s="7">
        <f>DATE(YEAR(m2_crossvalid[[#This Row],[ds]]),MONTH(m2_crossvalid[[#This Row],[ds]]),DAY(m2_crossvalid[[#This Row],[ds]]))</f>
        <v>45938</v>
      </c>
      <c r="C288">
        <v>1654</v>
      </c>
      <c r="D288" s="1">
        <v>45938.333333333336</v>
      </c>
      <c r="E288">
        <v>2246.8186656207481</v>
      </c>
      <c r="F288">
        <v>398.13396692060343</v>
      </c>
      <c r="G288">
        <v>4268.5006855740385</v>
      </c>
      <c r="H288" s="1">
        <v>45930.333333333336</v>
      </c>
    </row>
    <row r="289" spans="1:8" x14ac:dyDescent="0.25">
      <c r="A289" s="7">
        <f>DATE(YEAR(m2_crossvalid[[#This Row],[cutoff]]),MONTH(m2_crossvalid[[#This Row],[cutoff]]),DAY(m2_crossvalid[[#This Row],[cutoff]]))</f>
        <v>45930</v>
      </c>
      <c r="B289" s="7">
        <f>DATE(YEAR(m2_crossvalid[[#This Row],[ds]]),MONTH(m2_crossvalid[[#This Row],[ds]]),DAY(m2_crossvalid[[#This Row],[ds]]))</f>
        <v>45939</v>
      </c>
      <c r="C289">
        <v>2108</v>
      </c>
      <c r="D289" s="1">
        <v>45939.333333333336</v>
      </c>
      <c r="E289">
        <v>2186.6742273909535</v>
      </c>
      <c r="F289">
        <v>113.10627894626319</v>
      </c>
      <c r="G289">
        <v>4177.5361510973753</v>
      </c>
      <c r="H289" s="1">
        <v>45930.333333333336</v>
      </c>
    </row>
    <row r="290" spans="1:8" x14ac:dyDescent="0.25">
      <c r="A290" s="7">
        <f>DATE(YEAR(m2_crossvalid[[#This Row],[cutoff]]),MONTH(m2_crossvalid[[#This Row],[cutoff]]),DAY(m2_crossvalid[[#This Row],[cutoff]]))</f>
        <v>45930</v>
      </c>
      <c r="B290" s="7">
        <f>DATE(YEAR(m2_crossvalid[[#This Row],[ds]]),MONTH(m2_crossvalid[[#This Row],[ds]]),DAY(m2_crossvalid[[#This Row],[ds]]))</f>
        <v>45940</v>
      </c>
      <c r="C290">
        <v>2215</v>
      </c>
      <c r="D290" s="1">
        <v>45940.333333333336</v>
      </c>
      <c r="E290">
        <v>2090.5450645326373</v>
      </c>
      <c r="F290">
        <v>-77.063776200038532</v>
      </c>
      <c r="G290">
        <v>4025.3438738866944</v>
      </c>
      <c r="H290" s="1">
        <v>45930.333333333336</v>
      </c>
    </row>
    <row r="291" spans="1:8" x14ac:dyDescent="0.25">
      <c r="A291" s="7">
        <f>DATE(YEAR(m2_crossvalid[[#This Row],[cutoff]]),MONTH(m2_crossvalid[[#This Row],[cutoff]]),DAY(m2_crossvalid[[#This Row],[cutoff]]))</f>
        <v>45930</v>
      </c>
      <c r="B291" s="7">
        <f>DATE(YEAR(m2_crossvalid[[#This Row],[ds]]),MONTH(m2_crossvalid[[#This Row],[ds]]),DAY(m2_crossvalid[[#This Row],[ds]]))</f>
        <v>45941</v>
      </c>
      <c r="C291">
        <v>380</v>
      </c>
      <c r="D291" s="1">
        <v>45941.333333333336</v>
      </c>
      <c r="E291">
        <v>23.949962183141906</v>
      </c>
      <c r="F291">
        <v>-2076.5973568517607</v>
      </c>
      <c r="G291">
        <v>1946.9649873173807</v>
      </c>
      <c r="H291" s="1">
        <v>45930.333333333336</v>
      </c>
    </row>
    <row r="292" spans="1:8" x14ac:dyDescent="0.25">
      <c r="A292" s="7">
        <f>DATE(YEAR(m2_crossvalid[[#This Row],[cutoff]]),MONTH(m2_crossvalid[[#This Row],[cutoff]]),DAY(m2_crossvalid[[#This Row],[cutoff]]))</f>
        <v>45930</v>
      </c>
      <c r="B292" s="7">
        <f>DATE(YEAR(m2_crossvalid[[#This Row],[ds]]),MONTH(m2_crossvalid[[#This Row],[ds]]),DAY(m2_crossvalid[[#This Row],[ds]]))</f>
        <v>45942</v>
      </c>
      <c r="C292">
        <v>120</v>
      </c>
      <c r="D292" s="1">
        <v>45942.333333333336</v>
      </c>
      <c r="E292">
        <v>-274.15206200135208</v>
      </c>
      <c r="F292">
        <v>-2238.3905047858957</v>
      </c>
      <c r="G292">
        <v>1716.0766697876384</v>
      </c>
      <c r="H292" s="1">
        <v>45930.333333333336</v>
      </c>
    </row>
    <row r="293" spans="1:8" x14ac:dyDescent="0.25">
      <c r="A293" s="7">
        <f>DATE(YEAR(m2_crossvalid[[#This Row],[cutoff]]),MONTH(m2_crossvalid[[#This Row],[cutoff]]),DAY(m2_crossvalid[[#This Row],[cutoff]]))</f>
        <v>45930</v>
      </c>
      <c r="B293" s="7">
        <f>DATE(YEAR(m2_crossvalid[[#This Row],[ds]]),MONTH(m2_crossvalid[[#This Row],[ds]]),DAY(m2_crossvalid[[#This Row],[ds]]))</f>
        <v>45943</v>
      </c>
      <c r="C293">
        <v>2406</v>
      </c>
      <c r="D293" s="1">
        <v>45943.333333333336</v>
      </c>
      <c r="E293">
        <v>2207.7560894394392</v>
      </c>
      <c r="F293">
        <v>185.83779724616483</v>
      </c>
      <c r="G293">
        <v>4190.6876787652509</v>
      </c>
      <c r="H293" s="1">
        <v>45930.333333333336</v>
      </c>
    </row>
    <row r="294" spans="1:8" x14ac:dyDescent="0.25">
      <c r="A294" s="7">
        <f>DATE(YEAR(m2_crossvalid[[#This Row],[cutoff]]),MONTH(m2_crossvalid[[#This Row],[cutoff]]),DAY(m2_crossvalid[[#This Row],[cutoff]]))</f>
        <v>45930</v>
      </c>
      <c r="B294" s="7">
        <f>DATE(YEAR(m2_crossvalid[[#This Row],[ds]]),MONTH(m2_crossvalid[[#This Row],[ds]]),DAY(m2_crossvalid[[#This Row],[ds]]))</f>
        <v>45944</v>
      </c>
      <c r="C294">
        <v>2958</v>
      </c>
      <c r="D294" s="1">
        <v>45944.333333333336</v>
      </c>
      <c r="E294">
        <v>2676.315572387191</v>
      </c>
      <c r="F294">
        <v>633.58439981873937</v>
      </c>
      <c r="G294">
        <v>4720.3569436613316</v>
      </c>
      <c r="H294" s="1">
        <v>45930.333333333336</v>
      </c>
    </row>
    <row r="295" spans="1:8" x14ac:dyDescent="0.25">
      <c r="A295" s="7">
        <f>DATE(YEAR(m2_crossvalid[[#This Row],[cutoff]]),MONTH(m2_crossvalid[[#This Row],[cutoff]]),DAY(m2_crossvalid[[#This Row],[cutoff]]))</f>
        <v>45930</v>
      </c>
      <c r="B295" s="7">
        <f>DATE(YEAR(m2_crossvalid[[#This Row],[ds]]),MONTH(m2_crossvalid[[#This Row],[ds]]),DAY(m2_crossvalid[[#This Row],[ds]]))</f>
        <v>45945</v>
      </c>
      <c r="C295">
        <v>3074</v>
      </c>
      <c r="D295" s="1">
        <v>45945.333333333336</v>
      </c>
      <c r="E295">
        <v>2662.0534113927401</v>
      </c>
      <c r="F295">
        <v>671.89959378120739</v>
      </c>
      <c r="G295">
        <v>4559.0112248250234</v>
      </c>
      <c r="H295" s="1">
        <v>45930.333333333336</v>
      </c>
    </row>
    <row r="296" spans="1:8" x14ac:dyDescent="0.25">
      <c r="A296" s="7">
        <f>DATE(YEAR(m2_crossvalid[[#This Row],[cutoff]]),MONTH(m2_crossvalid[[#This Row],[cutoff]]),DAY(m2_crossvalid[[#This Row],[cutoff]]))</f>
        <v>45930</v>
      </c>
      <c r="B296" s="7">
        <f>DATE(YEAR(m2_crossvalid[[#This Row],[ds]]),MONTH(m2_crossvalid[[#This Row],[ds]]),DAY(m2_crossvalid[[#This Row],[ds]]))</f>
        <v>45946</v>
      </c>
      <c r="C296">
        <v>3505</v>
      </c>
      <c r="D296" s="1">
        <v>45946.333333333336</v>
      </c>
      <c r="E296">
        <v>2782.8870577847847</v>
      </c>
      <c r="F296">
        <v>756.00949094893645</v>
      </c>
      <c r="G296">
        <v>4744.9635289483576</v>
      </c>
      <c r="H296" s="1">
        <v>45930.333333333336</v>
      </c>
    </row>
    <row r="297" spans="1:8" x14ac:dyDescent="0.25">
      <c r="A297" s="7">
        <f>DATE(YEAR(m2_crossvalid[[#This Row],[cutoff]]),MONTH(m2_crossvalid[[#This Row],[cutoff]]),DAY(m2_crossvalid[[#This Row],[cutoff]]))</f>
        <v>45930</v>
      </c>
      <c r="B297" s="7">
        <f>DATE(YEAR(m2_crossvalid[[#This Row],[ds]]),MONTH(m2_crossvalid[[#This Row],[ds]]),DAY(m2_crossvalid[[#This Row],[ds]]))</f>
        <v>45947</v>
      </c>
      <c r="C297">
        <v>3630</v>
      </c>
      <c r="D297" s="1">
        <v>45947.333333333336</v>
      </c>
      <c r="E297">
        <v>2941.7210897920654</v>
      </c>
      <c r="F297">
        <v>1108.1059261800945</v>
      </c>
      <c r="G297">
        <v>4925.5445115496068</v>
      </c>
      <c r="H297" s="1">
        <v>45930.333333333336</v>
      </c>
    </row>
    <row r="298" spans="1:8" x14ac:dyDescent="0.25">
      <c r="A298" s="7">
        <f>DATE(YEAR(m2_crossvalid[[#This Row],[cutoff]]),MONTH(m2_crossvalid[[#This Row],[cutoff]]),DAY(m2_crossvalid[[#This Row],[cutoff]]))</f>
        <v>45930</v>
      </c>
      <c r="B298" s="7">
        <f>DATE(YEAR(m2_crossvalid[[#This Row],[ds]]),MONTH(m2_crossvalid[[#This Row],[ds]]),DAY(m2_crossvalid[[#This Row],[ds]]))</f>
        <v>45948</v>
      </c>
      <c r="C298">
        <v>653</v>
      </c>
      <c r="D298" s="1">
        <v>45948.333333333336</v>
      </c>
      <c r="E298">
        <v>906.49267802657391</v>
      </c>
      <c r="F298">
        <v>-1206.1420759129021</v>
      </c>
      <c r="G298">
        <v>2803.5512367715155</v>
      </c>
      <c r="H298" s="1">
        <v>45930.333333333336</v>
      </c>
    </row>
    <row r="299" spans="1:8" x14ac:dyDescent="0.25">
      <c r="A299" s="7">
        <f>DATE(YEAR(m2_crossvalid[[#This Row],[cutoff]]),MONTH(m2_crossvalid[[#This Row],[cutoff]]),DAY(m2_crossvalid[[#This Row],[cutoff]]))</f>
        <v>45930</v>
      </c>
      <c r="B299" s="7">
        <f>DATE(YEAR(m2_crossvalid[[#This Row],[ds]]),MONTH(m2_crossvalid[[#This Row],[ds]]),DAY(m2_crossvalid[[#This Row],[ds]]))</f>
        <v>45949</v>
      </c>
      <c r="C299">
        <v>180</v>
      </c>
      <c r="D299" s="1">
        <v>45949.333333333336</v>
      </c>
      <c r="E299">
        <v>380.28390226436341</v>
      </c>
      <c r="F299">
        <v>-1616.0042967431166</v>
      </c>
      <c r="G299">
        <v>2207.1962916001057</v>
      </c>
      <c r="H299" s="1">
        <v>45930.333333333336</v>
      </c>
    </row>
    <row r="300" spans="1:8" x14ac:dyDescent="0.25">
      <c r="A300" s="7">
        <f>DATE(YEAR(m2_crossvalid[[#This Row],[cutoff]]),MONTH(m2_crossvalid[[#This Row],[cutoff]]),DAY(m2_crossvalid[[#This Row],[cutoff]]))</f>
        <v>45930</v>
      </c>
      <c r="B300" s="7">
        <f>DATE(YEAR(m2_crossvalid[[#This Row],[ds]]),MONTH(m2_crossvalid[[#This Row],[ds]]),DAY(m2_crossvalid[[#This Row],[ds]]))</f>
        <v>45950</v>
      </c>
      <c r="C300">
        <v>250</v>
      </c>
      <c r="D300" s="1">
        <v>45950.333333333336</v>
      </c>
      <c r="E300">
        <v>2617.3781191279559</v>
      </c>
      <c r="F300">
        <v>644.27988468753483</v>
      </c>
      <c r="G300">
        <v>4563.7484723983061</v>
      </c>
      <c r="H300" s="1">
        <v>45930.333333333336</v>
      </c>
    </row>
    <row r="301" spans="1:8" x14ac:dyDescent="0.25">
      <c r="A301" s="7">
        <f>DATE(YEAR(m2_crossvalid[[#This Row],[cutoff]]),MONTH(m2_crossvalid[[#This Row],[cutoff]]),DAY(m2_crossvalid[[#This Row],[cutoff]]))</f>
        <v>45930</v>
      </c>
      <c r="B301" s="7">
        <f>DATE(YEAR(m2_crossvalid[[#This Row],[ds]]),MONTH(m2_crossvalid[[#This Row],[ds]]),DAY(m2_crossvalid[[#This Row],[ds]]))</f>
        <v>45951</v>
      </c>
      <c r="C301">
        <v>2797</v>
      </c>
      <c r="D301" s="1">
        <v>45951.333333333336</v>
      </c>
      <c r="E301">
        <v>3083.8235097341858</v>
      </c>
      <c r="F301">
        <v>998.63802402240981</v>
      </c>
      <c r="G301">
        <v>5168.0536972945793</v>
      </c>
      <c r="H301" s="1">
        <v>45930.333333333336</v>
      </c>
    </row>
    <row r="302" spans="1:8" x14ac:dyDescent="0.25">
      <c r="A302" s="7">
        <f>DATE(YEAR(m2_crossvalid[[#This Row],[cutoff]]),MONTH(m2_crossvalid[[#This Row],[cutoff]]),DAY(m2_crossvalid[[#This Row],[cutoff]]))</f>
        <v>45930</v>
      </c>
      <c r="B302" s="7">
        <f>DATE(YEAR(m2_crossvalid[[#This Row],[ds]]),MONTH(m2_crossvalid[[#This Row],[ds]]),DAY(m2_crossvalid[[#This Row],[ds]]))</f>
        <v>45952</v>
      </c>
      <c r="C302">
        <v>3644</v>
      </c>
      <c r="D302" s="1">
        <v>45952.333333333336</v>
      </c>
      <c r="E302">
        <v>3314.8425800101913</v>
      </c>
      <c r="F302">
        <v>1317.2851040859136</v>
      </c>
      <c r="G302">
        <v>5355.4682499179635</v>
      </c>
      <c r="H302" s="1">
        <v>45930.333333333336</v>
      </c>
    </row>
    <row r="303" spans="1:8" x14ac:dyDescent="0.25">
      <c r="A303" s="7">
        <f>DATE(YEAR(m2_crossvalid[[#This Row],[cutoff]]),MONTH(m2_crossvalid[[#This Row],[cutoff]]),DAY(m2_crossvalid[[#This Row],[cutoff]]))</f>
        <v>45930</v>
      </c>
      <c r="B303" s="7">
        <f>DATE(YEAR(m2_crossvalid[[#This Row],[ds]]),MONTH(m2_crossvalid[[#This Row],[ds]]),DAY(m2_crossvalid[[#This Row],[ds]]))</f>
        <v>45953</v>
      </c>
      <c r="C303">
        <v>4009</v>
      </c>
      <c r="D303" s="1">
        <v>45953.333333333336</v>
      </c>
      <c r="E303">
        <v>3671.4352592765481</v>
      </c>
      <c r="F303">
        <v>1648.4120689354675</v>
      </c>
      <c r="G303">
        <v>5530.803663980867</v>
      </c>
      <c r="H303" s="1">
        <v>45930.333333333336</v>
      </c>
    </row>
    <row r="304" spans="1:8" x14ac:dyDescent="0.25">
      <c r="A304" s="7">
        <f>DATE(YEAR(m2_crossvalid[[#This Row],[cutoff]]),MONTH(m2_crossvalid[[#This Row],[cutoff]]),DAY(m2_crossvalid[[#This Row],[cutoff]]))</f>
        <v>45930</v>
      </c>
      <c r="B304" s="7">
        <f>DATE(YEAR(m2_crossvalid[[#This Row],[ds]]),MONTH(m2_crossvalid[[#This Row],[ds]]),DAY(m2_crossvalid[[#This Row],[ds]]))</f>
        <v>45954</v>
      </c>
      <c r="C304">
        <v>4008</v>
      </c>
      <c r="D304" s="1">
        <v>45954.333333333336</v>
      </c>
      <c r="E304">
        <v>3808.0583513395659</v>
      </c>
      <c r="F304">
        <v>1843.7639720628545</v>
      </c>
      <c r="G304">
        <v>5731.4372477367342</v>
      </c>
      <c r="H304" s="1">
        <v>45930.333333333336</v>
      </c>
    </row>
    <row r="305" spans="1:8" x14ac:dyDescent="0.25">
      <c r="A305" s="7">
        <f>DATE(YEAR(m2_crossvalid[[#This Row],[cutoff]]),MONTH(m2_crossvalid[[#This Row],[cutoff]]),DAY(m2_crossvalid[[#This Row],[cutoff]]))</f>
        <v>45930</v>
      </c>
      <c r="B305" s="7">
        <f>DATE(YEAR(m2_crossvalid[[#This Row],[ds]]),MONTH(m2_crossvalid[[#This Row],[ds]]),DAY(m2_crossvalid[[#This Row],[ds]]))</f>
        <v>45955</v>
      </c>
      <c r="C305">
        <v>971</v>
      </c>
      <c r="D305" s="1">
        <v>45955.333333333336</v>
      </c>
      <c r="E305">
        <v>1536.8559887048677</v>
      </c>
      <c r="F305">
        <v>-488.22875489905931</v>
      </c>
      <c r="G305">
        <v>3518.3526128605658</v>
      </c>
      <c r="H305" s="1">
        <v>45930.333333333336</v>
      </c>
    </row>
    <row r="306" spans="1:8" x14ac:dyDescent="0.25">
      <c r="A306" s="7">
        <f>DATE(YEAR(m2_crossvalid[[#This Row],[cutoff]]),MONTH(m2_crossvalid[[#This Row],[cutoff]]),DAY(m2_crossvalid[[#This Row],[cutoff]]))</f>
        <v>45930</v>
      </c>
      <c r="B306" s="7">
        <f>DATE(YEAR(m2_crossvalid[[#This Row],[ds]]),MONTH(m2_crossvalid[[#This Row],[ds]]),DAY(m2_crossvalid[[#This Row],[ds]]))</f>
        <v>45956</v>
      </c>
      <c r="C306">
        <v>238</v>
      </c>
      <c r="D306" s="1">
        <v>45956.333333333336</v>
      </c>
      <c r="E306">
        <v>908.5562774511377</v>
      </c>
      <c r="F306">
        <v>-1167.5203941937257</v>
      </c>
      <c r="G306">
        <v>2782.5834345580115</v>
      </c>
      <c r="H306" s="1">
        <v>45930.333333333336</v>
      </c>
    </row>
    <row r="307" spans="1:8" x14ac:dyDescent="0.25">
      <c r="A307" s="7">
        <f>DATE(YEAR(m2_crossvalid[[#This Row],[cutoff]]),MONTH(m2_crossvalid[[#This Row],[cutoff]]),DAY(m2_crossvalid[[#This Row],[cutoff]]))</f>
        <v>45930</v>
      </c>
      <c r="B307" s="7">
        <f>DATE(YEAR(m2_crossvalid[[#This Row],[ds]]),MONTH(m2_crossvalid[[#This Row],[ds]]),DAY(m2_crossvalid[[#This Row],[ds]]))</f>
        <v>45957</v>
      </c>
      <c r="C307">
        <v>4219</v>
      </c>
      <c r="D307" s="1">
        <v>45957.333333333336</v>
      </c>
      <c r="E307">
        <v>3530.6183642302121</v>
      </c>
      <c r="F307">
        <v>1486.4823479620973</v>
      </c>
      <c r="G307">
        <v>5377.7239866195059</v>
      </c>
      <c r="H307" s="1">
        <v>45930.333333333336</v>
      </c>
    </row>
    <row r="308" spans="1:8" x14ac:dyDescent="0.25">
      <c r="A308" s="7">
        <f>DATE(YEAR(m2_crossvalid[[#This Row],[cutoff]]),MONTH(m2_crossvalid[[#This Row],[cutoff]]),DAY(m2_crossvalid[[#This Row],[cutoff]]))</f>
        <v>45930</v>
      </c>
      <c r="B308" s="7">
        <f>DATE(YEAR(m2_crossvalid[[#This Row],[ds]]),MONTH(m2_crossvalid[[#This Row],[ds]]),DAY(m2_crossvalid[[#This Row],[ds]]))</f>
        <v>45958</v>
      </c>
      <c r="C308">
        <v>5659</v>
      </c>
      <c r="D308" s="1">
        <v>45958.333333333336</v>
      </c>
      <c r="E308">
        <v>4877.9108072046965</v>
      </c>
      <c r="F308">
        <v>2849.5978998616179</v>
      </c>
      <c r="G308">
        <v>6835.750886490423</v>
      </c>
      <c r="H308" s="1">
        <v>45930.333333333336</v>
      </c>
    </row>
    <row r="309" spans="1:8" x14ac:dyDescent="0.25">
      <c r="A309" s="7">
        <f>DATE(YEAR(m2_crossvalid[[#This Row],[cutoff]]),MONTH(m2_crossvalid[[#This Row],[cutoff]]),DAY(m2_crossvalid[[#This Row],[cutoff]]))</f>
        <v>45930</v>
      </c>
      <c r="B309" s="7">
        <f>DATE(YEAR(m2_crossvalid[[#This Row],[ds]]),MONTH(m2_crossvalid[[#This Row],[ds]]),DAY(m2_crossvalid[[#This Row],[ds]]))</f>
        <v>45959</v>
      </c>
      <c r="C309">
        <v>6381</v>
      </c>
      <c r="D309" s="1">
        <v>45959.333333333336</v>
      </c>
      <c r="E309">
        <v>6062.592902195267</v>
      </c>
      <c r="F309">
        <v>4058.7879201121405</v>
      </c>
      <c r="G309">
        <v>8024.504208301978</v>
      </c>
      <c r="H309" s="1">
        <v>45930.333333333336</v>
      </c>
    </row>
    <row r="310" spans="1:8" x14ac:dyDescent="0.25">
      <c r="A310" s="7">
        <f>DATE(YEAR(m2_crossvalid[[#This Row],[cutoff]]),MONTH(m2_crossvalid[[#This Row],[cutoff]]),DAY(m2_crossvalid[[#This Row],[cutoff]]))</f>
        <v>45930</v>
      </c>
      <c r="B310" s="7">
        <f>DATE(YEAR(m2_crossvalid[[#This Row],[ds]]),MONTH(m2_crossvalid[[#This Row],[ds]]),DAY(m2_crossvalid[[#This Row],[ds]]))</f>
        <v>45960</v>
      </c>
      <c r="C310">
        <v>7936</v>
      </c>
      <c r="D310" s="1">
        <v>45960.333333333336</v>
      </c>
      <c r="E310">
        <v>6850.7128958455041</v>
      </c>
      <c r="F310">
        <v>4944.0774664817236</v>
      </c>
      <c r="G310">
        <v>8728.9171179676414</v>
      </c>
      <c r="H310" s="1">
        <v>45930.333333333336</v>
      </c>
    </row>
    <row r="311" spans="1:8" x14ac:dyDescent="0.25">
      <c r="A311" s="7">
        <f>DATE(YEAR(m2_crossvalid[[#This Row],[cutoff]]),MONTH(m2_crossvalid[[#This Row],[cutoff]]),DAY(m2_crossvalid[[#This Row],[cutoff]]))</f>
        <v>45930</v>
      </c>
      <c r="B311" s="7">
        <f>DATE(YEAR(m2_crossvalid[[#This Row],[ds]]),MONTH(m2_crossvalid[[#This Row],[ds]]),DAY(m2_crossvalid[[#This Row],[ds]]))</f>
        <v>45961</v>
      </c>
      <c r="C311">
        <v>13386</v>
      </c>
      <c r="D311" s="1">
        <v>45961.333333333336</v>
      </c>
      <c r="E311">
        <v>6521.7308561098071</v>
      </c>
      <c r="F311">
        <v>4459.9188821189719</v>
      </c>
      <c r="G311">
        <v>8288.2311316129417</v>
      </c>
      <c r="H311" s="1">
        <v>45930.333333333336</v>
      </c>
    </row>
    <row r="312" spans="1:8" x14ac:dyDescent="0.25">
      <c r="A312" s="7">
        <f>DATE(YEAR(m2_crossvalid[[#This Row],[cutoff]]),MONTH(m2_crossvalid[[#This Row],[cutoff]]),DAY(m2_crossvalid[[#This Row],[cutoff]]))</f>
        <v>45961</v>
      </c>
      <c r="B312" s="7">
        <f>DATE(YEAR(m2_crossvalid[[#This Row],[ds]]),MONTH(m2_crossvalid[[#This Row],[ds]]),DAY(m2_crossvalid[[#This Row],[ds]]))</f>
        <v>45962</v>
      </c>
      <c r="C312">
        <v>104</v>
      </c>
      <c r="D312" s="1">
        <v>45962.333333333336</v>
      </c>
      <c r="E312">
        <v>3069.1055131603248</v>
      </c>
      <c r="F312">
        <v>1101.6341108955403</v>
      </c>
      <c r="G312">
        <v>5056.4348953888202</v>
      </c>
      <c r="H312" s="1">
        <v>45961.333333333336</v>
      </c>
    </row>
    <row r="313" spans="1:8" x14ac:dyDescent="0.25">
      <c r="A313" s="7">
        <f>DATE(YEAR(m2_crossvalid[[#This Row],[cutoff]]),MONTH(m2_crossvalid[[#This Row],[cutoff]]),DAY(m2_crossvalid[[#This Row],[cutoff]]))</f>
        <v>45961</v>
      </c>
      <c r="B313" s="7">
        <f>DATE(YEAR(m2_crossvalid[[#This Row],[ds]]),MONTH(m2_crossvalid[[#This Row],[ds]]),DAY(m2_crossvalid[[#This Row],[ds]]))</f>
        <v>45963</v>
      </c>
      <c r="C313">
        <v>32</v>
      </c>
      <c r="D313" s="1">
        <v>45963.333333333336</v>
      </c>
      <c r="E313">
        <v>668.01064024290577</v>
      </c>
      <c r="F313">
        <v>-1353.1975924362303</v>
      </c>
      <c r="G313">
        <v>2642.9956653931968</v>
      </c>
      <c r="H313" s="1">
        <v>45961.333333333336</v>
      </c>
    </row>
    <row r="314" spans="1:8" x14ac:dyDescent="0.25">
      <c r="A314" s="7">
        <f>DATE(YEAR(m2_crossvalid[[#This Row],[cutoff]]),MONTH(m2_crossvalid[[#This Row],[cutoff]]),DAY(m2_crossvalid[[#This Row],[cutoff]]))</f>
        <v>45961</v>
      </c>
      <c r="B314" s="7">
        <f>DATE(YEAR(m2_crossvalid[[#This Row],[ds]]),MONTH(m2_crossvalid[[#This Row],[ds]]),DAY(m2_crossvalid[[#This Row],[ds]]))</f>
        <v>45964</v>
      </c>
      <c r="C314">
        <v>607</v>
      </c>
      <c r="D314" s="1">
        <v>45964.333333333336</v>
      </c>
      <c r="E314">
        <v>1510.8684523968088</v>
      </c>
      <c r="F314">
        <v>-452.65511723916711</v>
      </c>
      <c r="G314">
        <v>3658.965430574206</v>
      </c>
      <c r="H314" s="1">
        <v>45961.333333333336</v>
      </c>
    </row>
    <row r="315" spans="1:8" x14ac:dyDescent="0.25">
      <c r="A315" s="7">
        <f>DATE(YEAR(m2_crossvalid[[#This Row],[cutoff]]),MONTH(m2_crossvalid[[#This Row],[cutoff]]),DAY(m2_crossvalid[[#This Row],[cutoff]]))</f>
        <v>45961</v>
      </c>
      <c r="B315" s="7">
        <f>DATE(YEAR(m2_crossvalid[[#This Row],[ds]]),MONTH(m2_crossvalid[[#This Row],[ds]]),DAY(m2_crossvalid[[#This Row],[ds]]))</f>
        <v>45965</v>
      </c>
      <c r="C315">
        <v>821</v>
      </c>
      <c r="D315" s="1">
        <v>45965.333333333336</v>
      </c>
      <c r="E315">
        <v>1405.2467550231422</v>
      </c>
      <c r="F315">
        <v>-632.45649534479276</v>
      </c>
      <c r="G315">
        <v>3414.1900158224294</v>
      </c>
      <c r="H315" s="1">
        <v>45961.333333333336</v>
      </c>
    </row>
    <row r="316" spans="1:8" x14ac:dyDescent="0.25">
      <c r="A316" s="7">
        <f>DATE(YEAR(m2_crossvalid[[#This Row],[cutoff]]),MONTH(m2_crossvalid[[#This Row],[cutoff]]),DAY(m2_crossvalid[[#This Row],[cutoff]]))</f>
        <v>45961</v>
      </c>
      <c r="B316" s="7">
        <f>DATE(YEAR(m2_crossvalid[[#This Row],[ds]]),MONTH(m2_crossvalid[[#This Row],[ds]]),DAY(m2_crossvalid[[#This Row],[ds]]))</f>
        <v>45966</v>
      </c>
      <c r="C316">
        <v>1032</v>
      </c>
      <c r="D316" s="1">
        <v>45966.333333333336</v>
      </c>
      <c r="E316">
        <v>1584.1612805872473</v>
      </c>
      <c r="F316">
        <v>-361.88410869220121</v>
      </c>
      <c r="G316">
        <v>3624.280055437478</v>
      </c>
      <c r="H316" s="1">
        <v>45961.333333333336</v>
      </c>
    </row>
    <row r="317" spans="1:8" x14ac:dyDescent="0.25">
      <c r="A317" s="7">
        <f>DATE(YEAR(m2_crossvalid[[#This Row],[cutoff]]),MONTH(m2_crossvalid[[#This Row],[cutoff]]),DAY(m2_crossvalid[[#This Row],[cutoff]]))</f>
        <v>45961</v>
      </c>
      <c r="B317" s="7">
        <f>DATE(YEAR(m2_crossvalid[[#This Row],[ds]]),MONTH(m2_crossvalid[[#This Row],[ds]]),DAY(m2_crossvalid[[#This Row],[ds]]))</f>
        <v>45967</v>
      </c>
      <c r="C317">
        <v>1396</v>
      </c>
      <c r="D317" s="1">
        <v>45967.333333333336</v>
      </c>
      <c r="E317">
        <v>2063.6109629912839</v>
      </c>
      <c r="F317">
        <v>78.949297110119446</v>
      </c>
      <c r="G317">
        <v>4021.8444416317052</v>
      </c>
      <c r="H317" s="1">
        <v>45961.333333333336</v>
      </c>
    </row>
    <row r="318" spans="1:8" x14ac:dyDescent="0.25">
      <c r="A318" s="7">
        <f>DATE(YEAR(m2_crossvalid[[#This Row],[cutoff]]),MONTH(m2_crossvalid[[#This Row],[cutoff]]),DAY(m2_crossvalid[[#This Row],[cutoff]]))</f>
        <v>45961</v>
      </c>
      <c r="B318" s="7">
        <f>DATE(YEAR(m2_crossvalid[[#This Row],[ds]]),MONTH(m2_crossvalid[[#This Row],[ds]]),DAY(m2_crossvalid[[#This Row],[ds]]))</f>
        <v>45968</v>
      </c>
      <c r="C318">
        <v>1612</v>
      </c>
      <c r="D318" s="1">
        <v>45968.333333333336</v>
      </c>
      <c r="E318">
        <v>2267.1409955512813</v>
      </c>
      <c r="F318">
        <v>291.14658688950283</v>
      </c>
      <c r="G318">
        <v>4139.2531739703882</v>
      </c>
      <c r="H318" s="1">
        <v>45961.333333333336</v>
      </c>
    </row>
    <row r="319" spans="1:8" x14ac:dyDescent="0.25">
      <c r="A319" s="7">
        <f>DATE(YEAR(m2_crossvalid[[#This Row],[cutoff]]),MONTH(m2_crossvalid[[#This Row],[cutoff]]),DAY(m2_crossvalid[[#This Row],[cutoff]]))</f>
        <v>45961</v>
      </c>
      <c r="B319" s="7">
        <f>DATE(YEAR(m2_crossvalid[[#This Row],[ds]]),MONTH(m2_crossvalid[[#This Row],[ds]]),DAY(m2_crossvalid[[#This Row],[ds]]))</f>
        <v>45969</v>
      </c>
      <c r="C319">
        <v>206</v>
      </c>
      <c r="D319" s="1">
        <v>45969.333333333336</v>
      </c>
      <c r="E319">
        <v>-46.829038242572096</v>
      </c>
      <c r="F319">
        <v>-1934.746078155453</v>
      </c>
      <c r="G319">
        <v>1959.098496472473</v>
      </c>
      <c r="H319" s="1">
        <v>45961.333333333336</v>
      </c>
    </row>
    <row r="320" spans="1:8" x14ac:dyDescent="0.25">
      <c r="A320" s="7">
        <f>DATE(YEAR(m2_crossvalid[[#This Row],[cutoff]]),MONTH(m2_crossvalid[[#This Row],[cutoff]]),DAY(m2_crossvalid[[#This Row],[cutoff]]))</f>
        <v>45961</v>
      </c>
      <c r="B320" s="7">
        <f>DATE(YEAR(m2_crossvalid[[#This Row],[ds]]),MONTH(m2_crossvalid[[#This Row],[ds]]),DAY(m2_crossvalid[[#This Row],[ds]]))</f>
        <v>45970</v>
      </c>
      <c r="C320">
        <v>95</v>
      </c>
      <c r="D320" s="1">
        <v>45970.333333333336</v>
      </c>
      <c r="E320">
        <v>-703.49836627465811</v>
      </c>
      <c r="F320">
        <v>-2651.8388812601283</v>
      </c>
      <c r="G320">
        <v>1309.5424732600591</v>
      </c>
      <c r="H320" s="1">
        <v>45961.333333333336</v>
      </c>
    </row>
    <row r="321" spans="1:8" x14ac:dyDescent="0.25">
      <c r="A321" s="7">
        <f>DATE(YEAR(m2_crossvalid[[#This Row],[cutoff]]),MONTH(m2_crossvalid[[#This Row],[cutoff]]),DAY(m2_crossvalid[[#This Row],[cutoff]]))</f>
        <v>45961</v>
      </c>
      <c r="B321" s="7">
        <f>DATE(YEAR(m2_crossvalid[[#This Row],[ds]]),MONTH(m2_crossvalid[[#This Row],[ds]]),DAY(m2_crossvalid[[#This Row],[ds]]))</f>
        <v>45971</v>
      </c>
      <c r="C321">
        <v>1552</v>
      </c>
      <c r="D321" s="1">
        <v>45971.333333333336</v>
      </c>
      <c r="E321">
        <v>1686.6084664804803</v>
      </c>
      <c r="F321">
        <v>-310.40396766292832</v>
      </c>
      <c r="G321">
        <v>3517.7570882841478</v>
      </c>
      <c r="H321" s="1">
        <v>45961.333333333336</v>
      </c>
    </row>
    <row r="322" spans="1:8" x14ac:dyDescent="0.25">
      <c r="A322" s="7">
        <f>DATE(YEAR(m2_crossvalid[[#This Row],[cutoff]]),MONTH(m2_crossvalid[[#This Row],[cutoff]]),DAY(m2_crossvalid[[#This Row],[cutoff]]))</f>
        <v>45961</v>
      </c>
      <c r="B322" s="7">
        <f>DATE(YEAR(m2_crossvalid[[#This Row],[ds]]),MONTH(m2_crossvalid[[#This Row],[ds]]),DAY(m2_crossvalid[[#This Row],[ds]]))</f>
        <v>45972</v>
      </c>
      <c r="C322">
        <v>1937</v>
      </c>
      <c r="D322" s="1">
        <v>45972.333333333336</v>
      </c>
      <c r="E322">
        <v>2422.1204134402988</v>
      </c>
      <c r="F322">
        <v>638.85687978611918</v>
      </c>
      <c r="G322">
        <v>4494.385309077622</v>
      </c>
      <c r="H322" s="1">
        <v>45961.333333333336</v>
      </c>
    </row>
    <row r="323" spans="1:8" x14ac:dyDescent="0.25">
      <c r="A323" s="7">
        <f>DATE(YEAR(m2_crossvalid[[#This Row],[cutoff]]),MONTH(m2_crossvalid[[#This Row],[cutoff]]),DAY(m2_crossvalid[[#This Row],[cutoff]]))</f>
        <v>45961</v>
      </c>
      <c r="B323" s="7">
        <f>DATE(YEAR(m2_crossvalid[[#This Row],[ds]]),MONTH(m2_crossvalid[[#This Row],[ds]]),DAY(m2_crossvalid[[#This Row],[ds]]))</f>
        <v>45973</v>
      </c>
      <c r="C323">
        <v>2198</v>
      </c>
      <c r="D323" s="1">
        <v>45973.333333333336</v>
      </c>
      <c r="E323">
        <v>2651.3534358330617</v>
      </c>
      <c r="F323">
        <v>634.53710878097229</v>
      </c>
      <c r="G323">
        <v>4611.312389783081</v>
      </c>
      <c r="H323" s="1">
        <v>45961.333333333336</v>
      </c>
    </row>
    <row r="324" spans="1:8" x14ac:dyDescent="0.25">
      <c r="A324" s="7">
        <f>DATE(YEAR(m2_crossvalid[[#This Row],[cutoff]]),MONTH(m2_crossvalid[[#This Row],[cutoff]]),DAY(m2_crossvalid[[#This Row],[cutoff]]))</f>
        <v>45961</v>
      </c>
      <c r="B324" s="7">
        <f>DATE(YEAR(m2_crossvalid[[#This Row],[ds]]),MONTH(m2_crossvalid[[#This Row],[ds]]),DAY(m2_crossvalid[[#This Row],[ds]]))</f>
        <v>45974</v>
      </c>
      <c r="C324">
        <v>2401</v>
      </c>
      <c r="D324" s="1">
        <v>45974.333333333336</v>
      </c>
      <c r="E324">
        <v>2756.3418980421911</v>
      </c>
      <c r="F324">
        <v>809.81310331537702</v>
      </c>
      <c r="G324">
        <v>4676.3746342436125</v>
      </c>
      <c r="H324" s="1">
        <v>45961.333333333336</v>
      </c>
    </row>
    <row r="325" spans="1:8" x14ac:dyDescent="0.25">
      <c r="A325" s="7">
        <f>DATE(YEAR(m2_crossvalid[[#This Row],[cutoff]]),MONTH(m2_crossvalid[[#This Row],[cutoff]]),DAY(m2_crossvalid[[#This Row],[cutoff]]))</f>
        <v>45961</v>
      </c>
      <c r="B325" s="7">
        <f>DATE(YEAR(m2_crossvalid[[#This Row],[ds]]),MONTH(m2_crossvalid[[#This Row],[ds]]),DAY(m2_crossvalid[[#This Row],[ds]]))</f>
        <v>45975</v>
      </c>
      <c r="C325">
        <v>2547</v>
      </c>
      <c r="D325" s="1">
        <v>45975.333333333336</v>
      </c>
      <c r="E325">
        <v>2669.56024280769</v>
      </c>
      <c r="F325">
        <v>597.42729921594241</v>
      </c>
      <c r="G325">
        <v>4703.8115615202951</v>
      </c>
      <c r="H325" s="1">
        <v>45961.333333333336</v>
      </c>
    </row>
    <row r="326" spans="1:8" x14ac:dyDescent="0.25">
      <c r="A326" s="7">
        <f>DATE(YEAR(m2_crossvalid[[#This Row],[cutoff]]),MONTH(m2_crossvalid[[#This Row],[cutoff]]),DAY(m2_crossvalid[[#This Row],[cutoff]]))</f>
        <v>45961</v>
      </c>
      <c r="B326" s="7">
        <f>DATE(YEAR(m2_crossvalid[[#This Row],[ds]]),MONTH(m2_crossvalid[[#This Row],[ds]]),DAY(m2_crossvalid[[#This Row],[ds]]))</f>
        <v>45976</v>
      </c>
      <c r="C326">
        <v>773</v>
      </c>
      <c r="D326" s="1">
        <v>45976.333333333336</v>
      </c>
      <c r="E326">
        <v>410.29177409792078</v>
      </c>
      <c r="F326">
        <v>-1755.1665948893274</v>
      </c>
      <c r="G326">
        <v>2155.6534828011218</v>
      </c>
      <c r="H326" s="1">
        <v>45961.333333333336</v>
      </c>
    </row>
    <row r="327" spans="1:8" x14ac:dyDescent="0.25">
      <c r="A327" s="7">
        <f>DATE(YEAR(m2_crossvalid[[#This Row],[cutoff]]),MONTH(m2_crossvalid[[#This Row],[cutoff]]),DAY(m2_crossvalid[[#This Row],[cutoff]]))</f>
        <v>45961</v>
      </c>
      <c r="B327" s="7">
        <f>DATE(YEAR(m2_crossvalid[[#This Row],[ds]]),MONTH(m2_crossvalid[[#This Row],[ds]]),DAY(m2_crossvalid[[#This Row],[ds]]))</f>
        <v>45977</v>
      </c>
      <c r="C327">
        <v>113</v>
      </c>
      <c r="D327" s="1">
        <v>45977.333333333336</v>
      </c>
      <c r="E327">
        <v>18.802333304452077</v>
      </c>
      <c r="F327">
        <v>-1905.7346822071815</v>
      </c>
      <c r="G327">
        <v>2090.1797145058563</v>
      </c>
      <c r="H327" s="1">
        <v>45961.333333333336</v>
      </c>
    </row>
    <row r="328" spans="1:8" x14ac:dyDescent="0.25">
      <c r="A328" s="7">
        <f>DATE(YEAR(m2_crossvalid[[#This Row],[cutoff]]),MONTH(m2_crossvalid[[#This Row],[cutoff]]),DAY(m2_crossvalid[[#This Row],[cutoff]]))</f>
        <v>45961</v>
      </c>
      <c r="B328" s="7">
        <f>DATE(YEAR(m2_crossvalid[[#This Row],[ds]]),MONTH(m2_crossvalid[[#This Row],[ds]]),DAY(m2_crossvalid[[#This Row],[ds]]))</f>
        <v>45978</v>
      </c>
      <c r="C328">
        <v>2849</v>
      </c>
      <c r="D328" s="1">
        <v>45978.333333333336</v>
      </c>
      <c r="E328">
        <v>2558.099755718461</v>
      </c>
      <c r="F328">
        <v>505.60580647404441</v>
      </c>
      <c r="G328">
        <v>4494.709982356494</v>
      </c>
      <c r="H328" s="1">
        <v>45961.333333333336</v>
      </c>
    </row>
    <row r="329" spans="1:8" x14ac:dyDescent="0.25">
      <c r="A329" s="7">
        <f>DATE(YEAR(m2_crossvalid[[#This Row],[cutoff]]),MONTH(m2_crossvalid[[#This Row],[cutoff]]),DAY(m2_crossvalid[[#This Row],[cutoff]]))</f>
        <v>45961</v>
      </c>
      <c r="B329" s="7">
        <f>DATE(YEAR(m2_crossvalid[[#This Row],[ds]]),MONTH(m2_crossvalid[[#This Row],[ds]]),DAY(m2_crossvalid[[#This Row],[ds]]))</f>
        <v>45979</v>
      </c>
      <c r="C329">
        <v>3351</v>
      </c>
      <c r="D329" s="1">
        <v>45979.333333333336</v>
      </c>
      <c r="E329">
        <v>3154.4994585751438</v>
      </c>
      <c r="F329">
        <v>1112.8464834973283</v>
      </c>
      <c r="G329">
        <v>5098.5970006458047</v>
      </c>
      <c r="H329" s="1">
        <v>45961.333333333336</v>
      </c>
    </row>
    <row r="330" spans="1:8" x14ac:dyDescent="0.25">
      <c r="A330" s="7">
        <f>DATE(YEAR(m2_crossvalid[[#This Row],[cutoff]]),MONTH(m2_crossvalid[[#This Row],[cutoff]]),DAY(m2_crossvalid[[#This Row],[cutoff]]))</f>
        <v>45961</v>
      </c>
      <c r="B330" s="7">
        <f>DATE(YEAR(m2_crossvalid[[#This Row],[ds]]),MONTH(m2_crossvalid[[#This Row],[ds]]),DAY(m2_crossvalid[[#This Row],[ds]]))</f>
        <v>45980</v>
      </c>
      <c r="C330">
        <v>3248</v>
      </c>
      <c r="D330" s="1">
        <v>45980.333333333336</v>
      </c>
      <c r="E330">
        <v>3100.1310126208241</v>
      </c>
      <c r="F330">
        <v>1275.6685223767936</v>
      </c>
      <c r="G330">
        <v>5255.5569741463378</v>
      </c>
      <c r="H330" s="1">
        <v>45961.333333333336</v>
      </c>
    </row>
    <row r="331" spans="1:8" x14ac:dyDescent="0.25">
      <c r="A331" s="7">
        <f>DATE(YEAR(m2_crossvalid[[#This Row],[cutoff]]),MONTH(m2_crossvalid[[#This Row],[cutoff]]),DAY(m2_crossvalid[[#This Row],[cutoff]]))</f>
        <v>45961</v>
      </c>
      <c r="B331" s="7">
        <f>DATE(YEAR(m2_crossvalid[[#This Row],[ds]]),MONTH(m2_crossvalid[[#This Row],[ds]]),DAY(m2_crossvalid[[#This Row],[ds]]))</f>
        <v>45981</v>
      </c>
      <c r="C331">
        <v>3581</v>
      </c>
      <c r="D331" s="1">
        <v>45981.333333333336</v>
      </c>
      <c r="E331">
        <v>3075.1997015902866</v>
      </c>
      <c r="F331">
        <v>1061.1989521545395</v>
      </c>
      <c r="G331">
        <v>5040.863502250013</v>
      </c>
      <c r="H331" s="1">
        <v>45961.333333333336</v>
      </c>
    </row>
    <row r="332" spans="1:8" x14ac:dyDescent="0.25">
      <c r="A332" s="7">
        <f>DATE(YEAR(m2_crossvalid[[#This Row],[cutoff]]),MONTH(m2_crossvalid[[#This Row],[cutoff]]),DAY(m2_crossvalid[[#This Row],[cutoff]]))</f>
        <v>45961</v>
      </c>
      <c r="B332" s="7">
        <f>DATE(YEAR(m2_crossvalid[[#This Row],[ds]]),MONTH(m2_crossvalid[[#This Row],[ds]]),DAY(m2_crossvalid[[#This Row],[ds]]))</f>
        <v>45982</v>
      </c>
      <c r="C332">
        <v>3622</v>
      </c>
      <c r="D332" s="1">
        <v>45982.333333333336</v>
      </c>
      <c r="E332">
        <v>3152.8007021242252</v>
      </c>
      <c r="F332">
        <v>1100.964479044311</v>
      </c>
      <c r="G332">
        <v>5081.7105292911074</v>
      </c>
      <c r="H332" s="1">
        <v>45961.333333333336</v>
      </c>
    </row>
    <row r="333" spans="1:8" x14ac:dyDescent="0.25">
      <c r="A333" s="7">
        <f>DATE(YEAR(m2_crossvalid[[#This Row],[cutoff]]),MONTH(m2_crossvalid[[#This Row],[cutoff]]),DAY(m2_crossvalid[[#This Row],[cutoff]]))</f>
        <v>45961</v>
      </c>
      <c r="B333" s="7">
        <f>DATE(YEAR(m2_crossvalid[[#This Row],[ds]]),MONTH(m2_crossvalid[[#This Row],[ds]]),DAY(m2_crossvalid[[#This Row],[ds]]))</f>
        <v>45983</v>
      </c>
      <c r="C333">
        <v>783</v>
      </c>
      <c r="D333" s="1">
        <v>45983.333333333336</v>
      </c>
      <c r="E333">
        <v>1188.0576162032523</v>
      </c>
      <c r="F333">
        <v>-1027.814666791732</v>
      </c>
      <c r="G333">
        <v>3142.5927851969068</v>
      </c>
      <c r="H333" s="1">
        <v>45961.333333333336</v>
      </c>
    </row>
    <row r="334" spans="1:8" x14ac:dyDescent="0.25">
      <c r="A334" s="7">
        <f>DATE(YEAR(m2_crossvalid[[#This Row],[cutoff]]),MONTH(m2_crossvalid[[#This Row],[cutoff]]),DAY(m2_crossvalid[[#This Row],[cutoff]]))</f>
        <v>45961</v>
      </c>
      <c r="B334" s="7">
        <f>DATE(YEAR(m2_crossvalid[[#This Row],[ds]]),MONTH(m2_crossvalid[[#This Row],[ds]]),DAY(m2_crossvalid[[#This Row],[ds]]))</f>
        <v>45984</v>
      </c>
      <c r="C334">
        <v>188</v>
      </c>
      <c r="D334" s="1">
        <v>45984.333333333336</v>
      </c>
      <c r="E334">
        <v>920.53283902159274</v>
      </c>
      <c r="F334">
        <v>-1040.304733768008</v>
      </c>
      <c r="G334">
        <v>2933.2302058617738</v>
      </c>
      <c r="H334" s="1">
        <v>45961.333333333336</v>
      </c>
    </row>
    <row r="335" spans="1:8" x14ac:dyDescent="0.25">
      <c r="A335" s="7">
        <f>DATE(YEAR(m2_crossvalid[[#This Row],[cutoff]]),MONTH(m2_crossvalid[[#This Row],[cutoff]]),DAY(m2_crossvalid[[#This Row],[cutoff]]))</f>
        <v>45961</v>
      </c>
      <c r="B335" s="7">
        <f>DATE(YEAR(m2_crossvalid[[#This Row],[ds]]),MONTH(m2_crossvalid[[#This Row],[ds]]),DAY(m2_crossvalid[[#This Row],[ds]]))</f>
        <v>45985</v>
      </c>
      <c r="C335">
        <v>3515</v>
      </c>
      <c r="D335" s="1">
        <v>45985.333333333336</v>
      </c>
      <c r="E335">
        <v>3299.6013481044647</v>
      </c>
      <c r="F335">
        <v>1348.0037218569594</v>
      </c>
      <c r="G335">
        <v>5255.6434464095637</v>
      </c>
      <c r="H335" s="1">
        <v>45961.333333333336</v>
      </c>
    </row>
    <row r="336" spans="1:8" x14ac:dyDescent="0.25">
      <c r="A336" s="7">
        <f>DATE(YEAR(m2_crossvalid[[#This Row],[cutoff]]),MONTH(m2_crossvalid[[#This Row],[cutoff]]),DAY(m2_crossvalid[[#This Row],[cutoff]]))</f>
        <v>45961</v>
      </c>
      <c r="B336" s="7">
        <f>DATE(YEAR(m2_crossvalid[[#This Row],[ds]]),MONTH(m2_crossvalid[[#This Row],[ds]]),DAY(m2_crossvalid[[#This Row],[ds]]))</f>
        <v>45986</v>
      </c>
      <c r="C336">
        <v>4824</v>
      </c>
      <c r="D336" s="1">
        <v>45986.333333333336</v>
      </c>
      <c r="E336">
        <v>3684.7003047284279</v>
      </c>
      <c r="F336">
        <v>1577.2279760019458</v>
      </c>
      <c r="G336">
        <v>5700.7635145697877</v>
      </c>
      <c r="H336" s="1">
        <v>45961.333333333336</v>
      </c>
    </row>
    <row r="337" spans="1:8" x14ac:dyDescent="0.25">
      <c r="A337" s="7">
        <f>DATE(YEAR(m2_crossvalid[[#This Row],[cutoff]]),MONTH(m2_crossvalid[[#This Row],[cutoff]]),DAY(m2_crossvalid[[#This Row],[cutoff]]))</f>
        <v>45961</v>
      </c>
      <c r="B337" s="7">
        <f>DATE(YEAR(m2_crossvalid[[#This Row],[ds]]),MONTH(m2_crossvalid[[#This Row],[ds]]),DAY(m2_crossvalid[[#This Row],[ds]]))</f>
        <v>45987</v>
      </c>
      <c r="C337">
        <v>5463</v>
      </c>
      <c r="D337" s="1">
        <v>45987.333333333336</v>
      </c>
      <c r="E337">
        <v>3770.6334998738985</v>
      </c>
      <c r="F337">
        <v>1717.907284949026</v>
      </c>
      <c r="G337">
        <v>5804.7515518517466</v>
      </c>
      <c r="H337" s="1">
        <v>45961.333333333336</v>
      </c>
    </row>
    <row r="338" spans="1:8" x14ac:dyDescent="0.25">
      <c r="A338" s="7">
        <f>DATE(YEAR(m2_crossvalid[[#This Row],[cutoff]]),MONTH(m2_crossvalid[[#This Row],[cutoff]]),DAY(m2_crossvalid[[#This Row],[cutoff]]))</f>
        <v>45961</v>
      </c>
      <c r="B338" s="7">
        <f>DATE(YEAR(m2_crossvalid[[#This Row],[ds]]),MONTH(m2_crossvalid[[#This Row],[ds]]),DAY(m2_crossvalid[[#This Row],[ds]]))</f>
        <v>45988</v>
      </c>
      <c r="C338">
        <v>7236</v>
      </c>
      <c r="D338" s="1">
        <v>45988.333333333336</v>
      </c>
      <c r="E338">
        <v>4437.9595139576759</v>
      </c>
      <c r="F338">
        <v>2397.2337773583931</v>
      </c>
      <c r="G338">
        <v>6544.8853246666367</v>
      </c>
      <c r="H338" s="1">
        <v>45961.333333333336</v>
      </c>
    </row>
    <row r="339" spans="1:8" x14ac:dyDescent="0.25">
      <c r="A339" s="7">
        <f>DATE(YEAR(m2_crossvalid[[#This Row],[cutoff]]),MONTH(m2_crossvalid[[#This Row],[cutoff]]),DAY(m2_crossvalid[[#This Row],[cutoff]]))</f>
        <v>45961</v>
      </c>
      <c r="B339" s="7">
        <f>DATE(YEAR(m2_crossvalid[[#This Row],[ds]]),MONTH(m2_crossvalid[[#This Row],[ds]]),DAY(m2_crossvalid[[#This Row],[ds]]))</f>
        <v>45989</v>
      </c>
      <c r="C339">
        <v>10013</v>
      </c>
      <c r="D339" s="1">
        <v>45989.333333333336</v>
      </c>
      <c r="E339">
        <v>5521.0944049401915</v>
      </c>
      <c r="F339">
        <v>3449.8685674868593</v>
      </c>
      <c r="G339">
        <v>7559.842998676686</v>
      </c>
      <c r="H339" s="1">
        <v>45961.333333333336</v>
      </c>
    </row>
    <row r="340" spans="1:8" x14ac:dyDescent="0.25">
      <c r="A340" s="7">
        <f>DATE(YEAR(m2_crossvalid[[#This Row],[cutoff]]),MONTH(m2_crossvalid[[#This Row],[cutoff]]),DAY(m2_crossvalid[[#This Row],[cutoff]]))</f>
        <v>45961</v>
      </c>
      <c r="B340" s="7">
        <f>DATE(YEAR(m2_crossvalid[[#This Row],[ds]]),MONTH(m2_crossvalid[[#This Row],[ds]]),DAY(m2_crossvalid[[#This Row],[ds]]))</f>
        <v>45990</v>
      </c>
      <c r="C340">
        <v>8210</v>
      </c>
      <c r="D340" s="1">
        <v>45990.333333333336</v>
      </c>
      <c r="E340">
        <v>4311.1095286510526</v>
      </c>
      <c r="F340">
        <v>2150.3347071320409</v>
      </c>
      <c r="G340">
        <v>6254.1739966765208</v>
      </c>
      <c r="H340" s="1">
        <v>45961.333333333336</v>
      </c>
    </row>
    <row r="341" spans="1:8" x14ac:dyDescent="0.25">
      <c r="A341" s="7">
        <f>DATE(YEAR(m2_crossvalid[[#This Row],[cutoff]]),MONTH(m2_crossvalid[[#This Row],[cutoff]]),DAY(m2_crossvalid[[#This Row],[cutoff]]))</f>
        <v>45961</v>
      </c>
      <c r="B341" s="7">
        <f>DATE(YEAR(m2_crossvalid[[#This Row],[ds]]),MONTH(m2_crossvalid[[#This Row],[ds]]),DAY(m2_crossvalid[[#This Row],[ds]]))</f>
        <v>45991</v>
      </c>
      <c r="C341">
        <v>3567</v>
      </c>
      <c r="D341" s="1">
        <v>45991.333333333336</v>
      </c>
      <c r="E341">
        <v>4030.1230878293673</v>
      </c>
      <c r="F341">
        <v>2037.8304491161769</v>
      </c>
      <c r="G341">
        <v>5917.8581080448203</v>
      </c>
      <c r="H341" s="1">
        <v>45961.333333333336</v>
      </c>
    </row>
    <row r="342" spans="1:8" x14ac:dyDescent="0.25">
      <c r="A342" s="7">
        <f>DATE(YEAR(m2_crossvalid[[#This Row],[cutoff]]),MONTH(m2_crossvalid[[#This Row],[cutoff]]),DAY(m2_crossvalid[[#This Row],[cutoff]]))</f>
        <v>45961</v>
      </c>
      <c r="B342" s="7">
        <f>DATE(YEAR(m2_crossvalid[[#This Row],[ds]]),MONTH(m2_crossvalid[[#This Row],[ds]]),DAY(m2_crossvalid[[#This Row],[ds]]))</f>
        <v>45992</v>
      </c>
      <c r="C342">
        <v>659</v>
      </c>
      <c r="D342" s="1">
        <v>45992.333333333336</v>
      </c>
      <c r="E342">
        <v>5480.262344097463</v>
      </c>
      <c r="F342">
        <v>3586.4403057431264</v>
      </c>
      <c r="G342">
        <v>7526.4950884119289</v>
      </c>
      <c r="H342" s="1">
        <v>45961.333333333336</v>
      </c>
    </row>
    <row r="343" spans="1:8" x14ac:dyDescent="0.25">
      <c r="A343" s="7">
        <f>DATE(YEAR(m2_crossvalid[[#This Row],[cutoff]]),MONTH(m2_crossvalid[[#This Row],[cutoff]]),DAY(m2_crossvalid[[#This Row],[cutoff]]))</f>
        <v>45991</v>
      </c>
      <c r="B343" s="7">
        <f>DATE(YEAR(m2_crossvalid[[#This Row],[ds]]),MONTH(m2_crossvalid[[#This Row],[ds]]),DAY(m2_crossvalid[[#This Row],[ds]]))</f>
        <v>45992</v>
      </c>
      <c r="C343">
        <v>659</v>
      </c>
      <c r="D343" s="1">
        <v>45992.333333333336</v>
      </c>
      <c r="E343">
        <v>5687.540379418474</v>
      </c>
      <c r="F343">
        <v>3828.1478848745605</v>
      </c>
      <c r="G343">
        <v>7802.1314887778508</v>
      </c>
      <c r="H343" s="1">
        <v>45991.333333333336</v>
      </c>
    </row>
    <row r="344" spans="1:8" x14ac:dyDescent="0.25">
      <c r="A344" s="7">
        <f>DATE(YEAR(m2_crossvalid[[#This Row],[cutoff]]),MONTH(m2_crossvalid[[#This Row],[cutoff]]),DAY(m2_crossvalid[[#This Row],[cutoff]]))</f>
        <v>45991</v>
      </c>
      <c r="B344" s="7">
        <f>DATE(YEAR(m2_crossvalid[[#This Row],[ds]]),MONTH(m2_crossvalid[[#This Row],[ds]]),DAY(m2_crossvalid[[#This Row],[ds]]))</f>
        <v>45993</v>
      </c>
      <c r="C344">
        <v>963</v>
      </c>
      <c r="D344" s="1">
        <v>45993.333333333336</v>
      </c>
      <c r="E344">
        <v>4469.6943549319685</v>
      </c>
      <c r="F344">
        <v>2528.8656966101007</v>
      </c>
      <c r="G344">
        <v>6470.1297175741556</v>
      </c>
      <c r="H344" s="1">
        <v>45991.333333333336</v>
      </c>
    </row>
    <row r="345" spans="1:8" x14ac:dyDescent="0.25">
      <c r="A345" s="7">
        <f>DATE(YEAR(m2_crossvalid[[#This Row],[cutoff]]),MONTH(m2_crossvalid[[#This Row],[cutoff]]),DAY(m2_crossvalid[[#This Row],[cutoff]]))</f>
        <v>45991</v>
      </c>
      <c r="B345" s="7">
        <f>DATE(YEAR(m2_crossvalid[[#This Row],[ds]]),MONTH(m2_crossvalid[[#This Row],[ds]]),DAY(m2_crossvalid[[#This Row],[ds]]))</f>
        <v>45994</v>
      </c>
      <c r="C345">
        <v>1248</v>
      </c>
      <c r="D345" s="1">
        <v>45994.333333333336</v>
      </c>
      <c r="E345">
        <v>2752.6496835947537</v>
      </c>
      <c r="F345">
        <v>901.79207574308111</v>
      </c>
      <c r="G345">
        <v>4722.4625680341805</v>
      </c>
      <c r="H345" s="1">
        <v>45991.333333333336</v>
      </c>
    </row>
    <row r="346" spans="1:8" x14ac:dyDescent="0.25">
      <c r="A346" s="7">
        <f>DATE(YEAR(m2_crossvalid[[#This Row],[cutoff]]),MONTH(m2_crossvalid[[#This Row],[cutoff]]),DAY(m2_crossvalid[[#This Row],[cutoff]]))</f>
        <v>45991</v>
      </c>
      <c r="B346" s="7">
        <f>DATE(YEAR(m2_crossvalid[[#This Row],[ds]]),MONTH(m2_crossvalid[[#This Row],[ds]]),DAY(m2_crossvalid[[#This Row],[ds]]))</f>
        <v>45995</v>
      </c>
      <c r="C346">
        <v>1462</v>
      </c>
      <c r="D346" s="1">
        <v>45995.333333333336</v>
      </c>
      <c r="E346">
        <v>1782.9147079774582</v>
      </c>
      <c r="F346">
        <v>-284.30676424420705</v>
      </c>
      <c r="G346">
        <v>3800.1737033655863</v>
      </c>
      <c r="H346" s="1">
        <v>45991.333333333336</v>
      </c>
    </row>
    <row r="347" spans="1:8" x14ac:dyDescent="0.25">
      <c r="A347" s="7">
        <f>DATE(YEAR(m2_crossvalid[[#This Row],[cutoff]]),MONTH(m2_crossvalid[[#This Row],[cutoff]]),DAY(m2_crossvalid[[#This Row],[cutoff]]))</f>
        <v>45991</v>
      </c>
      <c r="B347" s="7">
        <f>DATE(YEAR(m2_crossvalid[[#This Row],[ds]]),MONTH(m2_crossvalid[[#This Row],[ds]]),DAY(m2_crossvalid[[#This Row],[ds]]))</f>
        <v>45996</v>
      </c>
      <c r="C347">
        <v>1441</v>
      </c>
      <c r="D347" s="1">
        <v>45996.333333333336</v>
      </c>
      <c r="E347">
        <v>1620.9673375463403</v>
      </c>
      <c r="F347">
        <v>-414.46361555801462</v>
      </c>
      <c r="G347">
        <v>3470.8989643131868</v>
      </c>
      <c r="H347" s="1">
        <v>45991.333333333336</v>
      </c>
    </row>
    <row r="348" spans="1:8" x14ac:dyDescent="0.25">
      <c r="A348" s="7">
        <f>DATE(YEAR(m2_crossvalid[[#This Row],[cutoff]]),MONTH(m2_crossvalid[[#This Row],[cutoff]]),DAY(m2_crossvalid[[#This Row],[cutoff]]))</f>
        <v>45991</v>
      </c>
      <c r="B348" s="7">
        <f>DATE(YEAR(m2_crossvalid[[#This Row],[ds]]),MONTH(m2_crossvalid[[#This Row],[ds]]),DAY(m2_crossvalid[[#This Row],[ds]]))</f>
        <v>45997</v>
      </c>
      <c r="C348">
        <v>380</v>
      </c>
      <c r="D348" s="1">
        <v>45997.333333333336</v>
      </c>
      <c r="E348">
        <v>-278.83154422996313</v>
      </c>
      <c r="F348">
        <v>-2269.2177352392446</v>
      </c>
      <c r="G348">
        <v>1625.1946654674098</v>
      </c>
      <c r="H348" s="1">
        <v>45991.333333333336</v>
      </c>
    </row>
    <row r="349" spans="1:8" x14ac:dyDescent="0.25">
      <c r="A349" s="7">
        <f>DATE(YEAR(m2_crossvalid[[#This Row],[cutoff]]),MONTH(m2_crossvalid[[#This Row],[cutoff]]),DAY(m2_crossvalid[[#This Row],[cutoff]]))</f>
        <v>45991</v>
      </c>
      <c r="B349" s="7">
        <f>DATE(YEAR(m2_crossvalid[[#This Row],[ds]]),MONTH(m2_crossvalid[[#This Row],[ds]]),DAY(m2_crossvalid[[#This Row],[ds]]))</f>
        <v>45998</v>
      </c>
      <c r="C349">
        <v>59</v>
      </c>
      <c r="D349" s="1">
        <v>45998.333333333336</v>
      </c>
      <c r="E349">
        <v>-470.5963580027219</v>
      </c>
      <c r="F349">
        <v>-2427.2544695621523</v>
      </c>
      <c r="G349">
        <v>1424.8807044187677</v>
      </c>
      <c r="H349" s="1">
        <v>45991.333333333336</v>
      </c>
    </row>
    <row r="350" spans="1:8" x14ac:dyDescent="0.25">
      <c r="A350" s="7">
        <f>DATE(YEAR(m2_crossvalid[[#This Row],[cutoff]]),MONTH(m2_crossvalid[[#This Row],[cutoff]]),DAY(m2_crossvalid[[#This Row],[cutoff]]))</f>
        <v>45991</v>
      </c>
      <c r="B350" s="7">
        <f>DATE(YEAR(m2_crossvalid[[#This Row],[ds]]),MONTH(m2_crossvalid[[#This Row],[ds]]),DAY(m2_crossvalid[[#This Row],[ds]]))</f>
        <v>45999</v>
      </c>
      <c r="C350">
        <v>1698</v>
      </c>
      <c r="D350" s="1">
        <v>45999.333333333336</v>
      </c>
      <c r="E350">
        <v>1945.3725359655184</v>
      </c>
      <c r="F350">
        <v>-98.068619331632107</v>
      </c>
      <c r="G350">
        <v>3865.0074616890897</v>
      </c>
      <c r="H350" s="1">
        <v>45991.333333333336</v>
      </c>
    </row>
    <row r="351" spans="1:8" x14ac:dyDescent="0.25">
      <c r="A351" s="7">
        <f>DATE(YEAR(m2_crossvalid[[#This Row],[cutoff]]),MONTH(m2_crossvalid[[#This Row],[cutoff]]),DAY(m2_crossvalid[[#This Row],[cutoff]]))</f>
        <v>45991</v>
      </c>
      <c r="B351" s="7">
        <f>DATE(YEAR(m2_crossvalid[[#This Row],[ds]]),MONTH(m2_crossvalid[[#This Row],[ds]]),DAY(m2_crossvalid[[#This Row],[ds]]))</f>
        <v>46000</v>
      </c>
      <c r="C351">
        <v>1924</v>
      </c>
      <c r="D351" s="1">
        <v>46000.333333333336</v>
      </c>
      <c r="E351">
        <v>2361.3705196518085</v>
      </c>
      <c r="F351">
        <v>280.90488563766911</v>
      </c>
      <c r="G351">
        <v>4370.0890635521591</v>
      </c>
      <c r="H351" s="1">
        <v>45991.333333333336</v>
      </c>
    </row>
    <row r="352" spans="1:8" x14ac:dyDescent="0.25">
      <c r="A352" s="7">
        <f>DATE(YEAR(m2_crossvalid[[#This Row],[cutoff]]),MONTH(m2_crossvalid[[#This Row],[cutoff]]),DAY(m2_crossvalid[[#This Row],[cutoff]]))</f>
        <v>45991</v>
      </c>
      <c r="B352" s="7">
        <f>DATE(YEAR(m2_crossvalid[[#This Row],[ds]]),MONTH(m2_crossvalid[[#This Row],[ds]]),DAY(m2_crossvalid[[#This Row],[ds]]))</f>
        <v>46001</v>
      </c>
      <c r="C352">
        <v>2624</v>
      </c>
      <c r="D352" s="1">
        <v>46001.333333333336</v>
      </c>
      <c r="E352">
        <v>2373.2343753435021</v>
      </c>
      <c r="F352">
        <v>380.03636010891466</v>
      </c>
      <c r="G352">
        <v>4469.7099845924758</v>
      </c>
      <c r="H352" s="1">
        <v>45991.333333333336</v>
      </c>
    </row>
    <row r="353" spans="1:8" x14ac:dyDescent="0.25">
      <c r="A353" s="7">
        <f>DATE(YEAR(m2_crossvalid[[#This Row],[cutoff]]),MONTH(m2_crossvalid[[#This Row],[cutoff]]),DAY(m2_crossvalid[[#This Row],[cutoff]]))</f>
        <v>45991</v>
      </c>
      <c r="B353" s="7">
        <f>DATE(YEAR(m2_crossvalid[[#This Row],[ds]]),MONTH(m2_crossvalid[[#This Row],[ds]]),DAY(m2_crossvalid[[#This Row],[ds]]))</f>
        <v>46002</v>
      </c>
      <c r="C353">
        <v>1853</v>
      </c>
      <c r="D353" s="1">
        <v>46002.333333333336</v>
      </c>
      <c r="E353">
        <v>2627.9882986163266</v>
      </c>
      <c r="F353">
        <v>772.2220402265026</v>
      </c>
      <c r="G353">
        <v>4755.5259651393171</v>
      </c>
      <c r="H353" s="1">
        <v>45991.333333333336</v>
      </c>
    </row>
    <row r="354" spans="1:8" x14ac:dyDescent="0.25">
      <c r="A354" s="7">
        <f>DATE(YEAR(m2_crossvalid[[#This Row],[cutoff]]),MONTH(m2_crossvalid[[#This Row],[cutoff]]),DAY(m2_crossvalid[[#This Row],[cutoff]]))</f>
        <v>45991</v>
      </c>
      <c r="B354" s="7">
        <f>DATE(YEAR(m2_crossvalid[[#This Row],[ds]]),MONTH(m2_crossvalid[[#This Row],[ds]]),DAY(m2_crossvalid[[#This Row],[ds]]))</f>
        <v>46003</v>
      </c>
      <c r="C354">
        <v>3010</v>
      </c>
      <c r="D354" s="1">
        <v>46003.333333333336</v>
      </c>
      <c r="E354">
        <v>2879.7795640388708</v>
      </c>
      <c r="F354">
        <v>954.38187893985139</v>
      </c>
      <c r="G354">
        <v>4995.6748278431478</v>
      </c>
      <c r="H354" s="1">
        <v>45991.333333333336</v>
      </c>
    </row>
    <row r="355" spans="1:8" x14ac:dyDescent="0.25">
      <c r="A355" s="7">
        <f>DATE(YEAR(m2_crossvalid[[#This Row],[cutoff]]),MONTH(m2_crossvalid[[#This Row],[cutoff]]),DAY(m2_crossvalid[[#This Row],[cutoff]]))</f>
        <v>45991</v>
      </c>
      <c r="B355" s="7">
        <f>DATE(YEAR(m2_crossvalid[[#This Row],[ds]]),MONTH(m2_crossvalid[[#This Row],[ds]]),DAY(m2_crossvalid[[#This Row],[ds]]))</f>
        <v>46004</v>
      </c>
      <c r="C355">
        <v>552</v>
      </c>
      <c r="D355" s="1">
        <v>46004.333333333336</v>
      </c>
      <c r="E355">
        <v>753.99076777846244</v>
      </c>
      <c r="F355">
        <v>-1156.3820661334291</v>
      </c>
      <c r="G355">
        <v>2699.4589584325231</v>
      </c>
      <c r="H355" s="1">
        <v>45991.333333333336</v>
      </c>
    </row>
    <row r="356" spans="1:8" x14ac:dyDescent="0.25">
      <c r="A356" s="7">
        <f>DATE(YEAR(m2_crossvalid[[#This Row],[cutoff]]),MONTH(m2_crossvalid[[#This Row],[cutoff]]),DAY(m2_crossvalid[[#This Row],[cutoff]]))</f>
        <v>45991</v>
      </c>
      <c r="B356" s="7">
        <f>DATE(YEAR(m2_crossvalid[[#This Row],[ds]]),MONTH(m2_crossvalid[[#This Row],[ds]]),DAY(m2_crossvalid[[#This Row],[ds]]))</f>
        <v>46005</v>
      </c>
      <c r="C356">
        <v>162</v>
      </c>
      <c r="D356" s="1">
        <v>46005.333333333336</v>
      </c>
      <c r="E356">
        <v>182.66591525403874</v>
      </c>
      <c r="F356">
        <v>-1755.3092190426837</v>
      </c>
      <c r="G356">
        <v>1963.0725237716115</v>
      </c>
      <c r="H356" s="1">
        <v>45991.333333333336</v>
      </c>
    </row>
    <row r="357" spans="1:8" x14ac:dyDescent="0.25">
      <c r="A357" s="7">
        <f>DATE(YEAR(m2_crossvalid[[#This Row],[cutoff]]),MONTH(m2_crossvalid[[#This Row],[cutoff]]),DAY(m2_crossvalid[[#This Row],[cutoff]]))</f>
        <v>45991</v>
      </c>
      <c r="B357" s="7">
        <f>DATE(YEAR(m2_crossvalid[[#This Row],[ds]]),MONTH(m2_crossvalid[[#This Row],[ds]]),DAY(m2_crossvalid[[#This Row],[ds]]))</f>
        <v>46006</v>
      </c>
      <c r="C357">
        <v>2685</v>
      </c>
      <c r="D357" s="1">
        <v>46006.333333333336</v>
      </c>
      <c r="E357">
        <v>2479.6111107998154</v>
      </c>
      <c r="F357">
        <v>624.38274273702564</v>
      </c>
      <c r="G357">
        <v>4419.3921583220354</v>
      </c>
      <c r="H357" s="1">
        <v>45991.333333333336</v>
      </c>
    </row>
    <row r="358" spans="1:8" x14ac:dyDescent="0.25">
      <c r="A358" s="7">
        <f>DATE(YEAR(m2_crossvalid[[#This Row],[cutoff]]),MONTH(m2_crossvalid[[#This Row],[cutoff]]),DAY(m2_crossvalid[[#This Row],[cutoff]]))</f>
        <v>45991</v>
      </c>
      <c r="B358" s="7">
        <f>DATE(YEAR(m2_crossvalid[[#This Row],[ds]]),MONTH(m2_crossvalid[[#This Row],[ds]]),DAY(m2_crossvalid[[#This Row],[ds]]))</f>
        <v>46007</v>
      </c>
      <c r="C358">
        <v>3397</v>
      </c>
      <c r="D358" s="1">
        <v>46007.333333333336</v>
      </c>
      <c r="E358">
        <v>3088.5611355122642</v>
      </c>
      <c r="F358">
        <v>1117.3068858139304</v>
      </c>
      <c r="G358">
        <v>5123.6373165120458</v>
      </c>
      <c r="H358" s="1">
        <v>45991.333333333336</v>
      </c>
    </row>
    <row r="359" spans="1:8" x14ac:dyDescent="0.25">
      <c r="A359" s="7">
        <f>DATE(YEAR(m2_crossvalid[[#This Row],[cutoff]]),MONTH(m2_crossvalid[[#This Row],[cutoff]]),DAY(m2_crossvalid[[#This Row],[cutoff]]))</f>
        <v>45991</v>
      </c>
      <c r="B359" s="7">
        <f>DATE(YEAR(m2_crossvalid[[#This Row],[ds]]),MONTH(m2_crossvalid[[#This Row],[ds]]),DAY(m2_crossvalid[[#This Row],[ds]]))</f>
        <v>46008</v>
      </c>
      <c r="C359">
        <v>4029</v>
      </c>
      <c r="D359" s="1">
        <v>46008.333333333336</v>
      </c>
      <c r="E359">
        <v>3335.7996750697403</v>
      </c>
      <c r="F359">
        <v>1308.2971584480017</v>
      </c>
      <c r="G359">
        <v>5497.6255925835485</v>
      </c>
      <c r="H359" s="1">
        <v>45991.333333333336</v>
      </c>
    </row>
    <row r="360" spans="1:8" x14ac:dyDescent="0.25">
      <c r="A360" s="7">
        <f>DATE(YEAR(m2_crossvalid[[#This Row],[cutoff]]),MONTH(m2_crossvalid[[#This Row],[cutoff]]),DAY(m2_crossvalid[[#This Row],[cutoff]]))</f>
        <v>45991</v>
      </c>
      <c r="B360" s="7">
        <f>DATE(YEAR(m2_crossvalid[[#This Row],[ds]]),MONTH(m2_crossvalid[[#This Row],[ds]]),DAY(m2_crossvalid[[#This Row],[ds]]))</f>
        <v>46009</v>
      </c>
      <c r="C360">
        <v>3874</v>
      </c>
      <c r="D360" s="1">
        <v>46009.333333333336</v>
      </c>
      <c r="E360">
        <v>3588.4211635642423</v>
      </c>
      <c r="F360">
        <v>1581.3179947984868</v>
      </c>
      <c r="G360">
        <v>5574.7200340829568</v>
      </c>
      <c r="H360" s="1">
        <v>45991.333333333336</v>
      </c>
    </row>
    <row r="361" spans="1:8" x14ac:dyDescent="0.25">
      <c r="A361" s="7">
        <f>DATE(YEAR(m2_crossvalid[[#This Row],[cutoff]]),MONTH(m2_crossvalid[[#This Row],[cutoff]]),DAY(m2_crossvalid[[#This Row],[cutoff]]))</f>
        <v>45991</v>
      </c>
      <c r="B361" s="7">
        <f>DATE(YEAR(m2_crossvalid[[#This Row],[ds]]),MONTH(m2_crossvalid[[#This Row],[ds]]),DAY(m2_crossvalid[[#This Row],[ds]]))</f>
        <v>46010</v>
      </c>
      <c r="C361">
        <v>4261</v>
      </c>
      <c r="D361" s="1">
        <v>46010.333333333336</v>
      </c>
      <c r="E361">
        <v>3589.5783539309941</v>
      </c>
      <c r="F361">
        <v>1609.5261647888697</v>
      </c>
      <c r="G361">
        <v>5696.1148341971293</v>
      </c>
      <c r="H361" s="1">
        <v>45991.333333333336</v>
      </c>
    </row>
    <row r="362" spans="1:8" x14ac:dyDescent="0.25">
      <c r="A362" s="7">
        <f>DATE(YEAR(m2_crossvalid[[#This Row],[cutoff]]),MONTH(m2_crossvalid[[#This Row],[cutoff]]),DAY(m2_crossvalid[[#This Row],[cutoff]]))</f>
        <v>45991</v>
      </c>
      <c r="B362" s="7">
        <f>DATE(YEAR(m2_crossvalid[[#This Row],[ds]]),MONTH(m2_crossvalid[[#This Row],[ds]]),DAY(m2_crossvalid[[#This Row],[ds]]))</f>
        <v>46011</v>
      </c>
      <c r="C362">
        <v>999</v>
      </c>
      <c r="D362" s="1">
        <v>46011.333333333336</v>
      </c>
      <c r="E362">
        <v>1215.1895349312506</v>
      </c>
      <c r="F362">
        <v>-704.54215055315876</v>
      </c>
      <c r="G362">
        <v>3205.8029661831501</v>
      </c>
      <c r="H362" s="1">
        <v>45991.333333333336</v>
      </c>
    </row>
    <row r="363" spans="1:8" x14ac:dyDescent="0.25">
      <c r="A363" s="7">
        <f>DATE(YEAR(m2_crossvalid[[#This Row],[cutoff]]),MONTH(m2_crossvalid[[#This Row],[cutoff]]),DAY(m2_crossvalid[[#This Row],[cutoff]]))</f>
        <v>45991</v>
      </c>
      <c r="B363" s="7">
        <f>DATE(YEAR(m2_crossvalid[[#This Row],[ds]]),MONTH(m2_crossvalid[[#This Row],[ds]]),DAY(m2_crossvalid[[#This Row],[ds]]))</f>
        <v>46012</v>
      </c>
      <c r="C363">
        <v>251</v>
      </c>
      <c r="D363" s="1">
        <v>46012.333333333336</v>
      </c>
      <c r="E363">
        <v>641.11263241945767</v>
      </c>
      <c r="F363">
        <v>-1317.9371553399201</v>
      </c>
      <c r="G363">
        <v>2550.9022916253366</v>
      </c>
      <c r="H363" s="1">
        <v>45991.333333333336</v>
      </c>
    </row>
    <row r="364" spans="1:8" x14ac:dyDescent="0.25">
      <c r="A364" s="7">
        <f>DATE(YEAR(m2_crossvalid[[#This Row],[cutoff]]),MONTH(m2_crossvalid[[#This Row],[cutoff]]),DAY(m2_crossvalid[[#This Row],[cutoff]]))</f>
        <v>45991</v>
      </c>
      <c r="B364" s="7">
        <f>DATE(YEAR(m2_crossvalid[[#This Row],[ds]]),MONTH(m2_crossvalid[[#This Row],[ds]]),DAY(m2_crossvalid[[#This Row],[ds]]))</f>
        <v>46013</v>
      </c>
      <c r="C364">
        <v>4791</v>
      </c>
      <c r="D364" s="1">
        <v>46013.333333333336</v>
      </c>
      <c r="E364">
        <v>3164.4401759272978</v>
      </c>
      <c r="F364">
        <v>1185.3491285518771</v>
      </c>
      <c r="G364">
        <v>5289.6941312225917</v>
      </c>
      <c r="H364" s="1">
        <v>45991.333333333336</v>
      </c>
    </row>
    <row r="365" spans="1:8" x14ac:dyDescent="0.25">
      <c r="A365" s="7">
        <f>DATE(YEAR(m2_crossvalid[[#This Row],[cutoff]]),MONTH(m2_crossvalid[[#This Row],[cutoff]]),DAY(m2_crossvalid[[#This Row],[cutoff]]))</f>
        <v>45991</v>
      </c>
      <c r="B365" s="7">
        <f>DATE(YEAR(m2_crossvalid[[#This Row],[ds]]),MONTH(m2_crossvalid[[#This Row],[ds]]),DAY(m2_crossvalid[[#This Row],[ds]]))</f>
        <v>46014</v>
      </c>
      <c r="C365">
        <v>5802</v>
      </c>
      <c r="D365" s="1">
        <v>46014.333333333336</v>
      </c>
      <c r="E365">
        <v>3968.5216941917342</v>
      </c>
      <c r="F365">
        <v>2078.3061285940057</v>
      </c>
      <c r="G365">
        <v>6029.0463375284035</v>
      </c>
      <c r="H365" s="1">
        <v>45991.333333333336</v>
      </c>
    </row>
    <row r="366" spans="1:8" x14ac:dyDescent="0.25">
      <c r="A366" s="7">
        <f>DATE(YEAR(m2_crossvalid[[#This Row],[cutoff]]),MONTH(m2_crossvalid[[#This Row],[cutoff]]),DAY(m2_crossvalid[[#This Row],[cutoff]]))</f>
        <v>45991</v>
      </c>
      <c r="B366" s="7">
        <f>DATE(YEAR(m2_crossvalid[[#This Row],[ds]]),MONTH(m2_crossvalid[[#This Row],[ds]]),DAY(m2_crossvalid[[#This Row],[ds]]))</f>
        <v>46015</v>
      </c>
      <c r="C366">
        <v>6117</v>
      </c>
      <c r="D366" s="1">
        <v>46015.333333333336</v>
      </c>
      <c r="E366">
        <v>4151.8665394982554</v>
      </c>
      <c r="F366">
        <v>2133.3247308959035</v>
      </c>
      <c r="G366">
        <v>6147.9061297217677</v>
      </c>
      <c r="H366" s="1">
        <v>45991.333333333336</v>
      </c>
    </row>
    <row r="367" spans="1:8" x14ac:dyDescent="0.25">
      <c r="A367" s="7">
        <f>DATE(YEAR(m2_crossvalid[[#This Row],[cutoff]]),MONTH(m2_crossvalid[[#This Row],[cutoff]]),DAY(m2_crossvalid[[#This Row],[cutoff]]))</f>
        <v>45991</v>
      </c>
      <c r="B367" s="7">
        <f>DATE(YEAR(m2_crossvalid[[#This Row],[ds]]),MONTH(m2_crossvalid[[#This Row],[ds]]),DAY(m2_crossvalid[[#This Row],[ds]]))</f>
        <v>46016</v>
      </c>
      <c r="C367">
        <v>400</v>
      </c>
      <c r="D367" s="1">
        <v>46016.333333333336</v>
      </c>
      <c r="E367">
        <v>4152.3168967921956</v>
      </c>
      <c r="F367">
        <v>2275.999402433225</v>
      </c>
      <c r="G367">
        <v>6215.6968318232757</v>
      </c>
      <c r="H367" s="1">
        <v>45991.333333333336</v>
      </c>
    </row>
    <row r="368" spans="1:8" x14ac:dyDescent="0.25">
      <c r="A368" s="7">
        <f>DATE(YEAR(m2_crossvalid[[#This Row],[cutoff]]),MONTH(m2_crossvalid[[#This Row],[cutoff]]),DAY(m2_crossvalid[[#This Row],[cutoff]]))</f>
        <v>45991</v>
      </c>
      <c r="B368" s="7">
        <f>DATE(YEAR(m2_crossvalid[[#This Row],[ds]]),MONTH(m2_crossvalid[[#This Row],[ds]]),DAY(m2_crossvalid[[#This Row],[ds]]))</f>
        <v>46017</v>
      </c>
      <c r="C368">
        <v>6559</v>
      </c>
      <c r="D368" s="1">
        <v>46017.333333333336</v>
      </c>
      <c r="E368">
        <v>4067.0930460091413</v>
      </c>
      <c r="F368">
        <v>2116.6748221118255</v>
      </c>
      <c r="G368">
        <v>5890.9119766754538</v>
      </c>
      <c r="H368" s="1">
        <v>45991.333333333336</v>
      </c>
    </row>
    <row r="369" spans="1:8" x14ac:dyDescent="0.25">
      <c r="A369" s="7">
        <f>DATE(YEAR(m2_crossvalid[[#This Row],[cutoff]]),MONTH(m2_crossvalid[[#This Row],[cutoff]]),DAY(m2_crossvalid[[#This Row],[cutoff]]))</f>
        <v>45991</v>
      </c>
      <c r="B369" s="7">
        <f>DATE(YEAR(m2_crossvalid[[#This Row],[ds]]),MONTH(m2_crossvalid[[#This Row],[ds]]),DAY(m2_crossvalid[[#This Row],[ds]]))</f>
        <v>46018</v>
      </c>
      <c r="C369">
        <v>1928</v>
      </c>
      <c r="D369" s="1">
        <v>46018.333333333336</v>
      </c>
      <c r="E369">
        <v>2102.452060165027</v>
      </c>
      <c r="F369">
        <v>102.14277742992294</v>
      </c>
      <c r="G369">
        <v>4160.5350539770843</v>
      </c>
      <c r="H369" s="1">
        <v>45991.333333333336</v>
      </c>
    </row>
    <row r="370" spans="1:8" x14ac:dyDescent="0.25">
      <c r="A370" s="7">
        <f>DATE(YEAR(m2_crossvalid[[#This Row],[cutoff]]),MONTH(m2_crossvalid[[#This Row],[cutoff]]),DAY(m2_crossvalid[[#This Row],[cutoff]]))</f>
        <v>45991</v>
      </c>
      <c r="B370" s="7">
        <f>DATE(YEAR(m2_crossvalid[[#This Row],[ds]]),MONTH(m2_crossvalid[[#This Row],[ds]]),DAY(m2_crossvalid[[#This Row],[ds]]))</f>
        <v>46019</v>
      </c>
      <c r="C370">
        <v>428</v>
      </c>
      <c r="D370" s="1">
        <v>46019.333333333336</v>
      </c>
      <c r="E370">
        <v>2407.7536211088373</v>
      </c>
      <c r="F370">
        <v>300.5135922255688</v>
      </c>
      <c r="G370">
        <v>4438.8121694136953</v>
      </c>
      <c r="H370" s="1">
        <v>45991.333333333336</v>
      </c>
    </row>
    <row r="371" spans="1:8" x14ac:dyDescent="0.25">
      <c r="A371" s="7">
        <f>DATE(YEAR(m2_crossvalid[[#This Row],[cutoff]]),MONTH(m2_crossvalid[[#This Row],[cutoff]]),DAY(m2_crossvalid[[#This Row],[cutoff]]))</f>
        <v>45991</v>
      </c>
      <c r="B371" s="7">
        <f>DATE(YEAR(m2_crossvalid[[#This Row],[ds]]),MONTH(m2_crossvalid[[#This Row],[ds]]),DAY(m2_crossvalid[[#This Row],[ds]]))</f>
        <v>46020</v>
      </c>
      <c r="C371">
        <v>7441</v>
      </c>
      <c r="D371" s="1">
        <v>46020.333333333336</v>
      </c>
      <c r="E371">
        <v>5837.0487324829646</v>
      </c>
      <c r="F371">
        <v>3932.3473230408595</v>
      </c>
      <c r="G371">
        <v>8019.358629016494</v>
      </c>
      <c r="H371" s="1">
        <v>45991.333333333336</v>
      </c>
    </row>
    <row r="372" spans="1:8" x14ac:dyDescent="0.25">
      <c r="A372" s="7">
        <f>DATE(YEAR(m2_crossvalid[[#This Row],[cutoff]]),MONTH(m2_crossvalid[[#This Row],[cutoff]]),DAY(m2_crossvalid[[#This Row],[cutoff]]))</f>
        <v>45991</v>
      </c>
      <c r="B372" s="7">
        <f>DATE(YEAR(m2_crossvalid[[#This Row],[ds]]),MONTH(m2_crossvalid[[#This Row],[ds]]),DAY(m2_crossvalid[[#This Row],[ds]]))</f>
        <v>46021</v>
      </c>
      <c r="C372">
        <v>10603</v>
      </c>
      <c r="D372" s="1">
        <v>46021.333333333336</v>
      </c>
      <c r="E372">
        <v>6988.3852376833383</v>
      </c>
      <c r="F372">
        <v>5053.8466703248605</v>
      </c>
      <c r="G372">
        <v>8970.4930608672657</v>
      </c>
      <c r="H372" s="1">
        <v>45991.333333333336</v>
      </c>
    </row>
    <row r="373" spans="1:8" x14ac:dyDescent="0.25">
      <c r="A373" s="7">
        <f>DATE(YEAR(m2_crossvalid[[#This Row],[cutoff]]),MONTH(m2_crossvalid[[#This Row],[cutoff]]),DAY(m2_crossvalid[[#This Row],[cutoff]]))</f>
        <v>45991</v>
      </c>
      <c r="B373" s="7">
        <f>DATE(YEAR(m2_crossvalid[[#This Row],[ds]]),MONTH(m2_crossvalid[[#This Row],[ds]]),DAY(m2_crossvalid[[#This Row],[ds]]))</f>
        <v>46022</v>
      </c>
      <c r="C373">
        <v>15370</v>
      </c>
      <c r="D373" s="1">
        <v>46022.333333333336</v>
      </c>
      <c r="E373">
        <v>6614.0205507265036</v>
      </c>
      <c r="F373">
        <v>4535.5834485000059</v>
      </c>
      <c r="G373">
        <v>8456.0425686853287</v>
      </c>
      <c r="H373" s="1">
        <v>45991.333333333336</v>
      </c>
    </row>
    <row r="374" spans="1:8" x14ac:dyDescent="0.25">
      <c r="A374" s="7">
        <f>DATE(YEAR(m2_crossvalid[[#This Row],[cutoff]]),MONTH(m2_crossvalid[[#This Row],[cutoff]]),DAY(m2_crossvalid[[#This Row],[cutoff]]))</f>
        <v>46022</v>
      </c>
      <c r="B374" s="7">
        <f>DATE(YEAR(m2_crossvalid[[#This Row],[ds]]),MONTH(m2_crossvalid[[#This Row],[ds]]),DAY(m2_crossvalid[[#This Row],[ds]]))</f>
        <v>46023</v>
      </c>
      <c r="C374">
        <v>2584</v>
      </c>
      <c r="D374" s="1">
        <v>46023.333333333336</v>
      </c>
      <c r="E374">
        <v>5449.0790754581958</v>
      </c>
      <c r="F374">
        <v>3418.7967090346178</v>
      </c>
      <c r="G374">
        <v>7595.4689261121639</v>
      </c>
      <c r="H374" s="1">
        <v>46022.333333333336</v>
      </c>
    </row>
    <row r="375" spans="1:8" x14ac:dyDescent="0.25">
      <c r="A375" s="7">
        <f>DATE(YEAR(m2_crossvalid[[#This Row],[cutoff]]),MONTH(m2_crossvalid[[#This Row],[cutoff]]),DAY(m2_crossvalid[[#This Row],[cutoff]]))</f>
        <v>46022</v>
      </c>
      <c r="B375" s="7">
        <f>DATE(YEAR(m2_crossvalid[[#This Row],[ds]]),MONTH(m2_crossvalid[[#This Row],[ds]]),DAY(m2_crossvalid[[#This Row],[ds]]))</f>
        <v>46024</v>
      </c>
      <c r="C375">
        <v>1536</v>
      </c>
      <c r="D375" s="1">
        <v>46024.333333333336</v>
      </c>
      <c r="E375">
        <v>3534.8028527138868</v>
      </c>
      <c r="F375">
        <v>1438.8892461333401</v>
      </c>
      <c r="G375">
        <v>5489.8188475441075</v>
      </c>
      <c r="H375" s="1">
        <v>46022.333333333336</v>
      </c>
    </row>
    <row r="376" spans="1:8" x14ac:dyDescent="0.25">
      <c r="A376" s="7">
        <f>DATE(YEAR(m2_crossvalid[[#This Row],[cutoff]]),MONTH(m2_crossvalid[[#This Row],[cutoff]]),DAY(m2_crossvalid[[#This Row],[cutoff]]))</f>
        <v>46022</v>
      </c>
      <c r="B376" s="7">
        <f>DATE(YEAR(m2_crossvalid[[#This Row],[ds]]),MONTH(m2_crossvalid[[#This Row],[ds]]),DAY(m2_crossvalid[[#This Row],[ds]]))</f>
        <v>46025</v>
      </c>
      <c r="C376">
        <v>80</v>
      </c>
      <c r="D376" s="1">
        <v>46025.333333333336</v>
      </c>
      <c r="E376">
        <v>-281.91090465374737</v>
      </c>
      <c r="F376">
        <v>-2225.7860625173603</v>
      </c>
      <c r="G376">
        <v>1846.8427432771093</v>
      </c>
      <c r="H376" s="1">
        <v>46022.333333333336</v>
      </c>
    </row>
    <row r="377" spans="1:8" x14ac:dyDescent="0.25">
      <c r="A377" s="7">
        <f>DATE(YEAR(m2_crossvalid[[#This Row],[cutoff]]),MONTH(m2_crossvalid[[#This Row],[cutoff]]),DAY(m2_crossvalid[[#This Row],[cutoff]]))</f>
        <v>46022</v>
      </c>
      <c r="B377" s="7">
        <f>DATE(YEAR(m2_crossvalid[[#This Row],[ds]]),MONTH(m2_crossvalid[[#This Row],[ds]]),DAY(m2_crossvalid[[#This Row],[ds]]))</f>
        <v>46026</v>
      </c>
      <c r="C377">
        <v>17</v>
      </c>
      <c r="D377" s="1">
        <v>46026.333333333336</v>
      </c>
      <c r="E377">
        <v>-1483.8048980866479</v>
      </c>
      <c r="F377">
        <v>-3506.9464148572197</v>
      </c>
      <c r="G377">
        <v>499.67065954906246</v>
      </c>
      <c r="H377" s="1">
        <v>46022.333333333336</v>
      </c>
    </row>
    <row r="378" spans="1:8" x14ac:dyDescent="0.25">
      <c r="A378" s="7">
        <f>DATE(YEAR(m2_crossvalid[[#This Row],[cutoff]]),MONTH(m2_crossvalid[[#This Row],[cutoff]]),DAY(m2_crossvalid[[#This Row],[cutoff]]))</f>
        <v>46022</v>
      </c>
      <c r="B378" s="7">
        <f>DATE(YEAR(m2_crossvalid[[#This Row],[ds]]),MONTH(m2_crossvalid[[#This Row],[ds]]),DAY(m2_crossvalid[[#This Row],[ds]]))</f>
        <v>46027</v>
      </c>
      <c r="C378">
        <v>340</v>
      </c>
      <c r="D378" s="1">
        <v>46027.333333333336</v>
      </c>
      <c r="E378">
        <v>968.90699319210603</v>
      </c>
      <c r="F378">
        <v>-1044.0279012340768</v>
      </c>
      <c r="G378">
        <v>2847.1305520830883</v>
      </c>
      <c r="H378" s="1">
        <v>46022.333333333336</v>
      </c>
    </row>
    <row r="379" spans="1:8" x14ac:dyDescent="0.25">
      <c r="A379" s="7">
        <f>DATE(YEAR(m2_crossvalid[[#This Row],[cutoff]]),MONTH(m2_crossvalid[[#This Row],[cutoff]]),DAY(m2_crossvalid[[#This Row],[cutoff]]))</f>
        <v>46022</v>
      </c>
      <c r="B379" s="7">
        <f>DATE(YEAR(m2_crossvalid[[#This Row],[ds]]),MONTH(m2_crossvalid[[#This Row],[ds]]),DAY(m2_crossvalid[[#This Row],[ds]]))</f>
        <v>46028</v>
      </c>
      <c r="C379">
        <v>485</v>
      </c>
      <c r="D379" s="1">
        <v>46028.333333333336</v>
      </c>
      <c r="E379">
        <v>1851.7144632405375</v>
      </c>
      <c r="F379">
        <v>-205.23075608667821</v>
      </c>
      <c r="G379">
        <v>3899.0809087986154</v>
      </c>
      <c r="H379" s="1">
        <v>46022.333333333336</v>
      </c>
    </row>
    <row r="380" spans="1:8" x14ac:dyDescent="0.25">
      <c r="A380" s="7">
        <f>DATE(YEAR(m2_crossvalid[[#This Row],[cutoff]]),MONTH(m2_crossvalid[[#This Row],[cutoff]]),DAY(m2_crossvalid[[#This Row],[cutoff]]))</f>
        <v>46022</v>
      </c>
      <c r="B380" s="7">
        <f>DATE(YEAR(m2_crossvalid[[#This Row],[ds]]),MONTH(m2_crossvalid[[#This Row],[ds]]),DAY(m2_crossvalid[[#This Row],[ds]]))</f>
        <v>46029</v>
      </c>
      <c r="C380">
        <v>532</v>
      </c>
      <c r="D380" s="1">
        <v>46029.333333333336</v>
      </c>
      <c r="E380">
        <v>2065.6256325747386</v>
      </c>
      <c r="F380">
        <v>-1.2686666473060406</v>
      </c>
      <c r="G380">
        <v>4184.3996833937781</v>
      </c>
      <c r="H380" s="1">
        <v>46022.333333333336</v>
      </c>
    </row>
    <row r="381" spans="1:8" x14ac:dyDescent="0.25">
      <c r="A381" s="7">
        <f>DATE(YEAR(m2_crossvalid[[#This Row],[cutoff]]),MONTH(m2_crossvalid[[#This Row],[cutoff]]),DAY(m2_crossvalid[[#This Row],[cutoff]]))</f>
        <v>46022</v>
      </c>
      <c r="B381" s="7">
        <f>DATE(YEAR(m2_crossvalid[[#This Row],[ds]]),MONTH(m2_crossvalid[[#This Row],[ds]]),DAY(m2_crossvalid[[#This Row],[ds]]))</f>
        <v>46030</v>
      </c>
      <c r="C381">
        <v>659</v>
      </c>
      <c r="D381" s="1">
        <v>46030.333333333336</v>
      </c>
      <c r="E381">
        <v>1946.9964591613116</v>
      </c>
      <c r="F381">
        <v>-48.326996528596389</v>
      </c>
      <c r="G381">
        <v>4043.661653062878</v>
      </c>
      <c r="H381" s="1">
        <v>46022.333333333336</v>
      </c>
    </row>
    <row r="382" spans="1:8" x14ac:dyDescent="0.25">
      <c r="A382" s="7">
        <f>DATE(YEAR(m2_crossvalid[[#This Row],[cutoff]]),MONTH(m2_crossvalid[[#This Row],[cutoff]]),DAY(m2_crossvalid[[#This Row],[cutoff]]))</f>
        <v>46022</v>
      </c>
      <c r="B382" s="7">
        <f>DATE(YEAR(m2_crossvalid[[#This Row],[ds]]),MONTH(m2_crossvalid[[#This Row],[ds]]),DAY(m2_crossvalid[[#This Row],[ds]]))</f>
        <v>46031</v>
      </c>
      <c r="C382">
        <v>787</v>
      </c>
      <c r="D382" s="1">
        <v>46031.333333333336</v>
      </c>
      <c r="E382">
        <v>1820.5697191971467</v>
      </c>
      <c r="F382">
        <v>-138.57260914742616</v>
      </c>
      <c r="G382">
        <v>3834.3965291470481</v>
      </c>
      <c r="H382" s="1">
        <v>46022.333333333336</v>
      </c>
    </row>
    <row r="383" spans="1:8" x14ac:dyDescent="0.25">
      <c r="A383" s="7">
        <f>DATE(YEAR(m2_crossvalid[[#This Row],[cutoff]]),MONTH(m2_crossvalid[[#This Row],[cutoff]]),DAY(m2_crossvalid[[#This Row],[cutoff]]))</f>
        <v>46022</v>
      </c>
      <c r="B383" s="7">
        <f>DATE(YEAR(m2_crossvalid[[#This Row],[ds]]),MONTH(m2_crossvalid[[#This Row],[ds]]),DAY(m2_crossvalid[[#This Row],[ds]]))</f>
        <v>46032</v>
      </c>
      <c r="C383">
        <v>137</v>
      </c>
      <c r="D383" s="1">
        <v>46032.333333333336</v>
      </c>
      <c r="E383">
        <v>-440.62021101368464</v>
      </c>
      <c r="F383">
        <v>-2457.694147537029</v>
      </c>
      <c r="G383">
        <v>1625.2793668377865</v>
      </c>
      <c r="H383" s="1">
        <v>46022.333333333336</v>
      </c>
    </row>
    <row r="384" spans="1:8" x14ac:dyDescent="0.25">
      <c r="A384" s="7">
        <f>DATE(YEAR(m2_crossvalid[[#This Row],[cutoff]]),MONTH(m2_crossvalid[[#This Row],[cutoff]]),DAY(m2_crossvalid[[#This Row],[cutoff]]))</f>
        <v>46022</v>
      </c>
      <c r="B384" s="7">
        <f>DATE(YEAR(m2_crossvalid[[#This Row],[ds]]),MONTH(m2_crossvalid[[#This Row],[ds]]),DAY(m2_crossvalid[[#This Row],[ds]]))</f>
        <v>46033</v>
      </c>
      <c r="C384">
        <v>44</v>
      </c>
      <c r="D384" s="1">
        <v>46033.333333333336</v>
      </c>
      <c r="E384">
        <v>-818.46055724040161</v>
      </c>
      <c r="F384">
        <v>-2881.943256424925</v>
      </c>
      <c r="G384">
        <v>1042.7322800804407</v>
      </c>
      <c r="H384" s="1">
        <v>46022.333333333336</v>
      </c>
    </row>
    <row r="385" spans="1:8" x14ac:dyDescent="0.25">
      <c r="A385" s="7">
        <f>DATE(YEAR(m2_crossvalid[[#This Row],[cutoff]]),MONTH(m2_crossvalid[[#This Row],[cutoff]]),DAY(m2_crossvalid[[#This Row],[cutoff]]))</f>
        <v>46022</v>
      </c>
      <c r="B385" s="7">
        <f>DATE(YEAR(m2_crossvalid[[#This Row],[ds]]),MONTH(m2_crossvalid[[#This Row],[ds]]),DAY(m2_crossvalid[[#This Row],[ds]]))</f>
        <v>46034</v>
      </c>
      <c r="C385">
        <v>779</v>
      </c>
      <c r="D385" s="1">
        <v>46034.333333333336</v>
      </c>
      <c r="E385">
        <v>1671.7376974462136</v>
      </c>
      <c r="F385">
        <v>-360.18595365138179</v>
      </c>
      <c r="G385">
        <v>3613.169770061661</v>
      </c>
      <c r="H385" s="1">
        <v>46022.333333333336</v>
      </c>
    </row>
    <row r="386" spans="1:8" x14ac:dyDescent="0.25">
      <c r="A386" s="7">
        <f>DATE(YEAR(m2_crossvalid[[#This Row],[cutoff]]),MONTH(m2_crossvalid[[#This Row],[cutoff]]),DAY(m2_crossvalid[[#This Row],[cutoff]]))</f>
        <v>46022</v>
      </c>
      <c r="B386" s="7">
        <f>DATE(YEAR(m2_crossvalid[[#This Row],[ds]]),MONTH(m2_crossvalid[[#This Row],[ds]]),DAY(m2_crossvalid[[#This Row],[ds]]))</f>
        <v>46035</v>
      </c>
      <c r="C386">
        <v>1113</v>
      </c>
      <c r="D386" s="1">
        <v>46035.333333333336</v>
      </c>
      <c r="E386">
        <v>2197.7904093045818</v>
      </c>
      <c r="F386">
        <v>83.076686982861716</v>
      </c>
      <c r="G386">
        <v>3943.4911504101824</v>
      </c>
      <c r="H386" s="1">
        <v>46022.333333333336</v>
      </c>
    </row>
    <row r="387" spans="1:8" x14ac:dyDescent="0.25">
      <c r="A387" s="7">
        <f>DATE(YEAR(m2_crossvalid[[#This Row],[cutoff]]),MONTH(m2_crossvalid[[#This Row],[cutoff]]),DAY(m2_crossvalid[[#This Row],[cutoff]]))</f>
        <v>46022</v>
      </c>
      <c r="B387" s="7">
        <f>DATE(YEAR(m2_crossvalid[[#This Row],[ds]]),MONTH(m2_crossvalid[[#This Row],[ds]]),DAY(m2_crossvalid[[#This Row],[ds]]))</f>
        <v>46036</v>
      </c>
      <c r="C387">
        <v>1419</v>
      </c>
      <c r="D387" s="1">
        <v>46036.333333333336</v>
      </c>
      <c r="E387">
        <v>2172.5237071323309</v>
      </c>
      <c r="F387">
        <v>128.44925243632613</v>
      </c>
      <c r="G387">
        <v>4085.2823057281998</v>
      </c>
      <c r="H387" s="1">
        <v>46022.333333333336</v>
      </c>
    </row>
    <row r="388" spans="1:8" x14ac:dyDescent="0.25">
      <c r="A388" s="7">
        <f>DATE(YEAR(m2_crossvalid[[#This Row],[cutoff]]),MONTH(m2_crossvalid[[#This Row],[cutoff]]),DAY(m2_crossvalid[[#This Row],[cutoff]]))</f>
        <v>46022</v>
      </c>
      <c r="B388" s="7">
        <f>DATE(YEAR(m2_crossvalid[[#This Row],[ds]]),MONTH(m2_crossvalid[[#This Row],[ds]]),DAY(m2_crossvalid[[#This Row],[ds]]))</f>
        <v>46037</v>
      </c>
      <c r="C388">
        <v>1874</v>
      </c>
      <c r="D388" s="1">
        <v>46037.333333333336</v>
      </c>
      <c r="E388">
        <v>2172.7733998432059</v>
      </c>
      <c r="F388">
        <v>148.44308383833146</v>
      </c>
      <c r="G388">
        <v>4057.0781876202291</v>
      </c>
      <c r="H388" s="1">
        <v>46022.333333333336</v>
      </c>
    </row>
    <row r="389" spans="1:8" x14ac:dyDescent="0.25">
      <c r="A389" s="7">
        <f>DATE(YEAR(m2_crossvalid[[#This Row],[cutoff]]),MONTH(m2_crossvalid[[#This Row],[cutoff]]),DAY(m2_crossvalid[[#This Row],[cutoff]]))</f>
        <v>46022</v>
      </c>
      <c r="B389" s="7">
        <f>DATE(YEAR(m2_crossvalid[[#This Row],[ds]]),MONTH(m2_crossvalid[[#This Row],[ds]]),DAY(m2_crossvalid[[#This Row],[ds]]))</f>
        <v>46038</v>
      </c>
      <c r="C389">
        <v>2020</v>
      </c>
      <c r="D389" s="1">
        <v>46038.333333333336</v>
      </c>
      <c r="E389">
        <v>2364.5137066583038</v>
      </c>
      <c r="F389">
        <v>257.28441771296752</v>
      </c>
      <c r="G389">
        <v>4476.6874406662782</v>
      </c>
      <c r="H389" s="1">
        <v>46022.333333333336</v>
      </c>
    </row>
    <row r="390" spans="1:8" x14ac:dyDescent="0.25">
      <c r="A390" s="7">
        <f>DATE(YEAR(m2_crossvalid[[#This Row],[cutoff]]),MONTH(m2_crossvalid[[#This Row],[cutoff]]),DAY(m2_crossvalid[[#This Row],[cutoff]]))</f>
        <v>46022</v>
      </c>
      <c r="B390" s="7">
        <f>DATE(YEAR(m2_crossvalid[[#This Row],[ds]]),MONTH(m2_crossvalid[[#This Row],[ds]]),DAY(m2_crossvalid[[#This Row],[ds]]))</f>
        <v>46039</v>
      </c>
      <c r="C390">
        <v>451</v>
      </c>
      <c r="D390" s="1">
        <v>46039.333333333336</v>
      </c>
      <c r="E390">
        <v>286.77531758350233</v>
      </c>
      <c r="F390">
        <v>-1824.8771220150388</v>
      </c>
      <c r="G390">
        <v>2087.4148237158711</v>
      </c>
      <c r="H390" s="1">
        <v>46022.333333333336</v>
      </c>
    </row>
    <row r="391" spans="1:8" x14ac:dyDescent="0.25">
      <c r="A391" s="7">
        <f>DATE(YEAR(m2_crossvalid[[#This Row],[cutoff]]),MONTH(m2_crossvalid[[#This Row],[cutoff]]),DAY(m2_crossvalid[[#This Row],[cutoff]]))</f>
        <v>46022</v>
      </c>
      <c r="B391" s="7">
        <f>DATE(YEAR(m2_crossvalid[[#This Row],[ds]]),MONTH(m2_crossvalid[[#This Row],[ds]]),DAY(m2_crossvalid[[#This Row],[ds]]))</f>
        <v>46040</v>
      </c>
      <c r="C391">
        <v>76</v>
      </c>
      <c r="D391" s="1">
        <v>46040.333333333336</v>
      </c>
      <c r="E391">
        <v>-202.26848990450253</v>
      </c>
      <c r="F391">
        <v>-2213.0472252219338</v>
      </c>
      <c r="G391">
        <v>1793.4154818466773</v>
      </c>
      <c r="H391" s="1">
        <v>46022.333333333336</v>
      </c>
    </row>
    <row r="392" spans="1:8" x14ac:dyDescent="0.25">
      <c r="A392" s="7">
        <f>DATE(YEAR(m2_crossvalid[[#This Row],[cutoff]]),MONTH(m2_crossvalid[[#This Row],[cutoff]]),DAY(m2_crossvalid[[#This Row],[cutoff]]))</f>
        <v>46022</v>
      </c>
      <c r="B392" s="7">
        <f>DATE(YEAR(m2_crossvalid[[#This Row],[ds]]),MONTH(m2_crossvalid[[#This Row],[ds]]),DAY(m2_crossvalid[[#This Row],[ds]]))</f>
        <v>46041</v>
      </c>
      <c r="C392">
        <v>1963</v>
      </c>
      <c r="D392" s="1">
        <v>46041.333333333336</v>
      </c>
      <c r="E392">
        <v>2042.3882371214077</v>
      </c>
      <c r="F392">
        <v>-49.496098676187266</v>
      </c>
      <c r="G392">
        <v>3973.6656715950016</v>
      </c>
      <c r="H392" s="1">
        <v>46022.333333333336</v>
      </c>
    </row>
    <row r="393" spans="1:8" x14ac:dyDescent="0.25">
      <c r="A393" s="7">
        <f>DATE(YEAR(m2_crossvalid[[#This Row],[cutoff]]),MONTH(m2_crossvalid[[#This Row],[cutoff]]),DAY(m2_crossvalid[[#This Row],[cutoff]]))</f>
        <v>46022</v>
      </c>
      <c r="B393" s="7">
        <f>DATE(YEAR(m2_crossvalid[[#This Row],[ds]]),MONTH(m2_crossvalid[[#This Row],[ds]]),DAY(m2_crossvalid[[#This Row],[ds]]))</f>
        <v>46042</v>
      </c>
      <c r="C393">
        <v>2481</v>
      </c>
      <c r="D393" s="1">
        <v>46042.333333333336</v>
      </c>
      <c r="E393">
        <v>2488.8297476348935</v>
      </c>
      <c r="F393">
        <v>552.06868267052005</v>
      </c>
      <c r="G393">
        <v>4469.0524363769782</v>
      </c>
      <c r="H393" s="1">
        <v>46022.333333333336</v>
      </c>
    </row>
    <row r="394" spans="1:8" x14ac:dyDescent="0.25">
      <c r="A394" s="7">
        <f>DATE(YEAR(m2_crossvalid[[#This Row],[cutoff]]),MONTH(m2_crossvalid[[#This Row],[cutoff]]),DAY(m2_crossvalid[[#This Row],[cutoff]]))</f>
        <v>46022</v>
      </c>
      <c r="B394" s="7">
        <f>DATE(YEAR(m2_crossvalid[[#This Row],[ds]]),MONTH(m2_crossvalid[[#This Row],[ds]]),DAY(m2_crossvalid[[#This Row],[ds]]))</f>
        <v>46043</v>
      </c>
      <c r="C394">
        <v>2679</v>
      </c>
      <c r="D394" s="1">
        <v>46043.333333333336</v>
      </c>
      <c r="E394">
        <v>2675.2217077718542</v>
      </c>
      <c r="F394">
        <v>564.15463525621499</v>
      </c>
      <c r="G394">
        <v>4658.1413244617961</v>
      </c>
      <c r="H394" s="1">
        <v>46022.333333333336</v>
      </c>
    </row>
    <row r="395" spans="1:8" x14ac:dyDescent="0.25">
      <c r="A395" s="7">
        <f>DATE(YEAR(m2_crossvalid[[#This Row],[cutoff]]),MONTH(m2_crossvalid[[#This Row],[cutoff]]),DAY(m2_crossvalid[[#This Row],[cutoff]]))</f>
        <v>46022</v>
      </c>
      <c r="B395" s="7">
        <f>DATE(YEAR(m2_crossvalid[[#This Row],[ds]]),MONTH(m2_crossvalid[[#This Row],[ds]]),DAY(m2_crossvalid[[#This Row],[ds]]))</f>
        <v>46044</v>
      </c>
      <c r="C395">
        <v>2830</v>
      </c>
      <c r="D395" s="1">
        <v>46044.333333333336</v>
      </c>
      <c r="E395">
        <v>2996.9926382925819</v>
      </c>
      <c r="F395">
        <v>851.23953342758932</v>
      </c>
      <c r="G395">
        <v>4953.4532776838932</v>
      </c>
      <c r="H395" s="1">
        <v>46022.333333333336</v>
      </c>
    </row>
    <row r="396" spans="1:8" x14ac:dyDescent="0.25">
      <c r="A396" s="7">
        <f>DATE(YEAR(m2_crossvalid[[#This Row],[cutoff]]),MONTH(m2_crossvalid[[#This Row],[cutoff]]),DAY(m2_crossvalid[[#This Row],[cutoff]]))</f>
        <v>46022</v>
      </c>
      <c r="B396" s="7">
        <f>DATE(YEAR(m2_crossvalid[[#This Row],[ds]]),MONTH(m2_crossvalid[[#This Row],[ds]]),DAY(m2_crossvalid[[#This Row],[ds]]))</f>
        <v>46045</v>
      </c>
      <c r="C396">
        <v>3000</v>
      </c>
      <c r="D396" s="1">
        <v>46045.333333333336</v>
      </c>
      <c r="E396">
        <v>3318.7492047815394</v>
      </c>
      <c r="F396">
        <v>1351.3861642889897</v>
      </c>
      <c r="G396">
        <v>5292.0091857251373</v>
      </c>
      <c r="H396" s="1">
        <v>46022.333333333336</v>
      </c>
    </row>
    <row r="397" spans="1:8" x14ac:dyDescent="0.25">
      <c r="A397" s="7">
        <f>DATE(YEAR(m2_crossvalid[[#This Row],[cutoff]]),MONTH(m2_crossvalid[[#This Row],[cutoff]]),DAY(m2_crossvalid[[#This Row],[cutoff]]))</f>
        <v>46022</v>
      </c>
      <c r="B397" s="7">
        <f>DATE(YEAR(m2_crossvalid[[#This Row],[ds]]),MONTH(m2_crossvalid[[#This Row],[ds]]),DAY(m2_crossvalid[[#This Row],[ds]]))</f>
        <v>46046</v>
      </c>
      <c r="C397">
        <v>902</v>
      </c>
      <c r="D397" s="1">
        <v>46046.333333333336</v>
      </c>
      <c r="E397">
        <v>1084.9380402562604</v>
      </c>
      <c r="F397">
        <v>-832.32242606990155</v>
      </c>
      <c r="G397">
        <v>3059.1774333229109</v>
      </c>
      <c r="H397" s="1">
        <v>46022.333333333336</v>
      </c>
    </row>
    <row r="398" spans="1:8" x14ac:dyDescent="0.25">
      <c r="A398" s="7">
        <f>DATE(YEAR(m2_crossvalid[[#This Row],[cutoff]]),MONTH(m2_crossvalid[[#This Row],[cutoff]]),DAY(m2_crossvalid[[#This Row],[cutoff]]))</f>
        <v>46022</v>
      </c>
      <c r="B398" s="7">
        <f>DATE(YEAR(m2_crossvalid[[#This Row],[ds]]),MONTH(m2_crossvalid[[#This Row],[ds]]),DAY(m2_crossvalid[[#This Row],[ds]]))</f>
        <v>46047</v>
      </c>
      <c r="C398">
        <v>150</v>
      </c>
      <c r="D398" s="1">
        <v>46047.333333333336</v>
      </c>
      <c r="E398">
        <v>409.34074355968551</v>
      </c>
      <c r="F398">
        <v>-1532.172434337338</v>
      </c>
      <c r="G398">
        <v>2438.0858717149285</v>
      </c>
      <c r="H398" s="1">
        <v>46022.333333333336</v>
      </c>
    </row>
    <row r="399" spans="1:8" x14ac:dyDescent="0.25">
      <c r="A399" s="7">
        <f>DATE(YEAR(m2_crossvalid[[#This Row],[cutoff]]),MONTH(m2_crossvalid[[#This Row],[cutoff]]),DAY(m2_crossvalid[[#This Row],[cutoff]]))</f>
        <v>46022</v>
      </c>
      <c r="B399" s="7">
        <f>DATE(YEAR(m2_crossvalid[[#This Row],[ds]]),MONTH(m2_crossvalid[[#This Row],[ds]]),DAY(m2_crossvalid[[#This Row],[ds]]))</f>
        <v>46048</v>
      </c>
      <c r="C399">
        <v>3603</v>
      </c>
      <c r="D399" s="1">
        <v>46048.333333333336</v>
      </c>
      <c r="E399">
        <v>2844.4035904909406</v>
      </c>
      <c r="F399">
        <v>899.69147880273317</v>
      </c>
      <c r="G399">
        <v>4851.2451259000782</v>
      </c>
      <c r="H399" s="1">
        <v>46022.333333333336</v>
      </c>
    </row>
    <row r="400" spans="1:8" x14ac:dyDescent="0.25">
      <c r="A400" s="7">
        <f>DATE(YEAR(m2_crossvalid[[#This Row],[cutoff]]),MONTH(m2_crossvalid[[#This Row],[cutoff]]),DAY(m2_crossvalid[[#This Row],[cutoff]]))</f>
        <v>46022</v>
      </c>
      <c r="B400" s="7">
        <f>DATE(YEAR(m2_crossvalid[[#This Row],[ds]]),MONTH(m2_crossvalid[[#This Row],[ds]]),DAY(m2_crossvalid[[#This Row],[ds]]))</f>
        <v>46049</v>
      </c>
      <c r="C400">
        <v>4548</v>
      </c>
      <c r="D400" s="1">
        <v>46049.333333333336</v>
      </c>
      <c r="E400">
        <v>4038.9489674095958</v>
      </c>
      <c r="F400">
        <v>2062.0137431248427</v>
      </c>
      <c r="G400">
        <v>5995.7321302407254</v>
      </c>
      <c r="H400" s="1">
        <v>46022.333333333336</v>
      </c>
    </row>
    <row r="401" spans="1:8" x14ac:dyDescent="0.25">
      <c r="A401" s="7">
        <f>DATE(YEAR(m2_crossvalid[[#This Row],[cutoff]]),MONTH(m2_crossvalid[[#This Row],[cutoff]]),DAY(m2_crossvalid[[#This Row],[cutoff]]))</f>
        <v>46022</v>
      </c>
      <c r="B401" s="7">
        <f>DATE(YEAR(m2_crossvalid[[#This Row],[ds]]),MONTH(m2_crossvalid[[#This Row],[ds]]),DAY(m2_crossvalid[[#This Row],[ds]]))</f>
        <v>46050</v>
      </c>
      <c r="C401">
        <v>5313</v>
      </c>
      <c r="D401" s="1">
        <v>46050.333333333336</v>
      </c>
      <c r="E401">
        <v>5262.4512763748226</v>
      </c>
      <c r="F401">
        <v>3273.6643364639958</v>
      </c>
      <c r="G401">
        <v>7244.8319742571639</v>
      </c>
      <c r="H401" s="1">
        <v>46022.333333333336</v>
      </c>
    </row>
    <row r="402" spans="1:8" x14ac:dyDescent="0.25">
      <c r="A402" s="7">
        <f>DATE(YEAR(m2_crossvalid[[#This Row],[cutoff]]),MONTH(m2_crossvalid[[#This Row],[cutoff]]),DAY(m2_crossvalid[[#This Row],[cutoff]]))</f>
        <v>46022</v>
      </c>
      <c r="B402" s="7">
        <f>DATE(YEAR(m2_crossvalid[[#This Row],[ds]]),MONTH(m2_crossvalid[[#This Row],[ds]]),DAY(m2_crossvalid[[#This Row],[ds]]))</f>
        <v>46051</v>
      </c>
      <c r="C402">
        <v>7326</v>
      </c>
      <c r="D402" s="1">
        <v>46051.333333333336</v>
      </c>
      <c r="E402">
        <v>6328.0298200567813</v>
      </c>
      <c r="F402">
        <v>4319.0969484701409</v>
      </c>
      <c r="G402">
        <v>8365.2633063697467</v>
      </c>
      <c r="H402" s="1">
        <v>46022.333333333336</v>
      </c>
    </row>
    <row r="403" spans="1:8" x14ac:dyDescent="0.25">
      <c r="A403" s="7">
        <f>DATE(YEAR(m2_crossvalid[[#This Row],[cutoff]]),MONTH(m2_crossvalid[[#This Row],[cutoff]]),DAY(m2_crossvalid[[#This Row],[cutoff]]))</f>
        <v>46022</v>
      </c>
      <c r="B403" s="7">
        <f>DATE(YEAR(m2_crossvalid[[#This Row],[ds]]),MONTH(m2_crossvalid[[#This Row],[ds]]),DAY(m2_crossvalid[[#This Row],[ds]]))</f>
        <v>46052</v>
      </c>
      <c r="C403">
        <v>10276</v>
      </c>
      <c r="D403" s="1">
        <v>46052.333333333336</v>
      </c>
      <c r="E403">
        <v>6587.632315054987</v>
      </c>
      <c r="F403">
        <v>4514.0901350611111</v>
      </c>
      <c r="G403">
        <v>8548.0812476804549</v>
      </c>
      <c r="H403" s="1">
        <v>46022.333333333336</v>
      </c>
    </row>
    <row r="404" spans="1:8" x14ac:dyDescent="0.25">
      <c r="A404" s="7">
        <f>DATE(YEAR(m2_crossvalid[[#This Row],[cutoff]]),MONTH(m2_crossvalid[[#This Row],[cutoff]]),DAY(m2_crossvalid[[#This Row],[cutoff]]))</f>
        <v>46022</v>
      </c>
      <c r="B404" s="7">
        <f>DATE(YEAR(m2_crossvalid[[#This Row],[ds]]),MONTH(m2_crossvalid[[#This Row],[ds]]),DAY(m2_crossvalid[[#This Row],[ds]]))</f>
        <v>46053</v>
      </c>
      <c r="C404">
        <v>7991</v>
      </c>
      <c r="D404" s="1">
        <v>46053.333333333336</v>
      </c>
      <c r="E404">
        <v>3358.7386269427684</v>
      </c>
      <c r="F404">
        <v>1349.1942003643619</v>
      </c>
      <c r="G404">
        <v>5362.4088377042845</v>
      </c>
      <c r="H404" s="1">
        <v>46022.333333333336</v>
      </c>
    </row>
    <row r="405" spans="1:8" x14ac:dyDescent="0.25">
      <c r="A405" s="7">
        <f>DATE(YEAR(m2_crossvalid[[#This Row],[cutoff]]),MONTH(m2_crossvalid[[#This Row],[cutoff]]),DAY(m2_crossvalid[[#This Row],[cutoff]]))</f>
        <v>46053</v>
      </c>
      <c r="B405" s="7">
        <f>DATE(YEAR(m2_crossvalid[[#This Row],[ds]]),MONTH(m2_crossvalid[[#This Row],[ds]]),DAY(m2_crossvalid[[#This Row],[ds]]))</f>
        <v>46054</v>
      </c>
      <c r="C405">
        <v>26</v>
      </c>
      <c r="D405" s="1">
        <v>46054.333333333336</v>
      </c>
      <c r="E405">
        <v>1194.4922296275913</v>
      </c>
      <c r="F405">
        <v>-926.74242829778052</v>
      </c>
      <c r="G405">
        <v>3248.88495752262</v>
      </c>
      <c r="H405" s="1">
        <v>46053.333333333336</v>
      </c>
    </row>
    <row r="406" spans="1:8" x14ac:dyDescent="0.25">
      <c r="A406" s="7">
        <f>DATE(YEAR(m2_crossvalid[[#This Row],[cutoff]]),MONTH(m2_crossvalid[[#This Row],[cutoff]]),DAY(m2_crossvalid[[#This Row],[cutoff]]))</f>
        <v>46053</v>
      </c>
      <c r="B406" s="7">
        <f>DATE(YEAR(m2_crossvalid[[#This Row],[ds]]),MONTH(m2_crossvalid[[#This Row],[ds]]),DAY(m2_crossvalid[[#This Row],[ds]]))</f>
        <v>46055</v>
      </c>
      <c r="C406">
        <v>134</v>
      </c>
      <c r="D406" s="1">
        <v>46055.333333333336</v>
      </c>
      <c r="E406">
        <v>1744.4213140249717</v>
      </c>
      <c r="F406">
        <v>-184.08068055129962</v>
      </c>
      <c r="G406">
        <v>3728.9644304835188</v>
      </c>
      <c r="H406" s="1">
        <v>46053.333333333336</v>
      </c>
    </row>
    <row r="407" spans="1:8" x14ac:dyDescent="0.25">
      <c r="A407" s="7">
        <f>DATE(YEAR(m2_crossvalid[[#This Row],[cutoff]]),MONTH(m2_crossvalid[[#This Row],[cutoff]]),DAY(m2_crossvalid[[#This Row],[cutoff]]))</f>
        <v>46053</v>
      </c>
      <c r="B407" s="7">
        <f>DATE(YEAR(m2_crossvalid[[#This Row],[ds]]),MONTH(m2_crossvalid[[#This Row],[ds]]),DAY(m2_crossvalid[[#This Row],[ds]]))</f>
        <v>46056</v>
      </c>
      <c r="C407">
        <v>521</v>
      </c>
      <c r="D407" s="1">
        <v>46056.333333333336</v>
      </c>
      <c r="E407">
        <v>1240.1669147896648</v>
      </c>
      <c r="F407">
        <v>-963.07585496162687</v>
      </c>
      <c r="G407">
        <v>3301.5774717259242</v>
      </c>
      <c r="H407" s="1">
        <v>46053.333333333336</v>
      </c>
    </row>
    <row r="408" spans="1:8" x14ac:dyDescent="0.25">
      <c r="A408" s="7">
        <f>DATE(YEAR(m2_crossvalid[[#This Row],[cutoff]]),MONTH(m2_crossvalid[[#This Row],[cutoff]]),DAY(m2_crossvalid[[#This Row],[cutoff]]))</f>
        <v>46053</v>
      </c>
      <c r="B408" s="7">
        <f>DATE(YEAR(m2_crossvalid[[#This Row],[ds]]),MONTH(m2_crossvalid[[#This Row],[ds]]),DAY(m2_crossvalid[[#This Row],[ds]]))</f>
        <v>46057</v>
      </c>
      <c r="C408">
        <v>696</v>
      </c>
      <c r="D408" s="1">
        <v>46057.333333333336</v>
      </c>
      <c r="E408">
        <v>1179.3997329967842</v>
      </c>
      <c r="F408">
        <v>-785.99520872770847</v>
      </c>
      <c r="G408">
        <v>3301.0571545233274</v>
      </c>
      <c r="H408" s="1">
        <v>46053.333333333336</v>
      </c>
    </row>
    <row r="409" spans="1:8" x14ac:dyDescent="0.25">
      <c r="A409" s="7">
        <f>DATE(YEAR(m2_crossvalid[[#This Row],[cutoff]]),MONTH(m2_crossvalid[[#This Row],[cutoff]]),DAY(m2_crossvalid[[#This Row],[cutoff]]))</f>
        <v>46053</v>
      </c>
      <c r="B409" s="7">
        <f>DATE(YEAR(m2_crossvalid[[#This Row],[ds]]),MONTH(m2_crossvalid[[#This Row],[ds]]),DAY(m2_crossvalid[[#This Row],[ds]]))</f>
        <v>46058</v>
      </c>
      <c r="C409">
        <v>1038</v>
      </c>
      <c r="D409" s="1">
        <v>46058.333333333336</v>
      </c>
      <c r="E409">
        <v>1556.7708053188817</v>
      </c>
      <c r="F409">
        <v>-446.71637256518795</v>
      </c>
      <c r="G409">
        <v>3481.0276277214334</v>
      </c>
      <c r="H409" s="1">
        <v>46053.333333333336</v>
      </c>
    </row>
    <row r="410" spans="1:8" x14ac:dyDescent="0.25">
      <c r="A410" s="7">
        <f>DATE(YEAR(m2_crossvalid[[#This Row],[cutoff]]),MONTH(m2_crossvalid[[#This Row],[cutoff]]),DAY(m2_crossvalid[[#This Row],[cutoff]]))</f>
        <v>46053</v>
      </c>
      <c r="B410" s="7">
        <f>DATE(YEAR(m2_crossvalid[[#This Row],[ds]]),MONTH(m2_crossvalid[[#This Row],[ds]]),DAY(m2_crossvalid[[#This Row],[ds]]))</f>
        <v>46059</v>
      </c>
      <c r="C410">
        <v>1414</v>
      </c>
      <c r="D410" s="1">
        <v>46059.333333333336</v>
      </c>
      <c r="E410">
        <v>1950.2187159259836</v>
      </c>
      <c r="F410">
        <v>-199.40347493472009</v>
      </c>
      <c r="G410">
        <v>3990.6457787462382</v>
      </c>
      <c r="H410" s="1">
        <v>46053.333333333336</v>
      </c>
    </row>
    <row r="411" spans="1:8" x14ac:dyDescent="0.25">
      <c r="A411" s="7">
        <f>DATE(YEAR(m2_crossvalid[[#This Row],[cutoff]]),MONTH(m2_crossvalid[[#This Row],[cutoff]]),DAY(m2_crossvalid[[#This Row],[cutoff]]))</f>
        <v>46053</v>
      </c>
      <c r="B411" s="7">
        <f>DATE(YEAR(m2_crossvalid[[#This Row],[ds]]),MONTH(m2_crossvalid[[#This Row],[ds]]),DAY(m2_crossvalid[[#This Row],[ds]]))</f>
        <v>46060</v>
      </c>
      <c r="C411">
        <v>286</v>
      </c>
      <c r="D411" s="1">
        <v>46060.333333333336</v>
      </c>
      <c r="E411">
        <v>-255.93546788445019</v>
      </c>
      <c r="F411">
        <v>-2381.0030822577646</v>
      </c>
      <c r="G411">
        <v>1674.3592021842915</v>
      </c>
      <c r="H411" s="1">
        <v>46053.333333333336</v>
      </c>
    </row>
    <row r="412" spans="1:8" x14ac:dyDescent="0.25">
      <c r="A412" s="7">
        <f>DATE(YEAR(m2_crossvalid[[#This Row],[cutoff]]),MONTH(m2_crossvalid[[#This Row],[cutoff]]),DAY(m2_crossvalid[[#This Row],[cutoff]]))</f>
        <v>46053</v>
      </c>
      <c r="B412" s="7">
        <f>DATE(YEAR(m2_crossvalid[[#This Row],[ds]]),MONTH(m2_crossvalid[[#This Row],[ds]]),DAY(m2_crossvalid[[#This Row],[ds]]))</f>
        <v>46061</v>
      </c>
      <c r="C412">
        <v>82</v>
      </c>
      <c r="D412" s="1">
        <v>46061.333333333336</v>
      </c>
      <c r="E412">
        <v>-948.21980644939094</v>
      </c>
      <c r="F412">
        <v>-2992.734569502717</v>
      </c>
      <c r="G412">
        <v>949.72516495534956</v>
      </c>
      <c r="H412" s="1">
        <v>46053.333333333336</v>
      </c>
    </row>
    <row r="413" spans="1:8" x14ac:dyDescent="0.25">
      <c r="A413" s="7">
        <f>DATE(YEAR(m2_crossvalid[[#This Row],[cutoff]]),MONTH(m2_crossvalid[[#This Row],[cutoff]]),DAY(m2_crossvalid[[#This Row],[cutoff]]))</f>
        <v>46053</v>
      </c>
      <c r="B413" s="7">
        <f>DATE(YEAR(m2_crossvalid[[#This Row],[ds]]),MONTH(m2_crossvalid[[#This Row],[ds]]),DAY(m2_crossvalid[[#This Row],[ds]]))</f>
        <v>46062</v>
      </c>
      <c r="C413">
        <v>1902</v>
      </c>
      <c r="D413" s="1">
        <v>46062.333333333336</v>
      </c>
      <c r="E413">
        <v>1355.203027465961</v>
      </c>
      <c r="F413">
        <v>-706.59315925377746</v>
      </c>
      <c r="G413">
        <v>3265.9091120849289</v>
      </c>
      <c r="H413" s="1">
        <v>46053.333333333336</v>
      </c>
    </row>
    <row r="414" spans="1:8" x14ac:dyDescent="0.25">
      <c r="A414" s="7">
        <f>DATE(YEAR(m2_crossvalid[[#This Row],[cutoff]]),MONTH(m2_crossvalid[[#This Row],[cutoff]]),DAY(m2_crossvalid[[#This Row],[cutoff]]))</f>
        <v>46053</v>
      </c>
      <c r="B414" s="7">
        <f>DATE(YEAR(m2_crossvalid[[#This Row],[ds]]),MONTH(m2_crossvalid[[#This Row],[ds]]),DAY(m2_crossvalid[[#This Row],[ds]]))</f>
        <v>46063</v>
      </c>
      <c r="C414">
        <v>2288</v>
      </c>
      <c r="D414" s="1">
        <v>46063.333333333336</v>
      </c>
      <c r="E414">
        <v>2065.1782466261093</v>
      </c>
      <c r="F414">
        <v>167.64681843108374</v>
      </c>
      <c r="G414">
        <v>4163.505151689852</v>
      </c>
      <c r="H414" s="1">
        <v>46053.333333333336</v>
      </c>
    </row>
    <row r="415" spans="1:8" x14ac:dyDescent="0.25">
      <c r="A415" s="7">
        <f>DATE(YEAR(m2_crossvalid[[#This Row],[cutoff]]),MONTH(m2_crossvalid[[#This Row],[cutoff]]),DAY(m2_crossvalid[[#This Row],[cutoff]]))</f>
        <v>46053</v>
      </c>
      <c r="B415" s="7">
        <f>DATE(YEAR(m2_crossvalid[[#This Row],[ds]]),MONTH(m2_crossvalid[[#This Row],[ds]]),DAY(m2_crossvalid[[#This Row],[ds]]))</f>
        <v>46064</v>
      </c>
      <c r="C415">
        <v>2663</v>
      </c>
      <c r="D415" s="1">
        <v>46064.333333333336</v>
      </c>
      <c r="E415">
        <v>2377.3517347577585</v>
      </c>
      <c r="F415">
        <v>238.88163622399935</v>
      </c>
      <c r="G415">
        <v>4331.0385301617371</v>
      </c>
      <c r="H415" s="1">
        <v>46053.333333333336</v>
      </c>
    </row>
    <row r="416" spans="1:8" x14ac:dyDescent="0.25">
      <c r="A416" s="7">
        <f>DATE(YEAR(m2_crossvalid[[#This Row],[cutoff]]),MONTH(m2_crossvalid[[#This Row],[cutoff]]),DAY(m2_crossvalid[[#This Row],[cutoff]]))</f>
        <v>46053</v>
      </c>
      <c r="B416" s="7">
        <f>DATE(YEAR(m2_crossvalid[[#This Row],[ds]]),MONTH(m2_crossvalid[[#This Row],[ds]]),DAY(m2_crossvalid[[#This Row],[ds]]))</f>
        <v>46065</v>
      </c>
      <c r="C416">
        <v>3108</v>
      </c>
      <c r="D416" s="1">
        <v>46065.333333333336</v>
      </c>
      <c r="E416">
        <v>2488.7952802303239</v>
      </c>
      <c r="F416">
        <v>551.70569398392718</v>
      </c>
      <c r="G416">
        <v>4525.2716607074462</v>
      </c>
      <c r="H416" s="1">
        <v>46053.333333333336</v>
      </c>
    </row>
    <row r="417" spans="1:8" x14ac:dyDescent="0.25">
      <c r="A417" s="7">
        <f>DATE(YEAR(m2_crossvalid[[#This Row],[cutoff]]),MONTH(m2_crossvalid[[#This Row],[cutoff]]),DAY(m2_crossvalid[[#This Row],[cutoff]]))</f>
        <v>46053</v>
      </c>
      <c r="B417" s="7">
        <f>DATE(YEAR(m2_crossvalid[[#This Row],[ds]]),MONTH(m2_crossvalid[[#This Row],[ds]]),DAY(m2_crossvalid[[#This Row],[ds]]))</f>
        <v>46066</v>
      </c>
      <c r="C417">
        <v>3172</v>
      </c>
      <c r="D417" s="1">
        <v>46066.333333333336</v>
      </c>
      <c r="E417">
        <v>2494.117961600195</v>
      </c>
      <c r="F417">
        <v>606.5908045306544</v>
      </c>
      <c r="G417">
        <v>4479.6594281159923</v>
      </c>
      <c r="H417" s="1">
        <v>46053.333333333336</v>
      </c>
    </row>
    <row r="418" spans="1:8" x14ac:dyDescent="0.25">
      <c r="A418" s="7">
        <f>DATE(YEAR(m2_crossvalid[[#This Row],[cutoff]]),MONTH(m2_crossvalid[[#This Row],[cutoff]]),DAY(m2_crossvalid[[#This Row],[cutoff]]))</f>
        <v>46053</v>
      </c>
      <c r="B418" s="7">
        <f>DATE(YEAR(m2_crossvalid[[#This Row],[ds]]),MONTH(m2_crossvalid[[#This Row],[ds]]),DAY(m2_crossvalid[[#This Row],[ds]]))</f>
        <v>46067</v>
      </c>
      <c r="C418">
        <v>913</v>
      </c>
      <c r="D418" s="1">
        <v>46067.333333333336</v>
      </c>
      <c r="E418">
        <v>194.87717644459599</v>
      </c>
      <c r="F418">
        <v>-1896.4408795967204</v>
      </c>
      <c r="G418">
        <v>2352.3833875370055</v>
      </c>
      <c r="H418" s="1">
        <v>46053.333333333336</v>
      </c>
    </row>
    <row r="419" spans="1:8" x14ac:dyDescent="0.25">
      <c r="A419" s="7">
        <f>DATE(YEAR(m2_crossvalid[[#This Row],[cutoff]]),MONTH(m2_crossvalid[[#This Row],[cutoff]]),DAY(m2_crossvalid[[#This Row],[cutoff]]))</f>
        <v>46053</v>
      </c>
      <c r="B419" s="7">
        <f>DATE(YEAR(m2_crossvalid[[#This Row],[ds]]),MONTH(m2_crossvalid[[#This Row],[ds]]),DAY(m2_crossvalid[[#This Row],[ds]]))</f>
        <v>46068</v>
      </c>
      <c r="C419">
        <v>208</v>
      </c>
      <c r="D419" s="1">
        <v>46068.333333333336</v>
      </c>
      <c r="E419">
        <v>-268.80734005364184</v>
      </c>
      <c r="F419">
        <v>-2249.7588683213162</v>
      </c>
      <c r="G419">
        <v>1689.622108102498</v>
      </c>
      <c r="H419" s="1">
        <v>46053.333333333336</v>
      </c>
    </row>
    <row r="420" spans="1:8" x14ac:dyDescent="0.25">
      <c r="A420" s="7">
        <f>DATE(YEAR(m2_crossvalid[[#This Row],[cutoff]]),MONTH(m2_crossvalid[[#This Row],[cutoff]]),DAY(m2_crossvalid[[#This Row],[cutoff]]))</f>
        <v>46053</v>
      </c>
      <c r="B420" s="7">
        <f>DATE(YEAR(m2_crossvalid[[#This Row],[ds]]),MONTH(m2_crossvalid[[#This Row],[ds]]),DAY(m2_crossvalid[[#This Row],[ds]]))</f>
        <v>46069</v>
      </c>
      <c r="C420">
        <v>1728</v>
      </c>
      <c r="D420" s="1">
        <v>46069.333333333336</v>
      </c>
      <c r="E420">
        <v>2287.977038353546</v>
      </c>
      <c r="F420">
        <v>194.9957875096255</v>
      </c>
      <c r="G420">
        <v>4174.1464331332099</v>
      </c>
      <c r="H420" s="1">
        <v>46053.333333333336</v>
      </c>
    </row>
    <row r="421" spans="1:8" x14ac:dyDescent="0.25">
      <c r="A421" s="7">
        <f>DATE(YEAR(m2_crossvalid[[#This Row],[cutoff]]),MONTH(m2_crossvalid[[#This Row],[cutoff]]),DAY(m2_crossvalid[[#This Row],[cutoff]]))</f>
        <v>46053</v>
      </c>
      <c r="B421" s="7">
        <f>DATE(YEAR(m2_crossvalid[[#This Row],[ds]]),MONTH(m2_crossvalid[[#This Row],[ds]]),DAY(m2_crossvalid[[#This Row],[ds]]))</f>
        <v>46070</v>
      </c>
      <c r="C421">
        <v>27</v>
      </c>
      <c r="D421" s="1">
        <v>46070.333333333336</v>
      </c>
      <c r="E421">
        <v>2992.8651978859102</v>
      </c>
      <c r="F421">
        <v>913.07264289057707</v>
      </c>
      <c r="G421">
        <v>4989.4834615971749</v>
      </c>
      <c r="H421" s="1">
        <v>46053.333333333336</v>
      </c>
    </row>
    <row r="422" spans="1:8" x14ac:dyDescent="0.25">
      <c r="A422" s="7">
        <f>DATE(YEAR(m2_crossvalid[[#This Row],[cutoff]]),MONTH(m2_crossvalid[[#This Row],[cutoff]]),DAY(m2_crossvalid[[#This Row],[cutoff]]))</f>
        <v>46053</v>
      </c>
      <c r="B422" s="7">
        <f>DATE(YEAR(m2_crossvalid[[#This Row],[ds]]),MONTH(m2_crossvalid[[#This Row],[ds]]),DAY(m2_crossvalid[[#This Row],[ds]]))</f>
        <v>46071</v>
      </c>
      <c r="C422">
        <v>21</v>
      </c>
      <c r="D422" s="1">
        <v>46071.333333333336</v>
      </c>
      <c r="E422">
        <v>3053.7892894428214</v>
      </c>
      <c r="F422">
        <v>1114.1931523925136</v>
      </c>
      <c r="G422">
        <v>5072.0916609930018</v>
      </c>
      <c r="H422" s="1">
        <v>46053.333333333336</v>
      </c>
    </row>
    <row r="423" spans="1:8" x14ac:dyDescent="0.25">
      <c r="A423" s="7">
        <f>DATE(YEAR(m2_crossvalid[[#This Row],[cutoff]]),MONTH(m2_crossvalid[[#This Row],[cutoff]]),DAY(m2_crossvalid[[#This Row],[cutoff]]))</f>
        <v>46053</v>
      </c>
      <c r="B423" s="7">
        <f>DATE(YEAR(m2_crossvalid[[#This Row],[ds]]),MONTH(m2_crossvalid[[#This Row],[ds]]),DAY(m2_crossvalid[[#This Row],[ds]]))</f>
        <v>46072</v>
      </c>
      <c r="C423">
        <v>1000</v>
      </c>
      <c r="D423" s="1">
        <v>46072.333333333336</v>
      </c>
      <c r="E423">
        <v>2944.4031380372708</v>
      </c>
      <c r="F423">
        <v>854.14539227558862</v>
      </c>
      <c r="G423">
        <v>5046.8396977865041</v>
      </c>
      <c r="H423" s="1">
        <v>46053.333333333336</v>
      </c>
    </row>
    <row r="424" spans="1:8" x14ac:dyDescent="0.25">
      <c r="A424" s="7">
        <f>DATE(YEAR(m2_crossvalid[[#This Row],[cutoff]]),MONTH(m2_crossvalid[[#This Row],[cutoff]]),DAY(m2_crossvalid[[#This Row],[cutoff]]))</f>
        <v>46053</v>
      </c>
      <c r="B424" s="7">
        <f>DATE(YEAR(m2_crossvalid[[#This Row],[ds]]),MONTH(m2_crossvalid[[#This Row],[ds]]),DAY(m2_crossvalid[[#This Row],[ds]]))</f>
        <v>46073</v>
      </c>
      <c r="C424">
        <v>1555</v>
      </c>
      <c r="D424" s="1">
        <v>46073.333333333336</v>
      </c>
      <c r="E424">
        <v>3005.1912814155112</v>
      </c>
      <c r="F424">
        <v>1107.2295353900627</v>
      </c>
      <c r="G424">
        <v>4947.2193131784616</v>
      </c>
      <c r="H424" s="1">
        <v>46053.333333333336</v>
      </c>
    </row>
    <row r="425" spans="1:8" x14ac:dyDescent="0.25">
      <c r="A425" s="7">
        <f>DATE(YEAR(m2_crossvalid[[#This Row],[cutoff]]),MONTH(m2_crossvalid[[#This Row],[cutoff]]),DAY(m2_crossvalid[[#This Row],[cutoff]]))</f>
        <v>46053</v>
      </c>
      <c r="B425" s="7">
        <f>DATE(YEAR(m2_crossvalid[[#This Row],[ds]]),MONTH(m2_crossvalid[[#This Row],[ds]]),DAY(m2_crossvalid[[#This Row],[ds]]))</f>
        <v>46074</v>
      </c>
      <c r="C425">
        <v>492</v>
      </c>
      <c r="D425" s="1">
        <v>46074.333333333336</v>
      </c>
      <c r="E425">
        <v>995.57908656289374</v>
      </c>
      <c r="F425">
        <v>-885.73968892645883</v>
      </c>
      <c r="G425">
        <v>2985.6815357875207</v>
      </c>
      <c r="H425" s="1">
        <v>46053.333333333336</v>
      </c>
    </row>
    <row r="426" spans="1:8" x14ac:dyDescent="0.25">
      <c r="A426" s="7">
        <f>DATE(YEAR(m2_crossvalid[[#This Row],[cutoff]]),MONTH(m2_crossvalid[[#This Row],[cutoff]]),DAY(m2_crossvalid[[#This Row],[cutoff]]))</f>
        <v>46053</v>
      </c>
      <c r="B426" s="7">
        <f>DATE(YEAR(m2_crossvalid[[#This Row],[ds]]),MONTH(m2_crossvalid[[#This Row],[ds]]),DAY(m2_crossvalid[[#This Row],[ds]]))</f>
        <v>46075</v>
      </c>
      <c r="C426">
        <v>159</v>
      </c>
      <c r="D426" s="1">
        <v>46075.333333333336</v>
      </c>
      <c r="E426">
        <v>765.9948480441883</v>
      </c>
      <c r="F426">
        <v>-1326.6387947305197</v>
      </c>
      <c r="G426">
        <v>2804.4405991168501</v>
      </c>
      <c r="H426" s="1">
        <v>46053.333333333336</v>
      </c>
    </row>
    <row r="427" spans="1:8" x14ac:dyDescent="0.25">
      <c r="A427" s="7">
        <f>DATE(YEAR(m2_crossvalid[[#This Row],[cutoff]]),MONTH(m2_crossvalid[[#This Row],[cutoff]]),DAY(m2_crossvalid[[#This Row],[cutoff]]))</f>
        <v>46053</v>
      </c>
      <c r="B427" s="7">
        <f>DATE(YEAR(m2_crossvalid[[#This Row],[ds]]),MONTH(m2_crossvalid[[#This Row],[ds]]),DAY(m2_crossvalid[[#This Row],[ds]]))</f>
        <v>46076</v>
      </c>
      <c r="C427">
        <v>2313</v>
      </c>
      <c r="D427" s="1">
        <v>46076.333333333336</v>
      </c>
      <c r="E427">
        <v>3268.7289776928801</v>
      </c>
      <c r="F427">
        <v>1187.730210008704</v>
      </c>
      <c r="G427">
        <v>5219.4266906610274</v>
      </c>
      <c r="H427" s="1">
        <v>46053.333333333336</v>
      </c>
    </row>
    <row r="428" spans="1:8" x14ac:dyDescent="0.25">
      <c r="A428" s="7">
        <f>DATE(YEAR(m2_crossvalid[[#This Row],[cutoff]]),MONTH(m2_crossvalid[[#This Row],[cutoff]]),DAY(m2_crossvalid[[#This Row],[cutoff]]))</f>
        <v>46053</v>
      </c>
      <c r="B428" s="7">
        <f>DATE(YEAR(m2_crossvalid[[#This Row],[ds]]),MONTH(m2_crossvalid[[#This Row],[ds]]),DAY(m2_crossvalid[[#This Row],[ds]]))</f>
        <v>46077</v>
      </c>
      <c r="C428">
        <v>3081</v>
      </c>
      <c r="D428" s="1">
        <v>46077.333333333336</v>
      </c>
      <c r="E428">
        <v>3727.6952474080335</v>
      </c>
      <c r="F428">
        <v>1819.7905984641384</v>
      </c>
      <c r="G428">
        <v>5877.2709597901458</v>
      </c>
      <c r="H428" s="1">
        <v>46053.333333333336</v>
      </c>
    </row>
    <row r="429" spans="1:8" x14ac:dyDescent="0.25">
      <c r="A429" s="7">
        <f>DATE(YEAR(m2_crossvalid[[#This Row],[cutoff]]),MONTH(m2_crossvalid[[#This Row],[cutoff]]),DAY(m2_crossvalid[[#This Row],[cutoff]]))</f>
        <v>46053</v>
      </c>
      <c r="B429" s="7">
        <f>DATE(YEAR(m2_crossvalid[[#This Row],[ds]]),MONTH(m2_crossvalid[[#This Row],[ds]]),DAY(m2_crossvalid[[#This Row],[ds]]))</f>
        <v>46078</v>
      </c>
      <c r="C429">
        <v>4066</v>
      </c>
      <c r="D429" s="1">
        <v>46078.333333333336</v>
      </c>
      <c r="E429">
        <v>3738.2244079925476</v>
      </c>
      <c r="F429">
        <v>1656.8184193033046</v>
      </c>
      <c r="G429">
        <v>5886.5351828094826</v>
      </c>
      <c r="H429" s="1">
        <v>46053.333333333336</v>
      </c>
    </row>
    <row r="430" spans="1:8" x14ac:dyDescent="0.25">
      <c r="A430" s="7">
        <f>DATE(YEAR(m2_crossvalid[[#This Row],[cutoff]]),MONTH(m2_crossvalid[[#This Row],[cutoff]]),DAY(m2_crossvalid[[#This Row],[cutoff]]))</f>
        <v>46053</v>
      </c>
      <c r="B430" s="7">
        <f>DATE(YEAR(m2_crossvalid[[#This Row],[ds]]),MONTH(m2_crossvalid[[#This Row],[ds]]),DAY(m2_crossvalid[[#This Row],[ds]]))</f>
        <v>46079</v>
      </c>
      <c r="C430">
        <v>5569</v>
      </c>
      <c r="D430" s="1">
        <v>46079.333333333336</v>
      </c>
      <c r="E430">
        <v>4115.1374928633631</v>
      </c>
      <c r="F430">
        <v>2286.972580859248</v>
      </c>
      <c r="G430">
        <v>6151.9968773693054</v>
      </c>
      <c r="H430" s="1">
        <v>46053.333333333336</v>
      </c>
    </row>
    <row r="431" spans="1:8" x14ac:dyDescent="0.25">
      <c r="A431" s="7">
        <f>DATE(YEAR(m2_crossvalid[[#This Row],[cutoff]]),MONTH(m2_crossvalid[[#This Row],[cutoff]]),DAY(m2_crossvalid[[#This Row],[cutoff]]))</f>
        <v>46053</v>
      </c>
      <c r="B431" s="7">
        <f>DATE(YEAR(m2_crossvalid[[#This Row],[ds]]),MONTH(m2_crossvalid[[#This Row],[ds]]),DAY(m2_crossvalid[[#This Row],[ds]]))</f>
        <v>46080</v>
      </c>
      <c r="C431">
        <v>8803</v>
      </c>
      <c r="D431" s="1">
        <v>46080.333333333336</v>
      </c>
      <c r="E431">
        <v>5150.5498706965654</v>
      </c>
      <c r="F431">
        <v>3182.1753155543224</v>
      </c>
      <c r="G431">
        <v>7182.6862140093608</v>
      </c>
      <c r="H431" s="1">
        <v>46053.333333333336</v>
      </c>
    </row>
    <row r="432" spans="1:8" x14ac:dyDescent="0.25">
      <c r="A432" s="7">
        <f>DATE(YEAR(m2_crossvalid[[#This Row],[cutoff]]),MONTH(m2_crossvalid[[#This Row],[cutoff]]),DAY(m2_crossvalid[[#This Row],[cutoff]]))</f>
        <v>46053</v>
      </c>
      <c r="B432" s="7">
        <f>DATE(YEAR(m2_crossvalid[[#This Row],[ds]]),MONTH(m2_crossvalid[[#This Row],[ds]]),DAY(m2_crossvalid[[#This Row],[ds]]))</f>
        <v>46081</v>
      </c>
      <c r="C432">
        <v>9425</v>
      </c>
      <c r="D432" s="1">
        <v>46081.333333333336</v>
      </c>
      <c r="E432">
        <v>4124.8568679168266</v>
      </c>
      <c r="F432">
        <v>2051.9827414889924</v>
      </c>
      <c r="G432">
        <v>6202.9645429309676</v>
      </c>
      <c r="H432" s="1">
        <v>46053.333333333336</v>
      </c>
    </row>
    <row r="433" spans="1:8" x14ac:dyDescent="0.25">
      <c r="A433" s="7">
        <f>DATE(YEAR(m2_crossvalid[[#This Row],[cutoff]]),MONTH(m2_crossvalid[[#This Row],[cutoff]]),DAY(m2_crossvalid[[#This Row],[cutoff]]))</f>
        <v>46053</v>
      </c>
      <c r="B433" s="7">
        <f>DATE(YEAR(m2_crossvalid[[#This Row],[ds]]),MONTH(m2_crossvalid[[#This Row],[ds]]),DAY(m2_crossvalid[[#This Row],[ds]]))</f>
        <v>46082</v>
      </c>
      <c r="C433">
        <v>40</v>
      </c>
      <c r="D433" s="1">
        <v>46082.333333333336</v>
      </c>
      <c r="E433">
        <v>4282.3623571632306</v>
      </c>
      <c r="F433">
        <v>2359.6938476617711</v>
      </c>
      <c r="G433">
        <v>6231.7189159506606</v>
      </c>
      <c r="H433" s="1">
        <v>46053.333333333336</v>
      </c>
    </row>
    <row r="434" spans="1:8" x14ac:dyDescent="0.25">
      <c r="A434" s="7">
        <f>DATE(YEAR(m2_crossvalid[[#This Row],[cutoff]]),MONTH(m2_crossvalid[[#This Row],[cutoff]]),DAY(m2_crossvalid[[#This Row],[cutoff]]))</f>
        <v>46053</v>
      </c>
      <c r="B434" s="7">
        <f>DATE(YEAR(m2_crossvalid[[#This Row],[ds]]),MONTH(m2_crossvalid[[#This Row],[ds]]),DAY(m2_crossvalid[[#This Row],[ds]]))</f>
        <v>46083</v>
      </c>
      <c r="C434">
        <v>617</v>
      </c>
      <c r="D434" s="1">
        <v>46083.333333333336</v>
      </c>
      <c r="E434">
        <v>6236.4868654169704</v>
      </c>
      <c r="F434">
        <v>4367.6584889815658</v>
      </c>
      <c r="G434">
        <v>8339.3462153046003</v>
      </c>
      <c r="H434" s="1">
        <v>46053.333333333336</v>
      </c>
    </row>
    <row r="435" spans="1:8" x14ac:dyDescent="0.25">
      <c r="A435" s="7">
        <f>DATE(YEAR(m2_crossvalid[[#This Row],[cutoff]]),MONTH(m2_crossvalid[[#This Row],[cutoff]]),DAY(m2_crossvalid[[#This Row],[cutoff]]))</f>
        <v>46053</v>
      </c>
      <c r="B435" s="7">
        <f>DATE(YEAR(m2_crossvalid[[#This Row],[ds]]),MONTH(m2_crossvalid[[#This Row],[ds]]),DAY(m2_crossvalid[[#This Row],[ds]]))</f>
        <v>46084</v>
      </c>
      <c r="C435">
        <v>799</v>
      </c>
      <c r="D435" s="1">
        <v>46084.333333333336</v>
      </c>
      <c r="E435">
        <v>5313.1192016135601</v>
      </c>
      <c r="F435">
        <v>3396.9307645420481</v>
      </c>
      <c r="G435">
        <v>7283.1093588128006</v>
      </c>
      <c r="H435" s="1">
        <v>46053.333333333336</v>
      </c>
    </row>
    <row r="436" spans="1:8" x14ac:dyDescent="0.25">
      <c r="A436" s="7">
        <f>DATE(YEAR(m2_crossvalid[[#This Row],[cutoff]]),MONTH(m2_crossvalid[[#This Row],[cutoff]]),DAY(m2_crossvalid[[#This Row],[cutoff]]))</f>
        <v>46081</v>
      </c>
      <c r="B436" s="7">
        <f>DATE(YEAR(m2_crossvalid[[#This Row],[ds]]),MONTH(m2_crossvalid[[#This Row],[ds]]),DAY(m2_crossvalid[[#This Row],[ds]]))</f>
        <v>46082</v>
      </c>
      <c r="C436">
        <v>40</v>
      </c>
      <c r="D436" s="1">
        <v>46082.333333333336</v>
      </c>
      <c r="E436">
        <v>4376.6629401500832</v>
      </c>
      <c r="F436">
        <v>2372.5280790447541</v>
      </c>
      <c r="G436">
        <v>6355.7332657191328</v>
      </c>
      <c r="H436" s="1">
        <v>46081.333333333336</v>
      </c>
    </row>
    <row r="437" spans="1:8" x14ac:dyDescent="0.25">
      <c r="A437" s="7">
        <f>DATE(YEAR(m2_crossvalid[[#This Row],[cutoff]]),MONTH(m2_crossvalid[[#This Row],[cutoff]]),DAY(m2_crossvalid[[#This Row],[cutoff]]))</f>
        <v>46081</v>
      </c>
      <c r="B437" s="7">
        <f>DATE(YEAR(m2_crossvalid[[#This Row],[ds]]),MONTH(m2_crossvalid[[#This Row],[ds]]),DAY(m2_crossvalid[[#This Row],[ds]]))</f>
        <v>46083</v>
      </c>
      <c r="C437">
        <v>617</v>
      </c>
      <c r="D437" s="1">
        <v>46083.333333333336</v>
      </c>
      <c r="E437">
        <v>6286.7441747291659</v>
      </c>
      <c r="F437">
        <v>4224.0144176728254</v>
      </c>
      <c r="G437">
        <v>8283.8840917068228</v>
      </c>
      <c r="H437" s="1">
        <v>46081.333333333336</v>
      </c>
    </row>
    <row r="438" spans="1:8" x14ac:dyDescent="0.25">
      <c r="A438" s="7">
        <f>DATE(YEAR(m2_crossvalid[[#This Row],[cutoff]]),MONTH(m2_crossvalid[[#This Row],[cutoff]]),DAY(m2_crossvalid[[#This Row],[cutoff]]))</f>
        <v>46081</v>
      </c>
      <c r="B438" s="7">
        <f>DATE(YEAR(m2_crossvalid[[#This Row],[ds]]),MONTH(m2_crossvalid[[#This Row],[ds]]),DAY(m2_crossvalid[[#This Row],[ds]]))</f>
        <v>46084</v>
      </c>
      <c r="C438">
        <v>799</v>
      </c>
      <c r="D438" s="1">
        <v>46084.333333333336</v>
      </c>
      <c r="E438">
        <v>5335.5961046463681</v>
      </c>
      <c r="F438">
        <v>3362.5198808382329</v>
      </c>
      <c r="G438">
        <v>7255.8257992731706</v>
      </c>
      <c r="H438" s="1">
        <v>46081.333333333336</v>
      </c>
    </row>
    <row r="439" spans="1:8" x14ac:dyDescent="0.25">
      <c r="A439" s="7">
        <f>DATE(YEAR(m2_crossvalid[[#This Row],[cutoff]]),MONTH(m2_crossvalid[[#This Row],[cutoff]]),DAY(m2_crossvalid[[#This Row],[cutoff]]))</f>
        <v>46081</v>
      </c>
      <c r="B439" s="7">
        <f>DATE(YEAR(m2_crossvalid[[#This Row],[ds]]),MONTH(m2_crossvalid[[#This Row],[ds]]),DAY(m2_crossvalid[[#This Row],[ds]]))</f>
        <v>46085</v>
      </c>
      <c r="C439">
        <v>995</v>
      </c>
      <c r="D439" s="1">
        <v>46085.333333333336</v>
      </c>
      <c r="E439">
        <v>3536.7972401414281</v>
      </c>
      <c r="F439">
        <v>1608.4641097606914</v>
      </c>
      <c r="G439">
        <v>5642.8112334315574</v>
      </c>
      <c r="H439" s="1">
        <v>46081.333333333336</v>
      </c>
    </row>
    <row r="440" spans="1:8" x14ac:dyDescent="0.25">
      <c r="A440" s="7">
        <f>DATE(YEAR(m2_crossvalid[[#This Row],[cutoff]]),MONTH(m2_crossvalid[[#This Row],[cutoff]]),DAY(m2_crossvalid[[#This Row],[cutoff]]))</f>
        <v>46081</v>
      </c>
      <c r="B440" s="7">
        <f>DATE(YEAR(m2_crossvalid[[#This Row],[ds]]),MONTH(m2_crossvalid[[#This Row],[ds]]),DAY(m2_crossvalid[[#This Row],[ds]]))</f>
        <v>46086</v>
      </c>
      <c r="C440">
        <v>1314</v>
      </c>
      <c r="D440" s="1">
        <v>46086.333333333336</v>
      </c>
      <c r="E440">
        <v>2117.7749601902256</v>
      </c>
      <c r="F440">
        <v>172.67642015112813</v>
      </c>
      <c r="G440">
        <v>4137.3617437803714</v>
      </c>
      <c r="H440" s="1">
        <v>46081.333333333336</v>
      </c>
    </row>
    <row r="441" spans="1:8" x14ac:dyDescent="0.25">
      <c r="A441" s="7">
        <f>DATE(YEAR(m2_crossvalid[[#This Row],[cutoff]]),MONTH(m2_crossvalid[[#This Row],[cutoff]]),DAY(m2_crossvalid[[#This Row],[cutoff]]))</f>
        <v>46081</v>
      </c>
      <c r="B441" s="7">
        <f>DATE(YEAR(m2_crossvalid[[#This Row],[ds]]),MONTH(m2_crossvalid[[#This Row],[ds]]),DAY(m2_crossvalid[[#This Row],[ds]]))</f>
        <v>46087</v>
      </c>
      <c r="C441">
        <v>1617</v>
      </c>
      <c r="D441" s="1">
        <v>46087.333333333336</v>
      </c>
      <c r="E441">
        <v>1651.8574329191092</v>
      </c>
      <c r="F441">
        <v>-340.28586794494885</v>
      </c>
      <c r="G441">
        <v>3568.2633680792324</v>
      </c>
      <c r="H441" s="1">
        <v>46081.333333333336</v>
      </c>
    </row>
    <row r="442" spans="1:8" x14ac:dyDescent="0.25">
      <c r="A442" s="7">
        <f>DATE(YEAR(m2_crossvalid[[#This Row],[cutoff]]),MONTH(m2_crossvalid[[#This Row],[cutoff]]),DAY(m2_crossvalid[[#This Row],[cutoff]]))</f>
        <v>46081</v>
      </c>
      <c r="B442" s="7">
        <f>DATE(YEAR(m2_crossvalid[[#This Row],[ds]]),MONTH(m2_crossvalid[[#This Row],[ds]]),DAY(m2_crossvalid[[#This Row],[ds]]))</f>
        <v>46088</v>
      </c>
      <c r="C442">
        <v>220</v>
      </c>
      <c r="D442" s="1">
        <v>46088.333333333336</v>
      </c>
      <c r="E442">
        <v>-371.52472350775997</v>
      </c>
      <c r="F442">
        <v>-2400.6193168966051</v>
      </c>
      <c r="G442">
        <v>1821.0762369172714</v>
      </c>
      <c r="H442" s="1">
        <v>46081.333333333336</v>
      </c>
    </row>
    <row r="443" spans="1:8" x14ac:dyDescent="0.25">
      <c r="A443" s="7">
        <f>DATE(YEAR(m2_crossvalid[[#This Row],[cutoff]]),MONTH(m2_crossvalid[[#This Row],[cutoff]]),DAY(m2_crossvalid[[#This Row],[cutoff]]))</f>
        <v>46081</v>
      </c>
      <c r="B443" s="7">
        <f>DATE(YEAR(m2_crossvalid[[#This Row],[ds]]),MONTH(m2_crossvalid[[#This Row],[ds]]),DAY(m2_crossvalid[[#This Row],[ds]]))</f>
        <v>46089</v>
      </c>
      <c r="C443">
        <v>43</v>
      </c>
      <c r="D443" s="1">
        <v>46089.333333333336</v>
      </c>
      <c r="E443">
        <v>-543.54442586636969</v>
      </c>
      <c r="F443">
        <v>-2573.0528318834558</v>
      </c>
      <c r="G443">
        <v>1301.1723898778885</v>
      </c>
      <c r="H443" s="1">
        <v>46081.333333333336</v>
      </c>
    </row>
    <row r="444" spans="1:8" x14ac:dyDescent="0.25">
      <c r="A444" s="7">
        <f>DATE(YEAR(m2_crossvalid[[#This Row],[cutoff]]),MONTH(m2_crossvalid[[#This Row],[cutoff]]),DAY(m2_crossvalid[[#This Row],[cutoff]]))</f>
        <v>46081</v>
      </c>
      <c r="B444" s="7">
        <f>DATE(YEAR(m2_crossvalid[[#This Row],[ds]]),MONTH(m2_crossvalid[[#This Row],[ds]]),DAY(m2_crossvalid[[#This Row],[ds]]))</f>
        <v>46090</v>
      </c>
      <c r="C444">
        <v>1766</v>
      </c>
      <c r="D444" s="1">
        <v>46090.333333333336</v>
      </c>
      <c r="E444">
        <v>1986.1139603451059</v>
      </c>
      <c r="F444">
        <v>-19.936718739214704</v>
      </c>
      <c r="G444">
        <v>4044.7632091036262</v>
      </c>
      <c r="H444" s="1">
        <v>46081.333333333336</v>
      </c>
    </row>
    <row r="445" spans="1:8" x14ac:dyDescent="0.25">
      <c r="A445" s="7">
        <f>DATE(YEAR(m2_crossvalid[[#This Row],[cutoff]]),MONTH(m2_crossvalid[[#This Row],[cutoff]]),DAY(m2_crossvalid[[#This Row],[cutoff]]))</f>
        <v>46081</v>
      </c>
      <c r="B445" s="7">
        <f>DATE(YEAR(m2_crossvalid[[#This Row],[ds]]),MONTH(m2_crossvalid[[#This Row],[ds]]),DAY(m2_crossvalid[[#This Row],[ds]]))</f>
        <v>46091</v>
      </c>
      <c r="C445">
        <v>2170</v>
      </c>
      <c r="D445" s="1">
        <v>46091.333333333336</v>
      </c>
      <c r="E445">
        <v>2462.569622392959</v>
      </c>
      <c r="F445">
        <v>502.88951024827975</v>
      </c>
      <c r="G445">
        <v>4396.1458973192184</v>
      </c>
      <c r="H445" s="1">
        <v>46081.333333333336</v>
      </c>
    </row>
    <row r="446" spans="1:8" x14ac:dyDescent="0.25">
      <c r="A446" s="7">
        <f>DATE(YEAR(m2_crossvalid[[#This Row],[cutoff]]),MONTH(m2_crossvalid[[#This Row],[cutoff]]),DAY(m2_crossvalid[[#This Row],[cutoff]]))</f>
        <v>46081</v>
      </c>
      <c r="B446" s="7">
        <f>DATE(YEAR(m2_crossvalid[[#This Row],[ds]]),MONTH(m2_crossvalid[[#This Row],[ds]]),DAY(m2_crossvalid[[#This Row],[ds]]))</f>
        <v>46092</v>
      </c>
      <c r="C446">
        <v>2907</v>
      </c>
      <c r="D446" s="1">
        <v>46092.333333333336</v>
      </c>
      <c r="E446">
        <v>2462.9461033114312</v>
      </c>
      <c r="F446">
        <v>368.60012584099911</v>
      </c>
      <c r="G446">
        <v>4398.3753694889128</v>
      </c>
      <c r="H446" s="1">
        <v>46081.333333333336</v>
      </c>
    </row>
    <row r="447" spans="1:8" x14ac:dyDescent="0.25">
      <c r="A447" s="7">
        <f>DATE(YEAR(m2_crossvalid[[#This Row],[cutoff]]),MONTH(m2_crossvalid[[#This Row],[cutoff]]),DAY(m2_crossvalid[[#This Row],[cutoff]]))</f>
        <v>46081</v>
      </c>
      <c r="B447" s="7">
        <f>DATE(YEAR(m2_crossvalid[[#This Row],[ds]]),MONTH(m2_crossvalid[[#This Row],[ds]]),DAY(m2_crossvalid[[#This Row],[ds]]))</f>
        <v>46093</v>
      </c>
      <c r="C447">
        <v>3020</v>
      </c>
      <c r="D447" s="1">
        <v>46093.333333333336</v>
      </c>
      <c r="E447">
        <v>2573.4464396625117</v>
      </c>
      <c r="F447">
        <v>717.6462706998733</v>
      </c>
      <c r="G447">
        <v>4547.3766640873027</v>
      </c>
      <c r="H447" s="1">
        <v>46081.333333333336</v>
      </c>
    </row>
    <row r="448" spans="1:8" x14ac:dyDescent="0.25">
      <c r="A448" s="7">
        <f>DATE(YEAR(m2_crossvalid[[#This Row],[cutoff]]),MONTH(m2_crossvalid[[#This Row],[cutoff]]),DAY(m2_crossvalid[[#This Row],[cutoff]]))</f>
        <v>46081</v>
      </c>
      <c r="B448" s="7">
        <f>DATE(YEAR(m2_crossvalid[[#This Row],[ds]]),MONTH(m2_crossvalid[[#This Row],[ds]]),DAY(m2_crossvalid[[#This Row],[ds]]))</f>
        <v>46094</v>
      </c>
      <c r="C448">
        <v>3551</v>
      </c>
      <c r="D448" s="1">
        <v>46094.333333333336</v>
      </c>
      <c r="E448">
        <v>2878.4349080037614</v>
      </c>
      <c r="F448">
        <v>893.58275081538</v>
      </c>
      <c r="G448">
        <v>5004.0296890693335</v>
      </c>
      <c r="H448" s="1">
        <v>46081.333333333336</v>
      </c>
    </row>
    <row r="449" spans="1:8" x14ac:dyDescent="0.25">
      <c r="A449" s="7">
        <f>DATE(YEAR(m2_crossvalid[[#This Row],[cutoff]]),MONTH(m2_crossvalid[[#This Row],[cutoff]]),DAY(m2_crossvalid[[#This Row],[cutoff]]))</f>
        <v>46081</v>
      </c>
      <c r="B449" s="7">
        <f>DATE(YEAR(m2_crossvalid[[#This Row],[ds]]),MONTH(m2_crossvalid[[#This Row],[ds]]),DAY(m2_crossvalid[[#This Row],[ds]]))</f>
        <v>46095</v>
      </c>
      <c r="C449">
        <v>1088</v>
      </c>
      <c r="D449" s="1">
        <v>46095.333333333336</v>
      </c>
      <c r="E449">
        <v>832.66362857760191</v>
      </c>
      <c r="F449">
        <v>-1208.506820254159</v>
      </c>
      <c r="G449">
        <v>2850.0950743900007</v>
      </c>
      <c r="H449" s="1">
        <v>46081.333333333336</v>
      </c>
    </row>
    <row r="450" spans="1:8" x14ac:dyDescent="0.25">
      <c r="A450" s="7">
        <f>DATE(YEAR(m2_crossvalid[[#This Row],[cutoff]]),MONTH(m2_crossvalid[[#This Row],[cutoff]]),DAY(m2_crossvalid[[#This Row],[cutoff]]))</f>
        <v>46081</v>
      </c>
      <c r="B450" s="7">
        <f>DATE(YEAR(m2_crossvalid[[#This Row],[ds]]),MONTH(m2_crossvalid[[#This Row],[ds]]),DAY(m2_crossvalid[[#This Row],[ds]]))</f>
        <v>46096</v>
      </c>
      <c r="C450">
        <v>228</v>
      </c>
      <c r="D450" s="1">
        <v>46096.333333333336</v>
      </c>
      <c r="E450">
        <v>249.38455843045267</v>
      </c>
      <c r="F450">
        <v>-1767.8995461752058</v>
      </c>
      <c r="G450">
        <v>2188.4281271081859</v>
      </c>
      <c r="H450" s="1">
        <v>46081.333333333336</v>
      </c>
    </row>
    <row r="451" spans="1:8" x14ac:dyDescent="0.25">
      <c r="A451" s="7">
        <f>DATE(YEAR(m2_crossvalid[[#This Row],[cutoff]]),MONTH(m2_crossvalid[[#This Row],[cutoff]]),DAY(m2_crossvalid[[#This Row],[cutoff]]))</f>
        <v>46081</v>
      </c>
      <c r="B451" s="7">
        <f>DATE(YEAR(m2_crossvalid[[#This Row],[ds]]),MONTH(m2_crossvalid[[#This Row],[ds]]),DAY(m2_crossvalid[[#This Row],[ds]]))</f>
        <v>46097</v>
      </c>
      <c r="C451">
        <v>3950</v>
      </c>
      <c r="D451" s="1">
        <v>46097.333333333336</v>
      </c>
      <c r="E451">
        <v>2485.3513017240321</v>
      </c>
      <c r="F451">
        <v>465.20588104486831</v>
      </c>
      <c r="G451">
        <v>4478.0432029534204</v>
      </c>
      <c r="H451" s="1">
        <v>46081.333333333336</v>
      </c>
    </row>
    <row r="452" spans="1:8" x14ac:dyDescent="0.25">
      <c r="A452" s="7">
        <f>DATE(YEAR(m2_crossvalid[[#This Row],[cutoff]]),MONTH(m2_crossvalid[[#This Row],[cutoff]]),DAY(m2_crossvalid[[#This Row],[cutoff]]))</f>
        <v>46081</v>
      </c>
      <c r="B452" s="7">
        <f>DATE(YEAR(m2_crossvalid[[#This Row],[ds]]),MONTH(m2_crossvalid[[#This Row],[ds]]),DAY(m2_crossvalid[[#This Row],[ds]]))</f>
        <v>46098</v>
      </c>
      <c r="C452">
        <v>5807</v>
      </c>
      <c r="D452" s="1">
        <v>46098.333333333336</v>
      </c>
      <c r="E452">
        <v>3011.6632636430036</v>
      </c>
      <c r="F452">
        <v>1024.3161791002606</v>
      </c>
      <c r="G452">
        <v>5260.6271475890662</v>
      </c>
      <c r="H452" s="1">
        <v>46081.333333333336</v>
      </c>
    </row>
    <row r="453" spans="1:8" x14ac:dyDescent="0.25">
      <c r="A453" s="7">
        <f>DATE(YEAR(m2_crossvalid[[#This Row],[cutoff]]),MONTH(m2_crossvalid[[#This Row],[cutoff]]),DAY(m2_crossvalid[[#This Row],[cutoff]]))</f>
        <v>46081</v>
      </c>
      <c r="B453" s="7">
        <f>DATE(YEAR(m2_crossvalid[[#This Row],[ds]]),MONTH(m2_crossvalid[[#This Row],[ds]]),DAY(m2_crossvalid[[#This Row],[ds]]))</f>
        <v>46099</v>
      </c>
      <c r="C453">
        <v>5295</v>
      </c>
      <c r="D453" s="1">
        <v>46099.333333333336</v>
      </c>
      <c r="E453">
        <v>3240.4427433560322</v>
      </c>
      <c r="F453">
        <v>1326.618679734552</v>
      </c>
      <c r="G453">
        <v>5322.2059357650887</v>
      </c>
      <c r="H453" s="1">
        <v>46081.333333333336</v>
      </c>
    </row>
    <row r="454" spans="1:8" x14ac:dyDescent="0.25">
      <c r="A454" s="7">
        <f>DATE(YEAR(m2_crossvalid[[#This Row],[cutoff]]),MONTH(m2_crossvalid[[#This Row],[cutoff]]),DAY(m2_crossvalid[[#This Row],[cutoff]]))</f>
        <v>46081</v>
      </c>
      <c r="B454" s="7">
        <f>DATE(YEAR(m2_crossvalid[[#This Row],[ds]]),MONTH(m2_crossvalid[[#This Row],[ds]]),DAY(m2_crossvalid[[#This Row],[ds]]))</f>
        <v>46100</v>
      </c>
      <c r="C454">
        <v>3557</v>
      </c>
      <c r="D454" s="1">
        <v>46100.333333333336</v>
      </c>
      <c r="E454">
        <v>3435.3752904925341</v>
      </c>
      <c r="F454">
        <v>1386.5514444884234</v>
      </c>
      <c r="G454">
        <v>5305.7919872280218</v>
      </c>
      <c r="H454" s="1">
        <v>46081.333333333336</v>
      </c>
    </row>
    <row r="455" spans="1:8" x14ac:dyDescent="0.25">
      <c r="A455" s="7">
        <f>DATE(YEAR(m2_crossvalid[[#This Row],[cutoff]]),MONTH(m2_crossvalid[[#This Row],[cutoff]]),DAY(m2_crossvalid[[#This Row],[cutoff]]))</f>
        <v>46081</v>
      </c>
      <c r="B455" s="7">
        <f>DATE(YEAR(m2_crossvalid[[#This Row],[ds]]),MONTH(m2_crossvalid[[#This Row],[ds]]),DAY(m2_crossvalid[[#This Row],[ds]]))</f>
        <v>46101</v>
      </c>
      <c r="C455">
        <v>61</v>
      </c>
      <c r="D455" s="1">
        <v>46101.333333333336</v>
      </c>
      <c r="E455">
        <v>3542.3577219149734</v>
      </c>
      <c r="F455">
        <v>1497.4634764728967</v>
      </c>
      <c r="G455">
        <v>5595.4721331635337</v>
      </c>
      <c r="H455" s="1">
        <v>46081.333333333336</v>
      </c>
    </row>
    <row r="456" spans="1:8" x14ac:dyDescent="0.25">
      <c r="A456" s="7">
        <f>DATE(YEAR(m2_crossvalid[[#This Row],[cutoff]]),MONTH(m2_crossvalid[[#This Row],[cutoff]]),DAY(m2_crossvalid[[#This Row],[cutoff]]))</f>
        <v>46081</v>
      </c>
      <c r="B456" s="7">
        <f>DATE(YEAR(m2_crossvalid[[#This Row],[ds]]),MONTH(m2_crossvalid[[#This Row],[ds]]),DAY(m2_crossvalid[[#This Row],[ds]]))</f>
        <v>46102</v>
      </c>
      <c r="C456">
        <v>3</v>
      </c>
      <c r="D456" s="1">
        <v>46102.333333333336</v>
      </c>
      <c r="E456">
        <v>1190.2463161218932</v>
      </c>
      <c r="F456">
        <v>-889.30274181840548</v>
      </c>
      <c r="G456">
        <v>3193.1697452867497</v>
      </c>
      <c r="H456" s="1">
        <v>46081.333333333336</v>
      </c>
    </row>
    <row r="457" spans="1:8" x14ac:dyDescent="0.25">
      <c r="A457" s="7">
        <f>DATE(YEAR(m2_crossvalid[[#This Row],[cutoff]]),MONTH(m2_crossvalid[[#This Row],[cutoff]]),DAY(m2_crossvalid[[#This Row],[cutoff]]))</f>
        <v>46081</v>
      </c>
      <c r="B457" s="7">
        <f>DATE(YEAR(m2_crossvalid[[#This Row],[ds]]),MONTH(m2_crossvalid[[#This Row],[ds]]),DAY(m2_crossvalid[[#This Row],[ds]]))</f>
        <v>46103</v>
      </c>
      <c r="C457">
        <v>6</v>
      </c>
      <c r="D457" s="1">
        <v>46103.333333333336</v>
      </c>
      <c r="E457">
        <v>487.816749643305</v>
      </c>
      <c r="F457">
        <v>-1629.0542875687183</v>
      </c>
      <c r="G457">
        <v>2459.7008681935204</v>
      </c>
      <c r="H457" s="1">
        <v>46081.333333333336</v>
      </c>
    </row>
    <row r="458" spans="1:8" x14ac:dyDescent="0.25">
      <c r="A458" s="7">
        <f>DATE(YEAR(m2_crossvalid[[#This Row],[cutoff]]),MONTH(m2_crossvalid[[#This Row],[cutoff]]),DAY(m2_crossvalid[[#This Row],[cutoff]]))</f>
        <v>46081</v>
      </c>
      <c r="B458" s="7">
        <f>DATE(YEAR(m2_crossvalid[[#This Row],[ds]]),MONTH(m2_crossvalid[[#This Row],[ds]]),DAY(m2_crossvalid[[#This Row],[ds]]))</f>
        <v>46104</v>
      </c>
      <c r="C458">
        <v>23</v>
      </c>
      <c r="D458" s="1">
        <v>46104.333333333336</v>
      </c>
      <c r="E458">
        <v>2900.1029486391244</v>
      </c>
      <c r="F458">
        <v>1093.2462186923101</v>
      </c>
      <c r="G458">
        <v>4986.0562000293603</v>
      </c>
      <c r="H458" s="1">
        <v>46081.333333333336</v>
      </c>
    </row>
    <row r="459" spans="1:8" x14ac:dyDescent="0.25">
      <c r="A459" s="7">
        <f>DATE(YEAR(m2_crossvalid[[#This Row],[cutoff]]),MONTH(m2_crossvalid[[#This Row],[cutoff]]),DAY(m2_crossvalid[[#This Row],[cutoff]]))</f>
        <v>46081</v>
      </c>
      <c r="B459" s="7">
        <f>DATE(YEAR(m2_crossvalid[[#This Row],[ds]]),MONTH(m2_crossvalid[[#This Row],[ds]]),DAY(m2_crossvalid[[#This Row],[ds]]))</f>
        <v>46105</v>
      </c>
      <c r="C459">
        <v>974</v>
      </c>
      <c r="D459" s="1">
        <v>46105.333333333336</v>
      </c>
      <c r="E459">
        <v>3704.6908101777231</v>
      </c>
      <c r="F459">
        <v>1728.1474356581462</v>
      </c>
      <c r="G459">
        <v>5698.160811156743</v>
      </c>
      <c r="H459" s="1">
        <v>46081.333333333336</v>
      </c>
    </row>
    <row r="460" spans="1:8" x14ac:dyDescent="0.25">
      <c r="A460" s="7">
        <f>DATE(YEAR(m2_crossvalid[[#This Row],[cutoff]]),MONTH(m2_crossvalid[[#This Row],[cutoff]]),DAY(m2_crossvalid[[#This Row],[cutoff]]))</f>
        <v>46081</v>
      </c>
      <c r="B460" s="7">
        <f>DATE(YEAR(m2_crossvalid[[#This Row],[ds]]),MONTH(m2_crossvalid[[#This Row],[ds]]),DAY(m2_crossvalid[[#This Row],[ds]]))</f>
        <v>46106</v>
      </c>
      <c r="C460">
        <v>1752</v>
      </c>
      <c r="D460" s="1">
        <v>46106.333333333336</v>
      </c>
      <c r="E460">
        <v>4017.0468637255753</v>
      </c>
      <c r="F460">
        <v>1950.4146412520249</v>
      </c>
      <c r="G460">
        <v>6064.2777747800828</v>
      </c>
      <c r="H460" s="1">
        <v>46081.333333333336</v>
      </c>
    </row>
    <row r="461" spans="1:8" x14ac:dyDescent="0.25">
      <c r="A461" s="7">
        <f>DATE(YEAR(m2_crossvalid[[#This Row],[cutoff]]),MONTH(m2_crossvalid[[#This Row],[cutoff]]),DAY(m2_crossvalid[[#This Row],[cutoff]]))</f>
        <v>46081</v>
      </c>
      <c r="B461" s="7">
        <f>DATE(YEAR(m2_crossvalid[[#This Row],[ds]]),MONTH(m2_crossvalid[[#This Row],[ds]]),DAY(m2_crossvalid[[#This Row],[ds]]))</f>
        <v>46107</v>
      </c>
      <c r="C461">
        <v>2884</v>
      </c>
      <c r="D461" s="1">
        <v>46107.333333333336</v>
      </c>
      <c r="E461">
        <v>4023.0758937554306</v>
      </c>
      <c r="F461">
        <v>1947.6823326421684</v>
      </c>
      <c r="G461">
        <v>6136.7087390205998</v>
      </c>
      <c r="H461" s="1">
        <v>46081.333333333336</v>
      </c>
    </row>
    <row r="462" spans="1:8" x14ac:dyDescent="0.25">
      <c r="A462" s="7">
        <f>DATE(YEAR(m2_crossvalid[[#This Row],[cutoff]]),MONTH(m2_crossvalid[[#This Row],[cutoff]]),DAY(m2_crossvalid[[#This Row],[cutoff]]))</f>
        <v>46081</v>
      </c>
      <c r="B462" s="7">
        <f>DATE(YEAR(m2_crossvalid[[#This Row],[ds]]),MONTH(m2_crossvalid[[#This Row],[ds]]),DAY(m2_crossvalid[[#This Row],[ds]]))</f>
        <v>46108</v>
      </c>
      <c r="C462">
        <v>3597</v>
      </c>
      <c r="D462" s="1">
        <v>46108.333333333336</v>
      </c>
      <c r="E462">
        <v>3936.4685687911915</v>
      </c>
      <c r="F462">
        <v>1982.342328756082</v>
      </c>
      <c r="G462">
        <v>5991.6522900034788</v>
      </c>
      <c r="H462" s="1">
        <v>46081.333333333336</v>
      </c>
    </row>
    <row r="463" spans="1:8" x14ac:dyDescent="0.25">
      <c r="A463" s="7">
        <f>DATE(YEAR(m2_crossvalid[[#This Row],[cutoff]]),MONTH(m2_crossvalid[[#This Row],[cutoff]]),DAY(m2_crossvalid[[#This Row],[cutoff]]))</f>
        <v>46081</v>
      </c>
      <c r="B463" s="7">
        <f>DATE(YEAR(m2_crossvalid[[#This Row],[ds]]),MONTH(m2_crossvalid[[#This Row],[ds]]),DAY(m2_crossvalid[[#This Row],[ds]]))</f>
        <v>46109</v>
      </c>
      <c r="C463">
        <v>1207</v>
      </c>
      <c r="D463" s="1">
        <v>46109.333333333336</v>
      </c>
      <c r="E463">
        <v>1788.2141706627094</v>
      </c>
      <c r="F463">
        <v>-329.4002652501228</v>
      </c>
      <c r="G463">
        <v>3858.3643267595107</v>
      </c>
      <c r="H463" s="1">
        <v>46081.333333333336</v>
      </c>
    </row>
    <row r="464" spans="1:8" x14ac:dyDescent="0.25">
      <c r="A464" s="7">
        <f>DATE(YEAR(m2_crossvalid[[#This Row],[cutoff]]),MONTH(m2_crossvalid[[#This Row],[cutoff]]),DAY(m2_crossvalid[[#This Row],[cutoff]]))</f>
        <v>46081</v>
      </c>
      <c r="B464" s="7">
        <f>DATE(YEAR(m2_crossvalid[[#This Row],[ds]]),MONTH(m2_crossvalid[[#This Row],[ds]]),DAY(m2_crossvalid[[#This Row],[ds]]))</f>
        <v>46110</v>
      </c>
      <c r="C464">
        <v>183</v>
      </c>
      <c r="D464" s="1">
        <v>46110.333333333336</v>
      </c>
      <c r="E464">
        <v>1847.905339915307</v>
      </c>
      <c r="F464">
        <v>-138.86820694210022</v>
      </c>
      <c r="G464">
        <v>3999.5023901889731</v>
      </c>
      <c r="H464" s="1">
        <v>46081.333333333336</v>
      </c>
    </row>
    <row r="465" spans="1:8" x14ac:dyDescent="0.25">
      <c r="A465" s="7">
        <f>DATE(YEAR(m2_crossvalid[[#This Row],[cutoff]]),MONTH(m2_crossvalid[[#This Row],[cutoff]]),DAY(m2_crossvalid[[#This Row],[cutoff]]))</f>
        <v>46081</v>
      </c>
      <c r="B465" s="7">
        <f>DATE(YEAR(m2_crossvalid[[#This Row],[ds]]),MONTH(m2_crossvalid[[#This Row],[ds]]),DAY(m2_crossvalid[[#This Row],[ds]]))</f>
        <v>46111</v>
      </c>
      <c r="C465">
        <v>4959</v>
      </c>
      <c r="D465" s="1">
        <v>46111.333333333336</v>
      </c>
      <c r="E465">
        <v>5292.9488041602453</v>
      </c>
      <c r="F465">
        <v>3369.9715536082826</v>
      </c>
      <c r="G465">
        <v>7174.7389610464534</v>
      </c>
      <c r="H465" s="1">
        <v>46081.333333333336</v>
      </c>
    </row>
    <row r="466" spans="1:8" x14ac:dyDescent="0.25">
      <c r="A466" s="7">
        <f>DATE(YEAR(m2_crossvalid[[#This Row],[cutoff]]),MONTH(m2_crossvalid[[#This Row],[cutoff]]),DAY(m2_crossvalid[[#This Row],[cutoff]]))</f>
        <v>46081</v>
      </c>
      <c r="B466" s="7">
        <f>DATE(YEAR(m2_crossvalid[[#This Row],[ds]]),MONTH(m2_crossvalid[[#This Row],[ds]]),DAY(m2_crossvalid[[#This Row],[ds]]))</f>
        <v>46112</v>
      </c>
      <c r="C466">
        <v>13213</v>
      </c>
      <c r="D466" s="1">
        <v>46112.333333333336</v>
      </c>
      <c r="E466">
        <v>6814.4084408461094</v>
      </c>
      <c r="F466">
        <v>4744.7836128649415</v>
      </c>
      <c r="G466">
        <v>8807.6299151704243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3079-1222-4E8E-B14A-BA43F2D4B350}">
  <dimension ref="A1:H466"/>
  <sheetViews>
    <sheetView topLeftCell="A424" workbookViewId="0">
      <selection activeCell="A2" sqref="A2:B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DATE(YEAR(m3_crossvalid[[#This Row],[cutoff]]),MONTH(m3_crossvalid[[#This Row],[cutoff]]),DAY(m3_crossvalid[[#This Row],[cutoff]]))</f>
        <v>45657</v>
      </c>
      <c r="B2" s="7">
        <f>DATE(YEAR(m3_crossvalid[[#This Row],[ds]]),MONTH(m3_crossvalid[[#This Row],[ds]]),DAY(m3_crossvalid[[#This Row],[ds]]))</f>
        <v>45658</v>
      </c>
      <c r="C2">
        <v>90</v>
      </c>
      <c r="D2" s="1">
        <v>45658.333333333336</v>
      </c>
      <c r="E2">
        <v>2894.5043225563154</v>
      </c>
      <c r="F2">
        <v>1163.4533794560032</v>
      </c>
      <c r="G2">
        <v>4696.1293015523006</v>
      </c>
      <c r="H2" s="1">
        <v>45657.333333333336</v>
      </c>
    </row>
    <row r="3" spans="1:8" x14ac:dyDescent="0.25">
      <c r="A3" s="7">
        <f>DATE(YEAR(m3_crossvalid[[#This Row],[cutoff]]),MONTH(m3_crossvalid[[#This Row],[cutoff]]),DAY(m3_crossvalid[[#This Row],[cutoff]]))</f>
        <v>45657</v>
      </c>
      <c r="B3" s="7">
        <f>DATE(YEAR(m3_crossvalid[[#This Row],[ds]]),MONTH(m3_crossvalid[[#This Row],[ds]]),DAY(m3_crossvalid[[#This Row],[ds]]))</f>
        <v>45659</v>
      </c>
      <c r="C3">
        <v>541</v>
      </c>
      <c r="D3" s="1">
        <v>45659.333333333336</v>
      </c>
      <c r="E3">
        <v>2571.957016618499</v>
      </c>
      <c r="F3">
        <v>979.35235962894853</v>
      </c>
      <c r="G3">
        <v>4278.6887051185331</v>
      </c>
      <c r="H3" s="1">
        <v>45657.333333333336</v>
      </c>
    </row>
    <row r="4" spans="1:8" x14ac:dyDescent="0.25">
      <c r="A4" s="7">
        <f>DATE(YEAR(m3_crossvalid[[#This Row],[cutoff]]),MONTH(m3_crossvalid[[#This Row],[cutoff]]),DAY(m3_crossvalid[[#This Row],[cutoff]]))</f>
        <v>45657</v>
      </c>
      <c r="B4" s="7">
        <f>DATE(YEAR(m3_crossvalid[[#This Row],[ds]]),MONTH(m3_crossvalid[[#This Row],[ds]]),DAY(m3_crossvalid[[#This Row],[ds]]))</f>
        <v>45660</v>
      </c>
      <c r="C4">
        <v>563</v>
      </c>
      <c r="D4" s="1">
        <v>45660.333333333336</v>
      </c>
      <c r="E4">
        <v>1356.2552911917885</v>
      </c>
      <c r="F4">
        <v>-533.47229666432531</v>
      </c>
      <c r="G4">
        <v>3164.480741011042</v>
      </c>
      <c r="H4" s="1">
        <v>45657.333333333336</v>
      </c>
    </row>
    <row r="5" spans="1:8" x14ac:dyDescent="0.25">
      <c r="A5" s="7">
        <f>DATE(YEAR(m3_crossvalid[[#This Row],[cutoff]]),MONTH(m3_crossvalid[[#This Row],[cutoff]]),DAY(m3_crossvalid[[#This Row],[cutoff]]))</f>
        <v>45657</v>
      </c>
      <c r="B5" s="7">
        <f>DATE(YEAR(m3_crossvalid[[#This Row],[ds]]),MONTH(m3_crossvalid[[#This Row],[ds]]),DAY(m3_crossvalid[[#This Row],[ds]]))</f>
        <v>45661</v>
      </c>
      <c r="C5">
        <v>42</v>
      </c>
      <c r="D5" s="1">
        <v>45661.333333333336</v>
      </c>
      <c r="E5">
        <v>-873.893382354393</v>
      </c>
      <c r="F5">
        <v>-2517.2155096086785</v>
      </c>
      <c r="G5">
        <v>867.56681862922142</v>
      </c>
      <c r="H5" s="1">
        <v>45657.333333333336</v>
      </c>
    </row>
    <row r="6" spans="1:8" x14ac:dyDescent="0.25">
      <c r="A6" s="7">
        <f>DATE(YEAR(m3_crossvalid[[#This Row],[cutoff]]),MONTH(m3_crossvalid[[#This Row],[cutoff]]),DAY(m3_crossvalid[[#This Row],[cutoff]]))</f>
        <v>45657</v>
      </c>
      <c r="B6" s="7">
        <f>DATE(YEAR(m3_crossvalid[[#This Row],[ds]]),MONTH(m3_crossvalid[[#This Row],[ds]]),DAY(m3_crossvalid[[#This Row],[ds]]))</f>
        <v>45662</v>
      </c>
      <c r="C6">
        <v>22</v>
      </c>
      <c r="D6" s="1">
        <v>45662.333333333336</v>
      </c>
      <c r="E6">
        <v>-992.16942550648173</v>
      </c>
      <c r="F6">
        <v>-2755.1903264834355</v>
      </c>
      <c r="G6">
        <v>819.22492805063587</v>
      </c>
      <c r="H6" s="1">
        <v>45657.333333333336</v>
      </c>
    </row>
    <row r="7" spans="1:8" x14ac:dyDescent="0.25">
      <c r="A7" s="7">
        <f>DATE(YEAR(m3_crossvalid[[#This Row],[cutoff]]),MONTH(m3_crossvalid[[#This Row],[cutoff]]),DAY(m3_crossvalid[[#This Row],[cutoff]]))</f>
        <v>45657</v>
      </c>
      <c r="B7" s="7">
        <f>DATE(YEAR(m3_crossvalid[[#This Row],[ds]]),MONTH(m3_crossvalid[[#This Row],[ds]]),DAY(m3_crossvalid[[#This Row],[ds]]))</f>
        <v>45663</v>
      </c>
      <c r="C7">
        <v>533</v>
      </c>
      <c r="D7" s="1">
        <v>45663.333333333336</v>
      </c>
      <c r="E7">
        <v>1780.6497505697425</v>
      </c>
      <c r="F7">
        <v>23.238466514222306</v>
      </c>
      <c r="G7">
        <v>3586.5820692976622</v>
      </c>
      <c r="H7" s="1">
        <v>45657.333333333336</v>
      </c>
    </row>
    <row r="8" spans="1:8" x14ac:dyDescent="0.25">
      <c r="A8" s="7">
        <f>DATE(YEAR(m3_crossvalid[[#This Row],[cutoff]]),MONTH(m3_crossvalid[[#This Row],[cutoff]]),DAY(m3_crossvalid[[#This Row],[cutoff]]))</f>
        <v>45657</v>
      </c>
      <c r="B8" s="7">
        <f>DATE(YEAR(m3_crossvalid[[#This Row],[ds]]),MONTH(m3_crossvalid[[#This Row],[ds]]),DAY(m3_crossvalid[[#This Row],[ds]]))</f>
        <v>45664</v>
      </c>
      <c r="C8">
        <v>712</v>
      </c>
      <c r="D8" s="1">
        <v>45664.333333333336</v>
      </c>
      <c r="E8">
        <v>2023.9762421633209</v>
      </c>
      <c r="F8">
        <v>252.26453361746587</v>
      </c>
      <c r="G8">
        <v>3781.7944749284102</v>
      </c>
      <c r="H8" s="1">
        <v>45657.333333333336</v>
      </c>
    </row>
    <row r="9" spans="1:8" x14ac:dyDescent="0.25">
      <c r="A9" s="7">
        <f>DATE(YEAR(m3_crossvalid[[#This Row],[cutoff]]),MONTH(m3_crossvalid[[#This Row],[cutoff]]),DAY(m3_crossvalid[[#This Row],[cutoff]]))</f>
        <v>45657</v>
      </c>
      <c r="B9" s="7">
        <f>DATE(YEAR(m3_crossvalid[[#This Row],[ds]]),MONTH(m3_crossvalid[[#This Row],[ds]]),DAY(m3_crossvalid[[#This Row],[ds]]))</f>
        <v>45665</v>
      </c>
      <c r="C9">
        <v>904</v>
      </c>
      <c r="D9" s="1">
        <v>45665.333333333336</v>
      </c>
      <c r="E9">
        <v>1871.0182372726072</v>
      </c>
      <c r="F9">
        <v>127.2671908015171</v>
      </c>
      <c r="G9">
        <v>3696.4116350618938</v>
      </c>
      <c r="H9" s="1">
        <v>45657.333333333336</v>
      </c>
    </row>
    <row r="10" spans="1:8" x14ac:dyDescent="0.25">
      <c r="A10" s="7">
        <f>DATE(YEAR(m3_crossvalid[[#This Row],[cutoff]]),MONTH(m3_crossvalid[[#This Row],[cutoff]]),DAY(m3_crossvalid[[#This Row],[cutoff]]))</f>
        <v>45657</v>
      </c>
      <c r="B10" s="7">
        <f>DATE(YEAR(m3_crossvalid[[#This Row],[ds]]),MONTH(m3_crossvalid[[#This Row],[ds]]),DAY(m3_crossvalid[[#This Row],[ds]]))</f>
        <v>45666</v>
      </c>
      <c r="C10">
        <v>1135</v>
      </c>
      <c r="D10" s="1">
        <v>45666.333333333336</v>
      </c>
      <c r="E10">
        <v>1784.0149132551649</v>
      </c>
      <c r="F10">
        <v>-130.93387829128719</v>
      </c>
      <c r="G10">
        <v>3562.1017612649239</v>
      </c>
      <c r="H10" s="1">
        <v>45657.333333333336</v>
      </c>
    </row>
    <row r="11" spans="1:8" x14ac:dyDescent="0.25">
      <c r="A11" s="7">
        <f>DATE(YEAR(m3_crossvalid[[#This Row],[cutoff]]),MONTH(m3_crossvalid[[#This Row],[cutoff]]),DAY(m3_crossvalid[[#This Row],[cutoff]]))</f>
        <v>45657</v>
      </c>
      <c r="B11" s="7">
        <f>DATE(YEAR(m3_crossvalid[[#This Row],[ds]]),MONTH(m3_crossvalid[[#This Row],[ds]]),DAY(m3_crossvalid[[#This Row],[ds]]))</f>
        <v>45667</v>
      </c>
      <c r="C11">
        <v>1270</v>
      </c>
      <c r="D11" s="1">
        <v>45667.333333333336</v>
      </c>
      <c r="E11">
        <v>1785.0764841511068</v>
      </c>
      <c r="F11">
        <v>18.622304139557659</v>
      </c>
      <c r="G11">
        <v>3490.939200647902</v>
      </c>
      <c r="H11" s="1">
        <v>45657.333333333336</v>
      </c>
    </row>
    <row r="12" spans="1:8" x14ac:dyDescent="0.25">
      <c r="A12" s="7">
        <f>DATE(YEAR(m3_crossvalid[[#This Row],[cutoff]]),MONTH(m3_crossvalid[[#This Row],[cutoff]]),DAY(m3_crossvalid[[#This Row],[cutoff]]))</f>
        <v>45657</v>
      </c>
      <c r="B12" s="7">
        <f>DATE(YEAR(m3_crossvalid[[#This Row],[ds]]),MONTH(m3_crossvalid[[#This Row],[ds]]),DAY(m3_crossvalid[[#This Row],[ds]]))</f>
        <v>45668</v>
      </c>
      <c r="C12">
        <v>203</v>
      </c>
      <c r="D12" s="1">
        <v>45668.333333333336</v>
      </c>
      <c r="E12">
        <v>-110.49283222192889</v>
      </c>
      <c r="F12">
        <v>-1828.8934155543975</v>
      </c>
      <c r="G12">
        <v>1730.7750325639277</v>
      </c>
      <c r="H12" s="1">
        <v>45657.333333333336</v>
      </c>
    </row>
    <row r="13" spans="1:8" x14ac:dyDescent="0.25">
      <c r="A13" s="7">
        <f>DATE(YEAR(m3_crossvalid[[#This Row],[cutoff]]),MONTH(m3_crossvalid[[#This Row],[cutoff]]),DAY(m3_crossvalid[[#This Row],[cutoff]]))</f>
        <v>45657</v>
      </c>
      <c r="B13" s="7">
        <f>DATE(YEAR(m3_crossvalid[[#This Row],[ds]]),MONTH(m3_crossvalid[[#This Row],[ds]]),DAY(m3_crossvalid[[#This Row],[ds]]))</f>
        <v>45669</v>
      </c>
      <c r="C13">
        <v>41</v>
      </c>
      <c r="D13" s="1">
        <v>45669.333333333336</v>
      </c>
      <c r="E13">
        <v>-534.26589852658799</v>
      </c>
      <c r="F13">
        <v>-2301.8556474904476</v>
      </c>
      <c r="G13">
        <v>1193.4327757367416</v>
      </c>
      <c r="H13" s="1">
        <v>45657.333333333336</v>
      </c>
    </row>
    <row r="14" spans="1:8" x14ac:dyDescent="0.25">
      <c r="A14" s="7">
        <f>DATE(YEAR(m3_crossvalid[[#This Row],[cutoff]]),MONTH(m3_crossvalid[[#This Row],[cutoff]]),DAY(m3_crossvalid[[#This Row],[cutoff]]))</f>
        <v>45657</v>
      </c>
      <c r="B14" s="7">
        <f>DATE(YEAR(m3_crossvalid[[#This Row],[ds]]),MONTH(m3_crossvalid[[#This Row],[ds]]),DAY(m3_crossvalid[[#This Row],[ds]]))</f>
        <v>45670</v>
      </c>
      <c r="C14">
        <v>1313</v>
      </c>
      <c r="D14" s="1">
        <v>45670.333333333336</v>
      </c>
      <c r="E14">
        <v>1859.9878193974209</v>
      </c>
      <c r="F14">
        <v>72.484207325021757</v>
      </c>
      <c r="G14">
        <v>3673.1240422119899</v>
      </c>
      <c r="H14" s="1">
        <v>45657.333333333336</v>
      </c>
    </row>
    <row r="15" spans="1:8" x14ac:dyDescent="0.25">
      <c r="A15" s="7">
        <f>DATE(YEAR(m3_crossvalid[[#This Row],[cutoff]]),MONTH(m3_crossvalid[[#This Row],[cutoff]]),DAY(m3_crossvalid[[#This Row],[cutoff]]))</f>
        <v>45657</v>
      </c>
      <c r="B15" s="7">
        <f>DATE(YEAR(m3_crossvalid[[#This Row],[ds]]),MONTH(m3_crossvalid[[#This Row],[ds]]),DAY(m3_crossvalid[[#This Row],[ds]]))</f>
        <v>45671</v>
      </c>
      <c r="C15">
        <v>1609</v>
      </c>
      <c r="D15" s="1">
        <v>45671.333333333336</v>
      </c>
      <c r="E15">
        <v>2086.2026614924521</v>
      </c>
      <c r="F15">
        <v>322.45000857672619</v>
      </c>
      <c r="G15">
        <v>3799.4480439789572</v>
      </c>
      <c r="H15" s="1">
        <v>45657.333333333336</v>
      </c>
    </row>
    <row r="16" spans="1:8" x14ac:dyDescent="0.25">
      <c r="A16" s="7">
        <f>DATE(YEAR(m3_crossvalid[[#This Row],[cutoff]]),MONTH(m3_crossvalid[[#This Row],[cutoff]]),DAY(m3_crossvalid[[#This Row],[cutoff]]))</f>
        <v>45657</v>
      </c>
      <c r="B16" s="7">
        <f>DATE(YEAR(m3_crossvalid[[#This Row],[ds]]),MONTH(m3_crossvalid[[#This Row],[ds]]),DAY(m3_crossvalid[[#This Row],[ds]]))</f>
        <v>45672</v>
      </c>
      <c r="C16">
        <v>2010</v>
      </c>
      <c r="D16" s="1">
        <v>45672.333333333336</v>
      </c>
      <c r="E16">
        <v>2270.8253559350364</v>
      </c>
      <c r="F16">
        <v>380.48631008669031</v>
      </c>
      <c r="G16">
        <v>3930.2380436288886</v>
      </c>
      <c r="H16" s="1">
        <v>45657.333333333336</v>
      </c>
    </row>
    <row r="17" spans="1:8" x14ac:dyDescent="0.25">
      <c r="A17" s="7">
        <f>DATE(YEAR(m3_crossvalid[[#This Row],[cutoff]]),MONTH(m3_crossvalid[[#This Row],[cutoff]]),DAY(m3_crossvalid[[#This Row],[cutoff]]))</f>
        <v>45657</v>
      </c>
      <c r="B17" s="7">
        <f>DATE(YEAR(m3_crossvalid[[#This Row],[ds]]),MONTH(m3_crossvalid[[#This Row],[ds]]),DAY(m3_crossvalid[[#This Row],[ds]]))</f>
        <v>45673</v>
      </c>
      <c r="C17">
        <v>2206</v>
      </c>
      <c r="D17" s="1">
        <v>45673.333333333336</v>
      </c>
      <c r="E17">
        <v>2522.2273063880953</v>
      </c>
      <c r="F17">
        <v>658.26507125629701</v>
      </c>
      <c r="G17">
        <v>4231.0436616042762</v>
      </c>
      <c r="H17" s="1">
        <v>45657.333333333336</v>
      </c>
    </row>
    <row r="18" spans="1:8" x14ac:dyDescent="0.25">
      <c r="A18" s="7">
        <f>DATE(YEAR(m3_crossvalid[[#This Row],[cutoff]]),MONTH(m3_crossvalid[[#This Row],[cutoff]]),DAY(m3_crossvalid[[#This Row],[cutoff]]))</f>
        <v>45657</v>
      </c>
      <c r="B18" s="7">
        <f>DATE(YEAR(m3_crossvalid[[#This Row],[ds]]),MONTH(m3_crossvalid[[#This Row],[ds]]),DAY(m3_crossvalid[[#This Row],[ds]]))</f>
        <v>45674</v>
      </c>
      <c r="C18">
        <v>2291</v>
      </c>
      <c r="D18" s="1">
        <v>45674.333333333336</v>
      </c>
      <c r="E18">
        <v>2547.3451118377111</v>
      </c>
      <c r="F18">
        <v>765.82778605533645</v>
      </c>
      <c r="G18">
        <v>4238.6407244797629</v>
      </c>
      <c r="H18" s="1">
        <v>45657.333333333336</v>
      </c>
    </row>
    <row r="19" spans="1:8" x14ac:dyDescent="0.25">
      <c r="A19" s="7">
        <f>DATE(YEAR(m3_crossvalid[[#This Row],[cutoff]]),MONTH(m3_crossvalid[[#This Row],[cutoff]]),DAY(m3_crossvalid[[#This Row],[cutoff]]))</f>
        <v>45657</v>
      </c>
      <c r="B19" s="7">
        <f>DATE(YEAR(m3_crossvalid[[#This Row],[ds]]),MONTH(m3_crossvalid[[#This Row],[ds]]),DAY(m3_crossvalid[[#This Row],[ds]]))</f>
        <v>45675</v>
      </c>
      <c r="C19">
        <v>401</v>
      </c>
      <c r="D19" s="1">
        <v>45675.333333333336</v>
      </c>
      <c r="E19">
        <v>392.23805627642105</v>
      </c>
      <c r="F19">
        <v>-1434.4423512309691</v>
      </c>
      <c r="G19">
        <v>2076.1107750769461</v>
      </c>
      <c r="H19" s="1">
        <v>45657.333333333336</v>
      </c>
    </row>
    <row r="20" spans="1:8" x14ac:dyDescent="0.25">
      <c r="A20" s="7">
        <f>DATE(YEAR(m3_crossvalid[[#This Row],[cutoff]]),MONTH(m3_crossvalid[[#This Row],[cutoff]]),DAY(m3_crossvalid[[#This Row],[cutoff]]))</f>
        <v>45657</v>
      </c>
      <c r="B20" s="7">
        <f>DATE(YEAR(m3_crossvalid[[#This Row],[ds]]),MONTH(m3_crossvalid[[#This Row],[ds]]),DAY(m3_crossvalid[[#This Row],[ds]]))</f>
        <v>45676</v>
      </c>
      <c r="C20">
        <v>129</v>
      </c>
      <c r="D20" s="1">
        <v>45676.333333333336</v>
      </c>
      <c r="E20">
        <v>-250.00952398402023</v>
      </c>
      <c r="F20">
        <v>-1910.4405429164401</v>
      </c>
      <c r="G20">
        <v>1447.1466830890399</v>
      </c>
      <c r="H20" s="1">
        <v>45657.333333333336</v>
      </c>
    </row>
    <row r="21" spans="1:8" x14ac:dyDescent="0.25">
      <c r="A21" s="7">
        <f>DATE(YEAR(m3_crossvalid[[#This Row],[cutoff]]),MONTH(m3_crossvalid[[#This Row],[cutoff]]),DAY(m3_crossvalid[[#This Row],[cutoff]]))</f>
        <v>45657</v>
      </c>
      <c r="B21" s="7">
        <f>DATE(YEAR(m3_crossvalid[[#This Row],[ds]]),MONTH(m3_crossvalid[[#This Row],[ds]]),DAY(m3_crossvalid[[#This Row],[ds]]))</f>
        <v>45677</v>
      </c>
      <c r="C21">
        <v>2385</v>
      </c>
      <c r="D21" s="1">
        <v>45677.333333333336</v>
      </c>
      <c r="E21">
        <v>2243.6994046514496</v>
      </c>
      <c r="F21">
        <v>681.71421910739355</v>
      </c>
      <c r="G21">
        <v>4012.583402385741</v>
      </c>
      <c r="H21" s="1">
        <v>45657.333333333336</v>
      </c>
    </row>
    <row r="22" spans="1:8" x14ac:dyDescent="0.25">
      <c r="A22" s="7">
        <f>DATE(YEAR(m3_crossvalid[[#This Row],[cutoff]]),MONTH(m3_crossvalid[[#This Row],[cutoff]]),DAY(m3_crossvalid[[#This Row],[cutoff]]))</f>
        <v>45657</v>
      </c>
      <c r="B22" s="7">
        <f>DATE(YEAR(m3_crossvalid[[#This Row],[ds]]),MONTH(m3_crossvalid[[#This Row],[ds]]),DAY(m3_crossvalid[[#This Row],[ds]]))</f>
        <v>45678</v>
      </c>
      <c r="C22">
        <v>3051</v>
      </c>
      <c r="D22" s="1">
        <v>45678.333333333336</v>
      </c>
      <c r="E22">
        <v>2831.2073084986464</v>
      </c>
      <c r="F22">
        <v>1104.5007802589505</v>
      </c>
      <c r="G22">
        <v>4538.127800335661</v>
      </c>
      <c r="H22" s="1">
        <v>45657.333333333336</v>
      </c>
    </row>
    <row r="23" spans="1:8" x14ac:dyDescent="0.25">
      <c r="A23" s="7">
        <f>DATE(YEAR(m3_crossvalid[[#This Row],[cutoff]]),MONTH(m3_crossvalid[[#This Row],[cutoff]]),DAY(m3_crossvalid[[#This Row],[cutoff]]))</f>
        <v>45657</v>
      </c>
      <c r="B23" s="7">
        <f>DATE(YEAR(m3_crossvalid[[#This Row],[ds]]),MONTH(m3_crossvalid[[#This Row],[ds]]),DAY(m3_crossvalid[[#This Row],[ds]]))</f>
        <v>45679</v>
      </c>
      <c r="C23">
        <v>2878</v>
      </c>
      <c r="D23" s="1">
        <v>45679.333333333336</v>
      </c>
      <c r="E23">
        <v>3307.391595277893</v>
      </c>
      <c r="F23">
        <v>1677.4225028983549</v>
      </c>
      <c r="G23">
        <v>5042.9354700790409</v>
      </c>
      <c r="H23" s="1">
        <v>45657.333333333336</v>
      </c>
    </row>
    <row r="24" spans="1:8" x14ac:dyDescent="0.25">
      <c r="A24" s="7">
        <f>DATE(YEAR(m3_crossvalid[[#This Row],[cutoff]]),MONTH(m3_crossvalid[[#This Row],[cutoff]]),DAY(m3_crossvalid[[#This Row],[cutoff]]))</f>
        <v>45657</v>
      </c>
      <c r="B24" s="7">
        <f>DATE(YEAR(m3_crossvalid[[#This Row],[ds]]),MONTH(m3_crossvalid[[#This Row],[ds]]),DAY(m3_crossvalid[[#This Row],[ds]]))</f>
        <v>45680</v>
      </c>
      <c r="C24">
        <v>4853</v>
      </c>
      <c r="D24" s="1">
        <v>45680.333333333336</v>
      </c>
      <c r="E24">
        <v>3522.4678219312768</v>
      </c>
      <c r="F24">
        <v>1762.1797776313642</v>
      </c>
      <c r="G24">
        <v>5265.9577039273618</v>
      </c>
      <c r="H24" s="1">
        <v>45657.333333333336</v>
      </c>
    </row>
    <row r="25" spans="1:8" x14ac:dyDescent="0.25">
      <c r="A25" s="7">
        <f>DATE(YEAR(m3_crossvalid[[#This Row],[cutoff]]),MONTH(m3_crossvalid[[#This Row],[cutoff]]),DAY(m3_crossvalid[[#This Row],[cutoff]]))</f>
        <v>45657</v>
      </c>
      <c r="B25" s="7">
        <f>DATE(YEAR(m3_crossvalid[[#This Row],[ds]]),MONTH(m3_crossvalid[[#This Row],[ds]]),DAY(m3_crossvalid[[#This Row],[ds]]))</f>
        <v>45681</v>
      </c>
      <c r="C25">
        <v>5202</v>
      </c>
      <c r="D25" s="1">
        <v>45681.333333333336</v>
      </c>
      <c r="E25">
        <v>3297.633689009097</v>
      </c>
      <c r="F25">
        <v>1601.7127592447318</v>
      </c>
      <c r="G25">
        <v>5081.7586294661814</v>
      </c>
      <c r="H25" s="1">
        <v>45657.333333333336</v>
      </c>
    </row>
    <row r="26" spans="1:8" x14ac:dyDescent="0.25">
      <c r="A26" s="7">
        <f>DATE(YEAR(m3_crossvalid[[#This Row],[cutoff]]),MONTH(m3_crossvalid[[#This Row],[cutoff]]),DAY(m3_crossvalid[[#This Row],[cutoff]]))</f>
        <v>45657</v>
      </c>
      <c r="B26" s="7">
        <f>DATE(YEAR(m3_crossvalid[[#This Row],[ds]]),MONTH(m3_crossvalid[[#This Row],[ds]]),DAY(m3_crossvalid[[#This Row],[ds]]))</f>
        <v>45682</v>
      </c>
      <c r="C26">
        <v>1624</v>
      </c>
      <c r="D26" s="1">
        <v>45682.333333333336</v>
      </c>
      <c r="E26">
        <v>1110.06200963175</v>
      </c>
      <c r="F26">
        <v>-646.10696873026552</v>
      </c>
      <c r="G26">
        <v>2882.5428707872484</v>
      </c>
      <c r="H26" s="1">
        <v>45657.333333333336</v>
      </c>
    </row>
    <row r="27" spans="1:8" x14ac:dyDescent="0.25">
      <c r="A27" s="7">
        <f>DATE(YEAR(m3_crossvalid[[#This Row],[cutoff]]),MONTH(m3_crossvalid[[#This Row],[cutoff]]),DAY(m3_crossvalid[[#This Row],[cutoff]]))</f>
        <v>45657</v>
      </c>
      <c r="B27" s="7">
        <f>DATE(YEAR(m3_crossvalid[[#This Row],[ds]]),MONTH(m3_crossvalid[[#This Row],[ds]]),DAY(m3_crossvalid[[#This Row],[ds]]))</f>
        <v>45683</v>
      </c>
      <c r="C27">
        <v>454</v>
      </c>
      <c r="D27" s="1">
        <v>45683.333333333336</v>
      </c>
      <c r="E27">
        <v>1016.8767262557874</v>
      </c>
      <c r="F27">
        <v>-901.8405224095676</v>
      </c>
      <c r="G27">
        <v>2730.9465262645435</v>
      </c>
      <c r="H27" s="1">
        <v>45657.333333333336</v>
      </c>
    </row>
    <row r="28" spans="1:8" x14ac:dyDescent="0.25">
      <c r="A28" s="7">
        <f>DATE(YEAR(m3_crossvalid[[#This Row],[cutoff]]),MONTH(m3_crossvalid[[#This Row],[cutoff]]),DAY(m3_crossvalid[[#This Row],[cutoff]]))</f>
        <v>45657</v>
      </c>
      <c r="B28" s="7">
        <f>DATE(YEAR(m3_crossvalid[[#This Row],[ds]]),MONTH(m3_crossvalid[[#This Row],[ds]]),DAY(m3_crossvalid[[#This Row],[ds]]))</f>
        <v>45684</v>
      </c>
      <c r="C28">
        <v>5598</v>
      </c>
      <c r="D28" s="1">
        <v>45684.333333333336</v>
      </c>
      <c r="E28">
        <v>4564.8163440269473</v>
      </c>
      <c r="F28">
        <v>2888.9691944590668</v>
      </c>
      <c r="G28">
        <v>6402.0889089809871</v>
      </c>
      <c r="H28" s="1">
        <v>45657.333333333336</v>
      </c>
    </row>
    <row r="29" spans="1:8" x14ac:dyDescent="0.25">
      <c r="A29" s="7">
        <f>DATE(YEAR(m3_crossvalid[[#This Row],[cutoff]]),MONTH(m3_crossvalid[[#This Row],[cutoff]]),DAY(m3_crossvalid[[#This Row],[cutoff]]))</f>
        <v>45657</v>
      </c>
      <c r="B29" s="7">
        <f>DATE(YEAR(m3_crossvalid[[#This Row],[ds]]),MONTH(m3_crossvalid[[#This Row],[ds]]),DAY(m3_crossvalid[[#This Row],[ds]]))</f>
        <v>45685</v>
      </c>
      <c r="C29">
        <v>5264</v>
      </c>
      <c r="D29" s="1">
        <v>45685.333333333336</v>
      </c>
      <c r="E29">
        <v>6171.5201607261597</v>
      </c>
      <c r="F29">
        <v>4575.1257343686339</v>
      </c>
      <c r="G29">
        <v>7850.6380641004034</v>
      </c>
      <c r="H29" s="1">
        <v>45657.333333333336</v>
      </c>
    </row>
    <row r="30" spans="1:8" x14ac:dyDescent="0.25">
      <c r="A30" s="7">
        <f>DATE(YEAR(m3_crossvalid[[#This Row],[cutoff]]),MONTH(m3_crossvalid[[#This Row],[cutoff]]),DAY(m3_crossvalid[[#This Row],[cutoff]]))</f>
        <v>45657</v>
      </c>
      <c r="B30" s="7">
        <f>DATE(YEAR(m3_crossvalid[[#This Row],[ds]]),MONTH(m3_crossvalid[[#This Row],[ds]]),DAY(m3_crossvalid[[#This Row],[ds]]))</f>
        <v>45686</v>
      </c>
      <c r="C30">
        <v>310</v>
      </c>
      <c r="D30" s="1">
        <v>45686.333333333336</v>
      </c>
      <c r="E30">
        <v>5791.9934095266044</v>
      </c>
      <c r="F30">
        <v>3940.9228590793955</v>
      </c>
      <c r="G30">
        <v>7559.1900995075757</v>
      </c>
      <c r="H30" s="1">
        <v>45657.333333333336</v>
      </c>
    </row>
    <row r="31" spans="1:8" x14ac:dyDescent="0.25">
      <c r="A31" s="7">
        <f>DATE(YEAR(m3_crossvalid[[#This Row],[cutoff]]),MONTH(m3_crossvalid[[#This Row],[cutoff]]),DAY(m3_crossvalid[[#This Row],[cutoff]]))</f>
        <v>45657</v>
      </c>
      <c r="B31" s="7">
        <f>DATE(YEAR(m3_crossvalid[[#This Row],[ds]]),MONTH(m3_crossvalid[[#This Row],[ds]]),DAY(m3_crossvalid[[#This Row],[ds]]))</f>
        <v>45687</v>
      </c>
      <c r="C31">
        <v>255</v>
      </c>
      <c r="D31" s="1">
        <v>45687.333333333336</v>
      </c>
      <c r="E31">
        <v>5335.8742406642968</v>
      </c>
      <c r="F31">
        <v>3647.8025339816022</v>
      </c>
      <c r="G31">
        <v>7206.2788771643109</v>
      </c>
      <c r="H31" s="1">
        <v>45657.333333333336</v>
      </c>
    </row>
    <row r="32" spans="1:8" x14ac:dyDescent="0.25">
      <c r="A32" s="7">
        <f>DATE(YEAR(m3_crossvalid[[#This Row],[cutoff]]),MONTH(m3_crossvalid[[#This Row],[cutoff]]),DAY(m3_crossvalid[[#This Row],[cutoff]]))</f>
        <v>45657</v>
      </c>
      <c r="B32" s="7">
        <f>DATE(YEAR(m3_crossvalid[[#This Row],[ds]]),MONTH(m3_crossvalid[[#This Row],[ds]]),DAY(m3_crossvalid[[#This Row],[ds]]))</f>
        <v>45688</v>
      </c>
      <c r="C32">
        <v>6041</v>
      </c>
      <c r="D32" s="1">
        <v>45688.333333333336</v>
      </c>
      <c r="E32">
        <v>4791.7255853795659</v>
      </c>
      <c r="F32">
        <v>3043.6161656309987</v>
      </c>
      <c r="G32">
        <v>6591.3725751310849</v>
      </c>
      <c r="H32" s="1">
        <v>45657.333333333336</v>
      </c>
    </row>
    <row r="33" spans="1:8" x14ac:dyDescent="0.25">
      <c r="A33" s="7">
        <f>DATE(YEAR(m3_crossvalid[[#This Row],[cutoff]]),MONTH(m3_crossvalid[[#This Row],[cutoff]]),DAY(m3_crossvalid[[#This Row],[cutoff]]))</f>
        <v>45688</v>
      </c>
      <c r="B33" s="7">
        <f>DATE(YEAR(m3_crossvalid[[#This Row],[ds]]),MONTH(m3_crossvalid[[#This Row],[ds]]),DAY(m3_crossvalid[[#This Row],[ds]]))</f>
        <v>45689</v>
      </c>
      <c r="C33">
        <v>47</v>
      </c>
      <c r="D33" s="1">
        <v>45689.333333333336</v>
      </c>
      <c r="E33">
        <v>-927.34214643317182</v>
      </c>
      <c r="F33">
        <v>-2714.0062864483616</v>
      </c>
      <c r="G33">
        <v>864.06853577606648</v>
      </c>
      <c r="H33" s="1">
        <v>45688.333333333336</v>
      </c>
    </row>
    <row r="34" spans="1:8" x14ac:dyDescent="0.25">
      <c r="A34" s="7">
        <f>DATE(YEAR(m3_crossvalid[[#This Row],[cutoff]]),MONTH(m3_crossvalid[[#This Row],[cutoff]]),DAY(m3_crossvalid[[#This Row],[cutoff]]))</f>
        <v>45688</v>
      </c>
      <c r="B34" s="7">
        <f>DATE(YEAR(m3_crossvalid[[#This Row],[ds]]),MONTH(m3_crossvalid[[#This Row],[ds]]),DAY(m3_crossvalid[[#This Row],[ds]]))</f>
        <v>45690</v>
      </c>
      <c r="C34">
        <v>14</v>
      </c>
      <c r="D34" s="1">
        <v>45690.333333333336</v>
      </c>
      <c r="E34">
        <v>-1200.5031630800736</v>
      </c>
      <c r="F34">
        <v>-2923.5589437072754</v>
      </c>
      <c r="G34">
        <v>533.78456308850582</v>
      </c>
      <c r="H34" s="1">
        <v>45688.333333333336</v>
      </c>
    </row>
    <row r="35" spans="1:8" x14ac:dyDescent="0.25">
      <c r="A35" s="7">
        <f>DATE(YEAR(m3_crossvalid[[#This Row],[cutoff]]),MONTH(m3_crossvalid[[#This Row],[cutoff]]),DAY(m3_crossvalid[[#This Row],[cutoff]]))</f>
        <v>45688</v>
      </c>
      <c r="B35" s="7">
        <f>DATE(YEAR(m3_crossvalid[[#This Row],[ds]]),MONTH(m3_crossvalid[[#This Row],[ds]]),DAY(m3_crossvalid[[#This Row],[ds]]))</f>
        <v>45691</v>
      </c>
      <c r="C35">
        <v>454</v>
      </c>
      <c r="D35" s="1">
        <v>45691.333333333336</v>
      </c>
      <c r="E35">
        <v>905.0881901220323</v>
      </c>
      <c r="F35">
        <v>-825.11929389232228</v>
      </c>
      <c r="G35">
        <v>2667.4012735784586</v>
      </c>
      <c r="H35" s="1">
        <v>45688.333333333336</v>
      </c>
    </row>
    <row r="36" spans="1:8" x14ac:dyDescent="0.25">
      <c r="A36" s="7">
        <f>DATE(YEAR(m3_crossvalid[[#This Row],[cutoff]]),MONTH(m3_crossvalid[[#This Row],[cutoff]]),DAY(m3_crossvalid[[#This Row],[cutoff]]))</f>
        <v>45688</v>
      </c>
      <c r="B36" s="7">
        <f>DATE(YEAR(m3_crossvalid[[#This Row],[ds]]),MONTH(m3_crossvalid[[#This Row],[ds]]),DAY(m3_crossvalid[[#This Row],[ds]]))</f>
        <v>45692</v>
      </c>
      <c r="C36">
        <v>626</v>
      </c>
      <c r="D36" s="1">
        <v>45692.333333333336</v>
      </c>
      <c r="E36">
        <v>1545.9341557800128</v>
      </c>
      <c r="F36">
        <v>-216.35469843538775</v>
      </c>
      <c r="G36">
        <v>3229.5657145519781</v>
      </c>
      <c r="H36" s="1">
        <v>45688.333333333336</v>
      </c>
    </row>
    <row r="37" spans="1:8" x14ac:dyDescent="0.25">
      <c r="A37" s="7">
        <f>DATE(YEAR(m3_crossvalid[[#This Row],[cutoff]]),MONTH(m3_crossvalid[[#This Row],[cutoff]]),DAY(m3_crossvalid[[#This Row],[cutoff]]))</f>
        <v>45688</v>
      </c>
      <c r="B37" s="7">
        <f>DATE(YEAR(m3_crossvalid[[#This Row],[ds]]),MONTH(m3_crossvalid[[#This Row],[ds]]),DAY(m3_crossvalid[[#This Row],[ds]]))</f>
        <v>45693</v>
      </c>
      <c r="C37">
        <v>886</v>
      </c>
      <c r="D37" s="1">
        <v>45693.333333333336</v>
      </c>
      <c r="E37">
        <v>2018.8059593117944</v>
      </c>
      <c r="F37">
        <v>328.06790756522673</v>
      </c>
      <c r="G37">
        <v>3818.6886298060622</v>
      </c>
      <c r="H37" s="1">
        <v>45688.333333333336</v>
      </c>
    </row>
    <row r="38" spans="1:8" x14ac:dyDescent="0.25">
      <c r="A38" s="7">
        <f>DATE(YEAR(m3_crossvalid[[#This Row],[cutoff]]),MONTH(m3_crossvalid[[#This Row],[cutoff]]),DAY(m3_crossvalid[[#This Row],[cutoff]]))</f>
        <v>45688</v>
      </c>
      <c r="B38" s="7">
        <f>DATE(YEAR(m3_crossvalid[[#This Row],[ds]]),MONTH(m3_crossvalid[[#This Row],[ds]]),DAY(m3_crossvalid[[#This Row],[ds]]))</f>
        <v>45694</v>
      </c>
      <c r="C38">
        <v>1159</v>
      </c>
      <c r="D38" s="1">
        <v>45694.333333333336</v>
      </c>
      <c r="E38">
        <v>2138.3224404278199</v>
      </c>
      <c r="F38">
        <v>387.8165976718704</v>
      </c>
      <c r="G38">
        <v>3867.5763131941071</v>
      </c>
      <c r="H38" s="1">
        <v>45688.333333333336</v>
      </c>
    </row>
    <row r="39" spans="1:8" x14ac:dyDescent="0.25">
      <c r="A39" s="7">
        <f>DATE(YEAR(m3_crossvalid[[#This Row],[cutoff]]),MONTH(m3_crossvalid[[#This Row],[cutoff]]),DAY(m3_crossvalid[[#This Row],[cutoff]]))</f>
        <v>45688</v>
      </c>
      <c r="B39" s="7">
        <f>DATE(YEAR(m3_crossvalid[[#This Row],[ds]]),MONTH(m3_crossvalid[[#This Row],[ds]]),DAY(m3_crossvalid[[#This Row],[ds]]))</f>
        <v>45695</v>
      </c>
      <c r="C39">
        <v>1342</v>
      </c>
      <c r="D39" s="1">
        <v>45695.333333333336</v>
      </c>
      <c r="E39">
        <v>1843.9086952935163</v>
      </c>
      <c r="F39">
        <v>175.47141152654521</v>
      </c>
      <c r="G39">
        <v>3641.3203861867073</v>
      </c>
      <c r="H39" s="1">
        <v>45688.333333333336</v>
      </c>
    </row>
    <row r="40" spans="1:8" x14ac:dyDescent="0.25">
      <c r="A40" s="7">
        <f>DATE(YEAR(m3_crossvalid[[#This Row],[cutoff]]),MONTH(m3_crossvalid[[#This Row],[cutoff]]),DAY(m3_crossvalid[[#This Row],[cutoff]]))</f>
        <v>45688</v>
      </c>
      <c r="B40" s="7">
        <f>DATE(YEAR(m3_crossvalid[[#This Row],[ds]]),MONTH(m3_crossvalid[[#This Row],[ds]]),DAY(m3_crossvalid[[#This Row],[ds]]))</f>
        <v>45696</v>
      </c>
      <c r="C40">
        <v>301</v>
      </c>
      <c r="D40" s="1">
        <v>45696.333333333336</v>
      </c>
      <c r="E40">
        <v>-403.96121068043476</v>
      </c>
      <c r="F40">
        <v>-2202.1481405649533</v>
      </c>
      <c r="G40">
        <v>1364.0851084651379</v>
      </c>
      <c r="H40" s="1">
        <v>45688.333333333336</v>
      </c>
    </row>
    <row r="41" spans="1:8" x14ac:dyDescent="0.25">
      <c r="A41" s="7">
        <f>DATE(YEAR(m3_crossvalid[[#This Row],[cutoff]]),MONTH(m3_crossvalid[[#This Row],[cutoff]]),DAY(m3_crossvalid[[#This Row],[cutoff]]))</f>
        <v>45688</v>
      </c>
      <c r="B41" s="7">
        <f>DATE(YEAR(m3_crossvalid[[#This Row],[ds]]),MONTH(m3_crossvalid[[#This Row],[ds]]),DAY(m3_crossvalid[[#This Row],[ds]]))</f>
        <v>45697</v>
      </c>
      <c r="C41">
        <v>54</v>
      </c>
      <c r="D41" s="1">
        <v>45697.333333333336</v>
      </c>
      <c r="E41">
        <v>-745.90564823275463</v>
      </c>
      <c r="F41">
        <v>-2625.821916446308</v>
      </c>
      <c r="G41">
        <v>1012.9813755445737</v>
      </c>
      <c r="H41" s="1">
        <v>45688.333333333336</v>
      </c>
    </row>
    <row r="42" spans="1:8" x14ac:dyDescent="0.25">
      <c r="A42" s="7">
        <f>DATE(YEAR(m3_crossvalid[[#This Row],[cutoff]]),MONTH(m3_crossvalid[[#This Row],[cutoff]]),DAY(m3_crossvalid[[#This Row],[cutoff]]))</f>
        <v>45688</v>
      </c>
      <c r="B42" s="7">
        <f>DATE(YEAR(m3_crossvalid[[#This Row],[ds]]),MONTH(m3_crossvalid[[#This Row],[ds]]),DAY(m3_crossvalid[[#This Row],[ds]]))</f>
        <v>45698</v>
      </c>
      <c r="C42">
        <v>1577</v>
      </c>
      <c r="D42" s="1">
        <v>45698.333333333336</v>
      </c>
      <c r="E42">
        <v>2086.8248531993222</v>
      </c>
      <c r="F42">
        <v>377.05356270103277</v>
      </c>
      <c r="G42">
        <v>3826.3461341251273</v>
      </c>
      <c r="H42" s="1">
        <v>45688.333333333336</v>
      </c>
    </row>
    <row r="43" spans="1:8" x14ac:dyDescent="0.25">
      <c r="A43" s="7">
        <f>DATE(YEAR(m3_crossvalid[[#This Row],[cutoff]]),MONTH(m3_crossvalid[[#This Row],[cutoff]]),DAY(m3_crossvalid[[#This Row],[cutoff]]))</f>
        <v>45688</v>
      </c>
      <c r="B43" s="7">
        <f>DATE(YEAR(m3_crossvalid[[#This Row],[ds]]),MONTH(m3_crossvalid[[#This Row],[ds]]),DAY(m3_crossvalid[[#This Row],[ds]]))</f>
        <v>45699</v>
      </c>
      <c r="C43">
        <v>555</v>
      </c>
      <c r="D43" s="1">
        <v>45699.333333333336</v>
      </c>
      <c r="E43">
        <v>1040.1762722823128</v>
      </c>
      <c r="F43">
        <v>-651.50423341413375</v>
      </c>
      <c r="G43">
        <v>2660.6205135622899</v>
      </c>
      <c r="H43" s="1">
        <v>45688.333333333336</v>
      </c>
    </row>
    <row r="44" spans="1:8" x14ac:dyDescent="0.25">
      <c r="A44" s="7">
        <f>DATE(YEAR(m3_crossvalid[[#This Row],[cutoff]]),MONTH(m3_crossvalid[[#This Row],[cutoff]]),DAY(m3_crossvalid[[#This Row],[cutoff]]))</f>
        <v>45688</v>
      </c>
      <c r="B44" s="7">
        <f>DATE(YEAR(m3_crossvalid[[#This Row],[ds]]),MONTH(m3_crossvalid[[#This Row],[ds]]),DAY(m3_crossvalid[[#This Row],[ds]]))</f>
        <v>45700</v>
      </c>
      <c r="C44">
        <v>1823</v>
      </c>
      <c r="D44" s="1">
        <v>45700.333333333336</v>
      </c>
      <c r="E44">
        <v>2630.2618795864155</v>
      </c>
      <c r="F44">
        <v>813.10513052790532</v>
      </c>
      <c r="G44">
        <v>4345.8639369220327</v>
      </c>
      <c r="H44" s="1">
        <v>45688.333333333336</v>
      </c>
    </row>
    <row r="45" spans="1:8" x14ac:dyDescent="0.25">
      <c r="A45" s="7">
        <f>DATE(YEAR(m3_crossvalid[[#This Row],[cutoff]]),MONTH(m3_crossvalid[[#This Row],[cutoff]]),DAY(m3_crossvalid[[#This Row],[cutoff]]))</f>
        <v>45688</v>
      </c>
      <c r="B45" s="7">
        <f>DATE(YEAR(m3_crossvalid[[#This Row],[ds]]),MONTH(m3_crossvalid[[#This Row],[ds]]),DAY(m3_crossvalid[[#This Row],[ds]]))</f>
        <v>45701</v>
      </c>
      <c r="C45">
        <v>2210</v>
      </c>
      <c r="D45" s="1">
        <v>45701.333333333336</v>
      </c>
      <c r="E45">
        <v>2463.4526230364663</v>
      </c>
      <c r="F45">
        <v>609.1822414150696</v>
      </c>
      <c r="G45">
        <v>4220.190357451861</v>
      </c>
      <c r="H45" s="1">
        <v>45688.333333333336</v>
      </c>
    </row>
    <row r="46" spans="1:8" x14ac:dyDescent="0.25">
      <c r="A46" s="7">
        <f>DATE(YEAR(m3_crossvalid[[#This Row],[cutoff]]),MONTH(m3_crossvalid[[#This Row],[cutoff]]),DAY(m3_crossvalid[[#This Row],[cutoff]]))</f>
        <v>45688</v>
      </c>
      <c r="B46" s="7">
        <f>DATE(YEAR(m3_crossvalid[[#This Row],[ds]]),MONTH(m3_crossvalid[[#This Row],[ds]]),DAY(m3_crossvalid[[#This Row],[ds]]))</f>
        <v>45702</v>
      </c>
      <c r="C46">
        <v>2308</v>
      </c>
      <c r="D46" s="1">
        <v>45702.333333333336</v>
      </c>
      <c r="E46">
        <v>2295.43430839444</v>
      </c>
      <c r="F46">
        <v>542.07692856728704</v>
      </c>
      <c r="G46">
        <v>4012.007223218342</v>
      </c>
      <c r="H46" s="1">
        <v>45688.333333333336</v>
      </c>
    </row>
    <row r="47" spans="1:8" x14ac:dyDescent="0.25">
      <c r="A47" s="7">
        <f>DATE(YEAR(m3_crossvalid[[#This Row],[cutoff]]),MONTH(m3_crossvalid[[#This Row],[cutoff]]),DAY(m3_crossvalid[[#This Row],[cutoff]]))</f>
        <v>45688</v>
      </c>
      <c r="B47" s="7">
        <f>DATE(YEAR(m3_crossvalid[[#This Row],[ds]]),MONTH(m3_crossvalid[[#This Row],[ds]]),DAY(m3_crossvalid[[#This Row],[ds]]))</f>
        <v>45703</v>
      </c>
      <c r="C47">
        <v>485</v>
      </c>
      <c r="D47" s="1">
        <v>45703.333333333336</v>
      </c>
      <c r="E47">
        <v>365.65683734888125</v>
      </c>
      <c r="F47">
        <v>-1406.4414045653202</v>
      </c>
      <c r="G47">
        <v>2142.2160215448766</v>
      </c>
      <c r="H47" s="1">
        <v>45688.333333333336</v>
      </c>
    </row>
    <row r="48" spans="1:8" x14ac:dyDescent="0.25">
      <c r="A48" s="7">
        <f>DATE(YEAR(m3_crossvalid[[#This Row],[cutoff]]),MONTH(m3_crossvalid[[#This Row],[cutoff]]),DAY(m3_crossvalid[[#This Row],[cutoff]]))</f>
        <v>45688</v>
      </c>
      <c r="B48" s="7">
        <f>DATE(YEAR(m3_crossvalid[[#This Row],[ds]]),MONTH(m3_crossvalid[[#This Row],[ds]]),DAY(m3_crossvalid[[#This Row],[ds]]))</f>
        <v>45704</v>
      </c>
      <c r="C48">
        <v>118</v>
      </c>
      <c r="D48" s="1">
        <v>45704.333333333336</v>
      </c>
      <c r="E48">
        <v>145.74887501512649</v>
      </c>
      <c r="F48">
        <v>-1539.7724252866522</v>
      </c>
      <c r="G48">
        <v>1973.6249275015202</v>
      </c>
      <c r="H48" s="1">
        <v>45688.333333333336</v>
      </c>
    </row>
    <row r="49" spans="1:8" x14ac:dyDescent="0.25">
      <c r="A49" s="7">
        <f>DATE(YEAR(m3_crossvalid[[#This Row],[cutoff]]),MONTH(m3_crossvalid[[#This Row],[cutoff]]),DAY(m3_crossvalid[[#This Row],[cutoff]]))</f>
        <v>45688</v>
      </c>
      <c r="B49" s="7">
        <f>DATE(YEAR(m3_crossvalid[[#This Row],[ds]]),MONTH(m3_crossvalid[[#This Row],[ds]]),DAY(m3_crossvalid[[#This Row],[ds]]))</f>
        <v>45705</v>
      </c>
      <c r="C49">
        <v>2482</v>
      </c>
      <c r="D49" s="1">
        <v>45705.333333333336</v>
      </c>
      <c r="E49">
        <v>2750.8548350259757</v>
      </c>
      <c r="F49">
        <v>1006.6037815795081</v>
      </c>
      <c r="G49">
        <v>4356.646234286678</v>
      </c>
      <c r="H49" s="1">
        <v>45688.333333333336</v>
      </c>
    </row>
    <row r="50" spans="1:8" x14ac:dyDescent="0.25">
      <c r="A50" s="7">
        <f>DATE(YEAR(m3_crossvalid[[#This Row],[cutoff]]),MONTH(m3_crossvalid[[#This Row],[cutoff]]),DAY(m3_crossvalid[[#This Row],[cutoff]]))</f>
        <v>45688</v>
      </c>
      <c r="B50" s="7">
        <f>DATE(YEAR(m3_crossvalid[[#This Row],[ds]]),MONTH(m3_crossvalid[[#This Row],[ds]]),DAY(m3_crossvalid[[#This Row],[ds]]))</f>
        <v>45706</v>
      </c>
      <c r="C50">
        <v>2913</v>
      </c>
      <c r="D50" s="1">
        <v>45706.333333333336</v>
      </c>
      <c r="E50">
        <v>2937.9367180138247</v>
      </c>
      <c r="F50">
        <v>1232.1434488824043</v>
      </c>
      <c r="G50">
        <v>4689.3312473355591</v>
      </c>
      <c r="H50" s="1">
        <v>45688.333333333336</v>
      </c>
    </row>
    <row r="51" spans="1:8" x14ac:dyDescent="0.25">
      <c r="A51" s="7">
        <f>DATE(YEAR(m3_crossvalid[[#This Row],[cutoff]]),MONTH(m3_crossvalid[[#This Row],[cutoff]]),DAY(m3_crossvalid[[#This Row],[cutoff]]))</f>
        <v>45688</v>
      </c>
      <c r="B51" s="7">
        <f>DATE(YEAR(m3_crossvalid[[#This Row],[ds]]),MONTH(m3_crossvalid[[#This Row],[ds]]),DAY(m3_crossvalid[[#This Row],[ds]]))</f>
        <v>45707</v>
      </c>
      <c r="C51">
        <v>3106</v>
      </c>
      <c r="D51" s="1">
        <v>45707.333333333336</v>
      </c>
      <c r="E51">
        <v>2817.5240593595786</v>
      </c>
      <c r="F51">
        <v>998.47127459316039</v>
      </c>
      <c r="G51">
        <v>4517.519169709989</v>
      </c>
      <c r="H51" s="1">
        <v>45688.333333333336</v>
      </c>
    </row>
    <row r="52" spans="1:8" x14ac:dyDescent="0.25">
      <c r="A52" s="7">
        <f>DATE(YEAR(m3_crossvalid[[#This Row],[cutoff]]),MONTH(m3_crossvalid[[#This Row],[cutoff]]),DAY(m3_crossvalid[[#This Row],[cutoff]]))</f>
        <v>45688</v>
      </c>
      <c r="B52" s="7">
        <f>DATE(YEAR(m3_crossvalid[[#This Row],[ds]]),MONTH(m3_crossvalid[[#This Row],[ds]]),DAY(m3_crossvalid[[#This Row],[ds]]))</f>
        <v>45708</v>
      </c>
      <c r="C52">
        <v>3104</v>
      </c>
      <c r="D52" s="1">
        <v>45708.333333333336</v>
      </c>
      <c r="E52">
        <v>2890.8839104214462</v>
      </c>
      <c r="F52">
        <v>1092.1176210066455</v>
      </c>
      <c r="G52">
        <v>4585.4291807724785</v>
      </c>
      <c r="H52" s="1">
        <v>45688.333333333336</v>
      </c>
    </row>
    <row r="53" spans="1:8" x14ac:dyDescent="0.25">
      <c r="A53" s="7">
        <f>DATE(YEAR(m3_crossvalid[[#This Row],[cutoff]]),MONTH(m3_crossvalid[[#This Row],[cutoff]]),DAY(m3_crossvalid[[#This Row],[cutoff]]))</f>
        <v>45688</v>
      </c>
      <c r="B53" s="7">
        <f>DATE(YEAR(m3_crossvalid[[#This Row],[ds]]),MONTH(m3_crossvalid[[#This Row],[ds]]),DAY(m3_crossvalid[[#This Row],[ds]]))</f>
        <v>45709</v>
      </c>
      <c r="C53">
        <v>3309</v>
      </c>
      <c r="D53" s="1">
        <v>45709.333333333336</v>
      </c>
      <c r="E53">
        <v>3089.0600473513077</v>
      </c>
      <c r="F53">
        <v>1422.472157022039</v>
      </c>
      <c r="G53">
        <v>4969.3130367359336</v>
      </c>
      <c r="H53" s="1">
        <v>45688.333333333336</v>
      </c>
    </row>
    <row r="54" spans="1:8" x14ac:dyDescent="0.25">
      <c r="A54" s="7">
        <f>DATE(YEAR(m3_crossvalid[[#This Row],[cutoff]]),MONTH(m3_crossvalid[[#This Row],[cutoff]]),DAY(m3_crossvalid[[#This Row],[cutoff]]))</f>
        <v>45688</v>
      </c>
      <c r="B54" s="7">
        <f>DATE(YEAR(m3_crossvalid[[#This Row],[ds]]),MONTH(m3_crossvalid[[#This Row],[ds]]),DAY(m3_crossvalid[[#This Row],[ds]]))</f>
        <v>45710</v>
      </c>
      <c r="C54">
        <v>732</v>
      </c>
      <c r="D54" s="1">
        <v>45710.333333333336</v>
      </c>
      <c r="E54">
        <v>1292.4540934609895</v>
      </c>
      <c r="F54">
        <v>-481.45548336063706</v>
      </c>
      <c r="G54">
        <v>3010.1848198909674</v>
      </c>
      <c r="H54" s="1">
        <v>45688.333333333336</v>
      </c>
    </row>
    <row r="55" spans="1:8" x14ac:dyDescent="0.25">
      <c r="A55" s="7">
        <f>DATE(YEAR(m3_crossvalid[[#This Row],[cutoff]]),MONTH(m3_crossvalid[[#This Row],[cutoff]]),DAY(m3_crossvalid[[#This Row],[cutoff]]))</f>
        <v>45688</v>
      </c>
      <c r="B55" s="7">
        <f>DATE(YEAR(m3_crossvalid[[#This Row],[ds]]),MONTH(m3_crossvalid[[#This Row],[ds]]),DAY(m3_crossvalid[[#This Row],[ds]]))</f>
        <v>45711</v>
      </c>
      <c r="C55">
        <v>202</v>
      </c>
      <c r="D55" s="1">
        <v>45711.333333333336</v>
      </c>
      <c r="E55">
        <v>873.7471469731438</v>
      </c>
      <c r="F55">
        <v>-950.36027996855023</v>
      </c>
      <c r="G55">
        <v>2680.0009831621287</v>
      </c>
      <c r="H55" s="1">
        <v>45688.333333333336</v>
      </c>
    </row>
    <row r="56" spans="1:8" x14ac:dyDescent="0.25">
      <c r="A56" s="7">
        <f>DATE(YEAR(m3_crossvalid[[#This Row],[cutoff]]),MONTH(m3_crossvalid[[#This Row],[cutoff]]),DAY(m3_crossvalid[[#This Row],[cutoff]]))</f>
        <v>45688</v>
      </c>
      <c r="B56" s="7">
        <f>DATE(YEAR(m3_crossvalid[[#This Row],[ds]]),MONTH(m3_crossvalid[[#This Row],[ds]]),DAY(m3_crossvalid[[#This Row],[ds]]))</f>
        <v>45712</v>
      </c>
      <c r="C56">
        <v>3545</v>
      </c>
      <c r="D56" s="1">
        <v>45712.333333333336</v>
      </c>
      <c r="E56">
        <v>3255.3443358583404</v>
      </c>
      <c r="F56">
        <v>1497.9196695564435</v>
      </c>
      <c r="G56">
        <v>5083.1498754397589</v>
      </c>
      <c r="H56" s="1">
        <v>45688.333333333336</v>
      </c>
    </row>
    <row r="57" spans="1:8" x14ac:dyDescent="0.25">
      <c r="A57" s="7">
        <f>DATE(YEAR(m3_crossvalid[[#This Row],[cutoff]]),MONTH(m3_crossvalid[[#This Row],[cutoff]]),DAY(m3_crossvalid[[#This Row],[cutoff]]))</f>
        <v>45688</v>
      </c>
      <c r="B57" s="7">
        <f>DATE(YEAR(m3_crossvalid[[#This Row],[ds]]),MONTH(m3_crossvalid[[#This Row],[ds]]),DAY(m3_crossvalid[[#This Row],[ds]]))</f>
        <v>45713</v>
      </c>
      <c r="C57">
        <v>4868</v>
      </c>
      <c r="D57" s="1">
        <v>45713.333333333336</v>
      </c>
      <c r="E57">
        <v>3654.5499364888465</v>
      </c>
      <c r="F57">
        <v>1801.8132606886838</v>
      </c>
      <c r="G57">
        <v>5461.8798341768861</v>
      </c>
      <c r="H57" s="1">
        <v>45688.333333333336</v>
      </c>
    </row>
    <row r="58" spans="1:8" x14ac:dyDescent="0.25">
      <c r="A58" s="7">
        <f>DATE(YEAR(m3_crossvalid[[#This Row],[cutoff]]),MONTH(m3_crossvalid[[#This Row],[cutoff]]),DAY(m3_crossvalid[[#This Row],[cutoff]]))</f>
        <v>45688</v>
      </c>
      <c r="B58" s="7">
        <f>DATE(YEAR(m3_crossvalid[[#This Row],[ds]]),MONTH(m3_crossvalid[[#This Row],[ds]]),DAY(m3_crossvalid[[#This Row],[ds]]))</f>
        <v>45714</v>
      </c>
      <c r="C58">
        <v>6187</v>
      </c>
      <c r="D58" s="1">
        <v>45714.333333333336</v>
      </c>
      <c r="E58">
        <v>4357.5619442906991</v>
      </c>
      <c r="F58">
        <v>2592.2759385284626</v>
      </c>
      <c r="G58">
        <v>6118.5446144059642</v>
      </c>
      <c r="H58" s="1">
        <v>45688.333333333336</v>
      </c>
    </row>
    <row r="59" spans="1:8" x14ac:dyDescent="0.25">
      <c r="A59" s="7">
        <f>DATE(YEAR(m3_crossvalid[[#This Row],[cutoff]]),MONTH(m3_crossvalid[[#This Row],[cutoff]]),DAY(m3_crossvalid[[#This Row],[cutoff]]))</f>
        <v>45688</v>
      </c>
      <c r="B59" s="7">
        <f>DATE(YEAR(m3_crossvalid[[#This Row],[ds]]),MONTH(m3_crossvalid[[#This Row],[ds]]),DAY(m3_crossvalid[[#This Row],[ds]]))</f>
        <v>45715</v>
      </c>
      <c r="C59">
        <v>8082</v>
      </c>
      <c r="D59" s="1">
        <v>45715.333333333336</v>
      </c>
      <c r="E59">
        <v>5529.4292401040784</v>
      </c>
      <c r="F59">
        <v>3772.6846190174192</v>
      </c>
      <c r="G59">
        <v>7265.1059070329393</v>
      </c>
      <c r="H59" s="1">
        <v>45688.333333333336</v>
      </c>
    </row>
    <row r="60" spans="1:8" x14ac:dyDescent="0.25">
      <c r="A60" s="7">
        <f>DATE(YEAR(m3_crossvalid[[#This Row],[cutoff]]),MONTH(m3_crossvalid[[#This Row],[cutoff]]),DAY(m3_crossvalid[[#This Row],[cutoff]]))</f>
        <v>45688</v>
      </c>
      <c r="B60" s="7">
        <f>DATE(YEAR(m3_crossvalid[[#This Row],[ds]]),MONTH(m3_crossvalid[[#This Row],[ds]]),DAY(m3_crossvalid[[#This Row],[ds]]))</f>
        <v>45716</v>
      </c>
      <c r="C60">
        <v>14838</v>
      </c>
      <c r="D60" s="1">
        <v>45716.333333333336</v>
      </c>
      <c r="E60">
        <v>6447.0870661594463</v>
      </c>
      <c r="F60">
        <v>4728.3951426461472</v>
      </c>
      <c r="G60">
        <v>8226.7452165615214</v>
      </c>
      <c r="H60" s="1">
        <v>45688.333333333336</v>
      </c>
    </row>
    <row r="61" spans="1:8" x14ac:dyDescent="0.25">
      <c r="A61" s="7">
        <f>DATE(YEAR(m3_crossvalid[[#This Row],[cutoff]]),MONTH(m3_crossvalid[[#This Row],[cutoff]]),DAY(m3_crossvalid[[#This Row],[cutoff]]))</f>
        <v>45688</v>
      </c>
      <c r="B61" s="7">
        <f>DATE(YEAR(m3_crossvalid[[#This Row],[ds]]),MONTH(m3_crossvalid[[#This Row],[ds]]),DAY(m3_crossvalid[[#This Row],[ds]]))</f>
        <v>45717</v>
      </c>
      <c r="C61">
        <v>74</v>
      </c>
      <c r="D61" s="1">
        <v>45717.333333333336</v>
      </c>
      <c r="E61">
        <v>4470.6934949676006</v>
      </c>
      <c r="F61">
        <v>2830.2597197079017</v>
      </c>
      <c r="G61">
        <v>6281.8118840810912</v>
      </c>
      <c r="H61" s="1">
        <v>45688.333333333336</v>
      </c>
    </row>
    <row r="62" spans="1:8" x14ac:dyDescent="0.25">
      <c r="A62" s="7">
        <f>DATE(YEAR(m3_crossvalid[[#This Row],[cutoff]]),MONTH(m3_crossvalid[[#This Row],[cutoff]]),DAY(m3_crossvalid[[#This Row],[cutoff]]))</f>
        <v>45688</v>
      </c>
      <c r="B62" s="7">
        <f>DATE(YEAR(m3_crossvalid[[#This Row],[ds]]),MONTH(m3_crossvalid[[#This Row],[ds]]),DAY(m3_crossvalid[[#This Row],[ds]]))</f>
        <v>45718</v>
      </c>
      <c r="C62">
        <v>27</v>
      </c>
      <c r="D62" s="1">
        <v>45718.333333333336</v>
      </c>
      <c r="E62">
        <v>2917.3309233213431</v>
      </c>
      <c r="F62">
        <v>1367.4767454637793</v>
      </c>
      <c r="G62">
        <v>4668.7873900152281</v>
      </c>
      <c r="H62" s="1">
        <v>45688.333333333336</v>
      </c>
    </row>
    <row r="63" spans="1:8" x14ac:dyDescent="0.25">
      <c r="A63" s="7">
        <f>DATE(YEAR(m3_crossvalid[[#This Row],[cutoff]]),MONTH(m3_crossvalid[[#This Row],[cutoff]]),DAY(m3_crossvalid[[#This Row],[cutoff]]))</f>
        <v>45688</v>
      </c>
      <c r="B63" s="7">
        <f>DATE(YEAR(m3_crossvalid[[#This Row],[ds]]),MONTH(m3_crossvalid[[#This Row],[ds]]),DAY(m3_crossvalid[[#This Row],[ds]]))</f>
        <v>45719</v>
      </c>
      <c r="C63">
        <v>378</v>
      </c>
      <c r="D63" s="1">
        <v>45719.333333333336</v>
      </c>
      <c r="E63">
        <v>3582.5512882361645</v>
      </c>
      <c r="F63">
        <v>1817.5401248496171</v>
      </c>
      <c r="G63">
        <v>5298.1751995863169</v>
      </c>
      <c r="H63" s="1">
        <v>45688.333333333336</v>
      </c>
    </row>
    <row r="64" spans="1:8" x14ac:dyDescent="0.25">
      <c r="A64" s="7">
        <f>DATE(YEAR(m3_crossvalid[[#This Row],[cutoff]]),MONTH(m3_crossvalid[[#This Row],[cutoff]]),DAY(m3_crossvalid[[#This Row],[cutoff]]))</f>
        <v>45716</v>
      </c>
      <c r="B64" s="7">
        <f>DATE(YEAR(m3_crossvalid[[#This Row],[ds]]),MONTH(m3_crossvalid[[#This Row],[ds]]),DAY(m3_crossvalid[[#This Row],[ds]]))</f>
        <v>45717</v>
      </c>
      <c r="C64">
        <v>74</v>
      </c>
      <c r="D64" s="1">
        <v>45717.333333333336</v>
      </c>
      <c r="E64">
        <v>4823.2268025132817</v>
      </c>
      <c r="F64">
        <v>2979.1902877148195</v>
      </c>
      <c r="G64">
        <v>6625.3766061415927</v>
      </c>
      <c r="H64" s="1">
        <v>45716.333333333336</v>
      </c>
    </row>
    <row r="65" spans="1:8" x14ac:dyDescent="0.25">
      <c r="A65" s="7">
        <f>DATE(YEAR(m3_crossvalid[[#This Row],[cutoff]]),MONTH(m3_crossvalid[[#This Row],[cutoff]]),DAY(m3_crossvalid[[#This Row],[cutoff]]))</f>
        <v>45716</v>
      </c>
      <c r="B65" s="7">
        <f>DATE(YEAR(m3_crossvalid[[#This Row],[ds]]),MONTH(m3_crossvalid[[#This Row],[ds]]),DAY(m3_crossvalid[[#This Row],[ds]]))</f>
        <v>45718</v>
      </c>
      <c r="C65">
        <v>27</v>
      </c>
      <c r="D65" s="1">
        <v>45718.333333333336</v>
      </c>
      <c r="E65">
        <v>3231.0473324347745</v>
      </c>
      <c r="F65">
        <v>1534.4148603276938</v>
      </c>
      <c r="G65">
        <v>5050.3293085225769</v>
      </c>
      <c r="H65" s="1">
        <v>45716.333333333336</v>
      </c>
    </row>
    <row r="66" spans="1:8" x14ac:dyDescent="0.25">
      <c r="A66" s="7">
        <f>DATE(YEAR(m3_crossvalid[[#This Row],[cutoff]]),MONTH(m3_crossvalid[[#This Row],[cutoff]]),DAY(m3_crossvalid[[#This Row],[cutoff]]))</f>
        <v>45716</v>
      </c>
      <c r="B66" s="7">
        <f>DATE(YEAR(m3_crossvalid[[#This Row],[ds]]),MONTH(m3_crossvalid[[#This Row],[ds]]),DAY(m3_crossvalid[[#This Row],[ds]]))</f>
        <v>45719</v>
      </c>
      <c r="C66">
        <v>378</v>
      </c>
      <c r="D66" s="1">
        <v>45719.333333333336</v>
      </c>
      <c r="E66">
        <v>3861.1607542213178</v>
      </c>
      <c r="F66">
        <v>2044.5012456917179</v>
      </c>
      <c r="G66">
        <v>5642.7654102303841</v>
      </c>
      <c r="H66" s="1">
        <v>45716.333333333336</v>
      </c>
    </row>
    <row r="67" spans="1:8" x14ac:dyDescent="0.25">
      <c r="A67" s="7">
        <f>DATE(YEAR(m3_crossvalid[[#This Row],[cutoff]]),MONTH(m3_crossvalid[[#This Row],[cutoff]]),DAY(m3_crossvalid[[#This Row],[cutoff]]))</f>
        <v>45716</v>
      </c>
      <c r="B67" s="7">
        <f>DATE(YEAR(m3_crossvalid[[#This Row],[ds]]),MONTH(m3_crossvalid[[#This Row],[ds]]),DAY(m3_crossvalid[[#This Row],[ds]]))</f>
        <v>45720</v>
      </c>
      <c r="C67">
        <v>666</v>
      </c>
      <c r="D67" s="1">
        <v>45720.333333333336</v>
      </c>
      <c r="E67">
        <v>2455.8280974927011</v>
      </c>
      <c r="F67">
        <v>775.57007731337922</v>
      </c>
      <c r="G67">
        <v>4171.795240285991</v>
      </c>
      <c r="H67" s="1">
        <v>45716.333333333336</v>
      </c>
    </row>
    <row r="68" spans="1:8" x14ac:dyDescent="0.25">
      <c r="A68" s="7">
        <f>DATE(YEAR(m3_crossvalid[[#This Row],[cutoff]]),MONTH(m3_crossvalid[[#This Row],[cutoff]]),DAY(m3_crossvalid[[#This Row],[cutoff]]))</f>
        <v>45716</v>
      </c>
      <c r="B68" s="7">
        <f>DATE(YEAR(m3_crossvalid[[#This Row],[ds]]),MONTH(m3_crossvalid[[#This Row],[ds]]),DAY(m3_crossvalid[[#This Row],[ds]]))</f>
        <v>45721</v>
      </c>
      <c r="C68">
        <v>793</v>
      </c>
      <c r="D68" s="1">
        <v>45721.333333333336</v>
      </c>
      <c r="E68">
        <v>1597.3187704323541</v>
      </c>
      <c r="F68">
        <v>-215.50258755855063</v>
      </c>
      <c r="G68">
        <v>3397.8258167015802</v>
      </c>
      <c r="H68" s="1">
        <v>45716.333333333336</v>
      </c>
    </row>
    <row r="69" spans="1:8" x14ac:dyDescent="0.25">
      <c r="A69" s="7">
        <f>DATE(YEAR(m3_crossvalid[[#This Row],[cutoff]]),MONTH(m3_crossvalid[[#This Row],[cutoff]]),DAY(m3_crossvalid[[#This Row],[cutoff]]))</f>
        <v>45716</v>
      </c>
      <c r="B69" s="7">
        <f>DATE(YEAR(m3_crossvalid[[#This Row],[ds]]),MONTH(m3_crossvalid[[#This Row],[ds]]),DAY(m3_crossvalid[[#This Row],[ds]]))</f>
        <v>45722</v>
      </c>
      <c r="C69">
        <v>1426</v>
      </c>
      <c r="D69" s="1">
        <v>45722.333333333336</v>
      </c>
      <c r="E69">
        <v>1616.3623282468657</v>
      </c>
      <c r="F69">
        <v>-172.53181329545873</v>
      </c>
      <c r="G69">
        <v>3362.5629565392715</v>
      </c>
      <c r="H69" s="1">
        <v>45716.333333333336</v>
      </c>
    </row>
    <row r="70" spans="1:8" x14ac:dyDescent="0.25">
      <c r="A70" s="7">
        <f>DATE(YEAR(m3_crossvalid[[#This Row],[cutoff]]),MONTH(m3_crossvalid[[#This Row],[cutoff]]),DAY(m3_crossvalid[[#This Row],[cutoff]]))</f>
        <v>45716</v>
      </c>
      <c r="B70" s="7">
        <f>DATE(YEAR(m3_crossvalid[[#This Row],[ds]]),MONTH(m3_crossvalid[[#This Row],[ds]]),DAY(m3_crossvalid[[#This Row],[ds]]))</f>
        <v>45723</v>
      </c>
      <c r="C70">
        <v>1674</v>
      </c>
      <c r="D70" s="1">
        <v>45723.333333333336</v>
      </c>
      <c r="E70">
        <v>1960.0550895408142</v>
      </c>
      <c r="F70">
        <v>297.95073331415182</v>
      </c>
      <c r="G70">
        <v>3549.1176171842321</v>
      </c>
      <c r="H70" s="1">
        <v>45716.333333333336</v>
      </c>
    </row>
    <row r="71" spans="1:8" x14ac:dyDescent="0.25">
      <c r="A71" s="7">
        <f>DATE(YEAR(m3_crossvalid[[#This Row],[cutoff]]),MONTH(m3_crossvalid[[#This Row],[cutoff]]),DAY(m3_crossvalid[[#This Row],[cutoff]]))</f>
        <v>45716</v>
      </c>
      <c r="B71" s="7">
        <f>DATE(YEAR(m3_crossvalid[[#This Row],[ds]]),MONTH(m3_crossvalid[[#This Row],[ds]]),DAY(m3_crossvalid[[#This Row],[ds]]))</f>
        <v>45724</v>
      </c>
      <c r="C71">
        <v>310</v>
      </c>
      <c r="D71" s="1">
        <v>45724.333333333336</v>
      </c>
      <c r="E71">
        <v>94.600713985854327</v>
      </c>
      <c r="F71">
        <v>-1706.1757246471677</v>
      </c>
      <c r="G71">
        <v>1891.3327669788175</v>
      </c>
      <c r="H71" s="1">
        <v>45716.333333333336</v>
      </c>
    </row>
    <row r="72" spans="1:8" x14ac:dyDescent="0.25">
      <c r="A72" s="7">
        <f>DATE(YEAR(m3_crossvalid[[#This Row],[cutoff]]),MONTH(m3_crossvalid[[#This Row],[cutoff]]),DAY(m3_crossvalid[[#This Row],[cutoff]]))</f>
        <v>45716</v>
      </c>
      <c r="B72" s="7">
        <f>DATE(YEAR(m3_crossvalid[[#This Row],[ds]]),MONTH(m3_crossvalid[[#This Row],[ds]]),DAY(m3_crossvalid[[#This Row],[ds]]))</f>
        <v>45725</v>
      </c>
      <c r="C72">
        <v>109</v>
      </c>
      <c r="D72" s="1">
        <v>45725.333333333336</v>
      </c>
      <c r="E72">
        <v>-423.62224184771912</v>
      </c>
      <c r="F72">
        <v>-2127.7675437420949</v>
      </c>
      <c r="G72">
        <v>1282.658537535606</v>
      </c>
      <c r="H72" s="1">
        <v>45716.333333333336</v>
      </c>
    </row>
    <row r="73" spans="1:8" x14ac:dyDescent="0.25">
      <c r="A73" s="7">
        <f>DATE(YEAR(m3_crossvalid[[#This Row],[cutoff]]),MONTH(m3_crossvalid[[#This Row],[cutoff]]),DAY(m3_crossvalid[[#This Row],[cutoff]]))</f>
        <v>45716</v>
      </c>
      <c r="B73" s="7">
        <f>DATE(YEAR(m3_crossvalid[[#This Row],[ds]]),MONTH(m3_crossvalid[[#This Row],[ds]]),DAY(m3_crossvalid[[#This Row],[ds]]))</f>
        <v>45726</v>
      </c>
      <c r="C73">
        <v>1900</v>
      </c>
      <c r="D73" s="1">
        <v>45726.333333333336</v>
      </c>
      <c r="E73">
        <v>1924.6676507143418</v>
      </c>
      <c r="F73">
        <v>117.29669325298559</v>
      </c>
      <c r="G73">
        <v>3728.1724077508652</v>
      </c>
      <c r="H73" s="1">
        <v>45716.333333333336</v>
      </c>
    </row>
    <row r="74" spans="1:8" x14ac:dyDescent="0.25">
      <c r="A74" s="7">
        <f>DATE(YEAR(m3_crossvalid[[#This Row],[cutoff]]),MONTH(m3_crossvalid[[#This Row],[cutoff]]),DAY(m3_crossvalid[[#This Row],[cutoff]]))</f>
        <v>45716</v>
      </c>
      <c r="B74" s="7">
        <f>DATE(YEAR(m3_crossvalid[[#This Row],[ds]]),MONTH(m3_crossvalid[[#This Row],[ds]]),DAY(m3_crossvalid[[#This Row],[ds]]))</f>
        <v>45727</v>
      </c>
      <c r="C74">
        <v>2294</v>
      </c>
      <c r="D74" s="1">
        <v>45727.333333333336</v>
      </c>
      <c r="E74">
        <v>2286.1559099195151</v>
      </c>
      <c r="F74">
        <v>622.03946672469999</v>
      </c>
      <c r="G74">
        <v>4088.2880020618841</v>
      </c>
      <c r="H74" s="1">
        <v>45716.333333333336</v>
      </c>
    </row>
    <row r="75" spans="1:8" x14ac:dyDescent="0.25">
      <c r="A75" s="7">
        <f>DATE(YEAR(m3_crossvalid[[#This Row],[cutoff]]),MONTH(m3_crossvalid[[#This Row],[cutoff]]),DAY(m3_crossvalid[[#This Row],[cutoff]]))</f>
        <v>45716</v>
      </c>
      <c r="B75" s="7">
        <f>DATE(YEAR(m3_crossvalid[[#This Row],[ds]]),MONTH(m3_crossvalid[[#This Row],[ds]]),DAY(m3_crossvalid[[#This Row],[ds]]))</f>
        <v>45728</v>
      </c>
      <c r="C75">
        <v>2576</v>
      </c>
      <c r="D75" s="1">
        <v>45728.333333333336</v>
      </c>
      <c r="E75">
        <v>2594.325961196841</v>
      </c>
      <c r="F75">
        <v>751.92537138700811</v>
      </c>
      <c r="G75">
        <v>4353.8389237867941</v>
      </c>
      <c r="H75" s="1">
        <v>45716.333333333336</v>
      </c>
    </row>
    <row r="76" spans="1:8" x14ac:dyDescent="0.25">
      <c r="A76" s="7">
        <f>DATE(YEAR(m3_crossvalid[[#This Row],[cutoff]]),MONTH(m3_crossvalid[[#This Row],[cutoff]]),DAY(m3_crossvalid[[#This Row],[cutoff]]))</f>
        <v>45716</v>
      </c>
      <c r="B76" s="7">
        <f>DATE(YEAR(m3_crossvalid[[#This Row],[ds]]),MONTH(m3_crossvalid[[#This Row],[ds]]),DAY(m3_crossvalid[[#This Row],[ds]]))</f>
        <v>45729</v>
      </c>
      <c r="C76">
        <v>2235</v>
      </c>
      <c r="D76" s="1">
        <v>45729.333333333336</v>
      </c>
      <c r="E76">
        <v>2892.4779227855424</v>
      </c>
      <c r="F76">
        <v>1169.2408981918259</v>
      </c>
      <c r="G76">
        <v>4568.4234782349758</v>
      </c>
      <c r="H76" s="1">
        <v>45716.333333333336</v>
      </c>
    </row>
    <row r="77" spans="1:8" x14ac:dyDescent="0.25">
      <c r="A77" s="7">
        <f>DATE(YEAR(m3_crossvalid[[#This Row],[cutoff]]),MONTH(m3_crossvalid[[#This Row],[cutoff]]),DAY(m3_crossvalid[[#This Row],[cutoff]]))</f>
        <v>45716</v>
      </c>
      <c r="B77" s="7">
        <f>DATE(YEAR(m3_crossvalid[[#This Row],[ds]]),MONTH(m3_crossvalid[[#This Row],[ds]]),DAY(m3_crossvalid[[#This Row],[ds]]))</f>
        <v>45730</v>
      </c>
      <c r="C77">
        <v>3818</v>
      </c>
      <c r="D77" s="1">
        <v>45730.333333333336</v>
      </c>
      <c r="E77">
        <v>2881.0198663841975</v>
      </c>
      <c r="F77">
        <v>1119.1828024384365</v>
      </c>
      <c r="G77">
        <v>4603.1715559286486</v>
      </c>
      <c r="H77" s="1">
        <v>45716.333333333336</v>
      </c>
    </row>
    <row r="78" spans="1:8" x14ac:dyDescent="0.25">
      <c r="A78" s="7">
        <f>DATE(YEAR(m3_crossvalid[[#This Row],[cutoff]]),MONTH(m3_crossvalid[[#This Row],[cutoff]]),DAY(m3_crossvalid[[#This Row],[cutoff]]))</f>
        <v>45716</v>
      </c>
      <c r="B78" s="7">
        <f>DATE(YEAR(m3_crossvalid[[#This Row],[ds]]),MONTH(m3_crossvalid[[#This Row],[ds]]),DAY(m3_crossvalid[[#This Row],[ds]]))</f>
        <v>45731</v>
      </c>
      <c r="C78">
        <v>927</v>
      </c>
      <c r="D78" s="1">
        <v>45731.333333333336</v>
      </c>
      <c r="E78">
        <v>590.62301025347006</v>
      </c>
      <c r="F78">
        <v>-1193.6566021934213</v>
      </c>
      <c r="G78">
        <v>2333.7462421683531</v>
      </c>
      <c r="H78" s="1">
        <v>45716.333333333336</v>
      </c>
    </row>
    <row r="79" spans="1:8" x14ac:dyDescent="0.25">
      <c r="A79" s="7">
        <f>DATE(YEAR(m3_crossvalid[[#This Row],[cutoff]]),MONTH(m3_crossvalid[[#This Row],[cutoff]]),DAY(m3_crossvalid[[#This Row],[cutoff]]))</f>
        <v>45716</v>
      </c>
      <c r="B79" s="7">
        <f>DATE(YEAR(m3_crossvalid[[#This Row],[ds]]),MONTH(m3_crossvalid[[#This Row],[ds]]),DAY(m3_crossvalid[[#This Row],[ds]]))</f>
        <v>45732</v>
      </c>
      <c r="C79">
        <v>263</v>
      </c>
      <c r="D79" s="1">
        <v>45732.333333333336</v>
      </c>
      <c r="E79">
        <v>-2.4460293560446189</v>
      </c>
      <c r="F79">
        <v>-1750.7466076445189</v>
      </c>
      <c r="G79">
        <v>1904.7444777868636</v>
      </c>
      <c r="H79" s="1">
        <v>45716.333333333336</v>
      </c>
    </row>
    <row r="80" spans="1:8" x14ac:dyDescent="0.25">
      <c r="A80" s="7">
        <f>DATE(YEAR(m3_crossvalid[[#This Row],[cutoff]]),MONTH(m3_crossvalid[[#This Row],[cutoff]]),DAY(m3_crossvalid[[#This Row],[cutoff]]))</f>
        <v>45716</v>
      </c>
      <c r="B80" s="7">
        <f>DATE(YEAR(m3_crossvalid[[#This Row],[ds]]),MONTH(m3_crossvalid[[#This Row],[ds]]),DAY(m3_crossvalid[[#This Row],[ds]]))</f>
        <v>45733</v>
      </c>
      <c r="C80">
        <v>4812</v>
      </c>
      <c r="D80" s="1">
        <v>45733.333333333336</v>
      </c>
      <c r="E80">
        <v>2602.0085456671268</v>
      </c>
      <c r="F80">
        <v>804.72149510664565</v>
      </c>
      <c r="G80">
        <v>4435.9178134065123</v>
      </c>
      <c r="H80" s="1">
        <v>45716.333333333336</v>
      </c>
    </row>
    <row r="81" spans="1:8" x14ac:dyDescent="0.25">
      <c r="A81" s="7">
        <f>DATE(YEAR(m3_crossvalid[[#This Row],[cutoff]]),MONTH(m3_crossvalid[[#This Row],[cutoff]]),DAY(m3_crossvalid[[#This Row],[cutoff]]))</f>
        <v>45716</v>
      </c>
      <c r="B81" s="7">
        <f>DATE(YEAR(m3_crossvalid[[#This Row],[ds]]),MONTH(m3_crossvalid[[#This Row],[ds]]),DAY(m3_crossvalid[[#This Row],[ds]]))</f>
        <v>45734</v>
      </c>
      <c r="C81">
        <v>1459</v>
      </c>
      <c r="D81" s="1">
        <v>45734.333333333336</v>
      </c>
      <c r="E81">
        <v>1656.9992313593496</v>
      </c>
      <c r="F81">
        <v>-168.93826015301246</v>
      </c>
      <c r="G81">
        <v>3463.7024021036464</v>
      </c>
      <c r="H81" s="1">
        <v>45716.333333333336</v>
      </c>
    </row>
    <row r="82" spans="1:8" x14ac:dyDescent="0.25">
      <c r="A82" s="7">
        <f>DATE(YEAR(m3_crossvalid[[#This Row],[cutoff]]),MONTH(m3_crossvalid[[#This Row],[cutoff]]),DAY(m3_crossvalid[[#This Row],[cutoff]]))</f>
        <v>45716</v>
      </c>
      <c r="B82" s="7">
        <f>DATE(YEAR(m3_crossvalid[[#This Row],[ds]]),MONTH(m3_crossvalid[[#This Row],[ds]]),DAY(m3_crossvalid[[#This Row],[ds]]))</f>
        <v>45735</v>
      </c>
      <c r="C82">
        <v>3508</v>
      </c>
      <c r="D82" s="1">
        <v>45735.333333333336</v>
      </c>
      <c r="E82">
        <v>3433.4473338732146</v>
      </c>
      <c r="F82">
        <v>1815.3874619293895</v>
      </c>
      <c r="G82">
        <v>5326.2332771698357</v>
      </c>
      <c r="H82" s="1">
        <v>45716.333333333336</v>
      </c>
    </row>
    <row r="83" spans="1:8" x14ac:dyDescent="0.25">
      <c r="A83" s="7">
        <f>DATE(YEAR(m3_crossvalid[[#This Row],[cutoff]]),MONTH(m3_crossvalid[[#This Row],[cutoff]]),DAY(m3_crossvalid[[#This Row],[cutoff]]))</f>
        <v>45716</v>
      </c>
      <c r="B83" s="7">
        <f>DATE(YEAR(m3_crossvalid[[#This Row],[ds]]),MONTH(m3_crossvalid[[#This Row],[ds]]),DAY(m3_crossvalid[[#This Row],[ds]]))</f>
        <v>45736</v>
      </c>
      <c r="C83">
        <v>3947</v>
      </c>
      <c r="D83" s="1">
        <v>45736.333333333336</v>
      </c>
      <c r="E83">
        <v>3395.2126852639403</v>
      </c>
      <c r="F83">
        <v>1740.4440624517229</v>
      </c>
      <c r="G83">
        <v>5115.1755272498485</v>
      </c>
      <c r="H83" s="1">
        <v>45716.333333333336</v>
      </c>
    </row>
    <row r="84" spans="1:8" x14ac:dyDescent="0.25">
      <c r="A84" s="7">
        <f>DATE(YEAR(m3_crossvalid[[#This Row],[cutoff]]),MONTH(m3_crossvalid[[#This Row],[cutoff]]),DAY(m3_crossvalid[[#This Row],[cutoff]]))</f>
        <v>45716</v>
      </c>
      <c r="B84" s="7">
        <f>DATE(YEAR(m3_crossvalid[[#This Row],[ds]]),MONTH(m3_crossvalid[[#This Row],[ds]]),DAY(m3_crossvalid[[#This Row],[ds]]))</f>
        <v>45737</v>
      </c>
      <c r="C84">
        <v>4280</v>
      </c>
      <c r="D84" s="1">
        <v>45737.333333333336</v>
      </c>
      <c r="E84">
        <v>3116.8593665475341</v>
      </c>
      <c r="F84">
        <v>1422.228237233805</v>
      </c>
      <c r="G84">
        <v>4871.149453256563</v>
      </c>
      <c r="H84" s="1">
        <v>45716.333333333336</v>
      </c>
    </row>
    <row r="85" spans="1:8" x14ac:dyDescent="0.25">
      <c r="A85" s="7">
        <f>DATE(YEAR(m3_crossvalid[[#This Row],[cutoff]]),MONTH(m3_crossvalid[[#This Row],[cutoff]]),DAY(m3_crossvalid[[#This Row],[cutoff]]))</f>
        <v>45716</v>
      </c>
      <c r="B85" s="7">
        <f>DATE(YEAR(m3_crossvalid[[#This Row],[ds]]),MONTH(m3_crossvalid[[#This Row],[ds]]),DAY(m3_crossvalid[[#This Row],[ds]]))</f>
        <v>45738</v>
      </c>
      <c r="C85">
        <v>1076</v>
      </c>
      <c r="D85" s="1">
        <v>45738.333333333336</v>
      </c>
      <c r="E85">
        <v>892.01166362324579</v>
      </c>
      <c r="F85">
        <v>-836.66952804190714</v>
      </c>
      <c r="G85">
        <v>2644.9013771657965</v>
      </c>
      <c r="H85" s="1">
        <v>45716.333333333336</v>
      </c>
    </row>
    <row r="86" spans="1:8" x14ac:dyDescent="0.25">
      <c r="A86" s="7">
        <f>DATE(YEAR(m3_crossvalid[[#This Row],[cutoff]]),MONTH(m3_crossvalid[[#This Row],[cutoff]]),DAY(m3_crossvalid[[#This Row],[cutoff]]))</f>
        <v>45716</v>
      </c>
      <c r="B86" s="7">
        <f>DATE(YEAR(m3_crossvalid[[#This Row],[ds]]),MONTH(m3_crossvalid[[#This Row],[ds]]),DAY(m3_crossvalid[[#This Row],[ds]]))</f>
        <v>45739</v>
      </c>
      <c r="C86">
        <v>301</v>
      </c>
      <c r="D86" s="1">
        <v>45739.333333333336</v>
      </c>
      <c r="E86">
        <v>621.64462307297936</v>
      </c>
      <c r="F86">
        <v>-1129.5461787341453</v>
      </c>
      <c r="G86">
        <v>2229.3195627435334</v>
      </c>
      <c r="H86" s="1">
        <v>45716.333333333336</v>
      </c>
    </row>
    <row r="87" spans="1:8" x14ac:dyDescent="0.25">
      <c r="A87" s="7">
        <f>DATE(YEAR(m3_crossvalid[[#This Row],[cutoff]]),MONTH(m3_crossvalid[[#This Row],[cutoff]]),DAY(m3_crossvalid[[#This Row],[cutoff]]))</f>
        <v>45716</v>
      </c>
      <c r="B87" s="7">
        <f>DATE(YEAR(m3_crossvalid[[#This Row],[ds]]),MONTH(m3_crossvalid[[#This Row],[ds]]),DAY(m3_crossvalid[[#This Row],[ds]]))</f>
        <v>45740</v>
      </c>
      <c r="C87">
        <v>4292</v>
      </c>
      <c r="D87" s="1">
        <v>45740.333333333336</v>
      </c>
      <c r="E87">
        <v>3468.4025939936896</v>
      </c>
      <c r="F87">
        <v>1670.2365363172703</v>
      </c>
      <c r="G87">
        <v>5145.4796028075198</v>
      </c>
      <c r="H87" s="1">
        <v>45716.333333333336</v>
      </c>
    </row>
    <row r="88" spans="1:8" x14ac:dyDescent="0.25">
      <c r="A88" s="7">
        <f>DATE(YEAR(m3_crossvalid[[#This Row],[cutoff]]),MONTH(m3_crossvalid[[#This Row],[cutoff]]),DAY(m3_crossvalid[[#This Row],[cutoff]]))</f>
        <v>45716</v>
      </c>
      <c r="B88" s="7">
        <f>DATE(YEAR(m3_crossvalid[[#This Row],[ds]]),MONTH(m3_crossvalid[[#This Row],[ds]]),DAY(m3_crossvalid[[#This Row],[ds]]))</f>
        <v>45741</v>
      </c>
      <c r="C88">
        <v>5571</v>
      </c>
      <c r="D88" s="1">
        <v>45741.333333333336</v>
      </c>
      <c r="E88">
        <v>3983.883386149646</v>
      </c>
      <c r="F88">
        <v>2258.2836945325162</v>
      </c>
      <c r="G88">
        <v>5743.6689776055027</v>
      </c>
      <c r="H88" s="1">
        <v>45716.333333333336</v>
      </c>
    </row>
    <row r="89" spans="1:8" x14ac:dyDescent="0.25">
      <c r="A89" s="7">
        <f>DATE(YEAR(m3_crossvalid[[#This Row],[cutoff]]),MONTH(m3_crossvalid[[#This Row],[cutoff]]),DAY(m3_crossvalid[[#This Row],[cutoff]]))</f>
        <v>45716</v>
      </c>
      <c r="B89" s="7">
        <f>DATE(YEAR(m3_crossvalid[[#This Row],[ds]]),MONTH(m3_crossvalid[[#This Row],[ds]]),DAY(m3_crossvalid[[#This Row],[ds]]))</f>
        <v>45742</v>
      </c>
      <c r="C89">
        <v>6352</v>
      </c>
      <c r="D89" s="1">
        <v>45742.333333333336</v>
      </c>
      <c r="E89">
        <v>3940.0011326681961</v>
      </c>
      <c r="F89">
        <v>2026.4683772427015</v>
      </c>
      <c r="G89">
        <v>5805.9342635120538</v>
      </c>
      <c r="H89" s="1">
        <v>45716.333333333336</v>
      </c>
    </row>
    <row r="90" spans="1:8" x14ac:dyDescent="0.25">
      <c r="A90" s="7">
        <f>DATE(YEAR(m3_crossvalid[[#This Row],[cutoff]]),MONTH(m3_crossvalid[[#This Row],[cutoff]]),DAY(m3_crossvalid[[#This Row],[cutoff]]))</f>
        <v>45716</v>
      </c>
      <c r="B90" s="7">
        <f>DATE(YEAR(m3_crossvalid[[#This Row],[ds]]),MONTH(m3_crossvalid[[#This Row],[ds]]),DAY(m3_crossvalid[[#This Row],[ds]]))</f>
        <v>45743</v>
      </c>
      <c r="C90">
        <v>8836</v>
      </c>
      <c r="D90" s="1">
        <v>45743.333333333336</v>
      </c>
      <c r="E90">
        <v>3868.9465253764993</v>
      </c>
      <c r="F90">
        <v>2116.685155793979</v>
      </c>
      <c r="G90">
        <v>5754.1070195699504</v>
      </c>
      <c r="H90" s="1">
        <v>45716.333333333336</v>
      </c>
    </row>
    <row r="91" spans="1:8" x14ac:dyDescent="0.25">
      <c r="A91" s="7">
        <f>DATE(YEAR(m3_crossvalid[[#This Row],[cutoff]]),MONTH(m3_crossvalid[[#This Row],[cutoff]]),DAY(m3_crossvalid[[#This Row],[cutoff]]))</f>
        <v>45716</v>
      </c>
      <c r="B91" s="7">
        <f>DATE(YEAR(m3_crossvalid[[#This Row],[ds]]),MONTH(m3_crossvalid[[#This Row],[ds]]),DAY(m3_crossvalid[[#This Row],[ds]]))</f>
        <v>45744</v>
      </c>
      <c r="C91">
        <v>9717</v>
      </c>
      <c r="D91" s="1">
        <v>45744.333333333336</v>
      </c>
      <c r="E91">
        <v>4149.665877631458</v>
      </c>
      <c r="F91">
        <v>2361.8288769147866</v>
      </c>
      <c r="G91">
        <v>6067.071744571831</v>
      </c>
      <c r="H91" s="1">
        <v>45716.333333333336</v>
      </c>
    </row>
    <row r="92" spans="1:8" x14ac:dyDescent="0.25">
      <c r="A92" s="7">
        <f>DATE(YEAR(m3_crossvalid[[#This Row],[cutoff]]),MONTH(m3_crossvalid[[#This Row],[cutoff]]),DAY(m3_crossvalid[[#This Row],[cutoff]]))</f>
        <v>45716</v>
      </c>
      <c r="B92" s="7">
        <f>DATE(YEAR(m3_crossvalid[[#This Row],[ds]]),MONTH(m3_crossvalid[[#This Row],[ds]]),DAY(m3_crossvalid[[#This Row],[ds]]))</f>
        <v>45745</v>
      </c>
      <c r="C92">
        <v>3249</v>
      </c>
      <c r="D92" s="1">
        <v>45745.333333333336</v>
      </c>
      <c r="E92">
        <v>2974.6117696721089</v>
      </c>
      <c r="F92">
        <v>1194.1768593629238</v>
      </c>
      <c r="G92">
        <v>4747.1292898949214</v>
      </c>
      <c r="H92" s="1">
        <v>45716.333333333336</v>
      </c>
    </row>
    <row r="93" spans="1:8" x14ac:dyDescent="0.25">
      <c r="A93" s="7">
        <f>DATE(YEAR(m3_crossvalid[[#This Row],[cutoff]]),MONTH(m3_crossvalid[[#This Row],[cutoff]]),DAY(m3_crossvalid[[#This Row],[cutoff]]))</f>
        <v>45716</v>
      </c>
      <c r="B93" s="7">
        <f>DATE(YEAR(m3_crossvalid[[#This Row],[ds]]),MONTH(m3_crossvalid[[#This Row],[ds]]),DAY(m3_crossvalid[[#This Row],[ds]]))</f>
        <v>45746</v>
      </c>
      <c r="C93">
        <v>198</v>
      </c>
      <c r="D93" s="1">
        <v>45746.333333333336</v>
      </c>
      <c r="E93">
        <v>3691.6416620884847</v>
      </c>
      <c r="F93">
        <v>1917.1926877752612</v>
      </c>
      <c r="G93">
        <v>5487.183568105178</v>
      </c>
      <c r="H93" s="1">
        <v>45716.333333333336</v>
      </c>
    </row>
    <row r="94" spans="1:8" x14ac:dyDescent="0.25">
      <c r="A94" s="7">
        <f>DATE(YEAR(m3_crossvalid[[#This Row],[cutoff]]),MONTH(m3_crossvalid[[#This Row],[cutoff]]),DAY(m3_crossvalid[[#This Row],[cutoff]]))</f>
        <v>45716</v>
      </c>
      <c r="B94" s="7">
        <f>DATE(YEAR(m3_crossvalid[[#This Row],[ds]]),MONTH(m3_crossvalid[[#This Row],[ds]]),DAY(m3_crossvalid[[#This Row],[ds]]))</f>
        <v>45747</v>
      </c>
      <c r="C94">
        <v>53</v>
      </c>
      <c r="D94" s="1">
        <v>45747.333333333336</v>
      </c>
      <c r="E94">
        <v>4841.1258307004518</v>
      </c>
      <c r="F94">
        <v>2994.2728905089907</v>
      </c>
      <c r="G94">
        <v>6623.2839355366814</v>
      </c>
      <c r="H94" s="1">
        <v>45716.333333333336</v>
      </c>
    </row>
    <row r="95" spans="1:8" x14ac:dyDescent="0.25">
      <c r="A95" s="7">
        <f>DATE(YEAR(m3_crossvalid[[#This Row],[cutoff]]),MONTH(m3_crossvalid[[#This Row],[cutoff]]),DAY(m3_crossvalid[[#This Row],[cutoff]]))</f>
        <v>45747</v>
      </c>
      <c r="B95" s="7">
        <f>DATE(YEAR(m3_crossvalid[[#This Row],[ds]]),MONTH(m3_crossvalid[[#This Row],[ds]]),DAY(m3_crossvalid[[#This Row],[ds]]))</f>
        <v>45748</v>
      </c>
      <c r="C95">
        <v>2</v>
      </c>
      <c r="D95" s="1">
        <v>45748.333333333336</v>
      </c>
      <c r="E95">
        <v>3440.8690033819089</v>
      </c>
      <c r="F95">
        <v>1646.9173801085353</v>
      </c>
      <c r="G95">
        <v>5321.5268637314239</v>
      </c>
      <c r="H95" s="1">
        <v>45747.333333333336</v>
      </c>
    </row>
    <row r="96" spans="1:8" x14ac:dyDescent="0.25">
      <c r="A96" s="7">
        <f>DATE(YEAR(m3_crossvalid[[#This Row],[cutoff]]),MONTH(m3_crossvalid[[#This Row],[cutoff]]),DAY(m3_crossvalid[[#This Row],[cutoff]]))</f>
        <v>45747</v>
      </c>
      <c r="B96" s="7">
        <f>DATE(YEAR(m3_crossvalid[[#This Row],[ds]]),MONTH(m3_crossvalid[[#This Row],[ds]]),DAY(m3_crossvalid[[#This Row],[ds]]))</f>
        <v>45749</v>
      </c>
      <c r="C96">
        <v>105</v>
      </c>
      <c r="D96" s="1">
        <v>45749.333333333336</v>
      </c>
      <c r="E96">
        <v>4408.8377383100878</v>
      </c>
      <c r="F96">
        <v>2656.7080062914079</v>
      </c>
      <c r="G96">
        <v>6152.1246628482586</v>
      </c>
      <c r="H96" s="1">
        <v>45747.333333333336</v>
      </c>
    </row>
    <row r="97" spans="1:8" x14ac:dyDescent="0.25">
      <c r="A97" s="7">
        <f>DATE(YEAR(m3_crossvalid[[#This Row],[cutoff]]),MONTH(m3_crossvalid[[#This Row],[cutoff]]),DAY(m3_crossvalid[[#This Row],[cutoff]]))</f>
        <v>45747</v>
      </c>
      <c r="B97" s="7">
        <f>DATE(YEAR(m3_crossvalid[[#This Row],[ds]]),MONTH(m3_crossvalid[[#This Row],[ds]]),DAY(m3_crossvalid[[#This Row],[ds]]))</f>
        <v>45750</v>
      </c>
      <c r="C97">
        <v>284</v>
      </c>
      <c r="D97" s="1">
        <v>45750.333333333336</v>
      </c>
      <c r="E97">
        <v>2041.764055234775</v>
      </c>
      <c r="F97">
        <v>60.902847885931145</v>
      </c>
      <c r="G97">
        <v>3800.6978715490573</v>
      </c>
      <c r="H97" s="1">
        <v>45747.333333333336</v>
      </c>
    </row>
    <row r="98" spans="1:8" x14ac:dyDescent="0.25">
      <c r="A98" s="7">
        <f>DATE(YEAR(m3_crossvalid[[#This Row],[cutoff]]),MONTH(m3_crossvalid[[#This Row],[cutoff]]),DAY(m3_crossvalid[[#This Row],[cutoff]]))</f>
        <v>45747</v>
      </c>
      <c r="B98" s="7">
        <f>DATE(YEAR(m3_crossvalid[[#This Row],[ds]]),MONTH(m3_crossvalid[[#This Row],[ds]]),DAY(m3_crossvalid[[#This Row],[ds]]))</f>
        <v>45751</v>
      </c>
      <c r="C98">
        <v>403</v>
      </c>
      <c r="D98" s="1">
        <v>45751.333333333336</v>
      </c>
      <c r="E98">
        <v>1084.7975010515393</v>
      </c>
      <c r="F98">
        <v>-725.11243514392493</v>
      </c>
      <c r="G98">
        <v>2765.8479346882878</v>
      </c>
      <c r="H98" s="1">
        <v>45747.333333333336</v>
      </c>
    </row>
    <row r="99" spans="1:8" x14ac:dyDescent="0.25">
      <c r="A99" s="7">
        <f>DATE(YEAR(m3_crossvalid[[#This Row],[cutoff]]),MONTH(m3_crossvalid[[#This Row],[cutoff]]),DAY(m3_crossvalid[[#This Row],[cutoff]]))</f>
        <v>45747</v>
      </c>
      <c r="B99" s="7">
        <f>DATE(YEAR(m3_crossvalid[[#This Row],[ds]]),MONTH(m3_crossvalid[[#This Row],[ds]]),DAY(m3_crossvalid[[#This Row],[ds]]))</f>
        <v>45752</v>
      </c>
      <c r="C99">
        <v>47</v>
      </c>
      <c r="D99" s="1">
        <v>45752.333333333336</v>
      </c>
      <c r="E99">
        <v>-1157.8640702380812</v>
      </c>
      <c r="F99">
        <v>-3023.0993741496859</v>
      </c>
      <c r="G99">
        <v>742.14559549085243</v>
      </c>
      <c r="H99" s="1">
        <v>45747.333333333336</v>
      </c>
    </row>
    <row r="100" spans="1:8" x14ac:dyDescent="0.25">
      <c r="A100" s="7">
        <f>DATE(YEAR(m3_crossvalid[[#This Row],[cutoff]]),MONTH(m3_crossvalid[[#This Row],[cutoff]]),DAY(m3_crossvalid[[#This Row],[cutoff]]))</f>
        <v>45747</v>
      </c>
      <c r="B100" s="7">
        <f>DATE(YEAR(m3_crossvalid[[#This Row],[ds]]),MONTH(m3_crossvalid[[#This Row],[ds]]),DAY(m3_crossvalid[[#This Row],[ds]]))</f>
        <v>45753</v>
      </c>
      <c r="C100">
        <v>11</v>
      </c>
      <c r="D100" s="1">
        <v>45753.333333333336</v>
      </c>
      <c r="E100">
        <v>-1260.9515306370427</v>
      </c>
      <c r="F100">
        <v>-3060.2888061410627</v>
      </c>
      <c r="G100">
        <v>476.36108231312625</v>
      </c>
      <c r="H100" s="1">
        <v>45747.333333333336</v>
      </c>
    </row>
    <row r="101" spans="1:8" x14ac:dyDescent="0.25">
      <c r="A101" s="7">
        <f>DATE(YEAR(m3_crossvalid[[#This Row],[cutoff]]),MONTH(m3_crossvalid[[#This Row],[cutoff]]),DAY(m3_crossvalid[[#This Row],[cutoff]]))</f>
        <v>45747</v>
      </c>
      <c r="B101" s="7">
        <f>DATE(YEAR(m3_crossvalid[[#This Row],[ds]]),MONTH(m3_crossvalid[[#This Row],[ds]]),DAY(m3_crossvalid[[#This Row],[ds]]))</f>
        <v>45754</v>
      </c>
      <c r="C101">
        <v>477</v>
      </c>
      <c r="D101" s="1">
        <v>45754.333333333336</v>
      </c>
      <c r="E101">
        <v>304.57612538225567</v>
      </c>
      <c r="F101">
        <v>-1572.9162354077484</v>
      </c>
      <c r="G101">
        <v>2072.7997243192058</v>
      </c>
      <c r="H101" s="1">
        <v>45747.333333333336</v>
      </c>
    </row>
    <row r="102" spans="1:8" x14ac:dyDescent="0.25">
      <c r="A102" s="7">
        <f>DATE(YEAR(m3_crossvalid[[#This Row],[cutoff]]),MONTH(m3_crossvalid[[#This Row],[cutoff]]),DAY(m3_crossvalid[[#This Row],[cutoff]]))</f>
        <v>45747</v>
      </c>
      <c r="B102" s="7">
        <f>DATE(YEAR(m3_crossvalid[[#This Row],[ds]]),MONTH(m3_crossvalid[[#This Row],[ds]]),DAY(m3_crossvalid[[#This Row],[ds]]))</f>
        <v>45755</v>
      </c>
      <c r="C102">
        <v>775</v>
      </c>
      <c r="D102" s="1">
        <v>45755.333333333336</v>
      </c>
      <c r="E102">
        <v>889.79819579009086</v>
      </c>
      <c r="F102">
        <v>-812.48431757274921</v>
      </c>
      <c r="G102">
        <v>2648.3023396540975</v>
      </c>
      <c r="H102" s="1">
        <v>45747.333333333336</v>
      </c>
    </row>
    <row r="103" spans="1:8" x14ac:dyDescent="0.25">
      <c r="A103" s="7">
        <f>DATE(YEAR(m3_crossvalid[[#This Row],[cutoff]]),MONTH(m3_crossvalid[[#This Row],[cutoff]]),DAY(m3_crossvalid[[#This Row],[cutoff]]))</f>
        <v>45747</v>
      </c>
      <c r="B103" s="7">
        <f>DATE(YEAR(m3_crossvalid[[#This Row],[ds]]),MONTH(m3_crossvalid[[#This Row],[ds]]),DAY(m3_crossvalid[[#This Row],[ds]]))</f>
        <v>45756</v>
      </c>
      <c r="C103">
        <v>1016</v>
      </c>
      <c r="D103" s="1">
        <v>45756.333333333336</v>
      </c>
      <c r="E103">
        <v>2185.0259087619456</v>
      </c>
      <c r="F103">
        <v>430.34124330369332</v>
      </c>
      <c r="G103">
        <v>3901.238431650891</v>
      </c>
      <c r="H103" s="1">
        <v>45747.333333333336</v>
      </c>
    </row>
    <row r="104" spans="1:8" x14ac:dyDescent="0.25">
      <c r="A104" s="7">
        <f>DATE(YEAR(m3_crossvalid[[#This Row],[cutoff]]),MONTH(m3_crossvalid[[#This Row],[cutoff]]),DAY(m3_crossvalid[[#This Row],[cutoff]]))</f>
        <v>45747</v>
      </c>
      <c r="B104" s="7">
        <f>DATE(YEAR(m3_crossvalid[[#This Row],[ds]]),MONTH(m3_crossvalid[[#This Row],[ds]]),DAY(m3_crossvalid[[#This Row],[ds]]))</f>
        <v>45757</v>
      </c>
      <c r="C104">
        <v>1422</v>
      </c>
      <c r="D104" s="1">
        <v>45757.333333333336</v>
      </c>
      <c r="E104">
        <v>2112.2013848061656</v>
      </c>
      <c r="F104">
        <v>451.91450064813256</v>
      </c>
      <c r="G104">
        <v>3957.65032442249</v>
      </c>
      <c r="H104" s="1">
        <v>45747.333333333336</v>
      </c>
    </row>
    <row r="105" spans="1:8" x14ac:dyDescent="0.25">
      <c r="A105" s="7">
        <f>DATE(YEAR(m3_crossvalid[[#This Row],[cutoff]]),MONTH(m3_crossvalid[[#This Row],[cutoff]]),DAY(m3_crossvalid[[#This Row],[cutoff]]))</f>
        <v>45747</v>
      </c>
      <c r="B105" s="7">
        <f>DATE(YEAR(m3_crossvalid[[#This Row],[ds]]),MONTH(m3_crossvalid[[#This Row],[ds]]),DAY(m3_crossvalid[[#This Row],[ds]]))</f>
        <v>45758</v>
      </c>
      <c r="C105">
        <v>1565</v>
      </c>
      <c r="D105" s="1">
        <v>45758.333333333336</v>
      </c>
      <c r="E105">
        <v>2179.8349666040617</v>
      </c>
      <c r="F105">
        <v>410.35992221956781</v>
      </c>
      <c r="G105">
        <v>3971.3819597783395</v>
      </c>
      <c r="H105" s="1">
        <v>45747.333333333336</v>
      </c>
    </row>
    <row r="106" spans="1:8" x14ac:dyDescent="0.25">
      <c r="A106" s="7">
        <f>DATE(YEAR(m3_crossvalid[[#This Row],[cutoff]]),MONTH(m3_crossvalid[[#This Row],[cutoff]]),DAY(m3_crossvalid[[#This Row],[cutoff]]))</f>
        <v>45747</v>
      </c>
      <c r="B106" s="7">
        <f>DATE(YEAR(m3_crossvalid[[#This Row],[ds]]),MONTH(m3_crossvalid[[#This Row],[ds]]),DAY(m3_crossvalid[[#This Row],[ds]]))</f>
        <v>45759</v>
      </c>
      <c r="C106">
        <v>276</v>
      </c>
      <c r="D106" s="1">
        <v>45759.333333333336</v>
      </c>
      <c r="E106">
        <v>244.23547553482194</v>
      </c>
      <c r="F106">
        <v>-1508.9655833067006</v>
      </c>
      <c r="G106">
        <v>2004.9343040360272</v>
      </c>
      <c r="H106" s="1">
        <v>45747.333333333336</v>
      </c>
    </row>
    <row r="107" spans="1:8" x14ac:dyDescent="0.25">
      <c r="A107" s="7">
        <f>DATE(YEAR(m3_crossvalid[[#This Row],[cutoff]]),MONTH(m3_crossvalid[[#This Row],[cutoff]]),DAY(m3_crossvalid[[#This Row],[cutoff]]))</f>
        <v>45747</v>
      </c>
      <c r="B107" s="7">
        <f>DATE(YEAR(m3_crossvalid[[#This Row],[ds]]),MONTH(m3_crossvalid[[#This Row],[ds]]),DAY(m3_crossvalid[[#This Row],[ds]]))</f>
        <v>45760</v>
      </c>
      <c r="C107">
        <v>55</v>
      </c>
      <c r="D107" s="1">
        <v>45760.333333333336</v>
      </c>
      <c r="E107">
        <v>-37.374690282192205</v>
      </c>
      <c r="F107">
        <v>-1835.5104483346722</v>
      </c>
      <c r="G107">
        <v>1813.3678461295881</v>
      </c>
      <c r="H107" s="1">
        <v>45747.333333333336</v>
      </c>
    </row>
    <row r="108" spans="1:8" x14ac:dyDescent="0.25">
      <c r="A108" s="7">
        <f>DATE(YEAR(m3_crossvalid[[#This Row],[cutoff]]),MONTH(m3_crossvalid[[#This Row],[cutoff]]),DAY(m3_crossvalid[[#This Row],[cutoff]]))</f>
        <v>45747</v>
      </c>
      <c r="B108" s="7">
        <f>DATE(YEAR(m3_crossvalid[[#This Row],[ds]]),MONTH(m3_crossvalid[[#This Row],[ds]]),DAY(m3_crossvalid[[#This Row],[ds]]))</f>
        <v>45761</v>
      </c>
      <c r="C108">
        <v>1634</v>
      </c>
      <c r="D108" s="1">
        <v>45761.333333333336</v>
      </c>
      <c r="E108">
        <v>2479.8549734202361</v>
      </c>
      <c r="F108">
        <v>639.01126239027928</v>
      </c>
      <c r="G108">
        <v>4289.6215648848611</v>
      </c>
      <c r="H108" s="1">
        <v>45747.333333333336</v>
      </c>
    </row>
    <row r="109" spans="1:8" x14ac:dyDescent="0.25">
      <c r="A109" s="7">
        <f>DATE(YEAR(m3_crossvalid[[#This Row],[cutoff]]),MONTH(m3_crossvalid[[#This Row],[cutoff]]),DAY(m3_crossvalid[[#This Row],[cutoff]]))</f>
        <v>45747</v>
      </c>
      <c r="B109" s="7">
        <f>DATE(YEAR(m3_crossvalid[[#This Row],[ds]]),MONTH(m3_crossvalid[[#This Row],[ds]]),DAY(m3_crossvalid[[#This Row],[ds]]))</f>
        <v>45762</v>
      </c>
      <c r="C109">
        <v>1965</v>
      </c>
      <c r="D109" s="1">
        <v>45762.333333333336</v>
      </c>
      <c r="E109">
        <v>2689.1598359441637</v>
      </c>
      <c r="F109">
        <v>891.43290112735485</v>
      </c>
      <c r="G109">
        <v>4552.3495206554962</v>
      </c>
      <c r="H109" s="1">
        <v>45747.333333333336</v>
      </c>
    </row>
    <row r="110" spans="1:8" x14ac:dyDescent="0.25">
      <c r="A110" s="7">
        <f>DATE(YEAR(m3_crossvalid[[#This Row],[cutoff]]),MONTH(m3_crossvalid[[#This Row],[cutoff]]),DAY(m3_crossvalid[[#This Row],[cutoff]]))</f>
        <v>45747</v>
      </c>
      <c r="B110" s="7">
        <f>DATE(YEAR(m3_crossvalid[[#This Row],[ds]]),MONTH(m3_crossvalid[[#This Row],[ds]]),DAY(m3_crossvalid[[#This Row],[ds]]))</f>
        <v>45763</v>
      </c>
      <c r="C110">
        <v>2361</v>
      </c>
      <c r="D110" s="1">
        <v>45763.333333333336</v>
      </c>
      <c r="E110">
        <v>2740.5117794639341</v>
      </c>
      <c r="F110">
        <v>993.78950666702997</v>
      </c>
      <c r="G110">
        <v>4567.0358390318588</v>
      </c>
      <c r="H110" s="1">
        <v>45747.333333333336</v>
      </c>
    </row>
    <row r="111" spans="1:8" x14ac:dyDescent="0.25">
      <c r="A111" s="7">
        <f>DATE(YEAR(m3_crossvalid[[#This Row],[cutoff]]),MONTH(m3_crossvalid[[#This Row],[cutoff]]),DAY(m3_crossvalid[[#This Row],[cutoff]]))</f>
        <v>45747</v>
      </c>
      <c r="B111" s="7">
        <f>DATE(YEAR(m3_crossvalid[[#This Row],[ds]]),MONTH(m3_crossvalid[[#This Row],[ds]]),DAY(m3_crossvalid[[#This Row],[ds]]))</f>
        <v>45764</v>
      </c>
      <c r="C111">
        <v>2761</v>
      </c>
      <c r="D111" s="1">
        <v>45764.333333333336</v>
      </c>
      <c r="E111">
        <v>2974.6263371404957</v>
      </c>
      <c r="F111">
        <v>1090.4974775410328</v>
      </c>
      <c r="G111">
        <v>4776.7654492742122</v>
      </c>
      <c r="H111" s="1">
        <v>45747.333333333336</v>
      </c>
    </row>
    <row r="112" spans="1:8" x14ac:dyDescent="0.25">
      <c r="A112" s="7">
        <f>DATE(YEAR(m3_crossvalid[[#This Row],[cutoff]]),MONTH(m3_crossvalid[[#This Row],[cutoff]]),DAY(m3_crossvalid[[#This Row],[cutoff]]))</f>
        <v>45747</v>
      </c>
      <c r="B112" s="7">
        <f>DATE(YEAR(m3_crossvalid[[#This Row],[ds]]),MONTH(m3_crossvalid[[#This Row],[ds]]),DAY(m3_crossvalid[[#This Row],[ds]]))</f>
        <v>45765</v>
      </c>
      <c r="C112">
        <v>2721</v>
      </c>
      <c r="D112" s="1">
        <v>45765.333333333336</v>
      </c>
      <c r="E112">
        <v>3165.5201371843164</v>
      </c>
      <c r="F112">
        <v>1301.0009157599341</v>
      </c>
      <c r="G112">
        <v>5004.2635005647981</v>
      </c>
      <c r="H112" s="1">
        <v>45747.333333333336</v>
      </c>
    </row>
    <row r="113" spans="1:8" x14ac:dyDescent="0.25">
      <c r="A113" s="7">
        <f>DATE(YEAR(m3_crossvalid[[#This Row],[cutoff]]),MONTH(m3_crossvalid[[#This Row],[cutoff]]),DAY(m3_crossvalid[[#This Row],[cutoff]]))</f>
        <v>45747</v>
      </c>
      <c r="B113" s="7">
        <f>DATE(YEAR(m3_crossvalid[[#This Row],[ds]]),MONTH(m3_crossvalid[[#This Row],[ds]]),DAY(m3_crossvalid[[#This Row],[ds]]))</f>
        <v>45766</v>
      </c>
      <c r="C113">
        <v>420</v>
      </c>
      <c r="D113" s="1">
        <v>45766.333333333336</v>
      </c>
      <c r="E113">
        <v>1021.1171020700451</v>
      </c>
      <c r="F113">
        <v>-915.16454611042752</v>
      </c>
      <c r="G113">
        <v>2831.6415349548261</v>
      </c>
      <c r="H113" s="1">
        <v>45747.333333333336</v>
      </c>
    </row>
    <row r="114" spans="1:8" x14ac:dyDescent="0.25">
      <c r="A114" s="7">
        <f>DATE(YEAR(m3_crossvalid[[#This Row],[cutoff]]),MONTH(m3_crossvalid[[#This Row],[cutoff]]),DAY(m3_crossvalid[[#This Row],[cutoff]]))</f>
        <v>45747</v>
      </c>
      <c r="B114" s="7">
        <f>DATE(YEAR(m3_crossvalid[[#This Row],[ds]]),MONTH(m3_crossvalid[[#This Row],[ds]]),DAY(m3_crossvalid[[#This Row],[ds]]))</f>
        <v>45767</v>
      </c>
      <c r="C114">
        <v>166</v>
      </c>
      <c r="D114" s="1">
        <v>45767.333333333336</v>
      </c>
      <c r="E114">
        <v>400.33178511824508</v>
      </c>
      <c r="F114">
        <v>-1382.9291147099736</v>
      </c>
      <c r="G114">
        <v>2167.3097547243142</v>
      </c>
      <c r="H114" s="1">
        <v>45747.333333333336</v>
      </c>
    </row>
    <row r="115" spans="1:8" x14ac:dyDescent="0.25">
      <c r="A115" s="7">
        <f>DATE(YEAR(m3_crossvalid[[#This Row],[cutoff]]),MONTH(m3_crossvalid[[#This Row],[cutoff]]),DAY(m3_crossvalid[[#This Row],[cutoff]]))</f>
        <v>45747</v>
      </c>
      <c r="B115" s="7">
        <f>DATE(YEAR(m3_crossvalid[[#This Row],[ds]]),MONTH(m3_crossvalid[[#This Row],[ds]]),DAY(m3_crossvalid[[#This Row],[ds]]))</f>
        <v>45768</v>
      </c>
      <c r="C115">
        <v>2715</v>
      </c>
      <c r="D115" s="1">
        <v>45768.333333333336</v>
      </c>
      <c r="E115">
        <v>2783.0038249530548</v>
      </c>
      <c r="F115">
        <v>983.57760331773079</v>
      </c>
      <c r="G115">
        <v>4458.963326526281</v>
      </c>
      <c r="H115" s="1">
        <v>45747.333333333336</v>
      </c>
    </row>
    <row r="116" spans="1:8" x14ac:dyDescent="0.25">
      <c r="A116" s="7">
        <f>DATE(YEAR(m3_crossvalid[[#This Row],[cutoff]]),MONTH(m3_crossvalid[[#This Row],[cutoff]]),DAY(m3_crossvalid[[#This Row],[cutoff]]))</f>
        <v>45747</v>
      </c>
      <c r="B116" s="7">
        <f>DATE(YEAR(m3_crossvalid[[#This Row],[ds]]),MONTH(m3_crossvalid[[#This Row],[ds]]),DAY(m3_crossvalid[[#This Row],[ds]]))</f>
        <v>45769</v>
      </c>
      <c r="C116">
        <v>3162</v>
      </c>
      <c r="D116" s="1">
        <v>45769.333333333336</v>
      </c>
      <c r="E116">
        <v>3187.9344446697569</v>
      </c>
      <c r="F116">
        <v>1335.406566143751</v>
      </c>
      <c r="G116">
        <v>4875.566383479576</v>
      </c>
      <c r="H116" s="1">
        <v>45747.333333333336</v>
      </c>
    </row>
    <row r="117" spans="1:8" x14ac:dyDescent="0.25">
      <c r="A117" s="7">
        <f>DATE(YEAR(m3_crossvalid[[#This Row],[cutoff]]),MONTH(m3_crossvalid[[#This Row],[cutoff]]),DAY(m3_crossvalid[[#This Row],[cutoff]]))</f>
        <v>45747</v>
      </c>
      <c r="B117" s="7">
        <f>DATE(YEAR(m3_crossvalid[[#This Row],[ds]]),MONTH(m3_crossvalid[[#This Row],[ds]]),DAY(m3_crossvalid[[#This Row],[ds]]))</f>
        <v>45770</v>
      </c>
      <c r="C117">
        <v>3604</v>
      </c>
      <c r="D117" s="1">
        <v>45770.333333333336</v>
      </c>
      <c r="E117">
        <v>3555.9611643119833</v>
      </c>
      <c r="F117">
        <v>1748.589014243265</v>
      </c>
      <c r="G117">
        <v>5240.6273014153821</v>
      </c>
      <c r="H117" s="1">
        <v>45747.333333333336</v>
      </c>
    </row>
    <row r="118" spans="1:8" x14ac:dyDescent="0.25">
      <c r="A118" s="7">
        <f>DATE(YEAR(m3_crossvalid[[#This Row],[cutoff]]),MONTH(m3_crossvalid[[#This Row],[cutoff]]),DAY(m3_crossvalid[[#This Row],[cutoff]]))</f>
        <v>45747</v>
      </c>
      <c r="B118" s="7">
        <f>DATE(YEAR(m3_crossvalid[[#This Row],[ds]]),MONTH(m3_crossvalid[[#This Row],[ds]]),DAY(m3_crossvalid[[#This Row],[ds]]))</f>
        <v>45771</v>
      </c>
      <c r="C118">
        <v>3831</v>
      </c>
      <c r="D118" s="1">
        <v>45771.333333333336</v>
      </c>
      <c r="E118">
        <v>3903.48369453334</v>
      </c>
      <c r="F118">
        <v>2135.2144643466131</v>
      </c>
      <c r="G118">
        <v>5618.1958192422926</v>
      </c>
      <c r="H118" s="1">
        <v>45747.333333333336</v>
      </c>
    </row>
    <row r="119" spans="1:8" x14ac:dyDescent="0.25">
      <c r="A119" s="7">
        <f>DATE(YEAR(m3_crossvalid[[#This Row],[cutoff]]),MONTH(m3_crossvalid[[#This Row],[cutoff]]),DAY(m3_crossvalid[[#This Row],[cutoff]]))</f>
        <v>45747</v>
      </c>
      <c r="B119" s="7">
        <f>DATE(YEAR(m3_crossvalid[[#This Row],[ds]]),MONTH(m3_crossvalid[[#This Row],[ds]]),DAY(m3_crossvalid[[#This Row],[ds]]))</f>
        <v>45772</v>
      </c>
      <c r="C119">
        <v>4600</v>
      </c>
      <c r="D119" s="1">
        <v>45772.333333333336</v>
      </c>
      <c r="E119">
        <v>3916.3721024204124</v>
      </c>
      <c r="F119">
        <v>2240.8215488497635</v>
      </c>
      <c r="G119">
        <v>5799.2814042363543</v>
      </c>
      <c r="H119" s="1">
        <v>45747.333333333336</v>
      </c>
    </row>
    <row r="120" spans="1:8" x14ac:dyDescent="0.25">
      <c r="A120" s="7">
        <f>DATE(YEAR(m3_crossvalid[[#This Row],[cutoff]]),MONTH(m3_crossvalid[[#This Row],[cutoff]]),DAY(m3_crossvalid[[#This Row],[cutoff]]))</f>
        <v>45747</v>
      </c>
      <c r="B120" s="7">
        <f>DATE(YEAR(m3_crossvalid[[#This Row],[ds]]),MONTH(m3_crossvalid[[#This Row],[ds]]),DAY(m3_crossvalid[[#This Row],[ds]]))</f>
        <v>45773</v>
      </c>
      <c r="C120">
        <v>1014</v>
      </c>
      <c r="D120" s="1">
        <v>45773.333333333336</v>
      </c>
      <c r="E120">
        <v>1583.9529872756818</v>
      </c>
      <c r="F120">
        <v>-141.891448945863</v>
      </c>
      <c r="G120">
        <v>3309.3390434147141</v>
      </c>
      <c r="H120" s="1">
        <v>45747.333333333336</v>
      </c>
    </row>
    <row r="121" spans="1:8" x14ac:dyDescent="0.25">
      <c r="A121" s="7">
        <f>DATE(YEAR(m3_crossvalid[[#This Row],[cutoff]]),MONTH(m3_crossvalid[[#This Row],[cutoff]]),DAY(m3_crossvalid[[#This Row],[cutoff]]))</f>
        <v>45747</v>
      </c>
      <c r="B121" s="7">
        <f>DATE(YEAR(m3_crossvalid[[#This Row],[ds]]),MONTH(m3_crossvalid[[#This Row],[ds]]),DAY(m3_crossvalid[[#This Row],[ds]]))</f>
        <v>45774</v>
      </c>
      <c r="C121">
        <v>198</v>
      </c>
      <c r="D121" s="1">
        <v>45774.333333333336</v>
      </c>
      <c r="E121">
        <v>1181.5936832468042</v>
      </c>
      <c r="F121">
        <v>-546.69477288780661</v>
      </c>
      <c r="G121">
        <v>3104.2316314847621</v>
      </c>
      <c r="H121" s="1">
        <v>45747.333333333336</v>
      </c>
    </row>
    <row r="122" spans="1:8" x14ac:dyDescent="0.25">
      <c r="A122" s="7">
        <f>DATE(YEAR(m3_crossvalid[[#This Row],[cutoff]]),MONTH(m3_crossvalid[[#This Row],[cutoff]]),DAY(m3_crossvalid[[#This Row],[cutoff]]))</f>
        <v>45747</v>
      </c>
      <c r="B122" s="7">
        <f>DATE(YEAR(m3_crossvalid[[#This Row],[ds]]),MONTH(m3_crossvalid[[#This Row],[ds]]),DAY(m3_crossvalid[[#This Row],[ds]]))</f>
        <v>45775</v>
      </c>
      <c r="C122">
        <v>5133</v>
      </c>
      <c r="D122" s="1">
        <v>45775.333333333336</v>
      </c>
      <c r="E122">
        <v>4336.7658624707638</v>
      </c>
      <c r="F122">
        <v>2609.2665222565101</v>
      </c>
      <c r="G122">
        <v>6164.0333748959847</v>
      </c>
      <c r="H122" s="1">
        <v>45747.333333333336</v>
      </c>
    </row>
    <row r="123" spans="1:8" x14ac:dyDescent="0.25">
      <c r="A123" s="7">
        <f>DATE(YEAR(m3_crossvalid[[#This Row],[cutoff]]),MONTH(m3_crossvalid[[#This Row],[cutoff]]),DAY(m3_crossvalid[[#This Row],[cutoff]]))</f>
        <v>45747</v>
      </c>
      <c r="B123" s="7">
        <f>DATE(YEAR(m3_crossvalid[[#This Row],[ds]]),MONTH(m3_crossvalid[[#This Row],[ds]]),DAY(m3_crossvalid[[#This Row],[ds]]))</f>
        <v>45776</v>
      </c>
      <c r="C123">
        <v>7913</v>
      </c>
      <c r="D123" s="1">
        <v>45776.333333333336</v>
      </c>
      <c r="E123">
        <v>5739.8076596342762</v>
      </c>
      <c r="F123">
        <v>3899.6147949919291</v>
      </c>
      <c r="G123">
        <v>7611.3789088881904</v>
      </c>
      <c r="H123" s="1">
        <v>45747.333333333336</v>
      </c>
    </row>
    <row r="124" spans="1:8" x14ac:dyDescent="0.25">
      <c r="A124" s="7">
        <f>DATE(YEAR(m3_crossvalid[[#This Row],[cutoff]]),MONTH(m3_crossvalid[[#This Row],[cutoff]]),DAY(m3_crossvalid[[#This Row],[cutoff]]))</f>
        <v>45747</v>
      </c>
      <c r="B124" s="7">
        <f>DATE(YEAR(m3_crossvalid[[#This Row],[ds]]),MONTH(m3_crossvalid[[#This Row],[ds]]),DAY(m3_crossvalid[[#This Row],[ds]]))</f>
        <v>45777</v>
      </c>
      <c r="C124">
        <v>14564</v>
      </c>
      <c r="D124" s="1">
        <v>45777.333333333336</v>
      </c>
      <c r="E124">
        <v>6711.5404163830553</v>
      </c>
      <c r="F124">
        <v>4884.4928403013118</v>
      </c>
      <c r="G124">
        <v>8588.318276328193</v>
      </c>
      <c r="H124" s="1">
        <v>45747.333333333336</v>
      </c>
    </row>
    <row r="125" spans="1:8" x14ac:dyDescent="0.25">
      <c r="A125" s="7">
        <f>DATE(YEAR(m3_crossvalid[[#This Row],[cutoff]]),MONTH(m3_crossvalid[[#This Row],[cutoff]]),DAY(m3_crossvalid[[#This Row],[cutoff]]))</f>
        <v>45747</v>
      </c>
      <c r="B125" s="7">
        <f>DATE(YEAR(m3_crossvalid[[#This Row],[ds]]),MONTH(m3_crossvalid[[#This Row],[ds]]),DAY(m3_crossvalid[[#This Row],[ds]]))</f>
        <v>45778</v>
      </c>
      <c r="C125">
        <v>24</v>
      </c>
      <c r="D125" s="1">
        <v>45778.333333333336</v>
      </c>
      <c r="E125">
        <v>5222.9083859284983</v>
      </c>
      <c r="F125">
        <v>3482.6530403547576</v>
      </c>
      <c r="G125">
        <v>7144.1104464725504</v>
      </c>
      <c r="H125" s="1">
        <v>45747.333333333336</v>
      </c>
    </row>
    <row r="126" spans="1:8" x14ac:dyDescent="0.25">
      <c r="A126" s="7">
        <f>DATE(YEAR(m3_crossvalid[[#This Row],[cutoff]]),MONTH(m3_crossvalid[[#This Row],[cutoff]]),DAY(m3_crossvalid[[#This Row],[cutoff]]))</f>
        <v>45777</v>
      </c>
      <c r="B126" s="7">
        <f>DATE(YEAR(m3_crossvalid[[#This Row],[ds]]),MONTH(m3_crossvalid[[#This Row],[ds]]),DAY(m3_crossvalid[[#This Row],[ds]]))</f>
        <v>45778</v>
      </c>
      <c r="C126">
        <v>24</v>
      </c>
      <c r="D126" s="1">
        <v>45778.333333333336</v>
      </c>
      <c r="E126">
        <v>5492.5670551786561</v>
      </c>
      <c r="F126">
        <v>3812.534327666574</v>
      </c>
      <c r="G126">
        <v>7303.773125620979</v>
      </c>
      <c r="H126" s="1">
        <v>45777.333333333336</v>
      </c>
    </row>
    <row r="127" spans="1:8" x14ac:dyDescent="0.25">
      <c r="A127" s="7">
        <f>DATE(YEAR(m3_crossvalid[[#This Row],[cutoff]]),MONTH(m3_crossvalid[[#This Row],[cutoff]]),DAY(m3_crossvalid[[#This Row],[cutoff]]))</f>
        <v>45777</v>
      </c>
      <c r="B127" s="7">
        <f>DATE(YEAR(m3_crossvalid[[#This Row],[ds]]),MONTH(m3_crossvalid[[#This Row],[ds]]),DAY(m3_crossvalid[[#This Row],[ds]]))</f>
        <v>45779</v>
      </c>
      <c r="C127">
        <v>750</v>
      </c>
      <c r="D127" s="1">
        <v>45779.333333333336</v>
      </c>
      <c r="E127">
        <v>5775.3342332487391</v>
      </c>
      <c r="F127">
        <v>3947.058710114703</v>
      </c>
      <c r="G127">
        <v>7629.2274851408529</v>
      </c>
      <c r="H127" s="1">
        <v>45777.333333333336</v>
      </c>
    </row>
    <row r="128" spans="1:8" x14ac:dyDescent="0.25">
      <c r="A128" s="7">
        <f>DATE(YEAR(m3_crossvalid[[#This Row],[cutoff]]),MONTH(m3_crossvalid[[#This Row],[cutoff]]),DAY(m3_crossvalid[[#This Row],[cutoff]]))</f>
        <v>45777</v>
      </c>
      <c r="B128" s="7">
        <f>DATE(YEAR(m3_crossvalid[[#This Row],[ds]]),MONTH(m3_crossvalid[[#This Row],[ds]]),DAY(m3_crossvalid[[#This Row],[ds]]))</f>
        <v>45780</v>
      </c>
      <c r="C128">
        <v>70</v>
      </c>
      <c r="D128" s="1">
        <v>45780.333333333336</v>
      </c>
      <c r="E128">
        <v>1641.2276048670019</v>
      </c>
      <c r="F128">
        <v>-57.944384398560551</v>
      </c>
      <c r="G128">
        <v>3583.2772639768959</v>
      </c>
      <c r="H128" s="1">
        <v>45777.333333333336</v>
      </c>
    </row>
    <row r="129" spans="1:8" x14ac:dyDescent="0.25">
      <c r="A129" s="7">
        <f>DATE(YEAR(m3_crossvalid[[#This Row],[cutoff]]),MONTH(m3_crossvalid[[#This Row],[cutoff]]),DAY(m3_crossvalid[[#This Row],[cutoff]]))</f>
        <v>45777</v>
      </c>
      <c r="B129" s="7">
        <f>DATE(YEAR(m3_crossvalid[[#This Row],[ds]]),MONTH(m3_crossvalid[[#This Row],[ds]]),DAY(m3_crossvalid[[#This Row],[ds]]))</f>
        <v>45781</v>
      </c>
      <c r="C129">
        <v>31</v>
      </c>
      <c r="D129" s="1">
        <v>45781.333333333336</v>
      </c>
      <c r="E129">
        <v>-571.15754288080507</v>
      </c>
      <c r="F129">
        <v>-2362.0755083577997</v>
      </c>
      <c r="G129">
        <v>1267.9219863252733</v>
      </c>
      <c r="H129" s="1">
        <v>45777.333333333336</v>
      </c>
    </row>
    <row r="130" spans="1:8" x14ac:dyDescent="0.25">
      <c r="A130" s="7">
        <f>DATE(YEAR(m3_crossvalid[[#This Row],[cutoff]]),MONTH(m3_crossvalid[[#This Row],[cutoff]]),DAY(m3_crossvalid[[#This Row],[cutoff]]))</f>
        <v>45777</v>
      </c>
      <c r="B130" s="7">
        <f>DATE(YEAR(m3_crossvalid[[#This Row],[ds]]),MONTH(m3_crossvalid[[#This Row],[ds]]),DAY(m3_crossvalid[[#This Row],[ds]]))</f>
        <v>45782</v>
      </c>
      <c r="C130">
        <v>1026</v>
      </c>
      <c r="D130" s="1">
        <v>45782.333333333336</v>
      </c>
      <c r="E130">
        <v>1092.5737104845655</v>
      </c>
      <c r="F130">
        <v>-700.60033455325754</v>
      </c>
      <c r="G130">
        <v>3065.192940539182</v>
      </c>
      <c r="H130" s="1">
        <v>45777.333333333336</v>
      </c>
    </row>
    <row r="131" spans="1:8" x14ac:dyDescent="0.25">
      <c r="A131" s="7">
        <f>DATE(YEAR(m3_crossvalid[[#This Row],[cutoff]]),MONTH(m3_crossvalid[[#This Row],[cutoff]]),DAY(m3_crossvalid[[#This Row],[cutoff]]))</f>
        <v>45777</v>
      </c>
      <c r="B131" s="7">
        <f>DATE(YEAR(m3_crossvalid[[#This Row],[ds]]),MONTH(m3_crossvalid[[#This Row],[ds]]),DAY(m3_crossvalid[[#This Row],[ds]]))</f>
        <v>45783</v>
      </c>
      <c r="C131">
        <v>940</v>
      </c>
      <c r="D131" s="1">
        <v>45783.333333333336</v>
      </c>
      <c r="E131">
        <v>1427.795431980878</v>
      </c>
      <c r="F131">
        <v>-349.65965481637789</v>
      </c>
      <c r="G131">
        <v>3333.2489076107486</v>
      </c>
      <c r="H131" s="1">
        <v>45777.333333333336</v>
      </c>
    </row>
    <row r="132" spans="1:8" x14ac:dyDescent="0.25">
      <c r="A132" s="7">
        <f>DATE(YEAR(m3_crossvalid[[#This Row],[cutoff]]),MONTH(m3_crossvalid[[#This Row],[cutoff]]),DAY(m3_crossvalid[[#This Row],[cutoff]]))</f>
        <v>45777</v>
      </c>
      <c r="B132" s="7">
        <f>DATE(YEAR(m3_crossvalid[[#This Row],[ds]]),MONTH(m3_crossvalid[[#This Row],[ds]]),DAY(m3_crossvalid[[#This Row],[ds]]))</f>
        <v>45784</v>
      </c>
      <c r="C132">
        <v>1225</v>
      </c>
      <c r="D132" s="1">
        <v>45784.333333333336</v>
      </c>
      <c r="E132">
        <v>1902.5061121566464</v>
      </c>
      <c r="F132">
        <v>-52.994589598818443</v>
      </c>
      <c r="G132">
        <v>3654.2169219059429</v>
      </c>
      <c r="H132" s="1">
        <v>45777.333333333336</v>
      </c>
    </row>
    <row r="133" spans="1:8" x14ac:dyDescent="0.25">
      <c r="A133" s="7">
        <f>DATE(YEAR(m3_crossvalid[[#This Row],[cutoff]]),MONTH(m3_crossvalid[[#This Row],[cutoff]]),DAY(m3_crossvalid[[#This Row],[cutoff]]))</f>
        <v>45777</v>
      </c>
      <c r="B133" s="7">
        <f>DATE(YEAR(m3_crossvalid[[#This Row],[ds]]),MONTH(m3_crossvalid[[#This Row],[ds]]),DAY(m3_crossvalid[[#This Row],[ds]]))</f>
        <v>45785</v>
      </c>
      <c r="C133">
        <v>1538</v>
      </c>
      <c r="D133" s="1">
        <v>45785.333333333336</v>
      </c>
      <c r="E133">
        <v>2131.2014038163188</v>
      </c>
      <c r="F133">
        <v>434.23334158584277</v>
      </c>
      <c r="G133">
        <v>3936.7207096831776</v>
      </c>
      <c r="H133" s="1">
        <v>45777.333333333336</v>
      </c>
    </row>
    <row r="134" spans="1:8" x14ac:dyDescent="0.25">
      <c r="A134" s="7">
        <f>DATE(YEAR(m3_crossvalid[[#This Row],[cutoff]]),MONTH(m3_crossvalid[[#This Row],[cutoff]]),DAY(m3_crossvalid[[#This Row],[cutoff]]))</f>
        <v>45777</v>
      </c>
      <c r="B134" s="7">
        <f>DATE(YEAR(m3_crossvalid[[#This Row],[ds]]),MONTH(m3_crossvalid[[#This Row],[ds]]),DAY(m3_crossvalid[[#This Row],[ds]]))</f>
        <v>45786</v>
      </c>
      <c r="C134">
        <v>1799</v>
      </c>
      <c r="D134" s="1">
        <v>45786.333333333336</v>
      </c>
      <c r="E134">
        <v>1978.1000243604692</v>
      </c>
      <c r="F134">
        <v>161.1228267339022</v>
      </c>
      <c r="G134">
        <v>3815.9741722685371</v>
      </c>
      <c r="H134" s="1">
        <v>45777.333333333336</v>
      </c>
    </row>
    <row r="135" spans="1:8" x14ac:dyDescent="0.25">
      <c r="A135" s="7">
        <f>DATE(YEAR(m3_crossvalid[[#This Row],[cutoff]]),MONTH(m3_crossvalid[[#This Row],[cutoff]]),DAY(m3_crossvalid[[#This Row],[cutoff]]))</f>
        <v>45777</v>
      </c>
      <c r="B135" s="7">
        <f>DATE(YEAR(m3_crossvalid[[#This Row],[ds]]),MONTH(m3_crossvalid[[#This Row],[ds]]),DAY(m3_crossvalid[[#This Row],[ds]]))</f>
        <v>45787</v>
      </c>
      <c r="C135">
        <v>415</v>
      </c>
      <c r="D135" s="1">
        <v>45787.333333333336</v>
      </c>
      <c r="E135">
        <v>-448.78253894036834</v>
      </c>
      <c r="F135">
        <v>-2196.6209448201944</v>
      </c>
      <c r="G135">
        <v>1382.6890137000248</v>
      </c>
      <c r="H135" s="1">
        <v>45777.333333333336</v>
      </c>
    </row>
    <row r="136" spans="1:8" x14ac:dyDescent="0.25">
      <c r="A136" s="7">
        <f>DATE(YEAR(m3_crossvalid[[#This Row],[cutoff]]),MONTH(m3_crossvalid[[#This Row],[cutoff]]),DAY(m3_crossvalid[[#This Row],[cutoff]]))</f>
        <v>45777</v>
      </c>
      <c r="B136" s="7">
        <f>DATE(YEAR(m3_crossvalid[[#This Row],[ds]]),MONTH(m3_crossvalid[[#This Row],[ds]]),DAY(m3_crossvalid[[#This Row],[ds]]))</f>
        <v>45788</v>
      </c>
      <c r="C136">
        <v>169</v>
      </c>
      <c r="D136" s="1">
        <v>45788.333333333336</v>
      </c>
      <c r="E136">
        <v>-924.82131316757568</v>
      </c>
      <c r="F136">
        <v>-2658.8767511011092</v>
      </c>
      <c r="G136">
        <v>864.11760316356504</v>
      </c>
      <c r="H136" s="1">
        <v>45777.333333333336</v>
      </c>
    </row>
    <row r="137" spans="1:8" x14ac:dyDescent="0.25">
      <c r="A137" s="7">
        <f>DATE(YEAR(m3_crossvalid[[#This Row],[cutoff]]),MONTH(m3_crossvalid[[#This Row],[cutoff]]),DAY(m3_crossvalid[[#This Row],[cutoff]]))</f>
        <v>45777</v>
      </c>
      <c r="B137" s="7">
        <f>DATE(YEAR(m3_crossvalid[[#This Row],[ds]]),MONTH(m3_crossvalid[[#This Row],[ds]]),DAY(m3_crossvalid[[#This Row],[ds]]))</f>
        <v>45789</v>
      </c>
      <c r="C137">
        <v>185</v>
      </c>
      <c r="D137" s="1">
        <v>45789.333333333336</v>
      </c>
      <c r="E137">
        <v>346.69982802568484</v>
      </c>
      <c r="F137">
        <v>-1391.9157168998424</v>
      </c>
      <c r="G137">
        <v>2035.750646639744</v>
      </c>
      <c r="H137" s="1">
        <v>45777.333333333336</v>
      </c>
    </row>
    <row r="138" spans="1:8" x14ac:dyDescent="0.25">
      <c r="A138" s="7">
        <f>DATE(YEAR(m3_crossvalid[[#This Row],[cutoff]]),MONTH(m3_crossvalid[[#This Row],[cutoff]]),DAY(m3_crossvalid[[#This Row],[cutoff]]))</f>
        <v>45777</v>
      </c>
      <c r="B138" s="7">
        <f>DATE(YEAR(m3_crossvalid[[#This Row],[ds]]),MONTH(m3_crossvalid[[#This Row],[ds]]),DAY(m3_crossvalid[[#This Row],[ds]]))</f>
        <v>45790</v>
      </c>
      <c r="C138">
        <v>2011</v>
      </c>
      <c r="D138" s="1">
        <v>45790.333333333336</v>
      </c>
      <c r="E138">
        <v>2494.8934562842264</v>
      </c>
      <c r="F138">
        <v>649.40193914299084</v>
      </c>
      <c r="G138">
        <v>4268.6604411896378</v>
      </c>
      <c r="H138" s="1">
        <v>45777.333333333336</v>
      </c>
    </row>
    <row r="139" spans="1:8" x14ac:dyDescent="0.25">
      <c r="A139" s="7">
        <f>DATE(YEAR(m3_crossvalid[[#This Row],[cutoff]]),MONTH(m3_crossvalid[[#This Row],[cutoff]]),DAY(m3_crossvalid[[#This Row],[cutoff]]))</f>
        <v>45777</v>
      </c>
      <c r="B139" s="7">
        <f>DATE(YEAR(m3_crossvalid[[#This Row],[ds]]),MONTH(m3_crossvalid[[#This Row],[ds]]),DAY(m3_crossvalid[[#This Row],[ds]]))</f>
        <v>45791</v>
      </c>
      <c r="C139">
        <v>2630</v>
      </c>
      <c r="D139" s="1">
        <v>45791.333333333336</v>
      </c>
      <c r="E139">
        <v>2650.0204289467151</v>
      </c>
      <c r="F139">
        <v>723.64879560463578</v>
      </c>
      <c r="G139">
        <v>4391.1012252652454</v>
      </c>
      <c r="H139" s="1">
        <v>45777.333333333336</v>
      </c>
    </row>
    <row r="140" spans="1:8" x14ac:dyDescent="0.25">
      <c r="A140" s="7">
        <f>DATE(YEAR(m3_crossvalid[[#This Row],[cutoff]]),MONTH(m3_crossvalid[[#This Row],[cutoff]]),DAY(m3_crossvalid[[#This Row],[cutoff]]))</f>
        <v>45777</v>
      </c>
      <c r="B140" s="7">
        <f>DATE(YEAR(m3_crossvalid[[#This Row],[ds]]),MONTH(m3_crossvalid[[#This Row],[ds]]),DAY(m3_crossvalid[[#This Row],[ds]]))</f>
        <v>45792</v>
      </c>
      <c r="C140">
        <v>2985</v>
      </c>
      <c r="D140" s="1">
        <v>45792.333333333336</v>
      </c>
      <c r="E140">
        <v>2512.2448389607607</v>
      </c>
      <c r="F140">
        <v>629.08372479182412</v>
      </c>
      <c r="G140">
        <v>4378.7681525815979</v>
      </c>
      <c r="H140" s="1">
        <v>45777.333333333336</v>
      </c>
    </row>
    <row r="141" spans="1:8" x14ac:dyDescent="0.25">
      <c r="A141" s="7">
        <f>DATE(YEAR(m3_crossvalid[[#This Row],[cutoff]]),MONTH(m3_crossvalid[[#This Row],[cutoff]]),DAY(m3_crossvalid[[#This Row],[cutoff]]))</f>
        <v>45777</v>
      </c>
      <c r="B141" s="7">
        <f>DATE(YEAR(m3_crossvalid[[#This Row],[ds]]),MONTH(m3_crossvalid[[#This Row],[ds]]),DAY(m3_crossvalid[[#This Row],[ds]]))</f>
        <v>45793</v>
      </c>
      <c r="C141">
        <v>3081</v>
      </c>
      <c r="D141" s="1">
        <v>45793.333333333336</v>
      </c>
      <c r="E141">
        <v>2342.6781025074201</v>
      </c>
      <c r="F141">
        <v>504.10333995694521</v>
      </c>
      <c r="G141">
        <v>4073.6899239663489</v>
      </c>
      <c r="H141" s="1">
        <v>45777.333333333336</v>
      </c>
    </row>
    <row r="142" spans="1:8" x14ac:dyDescent="0.25">
      <c r="A142" s="7">
        <f>DATE(YEAR(m3_crossvalid[[#This Row],[cutoff]]),MONTH(m3_crossvalid[[#This Row],[cutoff]]),DAY(m3_crossvalid[[#This Row],[cutoff]]))</f>
        <v>45777</v>
      </c>
      <c r="B142" s="7">
        <f>DATE(YEAR(m3_crossvalid[[#This Row],[ds]]),MONTH(m3_crossvalid[[#This Row],[ds]]),DAY(m3_crossvalid[[#This Row],[ds]]))</f>
        <v>45794</v>
      </c>
      <c r="C142">
        <v>609</v>
      </c>
      <c r="D142" s="1">
        <v>45794.333333333336</v>
      </c>
      <c r="E142">
        <v>212.00221649405785</v>
      </c>
      <c r="F142">
        <v>-1633.9842676666099</v>
      </c>
      <c r="G142">
        <v>2016.872218256744</v>
      </c>
      <c r="H142" s="1">
        <v>45777.333333333336</v>
      </c>
    </row>
    <row r="143" spans="1:8" x14ac:dyDescent="0.25">
      <c r="A143" s="7">
        <f>DATE(YEAR(m3_crossvalid[[#This Row],[cutoff]]),MONTH(m3_crossvalid[[#This Row],[cutoff]]),DAY(m3_crossvalid[[#This Row],[cutoff]]))</f>
        <v>45777</v>
      </c>
      <c r="B143" s="7">
        <f>DATE(YEAR(m3_crossvalid[[#This Row],[ds]]),MONTH(m3_crossvalid[[#This Row],[ds]]),DAY(m3_crossvalid[[#This Row],[ds]]))</f>
        <v>45795</v>
      </c>
      <c r="C143">
        <v>185</v>
      </c>
      <c r="D143" s="1">
        <v>45795.333333333336</v>
      </c>
      <c r="E143">
        <v>-6.7761854945460982</v>
      </c>
      <c r="F143">
        <v>-1881.9920931794036</v>
      </c>
      <c r="G143">
        <v>1843.9167032767409</v>
      </c>
      <c r="H143" s="1">
        <v>45777.333333333336</v>
      </c>
    </row>
    <row r="144" spans="1:8" x14ac:dyDescent="0.25">
      <c r="A144" s="7">
        <f>DATE(YEAR(m3_crossvalid[[#This Row],[cutoff]]),MONTH(m3_crossvalid[[#This Row],[cutoff]]),DAY(m3_crossvalid[[#This Row],[cutoff]]))</f>
        <v>45777</v>
      </c>
      <c r="B144" s="7">
        <f>DATE(YEAR(m3_crossvalid[[#This Row],[ds]]),MONTH(m3_crossvalid[[#This Row],[ds]]),DAY(m3_crossvalid[[#This Row],[ds]]))</f>
        <v>45796</v>
      </c>
      <c r="C144">
        <v>2926</v>
      </c>
      <c r="D144" s="1">
        <v>45796.333333333336</v>
      </c>
      <c r="E144">
        <v>2734.2239625449961</v>
      </c>
      <c r="F144">
        <v>953.58427430618519</v>
      </c>
      <c r="G144">
        <v>4531.4781966594683</v>
      </c>
      <c r="H144" s="1">
        <v>45777.333333333336</v>
      </c>
    </row>
    <row r="145" spans="1:8" x14ac:dyDescent="0.25">
      <c r="A145" s="7">
        <f>DATE(YEAR(m3_crossvalid[[#This Row],[cutoff]]),MONTH(m3_crossvalid[[#This Row],[cutoff]]),DAY(m3_crossvalid[[#This Row],[cutoff]]))</f>
        <v>45777</v>
      </c>
      <c r="B145" s="7">
        <f>DATE(YEAR(m3_crossvalid[[#This Row],[ds]]),MONTH(m3_crossvalid[[#This Row],[ds]]),DAY(m3_crossvalid[[#This Row],[ds]]))</f>
        <v>45797</v>
      </c>
      <c r="C145">
        <v>3213</v>
      </c>
      <c r="D145" s="1">
        <v>45797.333333333336</v>
      </c>
      <c r="E145">
        <v>3032.6854268269235</v>
      </c>
      <c r="F145">
        <v>1333.8011203786286</v>
      </c>
      <c r="G145">
        <v>4826.1255101491215</v>
      </c>
      <c r="H145" s="1">
        <v>45777.333333333336</v>
      </c>
    </row>
    <row r="146" spans="1:8" x14ac:dyDescent="0.25">
      <c r="A146" s="7">
        <f>DATE(YEAR(m3_crossvalid[[#This Row],[cutoff]]),MONTH(m3_crossvalid[[#This Row],[cutoff]]),DAY(m3_crossvalid[[#This Row],[cutoff]]))</f>
        <v>45777</v>
      </c>
      <c r="B146" s="7">
        <f>DATE(YEAR(m3_crossvalid[[#This Row],[ds]]),MONTH(m3_crossvalid[[#This Row],[ds]]),DAY(m3_crossvalid[[#This Row],[ds]]))</f>
        <v>45798</v>
      </c>
      <c r="C146">
        <v>3566</v>
      </c>
      <c r="D146" s="1">
        <v>45798.333333333336</v>
      </c>
      <c r="E146">
        <v>2952.9129384823204</v>
      </c>
      <c r="F146">
        <v>1083.889431689129</v>
      </c>
      <c r="G146">
        <v>4732.7258307844822</v>
      </c>
      <c r="H146" s="1">
        <v>45777.333333333336</v>
      </c>
    </row>
    <row r="147" spans="1:8" x14ac:dyDescent="0.25">
      <c r="A147" s="7">
        <f>DATE(YEAR(m3_crossvalid[[#This Row],[cutoff]]),MONTH(m3_crossvalid[[#This Row],[cutoff]]),DAY(m3_crossvalid[[#This Row],[cutoff]]))</f>
        <v>45777</v>
      </c>
      <c r="B147" s="7">
        <f>DATE(YEAR(m3_crossvalid[[#This Row],[ds]]),MONTH(m3_crossvalid[[#This Row],[ds]]),DAY(m3_crossvalid[[#This Row],[ds]]))</f>
        <v>45799</v>
      </c>
      <c r="C147">
        <v>3706</v>
      </c>
      <c r="D147" s="1">
        <v>45799.333333333336</v>
      </c>
      <c r="E147">
        <v>2919.0260856329683</v>
      </c>
      <c r="F147">
        <v>1029.3584205164598</v>
      </c>
      <c r="G147">
        <v>4744.0310513548957</v>
      </c>
      <c r="H147" s="1">
        <v>45777.333333333336</v>
      </c>
    </row>
    <row r="148" spans="1:8" x14ac:dyDescent="0.25">
      <c r="A148" s="7">
        <f>DATE(YEAR(m3_crossvalid[[#This Row],[cutoff]]),MONTH(m3_crossvalid[[#This Row],[cutoff]]),DAY(m3_crossvalid[[#This Row],[cutoff]]))</f>
        <v>45777</v>
      </c>
      <c r="B148" s="7">
        <f>DATE(YEAR(m3_crossvalid[[#This Row],[ds]]),MONTH(m3_crossvalid[[#This Row],[ds]]),DAY(m3_crossvalid[[#This Row],[ds]]))</f>
        <v>45800</v>
      </c>
      <c r="C148">
        <v>3920</v>
      </c>
      <c r="D148" s="1">
        <v>45800.333333333336</v>
      </c>
      <c r="E148">
        <v>3108.6304975855755</v>
      </c>
      <c r="F148">
        <v>1290.6696354976746</v>
      </c>
      <c r="G148">
        <v>4976.6487225733617</v>
      </c>
      <c r="H148" s="1">
        <v>45777.333333333336</v>
      </c>
    </row>
    <row r="149" spans="1:8" x14ac:dyDescent="0.25">
      <c r="A149" s="7">
        <f>DATE(YEAR(m3_crossvalid[[#This Row],[cutoff]]),MONTH(m3_crossvalid[[#This Row],[cutoff]]),DAY(m3_crossvalid[[#This Row],[cutoff]]))</f>
        <v>45777</v>
      </c>
      <c r="B149" s="7">
        <f>DATE(YEAR(m3_crossvalid[[#This Row],[ds]]),MONTH(m3_crossvalid[[#This Row],[ds]]),DAY(m3_crossvalid[[#This Row],[ds]]))</f>
        <v>45801</v>
      </c>
      <c r="C149">
        <v>857</v>
      </c>
      <c r="D149" s="1">
        <v>45801.333333333336</v>
      </c>
      <c r="E149">
        <v>1253.6790917448741</v>
      </c>
      <c r="F149">
        <v>-642.37515395552009</v>
      </c>
      <c r="G149">
        <v>3259.4747788473201</v>
      </c>
      <c r="H149" s="1">
        <v>45777.333333333336</v>
      </c>
    </row>
    <row r="150" spans="1:8" x14ac:dyDescent="0.25">
      <c r="A150" s="7">
        <f>DATE(YEAR(m3_crossvalid[[#This Row],[cutoff]]),MONTH(m3_crossvalid[[#This Row],[cutoff]]),DAY(m3_crossvalid[[#This Row],[cutoff]]))</f>
        <v>45777</v>
      </c>
      <c r="B150" s="7">
        <f>DATE(YEAR(m3_crossvalid[[#This Row],[ds]]),MONTH(m3_crossvalid[[#This Row],[ds]]),DAY(m3_crossvalid[[#This Row],[ds]]))</f>
        <v>45802</v>
      </c>
      <c r="C150">
        <v>215</v>
      </c>
      <c r="D150" s="1">
        <v>45802.333333333336</v>
      </c>
      <c r="E150">
        <v>987.14333880881827</v>
      </c>
      <c r="F150">
        <v>-870.06269001530291</v>
      </c>
      <c r="G150">
        <v>2724.0309415845381</v>
      </c>
      <c r="H150" s="1">
        <v>45777.333333333336</v>
      </c>
    </row>
    <row r="151" spans="1:8" x14ac:dyDescent="0.25">
      <c r="A151" s="7">
        <f>DATE(YEAR(m3_crossvalid[[#This Row],[cutoff]]),MONTH(m3_crossvalid[[#This Row],[cutoff]]),DAY(m3_crossvalid[[#This Row],[cutoff]]))</f>
        <v>45777</v>
      </c>
      <c r="B151" s="7">
        <f>DATE(YEAR(m3_crossvalid[[#This Row],[ds]]),MONTH(m3_crossvalid[[#This Row],[ds]]),DAY(m3_crossvalid[[#This Row],[ds]]))</f>
        <v>45803</v>
      </c>
      <c r="C151">
        <v>4297</v>
      </c>
      <c r="D151" s="1">
        <v>45803.333333333336</v>
      </c>
      <c r="E151">
        <v>3491.5699543321871</v>
      </c>
      <c r="F151">
        <v>1818.3285538281652</v>
      </c>
      <c r="G151">
        <v>5348.1442089136435</v>
      </c>
      <c r="H151" s="1">
        <v>45777.333333333336</v>
      </c>
    </row>
    <row r="152" spans="1:8" x14ac:dyDescent="0.25">
      <c r="A152" s="7">
        <f>DATE(YEAR(m3_crossvalid[[#This Row],[cutoff]]),MONTH(m3_crossvalid[[#This Row],[cutoff]]),DAY(m3_crossvalid[[#This Row],[cutoff]]))</f>
        <v>45777</v>
      </c>
      <c r="B152" s="7">
        <f>DATE(YEAR(m3_crossvalid[[#This Row],[ds]]),MONTH(m3_crossvalid[[#This Row],[ds]]),DAY(m3_crossvalid[[#This Row],[ds]]))</f>
        <v>45804</v>
      </c>
      <c r="C152">
        <v>5188</v>
      </c>
      <c r="D152" s="1">
        <v>45804.333333333336</v>
      </c>
      <c r="E152">
        <v>3789.5739934160883</v>
      </c>
      <c r="F152">
        <v>2079.1621461114819</v>
      </c>
      <c r="G152">
        <v>5580.1383383773955</v>
      </c>
      <c r="H152" s="1">
        <v>45777.333333333336</v>
      </c>
    </row>
    <row r="153" spans="1:8" x14ac:dyDescent="0.25">
      <c r="A153" s="7">
        <f>DATE(YEAR(m3_crossvalid[[#This Row],[cutoff]]),MONTH(m3_crossvalid[[#This Row],[cutoff]]),DAY(m3_crossvalid[[#This Row],[cutoff]]))</f>
        <v>45777</v>
      </c>
      <c r="B153" s="7">
        <f>DATE(YEAR(m3_crossvalid[[#This Row],[ds]]),MONTH(m3_crossvalid[[#This Row],[ds]]),DAY(m3_crossvalid[[#This Row],[ds]]))</f>
        <v>45805</v>
      </c>
      <c r="C153">
        <v>5701</v>
      </c>
      <c r="D153" s="1">
        <v>45805.333333333336</v>
      </c>
      <c r="E153">
        <v>4271.1758022583936</v>
      </c>
      <c r="F153">
        <v>2583.9797371496261</v>
      </c>
      <c r="G153">
        <v>6069.7382658021661</v>
      </c>
      <c r="H153" s="1">
        <v>45777.333333333336</v>
      </c>
    </row>
    <row r="154" spans="1:8" x14ac:dyDescent="0.25">
      <c r="A154" s="7">
        <f>DATE(YEAR(m3_crossvalid[[#This Row],[cutoff]]),MONTH(m3_crossvalid[[#This Row],[cutoff]]),DAY(m3_crossvalid[[#This Row],[cutoff]]))</f>
        <v>45777</v>
      </c>
      <c r="B154" s="7">
        <f>DATE(YEAR(m3_crossvalid[[#This Row],[ds]]),MONTH(m3_crossvalid[[#This Row],[ds]]),DAY(m3_crossvalid[[#This Row],[ds]]))</f>
        <v>45806</v>
      </c>
      <c r="C154">
        <v>8103</v>
      </c>
      <c r="D154" s="1">
        <v>45806.333333333336</v>
      </c>
      <c r="E154">
        <v>5240.0514075247283</v>
      </c>
      <c r="F154">
        <v>3299.4495674606437</v>
      </c>
      <c r="G154">
        <v>6981.2675105108028</v>
      </c>
      <c r="H154" s="1">
        <v>45777.333333333336</v>
      </c>
    </row>
    <row r="155" spans="1:8" x14ac:dyDescent="0.25">
      <c r="A155" s="7">
        <f>DATE(YEAR(m3_crossvalid[[#This Row],[cutoff]]),MONTH(m3_crossvalid[[#This Row],[cutoff]]),DAY(m3_crossvalid[[#This Row],[cutoff]]))</f>
        <v>45777</v>
      </c>
      <c r="B155" s="7">
        <f>DATE(YEAR(m3_crossvalid[[#This Row],[ds]]),MONTH(m3_crossvalid[[#This Row],[ds]]),DAY(m3_crossvalid[[#This Row],[ds]]))</f>
        <v>45807</v>
      </c>
      <c r="C155">
        <v>8920</v>
      </c>
      <c r="D155" s="1">
        <v>45807.333333333336</v>
      </c>
      <c r="E155">
        <v>6321.2581121936273</v>
      </c>
      <c r="F155">
        <v>4509.1652249206618</v>
      </c>
      <c r="G155">
        <v>8167.2340884107352</v>
      </c>
      <c r="H155" s="1">
        <v>45777.333333333336</v>
      </c>
    </row>
    <row r="156" spans="1:8" x14ac:dyDescent="0.25">
      <c r="A156" s="7">
        <f>DATE(YEAR(m3_crossvalid[[#This Row],[cutoff]]),MONTH(m3_crossvalid[[#This Row],[cutoff]]),DAY(m3_crossvalid[[#This Row],[cutoff]]))</f>
        <v>45777</v>
      </c>
      <c r="B156" s="7">
        <f>DATE(YEAR(m3_crossvalid[[#This Row],[ds]]),MONTH(m3_crossvalid[[#This Row],[ds]]),DAY(m3_crossvalid[[#This Row],[ds]]))</f>
        <v>45808</v>
      </c>
      <c r="C156">
        <v>4108</v>
      </c>
      <c r="D156" s="1">
        <v>45808.333333333336</v>
      </c>
      <c r="E156">
        <v>4634.0934709385001</v>
      </c>
      <c r="F156">
        <v>2652.5674216521525</v>
      </c>
      <c r="G156">
        <v>6408.6650431595608</v>
      </c>
      <c r="H156" s="1">
        <v>45777.333333333336</v>
      </c>
    </row>
    <row r="157" spans="1:8" x14ac:dyDescent="0.25">
      <c r="A157" s="7">
        <f>DATE(YEAR(m3_crossvalid[[#This Row],[cutoff]]),MONTH(m3_crossvalid[[#This Row],[cutoff]]),DAY(m3_crossvalid[[#This Row],[cutoff]]))</f>
        <v>45808</v>
      </c>
      <c r="B157" s="7">
        <f>DATE(YEAR(m3_crossvalid[[#This Row],[ds]]),MONTH(m3_crossvalid[[#This Row],[ds]]),DAY(m3_crossvalid[[#This Row],[ds]]))</f>
        <v>45809</v>
      </c>
      <c r="C157">
        <v>75</v>
      </c>
      <c r="D157" s="1">
        <v>45809.333333333336</v>
      </c>
      <c r="E157">
        <v>3640.047042564287</v>
      </c>
      <c r="F157">
        <v>1762.5859218399592</v>
      </c>
      <c r="G157">
        <v>5470.9861102177074</v>
      </c>
      <c r="H157" s="1">
        <v>45808.333333333336</v>
      </c>
    </row>
    <row r="158" spans="1:8" x14ac:dyDescent="0.25">
      <c r="A158" s="7">
        <f>DATE(YEAR(m3_crossvalid[[#This Row],[cutoff]]),MONTH(m3_crossvalid[[#This Row],[cutoff]]),DAY(m3_crossvalid[[#This Row],[cutoff]]))</f>
        <v>45808</v>
      </c>
      <c r="B158" s="7">
        <f>DATE(YEAR(m3_crossvalid[[#This Row],[ds]]),MONTH(m3_crossvalid[[#This Row],[ds]]),DAY(m3_crossvalid[[#This Row],[ds]]))</f>
        <v>45810</v>
      </c>
      <c r="C158">
        <v>3</v>
      </c>
      <c r="D158" s="1">
        <v>45810.333333333336</v>
      </c>
      <c r="E158">
        <v>2924.2398334444724</v>
      </c>
      <c r="F158">
        <v>1276.2759510452609</v>
      </c>
      <c r="G158">
        <v>4760.0926820583745</v>
      </c>
      <c r="H158" s="1">
        <v>45808.333333333336</v>
      </c>
    </row>
    <row r="159" spans="1:8" x14ac:dyDescent="0.25">
      <c r="A159" s="7">
        <f>DATE(YEAR(m3_crossvalid[[#This Row],[cutoff]]),MONTH(m3_crossvalid[[#This Row],[cutoff]]),DAY(m3_crossvalid[[#This Row],[cutoff]]))</f>
        <v>45808</v>
      </c>
      <c r="B159" s="7">
        <f>DATE(YEAR(m3_crossvalid[[#This Row],[ds]]),MONTH(m3_crossvalid[[#This Row],[ds]]),DAY(m3_crossvalid[[#This Row],[ds]]))</f>
        <v>45811</v>
      </c>
      <c r="C159">
        <v>578</v>
      </c>
      <c r="D159" s="1">
        <v>45811.333333333336</v>
      </c>
      <c r="E159">
        <v>3052.1929185829113</v>
      </c>
      <c r="F159">
        <v>1254.2399953520335</v>
      </c>
      <c r="G159">
        <v>4749.2987597211741</v>
      </c>
      <c r="H159" s="1">
        <v>45808.333333333336</v>
      </c>
    </row>
    <row r="160" spans="1:8" x14ac:dyDescent="0.25">
      <c r="A160" s="7">
        <f>DATE(YEAR(m3_crossvalid[[#This Row],[cutoff]]),MONTH(m3_crossvalid[[#This Row],[cutoff]]),DAY(m3_crossvalid[[#This Row],[cutoff]]))</f>
        <v>45808</v>
      </c>
      <c r="B160" s="7">
        <f>DATE(YEAR(m3_crossvalid[[#This Row],[ds]]),MONTH(m3_crossvalid[[#This Row],[ds]]),DAY(m3_crossvalid[[#This Row],[ds]]))</f>
        <v>45812</v>
      </c>
      <c r="C160">
        <v>842</v>
      </c>
      <c r="D160" s="1">
        <v>45812.333333333336</v>
      </c>
      <c r="E160">
        <v>1858.3687588686321</v>
      </c>
      <c r="F160">
        <v>32.547082933473952</v>
      </c>
      <c r="G160">
        <v>3690.0811594516194</v>
      </c>
      <c r="H160" s="1">
        <v>45808.333333333336</v>
      </c>
    </row>
    <row r="161" spans="1:8" x14ac:dyDescent="0.25">
      <c r="A161" s="7">
        <f>DATE(YEAR(m3_crossvalid[[#This Row],[cutoff]]),MONTH(m3_crossvalid[[#This Row],[cutoff]]),DAY(m3_crossvalid[[#This Row],[cutoff]]))</f>
        <v>45808</v>
      </c>
      <c r="B161" s="7">
        <f>DATE(YEAR(m3_crossvalid[[#This Row],[ds]]),MONTH(m3_crossvalid[[#This Row],[ds]]),DAY(m3_crossvalid[[#This Row],[ds]]))</f>
        <v>45813</v>
      </c>
      <c r="C161">
        <v>1102</v>
      </c>
      <c r="D161" s="1">
        <v>45813.333333333336</v>
      </c>
      <c r="E161">
        <v>1463.7893341673935</v>
      </c>
      <c r="F161">
        <v>-324.28464415422332</v>
      </c>
      <c r="G161">
        <v>3236.1773726696269</v>
      </c>
      <c r="H161" s="1">
        <v>45808.333333333336</v>
      </c>
    </row>
    <row r="162" spans="1:8" x14ac:dyDescent="0.25">
      <c r="A162" s="7">
        <f>DATE(YEAR(m3_crossvalid[[#This Row],[cutoff]]),MONTH(m3_crossvalid[[#This Row],[cutoff]]),DAY(m3_crossvalid[[#This Row],[cutoff]]))</f>
        <v>45808</v>
      </c>
      <c r="B162" s="7">
        <f>DATE(YEAR(m3_crossvalid[[#This Row],[ds]]),MONTH(m3_crossvalid[[#This Row],[ds]]),DAY(m3_crossvalid[[#This Row],[ds]]))</f>
        <v>45814</v>
      </c>
      <c r="C162">
        <v>1098</v>
      </c>
      <c r="D162" s="1">
        <v>45814.333333333336</v>
      </c>
      <c r="E162">
        <v>-2049.0029678005913</v>
      </c>
      <c r="F162">
        <v>-3823.8211175497495</v>
      </c>
      <c r="G162">
        <v>-248.02646141022191</v>
      </c>
      <c r="H162" s="1">
        <v>45808.333333333336</v>
      </c>
    </row>
    <row r="163" spans="1:8" x14ac:dyDescent="0.25">
      <c r="A163" s="7">
        <f>DATE(YEAR(m3_crossvalid[[#This Row],[cutoff]]),MONTH(m3_crossvalid[[#This Row],[cutoff]]),DAY(m3_crossvalid[[#This Row],[cutoff]]))</f>
        <v>45808</v>
      </c>
      <c r="B163" s="7">
        <f>DATE(YEAR(m3_crossvalid[[#This Row],[ds]]),MONTH(m3_crossvalid[[#This Row],[ds]]),DAY(m3_crossvalid[[#This Row],[ds]]))</f>
        <v>45815</v>
      </c>
      <c r="C163">
        <v>17</v>
      </c>
      <c r="D163" s="1">
        <v>45815.333333333336</v>
      </c>
      <c r="E163">
        <v>-216.14376397495244</v>
      </c>
      <c r="F163">
        <v>-2043.2779138555818</v>
      </c>
      <c r="G163">
        <v>1661.7513297344094</v>
      </c>
      <c r="H163" s="1">
        <v>45808.333333333336</v>
      </c>
    </row>
    <row r="164" spans="1:8" x14ac:dyDescent="0.25">
      <c r="A164" s="7">
        <f>DATE(YEAR(m3_crossvalid[[#This Row],[cutoff]]),MONTH(m3_crossvalid[[#This Row],[cutoff]]),DAY(m3_crossvalid[[#This Row],[cutoff]]))</f>
        <v>45808</v>
      </c>
      <c r="B164" s="7">
        <f>DATE(YEAR(m3_crossvalid[[#This Row],[ds]]),MONTH(m3_crossvalid[[#This Row],[ds]]),DAY(m3_crossvalid[[#This Row],[ds]]))</f>
        <v>45816</v>
      </c>
      <c r="C164">
        <v>2</v>
      </c>
      <c r="D164" s="1">
        <v>45816.333333333336</v>
      </c>
      <c r="E164">
        <v>-1882.1234426974861</v>
      </c>
      <c r="F164">
        <v>-3752.6812507796485</v>
      </c>
      <c r="G164">
        <v>-78.988760296199018</v>
      </c>
      <c r="H164" s="1">
        <v>45808.333333333336</v>
      </c>
    </row>
    <row r="165" spans="1:8" x14ac:dyDescent="0.25">
      <c r="A165" s="7">
        <f>DATE(YEAR(m3_crossvalid[[#This Row],[cutoff]]),MONTH(m3_crossvalid[[#This Row],[cutoff]]),DAY(m3_crossvalid[[#This Row],[cutoff]]))</f>
        <v>45808</v>
      </c>
      <c r="B165" s="7">
        <f>DATE(YEAR(m3_crossvalid[[#This Row],[ds]]),MONTH(m3_crossvalid[[#This Row],[ds]]),DAY(m3_crossvalid[[#This Row],[ds]]))</f>
        <v>45817</v>
      </c>
      <c r="C165">
        <v>716</v>
      </c>
      <c r="D165" s="1">
        <v>45817.333333333336</v>
      </c>
      <c r="E165">
        <v>1779.7729425240502</v>
      </c>
      <c r="F165">
        <v>45.314101478843213</v>
      </c>
      <c r="G165">
        <v>3589.3753465797022</v>
      </c>
      <c r="H165" s="1">
        <v>45808.333333333336</v>
      </c>
    </row>
    <row r="166" spans="1:8" x14ac:dyDescent="0.25">
      <c r="A166" s="7">
        <f>DATE(YEAR(m3_crossvalid[[#This Row],[cutoff]]),MONTH(m3_crossvalid[[#This Row],[cutoff]]),DAY(m3_crossvalid[[#This Row],[cutoff]]))</f>
        <v>45808</v>
      </c>
      <c r="B166" s="7">
        <f>DATE(YEAR(m3_crossvalid[[#This Row],[ds]]),MONTH(m3_crossvalid[[#This Row],[ds]]),DAY(m3_crossvalid[[#This Row],[ds]]))</f>
        <v>45818</v>
      </c>
      <c r="C166">
        <v>1129</v>
      </c>
      <c r="D166" s="1">
        <v>45818.333333333336</v>
      </c>
      <c r="E166">
        <v>1485.2760997753151</v>
      </c>
      <c r="F166">
        <v>-378.46759271337379</v>
      </c>
      <c r="G166">
        <v>3429.8366122936509</v>
      </c>
      <c r="H166" s="1">
        <v>45808.333333333336</v>
      </c>
    </row>
    <row r="167" spans="1:8" x14ac:dyDescent="0.25">
      <c r="A167" s="7">
        <f>DATE(YEAR(m3_crossvalid[[#This Row],[cutoff]]),MONTH(m3_crossvalid[[#This Row],[cutoff]]),DAY(m3_crossvalid[[#This Row],[cutoff]]))</f>
        <v>45808</v>
      </c>
      <c r="B167" s="7">
        <f>DATE(YEAR(m3_crossvalid[[#This Row],[ds]]),MONTH(m3_crossvalid[[#This Row],[ds]]),DAY(m3_crossvalid[[#This Row],[ds]]))</f>
        <v>45819</v>
      </c>
      <c r="C167">
        <v>1387</v>
      </c>
      <c r="D167" s="1">
        <v>45819.333333333336</v>
      </c>
      <c r="E167">
        <v>2022.9594865410318</v>
      </c>
      <c r="F167">
        <v>225.1652004243621</v>
      </c>
      <c r="G167">
        <v>4146.4811098263763</v>
      </c>
      <c r="H167" s="1">
        <v>45808.333333333336</v>
      </c>
    </row>
    <row r="168" spans="1:8" x14ac:dyDescent="0.25">
      <c r="A168" s="7">
        <f>DATE(YEAR(m3_crossvalid[[#This Row],[cutoff]]),MONTH(m3_crossvalid[[#This Row],[cutoff]]),DAY(m3_crossvalid[[#This Row],[cutoff]]))</f>
        <v>45808</v>
      </c>
      <c r="B168" s="7">
        <f>DATE(YEAR(m3_crossvalid[[#This Row],[ds]]),MONTH(m3_crossvalid[[#This Row],[ds]]),DAY(m3_crossvalid[[#This Row],[ds]]))</f>
        <v>45820</v>
      </c>
      <c r="C168">
        <v>1689</v>
      </c>
      <c r="D168" s="1">
        <v>45820.333333333336</v>
      </c>
      <c r="E168">
        <v>2522.2335718726463</v>
      </c>
      <c r="F168">
        <v>689.79203661520626</v>
      </c>
      <c r="G168">
        <v>4249.4473154038051</v>
      </c>
      <c r="H168" s="1">
        <v>45808.333333333336</v>
      </c>
    </row>
    <row r="169" spans="1:8" x14ac:dyDescent="0.25">
      <c r="A169" s="7">
        <f>DATE(YEAR(m3_crossvalid[[#This Row],[cutoff]]),MONTH(m3_crossvalid[[#This Row],[cutoff]]),DAY(m3_crossvalid[[#This Row],[cutoff]]))</f>
        <v>45808</v>
      </c>
      <c r="B169" s="7">
        <f>DATE(YEAR(m3_crossvalid[[#This Row],[ds]]),MONTH(m3_crossvalid[[#This Row],[ds]]),DAY(m3_crossvalid[[#This Row],[ds]]))</f>
        <v>45821</v>
      </c>
      <c r="C169">
        <v>1883</v>
      </c>
      <c r="D169" s="1">
        <v>45821.333333333336</v>
      </c>
      <c r="E169">
        <v>2214.0866614425308</v>
      </c>
      <c r="F169">
        <v>287.13879791965837</v>
      </c>
      <c r="G169">
        <v>3915.3872090659206</v>
      </c>
      <c r="H169" s="1">
        <v>45808.333333333336</v>
      </c>
    </row>
    <row r="170" spans="1:8" x14ac:dyDescent="0.25">
      <c r="A170" s="7">
        <f>DATE(YEAR(m3_crossvalid[[#This Row],[cutoff]]),MONTH(m3_crossvalid[[#This Row],[cutoff]]),DAY(m3_crossvalid[[#This Row],[cutoff]]))</f>
        <v>45808</v>
      </c>
      <c r="B170" s="7">
        <f>DATE(YEAR(m3_crossvalid[[#This Row],[ds]]),MONTH(m3_crossvalid[[#This Row],[ds]]),DAY(m3_crossvalid[[#This Row],[ds]]))</f>
        <v>45822</v>
      </c>
      <c r="C170">
        <v>280</v>
      </c>
      <c r="D170" s="1">
        <v>45822.333333333336</v>
      </c>
      <c r="E170">
        <v>384.44250285810904</v>
      </c>
      <c r="F170">
        <v>-1411.1216553623262</v>
      </c>
      <c r="G170">
        <v>2250.1127891768265</v>
      </c>
      <c r="H170" s="1">
        <v>45808.333333333336</v>
      </c>
    </row>
    <row r="171" spans="1:8" x14ac:dyDescent="0.25">
      <c r="A171" s="7">
        <f>DATE(YEAR(m3_crossvalid[[#This Row],[cutoff]]),MONTH(m3_crossvalid[[#This Row],[cutoff]]),DAY(m3_crossvalid[[#This Row],[cutoff]]))</f>
        <v>45808</v>
      </c>
      <c r="B171" s="7">
        <f>DATE(YEAR(m3_crossvalid[[#This Row],[ds]]),MONTH(m3_crossvalid[[#This Row],[ds]]),DAY(m3_crossvalid[[#This Row],[ds]]))</f>
        <v>45823</v>
      </c>
      <c r="C171">
        <v>71</v>
      </c>
      <c r="D171" s="1">
        <v>45823.333333333336</v>
      </c>
      <c r="E171">
        <v>-235.55444969227574</v>
      </c>
      <c r="F171">
        <v>-2027.8364056791161</v>
      </c>
      <c r="G171">
        <v>1672.8323263253681</v>
      </c>
      <c r="H171" s="1">
        <v>45808.333333333336</v>
      </c>
    </row>
    <row r="172" spans="1:8" x14ac:dyDescent="0.25">
      <c r="A172" s="7">
        <f>DATE(YEAR(m3_crossvalid[[#This Row],[cutoff]]),MONTH(m3_crossvalid[[#This Row],[cutoff]]),DAY(m3_crossvalid[[#This Row],[cutoff]]))</f>
        <v>45808</v>
      </c>
      <c r="B172" s="7">
        <f>DATE(YEAR(m3_crossvalid[[#This Row],[ds]]),MONTH(m3_crossvalid[[#This Row],[ds]]),DAY(m3_crossvalid[[#This Row],[ds]]))</f>
        <v>45824</v>
      </c>
      <c r="C172">
        <v>1852</v>
      </c>
      <c r="D172" s="1">
        <v>45824.333333333336</v>
      </c>
      <c r="E172">
        <v>2298.1239474650165</v>
      </c>
      <c r="F172">
        <v>442.07945307646708</v>
      </c>
      <c r="G172">
        <v>4130.7201956170375</v>
      </c>
      <c r="H172" s="1">
        <v>45808.333333333336</v>
      </c>
    </row>
    <row r="173" spans="1:8" x14ac:dyDescent="0.25">
      <c r="A173" s="7">
        <f>DATE(YEAR(m3_crossvalid[[#This Row],[cutoff]]),MONTH(m3_crossvalid[[#This Row],[cutoff]]),DAY(m3_crossvalid[[#This Row],[cutoff]]))</f>
        <v>45808</v>
      </c>
      <c r="B173" s="7">
        <f>DATE(YEAR(m3_crossvalid[[#This Row],[ds]]),MONTH(m3_crossvalid[[#This Row],[ds]]),DAY(m3_crossvalid[[#This Row],[ds]]))</f>
        <v>45825</v>
      </c>
      <c r="C173">
        <v>2251</v>
      </c>
      <c r="D173" s="1">
        <v>45825.333333333336</v>
      </c>
      <c r="E173">
        <v>2822.6270885792683</v>
      </c>
      <c r="F173">
        <v>882.49365078665426</v>
      </c>
      <c r="G173">
        <v>4654.2786959989808</v>
      </c>
      <c r="H173" s="1">
        <v>45808.333333333336</v>
      </c>
    </row>
    <row r="174" spans="1:8" x14ac:dyDescent="0.25">
      <c r="A174" s="7">
        <f>DATE(YEAR(m3_crossvalid[[#This Row],[cutoff]]),MONTH(m3_crossvalid[[#This Row],[cutoff]]),DAY(m3_crossvalid[[#This Row],[cutoff]]))</f>
        <v>45808</v>
      </c>
      <c r="B174" s="7">
        <f>DATE(YEAR(m3_crossvalid[[#This Row],[ds]]),MONTH(m3_crossvalid[[#This Row],[ds]]),DAY(m3_crossvalid[[#This Row],[ds]]))</f>
        <v>45826</v>
      </c>
      <c r="C174">
        <v>2552</v>
      </c>
      <c r="D174" s="1">
        <v>45826.333333333336</v>
      </c>
      <c r="E174">
        <v>3161.0289816199615</v>
      </c>
      <c r="F174">
        <v>1329.8112550272929</v>
      </c>
      <c r="G174">
        <v>5039.100980250777</v>
      </c>
      <c r="H174" s="1">
        <v>45808.333333333336</v>
      </c>
    </row>
    <row r="175" spans="1:8" x14ac:dyDescent="0.25">
      <c r="A175" s="7">
        <f>DATE(YEAR(m3_crossvalid[[#This Row],[cutoff]]),MONTH(m3_crossvalid[[#This Row],[cutoff]]),DAY(m3_crossvalid[[#This Row],[cutoff]]))</f>
        <v>45808</v>
      </c>
      <c r="B175" s="7">
        <f>DATE(YEAR(m3_crossvalid[[#This Row],[ds]]),MONTH(m3_crossvalid[[#This Row],[ds]]),DAY(m3_crossvalid[[#This Row],[ds]]))</f>
        <v>45827</v>
      </c>
      <c r="C175">
        <v>2813</v>
      </c>
      <c r="D175" s="1">
        <v>45827.333333333336</v>
      </c>
      <c r="E175">
        <v>3216.3574580434133</v>
      </c>
      <c r="F175">
        <v>1436.4411484238469</v>
      </c>
      <c r="G175">
        <v>5119.3110015955435</v>
      </c>
      <c r="H175" s="1">
        <v>45808.333333333336</v>
      </c>
    </row>
    <row r="176" spans="1:8" x14ac:dyDescent="0.25">
      <c r="A176" s="7">
        <f>DATE(YEAR(m3_crossvalid[[#This Row],[cutoff]]),MONTH(m3_crossvalid[[#This Row],[cutoff]]),DAY(m3_crossvalid[[#This Row],[cutoff]]))</f>
        <v>45808</v>
      </c>
      <c r="B176" s="7">
        <f>DATE(YEAR(m3_crossvalid[[#This Row],[ds]]),MONTH(m3_crossvalid[[#This Row],[ds]]),DAY(m3_crossvalid[[#This Row],[ds]]))</f>
        <v>45828</v>
      </c>
      <c r="C176">
        <v>3023</v>
      </c>
      <c r="D176" s="1">
        <v>45828.333333333336</v>
      </c>
      <c r="E176">
        <v>3027.4995218170702</v>
      </c>
      <c r="F176">
        <v>1213.8568263212901</v>
      </c>
      <c r="G176">
        <v>4801.7088642990275</v>
      </c>
      <c r="H176" s="1">
        <v>45808.333333333336</v>
      </c>
    </row>
    <row r="177" spans="1:8" x14ac:dyDescent="0.25">
      <c r="A177" s="7">
        <f>DATE(YEAR(m3_crossvalid[[#This Row],[cutoff]]),MONTH(m3_crossvalid[[#This Row],[cutoff]]),DAY(m3_crossvalid[[#This Row],[cutoff]]))</f>
        <v>45808</v>
      </c>
      <c r="B177" s="7">
        <f>DATE(YEAR(m3_crossvalid[[#This Row],[ds]]),MONTH(m3_crossvalid[[#This Row],[ds]]),DAY(m3_crossvalid[[#This Row],[ds]]))</f>
        <v>45829</v>
      </c>
      <c r="C177">
        <v>360</v>
      </c>
      <c r="D177" s="1">
        <v>45829.333333333336</v>
      </c>
      <c r="E177">
        <v>658.36720732393746</v>
      </c>
      <c r="F177">
        <v>-1200.4526296282395</v>
      </c>
      <c r="G177">
        <v>2611.1203848651799</v>
      </c>
      <c r="H177" s="1">
        <v>45808.333333333336</v>
      </c>
    </row>
    <row r="178" spans="1:8" x14ac:dyDescent="0.25">
      <c r="A178" s="7">
        <f>DATE(YEAR(m3_crossvalid[[#This Row],[cutoff]]),MONTH(m3_crossvalid[[#This Row],[cutoff]]),DAY(m3_crossvalid[[#This Row],[cutoff]]))</f>
        <v>45808</v>
      </c>
      <c r="B178" s="7">
        <f>DATE(YEAR(m3_crossvalid[[#This Row],[ds]]),MONTH(m3_crossvalid[[#This Row],[ds]]),DAY(m3_crossvalid[[#This Row],[ds]]))</f>
        <v>45830</v>
      </c>
      <c r="C178">
        <v>129</v>
      </c>
      <c r="D178" s="1">
        <v>45830.333333333336</v>
      </c>
      <c r="E178">
        <v>267.15769082160796</v>
      </c>
      <c r="F178">
        <v>-1651.1616468587374</v>
      </c>
      <c r="G178">
        <v>2073.3543986897498</v>
      </c>
      <c r="H178" s="1">
        <v>45808.333333333336</v>
      </c>
    </row>
    <row r="179" spans="1:8" x14ac:dyDescent="0.25">
      <c r="A179" s="7">
        <f>DATE(YEAR(m3_crossvalid[[#This Row],[cutoff]]),MONTH(m3_crossvalid[[#This Row],[cutoff]]),DAY(m3_crossvalid[[#This Row],[cutoff]]))</f>
        <v>45808</v>
      </c>
      <c r="B179" s="7">
        <f>DATE(YEAR(m3_crossvalid[[#This Row],[ds]]),MONTH(m3_crossvalid[[#This Row],[ds]]),DAY(m3_crossvalid[[#This Row],[ds]]))</f>
        <v>45831</v>
      </c>
      <c r="C179">
        <v>3291</v>
      </c>
      <c r="D179" s="1">
        <v>45831.333333333336</v>
      </c>
      <c r="E179">
        <v>3114.3934392629922</v>
      </c>
      <c r="F179">
        <v>1317.1468120489355</v>
      </c>
      <c r="G179">
        <v>4858.8467748628564</v>
      </c>
      <c r="H179" s="1">
        <v>45808.333333333336</v>
      </c>
    </row>
    <row r="180" spans="1:8" x14ac:dyDescent="0.25">
      <c r="A180" s="7">
        <f>DATE(YEAR(m3_crossvalid[[#This Row],[cutoff]]),MONTH(m3_crossvalid[[#This Row],[cutoff]]),DAY(m3_crossvalid[[#This Row],[cutoff]]))</f>
        <v>45808</v>
      </c>
      <c r="B180" s="7">
        <f>DATE(YEAR(m3_crossvalid[[#This Row],[ds]]),MONTH(m3_crossvalid[[#This Row],[ds]]),DAY(m3_crossvalid[[#This Row],[ds]]))</f>
        <v>45832</v>
      </c>
      <c r="C180">
        <v>3743</v>
      </c>
      <c r="D180" s="1">
        <v>45832.333333333336</v>
      </c>
      <c r="E180">
        <v>3731.7632223875257</v>
      </c>
      <c r="F180">
        <v>2003.4535732306128</v>
      </c>
      <c r="G180">
        <v>5562.1175934358189</v>
      </c>
      <c r="H180" s="1">
        <v>45808.333333333336</v>
      </c>
    </row>
    <row r="181" spans="1:8" x14ac:dyDescent="0.25">
      <c r="A181" s="7">
        <f>DATE(YEAR(m3_crossvalid[[#This Row],[cutoff]]),MONTH(m3_crossvalid[[#This Row],[cutoff]]),DAY(m3_crossvalid[[#This Row],[cutoff]]))</f>
        <v>45808</v>
      </c>
      <c r="B181" s="7">
        <f>DATE(YEAR(m3_crossvalid[[#This Row],[ds]]),MONTH(m3_crossvalid[[#This Row],[ds]]),DAY(m3_crossvalid[[#This Row],[ds]]))</f>
        <v>45833</v>
      </c>
      <c r="C181">
        <v>4576</v>
      </c>
      <c r="D181" s="1">
        <v>45833.333333333336</v>
      </c>
      <c r="E181">
        <v>3893.7889674163898</v>
      </c>
      <c r="F181">
        <v>2080.9576876899814</v>
      </c>
      <c r="G181">
        <v>5787.5845929335064</v>
      </c>
      <c r="H181" s="1">
        <v>45808.333333333336</v>
      </c>
    </row>
    <row r="182" spans="1:8" x14ac:dyDescent="0.25">
      <c r="A182" s="7">
        <f>DATE(YEAR(m3_crossvalid[[#This Row],[cutoff]]),MONTH(m3_crossvalid[[#This Row],[cutoff]]),DAY(m3_crossvalid[[#This Row],[cutoff]]))</f>
        <v>45808</v>
      </c>
      <c r="B182" s="7">
        <f>DATE(YEAR(m3_crossvalid[[#This Row],[ds]]),MONTH(m3_crossvalid[[#This Row],[ds]]),DAY(m3_crossvalid[[#This Row],[ds]]))</f>
        <v>45834</v>
      </c>
      <c r="C182">
        <v>6205</v>
      </c>
      <c r="D182" s="1">
        <v>45834.333333333336</v>
      </c>
      <c r="E182">
        <v>3807.0390265539295</v>
      </c>
      <c r="F182">
        <v>1953.013156201079</v>
      </c>
      <c r="G182">
        <v>5633.084573857921</v>
      </c>
      <c r="H182" s="1">
        <v>45808.333333333336</v>
      </c>
    </row>
    <row r="183" spans="1:8" x14ac:dyDescent="0.25">
      <c r="A183" s="7">
        <f>DATE(YEAR(m3_crossvalid[[#This Row],[cutoff]]),MONTH(m3_crossvalid[[#This Row],[cutoff]]),DAY(m3_crossvalid[[#This Row],[cutoff]]))</f>
        <v>45808</v>
      </c>
      <c r="B183" s="7">
        <f>DATE(YEAR(m3_crossvalid[[#This Row],[ds]]),MONTH(m3_crossvalid[[#This Row],[ds]]),DAY(m3_crossvalid[[#This Row],[ds]]))</f>
        <v>45835</v>
      </c>
      <c r="C183">
        <v>814</v>
      </c>
      <c r="D183" s="1">
        <v>45835.333333333336</v>
      </c>
      <c r="E183">
        <v>2255.230811279449</v>
      </c>
      <c r="F183">
        <v>446.14122400682288</v>
      </c>
      <c r="G183">
        <v>4103.7719254572639</v>
      </c>
      <c r="H183" s="1">
        <v>45808.333333333336</v>
      </c>
    </row>
    <row r="184" spans="1:8" x14ac:dyDescent="0.25">
      <c r="A184" s="7">
        <f>DATE(YEAR(m3_crossvalid[[#This Row],[cutoff]]),MONTH(m3_crossvalid[[#This Row],[cutoff]]),DAY(m3_crossvalid[[#This Row],[cutoff]]))</f>
        <v>45808</v>
      </c>
      <c r="B184" s="7">
        <f>DATE(YEAR(m3_crossvalid[[#This Row],[ds]]),MONTH(m3_crossvalid[[#This Row],[ds]]),DAY(m3_crossvalid[[#This Row],[ds]]))</f>
        <v>45836</v>
      </c>
      <c r="C184">
        <v>2326</v>
      </c>
      <c r="D184" s="1">
        <v>45836.333333333336</v>
      </c>
      <c r="E184">
        <v>2361.975951563104</v>
      </c>
      <c r="F184">
        <v>509.2155153989932</v>
      </c>
      <c r="G184">
        <v>4099.3602615341779</v>
      </c>
      <c r="H184" s="1">
        <v>45808.333333333336</v>
      </c>
    </row>
    <row r="185" spans="1:8" x14ac:dyDescent="0.25">
      <c r="A185" s="7">
        <f>DATE(YEAR(m3_crossvalid[[#This Row],[cutoff]]),MONTH(m3_crossvalid[[#This Row],[cutoff]]),DAY(m3_crossvalid[[#This Row],[cutoff]]))</f>
        <v>45808</v>
      </c>
      <c r="B185" s="7">
        <f>DATE(YEAR(m3_crossvalid[[#This Row],[ds]]),MONTH(m3_crossvalid[[#This Row],[ds]]),DAY(m3_crossvalid[[#This Row],[ds]]))</f>
        <v>45837</v>
      </c>
      <c r="C185">
        <v>427</v>
      </c>
      <c r="D185" s="1">
        <v>45837.333333333336</v>
      </c>
      <c r="E185">
        <v>2962.7687089405663</v>
      </c>
      <c r="F185">
        <v>1182.0044308411918</v>
      </c>
      <c r="G185">
        <v>4851.1078223821169</v>
      </c>
      <c r="H185" s="1">
        <v>45808.333333333336</v>
      </c>
    </row>
    <row r="186" spans="1:8" x14ac:dyDescent="0.25">
      <c r="A186" s="7">
        <f>DATE(YEAR(m3_crossvalid[[#This Row],[cutoff]]),MONTH(m3_crossvalid[[#This Row],[cutoff]]),DAY(m3_crossvalid[[#This Row],[cutoff]]))</f>
        <v>45808</v>
      </c>
      <c r="B186" s="7">
        <f>DATE(YEAR(m3_crossvalid[[#This Row],[ds]]),MONTH(m3_crossvalid[[#This Row],[ds]]),DAY(m3_crossvalid[[#This Row],[ds]]))</f>
        <v>45838</v>
      </c>
      <c r="C186">
        <v>13624</v>
      </c>
      <c r="D186" s="1">
        <v>45838.333333333336</v>
      </c>
      <c r="E186">
        <v>6354.7428802886916</v>
      </c>
      <c r="F186">
        <v>4562.702511623349</v>
      </c>
      <c r="G186">
        <v>8158.5909749832008</v>
      </c>
      <c r="H186" s="1">
        <v>45808.333333333336</v>
      </c>
    </row>
    <row r="187" spans="1:8" x14ac:dyDescent="0.25">
      <c r="A187" s="7">
        <f>DATE(YEAR(m3_crossvalid[[#This Row],[cutoff]]),MONTH(m3_crossvalid[[#This Row],[cutoff]]),DAY(m3_crossvalid[[#This Row],[cutoff]]))</f>
        <v>45808</v>
      </c>
      <c r="B187" s="7">
        <f>DATE(YEAR(m3_crossvalid[[#This Row],[ds]]),MONTH(m3_crossvalid[[#This Row],[ds]]),DAY(m3_crossvalid[[#This Row],[ds]]))</f>
        <v>45839</v>
      </c>
      <c r="C187">
        <v>624</v>
      </c>
      <c r="D187" s="1">
        <v>45839.333333333336</v>
      </c>
      <c r="E187">
        <v>6620.6192278295393</v>
      </c>
      <c r="F187">
        <v>4872.2817453773168</v>
      </c>
      <c r="G187">
        <v>8426.971835898401</v>
      </c>
      <c r="H187" s="1">
        <v>45808.333333333336</v>
      </c>
    </row>
    <row r="188" spans="1:8" x14ac:dyDescent="0.25">
      <c r="A188" s="7">
        <f>DATE(YEAR(m3_crossvalid[[#This Row],[cutoff]]),MONTH(m3_crossvalid[[#This Row],[cutoff]]),DAY(m3_crossvalid[[#This Row],[cutoff]]))</f>
        <v>45838</v>
      </c>
      <c r="B188" s="7">
        <f>DATE(YEAR(m3_crossvalid[[#This Row],[ds]]),MONTH(m3_crossvalid[[#This Row],[ds]]),DAY(m3_crossvalid[[#This Row],[ds]]))</f>
        <v>45839</v>
      </c>
      <c r="C188">
        <v>624</v>
      </c>
      <c r="D188" s="1">
        <v>45839.333333333336</v>
      </c>
      <c r="E188">
        <v>6697.7636362402227</v>
      </c>
      <c r="F188">
        <v>4857.8278235885409</v>
      </c>
      <c r="G188">
        <v>8623.336987303659</v>
      </c>
      <c r="H188" s="1">
        <v>45838.333333333336</v>
      </c>
    </row>
    <row r="189" spans="1:8" x14ac:dyDescent="0.25">
      <c r="A189" s="7">
        <f>DATE(YEAR(m3_crossvalid[[#This Row],[cutoff]]),MONTH(m3_crossvalid[[#This Row],[cutoff]]),DAY(m3_crossvalid[[#This Row],[cutoff]]))</f>
        <v>45838</v>
      </c>
      <c r="B189" s="7">
        <f>DATE(YEAR(m3_crossvalid[[#This Row],[ds]]),MONTH(m3_crossvalid[[#This Row],[ds]]),DAY(m3_crossvalid[[#This Row],[ds]]))</f>
        <v>45840</v>
      </c>
      <c r="C189">
        <v>733</v>
      </c>
      <c r="D189" s="1">
        <v>45840.333333333336</v>
      </c>
      <c r="E189">
        <v>5581.5622448346367</v>
      </c>
      <c r="F189">
        <v>3723.5465030568944</v>
      </c>
      <c r="G189">
        <v>7374.7569711147235</v>
      </c>
      <c r="H189" s="1">
        <v>45838.333333333336</v>
      </c>
    </row>
    <row r="190" spans="1:8" x14ac:dyDescent="0.25">
      <c r="A190" s="7">
        <f>DATE(YEAR(m3_crossvalid[[#This Row],[cutoff]]),MONTH(m3_crossvalid[[#This Row],[cutoff]]),DAY(m3_crossvalid[[#This Row],[cutoff]]))</f>
        <v>45838</v>
      </c>
      <c r="B190" s="7">
        <f>DATE(YEAR(m3_crossvalid[[#This Row],[ds]]),MONTH(m3_crossvalid[[#This Row],[ds]]),DAY(m3_crossvalid[[#This Row],[ds]]))</f>
        <v>45841</v>
      </c>
      <c r="C190">
        <v>1036</v>
      </c>
      <c r="D190" s="1">
        <v>45841.333333333336</v>
      </c>
      <c r="E190">
        <v>3717.6649196417684</v>
      </c>
      <c r="F190">
        <v>2051.2883566980936</v>
      </c>
      <c r="G190">
        <v>5532.7941706012298</v>
      </c>
      <c r="H190" s="1">
        <v>45838.333333333336</v>
      </c>
    </row>
    <row r="191" spans="1:8" x14ac:dyDescent="0.25">
      <c r="A191" s="7">
        <f>DATE(YEAR(m3_crossvalid[[#This Row],[cutoff]]),MONTH(m3_crossvalid[[#This Row],[cutoff]]),DAY(m3_crossvalid[[#This Row],[cutoff]]))</f>
        <v>45838</v>
      </c>
      <c r="B191" s="7">
        <f>DATE(YEAR(m3_crossvalid[[#This Row],[ds]]),MONTH(m3_crossvalid[[#This Row],[ds]]),DAY(m3_crossvalid[[#This Row],[ds]]))</f>
        <v>45842</v>
      </c>
      <c r="C191">
        <v>1189</v>
      </c>
      <c r="D191" s="1">
        <v>45842.333333333336</v>
      </c>
      <c r="E191">
        <v>2020.2529913116709</v>
      </c>
      <c r="F191">
        <v>98.383569997430129</v>
      </c>
      <c r="G191">
        <v>3917.1048005528123</v>
      </c>
      <c r="H191" s="1">
        <v>45838.333333333336</v>
      </c>
    </row>
    <row r="192" spans="1:8" x14ac:dyDescent="0.25">
      <c r="A192" s="7">
        <f>DATE(YEAR(m3_crossvalid[[#This Row],[cutoff]]),MONTH(m3_crossvalid[[#This Row],[cutoff]]),DAY(m3_crossvalid[[#This Row],[cutoff]]))</f>
        <v>45838</v>
      </c>
      <c r="B192" s="7">
        <f>DATE(YEAR(m3_crossvalid[[#This Row],[ds]]),MONTH(m3_crossvalid[[#This Row],[ds]]),DAY(m3_crossvalid[[#This Row],[ds]]))</f>
        <v>45843</v>
      </c>
      <c r="C192">
        <v>170</v>
      </c>
      <c r="D192" s="1">
        <v>45843.333333333336</v>
      </c>
      <c r="E192">
        <v>-1020.9408032048291</v>
      </c>
      <c r="F192">
        <v>-2826.8308251553631</v>
      </c>
      <c r="G192">
        <v>773.7016496001271</v>
      </c>
      <c r="H192" s="1">
        <v>45838.333333333336</v>
      </c>
    </row>
    <row r="193" spans="1:8" x14ac:dyDescent="0.25">
      <c r="A193" s="7">
        <f>DATE(YEAR(m3_crossvalid[[#This Row],[cutoff]]),MONTH(m3_crossvalid[[#This Row],[cutoff]]),DAY(m3_crossvalid[[#This Row],[cutoff]]))</f>
        <v>45838</v>
      </c>
      <c r="B193" s="7">
        <f>DATE(YEAR(m3_crossvalid[[#This Row],[ds]]),MONTH(m3_crossvalid[[#This Row],[ds]]),DAY(m3_crossvalid[[#This Row],[ds]]))</f>
        <v>45844</v>
      </c>
      <c r="C193">
        <v>30</v>
      </c>
      <c r="D193" s="1">
        <v>45844.333333333336</v>
      </c>
      <c r="E193">
        <v>-1467.4410691016415</v>
      </c>
      <c r="F193">
        <v>-3378.5689392363884</v>
      </c>
      <c r="G193">
        <v>310.75368960052771</v>
      </c>
      <c r="H193" s="1">
        <v>45838.333333333336</v>
      </c>
    </row>
    <row r="194" spans="1:8" x14ac:dyDescent="0.25">
      <c r="A194" s="7">
        <f>DATE(YEAR(m3_crossvalid[[#This Row],[cutoff]]),MONTH(m3_crossvalid[[#This Row],[cutoff]]),DAY(m3_crossvalid[[#This Row],[cutoff]]))</f>
        <v>45838</v>
      </c>
      <c r="B194" s="7">
        <f>DATE(YEAR(m3_crossvalid[[#This Row],[ds]]),MONTH(m3_crossvalid[[#This Row],[ds]]),DAY(m3_crossvalid[[#This Row],[ds]]))</f>
        <v>45845</v>
      </c>
      <c r="C194">
        <v>1218</v>
      </c>
      <c r="D194" s="1">
        <v>45845.333333333336</v>
      </c>
      <c r="E194">
        <v>1516.31082911301</v>
      </c>
      <c r="F194">
        <v>-287.6773842976479</v>
      </c>
      <c r="G194">
        <v>3294.3607286873357</v>
      </c>
      <c r="H194" s="1">
        <v>45838.333333333336</v>
      </c>
    </row>
    <row r="195" spans="1:8" x14ac:dyDescent="0.25">
      <c r="A195" s="7">
        <f>DATE(YEAR(m3_crossvalid[[#This Row],[cutoff]]),MONTH(m3_crossvalid[[#This Row],[cutoff]]),DAY(m3_crossvalid[[#This Row],[cutoff]]))</f>
        <v>45838</v>
      </c>
      <c r="B195" s="7">
        <f>DATE(YEAR(m3_crossvalid[[#This Row],[ds]]),MONTH(m3_crossvalid[[#This Row],[ds]]),DAY(m3_crossvalid[[#This Row],[ds]]))</f>
        <v>45846</v>
      </c>
      <c r="C195">
        <v>1543</v>
      </c>
      <c r="D195" s="1">
        <v>45846.333333333336</v>
      </c>
      <c r="E195">
        <v>2035.8529075543966</v>
      </c>
      <c r="F195">
        <v>111.05709840925317</v>
      </c>
      <c r="G195">
        <v>3904.556225202035</v>
      </c>
      <c r="H195" s="1">
        <v>45838.333333333336</v>
      </c>
    </row>
    <row r="196" spans="1:8" x14ac:dyDescent="0.25">
      <c r="A196" s="7">
        <f>DATE(YEAR(m3_crossvalid[[#This Row],[cutoff]]),MONTH(m3_crossvalid[[#This Row],[cutoff]]),DAY(m3_crossvalid[[#This Row],[cutoff]]))</f>
        <v>45838</v>
      </c>
      <c r="B196" s="7">
        <f>DATE(YEAR(m3_crossvalid[[#This Row],[ds]]),MONTH(m3_crossvalid[[#This Row],[ds]]),DAY(m3_crossvalid[[#This Row],[ds]]))</f>
        <v>45847</v>
      </c>
      <c r="C196">
        <v>2120</v>
      </c>
      <c r="D196" s="1">
        <v>45847.333333333336</v>
      </c>
      <c r="E196">
        <v>2053.0767650596617</v>
      </c>
      <c r="F196">
        <v>335.31354517442054</v>
      </c>
      <c r="G196">
        <v>3954.0852476232481</v>
      </c>
      <c r="H196" s="1">
        <v>45838.333333333336</v>
      </c>
    </row>
    <row r="197" spans="1:8" x14ac:dyDescent="0.25">
      <c r="A197" s="7">
        <f>DATE(YEAR(m3_crossvalid[[#This Row],[cutoff]]),MONTH(m3_crossvalid[[#This Row],[cutoff]]),DAY(m3_crossvalid[[#This Row],[cutoff]]))</f>
        <v>45838</v>
      </c>
      <c r="B197" s="7">
        <f>DATE(YEAR(m3_crossvalid[[#This Row],[ds]]),MONTH(m3_crossvalid[[#This Row],[ds]]),DAY(m3_crossvalid[[#This Row],[ds]]))</f>
        <v>45848</v>
      </c>
      <c r="C197">
        <v>2298</v>
      </c>
      <c r="D197" s="1">
        <v>45848.333333333336</v>
      </c>
      <c r="E197">
        <v>1881.1209745413269</v>
      </c>
      <c r="F197">
        <v>39.327738695617164</v>
      </c>
      <c r="G197">
        <v>3693.6560108665362</v>
      </c>
      <c r="H197" s="1">
        <v>45838.333333333336</v>
      </c>
    </row>
    <row r="198" spans="1:8" x14ac:dyDescent="0.25">
      <c r="A198" s="7">
        <f>DATE(YEAR(m3_crossvalid[[#This Row],[cutoff]]),MONTH(m3_crossvalid[[#This Row],[cutoff]]),DAY(m3_crossvalid[[#This Row],[cutoff]]))</f>
        <v>45838</v>
      </c>
      <c r="B198" s="7">
        <f>DATE(YEAR(m3_crossvalid[[#This Row],[ds]]),MONTH(m3_crossvalid[[#This Row],[ds]]),DAY(m3_crossvalid[[#This Row],[ds]]))</f>
        <v>45849</v>
      </c>
      <c r="C198">
        <v>2183</v>
      </c>
      <c r="D198" s="1">
        <v>45849.333333333336</v>
      </c>
      <c r="E198">
        <v>1860.4965042285999</v>
      </c>
      <c r="F198">
        <v>12.051371507275439</v>
      </c>
      <c r="G198">
        <v>3741.8726120613137</v>
      </c>
      <c r="H198" s="1">
        <v>45838.333333333336</v>
      </c>
    </row>
    <row r="199" spans="1:8" x14ac:dyDescent="0.25">
      <c r="A199" s="7">
        <f>DATE(YEAR(m3_crossvalid[[#This Row],[cutoff]]),MONTH(m3_crossvalid[[#This Row],[cutoff]]),DAY(m3_crossvalid[[#This Row],[cutoff]]))</f>
        <v>45838</v>
      </c>
      <c r="B199" s="7">
        <f>DATE(YEAR(m3_crossvalid[[#This Row],[ds]]),MONTH(m3_crossvalid[[#This Row],[ds]]),DAY(m3_crossvalid[[#This Row],[ds]]))</f>
        <v>45850</v>
      </c>
      <c r="C199">
        <v>462</v>
      </c>
      <c r="D199" s="1">
        <v>45850.333333333336</v>
      </c>
      <c r="E199">
        <v>-110.72360549450923</v>
      </c>
      <c r="F199">
        <v>-1874.4392507234252</v>
      </c>
      <c r="G199">
        <v>1707.9406309007254</v>
      </c>
      <c r="H199" s="1">
        <v>45838.333333333336</v>
      </c>
    </row>
    <row r="200" spans="1:8" x14ac:dyDescent="0.25">
      <c r="A200" s="7">
        <f>DATE(YEAR(m3_crossvalid[[#This Row],[cutoff]]),MONTH(m3_crossvalid[[#This Row],[cutoff]]),DAY(m3_crossvalid[[#This Row],[cutoff]]))</f>
        <v>45838</v>
      </c>
      <c r="B200" s="7">
        <f>DATE(YEAR(m3_crossvalid[[#This Row],[ds]]),MONTH(m3_crossvalid[[#This Row],[ds]]),DAY(m3_crossvalid[[#This Row],[ds]]))</f>
        <v>45851</v>
      </c>
      <c r="C200">
        <v>114</v>
      </c>
      <c r="D200" s="1">
        <v>45851.333333333336</v>
      </c>
      <c r="E200">
        <v>-322.0449225432144</v>
      </c>
      <c r="F200">
        <v>-2157.0741287665296</v>
      </c>
      <c r="G200">
        <v>1595.1060888622062</v>
      </c>
      <c r="H200" s="1">
        <v>45838.333333333336</v>
      </c>
    </row>
    <row r="201" spans="1:8" x14ac:dyDescent="0.25">
      <c r="A201" s="7">
        <f>DATE(YEAR(m3_crossvalid[[#This Row],[cutoff]]),MONTH(m3_crossvalid[[#This Row],[cutoff]]),DAY(m3_crossvalid[[#This Row],[cutoff]]))</f>
        <v>45838</v>
      </c>
      <c r="B201" s="7">
        <f>DATE(YEAR(m3_crossvalid[[#This Row],[ds]]),MONTH(m3_crossvalid[[#This Row],[ds]]),DAY(m3_crossvalid[[#This Row],[ds]]))</f>
        <v>45852</v>
      </c>
      <c r="C201">
        <v>2356</v>
      </c>
      <c r="D201" s="1">
        <v>45852.333333333336</v>
      </c>
      <c r="E201">
        <v>2338.2752984362551</v>
      </c>
      <c r="F201">
        <v>588.3001120416352</v>
      </c>
      <c r="G201">
        <v>4098.2621761039409</v>
      </c>
      <c r="H201" s="1">
        <v>45838.333333333336</v>
      </c>
    </row>
    <row r="202" spans="1:8" x14ac:dyDescent="0.25">
      <c r="A202" s="7">
        <f>DATE(YEAR(m3_crossvalid[[#This Row],[cutoff]]),MONTH(m3_crossvalid[[#This Row],[cutoff]]),DAY(m3_crossvalid[[#This Row],[cutoff]]))</f>
        <v>45838</v>
      </c>
      <c r="B202" s="7">
        <f>DATE(YEAR(m3_crossvalid[[#This Row],[ds]]),MONTH(m3_crossvalid[[#This Row],[ds]]),DAY(m3_crossvalid[[#This Row],[ds]]))</f>
        <v>45853</v>
      </c>
      <c r="C202">
        <v>2694</v>
      </c>
      <c r="D202" s="1">
        <v>45853.333333333336</v>
      </c>
      <c r="E202">
        <v>2513.2375517214941</v>
      </c>
      <c r="F202">
        <v>750.15146698482124</v>
      </c>
      <c r="G202">
        <v>4237.8731482661042</v>
      </c>
      <c r="H202" s="1">
        <v>45838.333333333336</v>
      </c>
    </row>
    <row r="203" spans="1:8" x14ac:dyDescent="0.25">
      <c r="A203" s="7">
        <f>DATE(YEAR(m3_crossvalid[[#This Row],[cutoff]]),MONTH(m3_crossvalid[[#This Row],[cutoff]]),DAY(m3_crossvalid[[#This Row],[cutoff]]))</f>
        <v>45838</v>
      </c>
      <c r="B203" s="7">
        <f>DATE(YEAR(m3_crossvalid[[#This Row],[ds]]),MONTH(m3_crossvalid[[#This Row],[ds]]),DAY(m3_crossvalid[[#This Row],[ds]]))</f>
        <v>45854</v>
      </c>
      <c r="C203">
        <v>2796</v>
      </c>
      <c r="D203" s="1">
        <v>45854.333333333336</v>
      </c>
      <c r="E203">
        <v>2531.9682902428167</v>
      </c>
      <c r="F203">
        <v>572.69770010419938</v>
      </c>
      <c r="G203">
        <v>4260.1731696570159</v>
      </c>
      <c r="H203" s="1">
        <v>45838.333333333336</v>
      </c>
    </row>
    <row r="204" spans="1:8" x14ac:dyDescent="0.25">
      <c r="A204" s="7">
        <f>DATE(YEAR(m3_crossvalid[[#This Row],[cutoff]]),MONTH(m3_crossvalid[[#This Row],[cutoff]]),DAY(m3_crossvalid[[#This Row],[cutoff]]))</f>
        <v>45838</v>
      </c>
      <c r="B204" s="7">
        <f>DATE(YEAR(m3_crossvalid[[#This Row],[ds]]),MONTH(m3_crossvalid[[#This Row],[ds]]),DAY(m3_crossvalid[[#This Row],[ds]]))</f>
        <v>45855</v>
      </c>
      <c r="C204">
        <v>2972</v>
      </c>
      <c r="D204" s="1">
        <v>45855.333333333336</v>
      </c>
      <c r="E204">
        <v>2651.99638406145</v>
      </c>
      <c r="F204">
        <v>939.46881021748845</v>
      </c>
      <c r="G204">
        <v>4533.8930469630359</v>
      </c>
      <c r="H204" s="1">
        <v>45838.333333333336</v>
      </c>
    </row>
    <row r="205" spans="1:8" x14ac:dyDescent="0.25">
      <c r="A205" s="7">
        <f>DATE(YEAR(m3_crossvalid[[#This Row],[cutoff]]),MONTH(m3_crossvalid[[#This Row],[cutoff]]),DAY(m3_crossvalid[[#This Row],[cutoff]]))</f>
        <v>45838</v>
      </c>
      <c r="B205" s="7">
        <f>DATE(YEAR(m3_crossvalid[[#This Row],[ds]]),MONTH(m3_crossvalid[[#This Row],[ds]]),DAY(m3_crossvalid[[#This Row],[ds]]))</f>
        <v>45856</v>
      </c>
      <c r="C205">
        <v>2891</v>
      </c>
      <c r="D205" s="1">
        <v>45856.333333333336</v>
      </c>
      <c r="E205">
        <v>2868.0510862566825</v>
      </c>
      <c r="F205">
        <v>1068.0824670123343</v>
      </c>
      <c r="G205">
        <v>4782.139214883613</v>
      </c>
      <c r="H205" s="1">
        <v>45838.333333333336</v>
      </c>
    </row>
    <row r="206" spans="1:8" x14ac:dyDescent="0.25">
      <c r="A206" s="7">
        <f>DATE(YEAR(m3_crossvalid[[#This Row],[cutoff]]),MONTH(m3_crossvalid[[#This Row],[cutoff]]),DAY(m3_crossvalid[[#This Row],[cutoff]]))</f>
        <v>45838</v>
      </c>
      <c r="B206" s="7">
        <f>DATE(YEAR(m3_crossvalid[[#This Row],[ds]]),MONTH(m3_crossvalid[[#This Row],[ds]]),DAY(m3_crossvalid[[#This Row],[ds]]))</f>
        <v>45857</v>
      </c>
      <c r="C206">
        <v>521</v>
      </c>
      <c r="D206" s="1">
        <v>45857.333333333336</v>
      </c>
      <c r="E206">
        <v>816.03399814757563</v>
      </c>
      <c r="F206">
        <v>-1087.6955202477995</v>
      </c>
      <c r="G206">
        <v>2607.3408148432109</v>
      </c>
      <c r="H206" s="1">
        <v>45838.333333333336</v>
      </c>
    </row>
    <row r="207" spans="1:8" x14ac:dyDescent="0.25">
      <c r="A207" s="7">
        <f>DATE(YEAR(m3_crossvalid[[#This Row],[cutoff]]),MONTH(m3_crossvalid[[#This Row],[cutoff]]),DAY(m3_crossvalid[[#This Row],[cutoff]]))</f>
        <v>45838</v>
      </c>
      <c r="B207" s="7">
        <f>DATE(YEAR(m3_crossvalid[[#This Row],[ds]]),MONTH(m3_crossvalid[[#This Row],[ds]]),DAY(m3_crossvalid[[#This Row],[ds]]))</f>
        <v>45858</v>
      </c>
      <c r="C207">
        <v>189</v>
      </c>
      <c r="D207" s="1">
        <v>45858.333333333336</v>
      </c>
      <c r="E207">
        <v>285.30642155475698</v>
      </c>
      <c r="F207">
        <v>-1626.9087704334463</v>
      </c>
      <c r="G207">
        <v>1940.9003671669684</v>
      </c>
      <c r="H207" s="1">
        <v>45838.333333333336</v>
      </c>
    </row>
    <row r="208" spans="1:8" x14ac:dyDescent="0.25">
      <c r="A208" s="7">
        <f>DATE(YEAR(m3_crossvalid[[#This Row],[cutoff]]),MONTH(m3_crossvalid[[#This Row],[cutoff]]),DAY(m3_crossvalid[[#This Row],[cutoff]]))</f>
        <v>45838</v>
      </c>
      <c r="B208" s="7">
        <f>DATE(YEAR(m3_crossvalid[[#This Row],[ds]]),MONTH(m3_crossvalid[[#This Row],[ds]]),DAY(m3_crossvalid[[#This Row],[ds]]))</f>
        <v>45859</v>
      </c>
      <c r="C208">
        <v>2798</v>
      </c>
      <c r="D208" s="1">
        <v>45859.333333333336</v>
      </c>
      <c r="E208">
        <v>2714.5261477914719</v>
      </c>
      <c r="F208">
        <v>805.45596009301596</v>
      </c>
      <c r="G208">
        <v>4645.8319650409176</v>
      </c>
      <c r="H208" s="1">
        <v>45838.333333333336</v>
      </c>
    </row>
    <row r="209" spans="1:8" x14ac:dyDescent="0.25">
      <c r="A209" s="7">
        <f>DATE(YEAR(m3_crossvalid[[#This Row],[cutoff]]),MONTH(m3_crossvalid[[#This Row],[cutoff]]),DAY(m3_crossvalid[[#This Row],[cutoff]]))</f>
        <v>45838</v>
      </c>
      <c r="B209" s="7">
        <f>DATE(YEAR(m3_crossvalid[[#This Row],[ds]]),MONTH(m3_crossvalid[[#This Row],[ds]]),DAY(m3_crossvalid[[#This Row],[ds]]))</f>
        <v>45860</v>
      </c>
      <c r="C209">
        <v>2894</v>
      </c>
      <c r="D209" s="1">
        <v>45860.333333333336</v>
      </c>
      <c r="E209">
        <v>2984.9242513666723</v>
      </c>
      <c r="F209">
        <v>1247.005106359393</v>
      </c>
      <c r="G209">
        <v>4826.0425808375476</v>
      </c>
      <c r="H209" s="1">
        <v>45838.333333333336</v>
      </c>
    </row>
    <row r="210" spans="1:8" x14ac:dyDescent="0.25">
      <c r="A210" s="7">
        <f>DATE(YEAR(m3_crossvalid[[#This Row],[cutoff]]),MONTH(m3_crossvalid[[#This Row],[cutoff]]),DAY(m3_crossvalid[[#This Row],[cutoff]]))</f>
        <v>45838</v>
      </c>
      <c r="B210" s="7">
        <f>DATE(YEAR(m3_crossvalid[[#This Row],[ds]]),MONTH(m3_crossvalid[[#This Row],[ds]]),DAY(m3_crossvalid[[#This Row],[ds]]))</f>
        <v>45861</v>
      </c>
      <c r="C210">
        <v>3299</v>
      </c>
      <c r="D210" s="1">
        <v>45861.333333333336</v>
      </c>
      <c r="E210">
        <v>3333.8618637456029</v>
      </c>
      <c r="F210">
        <v>1546.1827292167236</v>
      </c>
      <c r="G210">
        <v>5196.3712078321714</v>
      </c>
      <c r="H210" s="1">
        <v>45838.333333333336</v>
      </c>
    </row>
    <row r="211" spans="1:8" x14ac:dyDescent="0.25">
      <c r="A211" s="7">
        <f>DATE(YEAR(m3_crossvalid[[#This Row],[cutoff]]),MONTH(m3_crossvalid[[#This Row],[cutoff]]),DAY(m3_crossvalid[[#This Row],[cutoff]]))</f>
        <v>45838</v>
      </c>
      <c r="B211" s="7">
        <f>DATE(YEAR(m3_crossvalid[[#This Row],[ds]]),MONTH(m3_crossvalid[[#This Row],[ds]]),DAY(m3_crossvalid[[#This Row],[ds]]))</f>
        <v>45862</v>
      </c>
      <c r="C211">
        <v>3785</v>
      </c>
      <c r="D211" s="1">
        <v>45862.333333333336</v>
      </c>
      <c r="E211">
        <v>3693.2883865652921</v>
      </c>
      <c r="F211">
        <v>1788.679845405733</v>
      </c>
      <c r="G211">
        <v>5535.8178715637705</v>
      </c>
      <c r="H211" s="1">
        <v>45838.333333333336</v>
      </c>
    </row>
    <row r="212" spans="1:8" x14ac:dyDescent="0.25">
      <c r="A212" s="7">
        <f>DATE(YEAR(m3_crossvalid[[#This Row],[cutoff]]),MONTH(m3_crossvalid[[#This Row],[cutoff]]),DAY(m3_crossvalid[[#This Row],[cutoff]]))</f>
        <v>45838</v>
      </c>
      <c r="B212" s="7">
        <f>DATE(YEAR(m3_crossvalid[[#This Row],[ds]]),MONTH(m3_crossvalid[[#This Row],[ds]]),DAY(m3_crossvalid[[#This Row],[ds]]))</f>
        <v>45863</v>
      </c>
      <c r="C212">
        <v>3663</v>
      </c>
      <c r="D212" s="1">
        <v>45863.333333333336</v>
      </c>
      <c r="E212">
        <v>3842.0919197069197</v>
      </c>
      <c r="F212">
        <v>1967.2568355226229</v>
      </c>
      <c r="G212">
        <v>5604.633736359674</v>
      </c>
      <c r="H212" s="1">
        <v>45838.333333333336</v>
      </c>
    </row>
    <row r="213" spans="1:8" x14ac:dyDescent="0.25">
      <c r="A213" s="7">
        <f>DATE(YEAR(m3_crossvalid[[#This Row],[cutoff]]),MONTH(m3_crossvalid[[#This Row],[cutoff]]),DAY(m3_crossvalid[[#This Row],[cutoff]]))</f>
        <v>45838</v>
      </c>
      <c r="B213" s="7">
        <f>DATE(YEAR(m3_crossvalid[[#This Row],[ds]]),MONTH(m3_crossvalid[[#This Row],[ds]]),DAY(m3_crossvalid[[#This Row],[ds]]))</f>
        <v>45864</v>
      </c>
      <c r="C213">
        <v>901</v>
      </c>
      <c r="D213" s="1">
        <v>45864.333333333336</v>
      </c>
      <c r="E213">
        <v>1563.3837563893703</v>
      </c>
      <c r="F213">
        <v>-244.0670668512586</v>
      </c>
      <c r="G213">
        <v>3492.6665217023501</v>
      </c>
      <c r="H213" s="1">
        <v>45838.333333333336</v>
      </c>
    </row>
    <row r="214" spans="1:8" x14ac:dyDescent="0.25">
      <c r="A214" s="7">
        <f>DATE(YEAR(m3_crossvalid[[#This Row],[cutoff]]),MONTH(m3_crossvalid[[#This Row],[cutoff]]),DAY(m3_crossvalid[[#This Row],[cutoff]]))</f>
        <v>45838</v>
      </c>
      <c r="B214" s="7">
        <f>DATE(YEAR(m3_crossvalid[[#This Row],[ds]]),MONTH(m3_crossvalid[[#This Row],[ds]]),DAY(m3_crossvalid[[#This Row],[ds]]))</f>
        <v>45865</v>
      </c>
      <c r="C214">
        <v>262</v>
      </c>
      <c r="D214" s="1">
        <v>45865.333333333336</v>
      </c>
      <c r="E214">
        <v>1058.5608189311463</v>
      </c>
      <c r="F214">
        <v>-722.3993507124361</v>
      </c>
      <c r="G214">
        <v>2864.2804313503907</v>
      </c>
      <c r="H214" s="1">
        <v>45838.333333333336</v>
      </c>
    </row>
    <row r="215" spans="1:8" x14ac:dyDescent="0.25">
      <c r="A215" s="7">
        <f>DATE(YEAR(m3_crossvalid[[#This Row],[cutoff]]),MONTH(m3_crossvalid[[#This Row],[cutoff]]),DAY(m3_crossvalid[[#This Row],[cutoff]]))</f>
        <v>45838</v>
      </c>
      <c r="B215" s="7">
        <f>DATE(YEAR(m3_crossvalid[[#This Row],[ds]]),MONTH(m3_crossvalid[[#This Row],[ds]]),DAY(m3_crossvalid[[#This Row],[ds]]))</f>
        <v>45866</v>
      </c>
      <c r="C215">
        <v>4324</v>
      </c>
      <c r="D215" s="1">
        <v>45866.333333333336</v>
      </c>
      <c r="E215">
        <v>4062.1034479467653</v>
      </c>
      <c r="F215">
        <v>2140.6964740055987</v>
      </c>
      <c r="G215">
        <v>5901.3677232475802</v>
      </c>
      <c r="H215" s="1">
        <v>45838.333333333336</v>
      </c>
    </row>
    <row r="216" spans="1:8" x14ac:dyDescent="0.25">
      <c r="A216" s="7">
        <f>DATE(YEAR(m3_crossvalid[[#This Row],[cutoff]]),MONTH(m3_crossvalid[[#This Row],[cutoff]]),DAY(m3_crossvalid[[#This Row],[cutoff]]))</f>
        <v>45838</v>
      </c>
      <c r="B216" s="7">
        <f>DATE(YEAR(m3_crossvalid[[#This Row],[ds]]),MONTH(m3_crossvalid[[#This Row],[ds]]),DAY(m3_crossvalid[[#This Row],[ds]]))</f>
        <v>45867</v>
      </c>
      <c r="C216">
        <v>5336</v>
      </c>
      <c r="D216" s="1">
        <v>45867.333333333336</v>
      </c>
      <c r="E216">
        <v>5311.528043270233</v>
      </c>
      <c r="F216">
        <v>3460.5259787406053</v>
      </c>
      <c r="G216">
        <v>7209.1961863907109</v>
      </c>
      <c r="H216" s="1">
        <v>45838.333333333336</v>
      </c>
    </row>
    <row r="217" spans="1:8" x14ac:dyDescent="0.25">
      <c r="A217" s="7">
        <f>DATE(YEAR(m3_crossvalid[[#This Row],[cutoff]]),MONTH(m3_crossvalid[[#This Row],[cutoff]]),DAY(m3_crossvalid[[#This Row],[cutoff]]))</f>
        <v>45838</v>
      </c>
      <c r="B217" s="7">
        <f>DATE(YEAR(m3_crossvalid[[#This Row],[ds]]),MONTH(m3_crossvalid[[#This Row],[ds]]),DAY(m3_crossvalid[[#This Row],[ds]]))</f>
        <v>45868</v>
      </c>
      <c r="C217">
        <v>8373</v>
      </c>
      <c r="D217" s="1">
        <v>45868.333333333336</v>
      </c>
      <c r="E217">
        <v>6493.1393156105933</v>
      </c>
      <c r="F217">
        <v>4700.9178262075211</v>
      </c>
      <c r="G217">
        <v>8251.9485367529651</v>
      </c>
      <c r="H217" s="1">
        <v>45838.333333333336</v>
      </c>
    </row>
    <row r="218" spans="1:8" x14ac:dyDescent="0.25">
      <c r="A218" s="7">
        <f>DATE(YEAR(m3_crossvalid[[#This Row],[cutoff]]),MONTH(m3_crossvalid[[#This Row],[cutoff]]),DAY(m3_crossvalid[[#This Row],[cutoff]]))</f>
        <v>45838</v>
      </c>
      <c r="B218" s="7">
        <f>DATE(YEAR(m3_crossvalid[[#This Row],[ds]]),MONTH(m3_crossvalid[[#This Row],[ds]]),DAY(m3_crossvalid[[#This Row],[ds]]))</f>
        <v>45869</v>
      </c>
      <c r="C218">
        <v>11889</v>
      </c>
      <c r="D218" s="1">
        <v>45869.333333333336</v>
      </c>
      <c r="E218">
        <v>6950.1737922304274</v>
      </c>
      <c r="F218">
        <v>4996.3910792544748</v>
      </c>
      <c r="G218">
        <v>8835.4476524346737</v>
      </c>
      <c r="H218" s="1">
        <v>45838.333333333336</v>
      </c>
    </row>
    <row r="219" spans="1:8" x14ac:dyDescent="0.25">
      <c r="A219" s="7">
        <f>DATE(YEAR(m3_crossvalid[[#This Row],[cutoff]]),MONTH(m3_crossvalid[[#This Row],[cutoff]]),DAY(m3_crossvalid[[#This Row],[cutoff]]))</f>
        <v>45869</v>
      </c>
      <c r="B219" s="7">
        <f>DATE(YEAR(m3_crossvalid[[#This Row],[ds]]),MONTH(m3_crossvalid[[#This Row],[ds]]),DAY(m3_crossvalid[[#This Row],[ds]]))</f>
        <v>45870</v>
      </c>
      <c r="C219">
        <v>761</v>
      </c>
      <c r="D219" s="1">
        <v>45870.333333333336</v>
      </c>
      <c r="E219">
        <v>6255.4415035511065</v>
      </c>
      <c r="F219">
        <v>4565.1516281621452</v>
      </c>
      <c r="G219">
        <v>8079.833080090164</v>
      </c>
      <c r="H219" s="1">
        <v>45869.333333333336</v>
      </c>
    </row>
    <row r="220" spans="1:8" x14ac:dyDescent="0.25">
      <c r="A220" s="7">
        <f>DATE(YEAR(m3_crossvalid[[#This Row],[cutoff]]),MONTH(m3_crossvalid[[#This Row],[cutoff]]),DAY(m3_crossvalid[[#This Row],[cutoff]]))</f>
        <v>45869</v>
      </c>
      <c r="B220" s="7">
        <f>DATE(YEAR(m3_crossvalid[[#This Row],[ds]]),MONTH(m3_crossvalid[[#This Row],[ds]]),DAY(m3_crossvalid[[#This Row],[ds]]))</f>
        <v>45871</v>
      </c>
      <c r="C220">
        <v>74</v>
      </c>
      <c r="D220" s="1">
        <v>45871.333333333336</v>
      </c>
      <c r="E220">
        <v>2368.4718611172989</v>
      </c>
      <c r="F220">
        <v>459.08132592878491</v>
      </c>
      <c r="G220">
        <v>4123.6865547096186</v>
      </c>
      <c r="H220" s="1">
        <v>45869.333333333336</v>
      </c>
    </row>
    <row r="221" spans="1:8" x14ac:dyDescent="0.25">
      <c r="A221" s="7">
        <f>DATE(YEAR(m3_crossvalid[[#This Row],[cutoff]]),MONTH(m3_crossvalid[[#This Row],[cutoff]]),DAY(m3_crossvalid[[#This Row],[cutoff]]))</f>
        <v>45869</v>
      </c>
      <c r="B221" s="7">
        <f>DATE(YEAR(m3_crossvalid[[#This Row],[ds]]),MONTH(m3_crossvalid[[#This Row],[ds]]),DAY(m3_crossvalid[[#This Row],[ds]]))</f>
        <v>45872</v>
      </c>
      <c r="C221">
        <v>28</v>
      </c>
      <c r="D221" s="1">
        <v>45872.333333333336</v>
      </c>
      <c r="E221">
        <v>37.522398237364087</v>
      </c>
      <c r="F221">
        <v>-1749.5109230969701</v>
      </c>
      <c r="G221">
        <v>1876.4394442889975</v>
      </c>
      <c r="H221" s="1">
        <v>45869.333333333336</v>
      </c>
    </row>
    <row r="222" spans="1:8" x14ac:dyDescent="0.25">
      <c r="A222" s="7">
        <f>DATE(YEAR(m3_crossvalid[[#This Row],[cutoff]]),MONTH(m3_crossvalid[[#This Row],[cutoff]]),DAY(m3_crossvalid[[#This Row],[cutoff]]))</f>
        <v>45869</v>
      </c>
      <c r="B222" s="7">
        <f>DATE(YEAR(m3_crossvalid[[#This Row],[ds]]),MONTH(m3_crossvalid[[#This Row],[ds]]),DAY(m3_crossvalid[[#This Row],[ds]]))</f>
        <v>45873</v>
      </c>
      <c r="C222">
        <v>912</v>
      </c>
      <c r="D222" s="1">
        <v>45873.333333333336</v>
      </c>
      <c r="E222">
        <v>1395.702975409806</v>
      </c>
      <c r="F222">
        <v>-504.17374407982561</v>
      </c>
      <c r="G222">
        <v>3267.2819412770332</v>
      </c>
      <c r="H222" s="1">
        <v>45869.333333333336</v>
      </c>
    </row>
    <row r="223" spans="1:8" x14ac:dyDescent="0.25">
      <c r="A223" s="7">
        <f>DATE(YEAR(m3_crossvalid[[#This Row],[cutoff]]),MONTH(m3_crossvalid[[#This Row],[cutoff]]),DAY(m3_crossvalid[[#This Row],[cutoff]]))</f>
        <v>45869</v>
      </c>
      <c r="B223" s="7">
        <f>DATE(YEAR(m3_crossvalid[[#This Row],[ds]]),MONTH(m3_crossvalid[[#This Row],[ds]]),DAY(m3_crossvalid[[#This Row],[ds]]))</f>
        <v>45874</v>
      </c>
      <c r="C223">
        <v>2022</v>
      </c>
      <c r="D223" s="1">
        <v>45874.333333333336</v>
      </c>
      <c r="E223">
        <v>1353.8048902818525</v>
      </c>
      <c r="F223">
        <v>-423.48674642313694</v>
      </c>
      <c r="G223">
        <v>3277.1378395994889</v>
      </c>
      <c r="H223" s="1">
        <v>45869.333333333336</v>
      </c>
    </row>
    <row r="224" spans="1:8" x14ac:dyDescent="0.25">
      <c r="A224" s="7">
        <f>DATE(YEAR(m3_crossvalid[[#This Row],[cutoff]]),MONTH(m3_crossvalid[[#This Row],[cutoff]]),DAY(m3_crossvalid[[#This Row],[cutoff]]))</f>
        <v>45869</v>
      </c>
      <c r="B224" s="7">
        <f>DATE(YEAR(m3_crossvalid[[#This Row],[ds]]),MONTH(m3_crossvalid[[#This Row],[ds]]),DAY(m3_crossvalid[[#This Row],[ds]]))</f>
        <v>45875</v>
      </c>
      <c r="C224">
        <v>1344</v>
      </c>
      <c r="D224" s="1">
        <v>45875.333333333336</v>
      </c>
      <c r="E224">
        <v>1779.7559748833551</v>
      </c>
      <c r="F224">
        <v>-191.27461102083686</v>
      </c>
      <c r="G224">
        <v>3602.2264601693569</v>
      </c>
      <c r="H224" s="1">
        <v>45869.333333333336</v>
      </c>
    </row>
    <row r="225" spans="1:8" x14ac:dyDescent="0.25">
      <c r="A225" s="7">
        <f>DATE(YEAR(m3_crossvalid[[#This Row],[cutoff]]),MONTH(m3_crossvalid[[#This Row],[cutoff]]),DAY(m3_crossvalid[[#This Row],[cutoff]]))</f>
        <v>45869</v>
      </c>
      <c r="B225" s="7">
        <f>DATE(YEAR(m3_crossvalid[[#This Row],[ds]]),MONTH(m3_crossvalid[[#This Row],[ds]]),DAY(m3_crossvalid[[#This Row],[ds]]))</f>
        <v>45876</v>
      </c>
      <c r="C225">
        <v>1585</v>
      </c>
      <c r="D225" s="1">
        <v>45876.333333333336</v>
      </c>
      <c r="E225">
        <v>2146.2234562649223</v>
      </c>
      <c r="F225">
        <v>328.04703283205851</v>
      </c>
      <c r="G225">
        <v>4019.091721994625</v>
      </c>
      <c r="H225" s="1">
        <v>45869.333333333336</v>
      </c>
    </row>
    <row r="226" spans="1:8" x14ac:dyDescent="0.25">
      <c r="A226" s="7">
        <f>DATE(YEAR(m3_crossvalid[[#This Row],[cutoff]]),MONTH(m3_crossvalid[[#This Row],[cutoff]]),DAY(m3_crossvalid[[#This Row],[cutoff]]))</f>
        <v>45869</v>
      </c>
      <c r="B226" s="7">
        <f>DATE(YEAR(m3_crossvalid[[#This Row],[ds]]),MONTH(m3_crossvalid[[#This Row],[ds]]),DAY(m3_crossvalid[[#This Row],[ds]]))</f>
        <v>45877</v>
      </c>
      <c r="C226">
        <v>2032</v>
      </c>
      <c r="D226" s="1">
        <v>45877.333333333336</v>
      </c>
      <c r="E226">
        <v>2110.5869493056862</v>
      </c>
      <c r="F226">
        <v>196.75116164837507</v>
      </c>
      <c r="G226">
        <v>3799.0784011913834</v>
      </c>
      <c r="H226" s="1">
        <v>45869.333333333336</v>
      </c>
    </row>
    <row r="227" spans="1:8" x14ac:dyDescent="0.25">
      <c r="A227" s="7">
        <f>DATE(YEAR(m3_crossvalid[[#This Row],[cutoff]]),MONTH(m3_crossvalid[[#This Row],[cutoff]]),DAY(m3_crossvalid[[#This Row],[cutoff]]))</f>
        <v>45869</v>
      </c>
      <c r="B227" s="7">
        <f>DATE(YEAR(m3_crossvalid[[#This Row],[ds]]),MONTH(m3_crossvalid[[#This Row],[ds]]),DAY(m3_crossvalid[[#This Row],[ds]]))</f>
        <v>45878</v>
      </c>
      <c r="C227">
        <v>327</v>
      </c>
      <c r="D227" s="1">
        <v>45878.333333333336</v>
      </c>
      <c r="E227">
        <v>-292.87159439019888</v>
      </c>
      <c r="F227">
        <v>-2245.7847266291624</v>
      </c>
      <c r="G227">
        <v>1815.7141871172166</v>
      </c>
      <c r="H227" s="1">
        <v>45869.333333333336</v>
      </c>
    </row>
    <row r="228" spans="1:8" x14ac:dyDescent="0.25">
      <c r="A228" s="7">
        <f>DATE(YEAR(m3_crossvalid[[#This Row],[cutoff]]),MONTH(m3_crossvalid[[#This Row],[cutoff]]),DAY(m3_crossvalid[[#This Row],[cutoff]]))</f>
        <v>45869</v>
      </c>
      <c r="B228" s="7">
        <f>DATE(YEAR(m3_crossvalid[[#This Row],[ds]]),MONTH(m3_crossvalid[[#This Row],[ds]]),DAY(m3_crossvalid[[#This Row],[ds]]))</f>
        <v>45879</v>
      </c>
      <c r="C228">
        <v>78</v>
      </c>
      <c r="D228" s="1">
        <v>45879.333333333336</v>
      </c>
      <c r="E228">
        <v>-869.63611795346787</v>
      </c>
      <c r="F228">
        <v>-2673.1620483981833</v>
      </c>
      <c r="G228">
        <v>1038.6996951568158</v>
      </c>
      <c r="H228" s="1">
        <v>45869.333333333336</v>
      </c>
    </row>
    <row r="229" spans="1:8" x14ac:dyDescent="0.25">
      <c r="A229" s="7">
        <f>DATE(YEAR(m3_crossvalid[[#This Row],[cutoff]]),MONTH(m3_crossvalid[[#This Row],[cutoff]]),DAY(m3_crossvalid[[#This Row],[cutoff]]))</f>
        <v>45869</v>
      </c>
      <c r="B229" s="7">
        <f>DATE(YEAR(m3_crossvalid[[#This Row],[ds]]),MONTH(m3_crossvalid[[#This Row],[ds]]),DAY(m3_crossvalid[[#This Row],[ds]]))</f>
        <v>45880</v>
      </c>
      <c r="C229">
        <v>2043</v>
      </c>
      <c r="D229" s="1">
        <v>45880.333333333336</v>
      </c>
      <c r="E229">
        <v>1883.0572585009238</v>
      </c>
      <c r="F229">
        <v>-60.425763807573595</v>
      </c>
      <c r="G229">
        <v>3733.9279892992035</v>
      </c>
      <c r="H229" s="1">
        <v>45869.333333333336</v>
      </c>
    </row>
    <row r="230" spans="1:8" x14ac:dyDescent="0.25">
      <c r="A230" s="7">
        <f>DATE(YEAR(m3_crossvalid[[#This Row],[cutoff]]),MONTH(m3_crossvalid[[#This Row],[cutoff]]),DAY(m3_crossvalid[[#This Row],[cutoff]]))</f>
        <v>45869</v>
      </c>
      <c r="B230" s="7">
        <f>DATE(YEAR(m3_crossvalid[[#This Row],[ds]]),MONTH(m3_crossvalid[[#This Row],[ds]]),DAY(m3_crossvalid[[#This Row],[ds]]))</f>
        <v>45881</v>
      </c>
      <c r="C230">
        <v>2431</v>
      </c>
      <c r="D230" s="1">
        <v>45881.333333333336</v>
      </c>
      <c r="E230">
        <v>2449.6604529998308</v>
      </c>
      <c r="F230">
        <v>496.36896095248204</v>
      </c>
      <c r="G230">
        <v>4264.0576089337465</v>
      </c>
      <c r="H230" s="1">
        <v>45869.333333333336</v>
      </c>
    </row>
    <row r="231" spans="1:8" x14ac:dyDescent="0.25">
      <c r="A231" s="7">
        <f>DATE(YEAR(m3_crossvalid[[#This Row],[cutoff]]),MONTH(m3_crossvalid[[#This Row],[cutoff]]),DAY(m3_crossvalid[[#This Row],[cutoff]]))</f>
        <v>45869</v>
      </c>
      <c r="B231" s="7">
        <f>DATE(YEAR(m3_crossvalid[[#This Row],[ds]]),MONTH(m3_crossvalid[[#This Row],[ds]]),DAY(m3_crossvalid[[#This Row],[ds]]))</f>
        <v>45882</v>
      </c>
      <c r="C231">
        <v>2484</v>
      </c>
      <c r="D231" s="1">
        <v>45882.333333333336</v>
      </c>
      <c r="E231">
        <v>2755.1818226695304</v>
      </c>
      <c r="F231">
        <v>981.28949806432752</v>
      </c>
      <c r="G231">
        <v>4587.2132225703535</v>
      </c>
      <c r="H231" s="1">
        <v>45869.333333333336</v>
      </c>
    </row>
    <row r="232" spans="1:8" x14ac:dyDescent="0.25">
      <c r="A232" s="7">
        <f>DATE(YEAR(m3_crossvalid[[#This Row],[cutoff]]),MONTH(m3_crossvalid[[#This Row],[cutoff]]),DAY(m3_crossvalid[[#This Row],[cutoff]]))</f>
        <v>45869</v>
      </c>
      <c r="B232" s="7">
        <f>DATE(YEAR(m3_crossvalid[[#This Row],[ds]]),MONTH(m3_crossvalid[[#This Row],[ds]]),DAY(m3_crossvalid[[#This Row],[ds]]))</f>
        <v>45883</v>
      </c>
      <c r="C232">
        <v>2669</v>
      </c>
      <c r="D232" s="1">
        <v>45883.333333333336</v>
      </c>
      <c r="E232">
        <v>2736.1666396617979</v>
      </c>
      <c r="F232">
        <v>873.0658308796967</v>
      </c>
      <c r="G232">
        <v>4664.5482096936412</v>
      </c>
      <c r="H232" s="1">
        <v>45869.333333333336</v>
      </c>
    </row>
    <row r="233" spans="1:8" x14ac:dyDescent="0.25">
      <c r="A233" s="7">
        <f>DATE(YEAR(m3_crossvalid[[#This Row],[cutoff]]),MONTH(m3_crossvalid[[#This Row],[cutoff]]),DAY(m3_crossvalid[[#This Row],[cutoff]]))</f>
        <v>45869</v>
      </c>
      <c r="B233" s="7">
        <f>DATE(YEAR(m3_crossvalid[[#This Row],[ds]]),MONTH(m3_crossvalid[[#This Row],[ds]]),DAY(m3_crossvalid[[#This Row],[ds]]))</f>
        <v>45884</v>
      </c>
      <c r="C233">
        <v>3160</v>
      </c>
      <c r="D233" s="1">
        <v>45884.333333333336</v>
      </c>
      <c r="E233">
        <v>2535.4251782087363</v>
      </c>
      <c r="F233">
        <v>760.51858142655885</v>
      </c>
      <c r="G233">
        <v>4380.0772365004741</v>
      </c>
      <c r="H233" s="1">
        <v>45869.333333333336</v>
      </c>
    </row>
    <row r="234" spans="1:8" x14ac:dyDescent="0.25">
      <c r="A234" s="7">
        <f>DATE(YEAR(m3_crossvalid[[#This Row],[cutoff]]),MONTH(m3_crossvalid[[#This Row],[cutoff]]),DAY(m3_crossvalid[[#This Row],[cutoff]]))</f>
        <v>45869</v>
      </c>
      <c r="B234" s="7">
        <f>DATE(YEAR(m3_crossvalid[[#This Row],[ds]]),MONTH(m3_crossvalid[[#This Row],[ds]]),DAY(m3_crossvalid[[#This Row],[ds]]))</f>
        <v>45885</v>
      </c>
      <c r="C234">
        <v>560</v>
      </c>
      <c r="D234" s="1">
        <v>45885.333333333336</v>
      </c>
      <c r="E234">
        <v>325.15415024432559</v>
      </c>
      <c r="F234">
        <v>-1403.6816684463402</v>
      </c>
      <c r="G234">
        <v>2112.4172112385409</v>
      </c>
      <c r="H234" s="1">
        <v>45869.333333333336</v>
      </c>
    </row>
    <row r="235" spans="1:8" x14ac:dyDescent="0.25">
      <c r="A235" s="7">
        <f>DATE(YEAR(m3_crossvalid[[#This Row],[cutoff]]),MONTH(m3_crossvalid[[#This Row],[cutoff]]),DAY(m3_crossvalid[[#This Row],[cutoff]]))</f>
        <v>45869</v>
      </c>
      <c r="B235" s="7">
        <f>DATE(YEAR(m3_crossvalid[[#This Row],[ds]]),MONTH(m3_crossvalid[[#This Row],[ds]]),DAY(m3_crossvalid[[#This Row],[ds]]))</f>
        <v>45886</v>
      </c>
      <c r="C235">
        <v>166</v>
      </c>
      <c r="D235" s="1">
        <v>45886.333333333336</v>
      </c>
      <c r="E235">
        <v>49.367470212364879</v>
      </c>
      <c r="F235">
        <v>-1798.6117901667424</v>
      </c>
      <c r="G235">
        <v>1967.6961798831844</v>
      </c>
      <c r="H235" s="1">
        <v>45869.333333333336</v>
      </c>
    </row>
    <row r="236" spans="1:8" x14ac:dyDescent="0.25">
      <c r="A236" s="7">
        <f>DATE(YEAR(m3_crossvalid[[#This Row],[cutoff]]),MONTH(m3_crossvalid[[#This Row],[cutoff]]),DAY(m3_crossvalid[[#This Row],[cutoff]]))</f>
        <v>45869</v>
      </c>
      <c r="B236" s="7">
        <f>DATE(YEAR(m3_crossvalid[[#This Row],[ds]]),MONTH(m3_crossvalid[[#This Row],[ds]]),DAY(m3_crossvalid[[#This Row],[ds]]))</f>
        <v>45887</v>
      </c>
      <c r="C236">
        <v>3003</v>
      </c>
      <c r="D236" s="1">
        <v>45887.333333333336</v>
      </c>
      <c r="E236">
        <v>2872.41236810497</v>
      </c>
      <c r="F236">
        <v>940.66122981371745</v>
      </c>
      <c r="G236">
        <v>4745.0994115387712</v>
      </c>
      <c r="H236" s="1">
        <v>45869.333333333336</v>
      </c>
    </row>
    <row r="237" spans="1:8" x14ac:dyDescent="0.25">
      <c r="A237" s="7">
        <f>DATE(YEAR(m3_crossvalid[[#This Row],[cutoff]]),MONTH(m3_crossvalid[[#This Row],[cutoff]]),DAY(m3_crossvalid[[#This Row],[cutoff]]))</f>
        <v>45869</v>
      </c>
      <c r="B237" s="7">
        <f>DATE(YEAR(m3_crossvalid[[#This Row],[ds]]),MONTH(m3_crossvalid[[#This Row],[ds]]),DAY(m3_crossvalid[[#This Row],[ds]]))</f>
        <v>45888</v>
      </c>
      <c r="C237">
        <v>3182</v>
      </c>
      <c r="D237" s="1">
        <v>45888.333333333336</v>
      </c>
      <c r="E237">
        <v>3199.1272088068226</v>
      </c>
      <c r="F237">
        <v>1332.4133749209818</v>
      </c>
      <c r="G237">
        <v>5092.367717948393</v>
      </c>
      <c r="H237" s="1">
        <v>45869.333333333336</v>
      </c>
    </row>
    <row r="238" spans="1:8" x14ac:dyDescent="0.25">
      <c r="A238" s="7">
        <f>DATE(YEAR(m3_crossvalid[[#This Row],[cutoff]]),MONTH(m3_crossvalid[[#This Row],[cutoff]]),DAY(m3_crossvalid[[#This Row],[cutoff]]))</f>
        <v>45869</v>
      </c>
      <c r="B238" s="7">
        <f>DATE(YEAR(m3_crossvalid[[#This Row],[ds]]),MONTH(m3_crossvalid[[#This Row],[ds]]),DAY(m3_crossvalid[[#This Row],[ds]]))</f>
        <v>45889</v>
      </c>
      <c r="C238">
        <v>3745</v>
      </c>
      <c r="D238" s="1">
        <v>45889.333333333336</v>
      </c>
      <c r="E238">
        <v>3201.9681798823253</v>
      </c>
      <c r="F238">
        <v>1317.4668796235587</v>
      </c>
      <c r="G238">
        <v>5041.3280483742565</v>
      </c>
      <c r="H238" s="1">
        <v>45869.333333333336</v>
      </c>
    </row>
    <row r="239" spans="1:8" x14ac:dyDescent="0.25">
      <c r="A239" s="7">
        <f>DATE(YEAR(m3_crossvalid[[#This Row],[cutoff]]),MONTH(m3_crossvalid[[#This Row],[cutoff]]),DAY(m3_crossvalid[[#This Row],[cutoff]]))</f>
        <v>45869</v>
      </c>
      <c r="B239" s="7">
        <f>DATE(YEAR(m3_crossvalid[[#This Row],[ds]]),MONTH(m3_crossvalid[[#This Row],[ds]]),DAY(m3_crossvalid[[#This Row],[ds]]))</f>
        <v>45890</v>
      </c>
      <c r="C239">
        <v>3754</v>
      </c>
      <c r="D239" s="1">
        <v>45890.333333333336</v>
      </c>
      <c r="E239">
        <v>3132.1362161206453</v>
      </c>
      <c r="F239">
        <v>1169.9211738437602</v>
      </c>
      <c r="G239">
        <v>5094.5110839875051</v>
      </c>
      <c r="H239" s="1">
        <v>45869.333333333336</v>
      </c>
    </row>
    <row r="240" spans="1:8" x14ac:dyDescent="0.25">
      <c r="A240" s="7">
        <f>DATE(YEAR(m3_crossvalid[[#This Row],[cutoff]]),MONTH(m3_crossvalid[[#This Row],[cutoff]]),DAY(m3_crossvalid[[#This Row],[cutoff]]))</f>
        <v>45869</v>
      </c>
      <c r="B240" s="7">
        <f>DATE(YEAR(m3_crossvalid[[#This Row],[ds]]),MONTH(m3_crossvalid[[#This Row],[ds]]),DAY(m3_crossvalid[[#This Row],[ds]]))</f>
        <v>45891</v>
      </c>
      <c r="C240">
        <v>3741</v>
      </c>
      <c r="D240" s="1">
        <v>45891.333333333336</v>
      </c>
      <c r="E240">
        <v>3192.8399376615321</v>
      </c>
      <c r="F240">
        <v>1320.6152966224402</v>
      </c>
      <c r="G240">
        <v>5053.6081891804133</v>
      </c>
      <c r="H240" s="1">
        <v>45869.333333333336</v>
      </c>
    </row>
    <row r="241" spans="1:8" x14ac:dyDescent="0.25">
      <c r="A241" s="7">
        <f>DATE(YEAR(m3_crossvalid[[#This Row],[cutoff]]),MONTH(m3_crossvalid[[#This Row],[cutoff]]),DAY(m3_crossvalid[[#This Row],[cutoff]]))</f>
        <v>45869</v>
      </c>
      <c r="B241" s="7">
        <f>DATE(YEAR(m3_crossvalid[[#This Row],[ds]]),MONTH(m3_crossvalid[[#This Row],[ds]]),DAY(m3_crossvalid[[#This Row],[ds]]))</f>
        <v>45892</v>
      </c>
      <c r="C241">
        <v>761</v>
      </c>
      <c r="D241" s="1">
        <v>45892.333333333336</v>
      </c>
      <c r="E241">
        <v>1301.4048565446567</v>
      </c>
      <c r="F241">
        <v>-558.43096091854306</v>
      </c>
      <c r="G241">
        <v>3324.7785813073751</v>
      </c>
      <c r="H241" s="1">
        <v>45869.333333333336</v>
      </c>
    </row>
    <row r="242" spans="1:8" x14ac:dyDescent="0.25">
      <c r="A242" s="7">
        <f>DATE(YEAR(m3_crossvalid[[#This Row],[cutoff]]),MONTH(m3_crossvalid[[#This Row],[cutoff]]),DAY(m3_crossvalid[[#This Row],[cutoff]]))</f>
        <v>45869</v>
      </c>
      <c r="B242" s="7">
        <f>DATE(YEAR(m3_crossvalid[[#This Row],[ds]]),MONTH(m3_crossvalid[[#This Row],[ds]]),DAY(m3_crossvalid[[#This Row],[ds]]))</f>
        <v>45893</v>
      </c>
      <c r="C242">
        <v>239</v>
      </c>
      <c r="D242" s="1">
        <v>45893.333333333336</v>
      </c>
      <c r="E242">
        <v>1096.3084207478687</v>
      </c>
      <c r="F242">
        <v>-686.02288689503541</v>
      </c>
      <c r="G242">
        <v>2853.1365443516102</v>
      </c>
      <c r="H242" s="1">
        <v>45869.333333333336</v>
      </c>
    </row>
    <row r="243" spans="1:8" x14ac:dyDescent="0.25">
      <c r="A243" s="7">
        <f>DATE(YEAR(m3_crossvalid[[#This Row],[cutoff]]),MONTH(m3_crossvalid[[#This Row],[cutoff]]),DAY(m3_crossvalid[[#This Row],[cutoff]]))</f>
        <v>45869</v>
      </c>
      <c r="B243" s="7">
        <f>DATE(YEAR(m3_crossvalid[[#This Row],[ds]]),MONTH(m3_crossvalid[[#This Row],[ds]]),DAY(m3_crossvalid[[#This Row],[ds]]))</f>
        <v>45894</v>
      </c>
      <c r="C243">
        <v>3838</v>
      </c>
      <c r="D243" s="1">
        <v>45894.333333333336</v>
      </c>
      <c r="E243">
        <v>3719.2386975137792</v>
      </c>
      <c r="F243">
        <v>1907.1778693091833</v>
      </c>
      <c r="G243">
        <v>5622.1109371053517</v>
      </c>
      <c r="H243" s="1">
        <v>45869.333333333336</v>
      </c>
    </row>
    <row r="244" spans="1:8" x14ac:dyDescent="0.25">
      <c r="A244" s="7">
        <f>DATE(YEAR(m3_crossvalid[[#This Row],[cutoff]]),MONTH(m3_crossvalid[[#This Row],[cutoff]]),DAY(m3_crossvalid[[#This Row],[cutoff]]))</f>
        <v>45869</v>
      </c>
      <c r="B244" s="7">
        <f>DATE(YEAR(m3_crossvalid[[#This Row],[ds]]),MONTH(m3_crossvalid[[#This Row],[ds]]),DAY(m3_crossvalid[[#This Row],[ds]]))</f>
        <v>45895</v>
      </c>
      <c r="C244">
        <v>5214</v>
      </c>
      <c r="D244" s="1">
        <v>45895.333333333336</v>
      </c>
      <c r="E244">
        <v>3904.2962612767842</v>
      </c>
      <c r="F244">
        <v>2094.1326977206018</v>
      </c>
      <c r="G244">
        <v>5725.0095860404772</v>
      </c>
      <c r="H244" s="1">
        <v>45869.333333333336</v>
      </c>
    </row>
    <row r="245" spans="1:8" x14ac:dyDescent="0.25">
      <c r="A245" s="7">
        <f>DATE(YEAR(m3_crossvalid[[#This Row],[cutoff]]),MONTH(m3_crossvalid[[#This Row],[cutoff]]),DAY(m3_crossvalid[[#This Row],[cutoff]]))</f>
        <v>45869</v>
      </c>
      <c r="B245" s="7">
        <f>DATE(YEAR(m3_crossvalid[[#This Row],[ds]]),MONTH(m3_crossvalid[[#This Row],[ds]]),DAY(m3_crossvalid[[#This Row],[ds]]))</f>
        <v>45896</v>
      </c>
      <c r="C245">
        <v>5989</v>
      </c>
      <c r="D245" s="1">
        <v>45896.333333333336</v>
      </c>
      <c r="E245">
        <v>4220.604154022054</v>
      </c>
      <c r="F245">
        <v>2266.6905369154401</v>
      </c>
      <c r="G245">
        <v>6211.8136261387626</v>
      </c>
      <c r="H245" s="1">
        <v>45869.333333333336</v>
      </c>
    </row>
    <row r="246" spans="1:8" x14ac:dyDescent="0.25">
      <c r="A246" s="7">
        <f>DATE(YEAR(m3_crossvalid[[#This Row],[cutoff]]),MONTH(m3_crossvalid[[#This Row],[cutoff]]),DAY(m3_crossvalid[[#This Row],[cutoff]]))</f>
        <v>45869</v>
      </c>
      <c r="B246" s="7">
        <f>DATE(YEAR(m3_crossvalid[[#This Row],[ds]]),MONTH(m3_crossvalid[[#This Row],[ds]]),DAY(m3_crossvalid[[#This Row],[ds]]))</f>
        <v>45897</v>
      </c>
      <c r="C246">
        <v>7115</v>
      </c>
      <c r="D246" s="1">
        <v>45897.333333333336</v>
      </c>
      <c r="E246">
        <v>4991.5367321163594</v>
      </c>
      <c r="F246">
        <v>3183.7299332254224</v>
      </c>
      <c r="G246">
        <v>6932.608939969793</v>
      </c>
      <c r="H246" s="1">
        <v>45869.333333333336</v>
      </c>
    </row>
    <row r="247" spans="1:8" x14ac:dyDescent="0.25">
      <c r="A247" s="7">
        <f>DATE(YEAR(m3_crossvalid[[#This Row],[cutoff]]),MONTH(m3_crossvalid[[#This Row],[cutoff]]),DAY(m3_crossvalid[[#This Row],[cutoff]]))</f>
        <v>45869</v>
      </c>
      <c r="B247" s="7">
        <f>DATE(YEAR(m3_crossvalid[[#This Row],[ds]]),MONTH(m3_crossvalid[[#This Row],[ds]]),DAY(m3_crossvalid[[#This Row],[ds]]))</f>
        <v>45898</v>
      </c>
      <c r="C247">
        <v>9571</v>
      </c>
      <c r="D247" s="1">
        <v>45898.333333333336</v>
      </c>
      <c r="E247">
        <v>6024.4365197590987</v>
      </c>
      <c r="F247">
        <v>4125.1096419363075</v>
      </c>
      <c r="G247">
        <v>7891.2691920674915</v>
      </c>
      <c r="H247" s="1">
        <v>45869.333333333336</v>
      </c>
    </row>
    <row r="248" spans="1:8" x14ac:dyDescent="0.25">
      <c r="A248" s="7">
        <f>DATE(YEAR(m3_crossvalid[[#This Row],[cutoff]]),MONTH(m3_crossvalid[[#This Row],[cutoff]]),DAY(m3_crossvalid[[#This Row],[cutoff]]))</f>
        <v>45869</v>
      </c>
      <c r="B248" s="7">
        <f>DATE(YEAR(m3_crossvalid[[#This Row],[ds]]),MONTH(m3_crossvalid[[#This Row],[ds]]),DAY(m3_crossvalid[[#This Row],[ds]]))</f>
        <v>45899</v>
      </c>
      <c r="C248">
        <v>5764</v>
      </c>
      <c r="D248" s="1">
        <v>45899.333333333336</v>
      </c>
      <c r="E248">
        <v>4614.8897259756923</v>
      </c>
      <c r="F248">
        <v>2699.3425913275873</v>
      </c>
      <c r="G248">
        <v>6595.1419595428397</v>
      </c>
      <c r="H248" s="1">
        <v>45869.333333333336</v>
      </c>
    </row>
    <row r="249" spans="1:8" x14ac:dyDescent="0.25">
      <c r="A249" s="7">
        <f>DATE(YEAR(m3_crossvalid[[#This Row],[cutoff]]),MONTH(m3_crossvalid[[#This Row],[cutoff]]),DAY(m3_crossvalid[[#This Row],[cutoff]]))</f>
        <v>45869</v>
      </c>
      <c r="B249" s="7">
        <f>DATE(YEAR(m3_crossvalid[[#This Row],[ds]]),MONTH(m3_crossvalid[[#This Row],[ds]]),DAY(m3_crossvalid[[#This Row],[ds]]))</f>
        <v>45900</v>
      </c>
      <c r="C249">
        <v>386</v>
      </c>
      <c r="D249" s="1">
        <v>45900.333333333336</v>
      </c>
      <c r="E249">
        <v>2279.7309586928259</v>
      </c>
      <c r="F249">
        <v>367.24806699862478</v>
      </c>
      <c r="G249">
        <v>4166.2184301812504</v>
      </c>
      <c r="H249" s="1">
        <v>45869.333333333336</v>
      </c>
    </row>
    <row r="250" spans="1:8" x14ac:dyDescent="0.25">
      <c r="A250" s="7">
        <f>DATE(YEAR(m3_crossvalid[[#This Row],[cutoff]]),MONTH(m3_crossvalid[[#This Row],[cutoff]]),DAY(m3_crossvalid[[#This Row],[cutoff]]))</f>
        <v>45900</v>
      </c>
      <c r="B250" s="7">
        <f>DATE(YEAR(m3_crossvalid[[#This Row],[ds]]),MONTH(m3_crossvalid[[#This Row],[ds]]),DAY(m3_crossvalid[[#This Row],[ds]]))</f>
        <v>45901</v>
      </c>
      <c r="C250">
        <v>34</v>
      </c>
      <c r="D250" s="1">
        <v>45901.333333333336</v>
      </c>
      <c r="E250">
        <v>3582.1075402145707</v>
      </c>
      <c r="F250">
        <v>1770.0436630583267</v>
      </c>
      <c r="G250">
        <v>5475.4801769350652</v>
      </c>
      <c r="H250" s="1">
        <v>45900.333333333336</v>
      </c>
    </row>
    <row r="251" spans="1:8" x14ac:dyDescent="0.25">
      <c r="A251" s="7">
        <f>DATE(YEAR(m3_crossvalid[[#This Row],[cutoff]]),MONTH(m3_crossvalid[[#This Row],[cutoff]]),DAY(m3_crossvalid[[#This Row],[cutoff]]))</f>
        <v>45900</v>
      </c>
      <c r="B251" s="7">
        <f>DATE(YEAR(m3_crossvalid[[#This Row],[ds]]),MONTH(m3_crossvalid[[#This Row],[ds]]),DAY(m3_crossvalid[[#This Row],[ds]]))</f>
        <v>45902</v>
      </c>
      <c r="C251">
        <v>463</v>
      </c>
      <c r="D251" s="1">
        <v>45902.333333333336</v>
      </c>
      <c r="E251">
        <v>3778.9738537676158</v>
      </c>
      <c r="F251">
        <v>1994.0303290231291</v>
      </c>
      <c r="G251">
        <v>5641.4276438719216</v>
      </c>
      <c r="H251" s="1">
        <v>45900.333333333336</v>
      </c>
    </row>
    <row r="252" spans="1:8" x14ac:dyDescent="0.25">
      <c r="A252" s="7">
        <f>DATE(YEAR(m3_crossvalid[[#This Row],[cutoff]]),MONTH(m3_crossvalid[[#This Row],[cutoff]]),DAY(m3_crossvalid[[#This Row],[cutoff]]))</f>
        <v>45900</v>
      </c>
      <c r="B252" s="7">
        <f>DATE(YEAR(m3_crossvalid[[#This Row],[ds]]),MONTH(m3_crossvalid[[#This Row],[ds]]),DAY(m3_crossvalid[[#This Row],[ds]]))</f>
        <v>45903</v>
      </c>
      <c r="C252">
        <v>734</v>
      </c>
      <c r="D252" s="1">
        <v>45903.333333333336</v>
      </c>
      <c r="E252">
        <v>2321.1182411396817</v>
      </c>
      <c r="F252">
        <v>422.35934215869133</v>
      </c>
      <c r="G252">
        <v>4179.307627454632</v>
      </c>
      <c r="H252" s="1">
        <v>45900.333333333336</v>
      </c>
    </row>
    <row r="253" spans="1:8" x14ac:dyDescent="0.25">
      <c r="A253" s="7">
        <f>DATE(YEAR(m3_crossvalid[[#This Row],[cutoff]]),MONTH(m3_crossvalid[[#This Row],[cutoff]]),DAY(m3_crossvalid[[#This Row],[cutoff]]))</f>
        <v>45900</v>
      </c>
      <c r="B253" s="7">
        <f>DATE(YEAR(m3_crossvalid[[#This Row],[ds]]),MONTH(m3_crossvalid[[#This Row],[ds]]),DAY(m3_crossvalid[[#This Row],[ds]]))</f>
        <v>45904</v>
      </c>
      <c r="C253">
        <v>973</v>
      </c>
      <c r="D253" s="1">
        <v>45904.333333333336</v>
      </c>
      <c r="E253">
        <v>1605.5669956962511</v>
      </c>
      <c r="F253">
        <v>-212.90360512609669</v>
      </c>
      <c r="G253">
        <v>3321.6417986706915</v>
      </c>
      <c r="H253" s="1">
        <v>45900.333333333336</v>
      </c>
    </row>
    <row r="254" spans="1:8" x14ac:dyDescent="0.25">
      <c r="A254" s="7">
        <f>DATE(YEAR(m3_crossvalid[[#This Row],[cutoff]]),MONTH(m3_crossvalid[[#This Row],[cutoff]]),DAY(m3_crossvalid[[#This Row],[cutoff]]))</f>
        <v>45900</v>
      </c>
      <c r="B254" s="7">
        <f>DATE(YEAR(m3_crossvalid[[#This Row],[ds]]),MONTH(m3_crossvalid[[#This Row],[ds]]),DAY(m3_crossvalid[[#This Row],[ds]]))</f>
        <v>45905</v>
      </c>
      <c r="C254">
        <v>61</v>
      </c>
      <c r="D254" s="1">
        <v>45905.333333333336</v>
      </c>
      <c r="E254">
        <v>-217.33518135391068</v>
      </c>
      <c r="F254">
        <v>-2148.660560567268</v>
      </c>
      <c r="G254">
        <v>1577.1770197701219</v>
      </c>
      <c r="H254" s="1">
        <v>45900.333333333336</v>
      </c>
    </row>
    <row r="255" spans="1:8" x14ac:dyDescent="0.25">
      <c r="A255" s="7">
        <f>DATE(YEAR(m3_crossvalid[[#This Row],[cutoff]]),MONTH(m3_crossvalid[[#This Row],[cutoff]]),DAY(m3_crossvalid[[#This Row],[cutoff]]))</f>
        <v>45900</v>
      </c>
      <c r="B255" s="7">
        <f>DATE(YEAR(m3_crossvalid[[#This Row],[ds]]),MONTH(m3_crossvalid[[#This Row],[ds]]),DAY(m3_crossvalid[[#This Row],[ds]]))</f>
        <v>45906</v>
      </c>
      <c r="C255">
        <v>107</v>
      </c>
      <c r="D255" s="1">
        <v>45906.333333333336</v>
      </c>
      <c r="E255">
        <v>-331.81665001214606</v>
      </c>
      <c r="F255">
        <v>-2222.6652672157402</v>
      </c>
      <c r="G255">
        <v>1544.6520767339755</v>
      </c>
      <c r="H255" s="1">
        <v>45900.333333333336</v>
      </c>
    </row>
    <row r="256" spans="1:8" x14ac:dyDescent="0.25">
      <c r="A256" s="7">
        <f>DATE(YEAR(m3_crossvalid[[#This Row],[cutoff]]),MONTH(m3_crossvalid[[#This Row],[cutoff]]),DAY(m3_crossvalid[[#This Row],[cutoff]]))</f>
        <v>45900</v>
      </c>
      <c r="B256" s="7">
        <f>DATE(YEAR(m3_crossvalid[[#This Row],[ds]]),MONTH(m3_crossvalid[[#This Row],[ds]]),DAY(m3_crossvalid[[#This Row],[ds]]))</f>
        <v>45907</v>
      </c>
      <c r="C256">
        <v>30</v>
      </c>
      <c r="D256" s="1">
        <v>45907.333333333336</v>
      </c>
      <c r="E256">
        <v>-660.40766486978828</v>
      </c>
      <c r="F256">
        <v>-2578.1851837290305</v>
      </c>
      <c r="G256">
        <v>1263.7332841807729</v>
      </c>
      <c r="H256" s="1">
        <v>45900.333333333336</v>
      </c>
    </row>
    <row r="257" spans="1:8" x14ac:dyDescent="0.25">
      <c r="A257" s="7">
        <f>DATE(YEAR(m3_crossvalid[[#This Row],[cutoff]]),MONTH(m3_crossvalid[[#This Row],[cutoff]]),DAY(m3_crossvalid[[#This Row],[cutoff]]))</f>
        <v>45900</v>
      </c>
      <c r="B257" s="7">
        <f>DATE(YEAR(m3_crossvalid[[#This Row],[ds]]),MONTH(m3_crossvalid[[#This Row],[ds]]),DAY(m3_crossvalid[[#This Row],[ds]]))</f>
        <v>45908</v>
      </c>
      <c r="C257">
        <v>1382</v>
      </c>
      <c r="D257" s="1">
        <v>45908.333333333336</v>
      </c>
      <c r="E257">
        <v>1803.8234119723359</v>
      </c>
      <c r="F257">
        <v>-172.84121307313129</v>
      </c>
      <c r="G257">
        <v>3666.4955548816047</v>
      </c>
      <c r="H257" s="1">
        <v>45900.333333333336</v>
      </c>
    </row>
    <row r="258" spans="1:8" x14ac:dyDescent="0.25">
      <c r="A258" s="7">
        <f>DATE(YEAR(m3_crossvalid[[#This Row],[cutoff]]),MONTH(m3_crossvalid[[#This Row],[cutoff]]),DAY(m3_crossvalid[[#This Row],[cutoff]]))</f>
        <v>45900</v>
      </c>
      <c r="B258" s="7">
        <f>DATE(YEAR(m3_crossvalid[[#This Row],[ds]]),MONTH(m3_crossvalid[[#This Row],[ds]]),DAY(m3_crossvalid[[#This Row],[ds]]))</f>
        <v>45909</v>
      </c>
      <c r="C258">
        <v>1925</v>
      </c>
      <c r="D258" s="1">
        <v>45909.333333333336</v>
      </c>
      <c r="E258">
        <v>1898.0024828487713</v>
      </c>
      <c r="F258">
        <v>95.22045400640927</v>
      </c>
      <c r="G258">
        <v>3681.7562851378302</v>
      </c>
      <c r="H258" s="1">
        <v>45900.333333333336</v>
      </c>
    </row>
    <row r="259" spans="1:8" x14ac:dyDescent="0.25">
      <c r="A259" s="7">
        <f>DATE(YEAR(m3_crossvalid[[#This Row],[cutoff]]),MONTH(m3_crossvalid[[#This Row],[cutoff]]),DAY(m3_crossvalid[[#This Row],[cutoff]]))</f>
        <v>45900</v>
      </c>
      <c r="B259" s="7">
        <f>DATE(YEAR(m3_crossvalid[[#This Row],[ds]]),MONTH(m3_crossvalid[[#This Row],[ds]]),DAY(m3_crossvalid[[#This Row],[ds]]))</f>
        <v>45910</v>
      </c>
      <c r="C259">
        <v>1988</v>
      </c>
      <c r="D259" s="1">
        <v>45910.333333333336</v>
      </c>
      <c r="E259">
        <v>2042.5115458081484</v>
      </c>
      <c r="F259">
        <v>272.22274580977546</v>
      </c>
      <c r="G259">
        <v>3900.1438150213507</v>
      </c>
      <c r="H259" s="1">
        <v>45900.333333333336</v>
      </c>
    </row>
    <row r="260" spans="1:8" x14ac:dyDescent="0.25">
      <c r="A260" s="7">
        <f>DATE(YEAR(m3_crossvalid[[#This Row],[cutoff]]),MONTH(m3_crossvalid[[#This Row],[cutoff]]),DAY(m3_crossvalid[[#This Row],[cutoff]]))</f>
        <v>45900</v>
      </c>
      <c r="B260" s="7">
        <f>DATE(YEAR(m3_crossvalid[[#This Row],[ds]]),MONTH(m3_crossvalid[[#This Row],[ds]]),DAY(m3_crossvalid[[#This Row],[ds]]))</f>
        <v>45911</v>
      </c>
      <c r="C260">
        <v>2414</v>
      </c>
      <c r="D260" s="1">
        <v>45911.333333333336</v>
      </c>
      <c r="E260">
        <v>2310.729145141584</v>
      </c>
      <c r="F260">
        <v>615.05919020488477</v>
      </c>
      <c r="G260">
        <v>4209.8040933969714</v>
      </c>
      <c r="H260" s="1">
        <v>45900.333333333336</v>
      </c>
    </row>
    <row r="261" spans="1:8" x14ac:dyDescent="0.25">
      <c r="A261" s="7">
        <f>DATE(YEAR(m3_crossvalid[[#This Row],[cutoff]]),MONTH(m3_crossvalid[[#This Row],[cutoff]]),DAY(m3_crossvalid[[#This Row],[cutoff]]))</f>
        <v>45900</v>
      </c>
      <c r="B261" s="7">
        <f>DATE(YEAR(m3_crossvalid[[#This Row],[ds]]),MONTH(m3_crossvalid[[#This Row],[ds]]),DAY(m3_crossvalid[[#This Row],[ds]]))</f>
        <v>45912</v>
      </c>
      <c r="C261">
        <v>2644</v>
      </c>
      <c r="D261" s="1">
        <v>45912.333333333336</v>
      </c>
      <c r="E261">
        <v>2445.459605254171</v>
      </c>
      <c r="F261">
        <v>635.3315930081651</v>
      </c>
      <c r="G261">
        <v>4245.2186616225081</v>
      </c>
      <c r="H261" s="1">
        <v>45900.333333333336</v>
      </c>
    </row>
    <row r="262" spans="1:8" x14ac:dyDescent="0.25">
      <c r="A262" s="7">
        <f>DATE(YEAR(m3_crossvalid[[#This Row],[cutoff]]),MONTH(m3_crossvalid[[#This Row],[cutoff]]),DAY(m3_crossvalid[[#This Row],[cutoff]]))</f>
        <v>45900</v>
      </c>
      <c r="B262" s="7">
        <f>DATE(YEAR(m3_crossvalid[[#This Row],[ds]]),MONTH(m3_crossvalid[[#This Row],[ds]]),DAY(m3_crossvalid[[#This Row],[ds]]))</f>
        <v>45913</v>
      </c>
      <c r="C262">
        <v>439</v>
      </c>
      <c r="D262" s="1">
        <v>45913.333333333336</v>
      </c>
      <c r="E262">
        <v>240.97512853808621</v>
      </c>
      <c r="F262">
        <v>-1743.7328028233833</v>
      </c>
      <c r="G262">
        <v>2089.0312492739249</v>
      </c>
      <c r="H262" s="1">
        <v>45900.333333333336</v>
      </c>
    </row>
    <row r="263" spans="1:8" x14ac:dyDescent="0.25">
      <c r="A263" s="7">
        <f>DATE(YEAR(m3_crossvalid[[#This Row],[cutoff]]),MONTH(m3_crossvalid[[#This Row],[cutoff]]),DAY(m3_crossvalid[[#This Row],[cutoff]]))</f>
        <v>45900</v>
      </c>
      <c r="B263" s="7">
        <f>DATE(YEAR(m3_crossvalid[[#This Row],[ds]]),MONTH(m3_crossvalid[[#This Row],[ds]]),DAY(m3_crossvalid[[#This Row],[ds]]))</f>
        <v>45914</v>
      </c>
      <c r="C263">
        <v>108</v>
      </c>
      <c r="D263" s="1">
        <v>45914.333333333336</v>
      </c>
      <c r="E263">
        <v>-396.61410083720011</v>
      </c>
      <c r="F263">
        <v>-2226.1044908513568</v>
      </c>
      <c r="G263">
        <v>1435.0215220891371</v>
      </c>
      <c r="H263" s="1">
        <v>45900.333333333336</v>
      </c>
    </row>
    <row r="264" spans="1:8" x14ac:dyDescent="0.25">
      <c r="A264" s="7">
        <f>DATE(YEAR(m3_crossvalid[[#This Row],[cutoff]]),MONTH(m3_crossvalid[[#This Row],[cutoff]]),DAY(m3_crossvalid[[#This Row],[cutoff]]))</f>
        <v>45900</v>
      </c>
      <c r="B264" s="7">
        <f>DATE(YEAR(m3_crossvalid[[#This Row],[ds]]),MONTH(m3_crossvalid[[#This Row],[ds]]),DAY(m3_crossvalid[[#This Row],[ds]]))</f>
        <v>45915</v>
      </c>
      <c r="C264">
        <v>19</v>
      </c>
      <c r="D264" s="1">
        <v>45915.333333333336</v>
      </c>
      <c r="E264">
        <v>320.07964818344999</v>
      </c>
      <c r="F264">
        <v>-1559.5500585772795</v>
      </c>
      <c r="G264">
        <v>2027.5915124488042</v>
      </c>
      <c r="H264" s="1">
        <v>45900.333333333336</v>
      </c>
    </row>
    <row r="265" spans="1:8" x14ac:dyDescent="0.25">
      <c r="A265" s="7">
        <f>DATE(YEAR(m3_crossvalid[[#This Row],[cutoff]]),MONTH(m3_crossvalid[[#This Row],[cutoff]]),DAY(m3_crossvalid[[#This Row],[cutoff]]))</f>
        <v>45900</v>
      </c>
      <c r="B265" s="7">
        <f>DATE(YEAR(m3_crossvalid[[#This Row],[ds]]),MONTH(m3_crossvalid[[#This Row],[ds]]),DAY(m3_crossvalid[[#This Row],[ds]]))</f>
        <v>45916</v>
      </c>
      <c r="C265">
        <v>5</v>
      </c>
      <c r="D265" s="1">
        <v>45916.333333333336</v>
      </c>
      <c r="E265">
        <v>695.36516308312389</v>
      </c>
      <c r="F265">
        <v>-1197.4337801739014</v>
      </c>
      <c r="G265">
        <v>2639.1710158069363</v>
      </c>
      <c r="H265" s="1">
        <v>45900.333333333336</v>
      </c>
    </row>
    <row r="266" spans="1:8" x14ac:dyDescent="0.25">
      <c r="A266" s="7">
        <f>DATE(YEAR(m3_crossvalid[[#This Row],[cutoff]]),MONTH(m3_crossvalid[[#This Row],[cutoff]]),DAY(m3_crossvalid[[#This Row],[cutoff]]))</f>
        <v>45900</v>
      </c>
      <c r="B266" s="7">
        <f>DATE(YEAR(m3_crossvalid[[#This Row],[ds]]),MONTH(m3_crossvalid[[#This Row],[ds]]),DAY(m3_crossvalid[[#This Row],[ds]]))</f>
        <v>45917</v>
      </c>
      <c r="C266">
        <v>2108</v>
      </c>
      <c r="D266" s="1">
        <v>45917.333333333336</v>
      </c>
      <c r="E266">
        <v>2821.9941547067451</v>
      </c>
      <c r="F266">
        <v>1003.759785088848</v>
      </c>
      <c r="G266">
        <v>4639.244810642459</v>
      </c>
      <c r="H266" s="1">
        <v>45900.333333333336</v>
      </c>
    </row>
    <row r="267" spans="1:8" x14ac:dyDescent="0.25">
      <c r="A267" s="7">
        <f>DATE(YEAR(m3_crossvalid[[#This Row],[cutoff]]),MONTH(m3_crossvalid[[#This Row],[cutoff]]),DAY(m3_crossvalid[[#This Row],[cutoff]]))</f>
        <v>45900</v>
      </c>
      <c r="B267" s="7">
        <f>DATE(YEAR(m3_crossvalid[[#This Row],[ds]]),MONTH(m3_crossvalid[[#This Row],[ds]]),DAY(m3_crossvalid[[#This Row],[ds]]))</f>
        <v>45918</v>
      </c>
      <c r="C267">
        <v>3129</v>
      </c>
      <c r="D267" s="1">
        <v>45918.333333333336</v>
      </c>
      <c r="E267">
        <v>3004.4831984782913</v>
      </c>
      <c r="F267">
        <v>1183.8074298022048</v>
      </c>
      <c r="G267">
        <v>4933.1730998998737</v>
      </c>
      <c r="H267" s="1">
        <v>45900.333333333336</v>
      </c>
    </row>
    <row r="268" spans="1:8" x14ac:dyDescent="0.25">
      <c r="A268" s="7">
        <f>DATE(YEAR(m3_crossvalid[[#This Row],[cutoff]]),MONTH(m3_crossvalid[[#This Row],[cutoff]]),DAY(m3_crossvalid[[#This Row],[cutoff]]))</f>
        <v>45900</v>
      </c>
      <c r="B268" s="7">
        <f>DATE(YEAR(m3_crossvalid[[#This Row],[ds]]),MONTH(m3_crossvalid[[#This Row],[ds]]),DAY(m3_crossvalid[[#This Row],[ds]]))</f>
        <v>45919</v>
      </c>
      <c r="C268">
        <v>3027</v>
      </c>
      <c r="D268" s="1">
        <v>45919.333333333336</v>
      </c>
      <c r="E268">
        <v>2854.9061289069309</v>
      </c>
      <c r="F268">
        <v>856.51520363611451</v>
      </c>
      <c r="G268">
        <v>4497.507020347377</v>
      </c>
      <c r="H268" s="1">
        <v>45900.333333333336</v>
      </c>
    </row>
    <row r="269" spans="1:8" x14ac:dyDescent="0.25">
      <c r="A269" s="7">
        <f>DATE(YEAR(m3_crossvalid[[#This Row],[cutoff]]),MONTH(m3_crossvalid[[#This Row],[cutoff]]),DAY(m3_crossvalid[[#This Row],[cutoff]]))</f>
        <v>45900</v>
      </c>
      <c r="B269" s="7">
        <f>DATE(YEAR(m3_crossvalid[[#This Row],[ds]]),MONTH(m3_crossvalid[[#This Row],[ds]]),DAY(m3_crossvalid[[#This Row],[ds]]))</f>
        <v>45920</v>
      </c>
      <c r="C269">
        <v>525</v>
      </c>
      <c r="D269" s="1">
        <v>45920.333333333336</v>
      </c>
      <c r="E269">
        <v>475.13120826315139</v>
      </c>
      <c r="F269">
        <v>-1352.838614493699</v>
      </c>
      <c r="G269">
        <v>2271.2321495557671</v>
      </c>
      <c r="H269" s="1">
        <v>45900.333333333336</v>
      </c>
    </row>
    <row r="270" spans="1:8" x14ac:dyDescent="0.25">
      <c r="A270" s="7">
        <f>DATE(YEAR(m3_crossvalid[[#This Row],[cutoff]]),MONTH(m3_crossvalid[[#This Row],[cutoff]]),DAY(m3_crossvalid[[#This Row],[cutoff]]))</f>
        <v>45900</v>
      </c>
      <c r="B270" s="7">
        <f>DATE(YEAR(m3_crossvalid[[#This Row],[ds]]),MONTH(m3_crossvalid[[#This Row],[ds]]),DAY(m3_crossvalid[[#This Row],[ds]]))</f>
        <v>45921</v>
      </c>
      <c r="C270">
        <v>107</v>
      </c>
      <c r="D270" s="1">
        <v>45921.333333333336</v>
      </c>
      <c r="E270">
        <v>-29.043295682376538</v>
      </c>
      <c r="F270">
        <v>-1924.22709408122</v>
      </c>
      <c r="G270">
        <v>1883.2476494625844</v>
      </c>
      <c r="H270" s="1">
        <v>45900.333333333336</v>
      </c>
    </row>
    <row r="271" spans="1:8" x14ac:dyDescent="0.25">
      <c r="A271" s="7">
        <f>DATE(YEAR(m3_crossvalid[[#This Row],[cutoff]]),MONTH(m3_crossvalid[[#This Row],[cutoff]]),DAY(m3_crossvalid[[#This Row],[cutoff]]))</f>
        <v>45900</v>
      </c>
      <c r="B271" s="7">
        <f>DATE(YEAR(m3_crossvalid[[#This Row],[ds]]),MONTH(m3_crossvalid[[#This Row],[ds]]),DAY(m3_crossvalid[[#This Row],[ds]]))</f>
        <v>45922</v>
      </c>
      <c r="C271">
        <v>2480</v>
      </c>
      <c r="D271" s="1">
        <v>45922.333333333336</v>
      </c>
      <c r="E271">
        <v>2790.3758160479815</v>
      </c>
      <c r="F271">
        <v>986.39878480637071</v>
      </c>
      <c r="G271">
        <v>4735.0837848569427</v>
      </c>
      <c r="H271" s="1">
        <v>45900.333333333336</v>
      </c>
    </row>
    <row r="272" spans="1:8" x14ac:dyDescent="0.25">
      <c r="A272" s="7">
        <f>DATE(YEAR(m3_crossvalid[[#This Row],[cutoff]]),MONTH(m3_crossvalid[[#This Row],[cutoff]]),DAY(m3_crossvalid[[#This Row],[cutoff]]))</f>
        <v>45900</v>
      </c>
      <c r="B272" s="7">
        <f>DATE(YEAR(m3_crossvalid[[#This Row],[ds]]),MONTH(m3_crossvalid[[#This Row],[ds]]),DAY(m3_crossvalid[[#This Row],[ds]]))</f>
        <v>45923</v>
      </c>
      <c r="C272">
        <v>2893</v>
      </c>
      <c r="D272" s="1">
        <v>45923.333333333336</v>
      </c>
      <c r="E272">
        <v>3388.3172546869605</v>
      </c>
      <c r="F272">
        <v>1654.7624866061988</v>
      </c>
      <c r="G272">
        <v>5350.6177751101131</v>
      </c>
      <c r="H272" s="1">
        <v>45900.333333333336</v>
      </c>
    </row>
    <row r="273" spans="1:8" x14ac:dyDescent="0.25">
      <c r="A273" s="7">
        <f>DATE(YEAR(m3_crossvalid[[#This Row],[cutoff]]),MONTH(m3_crossvalid[[#This Row],[cutoff]]),DAY(m3_crossvalid[[#This Row],[cutoff]]))</f>
        <v>45900</v>
      </c>
      <c r="B273" s="7">
        <f>DATE(YEAR(m3_crossvalid[[#This Row],[ds]]),MONTH(m3_crossvalid[[#This Row],[ds]]),DAY(m3_crossvalid[[#This Row],[ds]]))</f>
        <v>45924</v>
      </c>
      <c r="C273">
        <v>3143</v>
      </c>
      <c r="D273" s="1">
        <v>45924.333333333336</v>
      </c>
      <c r="E273">
        <v>3684.3302814417584</v>
      </c>
      <c r="F273">
        <v>1844.8227189616641</v>
      </c>
      <c r="G273">
        <v>5680.1731467471327</v>
      </c>
      <c r="H273" s="1">
        <v>45900.333333333336</v>
      </c>
    </row>
    <row r="274" spans="1:8" x14ac:dyDescent="0.25">
      <c r="A274" s="7">
        <f>DATE(YEAR(m3_crossvalid[[#This Row],[cutoff]]),MONTH(m3_crossvalid[[#This Row],[cutoff]]),DAY(m3_crossvalid[[#This Row],[cutoff]]))</f>
        <v>45900</v>
      </c>
      <c r="B274" s="7">
        <f>DATE(YEAR(m3_crossvalid[[#This Row],[ds]]),MONTH(m3_crossvalid[[#This Row],[ds]]),DAY(m3_crossvalid[[#This Row],[ds]]))</f>
        <v>45925</v>
      </c>
      <c r="C274">
        <v>3361</v>
      </c>
      <c r="D274" s="1">
        <v>45925.333333333336</v>
      </c>
      <c r="E274">
        <v>3699.156491366487</v>
      </c>
      <c r="F274">
        <v>1799.613575910867</v>
      </c>
      <c r="G274">
        <v>5516.7335904588408</v>
      </c>
      <c r="H274" s="1">
        <v>45900.333333333336</v>
      </c>
    </row>
    <row r="275" spans="1:8" x14ac:dyDescent="0.25">
      <c r="A275" s="7">
        <f>DATE(YEAR(m3_crossvalid[[#This Row],[cutoff]]),MONTH(m3_crossvalid[[#This Row],[cutoff]]),DAY(m3_crossvalid[[#This Row],[cutoff]]))</f>
        <v>45900</v>
      </c>
      <c r="B275" s="7">
        <f>DATE(YEAR(m3_crossvalid[[#This Row],[ds]]),MONTH(m3_crossvalid[[#This Row],[ds]]),DAY(m3_crossvalid[[#This Row],[ds]]))</f>
        <v>45926</v>
      </c>
      <c r="C275">
        <v>3885</v>
      </c>
      <c r="D275" s="1">
        <v>45926.333333333336</v>
      </c>
      <c r="E275">
        <v>3666.7232332607778</v>
      </c>
      <c r="F275">
        <v>1737.7236212737539</v>
      </c>
      <c r="G275">
        <v>5587.6749479298323</v>
      </c>
      <c r="H275" s="1">
        <v>45900.333333333336</v>
      </c>
    </row>
    <row r="276" spans="1:8" x14ac:dyDescent="0.25">
      <c r="A276" s="7">
        <f>DATE(YEAR(m3_crossvalid[[#This Row],[cutoff]]),MONTH(m3_crossvalid[[#This Row],[cutoff]]),DAY(m3_crossvalid[[#This Row],[cutoff]]))</f>
        <v>45900</v>
      </c>
      <c r="B276" s="7">
        <f>DATE(YEAR(m3_crossvalid[[#This Row],[ds]]),MONTH(m3_crossvalid[[#This Row],[ds]]),DAY(m3_crossvalid[[#This Row],[ds]]))</f>
        <v>45927</v>
      </c>
      <c r="C276">
        <v>1024</v>
      </c>
      <c r="D276" s="1">
        <v>45927.333333333336</v>
      </c>
      <c r="E276">
        <v>1935.9869085361697</v>
      </c>
      <c r="F276">
        <v>197.2295164254613</v>
      </c>
      <c r="G276">
        <v>3635.2101267513222</v>
      </c>
      <c r="H276" s="1">
        <v>45900.333333333336</v>
      </c>
    </row>
    <row r="277" spans="1:8" x14ac:dyDescent="0.25">
      <c r="A277" s="7">
        <f>DATE(YEAR(m3_crossvalid[[#This Row],[cutoff]]),MONTH(m3_crossvalid[[#This Row],[cutoff]]),DAY(m3_crossvalid[[#This Row],[cutoff]]))</f>
        <v>45900</v>
      </c>
      <c r="B277" s="7">
        <f>DATE(YEAR(m3_crossvalid[[#This Row],[ds]]),MONTH(m3_crossvalid[[#This Row],[ds]]),DAY(m3_crossvalid[[#This Row],[ds]]))</f>
        <v>45928</v>
      </c>
      <c r="C277">
        <v>280</v>
      </c>
      <c r="D277" s="1">
        <v>45928.333333333336</v>
      </c>
      <c r="E277">
        <v>2429.4309132448625</v>
      </c>
      <c r="F277">
        <v>613.12194357115322</v>
      </c>
      <c r="G277">
        <v>4271.889770514199</v>
      </c>
      <c r="H277" s="1">
        <v>45900.333333333336</v>
      </c>
    </row>
    <row r="278" spans="1:8" x14ac:dyDescent="0.25">
      <c r="A278" s="7">
        <f>DATE(YEAR(m3_crossvalid[[#This Row],[cutoff]]),MONTH(m3_crossvalid[[#This Row],[cutoff]]),DAY(m3_crossvalid[[#This Row],[cutoff]]))</f>
        <v>45900</v>
      </c>
      <c r="B278" s="7">
        <f>DATE(YEAR(m3_crossvalid[[#This Row],[ds]]),MONTH(m3_crossvalid[[#This Row],[ds]]),DAY(m3_crossvalid[[#This Row],[ds]]))</f>
        <v>45929</v>
      </c>
      <c r="C278">
        <v>8852</v>
      </c>
      <c r="D278" s="1">
        <v>45929.333333333336</v>
      </c>
      <c r="E278">
        <v>6044.4662532276525</v>
      </c>
      <c r="F278">
        <v>4222.1470704008752</v>
      </c>
      <c r="G278">
        <v>7768.0199315595883</v>
      </c>
      <c r="H278" s="1">
        <v>45900.333333333336</v>
      </c>
    </row>
    <row r="279" spans="1:8" x14ac:dyDescent="0.25">
      <c r="A279" s="7">
        <f>DATE(YEAR(m3_crossvalid[[#This Row],[cutoff]]),MONTH(m3_crossvalid[[#This Row],[cutoff]]),DAY(m3_crossvalid[[#This Row],[cutoff]]))</f>
        <v>45900</v>
      </c>
      <c r="B279" s="7">
        <f>DATE(YEAR(m3_crossvalid[[#This Row],[ds]]),MONTH(m3_crossvalid[[#This Row],[ds]]),DAY(m3_crossvalid[[#This Row],[ds]]))</f>
        <v>45930</v>
      </c>
      <c r="C279">
        <v>14458</v>
      </c>
      <c r="D279" s="1">
        <v>45930.333333333336</v>
      </c>
      <c r="E279">
        <v>6683.7248553364407</v>
      </c>
      <c r="F279">
        <v>4645.7446086319333</v>
      </c>
      <c r="G279">
        <v>8464.028258999766</v>
      </c>
      <c r="H279" s="1">
        <v>45900.333333333336</v>
      </c>
    </row>
    <row r="280" spans="1:8" x14ac:dyDescent="0.25">
      <c r="A280" s="7">
        <f>DATE(YEAR(m3_crossvalid[[#This Row],[cutoff]]),MONTH(m3_crossvalid[[#This Row],[cutoff]]),DAY(m3_crossvalid[[#This Row],[cutoff]]))</f>
        <v>45900</v>
      </c>
      <c r="B280" s="7">
        <f>DATE(YEAR(m3_crossvalid[[#This Row],[ds]]),MONTH(m3_crossvalid[[#This Row],[ds]]),DAY(m3_crossvalid[[#This Row],[ds]]))</f>
        <v>45931</v>
      </c>
      <c r="C280">
        <v>639</v>
      </c>
      <c r="D280" s="1">
        <v>45931.333333333336</v>
      </c>
      <c r="E280">
        <v>6076.2798084893911</v>
      </c>
      <c r="F280">
        <v>4243.0670485807432</v>
      </c>
      <c r="G280">
        <v>7896.9760156191605</v>
      </c>
      <c r="H280" s="1">
        <v>45900.333333333336</v>
      </c>
    </row>
    <row r="281" spans="1:8" x14ac:dyDescent="0.25">
      <c r="A281" s="7">
        <f>DATE(YEAR(m3_crossvalid[[#This Row],[cutoff]]),MONTH(m3_crossvalid[[#This Row],[cutoff]]),DAY(m3_crossvalid[[#This Row],[cutoff]]))</f>
        <v>45930</v>
      </c>
      <c r="B281" s="7">
        <f>DATE(YEAR(m3_crossvalid[[#This Row],[ds]]),MONTH(m3_crossvalid[[#This Row],[ds]]),DAY(m3_crossvalid[[#This Row],[ds]]))</f>
        <v>45931</v>
      </c>
      <c r="C281">
        <v>639</v>
      </c>
      <c r="D281" s="1">
        <v>45931.333333333336</v>
      </c>
      <c r="E281">
        <v>6224.2436457377989</v>
      </c>
      <c r="F281">
        <v>4398.0944090353196</v>
      </c>
      <c r="G281">
        <v>8165.871106537581</v>
      </c>
      <c r="H281" s="1">
        <v>45930.333333333336</v>
      </c>
    </row>
    <row r="282" spans="1:8" x14ac:dyDescent="0.25">
      <c r="A282" s="7">
        <f>DATE(YEAR(m3_crossvalid[[#This Row],[cutoff]]),MONTH(m3_crossvalid[[#This Row],[cutoff]]),DAY(m3_crossvalid[[#This Row],[cutoff]]))</f>
        <v>45930</v>
      </c>
      <c r="B282" s="7">
        <f>DATE(YEAR(m3_crossvalid[[#This Row],[ds]]),MONTH(m3_crossvalid[[#This Row],[ds]]),DAY(m3_crossvalid[[#This Row],[ds]]))</f>
        <v>45932</v>
      </c>
      <c r="C282">
        <v>823</v>
      </c>
      <c r="D282" s="1">
        <v>45932.333333333336</v>
      </c>
      <c r="E282">
        <v>4593.9379820623963</v>
      </c>
      <c r="F282">
        <v>2737.8892992243764</v>
      </c>
      <c r="G282">
        <v>6501.3794820594831</v>
      </c>
      <c r="H282" s="1">
        <v>45930.333333333336</v>
      </c>
    </row>
    <row r="283" spans="1:8" x14ac:dyDescent="0.25">
      <c r="A283" s="7">
        <f>DATE(YEAR(m3_crossvalid[[#This Row],[cutoff]]),MONTH(m3_crossvalid[[#This Row],[cutoff]]),DAY(m3_crossvalid[[#This Row],[cutoff]]))</f>
        <v>45930</v>
      </c>
      <c r="B283" s="7">
        <f>DATE(YEAR(m3_crossvalid[[#This Row],[ds]]),MONTH(m3_crossvalid[[#This Row],[ds]]),DAY(m3_crossvalid[[#This Row],[ds]]))</f>
        <v>45933</v>
      </c>
      <c r="C283">
        <v>996</v>
      </c>
      <c r="D283" s="1">
        <v>45933.333333333336</v>
      </c>
      <c r="E283">
        <v>2712.2645438908862</v>
      </c>
      <c r="F283">
        <v>871.4097768053158</v>
      </c>
      <c r="G283">
        <v>4533.0715275936091</v>
      </c>
      <c r="H283" s="1">
        <v>45930.333333333336</v>
      </c>
    </row>
    <row r="284" spans="1:8" x14ac:dyDescent="0.25">
      <c r="A284" s="7">
        <f>DATE(YEAR(m3_crossvalid[[#This Row],[cutoff]]),MONTH(m3_crossvalid[[#This Row],[cutoff]]),DAY(m3_crossvalid[[#This Row],[cutoff]]))</f>
        <v>45930</v>
      </c>
      <c r="B284" s="7">
        <f>DATE(YEAR(m3_crossvalid[[#This Row],[ds]]),MONTH(m3_crossvalid[[#This Row],[ds]]),DAY(m3_crossvalid[[#This Row],[ds]]))</f>
        <v>45934</v>
      </c>
      <c r="C284">
        <v>141</v>
      </c>
      <c r="D284" s="1">
        <v>45934.333333333336</v>
      </c>
      <c r="E284">
        <v>-669.73676844206011</v>
      </c>
      <c r="F284">
        <v>-2548.9287912240661</v>
      </c>
      <c r="G284">
        <v>1228.6093869266715</v>
      </c>
      <c r="H284" s="1">
        <v>45930.333333333336</v>
      </c>
    </row>
    <row r="285" spans="1:8" x14ac:dyDescent="0.25">
      <c r="A285" s="7">
        <f>DATE(YEAR(m3_crossvalid[[#This Row],[cutoff]]),MONTH(m3_crossvalid[[#This Row],[cutoff]]),DAY(m3_crossvalid[[#This Row],[cutoff]]))</f>
        <v>45930</v>
      </c>
      <c r="B285" s="7">
        <f>DATE(YEAR(m3_crossvalid[[#This Row],[ds]]),MONTH(m3_crossvalid[[#This Row],[ds]]),DAY(m3_crossvalid[[#This Row],[ds]]))</f>
        <v>45935</v>
      </c>
      <c r="C285">
        <v>38</v>
      </c>
      <c r="D285" s="1">
        <v>45935.333333333336</v>
      </c>
      <c r="E285">
        <v>-1402.364241667417</v>
      </c>
      <c r="F285">
        <v>-3336.2221526931921</v>
      </c>
      <c r="G285">
        <v>508.90326878545687</v>
      </c>
      <c r="H285" s="1">
        <v>45930.333333333336</v>
      </c>
    </row>
    <row r="286" spans="1:8" x14ac:dyDescent="0.25">
      <c r="A286" s="7">
        <f>DATE(YEAR(m3_crossvalid[[#This Row],[cutoff]]),MONTH(m3_crossvalid[[#This Row],[cutoff]]),DAY(m3_crossvalid[[#This Row],[cutoff]]))</f>
        <v>45930</v>
      </c>
      <c r="B286" s="7">
        <f>DATE(YEAR(m3_crossvalid[[#This Row],[ds]]),MONTH(m3_crossvalid[[#This Row],[ds]]),DAY(m3_crossvalid[[#This Row],[ds]]))</f>
        <v>45936</v>
      </c>
      <c r="C286">
        <v>1044</v>
      </c>
      <c r="D286" s="1">
        <v>45936.333333333336</v>
      </c>
      <c r="E286">
        <v>1518.7309559242074</v>
      </c>
      <c r="F286">
        <v>-410.21573739865835</v>
      </c>
      <c r="G286">
        <v>3379.5518151069273</v>
      </c>
      <c r="H286" s="1">
        <v>45930.333333333336</v>
      </c>
    </row>
    <row r="287" spans="1:8" x14ac:dyDescent="0.25">
      <c r="A287" s="7">
        <f>DATE(YEAR(m3_crossvalid[[#This Row],[cutoff]]),MONTH(m3_crossvalid[[#This Row],[cutoff]]),DAY(m3_crossvalid[[#This Row],[cutoff]]))</f>
        <v>45930</v>
      </c>
      <c r="B287" s="7">
        <f>DATE(YEAR(m3_crossvalid[[#This Row],[ds]]),MONTH(m3_crossvalid[[#This Row],[ds]]),DAY(m3_crossvalid[[#This Row],[ds]]))</f>
        <v>45937</v>
      </c>
      <c r="C287">
        <v>1351</v>
      </c>
      <c r="D287" s="1">
        <v>45937.333333333336</v>
      </c>
      <c r="E287">
        <v>2152.6900031204641</v>
      </c>
      <c r="F287">
        <v>241.11136125461812</v>
      </c>
      <c r="G287">
        <v>3936.274775901692</v>
      </c>
      <c r="H287" s="1">
        <v>45930.333333333336</v>
      </c>
    </row>
    <row r="288" spans="1:8" x14ac:dyDescent="0.25">
      <c r="A288" s="7">
        <f>DATE(YEAR(m3_crossvalid[[#This Row],[cutoff]]),MONTH(m3_crossvalid[[#This Row],[cutoff]]),DAY(m3_crossvalid[[#This Row],[cutoff]]))</f>
        <v>45930</v>
      </c>
      <c r="B288" s="7">
        <f>DATE(YEAR(m3_crossvalid[[#This Row],[ds]]),MONTH(m3_crossvalid[[#This Row],[ds]]),DAY(m3_crossvalid[[#This Row],[ds]]))</f>
        <v>45938</v>
      </c>
      <c r="C288">
        <v>1654</v>
      </c>
      <c r="D288" s="1">
        <v>45938.333333333336</v>
      </c>
      <c r="E288">
        <v>2279.0643829169862</v>
      </c>
      <c r="F288">
        <v>392.52275901986764</v>
      </c>
      <c r="G288">
        <v>4191.406047792947</v>
      </c>
      <c r="H288" s="1">
        <v>45930.333333333336</v>
      </c>
    </row>
    <row r="289" spans="1:8" x14ac:dyDescent="0.25">
      <c r="A289" s="7">
        <f>DATE(YEAR(m3_crossvalid[[#This Row],[cutoff]]),MONTH(m3_crossvalid[[#This Row],[cutoff]]),DAY(m3_crossvalid[[#This Row],[cutoff]]))</f>
        <v>45930</v>
      </c>
      <c r="B289" s="7">
        <f>DATE(YEAR(m3_crossvalid[[#This Row],[ds]]),MONTH(m3_crossvalid[[#This Row],[ds]]),DAY(m3_crossvalid[[#This Row],[ds]]))</f>
        <v>45939</v>
      </c>
      <c r="C289">
        <v>2108</v>
      </c>
      <c r="D289" s="1">
        <v>45939.333333333336</v>
      </c>
      <c r="E289">
        <v>2151.7660009618471</v>
      </c>
      <c r="F289">
        <v>264.61009299322308</v>
      </c>
      <c r="G289">
        <v>4096.3664937760914</v>
      </c>
      <c r="H289" s="1">
        <v>45930.333333333336</v>
      </c>
    </row>
    <row r="290" spans="1:8" x14ac:dyDescent="0.25">
      <c r="A290" s="7">
        <f>DATE(YEAR(m3_crossvalid[[#This Row],[cutoff]]),MONTH(m3_crossvalid[[#This Row],[cutoff]]),DAY(m3_crossvalid[[#This Row],[cutoff]]))</f>
        <v>45930</v>
      </c>
      <c r="B290" s="7">
        <f>DATE(YEAR(m3_crossvalid[[#This Row],[ds]]),MONTH(m3_crossvalid[[#This Row],[ds]]),DAY(m3_crossvalid[[#This Row],[ds]]))</f>
        <v>45940</v>
      </c>
      <c r="C290">
        <v>2215</v>
      </c>
      <c r="D290" s="1">
        <v>45940.333333333336</v>
      </c>
      <c r="E290">
        <v>2004.1857597663848</v>
      </c>
      <c r="F290">
        <v>198.79671553348393</v>
      </c>
      <c r="G290">
        <v>3978.6682701720742</v>
      </c>
      <c r="H290" s="1">
        <v>45930.333333333336</v>
      </c>
    </row>
    <row r="291" spans="1:8" x14ac:dyDescent="0.25">
      <c r="A291" s="7">
        <f>DATE(YEAR(m3_crossvalid[[#This Row],[cutoff]]),MONTH(m3_crossvalid[[#This Row],[cutoff]]),DAY(m3_crossvalid[[#This Row],[cutoff]]))</f>
        <v>45930</v>
      </c>
      <c r="B291" s="7">
        <f>DATE(YEAR(m3_crossvalid[[#This Row],[ds]]),MONTH(m3_crossvalid[[#This Row],[ds]]),DAY(m3_crossvalid[[#This Row],[ds]]))</f>
        <v>45941</v>
      </c>
      <c r="C291">
        <v>380</v>
      </c>
      <c r="D291" s="1">
        <v>45941.333333333336</v>
      </c>
      <c r="E291">
        <v>-40.747294707037327</v>
      </c>
      <c r="F291">
        <v>-2015.2710662002323</v>
      </c>
      <c r="G291">
        <v>1816.4938433474495</v>
      </c>
      <c r="H291" s="1">
        <v>45930.333333333336</v>
      </c>
    </row>
    <row r="292" spans="1:8" x14ac:dyDescent="0.25">
      <c r="A292" s="7">
        <f>DATE(YEAR(m3_crossvalid[[#This Row],[cutoff]]),MONTH(m3_crossvalid[[#This Row],[cutoff]]),DAY(m3_crossvalid[[#This Row],[cutoff]]))</f>
        <v>45930</v>
      </c>
      <c r="B292" s="7">
        <f>DATE(YEAR(m3_crossvalid[[#This Row],[ds]]),MONTH(m3_crossvalid[[#This Row],[ds]]),DAY(m3_crossvalid[[#This Row],[ds]]))</f>
        <v>45942</v>
      </c>
      <c r="C292">
        <v>120</v>
      </c>
      <c r="D292" s="1">
        <v>45942.333333333336</v>
      </c>
      <c r="E292">
        <v>-236.99211771251976</v>
      </c>
      <c r="F292">
        <v>-2128.5708405065625</v>
      </c>
      <c r="G292">
        <v>1587.7131484505467</v>
      </c>
      <c r="H292" s="1">
        <v>45930.333333333336</v>
      </c>
    </row>
    <row r="293" spans="1:8" x14ac:dyDescent="0.25">
      <c r="A293" s="7">
        <f>DATE(YEAR(m3_crossvalid[[#This Row],[cutoff]]),MONTH(m3_crossvalid[[#This Row],[cutoff]]),DAY(m3_crossvalid[[#This Row],[cutoff]]))</f>
        <v>45930</v>
      </c>
      <c r="B293" s="7">
        <f>DATE(YEAR(m3_crossvalid[[#This Row],[ds]]),MONTH(m3_crossvalid[[#This Row],[ds]]),DAY(m3_crossvalid[[#This Row],[ds]]))</f>
        <v>45943</v>
      </c>
      <c r="C293">
        <v>2406</v>
      </c>
      <c r="D293" s="1">
        <v>45943.333333333336</v>
      </c>
      <c r="E293">
        <v>2504.87402543707</v>
      </c>
      <c r="F293">
        <v>609.75763861607254</v>
      </c>
      <c r="G293">
        <v>4338.8377244308122</v>
      </c>
      <c r="H293" s="1">
        <v>45930.333333333336</v>
      </c>
    </row>
    <row r="294" spans="1:8" x14ac:dyDescent="0.25">
      <c r="A294" s="7">
        <f>DATE(YEAR(m3_crossvalid[[#This Row],[cutoff]]),MONTH(m3_crossvalid[[#This Row],[cutoff]]),DAY(m3_crossvalid[[#This Row],[cutoff]]))</f>
        <v>45930</v>
      </c>
      <c r="B294" s="7">
        <f>DATE(YEAR(m3_crossvalid[[#This Row],[ds]]),MONTH(m3_crossvalid[[#This Row],[ds]]),DAY(m3_crossvalid[[#This Row],[ds]]))</f>
        <v>45944</v>
      </c>
      <c r="C294">
        <v>2958</v>
      </c>
      <c r="D294" s="1">
        <v>45944.333333333336</v>
      </c>
      <c r="E294">
        <v>2721.4132872859768</v>
      </c>
      <c r="F294">
        <v>732.88991044953696</v>
      </c>
      <c r="G294">
        <v>4534.4151532717242</v>
      </c>
      <c r="H294" s="1">
        <v>45930.333333333336</v>
      </c>
    </row>
    <row r="295" spans="1:8" x14ac:dyDescent="0.25">
      <c r="A295" s="7">
        <f>DATE(YEAR(m3_crossvalid[[#This Row],[cutoff]]),MONTH(m3_crossvalid[[#This Row],[cutoff]]),DAY(m3_crossvalid[[#This Row],[cutoff]]))</f>
        <v>45930</v>
      </c>
      <c r="B295" s="7">
        <f>DATE(YEAR(m3_crossvalid[[#This Row],[ds]]),MONTH(m3_crossvalid[[#This Row],[ds]]),DAY(m3_crossvalid[[#This Row],[ds]]))</f>
        <v>45945</v>
      </c>
      <c r="C295">
        <v>3074</v>
      </c>
      <c r="D295" s="1">
        <v>45945.333333333336</v>
      </c>
      <c r="E295">
        <v>2669.128885485452</v>
      </c>
      <c r="F295">
        <v>719.41735138040804</v>
      </c>
      <c r="G295">
        <v>4656.6237920973099</v>
      </c>
      <c r="H295" s="1">
        <v>45930.333333333336</v>
      </c>
    </row>
    <row r="296" spans="1:8" x14ac:dyDescent="0.25">
      <c r="A296" s="7">
        <f>DATE(YEAR(m3_crossvalid[[#This Row],[cutoff]]),MONTH(m3_crossvalid[[#This Row],[cutoff]]),DAY(m3_crossvalid[[#This Row],[cutoff]]))</f>
        <v>45930</v>
      </c>
      <c r="B296" s="7">
        <f>DATE(YEAR(m3_crossvalid[[#This Row],[ds]]),MONTH(m3_crossvalid[[#This Row],[ds]]),DAY(m3_crossvalid[[#This Row],[ds]]))</f>
        <v>45946</v>
      </c>
      <c r="C296">
        <v>3505</v>
      </c>
      <c r="D296" s="1">
        <v>45946.333333333336</v>
      </c>
      <c r="E296">
        <v>2720.3479790391675</v>
      </c>
      <c r="F296">
        <v>815.9304408241054</v>
      </c>
      <c r="G296">
        <v>4498.3621473681942</v>
      </c>
      <c r="H296" s="1">
        <v>45930.333333333336</v>
      </c>
    </row>
    <row r="297" spans="1:8" x14ac:dyDescent="0.25">
      <c r="A297" s="7">
        <f>DATE(YEAR(m3_crossvalid[[#This Row],[cutoff]]),MONTH(m3_crossvalid[[#This Row],[cutoff]]),DAY(m3_crossvalid[[#This Row],[cutoff]]))</f>
        <v>45930</v>
      </c>
      <c r="B297" s="7">
        <f>DATE(YEAR(m3_crossvalid[[#This Row],[ds]]),MONTH(m3_crossvalid[[#This Row],[ds]]),DAY(m3_crossvalid[[#This Row],[ds]]))</f>
        <v>45947</v>
      </c>
      <c r="C297">
        <v>3630</v>
      </c>
      <c r="D297" s="1">
        <v>45947.333333333336</v>
      </c>
      <c r="E297">
        <v>2846.6650333006087</v>
      </c>
      <c r="F297">
        <v>965.32188343878647</v>
      </c>
      <c r="G297">
        <v>4598.338443664119</v>
      </c>
      <c r="H297" s="1">
        <v>45930.333333333336</v>
      </c>
    </row>
    <row r="298" spans="1:8" x14ac:dyDescent="0.25">
      <c r="A298" s="7">
        <f>DATE(YEAR(m3_crossvalid[[#This Row],[cutoff]]),MONTH(m3_crossvalid[[#This Row],[cutoff]]),DAY(m3_crossvalid[[#This Row],[cutoff]]))</f>
        <v>45930</v>
      </c>
      <c r="B298" s="7">
        <f>DATE(YEAR(m3_crossvalid[[#This Row],[ds]]),MONTH(m3_crossvalid[[#This Row],[ds]]),DAY(m3_crossvalid[[#This Row],[ds]]))</f>
        <v>45948</v>
      </c>
      <c r="C298">
        <v>653</v>
      </c>
      <c r="D298" s="1">
        <v>45948.333333333336</v>
      </c>
      <c r="E298">
        <v>839.26586459997134</v>
      </c>
      <c r="F298">
        <v>-1128.092392856121</v>
      </c>
      <c r="G298">
        <v>2582.1596703994987</v>
      </c>
      <c r="H298" s="1">
        <v>45930.333333333336</v>
      </c>
    </row>
    <row r="299" spans="1:8" x14ac:dyDescent="0.25">
      <c r="A299" s="7">
        <f>DATE(YEAR(m3_crossvalid[[#This Row],[cutoff]]),MONTH(m3_crossvalid[[#This Row],[cutoff]]),DAY(m3_crossvalid[[#This Row],[cutoff]]))</f>
        <v>45930</v>
      </c>
      <c r="B299" s="7">
        <f>DATE(YEAR(m3_crossvalid[[#This Row],[ds]]),MONTH(m3_crossvalid[[#This Row],[ds]]),DAY(m3_crossvalid[[#This Row],[ds]]))</f>
        <v>45949</v>
      </c>
      <c r="C299">
        <v>180</v>
      </c>
      <c r="D299" s="1">
        <v>45949.333333333336</v>
      </c>
      <c r="E299">
        <v>380.98192273918858</v>
      </c>
      <c r="F299">
        <v>-1455.0102414991973</v>
      </c>
      <c r="G299">
        <v>2265.1555845489347</v>
      </c>
      <c r="H299" s="1">
        <v>45930.333333333336</v>
      </c>
    </row>
    <row r="300" spans="1:8" x14ac:dyDescent="0.25">
      <c r="A300" s="7">
        <f>DATE(YEAR(m3_crossvalid[[#This Row],[cutoff]]),MONTH(m3_crossvalid[[#This Row],[cutoff]]),DAY(m3_crossvalid[[#This Row],[cutoff]]))</f>
        <v>45930</v>
      </c>
      <c r="B300" s="7">
        <f>DATE(YEAR(m3_crossvalid[[#This Row],[ds]]),MONTH(m3_crossvalid[[#This Row],[ds]]),DAY(m3_crossvalid[[#This Row],[ds]]))</f>
        <v>45950</v>
      </c>
      <c r="C300">
        <v>250</v>
      </c>
      <c r="D300" s="1">
        <v>45950.333333333336</v>
      </c>
      <c r="E300">
        <v>1007.6197255788898</v>
      </c>
      <c r="F300">
        <v>-922.92229158168823</v>
      </c>
      <c r="G300">
        <v>2646.5857684362495</v>
      </c>
      <c r="H300" s="1">
        <v>45930.333333333336</v>
      </c>
    </row>
    <row r="301" spans="1:8" x14ac:dyDescent="0.25">
      <c r="A301" s="7">
        <f>DATE(YEAR(m3_crossvalid[[#This Row],[cutoff]]),MONTH(m3_crossvalid[[#This Row],[cutoff]]),DAY(m3_crossvalid[[#This Row],[cutoff]]))</f>
        <v>45930</v>
      </c>
      <c r="B301" s="7">
        <f>DATE(YEAR(m3_crossvalid[[#This Row],[ds]]),MONTH(m3_crossvalid[[#This Row],[ds]]),DAY(m3_crossvalid[[#This Row],[ds]]))</f>
        <v>45951</v>
      </c>
      <c r="C301">
        <v>2797</v>
      </c>
      <c r="D301" s="1">
        <v>45951.333333333336</v>
      </c>
      <c r="E301">
        <v>2990.2845698960582</v>
      </c>
      <c r="F301">
        <v>1287.4617716378432</v>
      </c>
      <c r="G301">
        <v>4801.2994144025315</v>
      </c>
      <c r="H301" s="1">
        <v>45930.333333333336</v>
      </c>
    </row>
    <row r="302" spans="1:8" x14ac:dyDescent="0.25">
      <c r="A302" s="7">
        <f>DATE(YEAR(m3_crossvalid[[#This Row],[cutoff]]),MONTH(m3_crossvalid[[#This Row],[cutoff]]),DAY(m3_crossvalid[[#This Row],[cutoff]]))</f>
        <v>45930</v>
      </c>
      <c r="B302" s="7">
        <f>DATE(YEAR(m3_crossvalid[[#This Row],[ds]]),MONTH(m3_crossvalid[[#This Row],[ds]]),DAY(m3_crossvalid[[#This Row],[ds]]))</f>
        <v>45952</v>
      </c>
      <c r="C302">
        <v>3644</v>
      </c>
      <c r="D302" s="1">
        <v>45952.333333333336</v>
      </c>
      <c r="E302">
        <v>3199.2888969621176</v>
      </c>
      <c r="F302">
        <v>1330.2787251534276</v>
      </c>
      <c r="G302">
        <v>5092.3227026852983</v>
      </c>
      <c r="H302" s="1">
        <v>45930.333333333336</v>
      </c>
    </row>
    <row r="303" spans="1:8" x14ac:dyDescent="0.25">
      <c r="A303" s="7">
        <f>DATE(YEAR(m3_crossvalid[[#This Row],[cutoff]]),MONTH(m3_crossvalid[[#This Row],[cutoff]]),DAY(m3_crossvalid[[#This Row],[cutoff]]))</f>
        <v>45930</v>
      </c>
      <c r="B303" s="7">
        <f>DATE(YEAR(m3_crossvalid[[#This Row],[ds]]),MONTH(m3_crossvalid[[#This Row],[ds]]),DAY(m3_crossvalid[[#This Row],[ds]]))</f>
        <v>45953</v>
      </c>
      <c r="C303">
        <v>4009</v>
      </c>
      <c r="D303" s="1">
        <v>45953.333333333336</v>
      </c>
      <c r="E303">
        <v>3553.3441264990029</v>
      </c>
      <c r="F303">
        <v>1651.0185413550037</v>
      </c>
      <c r="G303">
        <v>5320.5175010760013</v>
      </c>
      <c r="H303" s="1">
        <v>45930.333333333336</v>
      </c>
    </row>
    <row r="304" spans="1:8" x14ac:dyDescent="0.25">
      <c r="A304" s="7">
        <f>DATE(YEAR(m3_crossvalid[[#This Row],[cutoff]]),MONTH(m3_crossvalid[[#This Row],[cutoff]]),DAY(m3_crossvalid[[#This Row],[cutoff]]))</f>
        <v>45930</v>
      </c>
      <c r="B304" s="7">
        <f>DATE(YEAR(m3_crossvalid[[#This Row],[ds]]),MONTH(m3_crossvalid[[#This Row],[ds]]),DAY(m3_crossvalid[[#This Row],[ds]]))</f>
        <v>45954</v>
      </c>
      <c r="C304">
        <v>4008</v>
      </c>
      <c r="D304" s="1">
        <v>45954.333333333336</v>
      </c>
      <c r="E304">
        <v>3730.5680178017328</v>
      </c>
      <c r="F304">
        <v>1812.0688928786603</v>
      </c>
      <c r="G304">
        <v>5684.3479867197393</v>
      </c>
      <c r="H304" s="1">
        <v>45930.333333333336</v>
      </c>
    </row>
    <row r="305" spans="1:8" x14ac:dyDescent="0.25">
      <c r="A305" s="7">
        <f>DATE(YEAR(m3_crossvalid[[#This Row],[cutoff]]),MONTH(m3_crossvalid[[#This Row],[cutoff]]),DAY(m3_crossvalid[[#This Row],[cutoff]]))</f>
        <v>45930</v>
      </c>
      <c r="B305" s="7">
        <f>DATE(YEAR(m3_crossvalid[[#This Row],[ds]]),MONTH(m3_crossvalid[[#This Row],[ds]]),DAY(m3_crossvalid[[#This Row],[ds]]))</f>
        <v>45955</v>
      </c>
      <c r="C305">
        <v>971</v>
      </c>
      <c r="D305" s="1">
        <v>45955.333333333336</v>
      </c>
      <c r="E305">
        <v>1523.8244307969849</v>
      </c>
      <c r="F305">
        <v>-346.27210341511972</v>
      </c>
      <c r="G305">
        <v>3273.2964202359622</v>
      </c>
      <c r="H305" s="1">
        <v>45930.333333333336</v>
      </c>
    </row>
    <row r="306" spans="1:8" x14ac:dyDescent="0.25">
      <c r="A306" s="7">
        <f>DATE(YEAR(m3_crossvalid[[#This Row],[cutoff]]),MONTH(m3_crossvalid[[#This Row],[cutoff]]),DAY(m3_crossvalid[[#This Row],[cutoff]]))</f>
        <v>45930</v>
      </c>
      <c r="B306" s="7">
        <f>DATE(YEAR(m3_crossvalid[[#This Row],[ds]]),MONTH(m3_crossvalid[[#This Row],[ds]]),DAY(m3_crossvalid[[#This Row],[ds]]))</f>
        <v>45956</v>
      </c>
      <c r="C306">
        <v>238</v>
      </c>
      <c r="D306" s="1">
        <v>45956.333333333336</v>
      </c>
      <c r="E306">
        <v>961.00237263214149</v>
      </c>
      <c r="F306">
        <v>-997.10701499398465</v>
      </c>
      <c r="G306">
        <v>2753.6364266902383</v>
      </c>
      <c r="H306" s="1">
        <v>45930.333333333336</v>
      </c>
    </row>
    <row r="307" spans="1:8" x14ac:dyDescent="0.25">
      <c r="A307" s="7">
        <f>DATE(YEAR(m3_crossvalid[[#This Row],[cutoff]]),MONTH(m3_crossvalid[[#This Row],[cutoff]]),DAY(m3_crossvalid[[#This Row],[cutoff]]))</f>
        <v>45930</v>
      </c>
      <c r="B307" s="7">
        <f>DATE(YEAR(m3_crossvalid[[#This Row],[ds]]),MONTH(m3_crossvalid[[#This Row],[ds]]),DAY(m3_crossvalid[[#This Row],[ds]]))</f>
        <v>45957</v>
      </c>
      <c r="C307">
        <v>4219</v>
      </c>
      <c r="D307" s="1">
        <v>45957.333333333336</v>
      </c>
      <c r="E307">
        <v>3776.1401565402175</v>
      </c>
      <c r="F307">
        <v>1881.4054725393239</v>
      </c>
      <c r="G307">
        <v>5590.0443412234654</v>
      </c>
      <c r="H307" s="1">
        <v>45930.333333333336</v>
      </c>
    </row>
    <row r="308" spans="1:8" x14ac:dyDescent="0.25">
      <c r="A308" s="7">
        <f>DATE(YEAR(m3_crossvalid[[#This Row],[cutoff]]),MONTH(m3_crossvalid[[#This Row],[cutoff]]),DAY(m3_crossvalid[[#This Row],[cutoff]]))</f>
        <v>45930</v>
      </c>
      <c r="B308" s="7">
        <f>DATE(YEAR(m3_crossvalid[[#This Row],[ds]]),MONTH(m3_crossvalid[[#This Row],[ds]]),DAY(m3_crossvalid[[#This Row],[ds]]))</f>
        <v>45958</v>
      </c>
      <c r="C308">
        <v>5659</v>
      </c>
      <c r="D308" s="1">
        <v>45958.333333333336</v>
      </c>
      <c r="E308">
        <v>4855.8954030950126</v>
      </c>
      <c r="F308">
        <v>3042.9168804423553</v>
      </c>
      <c r="G308">
        <v>6766.6928675808667</v>
      </c>
      <c r="H308" s="1">
        <v>45930.333333333336</v>
      </c>
    </row>
    <row r="309" spans="1:8" x14ac:dyDescent="0.25">
      <c r="A309" s="7">
        <f>DATE(YEAR(m3_crossvalid[[#This Row],[cutoff]]),MONTH(m3_crossvalid[[#This Row],[cutoff]]),DAY(m3_crossvalid[[#This Row],[cutoff]]))</f>
        <v>45930</v>
      </c>
      <c r="B309" s="7">
        <f>DATE(YEAR(m3_crossvalid[[#This Row],[ds]]),MONTH(m3_crossvalid[[#This Row],[ds]]),DAY(m3_crossvalid[[#This Row],[ds]]))</f>
        <v>45959</v>
      </c>
      <c r="C309">
        <v>6381</v>
      </c>
      <c r="D309" s="1">
        <v>45959.333333333336</v>
      </c>
      <c r="E309">
        <v>6075.5639614012398</v>
      </c>
      <c r="F309">
        <v>4224.0561900677521</v>
      </c>
      <c r="G309">
        <v>7923.6675386053557</v>
      </c>
      <c r="H309" s="1">
        <v>45930.333333333336</v>
      </c>
    </row>
    <row r="310" spans="1:8" x14ac:dyDescent="0.25">
      <c r="A310" s="7">
        <f>DATE(YEAR(m3_crossvalid[[#This Row],[cutoff]]),MONTH(m3_crossvalid[[#This Row],[cutoff]]),DAY(m3_crossvalid[[#This Row],[cutoff]]))</f>
        <v>45930</v>
      </c>
      <c r="B310" s="7">
        <f>DATE(YEAR(m3_crossvalid[[#This Row],[ds]]),MONTH(m3_crossvalid[[#This Row],[ds]]),DAY(m3_crossvalid[[#This Row],[ds]]))</f>
        <v>45960</v>
      </c>
      <c r="C310">
        <v>7936</v>
      </c>
      <c r="D310" s="1">
        <v>45960.333333333336</v>
      </c>
      <c r="E310">
        <v>6913.6855582272374</v>
      </c>
      <c r="F310">
        <v>5080.5718509964572</v>
      </c>
      <c r="G310">
        <v>8721.244498127051</v>
      </c>
      <c r="H310" s="1">
        <v>45930.333333333336</v>
      </c>
    </row>
    <row r="311" spans="1:8" x14ac:dyDescent="0.25">
      <c r="A311" s="7">
        <f>DATE(YEAR(m3_crossvalid[[#This Row],[cutoff]]),MONTH(m3_crossvalid[[#This Row],[cutoff]]),DAY(m3_crossvalid[[#This Row],[cutoff]]))</f>
        <v>45930</v>
      </c>
      <c r="B311" s="7">
        <f>DATE(YEAR(m3_crossvalid[[#This Row],[ds]]),MONTH(m3_crossvalid[[#This Row],[ds]]),DAY(m3_crossvalid[[#This Row],[ds]]))</f>
        <v>45961</v>
      </c>
      <c r="C311">
        <v>13386</v>
      </c>
      <c r="D311" s="1">
        <v>45961.333333333336</v>
      </c>
      <c r="E311">
        <v>6639.1521981268506</v>
      </c>
      <c r="F311">
        <v>4657.630972445213</v>
      </c>
      <c r="G311">
        <v>8524.1913332941112</v>
      </c>
      <c r="H311" s="1">
        <v>45930.333333333336</v>
      </c>
    </row>
    <row r="312" spans="1:8" x14ac:dyDescent="0.25">
      <c r="A312" s="7">
        <f>DATE(YEAR(m3_crossvalid[[#This Row],[cutoff]]),MONTH(m3_crossvalid[[#This Row],[cutoff]]),DAY(m3_crossvalid[[#This Row],[cutoff]]))</f>
        <v>45961</v>
      </c>
      <c r="B312" s="7">
        <f>DATE(YEAR(m3_crossvalid[[#This Row],[ds]]),MONTH(m3_crossvalid[[#This Row],[ds]]),DAY(m3_crossvalid[[#This Row],[ds]]))</f>
        <v>45962</v>
      </c>
      <c r="C312">
        <v>104</v>
      </c>
      <c r="D312" s="1">
        <v>45962.333333333336</v>
      </c>
      <c r="E312">
        <v>3224.8562226746235</v>
      </c>
      <c r="F312">
        <v>1532.5790803425418</v>
      </c>
      <c r="G312">
        <v>5123.0693346167454</v>
      </c>
      <c r="H312" s="1">
        <v>45961.333333333336</v>
      </c>
    </row>
    <row r="313" spans="1:8" x14ac:dyDescent="0.25">
      <c r="A313" s="7">
        <f>DATE(YEAR(m3_crossvalid[[#This Row],[cutoff]]),MONTH(m3_crossvalid[[#This Row],[cutoff]]),DAY(m3_crossvalid[[#This Row],[cutoff]]))</f>
        <v>45961</v>
      </c>
      <c r="B313" s="7">
        <f>DATE(YEAR(m3_crossvalid[[#This Row],[ds]]),MONTH(m3_crossvalid[[#This Row],[ds]]),DAY(m3_crossvalid[[#This Row],[ds]]))</f>
        <v>45963</v>
      </c>
      <c r="C313">
        <v>32</v>
      </c>
      <c r="D313" s="1">
        <v>45963.333333333336</v>
      </c>
      <c r="E313">
        <v>857.07705457807947</v>
      </c>
      <c r="F313">
        <v>-847.33926321576882</v>
      </c>
      <c r="G313">
        <v>2629.285464887867</v>
      </c>
      <c r="H313" s="1">
        <v>45961.333333333336</v>
      </c>
    </row>
    <row r="314" spans="1:8" x14ac:dyDescent="0.25">
      <c r="A314" s="7">
        <f>DATE(YEAR(m3_crossvalid[[#This Row],[cutoff]]),MONTH(m3_crossvalid[[#This Row],[cutoff]]),DAY(m3_crossvalid[[#This Row],[cutoff]]))</f>
        <v>45961</v>
      </c>
      <c r="B314" s="7">
        <f>DATE(YEAR(m3_crossvalid[[#This Row],[ds]]),MONTH(m3_crossvalid[[#This Row],[ds]]),DAY(m3_crossvalid[[#This Row],[ds]]))</f>
        <v>45964</v>
      </c>
      <c r="C314">
        <v>607</v>
      </c>
      <c r="D314" s="1">
        <v>45964.333333333336</v>
      </c>
      <c r="E314">
        <v>1898.30424278635</v>
      </c>
      <c r="F314">
        <v>44.062126381321484</v>
      </c>
      <c r="G314">
        <v>3806.499597785777</v>
      </c>
      <c r="H314" s="1">
        <v>45961.333333333336</v>
      </c>
    </row>
    <row r="315" spans="1:8" x14ac:dyDescent="0.25">
      <c r="A315" s="7">
        <f>DATE(YEAR(m3_crossvalid[[#This Row],[cutoff]]),MONTH(m3_crossvalid[[#This Row],[cutoff]]),DAY(m3_crossvalid[[#This Row],[cutoff]]))</f>
        <v>45961</v>
      </c>
      <c r="B315" s="7">
        <f>DATE(YEAR(m3_crossvalid[[#This Row],[ds]]),MONTH(m3_crossvalid[[#This Row],[ds]]),DAY(m3_crossvalid[[#This Row],[ds]]))</f>
        <v>45965</v>
      </c>
      <c r="C315">
        <v>821</v>
      </c>
      <c r="D315" s="1">
        <v>45965.333333333336</v>
      </c>
      <c r="E315">
        <v>1532.7601342268749</v>
      </c>
      <c r="F315">
        <v>-319.27768582375285</v>
      </c>
      <c r="G315">
        <v>3319.7446468336857</v>
      </c>
      <c r="H315" s="1">
        <v>45961.333333333336</v>
      </c>
    </row>
    <row r="316" spans="1:8" x14ac:dyDescent="0.25">
      <c r="A316" s="7">
        <f>DATE(YEAR(m3_crossvalid[[#This Row],[cutoff]]),MONTH(m3_crossvalid[[#This Row],[cutoff]]),DAY(m3_crossvalid[[#This Row],[cutoff]]))</f>
        <v>45961</v>
      </c>
      <c r="B316" s="7">
        <f>DATE(YEAR(m3_crossvalid[[#This Row],[ds]]),MONTH(m3_crossvalid[[#This Row],[ds]]),DAY(m3_crossvalid[[#This Row],[ds]]))</f>
        <v>45966</v>
      </c>
      <c r="C316">
        <v>1032</v>
      </c>
      <c r="D316" s="1">
        <v>45966.333333333336</v>
      </c>
      <c r="E316">
        <v>1730.519166201057</v>
      </c>
      <c r="F316">
        <v>-116.08376737834728</v>
      </c>
      <c r="G316">
        <v>3675.818596428297</v>
      </c>
      <c r="H316" s="1">
        <v>45961.333333333336</v>
      </c>
    </row>
    <row r="317" spans="1:8" x14ac:dyDescent="0.25">
      <c r="A317" s="7">
        <f>DATE(YEAR(m3_crossvalid[[#This Row],[cutoff]]),MONTH(m3_crossvalid[[#This Row],[cutoff]]),DAY(m3_crossvalid[[#This Row],[cutoff]]))</f>
        <v>45961</v>
      </c>
      <c r="B317" s="7">
        <f>DATE(YEAR(m3_crossvalid[[#This Row],[ds]]),MONTH(m3_crossvalid[[#This Row],[ds]]),DAY(m3_crossvalid[[#This Row],[ds]]))</f>
        <v>45967</v>
      </c>
      <c r="C317">
        <v>1396</v>
      </c>
      <c r="D317" s="1">
        <v>45967.333333333336</v>
      </c>
      <c r="E317">
        <v>2185.962766679761</v>
      </c>
      <c r="F317">
        <v>246.2489205476663</v>
      </c>
      <c r="G317">
        <v>4027.8080955640244</v>
      </c>
      <c r="H317" s="1">
        <v>45961.333333333336</v>
      </c>
    </row>
    <row r="318" spans="1:8" x14ac:dyDescent="0.25">
      <c r="A318" s="7">
        <f>DATE(YEAR(m3_crossvalid[[#This Row],[cutoff]]),MONTH(m3_crossvalid[[#This Row],[cutoff]]),DAY(m3_crossvalid[[#This Row],[cutoff]]))</f>
        <v>45961</v>
      </c>
      <c r="B318" s="7">
        <f>DATE(YEAR(m3_crossvalid[[#This Row],[ds]]),MONTH(m3_crossvalid[[#This Row],[ds]]),DAY(m3_crossvalid[[#This Row],[ds]]))</f>
        <v>45968</v>
      </c>
      <c r="C318">
        <v>1612</v>
      </c>
      <c r="D318" s="1">
        <v>45968.333333333336</v>
      </c>
      <c r="E318">
        <v>2325.3002154530309</v>
      </c>
      <c r="F318">
        <v>556.39635922865068</v>
      </c>
      <c r="G318">
        <v>4207.1635216738341</v>
      </c>
      <c r="H318" s="1">
        <v>45961.333333333336</v>
      </c>
    </row>
    <row r="319" spans="1:8" x14ac:dyDescent="0.25">
      <c r="A319" s="7">
        <f>DATE(YEAR(m3_crossvalid[[#This Row],[cutoff]]),MONTH(m3_crossvalid[[#This Row],[cutoff]]),DAY(m3_crossvalid[[#This Row],[cutoff]]))</f>
        <v>45961</v>
      </c>
      <c r="B319" s="7">
        <f>DATE(YEAR(m3_crossvalid[[#This Row],[ds]]),MONTH(m3_crossvalid[[#This Row],[ds]]),DAY(m3_crossvalid[[#This Row],[ds]]))</f>
        <v>45969</v>
      </c>
      <c r="C319">
        <v>206</v>
      </c>
      <c r="D319" s="1">
        <v>45969.333333333336</v>
      </c>
      <c r="E319">
        <v>-49.487644382764302</v>
      </c>
      <c r="F319">
        <v>-1960.9472457053046</v>
      </c>
      <c r="G319">
        <v>1799.6602898178476</v>
      </c>
      <c r="H319" s="1">
        <v>45961.333333333336</v>
      </c>
    </row>
    <row r="320" spans="1:8" x14ac:dyDescent="0.25">
      <c r="A320" s="7">
        <f>DATE(YEAR(m3_crossvalid[[#This Row],[cutoff]]),MONTH(m3_crossvalid[[#This Row],[cutoff]]),DAY(m3_crossvalid[[#This Row],[cutoff]]))</f>
        <v>45961</v>
      </c>
      <c r="B320" s="7">
        <f>DATE(YEAR(m3_crossvalid[[#This Row],[ds]]),MONTH(m3_crossvalid[[#This Row],[ds]]),DAY(m3_crossvalid[[#This Row],[ds]]))</f>
        <v>45970</v>
      </c>
      <c r="C320">
        <v>95</v>
      </c>
      <c r="D320" s="1">
        <v>45970.333333333336</v>
      </c>
      <c r="E320">
        <v>-693.99229510278292</v>
      </c>
      <c r="F320">
        <v>-2534.5318893923254</v>
      </c>
      <c r="G320">
        <v>1267.6444904174241</v>
      </c>
      <c r="H320" s="1">
        <v>45961.333333333336</v>
      </c>
    </row>
    <row r="321" spans="1:8" x14ac:dyDescent="0.25">
      <c r="A321" s="7">
        <f>DATE(YEAR(m3_crossvalid[[#This Row],[cutoff]]),MONTH(m3_crossvalid[[#This Row],[cutoff]]),DAY(m3_crossvalid[[#This Row],[cutoff]]))</f>
        <v>45961</v>
      </c>
      <c r="B321" s="7">
        <f>DATE(YEAR(m3_crossvalid[[#This Row],[ds]]),MONTH(m3_crossvalid[[#This Row],[ds]]),DAY(m3_crossvalid[[#This Row],[ds]]))</f>
        <v>45971</v>
      </c>
      <c r="C321">
        <v>1552</v>
      </c>
      <c r="D321" s="1">
        <v>45971.333333333336</v>
      </c>
      <c r="E321">
        <v>1961.156916123537</v>
      </c>
      <c r="F321">
        <v>22.842128275035893</v>
      </c>
      <c r="G321">
        <v>3737.2385788331321</v>
      </c>
      <c r="H321" s="1">
        <v>45961.333333333336</v>
      </c>
    </row>
    <row r="322" spans="1:8" x14ac:dyDescent="0.25">
      <c r="A322" s="7">
        <f>DATE(YEAR(m3_crossvalid[[#This Row],[cutoff]]),MONTH(m3_crossvalid[[#This Row],[cutoff]]),DAY(m3_crossvalid[[#This Row],[cutoff]]))</f>
        <v>45961</v>
      </c>
      <c r="B322" s="7">
        <f>DATE(YEAR(m3_crossvalid[[#This Row],[ds]]),MONTH(m3_crossvalid[[#This Row],[ds]]),DAY(m3_crossvalid[[#This Row],[ds]]))</f>
        <v>45972</v>
      </c>
      <c r="C322">
        <v>1937</v>
      </c>
      <c r="D322" s="1">
        <v>45972.333333333336</v>
      </c>
      <c r="E322">
        <v>2541.2683394878359</v>
      </c>
      <c r="F322">
        <v>671.61948027644348</v>
      </c>
      <c r="G322">
        <v>4530.1719485109379</v>
      </c>
      <c r="H322" s="1">
        <v>45961.333333333336</v>
      </c>
    </row>
    <row r="323" spans="1:8" x14ac:dyDescent="0.25">
      <c r="A323" s="7">
        <f>DATE(YEAR(m3_crossvalid[[#This Row],[cutoff]]),MONTH(m3_crossvalid[[#This Row],[cutoff]]),DAY(m3_crossvalid[[#This Row],[cutoff]]))</f>
        <v>45961</v>
      </c>
      <c r="B323" s="7">
        <f>DATE(YEAR(m3_crossvalid[[#This Row],[ds]]),MONTH(m3_crossvalid[[#This Row],[ds]]),DAY(m3_crossvalid[[#This Row],[ds]]))</f>
        <v>45973</v>
      </c>
      <c r="C323">
        <v>2198</v>
      </c>
      <c r="D323" s="1">
        <v>45973.333333333336</v>
      </c>
      <c r="E323">
        <v>2863.5717509813394</v>
      </c>
      <c r="F323">
        <v>1006.2717721722852</v>
      </c>
      <c r="G323">
        <v>4546.9855339578289</v>
      </c>
      <c r="H323" s="1">
        <v>45961.333333333336</v>
      </c>
    </row>
    <row r="324" spans="1:8" x14ac:dyDescent="0.25">
      <c r="A324" s="7">
        <f>DATE(YEAR(m3_crossvalid[[#This Row],[cutoff]]),MONTH(m3_crossvalid[[#This Row],[cutoff]]),DAY(m3_crossvalid[[#This Row],[cutoff]]))</f>
        <v>45961</v>
      </c>
      <c r="B324" s="7">
        <f>DATE(YEAR(m3_crossvalid[[#This Row],[ds]]),MONTH(m3_crossvalid[[#This Row],[ds]]),DAY(m3_crossvalid[[#This Row],[ds]]))</f>
        <v>45974</v>
      </c>
      <c r="C324">
        <v>2401</v>
      </c>
      <c r="D324" s="1">
        <v>45974.333333333336</v>
      </c>
      <c r="E324">
        <v>2956.0983390926926</v>
      </c>
      <c r="F324">
        <v>1074.9661854655169</v>
      </c>
      <c r="G324">
        <v>4880.9328865363059</v>
      </c>
      <c r="H324" s="1">
        <v>45961.333333333336</v>
      </c>
    </row>
    <row r="325" spans="1:8" x14ac:dyDescent="0.25">
      <c r="A325" s="7">
        <f>DATE(YEAR(m3_crossvalid[[#This Row],[cutoff]]),MONTH(m3_crossvalid[[#This Row],[cutoff]]),DAY(m3_crossvalid[[#This Row],[cutoff]]))</f>
        <v>45961</v>
      </c>
      <c r="B325" s="7">
        <f>DATE(YEAR(m3_crossvalid[[#This Row],[ds]]),MONTH(m3_crossvalid[[#This Row],[ds]]),DAY(m3_crossvalid[[#This Row],[ds]]))</f>
        <v>45975</v>
      </c>
      <c r="C325">
        <v>2547</v>
      </c>
      <c r="D325" s="1">
        <v>45975.333333333336</v>
      </c>
      <c r="E325">
        <v>2775.9535181847596</v>
      </c>
      <c r="F325">
        <v>1037.2853251334509</v>
      </c>
      <c r="G325">
        <v>4675.8300372213607</v>
      </c>
      <c r="H325" s="1">
        <v>45961.333333333336</v>
      </c>
    </row>
    <row r="326" spans="1:8" x14ac:dyDescent="0.25">
      <c r="A326" s="7">
        <f>DATE(YEAR(m3_crossvalid[[#This Row],[cutoff]]),MONTH(m3_crossvalid[[#This Row],[cutoff]]),DAY(m3_crossvalid[[#This Row],[cutoff]]))</f>
        <v>45961</v>
      </c>
      <c r="B326" s="7">
        <f>DATE(YEAR(m3_crossvalid[[#This Row],[ds]]),MONTH(m3_crossvalid[[#This Row],[ds]]),DAY(m3_crossvalid[[#This Row],[ds]]))</f>
        <v>45976</v>
      </c>
      <c r="C326">
        <v>773</v>
      </c>
      <c r="D326" s="1">
        <v>45976.333333333336</v>
      </c>
      <c r="E326">
        <v>431.83923109695479</v>
      </c>
      <c r="F326">
        <v>-1365.1540638969843</v>
      </c>
      <c r="G326">
        <v>2244.9346167559302</v>
      </c>
      <c r="H326" s="1">
        <v>45961.333333333336</v>
      </c>
    </row>
    <row r="327" spans="1:8" x14ac:dyDescent="0.25">
      <c r="A327" s="7">
        <f>DATE(YEAR(m3_crossvalid[[#This Row],[cutoff]]),MONTH(m3_crossvalid[[#This Row],[cutoff]]),DAY(m3_crossvalid[[#This Row],[cutoff]]))</f>
        <v>45961</v>
      </c>
      <c r="B327" s="7">
        <f>DATE(YEAR(m3_crossvalid[[#This Row],[ds]]),MONTH(m3_crossvalid[[#This Row],[ds]]),DAY(m3_crossvalid[[#This Row],[ds]]))</f>
        <v>45977</v>
      </c>
      <c r="C327">
        <v>113</v>
      </c>
      <c r="D327" s="1">
        <v>45977.333333333336</v>
      </c>
      <c r="E327">
        <v>55.73289104107198</v>
      </c>
      <c r="F327">
        <v>-1801.0739040189274</v>
      </c>
      <c r="G327">
        <v>1918.2818839380998</v>
      </c>
      <c r="H327" s="1">
        <v>45961.333333333336</v>
      </c>
    </row>
    <row r="328" spans="1:8" x14ac:dyDescent="0.25">
      <c r="A328" s="7">
        <f>DATE(YEAR(m3_crossvalid[[#This Row],[cutoff]]),MONTH(m3_crossvalid[[#This Row],[cutoff]]),DAY(m3_crossvalid[[#This Row],[cutoff]]))</f>
        <v>45961</v>
      </c>
      <c r="B328" s="7">
        <f>DATE(YEAR(m3_crossvalid[[#This Row],[ds]]),MONTH(m3_crossvalid[[#This Row],[ds]]),DAY(m3_crossvalid[[#This Row],[ds]]))</f>
        <v>45978</v>
      </c>
      <c r="C328">
        <v>2849</v>
      </c>
      <c r="D328" s="1">
        <v>45978.333333333336</v>
      </c>
      <c r="E328">
        <v>2870.0018370879679</v>
      </c>
      <c r="F328">
        <v>1060.5275186635783</v>
      </c>
      <c r="G328">
        <v>4776.2620912229677</v>
      </c>
      <c r="H328" s="1">
        <v>45961.333333333336</v>
      </c>
    </row>
    <row r="329" spans="1:8" x14ac:dyDescent="0.25">
      <c r="A329" s="7">
        <f>DATE(YEAR(m3_crossvalid[[#This Row],[cutoff]]),MONTH(m3_crossvalid[[#This Row],[cutoff]]),DAY(m3_crossvalid[[#This Row],[cutoff]]))</f>
        <v>45961</v>
      </c>
      <c r="B329" s="7">
        <f>DATE(YEAR(m3_crossvalid[[#This Row],[ds]]),MONTH(m3_crossvalid[[#This Row],[ds]]),DAY(m3_crossvalid[[#This Row],[ds]]))</f>
        <v>45979</v>
      </c>
      <c r="C329">
        <v>3351</v>
      </c>
      <c r="D329" s="1">
        <v>45979.333333333336</v>
      </c>
      <c r="E329">
        <v>3290.4510624660793</v>
      </c>
      <c r="F329">
        <v>1494.8052977034922</v>
      </c>
      <c r="G329">
        <v>5174.9986109333477</v>
      </c>
      <c r="H329" s="1">
        <v>45961.333333333336</v>
      </c>
    </row>
    <row r="330" spans="1:8" x14ac:dyDescent="0.25">
      <c r="A330" s="7">
        <f>DATE(YEAR(m3_crossvalid[[#This Row],[cutoff]]),MONTH(m3_crossvalid[[#This Row],[cutoff]]),DAY(m3_crossvalid[[#This Row],[cutoff]]))</f>
        <v>45961</v>
      </c>
      <c r="B330" s="7">
        <f>DATE(YEAR(m3_crossvalid[[#This Row],[ds]]),MONTH(m3_crossvalid[[#This Row],[ds]]),DAY(m3_crossvalid[[#This Row],[ds]]))</f>
        <v>45980</v>
      </c>
      <c r="C330">
        <v>3248</v>
      </c>
      <c r="D330" s="1">
        <v>45980.333333333336</v>
      </c>
      <c r="E330">
        <v>3267.1943596617493</v>
      </c>
      <c r="F330">
        <v>1231.650240485181</v>
      </c>
      <c r="G330">
        <v>5089.6150999837464</v>
      </c>
      <c r="H330" s="1">
        <v>45961.333333333336</v>
      </c>
    </row>
    <row r="331" spans="1:8" x14ac:dyDescent="0.25">
      <c r="A331" s="7">
        <f>DATE(YEAR(m3_crossvalid[[#This Row],[cutoff]]),MONTH(m3_crossvalid[[#This Row],[cutoff]]),DAY(m3_crossvalid[[#This Row],[cutoff]]))</f>
        <v>45961</v>
      </c>
      <c r="B331" s="7">
        <f>DATE(YEAR(m3_crossvalid[[#This Row],[ds]]),MONTH(m3_crossvalid[[#This Row],[ds]]),DAY(m3_crossvalid[[#This Row],[ds]]))</f>
        <v>45981</v>
      </c>
      <c r="C331">
        <v>3581</v>
      </c>
      <c r="D331" s="1">
        <v>45981.333333333336</v>
      </c>
      <c r="E331">
        <v>3157.9930393204995</v>
      </c>
      <c r="F331">
        <v>1183.9227313832387</v>
      </c>
      <c r="G331">
        <v>4909.7557189396075</v>
      </c>
      <c r="H331" s="1">
        <v>45961.333333333336</v>
      </c>
    </row>
    <row r="332" spans="1:8" x14ac:dyDescent="0.25">
      <c r="A332" s="7">
        <f>DATE(YEAR(m3_crossvalid[[#This Row],[cutoff]]),MONTH(m3_crossvalid[[#This Row],[cutoff]]),DAY(m3_crossvalid[[#This Row],[cutoff]]))</f>
        <v>45961</v>
      </c>
      <c r="B332" s="7">
        <f>DATE(YEAR(m3_crossvalid[[#This Row],[ds]]),MONTH(m3_crossvalid[[#This Row],[ds]]),DAY(m3_crossvalid[[#This Row],[ds]]))</f>
        <v>45982</v>
      </c>
      <c r="C332">
        <v>3622</v>
      </c>
      <c r="D332" s="1">
        <v>45982.333333333336</v>
      </c>
      <c r="E332">
        <v>3107.7015385502536</v>
      </c>
      <c r="F332">
        <v>1124.3913772708886</v>
      </c>
      <c r="G332">
        <v>4968.007228187741</v>
      </c>
      <c r="H332" s="1">
        <v>45961.333333333336</v>
      </c>
    </row>
    <row r="333" spans="1:8" x14ac:dyDescent="0.25">
      <c r="A333" s="7">
        <f>DATE(YEAR(m3_crossvalid[[#This Row],[cutoff]]),MONTH(m3_crossvalid[[#This Row],[cutoff]]),DAY(m3_crossvalid[[#This Row],[cutoff]]))</f>
        <v>45961</v>
      </c>
      <c r="B333" s="7">
        <f>DATE(YEAR(m3_crossvalid[[#This Row],[ds]]),MONTH(m3_crossvalid[[#This Row],[ds]]),DAY(m3_crossvalid[[#This Row],[ds]]))</f>
        <v>45983</v>
      </c>
      <c r="C333">
        <v>783</v>
      </c>
      <c r="D333" s="1">
        <v>45983.333333333336</v>
      </c>
      <c r="E333">
        <v>1079.8276343824828</v>
      </c>
      <c r="F333">
        <v>-878.56490633326314</v>
      </c>
      <c r="G333">
        <v>2930.2213804580006</v>
      </c>
      <c r="H333" s="1">
        <v>45961.333333333336</v>
      </c>
    </row>
    <row r="334" spans="1:8" x14ac:dyDescent="0.25">
      <c r="A334" s="7">
        <f>DATE(YEAR(m3_crossvalid[[#This Row],[cutoff]]),MONTH(m3_crossvalid[[#This Row],[cutoff]]),DAY(m3_crossvalid[[#This Row],[cutoff]]))</f>
        <v>45961</v>
      </c>
      <c r="B334" s="7">
        <f>DATE(YEAR(m3_crossvalid[[#This Row],[ds]]),MONTH(m3_crossvalid[[#This Row],[ds]]),DAY(m3_crossvalid[[#This Row],[ds]]))</f>
        <v>45984</v>
      </c>
      <c r="C334">
        <v>188</v>
      </c>
      <c r="D334" s="1">
        <v>45984.333333333336</v>
      </c>
      <c r="E334">
        <v>878.7752782961395</v>
      </c>
      <c r="F334">
        <v>-899.50324630236548</v>
      </c>
      <c r="G334">
        <v>2813.7197789351467</v>
      </c>
      <c r="H334" s="1">
        <v>45961.333333333336</v>
      </c>
    </row>
    <row r="335" spans="1:8" x14ac:dyDescent="0.25">
      <c r="A335" s="7">
        <f>DATE(YEAR(m3_crossvalid[[#This Row],[cutoff]]),MONTH(m3_crossvalid[[#This Row],[cutoff]]),DAY(m3_crossvalid[[#This Row],[cutoff]]))</f>
        <v>45961</v>
      </c>
      <c r="B335" s="7">
        <f>DATE(YEAR(m3_crossvalid[[#This Row],[ds]]),MONTH(m3_crossvalid[[#This Row],[ds]]),DAY(m3_crossvalid[[#This Row],[ds]]))</f>
        <v>45985</v>
      </c>
      <c r="C335">
        <v>3515</v>
      </c>
      <c r="D335" s="1">
        <v>45985.333333333336</v>
      </c>
      <c r="E335">
        <v>3566.2740850845853</v>
      </c>
      <c r="F335">
        <v>1835.883292443194</v>
      </c>
      <c r="G335">
        <v>5444.1017011890344</v>
      </c>
      <c r="H335" s="1">
        <v>45961.333333333336</v>
      </c>
    </row>
    <row r="336" spans="1:8" x14ac:dyDescent="0.25">
      <c r="A336" s="7">
        <f>DATE(YEAR(m3_crossvalid[[#This Row],[cutoff]]),MONTH(m3_crossvalid[[#This Row],[cutoff]]),DAY(m3_crossvalid[[#This Row],[cutoff]]))</f>
        <v>45961</v>
      </c>
      <c r="B336" s="7">
        <f>DATE(YEAR(m3_crossvalid[[#This Row],[ds]]),MONTH(m3_crossvalid[[#This Row],[ds]]),DAY(m3_crossvalid[[#This Row],[ds]]))</f>
        <v>45986</v>
      </c>
      <c r="C336">
        <v>4824</v>
      </c>
      <c r="D336" s="1">
        <v>45986.333333333336</v>
      </c>
      <c r="E336">
        <v>3768.1860173004525</v>
      </c>
      <c r="F336">
        <v>1867.061081603392</v>
      </c>
      <c r="G336">
        <v>5673.9491411210074</v>
      </c>
      <c r="H336" s="1">
        <v>45961.333333333336</v>
      </c>
    </row>
    <row r="337" spans="1:8" x14ac:dyDescent="0.25">
      <c r="A337" s="7">
        <f>DATE(YEAR(m3_crossvalid[[#This Row],[cutoff]]),MONTH(m3_crossvalid[[#This Row],[cutoff]]),DAY(m3_crossvalid[[#This Row],[cutoff]]))</f>
        <v>45961</v>
      </c>
      <c r="B337" s="7">
        <f>DATE(YEAR(m3_crossvalid[[#This Row],[ds]]),MONTH(m3_crossvalid[[#This Row],[ds]]),DAY(m3_crossvalid[[#This Row],[ds]]))</f>
        <v>45987</v>
      </c>
      <c r="C337">
        <v>5463</v>
      </c>
      <c r="D337" s="1">
        <v>45987.333333333336</v>
      </c>
      <c r="E337">
        <v>3857.9960673904693</v>
      </c>
      <c r="F337">
        <v>1993.6377054793197</v>
      </c>
      <c r="G337">
        <v>5796.1339546496165</v>
      </c>
      <c r="H337" s="1">
        <v>45961.333333333336</v>
      </c>
    </row>
    <row r="338" spans="1:8" x14ac:dyDescent="0.25">
      <c r="A338" s="7">
        <f>DATE(YEAR(m3_crossvalid[[#This Row],[cutoff]]),MONTH(m3_crossvalid[[#This Row],[cutoff]]),DAY(m3_crossvalid[[#This Row],[cutoff]]))</f>
        <v>45961</v>
      </c>
      <c r="B338" s="7">
        <f>DATE(YEAR(m3_crossvalid[[#This Row],[ds]]),MONTH(m3_crossvalid[[#This Row],[ds]]),DAY(m3_crossvalid[[#This Row],[ds]]))</f>
        <v>45988</v>
      </c>
      <c r="C338">
        <v>7236</v>
      </c>
      <c r="D338" s="1">
        <v>45988.333333333336</v>
      </c>
      <c r="E338">
        <v>4435.2959626045194</v>
      </c>
      <c r="F338">
        <v>2587.070231000534</v>
      </c>
      <c r="G338">
        <v>6223.1057841731981</v>
      </c>
      <c r="H338" s="1">
        <v>45961.333333333336</v>
      </c>
    </row>
    <row r="339" spans="1:8" x14ac:dyDescent="0.25">
      <c r="A339" s="7">
        <f>DATE(YEAR(m3_crossvalid[[#This Row],[cutoff]]),MONTH(m3_crossvalid[[#This Row],[cutoff]]),DAY(m3_crossvalid[[#This Row],[cutoff]]))</f>
        <v>45961</v>
      </c>
      <c r="B339" s="7">
        <f>DATE(YEAR(m3_crossvalid[[#This Row],[ds]]),MONTH(m3_crossvalid[[#This Row],[ds]]),DAY(m3_crossvalid[[#This Row],[ds]]))</f>
        <v>45989</v>
      </c>
      <c r="C339">
        <v>10013</v>
      </c>
      <c r="D339" s="1">
        <v>45989.333333333336</v>
      </c>
      <c r="E339">
        <v>5426.1146720256311</v>
      </c>
      <c r="F339">
        <v>3579.5065673406075</v>
      </c>
      <c r="G339">
        <v>7316.8438707282094</v>
      </c>
      <c r="H339" s="1">
        <v>45961.333333333336</v>
      </c>
    </row>
    <row r="340" spans="1:8" x14ac:dyDescent="0.25">
      <c r="A340" s="7">
        <f>DATE(YEAR(m3_crossvalid[[#This Row],[cutoff]]),MONTH(m3_crossvalid[[#This Row],[cutoff]]),DAY(m3_crossvalid[[#This Row],[cutoff]]))</f>
        <v>45961</v>
      </c>
      <c r="B340" s="7">
        <f>DATE(YEAR(m3_crossvalid[[#This Row],[ds]]),MONTH(m3_crossvalid[[#This Row],[ds]]),DAY(m3_crossvalid[[#This Row],[ds]]))</f>
        <v>45990</v>
      </c>
      <c r="C340">
        <v>8210</v>
      </c>
      <c r="D340" s="1">
        <v>45990.333333333336</v>
      </c>
      <c r="E340">
        <v>4208.2957509451262</v>
      </c>
      <c r="F340">
        <v>2213.5152577178669</v>
      </c>
      <c r="G340">
        <v>6091.0695943508163</v>
      </c>
      <c r="H340" s="1">
        <v>45961.333333333336</v>
      </c>
    </row>
    <row r="341" spans="1:8" x14ac:dyDescent="0.25">
      <c r="A341" s="7">
        <f>DATE(YEAR(m3_crossvalid[[#This Row],[cutoff]]),MONTH(m3_crossvalid[[#This Row],[cutoff]]),DAY(m3_crossvalid[[#This Row],[cutoff]]))</f>
        <v>45961</v>
      </c>
      <c r="B341" s="7">
        <f>DATE(YEAR(m3_crossvalid[[#This Row],[ds]]),MONTH(m3_crossvalid[[#This Row],[ds]]),DAY(m3_crossvalid[[#This Row],[ds]]))</f>
        <v>45991</v>
      </c>
      <c r="C341">
        <v>3567</v>
      </c>
      <c r="D341" s="1">
        <v>45991.333333333336</v>
      </c>
      <c r="E341">
        <v>4027.582272037117</v>
      </c>
      <c r="F341">
        <v>2044.1684617559415</v>
      </c>
      <c r="G341">
        <v>5908.5171928465697</v>
      </c>
      <c r="H341" s="1">
        <v>45961.333333333336</v>
      </c>
    </row>
    <row r="342" spans="1:8" x14ac:dyDescent="0.25">
      <c r="A342" s="7">
        <f>DATE(YEAR(m3_crossvalid[[#This Row],[cutoff]]),MONTH(m3_crossvalid[[#This Row],[cutoff]]),DAY(m3_crossvalid[[#This Row],[cutoff]]))</f>
        <v>45961</v>
      </c>
      <c r="B342" s="7">
        <f>DATE(YEAR(m3_crossvalid[[#This Row],[ds]]),MONTH(m3_crossvalid[[#This Row],[ds]]),DAY(m3_crossvalid[[#This Row],[ds]]))</f>
        <v>45992</v>
      </c>
      <c r="C342">
        <v>659</v>
      </c>
      <c r="D342" s="1">
        <v>45992.333333333336</v>
      </c>
      <c r="E342">
        <v>5778.7324564424944</v>
      </c>
      <c r="F342">
        <v>4003.6640928305465</v>
      </c>
      <c r="G342">
        <v>7713.7511678938135</v>
      </c>
      <c r="H342" s="1">
        <v>45961.333333333336</v>
      </c>
    </row>
    <row r="343" spans="1:8" x14ac:dyDescent="0.25">
      <c r="A343" s="7">
        <f>DATE(YEAR(m3_crossvalid[[#This Row],[cutoff]]),MONTH(m3_crossvalid[[#This Row],[cutoff]]),DAY(m3_crossvalid[[#This Row],[cutoff]]))</f>
        <v>45991</v>
      </c>
      <c r="B343" s="7">
        <f>DATE(YEAR(m3_crossvalid[[#This Row],[ds]]),MONTH(m3_crossvalid[[#This Row],[ds]]),DAY(m3_crossvalid[[#This Row],[ds]]))</f>
        <v>45992</v>
      </c>
      <c r="C343">
        <v>659</v>
      </c>
      <c r="D343" s="1">
        <v>45992.333333333336</v>
      </c>
      <c r="E343">
        <v>5975.1185361763637</v>
      </c>
      <c r="F343">
        <v>4105.2443554540932</v>
      </c>
      <c r="G343">
        <v>7856.0477095377464</v>
      </c>
      <c r="H343" s="1">
        <v>45991.333333333336</v>
      </c>
    </row>
    <row r="344" spans="1:8" x14ac:dyDescent="0.25">
      <c r="A344" s="7">
        <f>DATE(YEAR(m3_crossvalid[[#This Row],[cutoff]]),MONTH(m3_crossvalid[[#This Row],[cutoff]]),DAY(m3_crossvalid[[#This Row],[cutoff]]))</f>
        <v>45991</v>
      </c>
      <c r="B344" s="7">
        <f>DATE(YEAR(m3_crossvalid[[#This Row],[ds]]),MONTH(m3_crossvalid[[#This Row],[ds]]),DAY(m3_crossvalid[[#This Row],[ds]]))</f>
        <v>45993</v>
      </c>
      <c r="C344">
        <v>963</v>
      </c>
      <c r="D344" s="1">
        <v>45993.333333333336</v>
      </c>
      <c r="E344">
        <v>4550.8802343907846</v>
      </c>
      <c r="F344">
        <v>2751.7639896785263</v>
      </c>
      <c r="G344">
        <v>6407.4827615324639</v>
      </c>
      <c r="H344" s="1">
        <v>45991.333333333336</v>
      </c>
    </row>
    <row r="345" spans="1:8" x14ac:dyDescent="0.25">
      <c r="A345" s="7">
        <f>DATE(YEAR(m3_crossvalid[[#This Row],[cutoff]]),MONTH(m3_crossvalid[[#This Row],[cutoff]]),DAY(m3_crossvalid[[#This Row],[cutoff]]))</f>
        <v>45991</v>
      </c>
      <c r="B345" s="7">
        <f>DATE(YEAR(m3_crossvalid[[#This Row],[ds]]),MONTH(m3_crossvalid[[#This Row],[ds]]),DAY(m3_crossvalid[[#This Row],[ds]]))</f>
        <v>45994</v>
      </c>
      <c r="C345">
        <v>1248</v>
      </c>
      <c r="D345" s="1">
        <v>45994.333333333336</v>
      </c>
      <c r="E345">
        <v>2824.6514199056091</v>
      </c>
      <c r="F345">
        <v>975.3542938332547</v>
      </c>
      <c r="G345">
        <v>4758.7652704204938</v>
      </c>
      <c r="H345" s="1">
        <v>45991.333333333336</v>
      </c>
    </row>
    <row r="346" spans="1:8" x14ac:dyDescent="0.25">
      <c r="A346" s="7">
        <f>DATE(YEAR(m3_crossvalid[[#This Row],[cutoff]]),MONTH(m3_crossvalid[[#This Row],[cutoff]]),DAY(m3_crossvalid[[#This Row],[cutoff]]))</f>
        <v>45991</v>
      </c>
      <c r="B346" s="7">
        <f>DATE(YEAR(m3_crossvalid[[#This Row],[ds]]),MONTH(m3_crossvalid[[#This Row],[ds]]),DAY(m3_crossvalid[[#This Row],[ds]]))</f>
        <v>45995</v>
      </c>
      <c r="C346">
        <v>1462</v>
      </c>
      <c r="D346" s="1">
        <v>45995.333333333336</v>
      </c>
      <c r="E346">
        <v>1787.7916320110405</v>
      </c>
      <c r="F346">
        <v>-123.70619832457973</v>
      </c>
      <c r="G346">
        <v>3465.7264505585681</v>
      </c>
      <c r="H346" s="1">
        <v>45991.333333333336</v>
      </c>
    </row>
    <row r="347" spans="1:8" x14ac:dyDescent="0.25">
      <c r="A347" s="7">
        <f>DATE(YEAR(m3_crossvalid[[#This Row],[cutoff]]),MONTH(m3_crossvalid[[#This Row],[cutoff]]),DAY(m3_crossvalid[[#This Row],[cutoff]]))</f>
        <v>45991</v>
      </c>
      <c r="B347" s="7">
        <f>DATE(YEAR(m3_crossvalid[[#This Row],[ds]]),MONTH(m3_crossvalid[[#This Row],[ds]]),DAY(m3_crossvalid[[#This Row],[ds]]))</f>
        <v>45996</v>
      </c>
      <c r="C347">
        <v>1441</v>
      </c>
      <c r="D347" s="1">
        <v>45996.333333333336</v>
      </c>
      <c r="E347">
        <v>1554.83309878816</v>
      </c>
      <c r="F347">
        <v>-452.71822187254861</v>
      </c>
      <c r="G347">
        <v>3383.5754411601397</v>
      </c>
      <c r="H347" s="1">
        <v>45991.333333333336</v>
      </c>
    </row>
    <row r="348" spans="1:8" x14ac:dyDescent="0.25">
      <c r="A348" s="7">
        <f>DATE(YEAR(m3_crossvalid[[#This Row],[cutoff]]),MONTH(m3_crossvalid[[#This Row],[cutoff]]),DAY(m3_crossvalid[[#This Row],[cutoff]]))</f>
        <v>45991</v>
      </c>
      <c r="B348" s="7">
        <f>DATE(YEAR(m3_crossvalid[[#This Row],[ds]]),MONTH(m3_crossvalid[[#This Row],[ds]]),DAY(m3_crossvalid[[#This Row],[ds]]))</f>
        <v>45997</v>
      </c>
      <c r="C348">
        <v>380</v>
      </c>
      <c r="D348" s="1">
        <v>45997.333333333336</v>
      </c>
      <c r="E348">
        <v>-374.02205991868095</v>
      </c>
      <c r="F348">
        <v>-2265.1876329239308</v>
      </c>
      <c r="G348">
        <v>1450.1567676815096</v>
      </c>
      <c r="H348" s="1">
        <v>45991.333333333336</v>
      </c>
    </row>
    <row r="349" spans="1:8" x14ac:dyDescent="0.25">
      <c r="A349" s="7">
        <f>DATE(YEAR(m3_crossvalid[[#This Row],[cutoff]]),MONTH(m3_crossvalid[[#This Row],[cutoff]]),DAY(m3_crossvalid[[#This Row],[cutoff]]))</f>
        <v>45991</v>
      </c>
      <c r="B349" s="7">
        <f>DATE(YEAR(m3_crossvalid[[#This Row],[ds]]),MONTH(m3_crossvalid[[#This Row],[ds]]),DAY(m3_crossvalid[[#This Row],[ds]]))</f>
        <v>45998</v>
      </c>
      <c r="C349">
        <v>59</v>
      </c>
      <c r="D349" s="1">
        <v>45998.333333333336</v>
      </c>
      <c r="E349">
        <v>-543.33219877622332</v>
      </c>
      <c r="F349">
        <v>-2383.1836830697503</v>
      </c>
      <c r="G349">
        <v>1438.9949242900279</v>
      </c>
      <c r="H349" s="1">
        <v>45991.333333333336</v>
      </c>
    </row>
    <row r="350" spans="1:8" x14ac:dyDescent="0.25">
      <c r="A350" s="7">
        <f>DATE(YEAR(m3_crossvalid[[#This Row],[cutoff]]),MONTH(m3_crossvalid[[#This Row],[cutoff]]),DAY(m3_crossvalid[[#This Row],[cutoff]]))</f>
        <v>45991</v>
      </c>
      <c r="B350" s="7">
        <f>DATE(YEAR(m3_crossvalid[[#This Row],[ds]]),MONTH(m3_crossvalid[[#This Row],[ds]]),DAY(m3_crossvalid[[#This Row],[ds]]))</f>
        <v>45999</v>
      </c>
      <c r="C350">
        <v>1698</v>
      </c>
      <c r="D350" s="1">
        <v>45999.333333333336</v>
      </c>
      <c r="E350">
        <v>2072.1475210489725</v>
      </c>
      <c r="F350">
        <v>200.11506596039811</v>
      </c>
      <c r="G350">
        <v>3906.7808024511037</v>
      </c>
      <c r="H350" s="1">
        <v>45991.333333333336</v>
      </c>
    </row>
    <row r="351" spans="1:8" x14ac:dyDescent="0.25">
      <c r="A351" s="7">
        <f>DATE(YEAR(m3_crossvalid[[#This Row],[cutoff]]),MONTH(m3_crossvalid[[#This Row],[cutoff]]),DAY(m3_crossvalid[[#This Row],[cutoff]]))</f>
        <v>45991</v>
      </c>
      <c r="B351" s="7">
        <f>DATE(YEAR(m3_crossvalid[[#This Row],[ds]]),MONTH(m3_crossvalid[[#This Row],[ds]]),DAY(m3_crossvalid[[#This Row],[ds]]))</f>
        <v>46000</v>
      </c>
      <c r="C351">
        <v>1924</v>
      </c>
      <c r="D351" s="1">
        <v>46000.333333333336</v>
      </c>
      <c r="E351">
        <v>2242.3032662108535</v>
      </c>
      <c r="F351">
        <v>440.41595416804762</v>
      </c>
      <c r="G351">
        <v>4128.7987853374907</v>
      </c>
      <c r="H351" s="1">
        <v>45991.333333333336</v>
      </c>
    </row>
    <row r="352" spans="1:8" x14ac:dyDescent="0.25">
      <c r="A352" s="7">
        <f>DATE(YEAR(m3_crossvalid[[#This Row],[cutoff]]),MONTH(m3_crossvalid[[#This Row],[cutoff]]),DAY(m3_crossvalid[[#This Row],[cutoff]]))</f>
        <v>45991</v>
      </c>
      <c r="B352" s="7">
        <f>DATE(YEAR(m3_crossvalid[[#This Row],[ds]]),MONTH(m3_crossvalid[[#This Row],[ds]]),DAY(m3_crossvalid[[#This Row],[ds]]))</f>
        <v>46001</v>
      </c>
      <c r="C352">
        <v>2624</v>
      </c>
      <c r="D352" s="1">
        <v>46001.333333333336</v>
      </c>
      <c r="E352">
        <v>2295.6836253388556</v>
      </c>
      <c r="F352">
        <v>380.02357784505818</v>
      </c>
      <c r="G352">
        <v>4099.0408587777911</v>
      </c>
      <c r="H352" s="1">
        <v>45991.333333333336</v>
      </c>
    </row>
    <row r="353" spans="1:8" x14ac:dyDescent="0.25">
      <c r="A353" s="7">
        <f>DATE(YEAR(m3_crossvalid[[#This Row],[cutoff]]),MONTH(m3_crossvalid[[#This Row],[cutoff]]),DAY(m3_crossvalid[[#This Row],[cutoff]]))</f>
        <v>45991</v>
      </c>
      <c r="B353" s="7">
        <f>DATE(YEAR(m3_crossvalid[[#This Row],[ds]]),MONTH(m3_crossvalid[[#This Row],[ds]]),DAY(m3_crossvalid[[#This Row],[ds]]))</f>
        <v>46002</v>
      </c>
      <c r="C353">
        <v>1853</v>
      </c>
      <c r="D353" s="1">
        <v>46002.333333333336</v>
      </c>
      <c r="E353">
        <v>2602.0013189725805</v>
      </c>
      <c r="F353">
        <v>683.57254980711286</v>
      </c>
      <c r="G353">
        <v>4545.3366358596859</v>
      </c>
      <c r="H353" s="1">
        <v>45991.333333333336</v>
      </c>
    </row>
    <row r="354" spans="1:8" x14ac:dyDescent="0.25">
      <c r="A354" s="7">
        <f>DATE(YEAR(m3_crossvalid[[#This Row],[cutoff]]),MONTH(m3_crossvalid[[#This Row],[cutoff]]),DAY(m3_crossvalid[[#This Row],[cutoff]]))</f>
        <v>45991</v>
      </c>
      <c r="B354" s="7">
        <f>DATE(YEAR(m3_crossvalid[[#This Row],[ds]]),MONTH(m3_crossvalid[[#This Row],[ds]]),DAY(m3_crossvalid[[#This Row],[ds]]))</f>
        <v>46003</v>
      </c>
      <c r="C354">
        <v>3010</v>
      </c>
      <c r="D354" s="1">
        <v>46003.333333333336</v>
      </c>
      <c r="E354">
        <v>2904.4643518038506</v>
      </c>
      <c r="F354">
        <v>891.99874853915719</v>
      </c>
      <c r="G354">
        <v>4733.7016456575548</v>
      </c>
      <c r="H354" s="1">
        <v>45991.333333333336</v>
      </c>
    </row>
    <row r="355" spans="1:8" x14ac:dyDescent="0.25">
      <c r="A355" s="7">
        <f>DATE(YEAR(m3_crossvalid[[#This Row],[cutoff]]),MONTH(m3_crossvalid[[#This Row],[cutoff]]),DAY(m3_crossvalid[[#This Row],[cutoff]]))</f>
        <v>45991</v>
      </c>
      <c r="B355" s="7">
        <f>DATE(YEAR(m3_crossvalid[[#This Row],[ds]]),MONTH(m3_crossvalid[[#This Row],[ds]]),DAY(m3_crossvalid[[#This Row],[ds]]))</f>
        <v>46004</v>
      </c>
      <c r="C355">
        <v>552</v>
      </c>
      <c r="D355" s="1">
        <v>46004.333333333336</v>
      </c>
      <c r="E355">
        <v>819.36497247232933</v>
      </c>
      <c r="F355">
        <v>-917.72568638959387</v>
      </c>
      <c r="G355">
        <v>2813.7246694255646</v>
      </c>
      <c r="H355" s="1">
        <v>45991.333333333336</v>
      </c>
    </row>
    <row r="356" spans="1:8" x14ac:dyDescent="0.25">
      <c r="A356" s="7">
        <f>DATE(YEAR(m3_crossvalid[[#This Row],[cutoff]]),MONTH(m3_crossvalid[[#This Row],[cutoff]]),DAY(m3_crossvalid[[#This Row],[cutoff]]))</f>
        <v>45991</v>
      </c>
      <c r="B356" s="7">
        <f>DATE(YEAR(m3_crossvalid[[#This Row],[ds]]),MONTH(m3_crossvalid[[#This Row],[ds]]),DAY(m3_crossvalid[[#This Row],[ds]]))</f>
        <v>46005</v>
      </c>
      <c r="C356">
        <v>162</v>
      </c>
      <c r="D356" s="1">
        <v>46005.333333333336</v>
      </c>
      <c r="E356">
        <v>283.6472787113612</v>
      </c>
      <c r="F356">
        <v>-1425.4379411650086</v>
      </c>
      <c r="G356">
        <v>2149.9486430946667</v>
      </c>
      <c r="H356" s="1">
        <v>45991.333333333336</v>
      </c>
    </row>
    <row r="357" spans="1:8" x14ac:dyDescent="0.25">
      <c r="A357" s="7">
        <f>DATE(YEAR(m3_crossvalid[[#This Row],[cutoff]]),MONTH(m3_crossvalid[[#This Row],[cutoff]]),DAY(m3_crossvalid[[#This Row],[cutoff]]))</f>
        <v>45991</v>
      </c>
      <c r="B357" s="7">
        <f>DATE(YEAR(m3_crossvalid[[#This Row],[ds]]),MONTH(m3_crossvalid[[#This Row],[ds]]),DAY(m3_crossvalid[[#This Row],[ds]]))</f>
        <v>46006</v>
      </c>
      <c r="C357">
        <v>2685</v>
      </c>
      <c r="D357" s="1">
        <v>46006.333333333336</v>
      </c>
      <c r="E357">
        <v>2775.2870672154568</v>
      </c>
      <c r="F357">
        <v>758.06163384829335</v>
      </c>
      <c r="G357">
        <v>4680.672704892846</v>
      </c>
      <c r="H357" s="1">
        <v>45991.333333333336</v>
      </c>
    </row>
    <row r="358" spans="1:8" x14ac:dyDescent="0.25">
      <c r="A358" s="7">
        <f>DATE(YEAR(m3_crossvalid[[#This Row],[cutoff]]),MONTH(m3_crossvalid[[#This Row],[cutoff]]),DAY(m3_crossvalid[[#This Row],[cutoff]]))</f>
        <v>45991</v>
      </c>
      <c r="B358" s="7">
        <f>DATE(YEAR(m3_crossvalid[[#This Row],[ds]]),MONTH(m3_crossvalid[[#This Row],[ds]]),DAY(m3_crossvalid[[#This Row],[ds]]))</f>
        <v>46007</v>
      </c>
      <c r="C358">
        <v>3397</v>
      </c>
      <c r="D358" s="1">
        <v>46007.333333333336</v>
      </c>
      <c r="E358">
        <v>3153.4315171097069</v>
      </c>
      <c r="F358">
        <v>1185.8392524278938</v>
      </c>
      <c r="G358">
        <v>5164.9698113152645</v>
      </c>
      <c r="H358" s="1">
        <v>45991.333333333336</v>
      </c>
    </row>
    <row r="359" spans="1:8" x14ac:dyDescent="0.25">
      <c r="A359" s="7">
        <f>DATE(YEAR(m3_crossvalid[[#This Row],[cutoff]]),MONTH(m3_crossvalid[[#This Row],[cutoff]]),DAY(m3_crossvalid[[#This Row],[cutoff]]))</f>
        <v>45991</v>
      </c>
      <c r="B359" s="7">
        <f>DATE(YEAR(m3_crossvalid[[#This Row],[ds]]),MONTH(m3_crossvalid[[#This Row],[ds]]),DAY(m3_crossvalid[[#This Row],[ds]]))</f>
        <v>46008</v>
      </c>
      <c r="C359">
        <v>4029</v>
      </c>
      <c r="D359" s="1">
        <v>46008.333333333336</v>
      </c>
      <c r="E359">
        <v>3476.6845469186924</v>
      </c>
      <c r="F359">
        <v>1598.1412163984924</v>
      </c>
      <c r="G359">
        <v>5295.2928936491098</v>
      </c>
      <c r="H359" s="1">
        <v>45991.333333333336</v>
      </c>
    </row>
    <row r="360" spans="1:8" x14ac:dyDescent="0.25">
      <c r="A360" s="7">
        <f>DATE(YEAR(m3_crossvalid[[#This Row],[cutoff]]),MONTH(m3_crossvalid[[#This Row],[cutoff]]),DAY(m3_crossvalid[[#This Row],[cutoff]]))</f>
        <v>45991</v>
      </c>
      <c r="B360" s="7">
        <f>DATE(YEAR(m3_crossvalid[[#This Row],[ds]]),MONTH(m3_crossvalid[[#This Row],[ds]]),DAY(m3_crossvalid[[#This Row],[ds]]))</f>
        <v>46009</v>
      </c>
      <c r="C360">
        <v>3874</v>
      </c>
      <c r="D360" s="1">
        <v>46009.333333333336</v>
      </c>
      <c r="E360">
        <v>3800.483423853992</v>
      </c>
      <c r="F360">
        <v>1742.7009629262236</v>
      </c>
      <c r="G360">
        <v>5724.2341635479825</v>
      </c>
      <c r="H360" s="1">
        <v>45991.333333333336</v>
      </c>
    </row>
    <row r="361" spans="1:8" x14ac:dyDescent="0.25">
      <c r="A361" s="7">
        <f>DATE(YEAR(m3_crossvalid[[#This Row],[cutoff]]),MONTH(m3_crossvalid[[#This Row],[cutoff]]),DAY(m3_crossvalid[[#This Row],[cutoff]]))</f>
        <v>45991</v>
      </c>
      <c r="B361" s="7">
        <f>DATE(YEAR(m3_crossvalid[[#This Row],[ds]]),MONTH(m3_crossvalid[[#This Row],[ds]]),DAY(m3_crossvalid[[#This Row],[ds]]))</f>
        <v>46010</v>
      </c>
      <c r="C361">
        <v>4261</v>
      </c>
      <c r="D361" s="1">
        <v>46010.333333333336</v>
      </c>
      <c r="E361">
        <v>3828.0257909105803</v>
      </c>
      <c r="F361">
        <v>1889.775912738831</v>
      </c>
      <c r="G361">
        <v>5655.8729281978849</v>
      </c>
      <c r="H361" s="1">
        <v>45991.333333333336</v>
      </c>
    </row>
    <row r="362" spans="1:8" x14ac:dyDescent="0.25">
      <c r="A362" s="7">
        <f>DATE(YEAR(m3_crossvalid[[#This Row],[cutoff]]),MONTH(m3_crossvalid[[#This Row],[cutoff]]),DAY(m3_crossvalid[[#This Row],[cutoff]]))</f>
        <v>45991</v>
      </c>
      <c r="B362" s="7">
        <f>DATE(YEAR(m3_crossvalid[[#This Row],[ds]]),MONTH(m3_crossvalid[[#This Row],[ds]]),DAY(m3_crossvalid[[#This Row],[ds]]))</f>
        <v>46011</v>
      </c>
      <c r="C362">
        <v>999</v>
      </c>
      <c r="D362" s="1">
        <v>46011.333333333336</v>
      </c>
      <c r="E362">
        <v>1436.2971054494913</v>
      </c>
      <c r="F362">
        <v>-567.00370685133203</v>
      </c>
      <c r="G362">
        <v>3302.1035175708462</v>
      </c>
      <c r="H362" s="1">
        <v>45991.333333333336</v>
      </c>
    </row>
    <row r="363" spans="1:8" x14ac:dyDescent="0.25">
      <c r="A363" s="7">
        <f>DATE(YEAR(m3_crossvalid[[#This Row],[cutoff]]),MONTH(m3_crossvalid[[#This Row],[cutoff]]),DAY(m3_crossvalid[[#This Row],[cutoff]]))</f>
        <v>45991</v>
      </c>
      <c r="B363" s="7">
        <f>DATE(YEAR(m3_crossvalid[[#This Row],[ds]]),MONTH(m3_crossvalid[[#This Row],[ds]]),DAY(m3_crossvalid[[#This Row],[ds]]))</f>
        <v>46012</v>
      </c>
      <c r="C363">
        <v>251</v>
      </c>
      <c r="D363" s="1">
        <v>46012.333333333336</v>
      </c>
      <c r="E363">
        <v>849.66116526835935</v>
      </c>
      <c r="F363">
        <v>-1036.4091922319776</v>
      </c>
      <c r="G363">
        <v>2620.7076478663607</v>
      </c>
      <c r="H363" s="1">
        <v>45991.333333333336</v>
      </c>
    </row>
    <row r="364" spans="1:8" x14ac:dyDescent="0.25">
      <c r="A364" s="7">
        <f>DATE(YEAR(m3_crossvalid[[#This Row],[cutoff]]),MONTH(m3_crossvalid[[#This Row],[cutoff]]),DAY(m3_crossvalid[[#This Row],[cutoff]]))</f>
        <v>45991</v>
      </c>
      <c r="B364" s="7">
        <f>DATE(YEAR(m3_crossvalid[[#This Row],[ds]]),MONTH(m3_crossvalid[[#This Row],[ds]]),DAY(m3_crossvalid[[#This Row],[ds]]))</f>
        <v>46013</v>
      </c>
      <c r="C364">
        <v>4791</v>
      </c>
      <c r="D364" s="1">
        <v>46013.333333333336</v>
      </c>
      <c r="E364">
        <v>3566.5241068518817</v>
      </c>
      <c r="F364">
        <v>1575.3798880245286</v>
      </c>
      <c r="G364">
        <v>5427.1459983215536</v>
      </c>
      <c r="H364" s="1">
        <v>45991.333333333336</v>
      </c>
    </row>
    <row r="365" spans="1:8" x14ac:dyDescent="0.25">
      <c r="A365" s="7">
        <f>DATE(YEAR(m3_crossvalid[[#This Row],[cutoff]]),MONTH(m3_crossvalid[[#This Row],[cutoff]]),DAY(m3_crossvalid[[#This Row],[cutoff]]))</f>
        <v>45991</v>
      </c>
      <c r="B365" s="7">
        <f>DATE(YEAR(m3_crossvalid[[#This Row],[ds]]),MONTH(m3_crossvalid[[#This Row],[ds]]),DAY(m3_crossvalid[[#This Row],[ds]]))</f>
        <v>46014</v>
      </c>
      <c r="C365">
        <v>5802</v>
      </c>
      <c r="D365" s="1">
        <v>46014.333333333336</v>
      </c>
      <c r="E365">
        <v>4181.3398599816937</v>
      </c>
      <c r="F365">
        <v>2429.3765700970512</v>
      </c>
      <c r="G365">
        <v>6007.0284692864607</v>
      </c>
      <c r="H365" s="1">
        <v>45991.333333333336</v>
      </c>
    </row>
    <row r="366" spans="1:8" x14ac:dyDescent="0.25">
      <c r="A366" s="7">
        <f>DATE(YEAR(m3_crossvalid[[#This Row],[cutoff]]),MONTH(m3_crossvalid[[#This Row],[cutoff]]),DAY(m3_crossvalid[[#This Row],[cutoff]]))</f>
        <v>45991</v>
      </c>
      <c r="B366" s="7">
        <f>DATE(YEAR(m3_crossvalid[[#This Row],[ds]]),MONTH(m3_crossvalid[[#This Row],[ds]]),DAY(m3_crossvalid[[#This Row],[ds]]))</f>
        <v>46015</v>
      </c>
      <c r="C366">
        <v>6117</v>
      </c>
      <c r="D366" s="1">
        <v>46015.333333333336</v>
      </c>
      <c r="E366">
        <v>4483.353961535382</v>
      </c>
      <c r="F366">
        <v>2749.1328136652933</v>
      </c>
      <c r="G366">
        <v>6296.6645619465735</v>
      </c>
      <c r="H366" s="1">
        <v>45991.333333333336</v>
      </c>
    </row>
    <row r="367" spans="1:8" x14ac:dyDescent="0.25">
      <c r="A367" s="7">
        <f>DATE(YEAR(m3_crossvalid[[#This Row],[cutoff]]),MONTH(m3_crossvalid[[#This Row],[cutoff]]),DAY(m3_crossvalid[[#This Row],[cutoff]]))</f>
        <v>45991</v>
      </c>
      <c r="B367" s="7">
        <f>DATE(YEAR(m3_crossvalid[[#This Row],[ds]]),MONTH(m3_crossvalid[[#This Row],[ds]]),DAY(m3_crossvalid[[#This Row],[ds]]))</f>
        <v>46016</v>
      </c>
      <c r="C367">
        <v>400</v>
      </c>
      <c r="D367" s="1">
        <v>46016.333333333336</v>
      </c>
      <c r="E367">
        <v>814.59574312184577</v>
      </c>
      <c r="F367">
        <v>-1106.3917848336587</v>
      </c>
      <c r="G367">
        <v>2745.3845405562242</v>
      </c>
      <c r="H367" s="1">
        <v>45991.333333333336</v>
      </c>
    </row>
    <row r="368" spans="1:8" x14ac:dyDescent="0.25">
      <c r="A368" s="7">
        <f>DATE(YEAR(m3_crossvalid[[#This Row],[cutoff]]),MONTH(m3_crossvalid[[#This Row],[cutoff]]),DAY(m3_crossvalid[[#This Row],[cutoff]]))</f>
        <v>45991</v>
      </c>
      <c r="B368" s="7">
        <f>DATE(YEAR(m3_crossvalid[[#This Row],[ds]]),MONTH(m3_crossvalid[[#This Row],[ds]]),DAY(m3_crossvalid[[#This Row],[ds]]))</f>
        <v>46017</v>
      </c>
      <c r="C368">
        <v>6559</v>
      </c>
      <c r="D368" s="1">
        <v>46017.333333333336</v>
      </c>
      <c r="E368">
        <v>4464.6977607442095</v>
      </c>
      <c r="F368">
        <v>2579.5907535317651</v>
      </c>
      <c r="G368">
        <v>6299.2980860680218</v>
      </c>
      <c r="H368" s="1">
        <v>45991.333333333336</v>
      </c>
    </row>
    <row r="369" spans="1:8" x14ac:dyDescent="0.25">
      <c r="A369" s="7">
        <f>DATE(YEAR(m3_crossvalid[[#This Row],[cutoff]]),MONTH(m3_crossvalid[[#This Row],[cutoff]]),DAY(m3_crossvalid[[#This Row],[cutoff]]))</f>
        <v>45991</v>
      </c>
      <c r="B369" s="7">
        <f>DATE(YEAR(m3_crossvalid[[#This Row],[ds]]),MONTH(m3_crossvalid[[#This Row],[ds]]),DAY(m3_crossvalid[[#This Row],[ds]]))</f>
        <v>46018</v>
      </c>
      <c r="C369">
        <v>1928</v>
      </c>
      <c r="D369" s="1">
        <v>46018.333333333336</v>
      </c>
      <c r="E369">
        <v>2442.5510450969582</v>
      </c>
      <c r="F369">
        <v>676.62432472423825</v>
      </c>
      <c r="G369">
        <v>4342.5865022647622</v>
      </c>
      <c r="H369" s="1">
        <v>45991.333333333336</v>
      </c>
    </row>
    <row r="370" spans="1:8" x14ac:dyDescent="0.25">
      <c r="A370" s="7">
        <f>DATE(YEAR(m3_crossvalid[[#This Row],[cutoff]]),MONTH(m3_crossvalid[[#This Row],[cutoff]]),DAY(m3_crossvalid[[#This Row],[cutoff]]))</f>
        <v>45991</v>
      </c>
      <c r="B370" s="7">
        <f>DATE(YEAR(m3_crossvalid[[#This Row],[ds]]),MONTH(m3_crossvalid[[#This Row],[ds]]),DAY(m3_crossvalid[[#This Row],[ds]]))</f>
        <v>46019</v>
      </c>
      <c r="C370">
        <v>428</v>
      </c>
      <c r="D370" s="1">
        <v>46019.333333333336</v>
      </c>
      <c r="E370">
        <v>2725.5893304424753</v>
      </c>
      <c r="F370">
        <v>871.35324531642721</v>
      </c>
      <c r="G370">
        <v>4603.2494084935006</v>
      </c>
      <c r="H370" s="1">
        <v>45991.333333333336</v>
      </c>
    </row>
    <row r="371" spans="1:8" x14ac:dyDescent="0.25">
      <c r="A371" s="7">
        <f>DATE(YEAR(m3_crossvalid[[#This Row],[cutoff]]),MONTH(m3_crossvalid[[#This Row],[cutoff]]),DAY(m3_crossvalid[[#This Row],[cutoff]]))</f>
        <v>45991</v>
      </c>
      <c r="B371" s="7">
        <f>DATE(YEAR(m3_crossvalid[[#This Row],[ds]]),MONTH(m3_crossvalid[[#This Row],[ds]]),DAY(m3_crossvalid[[#This Row],[ds]]))</f>
        <v>46020</v>
      </c>
      <c r="C371">
        <v>7441</v>
      </c>
      <c r="D371" s="1">
        <v>46020.333333333336</v>
      </c>
      <c r="E371">
        <v>6368.538271471285</v>
      </c>
      <c r="F371">
        <v>4395.197034623021</v>
      </c>
      <c r="G371">
        <v>8197.1616962940643</v>
      </c>
      <c r="H371" s="1">
        <v>45991.333333333336</v>
      </c>
    </row>
    <row r="372" spans="1:8" x14ac:dyDescent="0.25">
      <c r="A372" s="7">
        <f>DATE(YEAR(m3_crossvalid[[#This Row],[cutoff]]),MONTH(m3_crossvalid[[#This Row],[cutoff]]),DAY(m3_crossvalid[[#This Row],[cutoff]]))</f>
        <v>45991</v>
      </c>
      <c r="B372" s="7">
        <f>DATE(YEAR(m3_crossvalid[[#This Row],[ds]]),MONTH(m3_crossvalid[[#This Row],[ds]]),DAY(m3_crossvalid[[#This Row],[ds]]))</f>
        <v>46021</v>
      </c>
      <c r="C372">
        <v>10603</v>
      </c>
      <c r="D372" s="1">
        <v>46021.333333333336</v>
      </c>
      <c r="E372">
        <v>7345.3247168292583</v>
      </c>
      <c r="F372">
        <v>5576.2250782658703</v>
      </c>
      <c r="G372">
        <v>9202.7621107692667</v>
      </c>
      <c r="H372" s="1">
        <v>45991.333333333336</v>
      </c>
    </row>
    <row r="373" spans="1:8" x14ac:dyDescent="0.25">
      <c r="A373" s="7">
        <f>DATE(YEAR(m3_crossvalid[[#This Row],[cutoff]]),MONTH(m3_crossvalid[[#This Row],[cutoff]]),DAY(m3_crossvalid[[#This Row],[cutoff]]))</f>
        <v>45991</v>
      </c>
      <c r="B373" s="7">
        <f>DATE(YEAR(m3_crossvalid[[#This Row],[ds]]),MONTH(m3_crossvalid[[#This Row],[ds]]),DAY(m3_crossvalid[[#This Row],[ds]]))</f>
        <v>46022</v>
      </c>
      <c r="C373">
        <v>15370</v>
      </c>
      <c r="D373" s="1">
        <v>46022.333333333336</v>
      </c>
      <c r="E373">
        <v>7064.9532713873759</v>
      </c>
      <c r="F373">
        <v>5187.3682708169417</v>
      </c>
      <c r="G373">
        <v>8892.5679922679592</v>
      </c>
      <c r="H373" s="1">
        <v>45991.333333333336</v>
      </c>
    </row>
    <row r="374" spans="1:8" x14ac:dyDescent="0.25">
      <c r="A374" s="7">
        <f>DATE(YEAR(m3_crossvalid[[#This Row],[cutoff]]),MONTH(m3_crossvalid[[#This Row],[cutoff]]),DAY(m3_crossvalid[[#This Row],[cutoff]]))</f>
        <v>46022</v>
      </c>
      <c r="B374" s="7">
        <f>DATE(YEAR(m3_crossvalid[[#This Row],[ds]]),MONTH(m3_crossvalid[[#This Row],[ds]]),DAY(m3_crossvalid[[#This Row],[ds]]))</f>
        <v>46023</v>
      </c>
      <c r="C374">
        <v>2584</v>
      </c>
      <c r="D374" s="1">
        <v>46023.333333333336</v>
      </c>
      <c r="E374">
        <v>4107.6249276877534</v>
      </c>
      <c r="F374">
        <v>2110.8629340155076</v>
      </c>
      <c r="G374">
        <v>6047.0874918129048</v>
      </c>
      <c r="H374" s="1">
        <v>46022.333333333336</v>
      </c>
    </row>
    <row r="375" spans="1:8" x14ac:dyDescent="0.25">
      <c r="A375" s="7">
        <f>DATE(YEAR(m3_crossvalid[[#This Row],[cutoff]]),MONTH(m3_crossvalid[[#This Row],[cutoff]]),DAY(m3_crossvalid[[#This Row],[cutoff]]))</f>
        <v>46022</v>
      </c>
      <c r="B375" s="7">
        <f>DATE(YEAR(m3_crossvalid[[#This Row],[ds]]),MONTH(m3_crossvalid[[#This Row],[ds]]),DAY(m3_crossvalid[[#This Row],[ds]]))</f>
        <v>46024</v>
      </c>
      <c r="C375">
        <v>1536</v>
      </c>
      <c r="D375" s="1">
        <v>46024.333333333336</v>
      </c>
      <c r="E375">
        <v>3923.3954971341</v>
      </c>
      <c r="F375">
        <v>2054.7828255406048</v>
      </c>
      <c r="G375">
        <v>5786.8752805128779</v>
      </c>
      <c r="H375" s="1">
        <v>46022.333333333336</v>
      </c>
    </row>
    <row r="376" spans="1:8" x14ac:dyDescent="0.25">
      <c r="A376" s="7">
        <f>DATE(YEAR(m3_crossvalid[[#This Row],[cutoff]]),MONTH(m3_crossvalid[[#This Row],[cutoff]]),DAY(m3_crossvalid[[#This Row],[cutoff]]))</f>
        <v>46022</v>
      </c>
      <c r="B376" s="7">
        <f>DATE(YEAR(m3_crossvalid[[#This Row],[ds]]),MONTH(m3_crossvalid[[#This Row],[ds]]),DAY(m3_crossvalid[[#This Row],[ds]]))</f>
        <v>46025</v>
      </c>
      <c r="C376">
        <v>80</v>
      </c>
      <c r="D376" s="1">
        <v>46025.333333333336</v>
      </c>
      <c r="E376">
        <v>11.844045357642244</v>
      </c>
      <c r="F376">
        <v>-1993.451747428958</v>
      </c>
      <c r="G376">
        <v>1891.439940585316</v>
      </c>
      <c r="H376" s="1">
        <v>46022.333333333336</v>
      </c>
    </row>
    <row r="377" spans="1:8" x14ac:dyDescent="0.25">
      <c r="A377" s="7">
        <f>DATE(YEAR(m3_crossvalid[[#This Row],[cutoff]]),MONTH(m3_crossvalid[[#This Row],[cutoff]]),DAY(m3_crossvalid[[#This Row],[cutoff]]))</f>
        <v>46022</v>
      </c>
      <c r="B377" s="7">
        <f>DATE(YEAR(m3_crossvalid[[#This Row],[ds]]),MONTH(m3_crossvalid[[#This Row],[ds]]),DAY(m3_crossvalid[[#This Row],[ds]]))</f>
        <v>46026</v>
      </c>
      <c r="C377">
        <v>17</v>
      </c>
      <c r="D377" s="1">
        <v>46026.333333333336</v>
      </c>
      <c r="E377">
        <v>-1226.8591272570411</v>
      </c>
      <c r="F377">
        <v>-3168.1857547845784</v>
      </c>
      <c r="G377">
        <v>733.72691723558091</v>
      </c>
      <c r="H377" s="1">
        <v>46022.333333333336</v>
      </c>
    </row>
    <row r="378" spans="1:8" x14ac:dyDescent="0.25">
      <c r="A378" s="7">
        <f>DATE(YEAR(m3_crossvalid[[#This Row],[cutoff]]),MONTH(m3_crossvalid[[#This Row],[cutoff]]),DAY(m3_crossvalid[[#This Row],[cutoff]]))</f>
        <v>46022</v>
      </c>
      <c r="B378" s="7">
        <f>DATE(YEAR(m3_crossvalid[[#This Row],[ds]]),MONTH(m3_crossvalid[[#This Row],[ds]]),DAY(m3_crossvalid[[#This Row],[ds]]))</f>
        <v>46027</v>
      </c>
      <c r="C378">
        <v>340</v>
      </c>
      <c r="D378" s="1">
        <v>46027.333333333336</v>
      </c>
      <c r="E378">
        <v>1403.1373938454421</v>
      </c>
      <c r="F378">
        <v>-605.28341526862766</v>
      </c>
      <c r="G378">
        <v>3442.8724852350106</v>
      </c>
      <c r="H378" s="1">
        <v>46022.333333333336</v>
      </c>
    </row>
    <row r="379" spans="1:8" x14ac:dyDescent="0.25">
      <c r="A379" s="7">
        <f>DATE(YEAR(m3_crossvalid[[#This Row],[cutoff]]),MONTH(m3_crossvalid[[#This Row],[cutoff]]),DAY(m3_crossvalid[[#This Row],[cutoff]]))</f>
        <v>46022</v>
      </c>
      <c r="B379" s="7">
        <f>DATE(YEAR(m3_crossvalid[[#This Row],[ds]]),MONTH(m3_crossvalid[[#This Row],[ds]]),DAY(m3_crossvalid[[#This Row],[ds]]))</f>
        <v>46028</v>
      </c>
      <c r="C379">
        <v>485</v>
      </c>
      <c r="D379" s="1">
        <v>46028.333333333336</v>
      </c>
      <c r="E379">
        <v>2026.4358556777711</v>
      </c>
      <c r="F379">
        <v>123.8618059830105</v>
      </c>
      <c r="G379">
        <v>3847.1435921616189</v>
      </c>
      <c r="H379" s="1">
        <v>46022.333333333336</v>
      </c>
    </row>
    <row r="380" spans="1:8" x14ac:dyDescent="0.25">
      <c r="A380" s="7">
        <f>DATE(YEAR(m3_crossvalid[[#This Row],[cutoff]]),MONTH(m3_crossvalid[[#This Row],[cutoff]]),DAY(m3_crossvalid[[#This Row],[cutoff]]))</f>
        <v>46022</v>
      </c>
      <c r="B380" s="7">
        <f>DATE(YEAR(m3_crossvalid[[#This Row],[ds]]),MONTH(m3_crossvalid[[#This Row],[ds]]),DAY(m3_crossvalid[[#This Row],[ds]]))</f>
        <v>46029</v>
      </c>
      <c r="C380">
        <v>532</v>
      </c>
      <c r="D380" s="1">
        <v>46029.333333333336</v>
      </c>
      <c r="E380">
        <v>2211.9233832978794</v>
      </c>
      <c r="F380">
        <v>339.84545644061689</v>
      </c>
      <c r="G380">
        <v>3958.4835356554995</v>
      </c>
      <c r="H380" s="1">
        <v>46022.333333333336</v>
      </c>
    </row>
    <row r="381" spans="1:8" x14ac:dyDescent="0.25">
      <c r="A381" s="7">
        <f>DATE(YEAR(m3_crossvalid[[#This Row],[cutoff]]),MONTH(m3_crossvalid[[#This Row],[cutoff]]),DAY(m3_crossvalid[[#This Row],[cutoff]]))</f>
        <v>46022</v>
      </c>
      <c r="B381" s="7">
        <f>DATE(YEAR(m3_crossvalid[[#This Row],[ds]]),MONTH(m3_crossvalid[[#This Row],[ds]]),DAY(m3_crossvalid[[#This Row],[ds]]))</f>
        <v>46030</v>
      </c>
      <c r="C381">
        <v>659</v>
      </c>
      <c r="D381" s="1">
        <v>46030.333333333336</v>
      </c>
      <c r="E381">
        <v>2018.1127509288538</v>
      </c>
      <c r="F381">
        <v>159.30833440676267</v>
      </c>
      <c r="G381">
        <v>3943.0734349698469</v>
      </c>
      <c r="H381" s="1">
        <v>46022.333333333336</v>
      </c>
    </row>
    <row r="382" spans="1:8" x14ac:dyDescent="0.25">
      <c r="A382" s="7">
        <f>DATE(YEAR(m3_crossvalid[[#This Row],[cutoff]]),MONTH(m3_crossvalid[[#This Row],[cutoff]]),DAY(m3_crossvalid[[#This Row],[cutoff]]))</f>
        <v>46022</v>
      </c>
      <c r="B382" s="7">
        <f>DATE(YEAR(m3_crossvalid[[#This Row],[ds]]),MONTH(m3_crossvalid[[#This Row],[ds]]),DAY(m3_crossvalid[[#This Row],[ds]]))</f>
        <v>46031</v>
      </c>
      <c r="C382">
        <v>787</v>
      </c>
      <c r="D382" s="1">
        <v>46031.333333333336</v>
      </c>
      <c r="E382">
        <v>1777.7421160297297</v>
      </c>
      <c r="F382">
        <v>-165.94385376025181</v>
      </c>
      <c r="G382">
        <v>3743.7224480180189</v>
      </c>
      <c r="H382" s="1">
        <v>46022.333333333336</v>
      </c>
    </row>
    <row r="383" spans="1:8" x14ac:dyDescent="0.25">
      <c r="A383" s="7">
        <f>DATE(YEAR(m3_crossvalid[[#This Row],[cutoff]]),MONTH(m3_crossvalid[[#This Row],[cutoff]]),DAY(m3_crossvalid[[#This Row],[cutoff]]))</f>
        <v>46022</v>
      </c>
      <c r="B383" s="7">
        <f>DATE(YEAR(m3_crossvalid[[#This Row],[ds]]),MONTH(m3_crossvalid[[#This Row],[ds]]),DAY(m3_crossvalid[[#This Row],[ds]]))</f>
        <v>46032</v>
      </c>
      <c r="C383">
        <v>137</v>
      </c>
      <c r="D383" s="1">
        <v>46032.333333333336</v>
      </c>
      <c r="E383">
        <v>-507.47860152524163</v>
      </c>
      <c r="F383">
        <v>-2364.9456197115528</v>
      </c>
      <c r="G383">
        <v>1464.8179021298815</v>
      </c>
      <c r="H383" s="1">
        <v>46022.333333333336</v>
      </c>
    </row>
    <row r="384" spans="1:8" x14ac:dyDescent="0.25">
      <c r="A384" s="7">
        <f>DATE(YEAR(m3_crossvalid[[#This Row],[cutoff]]),MONTH(m3_crossvalid[[#This Row],[cutoff]]),DAY(m3_crossvalid[[#This Row],[cutoff]]))</f>
        <v>46022</v>
      </c>
      <c r="B384" s="7">
        <f>DATE(YEAR(m3_crossvalid[[#This Row],[ds]]),MONTH(m3_crossvalid[[#This Row],[ds]]),DAY(m3_crossvalid[[#This Row],[ds]]))</f>
        <v>46033</v>
      </c>
      <c r="C384">
        <v>44</v>
      </c>
      <c r="D384" s="1">
        <v>46033.333333333336</v>
      </c>
      <c r="E384">
        <v>-806.57640350004385</v>
      </c>
      <c r="F384">
        <v>-2699.9124928681845</v>
      </c>
      <c r="G384">
        <v>1261.784719871787</v>
      </c>
      <c r="H384" s="1">
        <v>46022.333333333336</v>
      </c>
    </row>
    <row r="385" spans="1:8" x14ac:dyDescent="0.25">
      <c r="A385" s="7">
        <f>DATE(YEAR(m3_crossvalid[[#This Row],[cutoff]]),MONTH(m3_crossvalid[[#This Row],[cutoff]]),DAY(m3_crossvalid[[#This Row],[cutoff]]))</f>
        <v>46022</v>
      </c>
      <c r="B385" s="7">
        <f>DATE(YEAR(m3_crossvalid[[#This Row],[ds]]),MONTH(m3_crossvalid[[#This Row],[ds]]),DAY(m3_crossvalid[[#This Row],[ds]]))</f>
        <v>46034</v>
      </c>
      <c r="C385">
        <v>779</v>
      </c>
      <c r="D385" s="1">
        <v>46034.333333333336</v>
      </c>
      <c r="E385">
        <v>1951.2208686718509</v>
      </c>
      <c r="F385">
        <v>89.014719757485778</v>
      </c>
      <c r="G385">
        <v>3749.2167808444242</v>
      </c>
      <c r="H385" s="1">
        <v>46022.333333333336</v>
      </c>
    </row>
    <row r="386" spans="1:8" x14ac:dyDescent="0.25">
      <c r="A386" s="7">
        <f>DATE(YEAR(m3_crossvalid[[#This Row],[cutoff]]),MONTH(m3_crossvalid[[#This Row],[cutoff]]),DAY(m3_crossvalid[[#This Row],[cutoff]]))</f>
        <v>46022</v>
      </c>
      <c r="B386" s="7">
        <f>DATE(YEAR(m3_crossvalid[[#This Row],[ds]]),MONTH(m3_crossvalid[[#This Row],[ds]]),DAY(m3_crossvalid[[#This Row],[ds]]))</f>
        <v>46035</v>
      </c>
      <c r="C386">
        <v>1113</v>
      </c>
      <c r="D386" s="1">
        <v>46035.333333333336</v>
      </c>
      <c r="E386">
        <v>2250.3836684466692</v>
      </c>
      <c r="F386">
        <v>260.22105549774597</v>
      </c>
      <c r="G386">
        <v>4056.5261086379896</v>
      </c>
      <c r="H386" s="1">
        <v>46022.333333333336</v>
      </c>
    </row>
    <row r="387" spans="1:8" x14ac:dyDescent="0.25">
      <c r="A387" s="7">
        <f>DATE(YEAR(m3_crossvalid[[#This Row],[cutoff]]),MONTH(m3_crossvalid[[#This Row],[cutoff]]),DAY(m3_crossvalid[[#This Row],[cutoff]]))</f>
        <v>46022</v>
      </c>
      <c r="B387" s="7">
        <f>DATE(YEAR(m3_crossvalid[[#This Row],[ds]]),MONTH(m3_crossvalid[[#This Row],[ds]]),DAY(m3_crossvalid[[#This Row],[ds]]))</f>
        <v>46036</v>
      </c>
      <c r="C387">
        <v>1419</v>
      </c>
      <c r="D387" s="1">
        <v>46036.333333333336</v>
      </c>
      <c r="E387">
        <v>2195.3073471162265</v>
      </c>
      <c r="F387">
        <v>293.40437196331089</v>
      </c>
      <c r="G387">
        <v>4018.4905548226589</v>
      </c>
      <c r="H387" s="1">
        <v>46022.333333333336</v>
      </c>
    </row>
    <row r="388" spans="1:8" x14ac:dyDescent="0.25">
      <c r="A388" s="7">
        <f>DATE(YEAR(m3_crossvalid[[#This Row],[cutoff]]),MONTH(m3_crossvalid[[#This Row],[cutoff]]),DAY(m3_crossvalid[[#This Row],[cutoff]]))</f>
        <v>46022</v>
      </c>
      <c r="B388" s="7">
        <f>DATE(YEAR(m3_crossvalid[[#This Row],[ds]]),MONTH(m3_crossvalid[[#This Row],[ds]]),DAY(m3_crossvalid[[#This Row],[ds]]))</f>
        <v>46037</v>
      </c>
      <c r="C388">
        <v>1874</v>
      </c>
      <c r="D388" s="1">
        <v>46037.333333333336</v>
      </c>
      <c r="E388">
        <v>2132.1552420900193</v>
      </c>
      <c r="F388">
        <v>278.14267134419185</v>
      </c>
      <c r="G388">
        <v>4112.2552303121338</v>
      </c>
      <c r="H388" s="1">
        <v>46022.333333333336</v>
      </c>
    </row>
    <row r="389" spans="1:8" x14ac:dyDescent="0.25">
      <c r="A389" s="7">
        <f>DATE(YEAR(m3_crossvalid[[#This Row],[cutoff]]),MONTH(m3_crossvalid[[#This Row],[cutoff]]),DAY(m3_crossvalid[[#This Row],[cutoff]]))</f>
        <v>46022</v>
      </c>
      <c r="B389" s="7">
        <f>DATE(YEAR(m3_crossvalid[[#This Row],[ds]]),MONTH(m3_crossvalid[[#This Row],[ds]]),DAY(m3_crossvalid[[#This Row],[ds]]))</f>
        <v>46038</v>
      </c>
      <c r="C389">
        <v>2020</v>
      </c>
      <c r="D389" s="1">
        <v>46038.333333333336</v>
      </c>
      <c r="E389">
        <v>2255.691425774854</v>
      </c>
      <c r="F389">
        <v>269.55785236430756</v>
      </c>
      <c r="G389">
        <v>4050.3794582871819</v>
      </c>
      <c r="H389" s="1">
        <v>46022.333333333336</v>
      </c>
    </row>
    <row r="390" spans="1:8" x14ac:dyDescent="0.25">
      <c r="A390" s="7">
        <f>DATE(YEAR(m3_crossvalid[[#This Row],[cutoff]]),MONTH(m3_crossvalid[[#This Row],[cutoff]]),DAY(m3_crossvalid[[#This Row],[cutoff]]))</f>
        <v>46022</v>
      </c>
      <c r="B390" s="7">
        <f>DATE(YEAR(m3_crossvalid[[#This Row],[ds]]),MONTH(m3_crossvalid[[#This Row],[ds]]),DAY(m3_crossvalid[[#This Row],[ds]]))</f>
        <v>46039</v>
      </c>
      <c r="C390">
        <v>451</v>
      </c>
      <c r="D390" s="1">
        <v>46039.333333333336</v>
      </c>
      <c r="E390">
        <v>209.26512335714688</v>
      </c>
      <c r="F390">
        <v>-1667.0640305162146</v>
      </c>
      <c r="G390">
        <v>2137.8956604890955</v>
      </c>
      <c r="H390" s="1">
        <v>46022.333333333336</v>
      </c>
    </row>
    <row r="391" spans="1:8" x14ac:dyDescent="0.25">
      <c r="A391" s="7">
        <f>DATE(YEAR(m3_crossvalid[[#This Row],[cutoff]]),MONTH(m3_crossvalid[[#This Row],[cutoff]]),DAY(m3_crossvalid[[#This Row],[cutoff]]))</f>
        <v>46022</v>
      </c>
      <c r="B391" s="7">
        <f>DATE(YEAR(m3_crossvalid[[#This Row],[ds]]),MONTH(m3_crossvalid[[#This Row],[ds]]),DAY(m3_crossvalid[[#This Row],[ds]]))</f>
        <v>46040</v>
      </c>
      <c r="C391">
        <v>76</v>
      </c>
      <c r="D391" s="1">
        <v>46040.333333333336</v>
      </c>
      <c r="E391">
        <v>-177.03514586608117</v>
      </c>
      <c r="F391">
        <v>-2206.2721130014156</v>
      </c>
      <c r="G391">
        <v>1777.4843458184209</v>
      </c>
      <c r="H391" s="1">
        <v>46022.333333333336</v>
      </c>
    </row>
    <row r="392" spans="1:8" x14ac:dyDescent="0.25">
      <c r="A392" s="7">
        <f>DATE(YEAR(m3_crossvalid[[#This Row],[cutoff]]),MONTH(m3_crossvalid[[#This Row],[cutoff]]),DAY(m3_crossvalid[[#This Row],[cutoff]]))</f>
        <v>46022</v>
      </c>
      <c r="B392" s="7">
        <f>DATE(YEAR(m3_crossvalid[[#This Row],[ds]]),MONTH(m3_crossvalid[[#This Row],[ds]]),DAY(m3_crossvalid[[#This Row],[ds]]))</f>
        <v>46041</v>
      </c>
      <c r="C392">
        <v>1963</v>
      </c>
      <c r="D392" s="1">
        <v>46041.333333333336</v>
      </c>
      <c r="E392">
        <v>2316.0371097219954</v>
      </c>
      <c r="F392">
        <v>353.07807636049682</v>
      </c>
      <c r="G392">
        <v>4172.565194597054</v>
      </c>
      <c r="H392" s="1">
        <v>46022.333333333336</v>
      </c>
    </row>
    <row r="393" spans="1:8" x14ac:dyDescent="0.25">
      <c r="A393" s="7">
        <f>DATE(YEAR(m3_crossvalid[[#This Row],[cutoff]]),MONTH(m3_crossvalid[[#This Row],[cutoff]]),DAY(m3_crossvalid[[#This Row],[cutoff]]))</f>
        <v>46022</v>
      </c>
      <c r="B393" s="7">
        <f>DATE(YEAR(m3_crossvalid[[#This Row],[ds]]),MONTH(m3_crossvalid[[#This Row],[ds]]),DAY(m3_crossvalid[[#This Row],[ds]]))</f>
        <v>46042</v>
      </c>
      <c r="C393">
        <v>2481</v>
      </c>
      <c r="D393" s="1">
        <v>46042.333333333336</v>
      </c>
      <c r="E393">
        <v>2507.0759030177874</v>
      </c>
      <c r="F393">
        <v>785.38966009348565</v>
      </c>
      <c r="G393">
        <v>4345.6007439857021</v>
      </c>
      <c r="H393" s="1">
        <v>46022.333333333336</v>
      </c>
    </row>
    <row r="394" spans="1:8" x14ac:dyDescent="0.25">
      <c r="A394" s="7">
        <f>DATE(YEAR(m3_crossvalid[[#This Row],[cutoff]]),MONTH(m3_crossvalid[[#This Row],[cutoff]]),DAY(m3_crossvalid[[#This Row],[cutoff]]))</f>
        <v>46022</v>
      </c>
      <c r="B394" s="7">
        <f>DATE(YEAR(m3_crossvalid[[#This Row],[ds]]),MONTH(m3_crossvalid[[#This Row],[ds]]),DAY(m3_crossvalid[[#This Row],[ds]]))</f>
        <v>46043</v>
      </c>
      <c r="C394">
        <v>2679</v>
      </c>
      <c r="D394" s="1">
        <v>46043.333333333336</v>
      </c>
      <c r="E394">
        <v>2675.8980542067879</v>
      </c>
      <c r="F394">
        <v>776.35278133127451</v>
      </c>
      <c r="G394">
        <v>4575.3704903848757</v>
      </c>
      <c r="H394" s="1">
        <v>46022.333333333336</v>
      </c>
    </row>
    <row r="395" spans="1:8" x14ac:dyDescent="0.25">
      <c r="A395" s="7">
        <f>DATE(YEAR(m3_crossvalid[[#This Row],[cutoff]]),MONTH(m3_crossvalid[[#This Row],[cutoff]]),DAY(m3_crossvalid[[#This Row],[cutoff]]))</f>
        <v>46022</v>
      </c>
      <c r="B395" s="7">
        <f>DATE(YEAR(m3_crossvalid[[#This Row],[ds]]),MONTH(m3_crossvalid[[#This Row],[ds]]),DAY(m3_crossvalid[[#This Row],[ds]]))</f>
        <v>46044</v>
      </c>
      <c r="C395">
        <v>2830</v>
      </c>
      <c r="D395" s="1">
        <v>46044.333333333336</v>
      </c>
      <c r="E395">
        <v>3006.4677716116562</v>
      </c>
      <c r="F395">
        <v>1197.7752630687214</v>
      </c>
      <c r="G395">
        <v>4893.4689659493633</v>
      </c>
      <c r="H395" s="1">
        <v>46022.333333333336</v>
      </c>
    </row>
    <row r="396" spans="1:8" x14ac:dyDescent="0.25">
      <c r="A396" s="7">
        <f>DATE(YEAR(m3_crossvalid[[#This Row],[cutoff]]),MONTH(m3_crossvalid[[#This Row],[cutoff]]),DAY(m3_crossvalid[[#This Row],[cutoff]]))</f>
        <v>46022</v>
      </c>
      <c r="B396" s="7">
        <f>DATE(YEAR(m3_crossvalid[[#This Row],[ds]]),MONTH(m3_crossvalid[[#This Row],[ds]]),DAY(m3_crossvalid[[#This Row],[ds]]))</f>
        <v>46045</v>
      </c>
      <c r="C396">
        <v>3000</v>
      </c>
      <c r="D396" s="1">
        <v>46045.333333333336</v>
      </c>
      <c r="E396">
        <v>3361.4880835530284</v>
      </c>
      <c r="F396">
        <v>1445.4218786511674</v>
      </c>
      <c r="G396">
        <v>5287.9189396568217</v>
      </c>
      <c r="H396" s="1">
        <v>46022.333333333336</v>
      </c>
    </row>
    <row r="397" spans="1:8" x14ac:dyDescent="0.25">
      <c r="A397" s="7">
        <f>DATE(YEAR(m3_crossvalid[[#This Row],[cutoff]]),MONTH(m3_crossvalid[[#This Row],[cutoff]]),DAY(m3_crossvalid[[#This Row],[cutoff]]))</f>
        <v>46022</v>
      </c>
      <c r="B397" s="7">
        <f>DATE(YEAR(m3_crossvalid[[#This Row],[ds]]),MONTH(m3_crossvalid[[#This Row],[ds]]),DAY(m3_crossvalid[[#This Row],[ds]]))</f>
        <v>46046</v>
      </c>
      <c r="C397">
        <v>902</v>
      </c>
      <c r="D397" s="1">
        <v>46046.333333333336</v>
      </c>
      <c r="E397">
        <v>1236.5474668988622</v>
      </c>
      <c r="F397">
        <v>-782.90153499507528</v>
      </c>
      <c r="G397">
        <v>2999.8572172671829</v>
      </c>
      <c r="H397" s="1">
        <v>46022.333333333336</v>
      </c>
    </row>
    <row r="398" spans="1:8" x14ac:dyDescent="0.25">
      <c r="A398" s="7">
        <f>DATE(YEAR(m3_crossvalid[[#This Row],[cutoff]]),MONTH(m3_crossvalid[[#This Row],[cutoff]]),DAY(m3_crossvalid[[#This Row],[cutoff]]))</f>
        <v>46022</v>
      </c>
      <c r="B398" s="7">
        <f>DATE(YEAR(m3_crossvalid[[#This Row],[ds]]),MONTH(m3_crossvalid[[#This Row],[ds]]),DAY(m3_crossvalid[[#This Row],[ds]]))</f>
        <v>46047</v>
      </c>
      <c r="C398">
        <v>150</v>
      </c>
      <c r="D398" s="1">
        <v>46047.333333333336</v>
      </c>
      <c r="E398">
        <v>689.01457755238494</v>
      </c>
      <c r="F398">
        <v>-1311.3725660110395</v>
      </c>
      <c r="G398">
        <v>2570.3590858870275</v>
      </c>
      <c r="H398" s="1">
        <v>46022.333333333336</v>
      </c>
    </row>
    <row r="399" spans="1:8" x14ac:dyDescent="0.25">
      <c r="A399" s="7">
        <f>DATE(YEAR(m3_crossvalid[[#This Row],[cutoff]]),MONTH(m3_crossvalid[[#This Row],[cutoff]]),DAY(m3_crossvalid[[#This Row],[cutoff]]))</f>
        <v>46022</v>
      </c>
      <c r="B399" s="7">
        <f>DATE(YEAR(m3_crossvalid[[#This Row],[ds]]),MONTH(m3_crossvalid[[#This Row],[ds]]),DAY(m3_crossvalid[[#This Row],[ds]]))</f>
        <v>46048</v>
      </c>
      <c r="C399">
        <v>3603</v>
      </c>
      <c r="D399" s="1">
        <v>46048.333333333336</v>
      </c>
      <c r="E399">
        <v>3364.1158732930953</v>
      </c>
      <c r="F399">
        <v>1553.1516302014902</v>
      </c>
      <c r="G399">
        <v>5249.2736264998357</v>
      </c>
      <c r="H399" s="1">
        <v>46022.333333333336</v>
      </c>
    </row>
    <row r="400" spans="1:8" x14ac:dyDescent="0.25">
      <c r="A400" s="7">
        <f>DATE(YEAR(m3_crossvalid[[#This Row],[cutoff]]),MONTH(m3_crossvalid[[#This Row],[cutoff]]),DAY(m3_crossvalid[[#This Row],[cutoff]]))</f>
        <v>46022</v>
      </c>
      <c r="B400" s="7">
        <f>DATE(YEAR(m3_crossvalid[[#This Row],[ds]]),MONTH(m3_crossvalid[[#This Row],[ds]]),DAY(m3_crossvalid[[#This Row],[ds]]))</f>
        <v>46049</v>
      </c>
      <c r="C400">
        <v>4548</v>
      </c>
      <c r="D400" s="1">
        <v>46049.333333333336</v>
      </c>
      <c r="E400">
        <v>4303.426871331807</v>
      </c>
      <c r="F400">
        <v>2316.4587566031287</v>
      </c>
      <c r="G400">
        <v>6098.6683641705868</v>
      </c>
      <c r="H400" s="1">
        <v>46022.333333333336</v>
      </c>
    </row>
    <row r="401" spans="1:8" x14ac:dyDescent="0.25">
      <c r="A401" s="7">
        <f>DATE(YEAR(m3_crossvalid[[#This Row],[cutoff]]),MONTH(m3_crossvalid[[#This Row],[cutoff]]),DAY(m3_crossvalid[[#This Row],[cutoff]]))</f>
        <v>46022</v>
      </c>
      <c r="B401" s="7">
        <f>DATE(YEAR(m3_crossvalid[[#This Row],[ds]]),MONTH(m3_crossvalid[[#This Row],[ds]]),DAY(m3_crossvalid[[#This Row],[ds]]))</f>
        <v>46050</v>
      </c>
      <c r="C401">
        <v>5313</v>
      </c>
      <c r="D401" s="1">
        <v>46050.333333333336</v>
      </c>
      <c r="E401">
        <v>5539.9549137687191</v>
      </c>
      <c r="F401">
        <v>3730.6621677655776</v>
      </c>
      <c r="G401">
        <v>7378.8834171835097</v>
      </c>
      <c r="H401" s="1">
        <v>46022.333333333336</v>
      </c>
    </row>
    <row r="402" spans="1:8" x14ac:dyDescent="0.25">
      <c r="A402" s="7">
        <f>DATE(YEAR(m3_crossvalid[[#This Row],[cutoff]]),MONTH(m3_crossvalid[[#This Row],[cutoff]]),DAY(m3_crossvalid[[#This Row],[cutoff]]))</f>
        <v>46022</v>
      </c>
      <c r="B402" s="7">
        <f>DATE(YEAR(m3_crossvalid[[#This Row],[ds]]),MONTH(m3_crossvalid[[#This Row],[ds]]),DAY(m3_crossvalid[[#This Row],[ds]]))</f>
        <v>46051</v>
      </c>
      <c r="C402">
        <v>7326</v>
      </c>
      <c r="D402" s="1">
        <v>46051.333333333336</v>
      </c>
      <c r="E402">
        <v>6655.8034974198908</v>
      </c>
      <c r="F402">
        <v>4780.7882072584043</v>
      </c>
      <c r="G402">
        <v>8524.2139526404553</v>
      </c>
      <c r="H402" s="1">
        <v>46022.333333333336</v>
      </c>
    </row>
    <row r="403" spans="1:8" x14ac:dyDescent="0.25">
      <c r="A403" s="7">
        <f>DATE(YEAR(m3_crossvalid[[#This Row],[cutoff]]),MONTH(m3_crossvalid[[#This Row],[cutoff]]),DAY(m3_crossvalid[[#This Row],[cutoff]]))</f>
        <v>46022</v>
      </c>
      <c r="B403" s="7">
        <f>DATE(YEAR(m3_crossvalid[[#This Row],[ds]]),MONTH(m3_crossvalid[[#This Row],[ds]]),DAY(m3_crossvalid[[#This Row],[ds]]))</f>
        <v>46052</v>
      </c>
      <c r="C403">
        <v>10276</v>
      </c>
      <c r="D403" s="1">
        <v>46052.333333333336</v>
      </c>
      <c r="E403">
        <v>6961.996331475093</v>
      </c>
      <c r="F403">
        <v>4983.9760301463793</v>
      </c>
      <c r="G403">
        <v>8824.6957224645957</v>
      </c>
      <c r="H403" s="1">
        <v>46022.333333333336</v>
      </c>
    </row>
    <row r="404" spans="1:8" x14ac:dyDescent="0.25">
      <c r="A404" s="7">
        <f>DATE(YEAR(m3_crossvalid[[#This Row],[cutoff]]),MONTH(m3_crossvalid[[#This Row],[cutoff]]),DAY(m3_crossvalid[[#This Row],[cutoff]]))</f>
        <v>46022</v>
      </c>
      <c r="B404" s="7">
        <f>DATE(YEAR(m3_crossvalid[[#This Row],[ds]]),MONTH(m3_crossvalid[[#This Row],[ds]]),DAY(m3_crossvalid[[#This Row],[ds]]))</f>
        <v>46053</v>
      </c>
      <c r="C404">
        <v>7991</v>
      </c>
      <c r="D404" s="1">
        <v>46053.333333333336</v>
      </c>
      <c r="E404">
        <v>3810.3141789696892</v>
      </c>
      <c r="F404">
        <v>1955.4978703257893</v>
      </c>
      <c r="G404">
        <v>5775.3817313712061</v>
      </c>
      <c r="H404" s="1">
        <v>46022.333333333336</v>
      </c>
    </row>
    <row r="405" spans="1:8" x14ac:dyDescent="0.25">
      <c r="A405" s="7">
        <f>DATE(YEAR(m3_crossvalid[[#This Row],[cutoff]]),MONTH(m3_crossvalid[[#This Row],[cutoff]]),DAY(m3_crossvalid[[#This Row],[cutoff]]))</f>
        <v>46053</v>
      </c>
      <c r="B405" s="7">
        <f>DATE(YEAR(m3_crossvalid[[#This Row],[ds]]),MONTH(m3_crossvalid[[#This Row],[ds]]),DAY(m3_crossvalid[[#This Row],[ds]]))</f>
        <v>46054</v>
      </c>
      <c r="C405">
        <v>26</v>
      </c>
      <c r="D405" s="1">
        <v>46054.333333333336</v>
      </c>
      <c r="E405">
        <v>-133.85175075607913</v>
      </c>
      <c r="F405">
        <v>-2091.138244842391</v>
      </c>
      <c r="G405">
        <v>1906.5709694131904</v>
      </c>
      <c r="H405" s="1">
        <v>46053.333333333336</v>
      </c>
    </row>
    <row r="406" spans="1:8" x14ac:dyDescent="0.25">
      <c r="A406" s="7">
        <f>DATE(YEAR(m3_crossvalid[[#This Row],[cutoff]]),MONTH(m3_crossvalid[[#This Row],[cutoff]]),DAY(m3_crossvalid[[#This Row],[cutoff]]))</f>
        <v>46053</v>
      </c>
      <c r="B406" s="7">
        <f>DATE(YEAR(m3_crossvalid[[#This Row],[ds]]),MONTH(m3_crossvalid[[#This Row],[ds]]),DAY(m3_crossvalid[[#This Row],[ds]]))</f>
        <v>46055</v>
      </c>
      <c r="C406">
        <v>134</v>
      </c>
      <c r="D406" s="1">
        <v>46055.333333333336</v>
      </c>
      <c r="E406">
        <v>616.57615193829565</v>
      </c>
      <c r="F406">
        <v>-1154.0222614764141</v>
      </c>
      <c r="G406">
        <v>2550.1529808403216</v>
      </c>
      <c r="H406" s="1">
        <v>46053.333333333336</v>
      </c>
    </row>
    <row r="407" spans="1:8" x14ac:dyDescent="0.25">
      <c r="A407" s="7">
        <f>DATE(YEAR(m3_crossvalid[[#This Row],[cutoff]]),MONTH(m3_crossvalid[[#This Row],[cutoff]]),DAY(m3_crossvalid[[#This Row],[cutoff]]))</f>
        <v>46053</v>
      </c>
      <c r="B407" s="7">
        <f>DATE(YEAR(m3_crossvalid[[#This Row],[ds]]),MONTH(m3_crossvalid[[#This Row],[ds]]),DAY(m3_crossvalid[[#This Row],[ds]]))</f>
        <v>46056</v>
      </c>
      <c r="C407">
        <v>521</v>
      </c>
      <c r="D407" s="1">
        <v>46056.333333333336</v>
      </c>
      <c r="E407">
        <v>-147.33770212707304</v>
      </c>
      <c r="F407">
        <v>-2123.3272470517322</v>
      </c>
      <c r="G407">
        <v>1651.851595600785</v>
      </c>
      <c r="H407" s="1">
        <v>46053.333333333336</v>
      </c>
    </row>
    <row r="408" spans="1:8" x14ac:dyDescent="0.25">
      <c r="A408" s="7">
        <f>DATE(YEAR(m3_crossvalid[[#This Row],[cutoff]]),MONTH(m3_crossvalid[[#This Row],[cutoff]]),DAY(m3_crossvalid[[#This Row],[cutoff]]))</f>
        <v>46053</v>
      </c>
      <c r="B408" s="7">
        <f>DATE(YEAR(m3_crossvalid[[#This Row],[ds]]),MONTH(m3_crossvalid[[#This Row],[ds]]),DAY(m3_crossvalid[[#This Row],[ds]]))</f>
        <v>46057</v>
      </c>
      <c r="C408">
        <v>696</v>
      </c>
      <c r="D408" s="1">
        <v>46057.333333333336</v>
      </c>
      <c r="E408">
        <v>1615.3261116144176</v>
      </c>
      <c r="F408">
        <v>-108.85242279393637</v>
      </c>
      <c r="G408">
        <v>3634.8910982521156</v>
      </c>
      <c r="H408" s="1">
        <v>46053.333333333336</v>
      </c>
    </row>
    <row r="409" spans="1:8" x14ac:dyDescent="0.25">
      <c r="A409" s="7">
        <f>DATE(YEAR(m3_crossvalid[[#This Row],[cutoff]]),MONTH(m3_crossvalid[[#This Row],[cutoff]]),DAY(m3_crossvalid[[#This Row],[cutoff]]))</f>
        <v>46053</v>
      </c>
      <c r="B409" s="7">
        <f>DATE(YEAR(m3_crossvalid[[#This Row],[ds]]),MONTH(m3_crossvalid[[#This Row],[ds]]),DAY(m3_crossvalid[[#This Row],[ds]]))</f>
        <v>46058</v>
      </c>
      <c r="C409">
        <v>1038</v>
      </c>
      <c r="D409" s="1">
        <v>46058.333333333336</v>
      </c>
      <c r="E409">
        <v>1987.9192978824126</v>
      </c>
      <c r="F409">
        <v>86.49276017935766</v>
      </c>
      <c r="G409">
        <v>3895.4699076571783</v>
      </c>
      <c r="H409" s="1">
        <v>46053.333333333336</v>
      </c>
    </row>
    <row r="410" spans="1:8" x14ac:dyDescent="0.25">
      <c r="A410" s="7">
        <f>DATE(YEAR(m3_crossvalid[[#This Row],[cutoff]]),MONTH(m3_crossvalid[[#This Row],[cutoff]]),DAY(m3_crossvalid[[#This Row],[cutoff]]))</f>
        <v>46053</v>
      </c>
      <c r="B410" s="7">
        <f>DATE(YEAR(m3_crossvalid[[#This Row],[ds]]),MONTH(m3_crossvalid[[#This Row],[ds]]),DAY(m3_crossvalid[[#This Row],[ds]]))</f>
        <v>46059</v>
      </c>
      <c r="C410">
        <v>1414</v>
      </c>
      <c r="D410" s="1">
        <v>46059.333333333336</v>
      </c>
      <c r="E410">
        <v>2291.1382054187516</v>
      </c>
      <c r="F410">
        <v>307.14175676418364</v>
      </c>
      <c r="G410">
        <v>4122.638740452172</v>
      </c>
      <c r="H410" s="1">
        <v>46053.333333333336</v>
      </c>
    </row>
    <row r="411" spans="1:8" x14ac:dyDescent="0.25">
      <c r="A411" s="7">
        <f>DATE(YEAR(m3_crossvalid[[#This Row],[cutoff]]),MONTH(m3_crossvalid[[#This Row],[cutoff]]),DAY(m3_crossvalid[[#This Row],[cutoff]]))</f>
        <v>46053</v>
      </c>
      <c r="B411" s="7">
        <f>DATE(YEAR(m3_crossvalid[[#This Row],[ds]]),MONTH(m3_crossvalid[[#This Row],[ds]]),DAY(m3_crossvalid[[#This Row],[ds]]))</f>
        <v>46060</v>
      </c>
      <c r="C411">
        <v>286</v>
      </c>
      <c r="D411" s="1">
        <v>46060.333333333336</v>
      </c>
      <c r="E411">
        <v>15.657315597798515</v>
      </c>
      <c r="F411">
        <v>-1955.3380285414171</v>
      </c>
      <c r="G411">
        <v>1906.531791424982</v>
      </c>
      <c r="H411" s="1">
        <v>46053.333333333336</v>
      </c>
    </row>
    <row r="412" spans="1:8" x14ac:dyDescent="0.25">
      <c r="A412" s="7">
        <f>DATE(YEAR(m3_crossvalid[[#This Row],[cutoff]]),MONTH(m3_crossvalid[[#This Row],[cutoff]]),DAY(m3_crossvalid[[#This Row],[cutoff]]))</f>
        <v>46053</v>
      </c>
      <c r="B412" s="7">
        <f>DATE(YEAR(m3_crossvalid[[#This Row],[ds]]),MONTH(m3_crossvalid[[#This Row],[ds]]),DAY(m3_crossvalid[[#This Row],[ds]]))</f>
        <v>46061</v>
      </c>
      <c r="C412">
        <v>82</v>
      </c>
      <c r="D412" s="1">
        <v>46061.333333333336</v>
      </c>
      <c r="E412">
        <v>-702.77745418241784</v>
      </c>
      <c r="F412">
        <v>-2503.2786263420567</v>
      </c>
      <c r="G412">
        <v>1159.1409646315217</v>
      </c>
      <c r="H412" s="1">
        <v>46053.333333333336</v>
      </c>
    </row>
    <row r="413" spans="1:8" x14ac:dyDescent="0.25">
      <c r="A413" s="7">
        <f>DATE(YEAR(m3_crossvalid[[#This Row],[cutoff]]),MONTH(m3_crossvalid[[#This Row],[cutoff]]),DAY(m3_crossvalid[[#This Row],[cutoff]]))</f>
        <v>46053</v>
      </c>
      <c r="B413" s="7">
        <f>DATE(YEAR(m3_crossvalid[[#This Row],[ds]]),MONTH(m3_crossvalid[[#This Row],[ds]]),DAY(m3_crossvalid[[#This Row],[ds]]))</f>
        <v>46062</v>
      </c>
      <c r="C413">
        <v>1902</v>
      </c>
      <c r="D413" s="1">
        <v>46062.333333333336</v>
      </c>
      <c r="E413">
        <v>1796.3916535527242</v>
      </c>
      <c r="F413">
        <v>-147.31359061640035</v>
      </c>
      <c r="G413">
        <v>3669.6868463986052</v>
      </c>
      <c r="H413" s="1">
        <v>46053.333333333336</v>
      </c>
    </row>
    <row r="414" spans="1:8" x14ac:dyDescent="0.25">
      <c r="A414" s="7">
        <f>DATE(YEAR(m3_crossvalid[[#This Row],[cutoff]]),MONTH(m3_crossvalid[[#This Row],[cutoff]]),DAY(m3_crossvalid[[#This Row],[cutoff]]))</f>
        <v>46053</v>
      </c>
      <c r="B414" s="7">
        <f>DATE(YEAR(m3_crossvalid[[#This Row],[ds]]),MONTH(m3_crossvalid[[#This Row],[ds]]),DAY(m3_crossvalid[[#This Row],[ds]]))</f>
        <v>46063</v>
      </c>
      <c r="C414">
        <v>2288</v>
      </c>
      <c r="D414" s="1">
        <v>46063.333333333336</v>
      </c>
      <c r="E414">
        <v>2313.2927671274597</v>
      </c>
      <c r="F414">
        <v>383.03278285083201</v>
      </c>
      <c r="G414">
        <v>4148.0777074127254</v>
      </c>
      <c r="H414" s="1">
        <v>46053.333333333336</v>
      </c>
    </row>
    <row r="415" spans="1:8" x14ac:dyDescent="0.25">
      <c r="A415" s="7">
        <f>DATE(YEAR(m3_crossvalid[[#This Row],[cutoff]]),MONTH(m3_crossvalid[[#This Row],[cutoff]]),DAY(m3_crossvalid[[#This Row],[cutoff]]))</f>
        <v>46053</v>
      </c>
      <c r="B415" s="7">
        <f>DATE(YEAR(m3_crossvalid[[#This Row],[ds]]),MONTH(m3_crossvalid[[#This Row],[ds]]),DAY(m3_crossvalid[[#This Row],[ds]]))</f>
        <v>46064</v>
      </c>
      <c r="C415">
        <v>2663</v>
      </c>
      <c r="D415" s="1">
        <v>46064.333333333336</v>
      </c>
      <c r="E415">
        <v>2697.0136978208197</v>
      </c>
      <c r="F415">
        <v>783.87112671206785</v>
      </c>
      <c r="G415">
        <v>4471.0413856839023</v>
      </c>
      <c r="H415" s="1">
        <v>46053.333333333336</v>
      </c>
    </row>
    <row r="416" spans="1:8" x14ac:dyDescent="0.25">
      <c r="A416" s="7">
        <f>DATE(YEAR(m3_crossvalid[[#This Row],[cutoff]]),MONTH(m3_crossvalid[[#This Row],[cutoff]]),DAY(m3_crossvalid[[#This Row],[cutoff]]))</f>
        <v>46053</v>
      </c>
      <c r="B416" s="7">
        <f>DATE(YEAR(m3_crossvalid[[#This Row],[ds]]),MONTH(m3_crossvalid[[#This Row],[ds]]),DAY(m3_crossvalid[[#This Row],[ds]]))</f>
        <v>46065</v>
      </c>
      <c r="C416">
        <v>3108</v>
      </c>
      <c r="D416" s="1">
        <v>46065.333333333336</v>
      </c>
      <c r="E416">
        <v>2820.4152056757462</v>
      </c>
      <c r="F416">
        <v>983.59306211906721</v>
      </c>
      <c r="G416">
        <v>4788.5029576528041</v>
      </c>
      <c r="H416" s="1">
        <v>46053.333333333336</v>
      </c>
    </row>
    <row r="417" spans="1:8" x14ac:dyDescent="0.25">
      <c r="A417" s="7">
        <f>DATE(YEAR(m3_crossvalid[[#This Row],[cutoff]]),MONTH(m3_crossvalid[[#This Row],[cutoff]]),DAY(m3_crossvalid[[#This Row],[cutoff]]))</f>
        <v>46053</v>
      </c>
      <c r="B417" s="7">
        <f>DATE(YEAR(m3_crossvalid[[#This Row],[ds]]),MONTH(m3_crossvalid[[#This Row],[ds]]),DAY(m3_crossvalid[[#This Row],[ds]]))</f>
        <v>46066</v>
      </c>
      <c r="C417">
        <v>3172</v>
      </c>
      <c r="D417" s="1">
        <v>46066.333333333336</v>
      </c>
      <c r="E417">
        <v>2697.7733780719091</v>
      </c>
      <c r="F417">
        <v>835.32050256946798</v>
      </c>
      <c r="G417">
        <v>4520.5066373072723</v>
      </c>
      <c r="H417" s="1">
        <v>46053.333333333336</v>
      </c>
    </row>
    <row r="418" spans="1:8" x14ac:dyDescent="0.25">
      <c r="A418" s="7">
        <f>DATE(YEAR(m3_crossvalid[[#This Row],[cutoff]]),MONTH(m3_crossvalid[[#This Row],[cutoff]]),DAY(m3_crossvalid[[#This Row],[cutoff]]))</f>
        <v>46053</v>
      </c>
      <c r="B418" s="7">
        <f>DATE(YEAR(m3_crossvalid[[#This Row],[ds]]),MONTH(m3_crossvalid[[#This Row],[ds]]),DAY(m3_crossvalid[[#This Row],[ds]]))</f>
        <v>46067</v>
      </c>
      <c r="C418">
        <v>913</v>
      </c>
      <c r="D418" s="1">
        <v>46067.333333333336</v>
      </c>
      <c r="E418">
        <v>280.69403688702232</v>
      </c>
      <c r="F418">
        <v>-1648.0347210354098</v>
      </c>
      <c r="G418">
        <v>1970.9341034776655</v>
      </c>
      <c r="H418" s="1">
        <v>46053.333333333336</v>
      </c>
    </row>
    <row r="419" spans="1:8" x14ac:dyDescent="0.25">
      <c r="A419" s="7">
        <f>DATE(YEAR(m3_crossvalid[[#This Row],[cutoff]]),MONTH(m3_crossvalid[[#This Row],[cutoff]]),DAY(m3_crossvalid[[#This Row],[cutoff]]))</f>
        <v>46053</v>
      </c>
      <c r="B419" s="7">
        <f>DATE(YEAR(m3_crossvalid[[#This Row],[ds]]),MONTH(m3_crossvalid[[#This Row],[ds]]),DAY(m3_crossvalid[[#This Row],[ds]]))</f>
        <v>46068</v>
      </c>
      <c r="C419">
        <v>208</v>
      </c>
      <c r="D419" s="1">
        <v>46068.333333333336</v>
      </c>
      <c r="E419">
        <v>-227.59974690717627</v>
      </c>
      <c r="F419">
        <v>-2131.3662017992451</v>
      </c>
      <c r="G419">
        <v>1786.1297350112022</v>
      </c>
      <c r="H419" s="1">
        <v>46053.333333333336</v>
      </c>
    </row>
    <row r="420" spans="1:8" x14ac:dyDescent="0.25">
      <c r="A420" s="7">
        <f>DATE(YEAR(m3_crossvalid[[#This Row],[cutoff]]),MONTH(m3_crossvalid[[#This Row],[cutoff]]),DAY(m3_crossvalid[[#This Row],[cutoff]]))</f>
        <v>46053</v>
      </c>
      <c r="B420" s="7">
        <f>DATE(YEAR(m3_crossvalid[[#This Row],[ds]]),MONTH(m3_crossvalid[[#This Row],[ds]]),DAY(m3_crossvalid[[#This Row],[ds]]))</f>
        <v>46069</v>
      </c>
      <c r="C420">
        <v>1728</v>
      </c>
      <c r="D420" s="1">
        <v>46069.333333333336</v>
      </c>
      <c r="E420">
        <v>2534.996903048841</v>
      </c>
      <c r="F420">
        <v>641.11624727433355</v>
      </c>
      <c r="G420">
        <v>4431.2774863866825</v>
      </c>
      <c r="H420" s="1">
        <v>46053.333333333336</v>
      </c>
    </row>
    <row r="421" spans="1:8" x14ac:dyDescent="0.25">
      <c r="A421" s="7">
        <f>DATE(YEAR(m3_crossvalid[[#This Row],[cutoff]]),MONTH(m3_crossvalid[[#This Row],[cutoff]]),DAY(m3_crossvalid[[#This Row],[cutoff]]))</f>
        <v>46053</v>
      </c>
      <c r="B421" s="7">
        <f>DATE(YEAR(m3_crossvalid[[#This Row],[ds]]),MONTH(m3_crossvalid[[#This Row],[ds]]),DAY(m3_crossvalid[[#This Row],[ds]]))</f>
        <v>46070</v>
      </c>
      <c r="C421">
        <v>27</v>
      </c>
      <c r="D421" s="1">
        <v>46070.333333333336</v>
      </c>
      <c r="E421">
        <v>619.24125179552902</v>
      </c>
      <c r="F421">
        <v>-1248.6846302748045</v>
      </c>
      <c r="G421">
        <v>2486.0626418627849</v>
      </c>
      <c r="H421" s="1">
        <v>46053.333333333336</v>
      </c>
    </row>
    <row r="422" spans="1:8" x14ac:dyDescent="0.25">
      <c r="A422" s="7">
        <f>DATE(YEAR(m3_crossvalid[[#This Row],[cutoff]]),MONTH(m3_crossvalid[[#This Row],[cutoff]]),DAY(m3_crossvalid[[#This Row],[cutoff]]))</f>
        <v>46053</v>
      </c>
      <c r="B422" s="7">
        <f>DATE(YEAR(m3_crossvalid[[#This Row],[ds]]),MONTH(m3_crossvalid[[#This Row],[ds]]),DAY(m3_crossvalid[[#This Row],[ds]]))</f>
        <v>46071</v>
      </c>
      <c r="C422">
        <v>21</v>
      </c>
      <c r="D422" s="1">
        <v>46071.333333333336</v>
      </c>
      <c r="E422">
        <v>712.72871148994341</v>
      </c>
      <c r="F422">
        <v>-1159.3846322750305</v>
      </c>
      <c r="G422">
        <v>2651.0506732987892</v>
      </c>
      <c r="H422" s="1">
        <v>46053.333333333336</v>
      </c>
    </row>
    <row r="423" spans="1:8" x14ac:dyDescent="0.25">
      <c r="A423" s="7">
        <f>DATE(YEAR(m3_crossvalid[[#This Row],[cutoff]]),MONTH(m3_crossvalid[[#This Row],[cutoff]]),DAY(m3_crossvalid[[#This Row],[cutoff]]))</f>
        <v>46053</v>
      </c>
      <c r="B423" s="7">
        <f>DATE(YEAR(m3_crossvalid[[#This Row],[ds]]),MONTH(m3_crossvalid[[#This Row],[ds]]),DAY(m3_crossvalid[[#This Row],[ds]]))</f>
        <v>46072</v>
      </c>
      <c r="C423">
        <v>1000</v>
      </c>
      <c r="D423" s="1">
        <v>46072.333333333336</v>
      </c>
      <c r="E423">
        <v>2977.6691937025007</v>
      </c>
      <c r="F423">
        <v>1206.083069845133</v>
      </c>
      <c r="G423">
        <v>4912.505958228573</v>
      </c>
      <c r="H423" s="1">
        <v>46053.333333333336</v>
      </c>
    </row>
    <row r="424" spans="1:8" x14ac:dyDescent="0.25">
      <c r="A424" s="7">
        <f>DATE(YEAR(m3_crossvalid[[#This Row],[cutoff]]),MONTH(m3_crossvalid[[#This Row],[cutoff]]),DAY(m3_crossvalid[[#This Row],[cutoff]]))</f>
        <v>46053</v>
      </c>
      <c r="B424" s="7">
        <f>DATE(YEAR(m3_crossvalid[[#This Row],[ds]]),MONTH(m3_crossvalid[[#This Row],[ds]]),DAY(m3_crossvalid[[#This Row],[ds]]))</f>
        <v>46073</v>
      </c>
      <c r="C424">
        <v>1555</v>
      </c>
      <c r="D424" s="1">
        <v>46073.333333333336</v>
      </c>
      <c r="E424">
        <v>2866.1364197515945</v>
      </c>
      <c r="F424">
        <v>959.30673059391279</v>
      </c>
      <c r="G424">
        <v>4785.02727912921</v>
      </c>
      <c r="H424" s="1">
        <v>46053.333333333336</v>
      </c>
    </row>
    <row r="425" spans="1:8" x14ac:dyDescent="0.25">
      <c r="A425" s="7">
        <f>DATE(YEAR(m3_crossvalid[[#This Row],[cutoff]]),MONTH(m3_crossvalid[[#This Row],[cutoff]]),DAY(m3_crossvalid[[#This Row],[cutoff]]))</f>
        <v>46053</v>
      </c>
      <c r="B425" s="7">
        <f>DATE(YEAR(m3_crossvalid[[#This Row],[ds]]),MONTH(m3_crossvalid[[#This Row],[ds]]),DAY(m3_crossvalid[[#This Row],[ds]]))</f>
        <v>46074</v>
      </c>
      <c r="C425">
        <v>492</v>
      </c>
      <c r="D425" s="1">
        <v>46074.333333333336</v>
      </c>
      <c r="E425">
        <v>756.48503902758739</v>
      </c>
      <c r="F425">
        <v>-1136.1158713247107</v>
      </c>
      <c r="G425">
        <v>2651.7611685732763</v>
      </c>
      <c r="H425" s="1">
        <v>46053.333333333336</v>
      </c>
    </row>
    <row r="426" spans="1:8" x14ac:dyDescent="0.25">
      <c r="A426" s="7">
        <f>DATE(YEAR(m3_crossvalid[[#This Row],[cutoff]]),MONTH(m3_crossvalid[[#This Row],[cutoff]]),DAY(m3_crossvalid[[#This Row],[cutoff]]))</f>
        <v>46053</v>
      </c>
      <c r="B426" s="7">
        <f>DATE(YEAR(m3_crossvalid[[#This Row],[ds]]),MONTH(m3_crossvalid[[#This Row],[ds]]),DAY(m3_crossvalid[[#This Row],[ds]]))</f>
        <v>46075</v>
      </c>
      <c r="C426">
        <v>159</v>
      </c>
      <c r="D426" s="1">
        <v>46075.333333333336</v>
      </c>
      <c r="E426">
        <v>556.23518541001226</v>
      </c>
      <c r="F426">
        <v>-1291.2656223746233</v>
      </c>
      <c r="G426">
        <v>2322.3137753981482</v>
      </c>
      <c r="H426" s="1">
        <v>46053.333333333336</v>
      </c>
    </row>
    <row r="427" spans="1:8" x14ac:dyDescent="0.25">
      <c r="A427" s="7">
        <f>DATE(YEAR(m3_crossvalid[[#This Row],[cutoff]]),MONTH(m3_crossvalid[[#This Row],[cutoff]]),DAY(m3_crossvalid[[#This Row],[cutoff]]))</f>
        <v>46053</v>
      </c>
      <c r="B427" s="7">
        <f>DATE(YEAR(m3_crossvalid[[#This Row],[ds]]),MONTH(m3_crossvalid[[#This Row],[ds]]),DAY(m3_crossvalid[[#This Row],[ds]]))</f>
        <v>46076</v>
      </c>
      <c r="C427">
        <v>2313</v>
      </c>
      <c r="D427" s="1">
        <v>46076.333333333336</v>
      </c>
      <c r="E427">
        <v>3347.2898807732226</v>
      </c>
      <c r="F427">
        <v>1345.3756063410474</v>
      </c>
      <c r="G427">
        <v>5141.2537536516329</v>
      </c>
      <c r="H427" s="1">
        <v>46053.333333333336</v>
      </c>
    </row>
    <row r="428" spans="1:8" x14ac:dyDescent="0.25">
      <c r="A428" s="7">
        <f>DATE(YEAR(m3_crossvalid[[#This Row],[cutoff]]),MONTH(m3_crossvalid[[#This Row],[cutoff]]),DAY(m3_crossvalid[[#This Row],[cutoff]]))</f>
        <v>46053</v>
      </c>
      <c r="B428" s="7">
        <f>DATE(YEAR(m3_crossvalid[[#This Row],[ds]]),MONTH(m3_crossvalid[[#This Row],[ds]]),DAY(m3_crossvalid[[#This Row],[ds]]))</f>
        <v>46077</v>
      </c>
      <c r="C428">
        <v>3081</v>
      </c>
      <c r="D428" s="1">
        <v>46077.333333333336</v>
      </c>
      <c r="E428">
        <v>3659.1895697313362</v>
      </c>
      <c r="F428">
        <v>1899.2724670929802</v>
      </c>
      <c r="G428">
        <v>5528.9651205496621</v>
      </c>
      <c r="H428" s="1">
        <v>46053.333333333336</v>
      </c>
    </row>
    <row r="429" spans="1:8" x14ac:dyDescent="0.25">
      <c r="A429" s="7">
        <f>DATE(YEAR(m3_crossvalid[[#This Row],[cutoff]]),MONTH(m3_crossvalid[[#This Row],[cutoff]]),DAY(m3_crossvalid[[#This Row],[cutoff]]))</f>
        <v>46053</v>
      </c>
      <c r="B429" s="7">
        <f>DATE(YEAR(m3_crossvalid[[#This Row],[ds]]),MONTH(m3_crossvalid[[#This Row],[ds]]),DAY(m3_crossvalid[[#This Row],[ds]]))</f>
        <v>46078</v>
      </c>
      <c r="C429">
        <v>4066</v>
      </c>
      <c r="D429" s="1">
        <v>46078.333333333336</v>
      </c>
      <c r="E429">
        <v>3705.8623612444708</v>
      </c>
      <c r="F429">
        <v>1753.8024285823287</v>
      </c>
      <c r="G429">
        <v>5488.7881066210621</v>
      </c>
      <c r="H429" s="1">
        <v>46053.333333333336</v>
      </c>
    </row>
    <row r="430" spans="1:8" x14ac:dyDescent="0.25">
      <c r="A430" s="7">
        <f>DATE(YEAR(m3_crossvalid[[#This Row],[cutoff]]),MONTH(m3_crossvalid[[#This Row],[cutoff]]),DAY(m3_crossvalid[[#This Row],[cutoff]]))</f>
        <v>46053</v>
      </c>
      <c r="B430" s="7">
        <f>DATE(YEAR(m3_crossvalid[[#This Row],[ds]]),MONTH(m3_crossvalid[[#This Row],[ds]]),DAY(m3_crossvalid[[#This Row],[ds]]))</f>
        <v>46079</v>
      </c>
      <c r="C430">
        <v>5569</v>
      </c>
      <c r="D430" s="1">
        <v>46079.333333333336</v>
      </c>
      <c r="E430">
        <v>4027.1836565751946</v>
      </c>
      <c r="F430">
        <v>2054.8342819882764</v>
      </c>
      <c r="G430">
        <v>6023.7571073139252</v>
      </c>
      <c r="H430" s="1">
        <v>46053.333333333336</v>
      </c>
    </row>
    <row r="431" spans="1:8" x14ac:dyDescent="0.25">
      <c r="A431" s="7">
        <f>DATE(YEAR(m3_crossvalid[[#This Row],[cutoff]]),MONTH(m3_crossvalid[[#This Row],[cutoff]]),DAY(m3_crossvalid[[#This Row],[cutoff]]))</f>
        <v>46053</v>
      </c>
      <c r="B431" s="7">
        <f>DATE(YEAR(m3_crossvalid[[#This Row],[ds]]),MONTH(m3_crossvalid[[#This Row],[ds]]),DAY(m3_crossvalid[[#This Row],[ds]]))</f>
        <v>46080</v>
      </c>
      <c r="C431">
        <v>8803</v>
      </c>
      <c r="D431" s="1">
        <v>46080.333333333336</v>
      </c>
      <c r="E431">
        <v>4921.6136652274963</v>
      </c>
      <c r="F431">
        <v>3042.4945078155465</v>
      </c>
      <c r="G431">
        <v>6795.9589106105313</v>
      </c>
      <c r="H431" s="1">
        <v>46053.333333333336</v>
      </c>
    </row>
    <row r="432" spans="1:8" x14ac:dyDescent="0.25">
      <c r="A432" s="7">
        <f>DATE(YEAR(m3_crossvalid[[#This Row],[cutoff]]),MONTH(m3_crossvalid[[#This Row],[cutoff]]),DAY(m3_crossvalid[[#This Row],[cutoff]]))</f>
        <v>46053</v>
      </c>
      <c r="B432" s="7">
        <f>DATE(YEAR(m3_crossvalid[[#This Row],[ds]]),MONTH(m3_crossvalid[[#This Row],[ds]]),DAY(m3_crossvalid[[#This Row],[ds]]))</f>
        <v>46081</v>
      </c>
      <c r="C432">
        <v>9425</v>
      </c>
      <c r="D432" s="1">
        <v>46081.333333333336</v>
      </c>
      <c r="E432">
        <v>3861.294336167718</v>
      </c>
      <c r="F432">
        <v>2029.8890597920672</v>
      </c>
      <c r="G432">
        <v>5797.0925336324262</v>
      </c>
      <c r="H432" s="1">
        <v>46053.333333333336</v>
      </c>
    </row>
    <row r="433" spans="1:8" x14ac:dyDescent="0.25">
      <c r="A433" s="7">
        <f>DATE(YEAR(m3_crossvalid[[#This Row],[cutoff]]),MONTH(m3_crossvalid[[#This Row],[cutoff]]),DAY(m3_crossvalid[[#This Row],[cutoff]]))</f>
        <v>46053</v>
      </c>
      <c r="B433" s="7">
        <f>DATE(YEAR(m3_crossvalid[[#This Row],[ds]]),MONTH(m3_crossvalid[[#This Row],[ds]]),DAY(m3_crossvalid[[#This Row],[ds]]))</f>
        <v>46082</v>
      </c>
      <c r="C433">
        <v>40</v>
      </c>
      <c r="D433" s="1">
        <v>46082.333333333336</v>
      </c>
      <c r="E433">
        <v>4112.4294187508003</v>
      </c>
      <c r="F433">
        <v>2257.0945813809008</v>
      </c>
      <c r="G433">
        <v>6053.1342102175549</v>
      </c>
      <c r="H433" s="1">
        <v>46053.333333333336</v>
      </c>
    </row>
    <row r="434" spans="1:8" x14ac:dyDescent="0.25">
      <c r="A434" s="7">
        <f>DATE(YEAR(m3_crossvalid[[#This Row],[cutoff]]),MONTH(m3_crossvalid[[#This Row],[cutoff]]),DAY(m3_crossvalid[[#This Row],[cutoff]]))</f>
        <v>46053</v>
      </c>
      <c r="B434" s="7">
        <f>DATE(YEAR(m3_crossvalid[[#This Row],[ds]]),MONTH(m3_crossvalid[[#This Row],[ds]]),DAY(m3_crossvalid[[#This Row],[ds]]))</f>
        <v>46083</v>
      </c>
      <c r="C434">
        <v>617</v>
      </c>
      <c r="D434" s="1">
        <v>46083.333333333336</v>
      </c>
      <c r="E434">
        <v>6383.4557642147502</v>
      </c>
      <c r="F434">
        <v>4478.4594005259651</v>
      </c>
      <c r="G434">
        <v>8201.3627335897527</v>
      </c>
      <c r="H434" s="1">
        <v>46053.333333333336</v>
      </c>
    </row>
    <row r="435" spans="1:8" x14ac:dyDescent="0.25">
      <c r="A435" s="7">
        <f>DATE(YEAR(m3_crossvalid[[#This Row],[cutoff]]),MONTH(m3_crossvalid[[#This Row],[cutoff]]),DAY(m3_crossvalid[[#This Row],[cutoff]]))</f>
        <v>46053</v>
      </c>
      <c r="B435" s="7">
        <f>DATE(YEAR(m3_crossvalid[[#This Row],[ds]]),MONTH(m3_crossvalid[[#This Row],[ds]]),DAY(m3_crossvalid[[#This Row],[ds]]))</f>
        <v>46084</v>
      </c>
      <c r="C435">
        <v>799</v>
      </c>
      <c r="D435" s="1">
        <v>46084.333333333336</v>
      </c>
      <c r="E435">
        <v>5307.2451432942707</v>
      </c>
      <c r="F435">
        <v>3519.4712680725179</v>
      </c>
      <c r="G435">
        <v>7231.6378587420295</v>
      </c>
      <c r="H435" s="1">
        <v>46053.333333333336</v>
      </c>
    </row>
    <row r="436" spans="1:8" x14ac:dyDescent="0.25">
      <c r="A436" s="7">
        <f>DATE(YEAR(m3_crossvalid[[#This Row],[cutoff]]),MONTH(m3_crossvalid[[#This Row],[cutoff]]),DAY(m3_crossvalid[[#This Row],[cutoff]]))</f>
        <v>46081</v>
      </c>
      <c r="B436" s="7">
        <f>DATE(YEAR(m3_crossvalid[[#This Row],[ds]]),MONTH(m3_crossvalid[[#This Row],[ds]]),DAY(m3_crossvalid[[#This Row],[ds]]))</f>
        <v>46082</v>
      </c>
      <c r="C436">
        <v>40</v>
      </c>
      <c r="D436" s="1">
        <v>46082.333333333336</v>
      </c>
      <c r="E436">
        <v>4262.5700659688346</v>
      </c>
      <c r="F436">
        <v>2463.1133091744337</v>
      </c>
      <c r="G436">
        <v>6221.9325444105925</v>
      </c>
      <c r="H436" s="1">
        <v>46081.333333333336</v>
      </c>
    </row>
    <row r="437" spans="1:8" x14ac:dyDescent="0.25">
      <c r="A437" s="7">
        <f>DATE(YEAR(m3_crossvalid[[#This Row],[cutoff]]),MONTH(m3_crossvalid[[#This Row],[cutoff]]),DAY(m3_crossvalid[[#This Row],[cutoff]]))</f>
        <v>46081</v>
      </c>
      <c r="B437" s="7">
        <f>DATE(YEAR(m3_crossvalid[[#This Row],[ds]]),MONTH(m3_crossvalid[[#This Row],[ds]]),DAY(m3_crossvalid[[#This Row],[ds]]))</f>
        <v>46083</v>
      </c>
      <c r="C437">
        <v>617</v>
      </c>
      <c r="D437" s="1">
        <v>46083.333333333336</v>
      </c>
      <c r="E437">
        <v>6488.2200562251746</v>
      </c>
      <c r="F437">
        <v>4484.5035616360528</v>
      </c>
      <c r="G437">
        <v>8337.1026410272334</v>
      </c>
      <c r="H437" s="1">
        <v>46081.333333333336</v>
      </c>
    </row>
    <row r="438" spans="1:8" x14ac:dyDescent="0.25">
      <c r="A438" s="7">
        <f>DATE(YEAR(m3_crossvalid[[#This Row],[cutoff]]),MONTH(m3_crossvalid[[#This Row],[cutoff]]),DAY(m3_crossvalid[[#This Row],[cutoff]]))</f>
        <v>46081</v>
      </c>
      <c r="B438" s="7">
        <f>DATE(YEAR(m3_crossvalid[[#This Row],[ds]]),MONTH(m3_crossvalid[[#This Row],[ds]]),DAY(m3_crossvalid[[#This Row],[ds]]))</f>
        <v>46084</v>
      </c>
      <c r="C438">
        <v>799</v>
      </c>
      <c r="D438" s="1">
        <v>46084.333333333336</v>
      </c>
      <c r="E438">
        <v>5407.7190606807289</v>
      </c>
      <c r="F438">
        <v>3552.9649156470796</v>
      </c>
      <c r="G438">
        <v>7211.7297747480661</v>
      </c>
      <c r="H438" s="1">
        <v>46081.333333333336</v>
      </c>
    </row>
    <row r="439" spans="1:8" x14ac:dyDescent="0.25">
      <c r="A439" s="7">
        <f>DATE(YEAR(m3_crossvalid[[#This Row],[cutoff]]),MONTH(m3_crossvalid[[#This Row],[cutoff]]),DAY(m3_crossvalid[[#This Row],[cutoff]]))</f>
        <v>46081</v>
      </c>
      <c r="B439" s="7">
        <f>DATE(YEAR(m3_crossvalid[[#This Row],[ds]]),MONTH(m3_crossvalid[[#This Row],[ds]]),DAY(m3_crossvalid[[#This Row],[ds]]))</f>
        <v>46085</v>
      </c>
      <c r="C439">
        <v>995</v>
      </c>
      <c r="D439" s="1">
        <v>46085.333333333336</v>
      </c>
      <c r="E439">
        <v>3631.2591375086267</v>
      </c>
      <c r="F439">
        <v>1790.5390983589077</v>
      </c>
      <c r="G439">
        <v>5591.921422957721</v>
      </c>
      <c r="H439" s="1">
        <v>46081.333333333336</v>
      </c>
    </row>
    <row r="440" spans="1:8" x14ac:dyDescent="0.25">
      <c r="A440" s="7">
        <f>DATE(YEAR(m3_crossvalid[[#This Row],[cutoff]]),MONTH(m3_crossvalid[[#This Row],[cutoff]]),DAY(m3_crossvalid[[#This Row],[cutoff]]))</f>
        <v>46081</v>
      </c>
      <c r="B440" s="7">
        <f>DATE(YEAR(m3_crossvalid[[#This Row],[ds]]),MONTH(m3_crossvalid[[#This Row],[ds]]),DAY(m3_crossvalid[[#This Row],[ds]]))</f>
        <v>46086</v>
      </c>
      <c r="C440">
        <v>1314</v>
      </c>
      <c r="D440" s="1">
        <v>46086.333333333336</v>
      </c>
      <c r="E440">
        <v>2162.2930850459006</v>
      </c>
      <c r="F440">
        <v>377.49981497418014</v>
      </c>
      <c r="G440">
        <v>4116.4749396789257</v>
      </c>
      <c r="H440" s="1">
        <v>46081.333333333336</v>
      </c>
    </row>
    <row r="441" spans="1:8" x14ac:dyDescent="0.25">
      <c r="A441" s="7">
        <f>DATE(YEAR(m3_crossvalid[[#This Row],[cutoff]]),MONTH(m3_crossvalid[[#This Row],[cutoff]]),DAY(m3_crossvalid[[#This Row],[cutoff]]))</f>
        <v>46081</v>
      </c>
      <c r="B441" s="7">
        <f>DATE(YEAR(m3_crossvalid[[#This Row],[ds]]),MONTH(m3_crossvalid[[#This Row],[ds]]),DAY(m3_crossvalid[[#This Row],[ds]]))</f>
        <v>46087</v>
      </c>
      <c r="C441">
        <v>1617</v>
      </c>
      <c r="D441" s="1">
        <v>46087.333333333336</v>
      </c>
      <c r="E441">
        <v>1588.0374026882228</v>
      </c>
      <c r="F441">
        <v>-305.40196506696623</v>
      </c>
      <c r="G441">
        <v>3417.0611752527066</v>
      </c>
      <c r="H441" s="1">
        <v>46081.333333333336</v>
      </c>
    </row>
    <row r="442" spans="1:8" x14ac:dyDescent="0.25">
      <c r="A442" s="7">
        <f>DATE(YEAR(m3_crossvalid[[#This Row],[cutoff]]),MONTH(m3_crossvalid[[#This Row],[cutoff]]),DAY(m3_crossvalid[[#This Row],[cutoff]]))</f>
        <v>46081</v>
      </c>
      <c r="B442" s="7">
        <f>DATE(YEAR(m3_crossvalid[[#This Row],[ds]]),MONTH(m3_crossvalid[[#This Row],[ds]]),DAY(m3_crossvalid[[#This Row],[ds]]))</f>
        <v>46088</v>
      </c>
      <c r="C442">
        <v>220</v>
      </c>
      <c r="D442" s="1">
        <v>46088.333333333336</v>
      </c>
      <c r="E442">
        <v>-2281.00360414734</v>
      </c>
      <c r="F442">
        <v>-4133.0295489812943</v>
      </c>
      <c r="G442">
        <v>-356.09273597772727</v>
      </c>
      <c r="H442" s="1">
        <v>46081.333333333336</v>
      </c>
    </row>
    <row r="443" spans="1:8" x14ac:dyDescent="0.25">
      <c r="A443" s="7">
        <f>DATE(YEAR(m3_crossvalid[[#This Row],[cutoff]]),MONTH(m3_crossvalid[[#This Row],[cutoff]]),DAY(m3_crossvalid[[#This Row],[cutoff]]))</f>
        <v>46081</v>
      </c>
      <c r="B443" s="7">
        <f>DATE(YEAR(m3_crossvalid[[#This Row],[ds]]),MONTH(m3_crossvalid[[#This Row],[ds]]),DAY(m3_crossvalid[[#This Row],[ds]]))</f>
        <v>46089</v>
      </c>
      <c r="C443">
        <v>43</v>
      </c>
      <c r="D443" s="1">
        <v>46089.333333333336</v>
      </c>
      <c r="E443">
        <v>-610.12235106015669</v>
      </c>
      <c r="F443">
        <v>-2538.8257174829096</v>
      </c>
      <c r="G443">
        <v>1384.8252877788168</v>
      </c>
      <c r="H443" s="1">
        <v>46081.333333333336</v>
      </c>
    </row>
    <row r="444" spans="1:8" x14ac:dyDescent="0.25">
      <c r="A444" s="7">
        <f>DATE(YEAR(m3_crossvalid[[#This Row],[cutoff]]),MONTH(m3_crossvalid[[#This Row],[cutoff]]),DAY(m3_crossvalid[[#This Row],[cutoff]]))</f>
        <v>46081</v>
      </c>
      <c r="B444" s="7">
        <f>DATE(YEAR(m3_crossvalid[[#This Row],[ds]]),MONTH(m3_crossvalid[[#This Row],[ds]]),DAY(m3_crossvalid[[#This Row],[ds]]))</f>
        <v>46090</v>
      </c>
      <c r="C444">
        <v>1766</v>
      </c>
      <c r="D444" s="1">
        <v>46090.333333333336</v>
      </c>
      <c r="E444">
        <v>2119.3093755533973</v>
      </c>
      <c r="F444">
        <v>220.10174407928443</v>
      </c>
      <c r="G444">
        <v>3957.7814502337433</v>
      </c>
      <c r="H444" s="1">
        <v>46081.333333333336</v>
      </c>
    </row>
    <row r="445" spans="1:8" x14ac:dyDescent="0.25">
      <c r="A445" s="7">
        <f>DATE(YEAR(m3_crossvalid[[#This Row],[cutoff]]),MONTH(m3_crossvalid[[#This Row],[cutoff]]),DAY(m3_crossvalid[[#This Row],[cutoff]]))</f>
        <v>46081</v>
      </c>
      <c r="B445" s="7">
        <f>DATE(YEAR(m3_crossvalid[[#This Row],[ds]]),MONTH(m3_crossvalid[[#This Row],[ds]]),DAY(m3_crossvalid[[#This Row],[ds]]))</f>
        <v>46091</v>
      </c>
      <c r="C445">
        <v>2170</v>
      </c>
      <c r="D445" s="1">
        <v>46091.333333333336</v>
      </c>
      <c r="E445">
        <v>2370.369802931677</v>
      </c>
      <c r="F445">
        <v>650.73924329633439</v>
      </c>
      <c r="G445">
        <v>4301.6503115086598</v>
      </c>
      <c r="H445" s="1">
        <v>46081.333333333336</v>
      </c>
    </row>
    <row r="446" spans="1:8" x14ac:dyDescent="0.25">
      <c r="A446" s="7">
        <f>DATE(YEAR(m3_crossvalid[[#This Row],[cutoff]]),MONTH(m3_crossvalid[[#This Row],[cutoff]]),DAY(m3_crossvalid[[#This Row],[cutoff]]))</f>
        <v>46081</v>
      </c>
      <c r="B446" s="7">
        <f>DATE(YEAR(m3_crossvalid[[#This Row],[ds]]),MONTH(m3_crossvalid[[#This Row],[ds]]),DAY(m3_crossvalid[[#This Row],[ds]]))</f>
        <v>46092</v>
      </c>
      <c r="C446">
        <v>2907</v>
      </c>
      <c r="D446" s="1">
        <v>46092.333333333336</v>
      </c>
      <c r="E446">
        <v>2382.418308326286</v>
      </c>
      <c r="F446">
        <v>556.3845249356242</v>
      </c>
      <c r="G446">
        <v>4215.5691568795619</v>
      </c>
      <c r="H446" s="1">
        <v>46081.333333333336</v>
      </c>
    </row>
    <row r="447" spans="1:8" x14ac:dyDescent="0.25">
      <c r="A447" s="7">
        <f>DATE(YEAR(m3_crossvalid[[#This Row],[cutoff]]),MONTH(m3_crossvalid[[#This Row],[cutoff]]),DAY(m3_crossvalid[[#This Row],[cutoff]]))</f>
        <v>46081</v>
      </c>
      <c r="B447" s="7">
        <f>DATE(YEAR(m3_crossvalid[[#This Row],[ds]]),MONTH(m3_crossvalid[[#This Row],[ds]]),DAY(m3_crossvalid[[#This Row],[ds]]))</f>
        <v>46093</v>
      </c>
      <c r="C447">
        <v>3020</v>
      </c>
      <c r="D447" s="1">
        <v>46093.333333333336</v>
      </c>
      <c r="E447">
        <v>2526.2982036894005</v>
      </c>
      <c r="F447">
        <v>801.71298759695856</v>
      </c>
      <c r="G447">
        <v>4308.3818518654425</v>
      </c>
      <c r="H447" s="1">
        <v>46081.333333333336</v>
      </c>
    </row>
    <row r="448" spans="1:8" x14ac:dyDescent="0.25">
      <c r="A448" s="7">
        <f>DATE(YEAR(m3_crossvalid[[#This Row],[cutoff]]),MONTH(m3_crossvalid[[#This Row],[cutoff]]),DAY(m3_crossvalid[[#This Row],[cutoff]]))</f>
        <v>46081</v>
      </c>
      <c r="B448" s="7">
        <f>DATE(YEAR(m3_crossvalid[[#This Row],[ds]]),MONTH(m3_crossvalid[[#This Row],[ds]]),DAY(m3_crossvalid[[#This Row],[ds]]))</f>
        <v>46094</v>
      </c>
      <c r="C448">
        <v>3551</v>
      </c>
      <c r="D448" s="1">
        <v>46094.333333333336</v>
      </c>
      <c r="E448">
        <v>2844.6810560963172</v>
      </c>
      <c r="F448">
        <v>976.62166745106674</v>
      </c>
      <c r="G448">
        <v>4713.1413624431098</v>
      </c>
      <c r="H448" s="1">
        <v>46081.333333333336</v>
      </c>
    </row>
    <row r="449" spans="1:8" x14ac:dyDescent="0.25">
      <c r="A449" s="7">
        <f>DATE(YEAR(m3_crossvalid[[#This Row],[cutoff]]),MONTH(m3_crossvalid[[#This Row],[cutoff]]),DAY(m3_crossvalid[[#This Row],[cutoff]]))</f>
        <v>46081</v>
      </c>
      <c r="B449" s="7">
        <f>DATE(YEAR(m3_crossvalid[[#This Row],[ds]]),MONTH(m3_crossvalid[[#This Row],[ds]]),DAY(m3_crossvalid[[#This Row],[ds]]))</f>
        <v>46095</v>
      </c>
      <c r="C449">
        <v>1088</v>
      </c>
      <c r="D449" s="1">
        <v>46095.333333333336</v>
      </c>
      <c r="E449">
        <v>850.98432611046314</v>
      </c>
      <c r="F449">
        <v>-1034.473452191208</v>
      </c>
      <c r="G449">
        <v>2625.1707012126535</v>
      </c>
      <c r="H449" s="1">
        <v>46081.333333333336</v>
      </c>
    </row>
    <row r="450" spans="1:8" x14ac:dyDescent="0.25">
      <c r="A450" s="7">
        <f>DATE(YEAR(m3_crossvalid[[#This Row],[cutoff]]),MONTH(m3_crossvalid[[#This Row],[cutoff]]),DAY(m3_crossvalid[[#This Row],[cutoff]]))</f>
        <v>46081</v>
      </c>
      <c r="B450" s="7">
        <f>DATE(YEAR(m3_crossvalid[[#This Row],[ds]]),MONTH(m3_crossvalid[[#This Row],[ds]]),DAY(m3_crossvalid[[#This Row],[ds]]))</f>
        <v>46096</v>
      </c>
      <c r="C450">
        <v>228</v>
      </c>
      <c r="D450" s="1">
        <v>46096.333333333336</v>
      </c>
      <c r="E450">
        <v>318.74663190079536</v>
      </c>
      <c r="F450">
        <v>-1690.4474178224814</v>
      </c>
      <c r="G450">
        <v>2264.8113699791252</v>
      </c>
      <c r="H450" s="1">
        <v>46081.333333333336</v>
      </c>
    </row>
    <row r="451" spans="1:8" x14ac:dyDescent="0.25">
      <c r="A451" s="7">
        <f>DATE(YEAR(m3_crossvalid[[#This Row],[cutoff]]),MONTH(m3_crossvalid[[#This Row],[cutoff]]),DAY(m3_crossvalid[[#This Row],[cutoff]]))</f>
        <v>46081</v>
      </c>
      <c r="B451" s="7">
        <f>DATE(YEAR(m3_crossvalid[[#This Row],[ds]]),MONTH(m3_crossvalid[[#This Row],[ds]]),DAY(m3_crossvalid[[#This Row],[ds]]))</f>
        <v>46097</v>
      </c>
      <c r="C451">
        <v>3950</v>
      </c>
      <c r="D451" s="1">
        <v>46097.333333333336</v>
      </c>
      <c r="E451">
        <v>2732.2415262053892</v>
      </c>
      <c r="F451">
        <v>859.18110564766039</v>
      </c>
      <c r="G451">
        <v>4498.9466346272266</v>
      </c>
      <c r="H451" s="1">
        <v>46081.333333333336</v>
      </c>
    </row>
    <row r="452" spans="1:8" x14ac:dyDescent="0.25">
      <c r="A452" s="7">
        <f>DATE(YEAR(m3_crossvalid[[#This Row],[cutoff]]),MONTH(m3_crossvalid[[#This Row],[cutoff]]),DAY(m3_crossvalid[[#This Row],[cutoff]]))</f>
        <v>46081</v>
      </c>
      <c r="B452" s="7">
        <f>DATE(YEAR(m3_crossvalid[[#This Row],[ds]]),MONTH(m3_crossvalid[[#This Row],[ds]]),DAY(m3_crossvalid[[#This Row],[ds]]))</f>
        <v>46098</v>
      </c>
      <c r="C452">
        <v>5807</v>
      </c>
      <c r="D452" s="1">
        <v>46098.333333333336</v>
      </c>
      <c r="E452">
        <v>3020.4330464409322</v>
      </c>
      <c r="F452">
        <v>1093.8720389496757</v>
      </c>
      <c r="G452">
        <v>4911.2801387649606</v>
      </c>
      <c r="H452" s="1">
        <v>46081.333333333336</v>
      </c>
    </row>
    <row r="453" spans="1:8" x14ac:dyDescent="0.25">
      <c r="A453" s="7">
        <f>DATE(YEAR(m3_crossvalid[[#This Row],[cutoff]]),MONTH(m3_crossvalid[[#This Row],[cutoff]]),DAY(m3_crossvalid[[#This Row],[cutoff]]))</f>
        <v>46081</v>
      </c>
      <c r="B453" s="7">
        <f>DATE(YEAR(m3_crossvalid[[#This Row],[ds]]),MONTH(m3_crossvalid[[#This Row],[ds]]),DAY(m3_crossvalid[[#This Row],[ds]]))</f>
        <v>46099</v>
      </c>
      <c r="C453">
        <v>5295</v>
      </c>
      <c r="D453" s="1">
        <v>46099.333333333336</v>
      </c>
      <c r="E453">
        <v>3280.5011174480619</v>
      </c>
      <c r="F453">
        <v>1538.5311796790897</v>
      </c>
      <c r="G453">
        <v>5082.6548092082621</v>
      </c>
      <c r="H453" s="1">
        <v>46081.333333333336</v>
      </c>
    </row>
    <row r="454" spans="1:8" x14ac:dyDescent="0.25">
      <c r="A454" s="7">
        <f>DATE(YEAR(m3_crossvalid[[#This Row],[cutoff]]),MONTH(m3_crossvalid[[#This Row],[cutoff]]),DAY(m3_crossvalid[[#This Row],[cutoff]]))</f>
        <v>46081</v>
      </c>
      <c r="B454" s="7">
        <f>DATE(YEAR(m3_crossvalid[[#This Row],[ds]]),MONTH(m3_crossvalid[[#This Row],[ds]]),DAY(m3_crossvalid[[#This Row],[ds]]))</f>
        <v>46100</v>
      </c>
      <c r="C454">
        <v>3557</v>
      </c>
      <c r="D454" s="1">
        <v>46100.333333333336</v>
      </c>
      <c r="E454">
        <v>3535.6019639403871</v>
      </c>
      <c r="F454">
        <v>1646.2678466927221</v>
      </c>
      <c r="G454">
        <v>5287.0220132702207</v>
      </c>
      <c r="H454" s="1">
        <v>46081.333333333336</v>
      </c>
    </row>
    <row r="455" spans="1:8" x14ac:dyDescent="0.25">
      <c r="A455" s="7">
        <f>DATE(YEAR(m3_crossvalid[[#This Row],[cutoff]]),MONTH(m3_crossvalid[[#This Row],[cutoff]]),DAY(m3_crossvalid[[#This Row],[cutoff]]))</f>
        <v>46081</v>
      </c>
      <c r="B455" s="7">
        <f>DATE(YEAR(m3_crossvalid[[#This Row],[ds]]),MONTH(m3_crossvalid[[#This Row],[ds]]),DAY(m3_crossvalid[[#This Row],[ds]]))</f>
        <v>46101</v>
      </c>
      <c r="C455">
        <v>61</v>
      </c>
      <c r="D455" s="1">
        <v>46101.333333333336</v>
      </c>
      <c r="E455">
        <v>274.95510951750748</v>
      </c>
      <c r="F455">
        <v>-1595.6865795382539</v>
      </c>
      <c r="G455">
        <v>2132.9514097632282</v>
      </c>
      <c r="H455" s="1">
        <v>46081.333333333336</v>
      </c>
    </row>
    <row r="456" spans="1:8" x14ac:dyDescent="0.25">
      <c r="A456" s="7">
        <f>DATE(YEAR(m3_crossvalid[[#This Row],[cutoff]]),MONTH(m3_crossvalid[[#This Row],[cutoff]]),DAY(m3_crossvalid[[#This Row],[cutoff]]))</f>
        <v>46081</v>
      </c>
      <c r="B456" s="7">
        <f>DATE(YEAR(m3_crossvalid[[#This Row],[ds]]),MONTH(m3_crossvalid[[#This Row],[ds]]),DAY(m3_crossvalid[[#This Row],[ds]]))</f>
        <v>46102</v>
      </c>
      <c r="C456">
        <v>3</v>
      </c>
      <c r="D456" s="1">
        <v>46102.333333333336</v>
      </c>
      <c r="E456">
        <v>-2659.2787675261375</v>
      </c>
      <c r="F456">
        <v>-4661.8160509936706</v>
      </c>
      <c r="G456">
        <v>-672.06293112018511</v>
      </c>
      <c r="H456" s="1">
        <v>46081.333333333336</v>
      </c>
    </row>
    <row r="457" spans="1:8" x14ac:dyDescent="0.25">
      <c r="A457" s="7">
        <f>DATE(YEAR(m3_crossvalid[[#This Row],[cutoff]]),MONTH(m3_crossvalid[[#This Row],[cutoff]]),DAY(m3_crossvalid[[#This Row],[cutoff]]))</f>
        <v>46081</v>
      </c>
      <c r="B457" s="7">
        <f>DATE(YEAR(m3_crossvalid[[#This Row],[ds]]),MONTH(m3_crossvalid[[#This Row],[ds]]),DAY(m3_crossvalid[[#This Row],[ds]]))</f>
        <v>46103</v>
      </c>
      <c r="C457">
        <v>6</v>
      </c>
      <c r="D457" s="1">
        <v>46103.333333333336</v>
      </c>
      <c r="E457">
        <v>-4493.5468167070394</v>
      </c>
      <c r="F457">
        <v>-6260.8217817166114</v>
      </c>
      <c r="G457">
        <v>-2615.3439375346084</v>
      </c>
      <c r="H457" s="1">
        <v>46081.333333333336</v>
      </c>
    </row>
    <row r="458" spans="1:8" x14ac:dyDescent="0.25">
      <c r="A458" s="7">
        <f>DATE(YEAR(m3_crossvalid[[#This Row],[cutoff]]),MONTH(m3_crossvalid[[#This Row],[cutoff]]),DAY(m3_crossvalid[[#This Row],[cutoff]]))</f>
        <v>46081</v>
      </c>
      <c r="B458" s="7">
        <f>DATE(YEAR(m3_crossvalid[[#This Row],[ds]]),MONTH(m3_crossvalid[[#This Row],[ds]]),DAY(m3_crossvalid[[#This Row],[ds]]))</f>
        <v>46104</v>
      </c>
      <c r="C458">
        <v>23</v>
      </c>
      <c r="D458" s="1">
        <v>46104.333333333336</v>
      </c>
      <c r="E458">
        <v>-2197.2996907906504</v>
      </c>
      <c r="F458">
        <v>-3946.6092735790071</v>
      </c>
      <c r="G458">
        <v>-254.82968049928212</v>
      </c>
      <c r="H458" s="1">
        <v>46081.333333333336</v>
      </c>
    </row>
    <row r="459" spans="1:8" x14ac:dyDescent="0.25">
      <c r="A459" s="7">
        <f>DATE(YEAR(m3_crossvalid[[#This Row],[cutoff]]),MONTH(m3_crossvalid[[#This Row],[cutoff]]),DAY(m3_crossvalid[[#This Row],[cutoff]]))</f>
        <v>46081</v>
      </c>
      <c r="B459" s="7">
        <f>DATE(YEAR(m3_crossvalid[[#This Row],[ds]]),MONTH(m3_crossvalid[[#This Row],[ds]]),DAY(m3_crossvalid[[#This Row],[ds]]))</f>
        <v>46105</v>
      </c>
      <c r="C459">
        <v>974</v>
      </c>
      <c r="D459" s="1">
        <v>46105.333333333336</v>
      </c>
      <c r="E459">
        <v>1458.857764381982</v>
      </c>
      <c r="F459">
        <v>-408.90321529100464</v>
      </c>
      <c r="G459">
        <v>3435.9731658780256</v>
      </c>
      <c r="H459" s="1">
        <v>46081.333333333336</v>
      </c>
    </row>
    <row r="460" spans="1:8" x14ac:dyDescent="0.25">
      <c r="A460" s="7">
        <f>DATE(YEAR(m3_crossvalid[[#This Row],[cutoff]]),MONTH(m3_crossvalid[[#This Row],[cutoff]]),DAY(m3_crossvalid[[#This Row],[cutoff]]))</f>
        <v>46081</v>
      </c>
      <c r="B460" s="7">
        <f>DATE(YEAR(m3_crossvalid[[#This Row],[ds]]),MONTH(m3_crossvalid[[#This Row],[ds]]),DAY(m3_crossvalid[[#This Row],[ds]]))</f>
        <v>46106</v>
      </c>
      <c r="C460">
        <v>1752</v>
      </c>
      <c r="D460" s="1">
        <v>46106.333333333336</v>
      </c>
      <c r="E460">
        <v>2527.2712241795098</v>
      </c>
      <c r="F460">
        <v>772.003843648155</v>
      </c>
      <c r="G460">
        <v>4526.0086760573922</v>
      </c>
      <c r="H460" s="1">
        <v>46081.333333333336</v>
      </c>
    </row>
    <row r="461" spans="1:8" x14ac:dyDescent="0.25">
      <c r="A461" s="7">
        <f>DATE(YEAR(m3_crossvalid[[#This Row],[cutoff]]),MONTH(m3_crossvalid[[#This Row],[cutoff]]),DAY(m3_crossvalid[[#This Row],[cutoff]]))</f>
        <v>46081</v>
      </c>
      <c r="B461" s="7">
        <f>DATE(YEAR(m3_crossvalid[[#This Row],[ds]]),MONTH(m3_crossvalid[[#This Row],[ds]]),DAY(m3_crossvalid[[#This Row],[ds]]))</f>
        <v>46107</v>
      </c>
      <c r="C461">
        <v>2884</v>
      </c>
      <c r="D461" s="1">
        <v>46107.333333333336</v>
      </c>
      <c r="E461">
        <v>3633.6927566078439</v>
      </c>
      <c r="F461">
        <v>1711.6036848163014</v>
      </c>
      <c r="G461">
        <v>5487.6778675442811</v>
      </c>
      <c r="H461" s="1">
        <v>46081.333333333336</v>
      </c>
    </row>
    <row r="462" spans="1:8" x14ac:dyDescent="0.25">
      <c r="A462" s="7">
        <f>DATE(YEAR(m3_crossvalid[[#This Row],[cutoff]]),MONTH(m3_crossvalid[[#This Row],[cutoff]]),DAY(m3_crossvalid[[#This Row],[cutoff]]))</f>
        <v>46081</v>
      </c>
      <c r="B462" s="7">
        <f>DATE(YEAR(m3_crossvalid[[#This Row],[ds]]),MONTH(m3_crossvalid[[#This Row],[ds]]),DAY(m3_crossvalid[[#This Row],[ds]]))</f>
        <v>46108</v>
      </c>
      <c r="C462">
        <v>3597</v>
      </c>
      <c r="D462" s="1">
        <v>46108.333333333336</v>
      </c>
      <c r="E462">
        <v>2329.6546871225537</v>
      </c>
      <c r="F462">
        <v>453.02821870795668</v>
      </c>
      <c r="G462">
        <v>4250.4607499936956</v>
      </c>
      <c r="H462" s="1">
        <v>46081.333333333336</v>
      </c>
    </row>
    <row r="463" spans="1:8" x14ac:dyDescent="0.25">
      <c r="A463" s="7">
        <f>DATE(YEAR(m3_crossvalid[[#This Row],[cutoff]]),MONTH(m3_crossvalid[[#This Row],[cutoff]]),DAY(m3_crossvalid[[#This Row],[cutoff]]))</f>
        <v>46081</v>
      </c>
      <c r="B463" s="7">
        <f>DATE(YEAR(m3_crossvalid[[#This Row],[ds]]),MONTH(m3_crossvalid[[#This Row],[ds]]),DAY(m3_crossvalid[[#This Row],[ds]]))</f>
        <v>46109</v>
      </c>
      <c r="C463">
        <v>1207</v>
      </c>
      <c r="D463" s="1">
        <v>46109.333333333336</v>
      </c>
      <c r="E463">
        <v>448.57389279624294</v>
      </c>
      <c r="F463">
        <v>-1463.9275625562741</v>
      </c>
      <c r="G463">
        <v>2475.7915300978079</v>
      </c>
      <c r="H463" s="1">
        <v>46081.333333333336</v>
      </c>
    </row>
    <row r="464" spans="1:8" x14ac:dyDescent="0.25">
      <c r="A464" s="7">
        <f>DATE(YEAR(m3_crossvalid[[#This Row],[cutoff]]),MONTH(m3_crossvalid[[#This Row],[cutoff]]),DAY(m3_crossvalid[[#This Row],[cutoff]]))</f>
        <v>46081</v>
      </c>
      <c r="B464" s="7">
        <f>DATE(YEAR(m3_crossvalid[[#This Row],[ds]]),MONTH(m3_crossvalid[[#This Row],[ds]]),DAY(m3_crossvalid[[#This Row],[ds]]))</f>
        <v>46110</v>
      </c>
      <c r="C464">
        <v>183</v>
      </c>
      <c r="D464" s="1">
        <v>46110.333333333336</v>
      </c>
      <c r="E464">
        <v>379.11720321078201</v>
      </c>
      <c r="F464">
        <v>-1651.2007289240182</v>
      </c>
      <c r="G464">
        <v>2419.3491134962901</v>
      </c>
      <c r="H464" s="1">
        <v>46081.333333333336</v>
      </c>
    </row>
    <row r="465" spans="1:8" x14ac:dyDescent="0.25">
      <c r="A465" s="7">
        <f>DATE(YEAR(m3_crossvalid[[#This Row],[cutoff]]),MONTH(m3_crossvalid[[#This Row],[cutoff]]),DAY(m3_crossvalid[[#This Row],[cutoff]]))</f>
        <v>46081</v>
      </c>
      <c r="B465" s="7">
        <f>DATE(YEAR(m3_crossvalid[[#This Row],[ds]]),MONTH(m3_crossvalid[[#This Row],[ds]]),DAY(m3_crossvalid[[#This Row],[ds]]))</f>
        <v>46111</v>
      </c>
      <c r="C465">
        <v>4959</v>
      </c>
      <c r="D465" s="1">
        <v>46111.333333333336</v>
      </c>
      <c r="E465">
        <v>4099.4028856111454</v>
      </c>
      <c r="F465">
        <v>2287.9528629378633</v>
      </c>
      <c r="G465">
        <v>6051.7738741252051</v>
      </c>
      <c r="H465" s="1">
        <v>46081.333333333336</v>
      </c>
    </row>
    <row r="466" spans="1:8" x14ac:dyDescent="0.25">
      <c r="A466" s="7">
        <f>DATE(YEAR(m3_crossvalid[[#This Row],[cutoff]]),MONTH(m3_crossvalid[[#This Row],[cutoff]]),DAY(m3_crossvalid[[#This Row],[cutoff]]))</f>
        <v>46081</v>
      </c>
      <c r="B466" s="7">
        <f>DATE(YEAR(m3_crossvalid[[#This Row],[ds]]),MONTH(m3_crossvalid[[#This Row],[ds]]),DAY(m3_crossvalid[[#This Row],[ds]]))</f>
        <v>46112</v>
      </c>
      <c r="C466">
        <v>13213</v>
      </c>
      <c r="D466" s="1">
        <v>46112.333333333336</v>
      </c>
      <c r="E466">
        <v>6926.4253918376035</v>
      </c>
      <c r="F466">
        <v>4900.2264318139287</v>
      </c>
      <c r="G466">
        <v>8852.977678616402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61D-B9D8-445B-A9A9-9CAD1967CDF6}">
  <dimension ref="A1:H466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DATE(YEAR(m4_crossvalid[[#This Row],[cutoff]]),MONTH(m4_crossvalid[[#This Row],[cutoff]]),DAY(m4_crossvalid[[#This Row],[cutoff]]))</f>
        <v>45657</v>
      </c>
      <c r="B2" s="7">
        <f>DATE(YEAR(m4_crossvalid[[#This Row],[ds]]),MONTH(m4_crossvalid[[#This Row],[ds]]),DAY(m4_crossvalid[[#This Row],[ds]]))</f>
        <v>45658</v>
      </c>
      <c r="C2">
        <v>90</v>
      </c>
      <c r="D2" s="1">
        <v>45658.333333333336</v>
      </c>
      <c r="E2">
        <v>2889.4874849051143</v>
      </c>
      <c r="F2">
        <v>1008.6839715505058</v>
      </c>
      <c r="G2">
        <v>4543.0418747583008</v>
      </c>
      <c r="H2" s="1">
        <v>45657.333333333336</v>
      </c>
    </row>
    <row r="3" spans="1:8" x14ac:dyDescent="0.25">
      <c r="A3" s="7">
        <f>DATE(YEAR(m4_crossvalid[[#This Row],[cutoff]]),MONTH(m4_crossvalid[[#This Row],[cutoff]]),DAY(m4_crossvalid[[#This Row],[cutoff]]))</f>
        <v>45657</v>
      </c>
      <c r="B3" s="7">
        <f>DATE(YEAR(m4_crossvalid[[#This Row],[ds]]),MONTH(m4_crossvalid[[#This Row],[ds]]),DAY(m4_crossvalid[[#This Row],[ds]]))</f>
        <v>45659</v>
      </c>
      <c r="C3">
        <v>541</v>
      </c>
      <c r="D3" s="1">
        <v>45659.333333333336</v>
      </c>
      <c r="E3">
        <v>2563.1265763060164</v>
      </c>
      <c r="F3">
        <v>757.92047918310629</v>
      </c>
      <c r="G3">
        <v>4271.2506289134444</v>
      </c>
      <c r="H3" s="1">
        <v>45657.333333333336</v>
      </c>
    </row>
    <row r="4" spans="1:8" x14ac:dyDescent="0.25">
      <c r="A4" s="7">
        <f>DATE(YEAR(m4_crossvalid[[#This Row],[cutoff]]),MONTH(m4_crossvalid[[#This Row],[cutoff]]),DAY(m4_crossvalid[[#This Row],[cutoff]]))</f>
        <v>45657</v>
      </c>
      <c r="B4" s="7">
        <f>DATE(YEAR(m4_crossvalid[[#This Row],[ds]]),MONTH(m4_crossvalid[[#This Row],[ds]]),DAY(m4_crossvalid[[#This Row],[ds]]))</f>
        <v>45660</v>
      </c>
      <c r="C4">
        <v>563</v>
      </c>
      <c r="D4" s="1">
        <v>45660.333333333336</v>
      </c>
      <c r="E4">
        <v>1348.001986613313</v>
      </c>
      <c r="F4">
        <v>-391.752757924641</v>
      </c>
      <c r="G4">
        <v>3100.8496394695426</v>
      </c>
      <c r="H4" s="1">
        <v>45657.333333333336</v>
      </c>
    </row>
    <row r="5" spans="1:8" x14ac:dyDescent="0.25">
      <c r="A5" s="7">
        <f>DATE(YEAR(m4_crossvalid[[#This Row],[cutoff]]),MONTH(m4_crossvalid[[#This Row],[cutoff]]),DAY(m4_crossvalid[[#This Row],[cutoff]]))</f>
        <v>45657</v>
      </c>
      <c r="B5" s="7">
        <f>DATE(YEAR(m4_crossvalid[[#This Row],[ds]]),MONTH(m4_crossvalid[[#This Row],[ds]]),DAY(m4_crossvalid[[#This Row],[ds]]))</f>
        <v>45661</v>
      </c>
      <c r="C5">
        <v>42</v>
      </c>
      <c r="D5" s="1">
        <v>45661.333333333336</v>
      </c>
      <c r="E5">
        <v>-885.00494302971447</v>
      </c>
      <c r="F5">
        <v>-2643.7895787664747</v>
      </c>
      <c r="G5">
        <v>730.53325455564993</v>
      </c>
      <c r="H5" s="1">
        <v>45657.333333333336</v>
      </c>
    </row>
    <row r="6" spans="1:8" x14ac:dyDescent="0.25">
      <c r="A6" s="7">
        <f>DATE(YEAR(m4_crossvalid[[#This Row],[cutoff]]),MONTH(m4_crossvalid[[#This Row],[cutoff]]),DAY(m4_crossvalid[[#This Row],[cutoff]]))</f>
        <v>45657</v>
      </c>
      <c r="B6" s="7">
        <f>DATE(YEAR(m4_crossvalid[[#This Row],[ds]]),MONTH(m4_crossvalid[[#This Row],[ds]]),DAY(m4_crossvalid[[#This Row],[ds]]))</f>
        <v>45662</v>
      </c>
      <c r="C6">
        <v>22</v>
      </c>
      <c r="D6" s="1">
        <v>45662.333333333336</v>
      </c>
      <c r="E6">
        <v>-1000.2473366529998</v>
      </c>
      <c r="F6">
        <v>-2789.3920800512428</v>
      </c>
      <c r="G6">
        <v>846.89596903181166</v>
      </c>
      <c r="H6" s="1">
        <v>45657.333333333336</v>
      </c>
    </row>
    <row r="7" spans="1:8" x14ac:dyDescent="0.25">
      <c r="A7" s="7">
        <f>DATE(YEAR(m4_crossvalid[[#This Row],[cutoff]]),MONTH(m4_crossvalid[[#This Row],[cutoff]]),DAY(m4_crossvalid[[#This Row],[cutoff]]))</f>
        <v>45657</v>
      </c>
      <c r="B7" s="7">
        <f>DATE(YEAR(m4_crossvalid[[#This Row],[ds]]),MONTH(m4_crossvalid[[#This Row],[ds]]),DAY(m4_crossvalid[[#This Row],[ds]]))</f>
        <v>45663</v>
      </c>
      <c r="C7">
        <v>533</v>
      </c>
      <c r="D7" s="1">
        <v>45663.333333333336</v>
      </c>
      <c r="E7">
        <v>1770.5457585818863</v>
      </c>
      <c r="F7">
        <v>-79.459853492313741</v>
      </c>
      <c r="G7">
        <v>3557.5293583803823</v>
      </c>
      <c r="H7" s="1">
        <v>45657.333333333336</v>
      </c>
    </row>
    <row r="8" spans="1:8" x14ac:dyDescent="0.25">
      <c r="A8" s="7">
        <f>DATE(YEAR(m4_crossvalid[[#This Row],[cutoff]]),MONTH(m4_crossvalid[[#This Row],[cutoff]]),DAY(m4_crossvalid[[#This Row],[cutoff]]))</f>
        <v>45657</v>
      </c>
      <c r="B8" s="7">
        <f>DATE(YEAR(m4_crossvalid[[#This Row],[ds]]),MONTH(m4_crossvalid[[#This Row],[ds]]),DAY(m4_crossvalid[[#This Row],[ds]]))</f>
        <v>45664</v>
      </c>
      <c r="C8">
        <v>712</v>
      </c>
      <c r="D8" s="1">
        <v>45664.333333333336</v>
      </c>
      <c r="E8">
        <v>2015.5518373154248</v>
      </c>
      <c r="F8">
        <v>213.51853265545097</v>
      </c>
      <c r="G8">
        <v>3590.7404579141794</v>
      </c>
      <c r="H8" s="1">
        <v>45657.333333333336</v>
      </c>
    </row>
    <row r="9" spans="1:8" x14ac:dyDescent="0.25">
      <c r="A9" s="7">
        <f>DATE(YEAR(m4_crossvalid[[#This Row],[cutoff]]),MONTH(m4_crossvalid[[#This Row],[cutoff]]),DAY(m4_crossvalid[[#This Row],[cutoff]]))</f>
        <v>45657</v>
      </c>
      <c r="B9" s="7">
        <f>DATE(YEAR(m4_crossvalid[[#This Row],[ds]]),MONTH(m4_crossvalid[[#This Row],[ds]]),DAY(m4_crossvalid[[#This Row],[ds]]))</f>
        <v>45665</v>
      </c>
      <c r="C9">
        <v>904</v>
      </c>
      <c r="D9" s="1">
        <v>45665.333333333336</v>
      </c>
      <c r="E9">
        <v>1859.9432230446264</v>
      </c>
      <c r="F9">
        <v>73.484600816184724</v>
      </c>
      <c r="G9">
        <v>3635.414249040884</v>
      </c>
      <c r="H9" s="1">
        <v>45657.333333333336</v>
      </c>
    </row>
    <row r="10" spans="1:8" x14ac:dyDescent="0.25">
      <c r="A10" s="7">
        <f>DATE(YEAR(m4_crossvalid[[#This Row],[cutoff]]),MONTH(m4_crossvalid[[#This Row],[cutoff]]),DAY(m4_crossvalid[[#This Row],[cutoff]]))</f>
        <v>45657</v>
      </c>
      <c r="B10" s="7">
        <f>DATE(YEAR(m4_crossvalid[[#This Row],[ds]]),MONTH(m4_crossvalid[[#This Row],[ds]]),DAY(m4_crossvalid[[#This Row],[ds]]))</f>
        <v>45666</v>
      </c>
      <c r="C10">
        <v>1135</v>
      </c>
      <c r="D10" s="1">
        <v>45666.333333333336</v>
      </c>
      <c r="E10">
        <v>1772.9466246848797</v>
      </c>
      <c r="F10">
        <v>146.69105226575374</v>
      </c>
      <c r="G10">
        <v>3519.5134466580957</v>
      </c>
      <c r="H10" s="1">
        <v>45657.333333333336</v>
      </c>
    </row>
    <row r="11" spans="1:8" x14ac:dyDescent="0.25">
      <c r="A11" s="7">
        <f>DATE(YEAR(m4_crossvalid[[#This Row],[cutoff]]),MONTH(m4_crossvalid[[#This Row],[cutoff]]),DAY(m4_crossvalid[[#This Row],[cutoff]]))</f>
        <v>45657</v>
      </c>
      <c r="B11" s="7">
        <f>DATE(YEAR(m4_crossvalid[[#This Row],[ds]]),MONTH(m4_crossvalid[[#This Row],[ds]]),DAY(m4_crossvalid[[#This Row],[ds]]))</f>
        <v>45667</v>
      </c>
      <c r="C11">
        <v>1270</v>
      </c>
      <c r="D11" s="1">
        <v>45667.333333333336</v>
      </c>
      <c r="E11">
        <v>1774.7230149392617</v>
      </c>
      <c r="F11">
        <v>-98.605277349333747</v>
      </c>
      <c r="G11">
        <v>3458.7612466138471</v>
      </c>
      <c r="H11" s="1">
        <v>45657.333333333336</v>
      </c>
    </row>
    <row r="12" spans="1:8" x14ac:dyDescent="0.25">
      <c r="A12" s="7">
        <f>DATE(YEAR(m4_crossvalid[[#This Row],[cutoff]]),MONTH(m4_crossvalid[[#This Row],[cutoff]]),DAY(m4_crossvalid[[#This Row],[cutoff]]))</f>
        <v>45657</v>
      </c>
      <c r="B12" s="7">
        <f>DATE(YEAR(m4_crossvalid[[#This Row],[ds]]),MONTH(m4_crossvalid[[#This Row],[ds]]),DAY(m4_crossvalid[[#This Row],[ds]]))</f>
        <v>45668</v>
      </c>
      <c r="C12">
        <v>203</v>
      </c>
      <c r="D12" s="1">
        <v>45668.333333333336</v>
      </c>
      <c r="E12">
        <v>-123.48956952208891</v>
      </c>
      <c r="F12">
        <v>-2038.4697731135393</v>
      </c>
      <c r="G12">
        <v>1719.9253522493614</v>
      </c>
      <c r="H12" s="1">
        <v>45657.333333333336</v>
      </c>
    </row>
    <row r="13" spans="1:8" x14ac:dyDescent="0.25">
      <c r="A13" s="7">
        <f>DATE(YEAR(m4_crossvalid[[#This Row],[cutoff]]),MONTH(m4_crossvalid[[#This Row],[cutoff]]),DAY(m4_crossvalid[[#This Row],[cutoff]]))</f>
        <v>45657</v>
      </c>
      <c r="B13" s="7">
        <f>DATE(YEAR(m4_crossvalid[[#This Row],[ds]]),MONTH(m4_crossvalid[[#This Row],[ds]]),DAY(m4_crossvalid[[#This Row],[ds]]))</f>
        <v>45669</v>
      </c>
      <c r="C13">
        <v>41</v>
      </c>
      <c r="D13" s="1">
        <v>45669.333333333336</v>
      </c>
      <c r="E13">
        <v>-544.28152377234892</v>
      </c>
      <c r="F13">
        <v>-2340.1729628647449</v>
      </c>
      <c r="G13">
        <v>1210.993277555348</v>
      </c>
      <c r="H13" s="1">
        <v>45657.333333333336</v>
      </c>
    </row>
    <row r="14" spans="1:8" x14ac:dyDescent="0.25">
      <c r="A14" s="7">
        <f>DATE(YEAR(m4_crossvalid[[#This Row],[cutoff]]),MONTH(m4_crossvalid[[#This Row],[cutoff]]),DAY(m4_crossvalid[[#This Row],[cutoff]]))</f>
        <v>45657</v>
      </c>
      <c r="B14" s="7">
        <f>DATE(YEAR(m4_crossvalid[[#This Row],[ds]]),MONTH(m4_crossvalid[[#This Row],[ds]]),DAY(m4_crossvalid[[#This Row],[ds]]))</f>
        <v>45670</v>
      </c>
      <c r="C14">
        <v>1313</v>
      </c>
      <c r="D14" s="1">
        <v>45670.333333333336</v>
      </c>
      <c r="E14">
        <v>1847.5484157382789</v>
      </c>
      <c r="F14">
        <v>56.757190508797777</v>
      </c>
      <c r="G14">
        <v>3506.5343617105332</v>
      </c>
      <c r="H14" s="1">
        <v>45657.333333333336</v>
      </c>
    </row>
    <row r="15" spans="1:8" x14ac:dyDescent="0.25">
      <c r="A15" s="7">
        <f>DATE(YEAR(m4_crossvalid[[#This Row],[cutoff]]),MONTH(m4_crossvalid[[#This Row],[cutoff]]),DAY(m4_crossvalid[[#This Row],[cutoff]]))</f>
        <v>45657</v>
      </c>
      <c r="B15" s="7">
        <f>DATE(YEAR(m4_crossvalid[[#This Row],[ds]]),MONTH(m4_crossvalid[[#This Row],[ds]]),DAY(m4_crossvalid[[#This Row],[ds]]))</f>
        <v>45671</v>
      </c>
      <c r="C15">
        <v>1609</v>
      </c>
      <c r="D15" s="1">
        <v>45671.333333333336</v>
      </c>
      <c r="E15">
        <v>2074.9880136626275</v>
      </c>
      <c r="F15">
        <v>380.94168746771527</v>
      </c>
      <c r="G15">
        <v>3878.1756196793817</v>
      </c>
      <c r="H15" s="1">
        <v>45657.333333333336</v>
      </c>
    </row>
    <row r="16" spans="1:8" x14ac:dyDescent="0.25">
      <c r="A16" s="7">
        <f>DATE(YEAR(m4_crossvalid[[#This Row],[cutoff]]),MONTH(m4_crossvalid[[#This Row],[cutoff]]),DAY(m4_crossvalid[[#This Row],[cutoff]]))</f>
        <v>45657</v>
      </c>
      <c r="B16" s="7">
        <f>DATE(YEAR(m4_crossvalid[[#This Row],[ds]]),MONTH(m4_crossvalid[[#This Row],[ds]]),DAY(m4_crossvalid[[#This Row],[ds]]))</f>
        <v>45672</v>
      </c>
      <c r="C16">
        <v>2010</v>
      </c>
      <c r="D16" s="1">
        <v>45672.333333333336</v>
      </c>
      <c r="E16">
        <v>2256.8341145395107</v>
      </c>
      <c r="F16">
        <v>378.43617210666423</v>
      </c>
      <c r="G16">
        <v>4101.8928349306289</v>
      </c>
      <c r="H16" s="1">
        <v>45657.333333333336</v>
      </c>
    </row>
    <row r="17" spans="1:8" x14ac:dyDescent="0.25">
      <c r="A17" s="7">
        <f>DATE(YEAR(m4_crossvalid[[#This Row],[cutoff]]),MONTH(m4_crossvalid[[#This Row],[cutoff]]),DAY(m4_crossvalid[[#This Row],[cutoff]]))</f>
        <v>45657</v>
      </c>
      <c r="B17" s="7">
        <f>DATE(YEAR(m4_crossvalid[[#This Row],[ds]]),MONTH(m4_crossvalid[[#This Row],[ds]]),DAY(m4_crossvalid[[#This Row],[ds]]))</f>
        <v>45673</v>
      </c>
      <c r="C17">
        <v>2206</v>
      </c>
      <c r="D17" s="1">
        <v>45673.333333333336</v>
      </c>
      <c r="E17">
        <v>2508.558848128439</v>
      </c>
      <c r="F17">
        <v>729.61171726735631</v>
      </c>
      <c r="G17">
        <v>4153.1693688363248</v>
      </c>
      <c r="H17" s="1">
        <v>45657.333333333336</v>
      </c>
    </row>
    <row r="18" spans="1:8" x14ac:dyDescent="0.25">
      <c r="A18" s="7">
        <f>DATE(YEAR(m4_crossvalid[[#This Row],[cutoff]]),MONTH(m4_crossvalid[[#This Row],[cutoff]]),DAY(m4_crossvalid[[#This Row],[cutoff]]))</f>
        <v>45657</v>
      </c>
      <c r="B18" s="7">
        <f>DATE(YEAR(m4_crossvalid[[#This Row],[ds]]),MONTH(m4_crossvalid[[#This Row],[ds]]),DAY(m4_crossvalid[[#This Row],[ds]]))</f>
        <v>45674</v>
      </c>
      <c r="C18">
        <v>2291</v>
      </c>
      <c r="D18" s="1">
        <v>45674.333333333336</v>
      </c>
      <c r="E18">
        <v>2534.883042171195</v>
      </c>
      <c r="F18">
        <v>764.69019903946378</v>
      </c>
      <c r="G18">
        <v>4263.4630427002512</v>
      </c>
      <c r="H18" s="1">
        <v>45657.333333333336</v>
      </c>
    </row>
    <row r="19" spans="1:8" x14ac:dyDescent="0.25">
      <c r="A19" s="7">
        <f>DATE(YEAR(m4_crossvalid[[#This Row],[cutoff]]),MONTH(m4_crossvalid[[#This Row],[cutoff]]),DAY(m4_crossvalid[[#This Row],[cutoff]]))</f>
        <v>45657</v>
      </c>
      <c r="B19" s="7">
        <f>DATE(YEAR(m4_crossvalid[[#This Row],[ds]]),MONTH(m4_crossvalid[[#This Row],[ds]]),DAY(m4_crossvalid[[#This Row],[ds]]))</f>
        <v>45675</v>
      </c>
      <c r="C19">
        <v>401</v>
      </c>
      <c r="D19" s="1">
        <v>45675.333333333336</v>
      </c>
      <c r="E19">
        <v>377.42382049502703</v>
      </c>
      <c r="F19">
        <v>-1425.2349264102331</v>
      </c>
      <c r="G19">
        <v>2123.2065116622393</v>
      </c>
      <c r="H19" s="1">
        <v>45657.333333333336</v>
      </c>
    </row>
    <row r="20" spans="1:8" x14ac:dyDescent="0.25">
      <c r="A20" s="7">
        <f>DATE(YEAR(m4_crossvalid[[#This Row],[cutoff]]),MONTH(m4_crossvalid[[#This Row],[cutoff]]),DAY(m4_crossvalid[[#This Row],[cutoff]]))</f>
        <v>45657</v>
      </c>
      <c r="B20" s="7">
        <f>DATE(YEAR(m4_crossvalid[[#This Row],[ds]]),MONTH(m4_crossvalid[[#This Row],[ds]]),DAY(m4_crossvalid[[#This Row],[ds]]))</f>
        <v>45676</v>
      </c>
      <c r="C20">
        <v>129</v>
      </c>
      <c r="D20" s="1">
        <v>45676.333333333336</v>
      </c>
      <c r="E20">
        <v>-261.84501012777173</v>
      </c>
      <c r="F20">
        <v>-2007.2523202876368</v>
      </c>
      <c r="G20">
        <v>1500.3537080426822</v>
      </c>
      <c r="H20" s="1">
        <v>45657.333333333336</v>
      </c>
    </row>
    <row r="21" spans="1:8" x14ac:dyDescent="0.25">
      <c r="A21" s="7">
        <f>DATE(YEAR(m4_crossvalid[[#This Row],[cutoff]]),MONTH(m4_crossvalid[[#This Row],[cutoff]]),DAY(m4_crossvalid[[#This Row],[cutoff]]))</f>
        <v>45657</v>
      </c>
      <c r="B21" s="7">
        <f>DATE(YEAR(m4_crossvalid[[#This Row],[ds]]),MONTH(m4_crossvalid[[#This Row],[ds]]),DAY(m4_crossvalid[[#This Row],[ds]]))</f>
        <v>45677</v>
      </c>
      <c r="C21">
        <v>2385</v>
      </c>
      <c r="D21" s="1">
        <v>45677.333333333336</v>
      </c>
      <c r="E21">
        <v>2229.4656593568461</v>
      </c>
      <c r="F21">
        <v>485.76066867238177</v>
      </c>
      <c r="G21">
        <v>4181.3115745362074</v>
      </c>
      <c r="H21" s="1">
        <v>45657.333333333336</v>
      </c>
    </row>
    <row r="22" spans="1:8" x14ac:dyDescent="0.25">
      <c r="A22" s="7">
        <f>DATE(YEAR(m4_crossvalid[[#This Row],[cutoff]]),MONTH(m4_crossvalid[[#This Row],[cutoff]]),DAY(m4_crossvalid[[#This Row],[cutoff]]))</f>
        <v>45657</v>
      </c>
      <c r="B22" s="7">
        <f>DATE(YEAR(m4_crossvalid[[#This Row],[ds]]),MONTH(m4_crossvalid[[#This Row],[ds]]),DAY(m4_crossvalid[[#This Row],[ds]]))</f>
        <v>45678</v>
      </c>
      <c r="C22">
        <v>3051</v>
      </c>
      <c r="D22" s="1">
        <v>45678.333333333336</v>
      </c>
      <c r="E22">
        <v>2818.713639636826</v>
      </c>
      <c r="F22">
        <v>1119.9906244402846</v>
      </c>
      <c r="G22">
        <v>4697.9565332361544</v>
      </c>
      <c r="H22" s="1">
        <v>45657.333333333336</v>
      </c>
    </row>
    <row r="23" spans="1:8" x14ac:dyDescent="0.25">
      <c r="A23" s="7">
        <f>DATE(YEAR(m4_crossvalid[[#This Row],[cutoff]]),MONTH(m4_crossvalid[[#This Row],[cutoff]]),DAY(m4_crossvalid[[#This Row],[cutoff]]))</f>
        <v>45657</v>
      </c>
      <c r="B23" s="7">
        <f>DATE(YEAR(m4_crossvalid[[#This Row],[ds]]),MONTH(m4_crossvalid[[#This Row],[ds]]),DAY(m4_crossvalid[[#This Row],[ds]]))</f>
        <v>45679</v>
      </c>
      <c r="C23">
        <v>2878</v>
      </c>
      <c r="D23" s="1">
        <v>45679.333333333336</v>
      </c>
      <c r="E23">
        <v>3293.2880863162295</v>
      </c>
      <c r="F23">
        <v>1429.6947046048638</v>
      </c>
      <c r="G23">
        <v>4999.7556320205958</v>
      </c>
      <c r="H23" s="1">
        <v>45657.333333333336</v>
      </c>
    </row>
    <row r="24" spans="1:8" x14ac:dyDescent="0.25">
      <c r="A24" s="7">
        <f>DATE(YEAR(m4_crossvalid[[#This Row],[cutoff]]),MONTH(m4_crossvalid[[#This Row],[cutoff]]),DAY(m4_crossvalid[[#This Row],[cutoff]]))</f>
        <v>45657</v>
      </c>
      <c r="B24" s="7">
        <f>DATE(YEAR(m4_crossvalid[[#This Row],[ds]]),MONTH(m4_crossvalid[[#This Row],[ds]]),DAY(m4_crossvalid[[#This Row],[ds]]))</f>
        <v>45680</v>
      </c>
      <c r="C24">
        <v>4853</v>
      </c>
      <c r="D24" s="1">
        <v>45680.333333333336</v>
      </c>
      <c r="E24">
        <v>3510.1598558664027</v>
      </c>
      <c r="F24">
        <v>1752.612170229957</v>
      </c>
      <c r="G24">
        <v>5270.2471100125076</v>
      </c>
      <c r="H24" s="1">
        <v>45657.333333333336</v>
      </c>
    </row>
    <row r="25" spans="1:8" x14ac:dyDescent="0.25">
      <c r="A25" s="7">
        <f>DATE(YEAR(m4_crossvalid[[#This Row],[cutoff]]),MONTH(m4_crossvalid[[#This Row],[cutoff]]),DAY(m4_crossvalid[[#This Row],[cutoff]]))</f>
        <v>45657</v>
      </c>
      <c r="B25" s="7">
        <f>DATE(YEAR(m4_crossvalid[[#This Row],[ds]]),MONTH(m4_crossvalid[[#This Row],[ds]]),DAY(m4_crossvalid[[#This Row],[ds]]))</f>
        <v>45681</v>
      </c>
      <c r="C25">
        <v>5202</v>
      </c>
      <c r="D25" s="1">
        <v>45681.333333333336</v>
      </c>
      <c r="E25">
        <v>3287.6770221076454</v>
      </c>
      <c r="F25">
        <v>1530.8764337203888</v>
      </c>
      <c r="G25">
        <v>4983.3158612209227</v>
      </c>
      <c r="H25" s="1">
        <v>45657.333333333336</v>
      </c>
    </row>
    <row r="26" spans="1:8" x14ac:dyDescent="0.25">
      <c r="A26" s="7">
        <f>DATE(YEAR(m4_crossvalid[[#This Row],[cutoff]]),MONTH(m4_crossvalid[[#This Row],[cutoff]]),DAY(m4_crossvalid[[#This Row],[cutoff]]))</f>
        <v>45657</v>
      </c>
      <c r="B26" s="7">
        <f>DATE(YEAR(m4_crossvalid[[#This Row],[ds]]),MONTH(m4_crossvalid[[#This Row],[ds]]),DAY(m4_crossvalid[[#This Row],[ds]]))</f>
        <v>45682</v>
      </c>
      <c r="C26">
        <v>1624</v>
      </c>
      <c r="D26" s="1">
        <v>45682.333333333336</v>
      </c>
      <c r="E26">
        <v>1098.0994829402509</v>
      </c>
      <c r="F26">
        <v>-722.54408649000175</v>
      </c>
      <c r="G26">
        <v>2939.9726607597213</v>
      </c>
      <c r="H26" s="1">
        <v>45657.333333333336</v>
      </c>
    </row>
    <row r="27" spans="1:8" x14ac:dyDescent="0.25">
      <c r="A27" s="7">
        <f>DATE(YEAR(m4_crossvalid[[#This Row],[cutoff]]),MONTH(m4_crossvalid[[#This Row],[cutoff]]),DAY(m4_crossvalid[[#This Row],[cutoff]]))</f>
        <v>45657</v>
      </c>
      <c r="B27" s="7">
        <f>DATE(YEAR(m4_crossvalid[[#This Row],[ds]]),MONTH(m4_crossvalid[[#This Row],[ds]]),DAY(m4_crossvalid[[#This Row],[ds]]))</f>
        <v>45683</v>
      </c>
      <c r="C27">
        <v>454</v>
      </c>
      <c r="D27" s="1">
        <v>45683.333333333336</v>
      </c>
      <c r="E27">
        <v>1007.4269084549223</v>
      </c>
      <c r="F27">
        <v>-943.4847754669205</v>
      </c>
      <c r="G27">
        <v>2750.3788386607648</v>
      </c>
      <c r="H27" s="1">
        <v>45657.333333333336</v>
      </c>
    </row>
    <row r="28" spans="1:8" x14ac:dyDescent="0.25">
      <c r="A28" s="7">
        <f>DATE(YEAR(m4_crossvalid[[#This Row],[cutoff]]),MONTH(m4_crossvalid[[#This Row],[cutoff]]),DAY(m4_crossvalid[[#This Row],[cutoff]]))</f>
        <v>45657</v>
      </c>
      <c r="B28" s="7">
        <f>DATE(YEAR(m4_crossvalid[[#This Row],[ds]]),MONTH(m4_crossvalid[[#This Row],[ds]]),DAY(m4_crossvalid[[#This Row],[ds]]))</f>
        <v>45684</v>
      </c>
      <c r="C28">
        <v>5598</v>
      </c>
      <c r="D28" s="1">
        <v>45684.333333333336</v>
      </c>
      <c r="E28">
        <v>4552.0438564036958</v>
      </c>
      <c r="F28">
        <v>2806.3896232474854</v>
      </c>
      <c r="G28">
        <v>6334.1190731777915</v>
      </c>
      <c r="H28" s="1">
        <v>45657.333333333336</v>
      </c>
    </row>
    <row r="29" spans="1:8" x14ac:dyDescent="0.25">
      <c r="A29" s="7">
        <f>DATE(YEAR(m4_crossvalid[[#This Row],[cutoff]]),MONTH(m4_crossvalid[[#This Row],[cutoff]]),DAY(m4_crossvalid[[#This Row],[cutoff]]))</f>
        <v>45657</v>
      </c>
      <c r="B29" s="7">
        <f>DATE(YEAR(m4_crossvalid[[#This Row],[ds]]),MONTH(m4_crossvalid[[#This Row],[ds]]),DAY(m4_crossvalid[[#This Row],[ds]]))</f>
        <v>45685</v>
      </c>
      <c r="C29">
        <v>5264</v>
      </c>
      <c r="D29" s="1">
        <v>45685.333333333336</v>
      </c>
      <c r="E29">
        <v>6159.4873483362826</v>
      </c>
      <c r="F29">
        <v>4507.1069081849946</v>
      </c>
      <c r="G29">
        <v>7818.6462806579711</v>
      </c>
      <c r="H29" s="1">
        <v>45657.333333333336</v>
      </c>
    </row>
    <row r="30" spans="1:8" x14ac:dyDescent="0.25">
      <c r="A30" s="7">
        <f>DATE(YEAR(m4_crossvalid[[#This Row],[cutoff]]),MONTH(m4_crossvalid[[#This Row],[cutoff]]),DAY(m4_crossvalid[[#This Row],[cutoff]]))</f>
        <v>45657</v>
      </c>
      <c r="B30" s="7">
        <f>DATE(YEAR(m4_crossvalid[[#This Row],[ds]]),MONTH(m4_crossvalid[[#This Row],[ds]]),DAY(m4_crossvalid[[#This Row],[ds]]))</f>
        <v>45686</v>
      </c>
      <c r="C30">
        <v>310</v>
      </c>
      <c r="D30" s="1">
        <v>45686.333333333336</v>
      </c>
      <c r="E30">
        <v>5775.9220566995509</v>
      </c>
      <c r="F30">
        <v>4002.574850901548</v>
      </c>
      <c r="G30">
        <v>7560.6055964935158</v>
      </c>
      <c r="H30" s="1">
        <v>45657.333333333336</v>
      </c>
    </row>
    <row r="31" spans="1:8" x14ac:dyDescent="0.25">
      <c r="A31" s="7">
        <f>DATE(YEAR(m4_crossvalid[[#This Row],[cutoff]]),MONTH(m4_crossvalid[[#This Row],[cutoff]]),DAY(m4_crossvalid[[#This Row],[cutoff]]))</f>
        <v>45657</v>
      </c>
      <c r="B31" s="7">
        <f>DATE(YEAR(m4_crossvalid[[#This Row],[ds]]),MONTH(m4_crossvalid[[#This Row],[ds]]),DAY(m4_crossvalid[[#This Row],[ds]]))</f>
        <v>45687</v>
      </c>
      <c r="C31">
        <v>255</v>
      </c>
      <c r="D31" s="1">
        <v>45687.333333333336</v>
      </c>
      <c r="E31">
        <v>5320.7610128399938</v>
      </c>
      <c r="F31">
        <v>3584.3589629293388</v>
      </c>
      <c r="G31">
        <v>7052.5361951580662</v>
      </c>
      <c r="H31" s="1">
        <v>45657.333333333336</v>
      </c>
    </row>
    <row r="32" spans="1:8" x14ac:dyDescent="0.25">
      <c r="A32" s="7">
        <f>DATE(YEAR(m4_crossvalid[[#This Row],[cutoff]]),MONTH(m4_crossvalid[[#This Row],[cutoff]]),DAY(m4_crossvalid[[#This Row],[cutoff]]))</f>
        <v>45657</v>
      </c>
      <c r="B32" s="7">
        <f>DATE(YEAR(m4_crossvalid[[#This Row],[ds]]),MONTH(m4_crossvalid[[#This Row],[ds]]),DAY(m4_crossvalid[[#This Row],[ds]]))</f>
        <v>45688</v>
      </c>
      <c r="C32">
        <v>6041</v>
      </c>
      <c r="D32" s="1">
        <v>45688.333333333336</v>
      </c>
      <c r="E32">
        <v>4779.7743344835553</v>
      </c>
      <c r="F32">
        <v>3097.9599992306307</v>
      </c>
      <c r="G32">
        <v>6583.3674955380575</v>
      </c>
      <c r="H32" s="1">
        <v>45657.333333333336</v>
      </c>
    </row>
    <row r="33" spans="1:8" x14ac:dyDescent="0.25">
      <c r="A33" s="7">
        <f>DATE(YEAR(m4_crossvalid[[#This Row],[cutoff]]),MONTH(m4_crossvalid[[#This Row],[cutoff]]),DAY(m4_crossvalid[[#This Row],[cutoff]]))</f>
        <v>45688</v>
      </c>
      <c r="B33" s="7">
        <f>DATE(YEAR(m4_crossvalid[[#This Row],[ds]]),MONTH(m4_crossvalid[[#This Row],[ds]]),DAY(m4_crossvalid[[#This Row],[ds]]))</f>
        <v>45689</v>
      </c>
      <c r="C33">
        <v>47</v>
      </c>
      <c r="D33" s="1">
        <v>45689.333333333336</v>
      </c>
      <c r="E33">
        <v>-931.47939666300363</v>
      </c>
      <c r="F33">
        <v>-2663.2275157474469</v>
      </c>
      <c r="G33">
        <v>706.27215964170932</v>
      </c>
      <c r="H33" s="1">
        <v>45688.333333333336</v>
      </c>
    </row>
    <row r="34" spans="1:8" x14ac:dyDescent="0.25">
      <c r="A34" s="7">
        <f>DATE(YEAR(m4_crossvalid[[#This Row],[cutoff]]),MONTH(m4_crossvalid[[#This Row],[cutoff]]),DAY(m4_crossvalid[[#This Row],[cutoff]]))</f>
        <v>45688</v>
      </c>
      <c r="B34" s="7">
        <f>DATE(YEAR(m4_crossvalid[[#This Row],[ds]]),MONTH(m4_crossvalid[[#This Row],[ds]]),DAY(m4_crossvalid[[#This Row],[ds]]))</f>
        <v>45690</v>
      </c>
      <c r="C34">
        <v>14</v>
      </c>
      <c r="D34" s="1">
        <v>45690.333333333336</v>
      </c>
      <c r="E34">
        <v>-1201.4289866100403</v>
      </c>
      <c r="F34">
        <v>-3066.6002625405881</v>
      </c>
      <c r="G34">
        <v>458.89991641898501</v>
      </c>
      <c r="H34" s="1">
        <v>45688.333333333336</v>
      </c>
    </row>
    <row r="35" spans="1:8" x14ac:dyDescent="0.25">
      <c r="A35" s="7">
        <f>DATE(YEAR(m4_crossvalid[[#This Row],[cutoff]]),MONTH(m4_crossvalid[[#This Row],[cutoff]]),DAY(m4_crossvalid[[#This Row],[cutoff]]))</f>
        <v>45688</v>
      </c>
      <c r="B35" s="7">
        <f>DATE(YEAR(m4_crossvalid[[#This Row],[ds]]),MONTH(m4_crossvalid[[#This Row],[ds]]),DAY(m4_crossvalid[[#This Row],[ds]]))</f>
        <v>45691</v>
      </c>
      <c r="C35">
        <v>454</v>
      </c>
      <c r="D35" s="1">
        <v>45691.333333333336</v>
      </c>
      <c r="E35">
        <v>903.87800239071339</v>
      </c>
      <c r="F35">
        <v>-874.53279516330133</v>
      </c>
      <c r="G35">
        <v>2618.6083410676615</v>
      </c>
      <c r="H35" s="1">
        <v>45688.333333333336</v>
      </c>
    </row>
    <row r="36" spans="1:8" x14ac:dyDescent="0.25">
      <c r="A36" s="7">
        <f>DATE(YEAR(m4_crossvalid[[#This Row],[cutoff]]),MONTH(m4_crossvalid[[#This Row],[cutoff]]),DAY(m4_crossvalid[[#This Row],[cutoff]]))</f>
        <v>45688</v>
      </c>
      <c r="B36" s="7">
        <f>DATE(YEAR(m4_crossvalid[[#This Row],[ds]]),MONTH(m4_crossvalid[[#This Row],[ds]]),DAY(m4_crossvalid[[#This Row],[ds]]))</f>
        <v>45692</v>
      </c>
      <c r="C36">
        <v>626</v>
      </c>
      <c r="D36" s="1">
        <v>45692.333333333336</v>
      </c>
      <c r="E36">
        <v>1544.9412168062654</v>
      </c>
      <c r="F36">
        <v>-172.90276420818711</v>
      </c>
      <c r="G36">
        <v>3169.0838246036333</v>
      </c>
      <c r="H36" s="1">
        <v>45688.333333333336</v>
      </c>
    </row>
    <row r="37" spans="1:8" x14ac:dyDescent="0.25">
      <c r="A37" s="7">
        <f>DATE(YEAR(m4_crossvalid[[#This Row],[cutoff]]),MONTH(m4_crossvalid[[#This Row],[cutoff]]),DAY(m4_crossvalid[[#This Row],[cutoff]]))</f>
        <v>45688</v>
      </c>
      <c r="B37" s="7">
        <f>DATE(YEAR(m4_crossvalid[[#This Row],[ds]]),MONTH(m4_crossvalid[[#This Row],[ds]]),DAY(m4_crossvalid[[#This Row],[ds]]))</f>
        <v>45693</v>
      </c>
      <c r="C37">
        <v>886</v>
      </c>
      <c r="D37" s="1">
        <v>45693.333333333336</v>
      </c>
      <c r="E37">
        <v>2017.7232291044456</v>
      </c>
      <c r="F37">
        <v>242.96882804986436</v>
      </c>
      <c r="G37">
        <v>3805.1700132600063</v>
      </c>
      <c r="H37" s="1">
        <v>45688.333333333336</v>
      </c>
    </row>
    <row r="38" spans="1:8" x14ac:dyDescent="0.25">
      <c r="A38" s="7">
        <f>DATE(YEAR(m4_crossvalid[[#This Row],[cutoff]]),MONTH(m4_crossvalid[[#This Row],[cutoff]]),DAY(m4_crossvalid[[#This Row],[cutoff]]))</f>
        <v>45688</v>
      </c>
      <c r="B38" s="7">
        <f>DATE(YEAR(m4_crossvalid[[#This Row],[ds]]),MONTH(m4_crossvalid[[#This Row],[ds]]),DAY(m4_crossvalid[[#This Row],[ds]]))</f>
        <v>45694</v>
      </c>
      <c r="C38">
        <v>1159</v>
      </c>
      <c r="D38" s="1">
        <v>45694.333333333336</v>
      </c>
      <c r="E38">
        <v>2137.1984257613426</v>
      </c>
      <c r="F38">
        <v>336.73327226015334</v>
      </c>
      <c r="G38">
        <v>3880.9782155312646</v>
      </c>
      <c r="H38" s="1">
        <v>45688.333333333336</v>
      </c>
    </row>
    <row r="39" spans="1:8" x14ac:dyDescent="0.25">
      <c r="A39" s="7">
        <f>DATE(YEAR(m4_crossvalid[[#This Row],[cutoff]]),MONTH(m4_crossvalid[[#This Row],[cutoff]]),DAY(m4_crossvalid[[#This Row],[cutoff]]))</f>
        <v>45688</v>
      </c>
      <c r="B39" s="7">
        <f>DATE(YEAR(m4_crossvalid[[#This Row],[ds]]),MONTH(m4_crossvalid[[#This Row],[ds]]),DAY(m4_crossvalid[[#This Row],[ds]]))</f>
        <v>45695</v>
      </c>
      <c r="C39">
        <v>1342</v>
      </c>
      <c r="D39" s="1">
        <v>45695.333333333336</v>
      </c>
      <c r="E39">
        <v>1842.77690277069</v>
      </c>
      <c r="F39">
        <v>133.46037280973312</v>
      </c>
      <c r="G39">
        <v>3624.5485044811235</v>
      </c>
      <c r="H39" s="1">
        <v>45688.333333333336</v>
      </c>
    </row>
    <row r="40" spans="1:8" x14ac:dyDescent="0.25">
      <c r="A40" s="7">
        <f>DATE(YEAR(m4_crossvalid[[#This Row],[cutoff]]),MONTH(m4_crossvalid[[#This Row],[cutoff]]),DAY(m4_crossvalid[[#This Row],[cutoff]]))</f>
        <v>45688</v>
      </c>
      <c r="B40" s="7">
        <f>DATE(YEAR(m4_crossvalid[[#This Row],[ds]]),MONTH(m4_crossvalid[[#This Row],[ds]]),DAY(m4_crossvalid[[#This Row],[ds]]))</f>
        <v>45696</v>
      </c>
      <c r="C40">
        <v>301</v>
      </c>
      <c r="D40" s="1">
        <v>45696.333333333336</v>
      </c>
      <c r="E40">
        <v>-405.23058024719376</v>
      </c>
      <c r="F40">
        <v>-2315.0191990991507</v>
      </c>
      <c r="G40">
        <v>1395.1430652613099</v>
      </c>
      <c r="H40" s="1">
        <v>45688.333333333336</v>
      </c>
    </row>
    <row r="41" spans="1:8" x14ac:dyDescent="0.25">
      <c r="A41" s="7">
        <f>DATE(YEAR(m4_crossvalid[[#This Row],[cutoff]]),MONTH(m4_crossvalid[[#This Row],[cutoff]]),DAY(m4_crossvalid[[#This Row],[cutoff]]))</f>
        <v>45688</v>
      </c>
      <c r="B41" s="7">
        <f>DATE(YEAR(m4_crossvalid[[#This Row],[ds]]),MONTH(m4_crossvalid[[#This Row],[ds]]),DAY(m4_crossvalid[[#This Row],[ds]]))</f>
        <v>45697</v>
      </c>
      <c r="C41">
        <v>54</v>
      </c>
      <c r="D41" s="1">
        <v>45697.333333333336</v>
      </c>
      <c r="E41">
        <v>-747.35774426908438</v>
      </c>
      <c r="F41">
        <v>-2537.0341052471936</v>
      </c>
      <c r="G41">
        <v>1010.1144448788492</v>
      </c>
      <c r="H41" s="1">
        <v>45688.333333333336</v>
      </c>
    </row>
    <row r="42" spans="1:8" x14ac:dyDescent="0.25">
      <c r="A42" s="7">
        <f>DATE(YEAR(m4_crossvalid[[#This Row],[cutoff]]),MONTH(m4_crossvalid[[#This Row],[cutoff]]),DAY(m4_crossvalid[[#This Row],[cutoff]]))</f>
        <v>45688</v>
      </c>
      <c r="B42" s="7">
        <f>DATE(YEAR(m4_crossvalid[[#This Row],[ds]]),MONTH(m4_crossvalid[[#This Row],[ds]]),DAY(m4_crossvalid[[#This Row],[ds]]))</f>
        <v>45698</v>
      </c>
      <c r="C42">
        <v>1577</v>
      </c>
      <c r="D42" s="1">
        <v>45698.333333333336</v>
      </c>
      <c r="E42">
        <v>2085.1068667084292</v>
      </c>
      <c r="F42">
        <v>288.97538309696421</v>
      </c>
      <c r="G42">
        <v>3932.9653189741957</v>
      </c>
      <c r="H42" s="1">
        <v>45688.333333333336</v>
      </c>
    </row>
    <row r="43" spans="1:8" x14ac:dyDescent="0.25">
      <c r="A43" s="7">
        <f>DATE(YEAR(m4_crossvalid[[#This Row],[cutoff]]),MONTH(m4_crossvalid[[#This Row],[cutoff]]),DAY(m4_crossvalid[[#This Row],[cutoff]]))</f>
        <v>45688</v>
      </c>
      <c r="B43" s="7">
        <f>DATE(YEAR(m4_crossvalid[[#This Row],[ds]]),MONTH(m4_crossvalid[[#This Row],[ds]]),DAY(m4_crossvalid[[#This Row],[ds]]))</f>
        <v>45699</v>
      </c>
      <c r="C43">
        <v>555</v>
      </c>
      <c r="D43" s="1">
        <v>45699.333333333336</v>
      </c>
      <c r="E43">
        <v>1035.2427874218386</v>
      </c>
      <c r="F43">
        <v>-753.4981312617025</v>
      </c>
      <c r="G43">
        <v>2915.1567811501518</v>
      </c>
      <c r="H43" s="1">
        <v>45688.333333333336</v>
      </c>
    </row>
    <row r="44" spans="1:8" x14ac:dyDescent="0.25">
      <c r="A44" s="7">
        <f>DATE(YEAR(m4_crossvalid[[#This Row],[cutoff]]),MONTH(m4_crossvalid[[#This Row],[cutoff]]),DAY(m4_crossvalid[[#This Row],[cutoff]]))</f>
        <v>45688</v>
      </c>
      <c r="B44" s="7">
        <f>DATE(YEAR(m4_crossvalid[[#This Row],[ds]]),MONTH(m4_crossvalid[[#This Row],[ds]]),DAY(m4_crossvalid[[#This Row],[ds]]))</f>
        <v>45700</v>
      </c>
      <c r="C44">
        <v>1823</v>
      </c>
      <c r="D44" s="1">
        <v>45700.333333333336</v>
      </c>
      <c r="E44">
        <v>2628.7440930482885</v>
      </c>
      <c r="F44">
        <v>987.78825080861668</v>
      </c>
      <c r="G44">
        <v>4370.4675650992021</v>
      </c>
      <c r="H44" s="1">
        <v>45688.333333333336</v>
      </c>
    </row>
    <row r="45" spans="1:8" x14ac:dyDescent="0.25">
      <c r="A45" s="7">
        <f>DATE(YEAR(m4_crossvalid[[#This Row],[cutoff]]),MONTH(m4_crossvalid[[#This Row],[cutoff]]),DAY(m4_crossvalid[[#This Row],[cutoff]]))</f>
        <v>45688</v>
      </c>
      <c r="B45" s="7">
        <f>DATE(YEAR(m4_crossvalid[[#This Row],[ds]]),MONTH(m4_crossvalid[[#This Row],[ds]]),DAY(m4_crossvalid[[#This Row],[ds]]))</f>
        <v>45701</v>
      </c>
      <c r="C45">
        <v>2210</v>
      </c>
      <c r="D45" s="1">
        <v>45701.333333333336</v>
      </c>
      <c r="E45">
        <v>2461.9632646974619</v>
      </c>
      <c r="F45">
        <v>747.15615106281416</v>
      </c>
      <c r="G45">
        <v>4233.1306059494755</v>
      </c>
      <c r="H45" s="1">
        <v>45688.333333333336</v>
      </c>
    </row>
    <row r="46" spans="1:8" x14ac:dyDescent="0.25">
      <c r="A46" s="7">
        <f>DATE(YEAR(m4_crossvalid[[#This Row],[cutoff]]),MONTH(m4_crossvalid[[#This Row],[cutoff]]),DAY(m4_crossvalid[[#This Row],[cutoff]]))</f>
        <v>45688</v>
      </c>
      <c r="B46" s="7">
        <f>DATE(YEAR(m4_crossvalid[[#This Row],[ds]]),MONTH(m4_crossvalid[[#This Row],[ds]]),DAY(m4_crossvalid[[#This Row],[ds]]))</f>
        <v>45702</v>
      </c>
      <c r="C46">
        <v>2308</v>
      </c>
      <c r="D46" s="1">
        <v>45702.333333333336</v>
      </c>
      <c r="E46">
        <v>2294.0009610870416</v>
      </c>
      <c r="F46">
        <v>573.62032087047533</v>
      </c>
      <c r="G46">
        <v>4076.1080281390787</v>
      </c>
      <c r="H46" s="1">
        <v>45688.333333333336</v>
      </c>
    </row>
    <row r="47" spans="1:8" x14ac:dyDescent="0.25">
      <c r="A47" s="7">
        <f>DATE(YEAR(m4_crossvalid[[#This Row],[cutoff]]),MONTH(m4_crossvalid[[#This Row],[cutoff]]),DAY(m4_crossvalid[[#This Row],[cutoff]]))</f>
        <v>45688</v>
      </c>
      <c r="B47" s="7">
        <f>DATE(YEAR(m4_crossvalid[[#This Row],[ds]]),MONTH(m4_crossvalid[[#This Row],[ds]]),DAY(m4_crossvalid[[#This Row],[ds]]))</f>
        <v>45703</v>
      </c>
      <c r="C47">
        <v>485</v>
      </c>
      <c r="D47" s="1">
        <v>45703.333333333336</v>
      </c>
      <c r="E47">
        <v>364.13423439734834</v>
      </c>
      <c r="F47">
        <v>-1376.8710217510261</v>
      </c>
      <c r="G47">
        <v>2194.5262658187917</v>
      </c>
      <c r="H47" s="1">
        <v>45688.333333333336</v>
      </c>
    </row>
    <row r="48" spans="1:8" x14ac:dyDescent="0.25">
      <c r="A48" s="7">
        <f>DATE(YEAR(m4_crossvalid[[#This Row],[cutoff]]),MONTH(m4_crossvalid[[#This Row],[cutoff]]),DAY(m4_crossvalid[[#This Row],[cutoff]]))</f>
        <v>45688</v>
      </c>
      <c r="B48" s="7">
        <f>DATE(YEAR(m4_crossvalid[[#This Row],[ds]]),MONTH(m4_crossvalid[[#This Row],[ds]]),DAY(m4_crossvalid[[#This Row],[ds]]))</f>
        <v>45704</v>
      </c>
      <c r="C48">
        <v>118</v>
      </c>
      <c r="D48" s="1">
        <v>45704.333333333336</v>
      </c>
      <c r="E48">
        <v>144.08960610755275</v>
      </c>
      <c r="F48">
        <v>-1595.9810177955192</v>
      </c>
      <c r="G48">
        <v>1884.5106597681975</v>
      </c>
      <c r="H48" s="1">
        <v>45688.333333333336</v>
      </c>
    </row>
    <row r="49" spans="1:8" x14ac:dyDescent="0.25">
      <c r="A49" s="7">
        <f>DATE(YEAR(m4_crossvalid[[#This Row],[cutoff]]),MONTH(m4_crossvalid[[#This Row],[cutoff]]),DAY(m4_crossvalid[[#This Row],[cutoff]]))</f>
        <v>45688</v>
      </c>
      <c r="B49" s="7">
        <f>DATE(YEAR(m4_crossvalid[[#This Row],[ds]]),MONTH(m4_crossvalid[[#This Row],[ds]]),DAY(m4_crossvalid[[#This Row],[ds]]))</f>
        <v>45705</v>
      </c>
      <c r="C49">
        <v>2482</v>
      </c>
      <c r="D49" s="1">
        <v>45705.333333333336</v>
      </c>
      <c r="E49">
        <v>2748.9891968733923</v>
      </c>
      <c r="F49">
        <v>978.29298342201673</v>
      </c>
      <c r="G49">
        <v>4492.9627768881264</v>
      </c>
      <c r="H49" s="1">
        <v>45688.333333333336</v>
      </c>
    </row>
    <row r="50" spans="1:8" x14ac:dyDescent="0.25">
      <c r="A50" s="7">
        <f>DATE(YEAR(m4_crossvalid[[#This Row],[cutoff]]),MONTH(m4_crossvalid[[#This Row],[cutoff]]),DAY(m4_crossvalid[[#This Row],[cutoff]]))</f>
        <v>45688</v>
      </c>
      <c r="B50" s="7">
        <f>DATE(YEAR(m4_crossvalid[[#This Row],[ds]]),MONTH(m4_crossvalid[[#This Row],[ds]]),DAY(m4_crossvalid[[#This Row],[ds]]))</f>
        <v>45706</v>
      </c>
      <c r="C50">
        <v>2913</v>
      </c>
      <c r="D50" s="1">
        <v>45706.333333333336</v>
      </c>
      <c r="E50">
        <v>2936.3773993255259</v>
      </c>
      <c r="F50">
        <v>1234.1514269118877</v>
      </c>
      <c r="G50">
        <v>4833.6532452089205</v>
      </c>
      <c r="H50" s="1">
        <v>45688.333333333336</v>
      </c>
    </row>
    <row r="51" spans="1:8" x14ac:dyDescent="0.25">
      <c r="A51" s="7">
        <f>DATE(YEAR(m4_crossvalid[[#This Row],[cutoff]]),MONTH(m4_crossvalid[[#This Row],[cutoff]]),DAY(m4_crossvalid[[#This Row],[cutoff]]))</f>
        <v>45688</v>
      </c>
      <c r="B51" s="7">
        <f>DATE(YEAR(m4_crossvalid[[#This Row],[ds]]),MONTH(m4_crossvalid[[#This Row],[ds]]),DAY(m4_crossvalid[[#This Row],[ds]]))</f>
        <v>45707</v>
      </c>
      <c r="C51">
        <v>3106</v>
      </c>
      <c r="D51" s="1">
        <v>45707.333333333336</v>
      </c>
      <c r="E51">
        <v>2815.9719687115439</v>
      </c>
      <c r="F51">
        <v>984.28194146130977</v>
      </c>
      <c r="G51">
        <v>4462.8250150125159</v>
      </c>
      <c r="H51" s="1">
        <v>45688.333333333336</v>
      </c>
    </row>
    <row r="52" spans="1:8" x14ac:dyDescent="0.25">
      <c r="A52" s="7">
        <f>DATE(YEAR(m4_crossvalid[[#This Row],[cutoff]]),MONTH(m4_crossvalid[[#This Row],[cutoff]]),DAY(m4_crossvalid[[#This Row],[cutoff]]))</f>
        <v>45688</v>
      </c>
      <c r="B52" s="7">
        <f>DATE(YEAR(m4_crossvalid[[#This Row],[ds]]),MONTH(m4_crossvalid[[#This Row],[ds]]),DAY(m4_crossvalid[[#This Row],[ds]]))</f>
        <v>45708</v>
      </c>
      <c r="C52">
        <v>3104</v>
      </c>
      <c r="D52" s="1">
        <v>45708.333333333336</v>
      </c>
      <c r="E52">
        <v>2889.357528984774</v>
      </c>
      <c r="F52">
        <v>1123.1281300031958</v>
      </c>
      <c r="G52">
        <v>4744.776584413753</v>
      </c>
      <c r="H52" s="1">
        <v>45688.333333333336</v>
      </c>
    </row>
    <row r="53" spans="1:8" x14ac:dyDescent="0.25">
      <c r="A53" s="7">
        <f>DATE(YEAR(m4_crossvalid[[#This Row],[cutoff]]),MONTH(m4_crossvalid[[#This Row],[cutoff]]),DAY(m4_crossvalid[[#This Row],[cutoff]]))</f>
        <v>45688</v>
      </c>
      <c r="B53" s="7">
        <f>DATE(YEAR(m4_crossvalid[[#This Row],[ds]]),MONTH(m4_crossvalid[[#This Row],[ds]]),DAY(m4_crossvalid[[#This Row],[ds]]))</f>
        <v>45709</v>
      </c>
      <c r="C53">
        <v>3309</v>
      </c>
      <c r="D53" s="1">
        <v>45709.333333333336</v>
      </c>
      <c r="E53">
        <v>3087.5353737142896</v>
      </c>
      <c r="F53">
        <v>1203.2649629001482</v>
      </c>
      <c r="G53">
        <v>4847.936675349446</v>
      </c>
      <c r="H53" s="1">
        <v>45688.333333333336</v>
      </c>
    </row>
    <row r="54" spans="1:8" x14ac:dyDescent="0.25">
      <c r="A54" s="7">
        <f>DATE(YEAR(m4_crossvalid[[#This Row],[cutoff]]),MONTH(m4_crossvalid[[#This Row],[cutoff]]),DAY(m4_crossvalid[[#This Row],[cutoff]]))</f>
        <v>45688</v>
      </c>
      <c r="B54" s="7">
        <f>DATE(YEAR(m4_crossvalid[[#This Row],[ds]]),MONTH(m4_crossvalid[[#This Row],[ds]]),DAY(m4_crossvalid[[#This Row],[ds]]))</f>
        <v>45710</v>
      </c>
      <c r="C54">
        <v>732</v>
      </c>
      <c r="D54" s="1">
        <v>45710.333333333336</v>
      </c>
      <c r="E54">
        <v>1290.7584838161627</v>
      </c>
      <c r="F54">
        <v>-555.22992021097673</v>
      </c>
      <c r="G54">
        <v>3058.9843320545233</v>
      </c>
      <c r="H54" s="1">
        <v>45688.333333333336</v>
      </c>
    </row>
    <row r="55" spans="1:8" x14ac:dyDescent="0.25">
      <c r="A55" s="7">
        <f>DATE(YEAR(m4_crossvalid[[#This Row],[cutoff]]),MONTH(m4_crossvalid[[#This Row],[cutoff]]),DAY(m4_crossvalid[[#This Row],[cutoff]]))</f>
        <v>45688</v>
      </c>
      <c r="B55" s="7">
        <f>DATE(YEAR(m4_crossvalid[[#This Row],[ds]]),MONTH(m4_crossvalid[[#This Row],[ds]]),DAY(m4_crossvalid[[#This Row],[ds]]))</f>
        <v>45711</v>
      </c>
      <c r="C55">
        <v>202</v>
      </c>
      <c r="D55" s="1">
        <v>45711.333333333336</v>
      </c>
      <c r="E55">
        <v>871.83610983033122</v>
      </c>
      <c r="F55">
        <v>-797.13814878118421</v>
      </c>
      <c r="G55">
        <v>2628.6976503597225</v>
      </c>
      <c r="H55" s="1">
        <v>45688.333333333336</v>
      </c>
    </row>
    <row r="56" spans="1:8" x14ac:dyDescent="0.25">
      <c r="A56" s="7">
        <f>DATE(YEAR(m4_crossvalid[[#This Row],[cutoff]]),MONTH(m4_crossvalid[[#This Row],[cutoff]]),DAY(m4_crossvalid[[#This Row],[cutoff]]))</f>
        <v>45688</v>
      </c>
      <c r="B56" s="7">
        <f>DATE(YEAR(m4_crossvalid[[#This Row],[ds]]),MONTH(m4_crossvalid[[#This Row],[ds]]),DAY(m4_crossvalid[[#This Row],[ds]]))</f>
        <v>45712</v>
      </c>
      <c r="C56">
        <v>3545</v>
      </c>
      <c r="D56" s="1">
        <v>45712.333333333336</v>
      </c>
      <c r="E56">
        <v>3253.1678085824665</v>
      </c>
      <c r="F56">
        <v>1525.7229749337971</v>
      </c>
      <c r="G56">
        <v>4945.9937254067008</v>
      </c>
      <c r="H56" s="1">
        <v>45688.333333333336</v>
      </c>
    </row>
    <row r="57" spans="1:8" x14ac:dyDescent="0.25">
      <c r="A57" s="7">
        <f>DATE(YEAR(m4_crossvalid[[#This Row],[cutoff]]),MONTH(m4_crossvalid[[#This Row],[cutoff]]),DAY(m4_crossvalid[[#This Row],[cutoff]]))</f>
        <v>45688</v>
      </c>
      <c r="B57" s="7">
        <f>DATE(YEAR(m4_crossvalid[[#This Row],[ds]]),MONTH(m4_crossvalid[[#This Row],[ds]]),DAY(m4_crossvalid[[#This Row],[ds]]))</f>
        <v>45713</v>
      </c>
      <c r="C57">
        <v>4868</v>
      </c>
      <c r="D57" s="1">
        <v>45713.333333333336</v>
      </c>
      <c r="E57">
        <v>3652.6456024352974</v>
      </c>
      <c r="F57">
        <v>1930.8137721278711</v>
      </c>
      <c r="G57">
        <v>5571.5298543673207</v>
      </c>
      <c r="H57" s="1">
        <v>45688.333333333336</v>
      </c>
    </row>
    <row r="58" spans="1:8" x14ac:dyDescent="0.25">
      <c r="A58" s="7">
        <f>DATE(YEAR(m4_crossvalid[[#This Row],[cutoff]]),MONTH(m4_crossvalid[[#This Row],[cutoff]]),DAY(m4_crossvalid[[#This Row],[cutoff]]))</f>
        <v>45688</v>
      </c>
      <c r="B58" s="7">
        <f>DATE(YEAR(m4_crossvalid[[#This Row],[ds]]),MONTH(m4_crossvalid[[#This Row],[ds]]),DAY(m4_crossvalid[[#This Row],[ds]]))</f>
        <v>45714</v>
      </c>
      <c r="C58">
        <v>6187</v>
      </c>
      <c r="D58" s="1">
        <v>45714.333333333336</v>
      </c>
      <c r="E58">
        <v>4355.6684705904208</v>
      </c>
      <c r="F58">
        <v>2567.6278476915754</v>
      </c>
      <c r="G58">
        <v>6148.8466541916514</v>
      </c>
      <c r="H58" s="1">
        <v>45688.333333333336</v>
      </c>
    </row>
    <row r="59" spans="1:8" x14ac:dyDescent="0.25">
      <c r="A59" s="7">
        <f>DATE(YEAR(m4_crossvalid[[#This Row],[cutoff]]),MONTH(m4_crossvalid[[#This Row],[cutoff]]),DAY(m4_crossvalid[[#This Row],[cutoff]]))</f>
        <v>45688</v>
      </c>
      <c r="B59" s="7">
        <f>DATE(YEAR(m4_crossvalid[[#This Row],[ds]]),MONTH(m4_crossvalid[[#This Row],[ds]]),DAY(m4_crossvalid[[#This Row],[ds]]))</f>
        <v>45715</v>
      </c>
      <c r="C59">
        <v>8082</v>
      </c>
      <c r="D59" s="1">
        <v>45715.333333333336</v>
      </c>
      <c r="E59">
        <v>5527.6316745391105</v>
      </c>
      <c r="F59">
        <v>3836.9587996207479</v>
      </c>
      <c r="G59">
        <v>7206.0354621206288</v>
      </c>
      <c r="H59" s="1">
        <v>45688.333333333336</v>
      </c>
    </row>
    <row r="60" spans="1:8" x14ac:dyDescent="0.25">
      <c r="A60" s="7">
        <f>DATE(YEAR(m4_crossvalid[[#This Row],[cutoff]]),MONTH(m4_crossvalid[[#This Row],[cutoff]]),DAY(m4_crossvalid[[#This Row],[cutoff]]))</f>
        <v>45688</v>
      </c>
      <c r="B60" s="7">
        <f>DATE(YEAR(m4_crossvalid[[#This Row],[ds]]),MONTH(m4_crossvalid[[#This Row],[ds]]),DAY(m4_crossvalid[[#This Row],[ds]]))</f>
        <v>45716</v>
      </c>
      <c r="C60">
        <v>14838</v>
      </c>
      <c r="D60" s="1">
        <v>45716.333333333336</v>
      </c>
      <c r="E60">
        <v>6445.4523004900484</v>
      </c>
      <c r="F60">
        <v>4705.0423356100237</v>
      </c>
      <c r="G60">
        <v>8104.0713747827904</v>
      </c>
      <c r="H60" s="1">
        <v>45688.333333333336</v>
      </c>
    </row>
    <row r="61" spans="1:8" x14ac:dyDescent="0.25">
      <c r="A61" s="7">
        <f>DATE(YEAR(m4_crossvalid[[#This Row],[cutoff]]),MONTH(m4_crossvalid[[#This Row],[cutoff]]),DAY(m4_crossvalid[[#This Row],[cutoff]]))</f>
        <v>45688</v>
      </c>
      <c r="B61" s="7">
        <f>DATE(YEAR(m4_crossvalid[[#This Row],[ds]]),MONTH(m4_crossvalid[[#This Row],[ds]]),DAY(m4_crossvalid[[#This Row],[ds]]))</f>
        <v>45717</v>
      </c>
      <c r="C61">
        <v>74</v>
      </c>
      <c r="D61" s="1">
        <v>45717.333333333336</v>
      </c>
      <c r="E61">
        <v>4469.1227178825193</v>
      </c>
      <c r="F61">
        <v>2780.1242025668075</v>
      </c>
      <c r="G61">
        <v>6128.7001155355001</v>
      </c>
      <c r="H61" s="1">
        <v>45688.333333333336</v>
      </c>
    </row>
    <row r="62" spans="1:8" x14ac:dyDescent="0.25">
      <c r="A62" s="7">
        <f>DATE(YEAR(m4_crossvalid[[#This Row],[cutoff]]),MONTH(m4_crossvalid[[#This Row],[cutoff]]),DAY(m4_crossvalid[[#This Row],[cutoff]]))</f>
        <v>45688</v>
      </c>
      <c r="B62" s="7">
        <f>DATE(YEAR(m4_crossvalid[[#This Row],[ds]]),MONTH(m4_crossvalid[[#This Row],[ds]]),DAY(m4_crossvalid[[#This Row],[ds]]))</f>
        <v>45718</v>
      </c>
      <c r="C62">
        <v>27</v>
      </c>
      <c r="D62" s="1">
        <v>45718.333333333336</v>
      </c>
      <c r="E62">
        <v>2915.7788426841071</v>
      </c>
      <c r="F62">
        <v>1105.9380388403038</v>
      </c>
      <c r="G62">
        <v>4583.6174141260417</v>
      </c>
      <c r="H62" s="1">
        <v>45688.333333333336</v>
      </c>
    </row>
    <row r="63" spans="1:8" x14ac:dyDescent="0.25">
      <c r="A63" s="7">
        <f>DATE(YEAR(m4_crossvalid[[#This Row],[cutoff]]),MONTH(m4_crossvalid[[#This Row],[cutoff]]),DAY(m4_crossvalid[[#This Row],[cutoff]]))</f>
        <v>45688</v>
      </c>
      <c r="B63" s="7">
        <f>DATE(YEAR(m4_crossvalid[[#This Row],[ds]]),MONTH(m4_crossvalid[[#This Row],[ds]]),DAY(m4_crossvalid[[#This Row],[ds]]))</f>
        <v>45719</v>
      </c>
      <c r="C63">
        <v>378</v>
      </c>
      <c r="D63" s="1">
        <v>45719.333333333336</v>
      </c>
      <c r="E63">
        <v>3580.8657884390577</v>
      </c>
      <c r="F63">
        <v>1773.9410606814063</v>
      </c>
      <c r="G63">
        <v>5374.6576304785385</v>
      </c>
      <c r="H63" s="1">
        <v>45688.333333333336</v>
      </c>
    </row>
    <row r="64" spans="1:8" x14ac:dyDescent="0.25">
      <c r="A64" s="7">
        <f>DATE(YEAR(m4_crossvalid[[#This Row],[cutoff]]),MONTH(m4_crossvalid[[#This Row],[cutoff]]),DAY(m4_crossvalid[[#This Row],[cutoff]]))</f>
        <v>45716</v>
      </c>
      <c r="B64" s="7">
        <f>DATE(YEAR(m4_crossvalid[[#This Row],[ds]]),MONTH(m4_crossvalid[[#This Row],[ds]]),DAY(m4_crossvalid[[#This Row],[ds]]))</f>
        <v>45717</v>
      </c>
      <c r="C64">
        <v>74</v>
      </c>
      <c r="D64" s="1">
        <v>45717.333333333336</v>
      </c>
      <c r="E64">
        <v>4825.2360558914888</v>
      </c>
      <c r="F64">
        <v>3097.9267411516989</v>
      </c>
      <c r="G64">
        <v>6499.5261185846921</v>
      </c>
      <c r="H64" s="1">
        <v>45716.333333333336</v>
      </c>
    </row>
    <row r="65" spans="1:8" x14ac:dyDescent="0.25">
      <c r="A65" s="7">
        <f>DATE(YEAR(m4_crossvalid[[#This Row],[cutoff]]),MONTH(m4_crossvalid[[#This Row],[cutoff]]),DAY(m4_crossvalid[[#This Row],[cutoff]]))</f>
        <v>45716</v>
      </c>
      <c r="B65" s="7">
        <f>DATE(YEAR(m4_crossvalid[[#This Row],[ds]]),MONTH(m4_crossvalid[[#This Row],[ds]]),DAY(m4_crossvalid[[#This Row],[ds]]))</f>
        <v>45718</v>
      </c>
      <c r="C65">
        <v>27</v>
      </c>
      <c r="D65" s="1">
        <v>45718.333333333336</v>
      </c>
      <c r="E65">
        <v>3236.8640148495233</v>
      </c>
      <c r="F65">
        <v>1371.0706012769224</v>
      </c>
      <c r="G65">
        <v>5012.9770450449842</v>
      </c>
      <c r="H65" s="1">
        <v>45716.333333333336</v>
      </c>
    </row>
    <row r="66" spans="1:8" x14ac:dyDescent="0.25">
      <c r="A66" s="7">
        <f>DATE(YEAR(m4_crossvalid[[#This Row],[cutoff]]),MONTH(m4_crossvalid[[#This Row],[cutoff]]),DAY(m4_crossvalid[[#This Row],[cutoff]]))</f>
        <v>45716</v>
      </c>
      <c r="B66" s="7">
        <f>DATE(YEAR(m4_crossvalid[[#This Row],[ds]]),MONTH(m4_crossvalid[[#This Row],[ds]]),DAY(m4_crossvalid[[#This Row],[ds]]))</f>
        <v>45719</v>
      </c>
      <c r="C66">
        <v>378</v>
      </c>
      <c r="D66" s="1">
        <v>45719.333333333336</v>
      </c>
      <c r="E66">
        <v>3867.1870451239756</v>
      </c>
      <c r="F66">
        <v>2072.5700289310348</v>
      </c>
      <c r="G66">
        <v>5632.3945595220957</v>
      </c>
      <c r="H66" s="1">
        <v>45716.333333333336</v>
      </c>
    </row>
    <row r="67" spans="1:8" x14ac:dyDescent="0.25">
      <c r="A67" s="7">
        <f>DATE(YEAR(m4_crossvalid[[#This Row],[cutoff]]),MONTH(m4_crossvalid[[#This Row],[cutoff]]),DAY(m4_crossvalid[[#This Row],[cutoff]]))</f>
        <v>45716</v>
      </c>
      <c r="B67" s="7">
        <f>DATE(YEAR(m4_crossvalid[[#This Row],[ds]]),MONTH(m4_crossvalid[[#This Row],[ds]]),DAY(m4_crossvalid[[#This Row],[ds]]))</f>
        <v>45720</v>
      </c>
      <c r="C67">
        <v>666</v>
      </c>
      <c r="D67" s="1">
        <v>45720.333333333336</v>
      </c>
      <c r="E67">
        <v>2460.6871825488392</v>
      </c>
      <c r="F67">
        <v>757.30298523700833</v>
      </c>
      <c r="G67">
        <v>4367.1458688889279</v>
      </c>
      <c r="H67" s="1">
        <v>45716.333333333336</v>
      </c>
    </row>
    <row r="68" spans="1:8" x14ac:dyDescent="0.25">
      <c r="A68" s="7">
        <f>DATE(YEAR(m4_crossvalid[[#This Row],[cutoff]]),MONTH(m4_crossvalid[[#This Row],[cutoff]]),DAY(m4_crossvalid[[#This Row],[cutoff]]))</f>
        <v>45716</v>
      </c>
      <c r="B68" s="7">
        <f>DATE(YEAR(m4_crossvalid[[#This Row],[ds]]),MONTH(m4_crossvalid[[#This Row],[ds]]),DAY(m4_crossvalid[[#This Row],[ds]]))</f>
        <v>45721</v>
      </c>
      <c r="C68">
        <v>793</v>
      </c>
      <c r="D68" s="1">
        <v>45721.333333333336</v>
      </c>
      <c r="E68">
        <v>1600.6942625042147</v>
      </c>
      <c r="F68">
        <v>-75.928405237594433</v>
      </c>
      <c r="G68">
        <v>3453.7994343245423</v>
      </c>
      <c r="H68" s="1">
        <v>45716.333333333336</v>
      </c>
    </row>
    <row r="69" spans="1:8" x14ac:dyDescent="0.25">
      <c r="A69" s="7">
        <f>DATE(YEAR(m4_crossvalid[[#This Row],[cutoff]]),MONTH(m4_crossvalid[[#This Row],[cutoff]]),DAY(m4_crossvalid[[#This Row],[cutoff]]))</f>
        <v>45716</v>
      </c>
      <c r="B69" s="7">
        <f>DATE(YEAR(m4_crossvalid[[#This Row],[ds]]),MONTH(m4_crossvalid[[#This Row],[ds]]),DAY(m4_crossvalid[[#This Row],[ds]]))</f>
        <v>45722</v>
      </c>
      <c r="C69">
        <v>1426</v>
      </c>
      <c r="D69" s="1">
        <v>45722.333333333336</v>
      </c>
      <c r="E69">
        <v>1619.7045384449798</v>
      </c>
      <c r="F69">
        <v>-355.61038417229219</v>
      </c>
      <c r="G69">
        <v>3360.6909280467576</v>
      </c>
      <c r="H69" s="1">
        <v>45716.333333333336</v>
      </c>
    </row>
    <row r="70" spans="1:8" x14ac:dyDescent="0.25">
      <c r="A70" s="7">
        <f>DATE(YEAR(m4_crossvalid[[#This Row],[cutoff]]),MONTH(m4_crossvalid[[#This Row],[cutoff]]),DAY(m4_crossvalid[[#This Row],[cutoff]]))</f>
        <v>45716</v>
      </c>
      <c r="B70" s="7">
        <f>DATE(YEAR(m4_crossvalid[[#This Row],[ds]]),MONTH(m4_crossvalid[[#This Row],[ds]]),DAY(m4_crossvalid[[#This Row],[ds]]))</f>
        <v>45723</v>
      </c>
      <c r="C70">
        <v>1674</v>
      </c>
      <c r="D70" s="1">
        <v>45723.333333333336</v>
      </c>
      <c r="E70">
        <v>1963.5156153711007</v>
      </c>
      <c r="F70">
        <v>281.34604570207875</v>
      </c>
      <c r="G70">
        <v>3856.8548303365533</v>
      </c>
      <c r="H70" s="1">
        <v>45716.333333333336</v>
      </c>
    </row>
    <row r="71" spans="1:8" x14ac:dyDescent="0.25">
      <c r="A71" s="7">
        <f>DATE(YEAR(m4_crossvalid[[#This Row],[cutoff]]),MONTH(m4_crossvalid[[#This Row],[cutoff]]),DAY(m4_crossvalid[[#This Row],[cutoff]]))</f>
        <v>45716</v>
      </c>
      <c r="B71" s="7">
        <f>DATE(YEAR(m4_crossvalid[[#This Row],[ds]]),MONTH(m4_crossvalid[[#This Row],[ds]]),DAY(m4_crossvalid[[#This Row],[ds]]))</f>
        <v>45724</v>
      </c>
      <c r="C71">
        <v>310</v>
      </c>
      <c r="D71" s="1">
        <v>45724.333333333336</v>
      </c>
      <c r="E71">
        <v>97.111577933901572</v>
      </c>
      <c r="F71">
        <v>-1778.8584791969752</v>
      </c>
      <c r="G71">
        <v>1950.590725481658</v>
      </c>
      <c r="H71" s="1">
        <v>45716.333333333336</v>
      </c>
    </row>
    <row r="72" spans="1:8" x14ac:dyDescent="0.25">
      <c r="A72" s="7">
        <f>DATE(YEAR(m4_crossvalid[[#This Row],[cutoff]]),MONTH(m4_crossvalid[[#This Row],[cutoff]]),DAY(m4_crossvalid[[#This Row],[cutoff]]))</f>
        <v>45716</v>
      </c>
      <c r="B72" s="7">
        <f>DATE(YEAR(m4_crossvalid[[#This Row],[ds]]),MONTH(m4_crossvalid[[#This Row],[ds]]),DAY(m4_crossvalid[[#This Row],[ds]]))</f>
        <v>45725</v>
      </c>
      <c r="C72">
        <v>109</v>
      </c>
      <c r="D72" s="1">
        <v>45725.333333333336</v>
      </c>
      <c r="E72">
        <v>-417.7437751992702</v>
      </c>
      <c r="F72">
        <v>-2192.0824851668708</v>
      </c>
      <c r="G72">
        <v>1405.7715467661237</v>
      </c>
      <c r="H72" s="1">
        <v>45716.333333333336</v>
      </c>
    </row>
    <row r="73" spans="1:8" x14ac:dyDescent="0.25">
      <c r="A73" s="7">
        <f>DATE(YEAR(m4_crossvalid[[#This Row],[cutoff]]),MONTH(m4_crossvalid[[#This Row],[cutoff]]),DAY(m4_crossvalid[[#This Row],[cutoff]]))</f>
        <v>45716</v>
      </c>
      <c r="B73" s="7">
        <f>DATE(YEAR(m4_crossvalid[[#This Row],[ds]]),MONTH(m4_crossvalid[[#This Row],[ds]]),DAY(m4_crossvalid[[#This Row],[ds]]))</f>
        <v>45726</v>
      </c>
      <c r="C73">
        <v>1900</v>
      </c>
      <c r="D73" s="1">
        <v>45726.333333333336</v>
      </c>
      <c r="E73">
        <v>1930.4516782276769</v>
      </c>
      <c r="F73">
        <v>48.330016647586596</v>
      </c>
      <c r="G73">
        <v>3785.9311153700173</v>
      </c>
      <c r="H73" s="1">
        <v>45716.333333333336</v>
      </c>
    </row>
    <row r="74" spans="1:8" x14ac:dyDescent="0.25">
      <c r="A74" s="7">
        <f>DATE(YEAR(m4_crossvalid[[#This Row],[cutoff]]),MONTH(m4_crossvalid[[#This Row],[cutoff]]),DAY(m4_crossvalid[[#This Row],[cutoff]]))</f>
        <v>45716</v>
      </c>
      <c r="B74" s="7">
        <f>DATE(YEAR(m4_crossvalid[[#This Row],[ds]]),MONTH(m4_crossvalid[[#This Row],[ds]]),DAY(m4_crossvalid[[#This Row],[ds]]))</f>
        <v>45727</v>
      </c>
      <c r="C74">
        <v>2294</v>
      </c>
      <c r="D74" s="1">
        <v>45727.333333333336</v>
      </c>
      <c r="E74">
        <v>2290.9801047082824</v>
      </c>
      <c r="F74">
        <v>508.83313869644837</v>
      </c>
      <c r="G74">
        <v>4093.2572339698381</v>
      </c>
      <c r="H74" s="1">
        <v>45716.333333333336</v>
      </c>
    </row>
    <row r="75" spans="1:8" x14ac:dyDescent="0.25">
      <c r="A75" s="7">
        <f>DATE(YEAR(m4_crossvalid[[#This Row],[cutoff]]),MONTH(m4_crossvalid[[#This Row],[cutoff]]),DAY(m4_crossvalid[[#This Row],[cutoff]]))</f>
        <v>45716</v>
      </c>
      <c r="B75" s="7">
        <f>DATE(YEAR(m4_crossvalid[[#This Row],[ds]]),MONTH(m4_crossvalid[[#This Row],[ds]]),DAY(m4_crossvalid[[#This Row],[ds]]))</f>
        <v>45728</v>
      </c>
      <c r="C75">
        <v>2576</v>
      </c>
      <c r="D75" s="1">
        <v>45728.333333333336</v>
      </c>
      <c r="E75">
        <v>2598.3421370617116</v>
      </c>
      <c r="F75">
        <v>835.88266166708797</v>
      </c>
      <c r="G75">
        <v>4422.8287204920571</v>
      </c>
      <c r="H75" s="1">
        <v>45716.333333333336</v>
      </c>
    </row>
    <row r="76" spans="1:8" x14ac:dyDescent="0.25">
      <c r="A76" s="7">
        <f>DATE(YEAR(m4_crossvalid[[#This Row],[cutoff]]),MONTH(m4_crossvalid[[#This Row],[cutoff]]),DAY(m4_crossvalid[[#This Row],[cutoff]]))</f>
        <v>45716</v>
      </c>
      <c r="B76" s="7">
        <f>DATE(YEAR(m4_crossvalid[[#This Row],[ds]]),MONTH(m4_crossvalid[[#This Row],[ds]]),DAY(m4_crossvalid[[#This Row],[ds]]))</f>
        <v>45729</v>
      </c>
      <c r="C76">
        <v>2235</v>
      </c>
      <c r="D76" s="1">
        <v>45729.333333333336</v>
      </c>
      <c r="E76">
        <v>2897.1152564648769</v>
      </c>
      <c r="F76">
        <v>1066.3728454753812</v>
      </c>
      <c r="G76">
        <v>4768.1079265576964</v>
      </c>
      <c r="H76" s="1">
        <v>45716.333333333336</v>
      </c>
    </row>
    <row r="77" spans="1:8" x14ac:dyDescent="0.25">
      <c r="A77" s="7">
        <f>DATE(YEAR(m4_crossvalid[[#This Row],[cutoff]]),MONTH(m4_crossvalid[[#This Row],[cutoff]]),DAY(m4_crossvalid[[#This Row],[cutoff]]))</f>
        <v>45716</v>
      </c>
      <c r="B77" s="7">
        <f>DATE(YEAR(m4_crossvalid[[#This Row],[ds]]),MONTH(m4_crossvalid[[#This Row],[ds]]),DAY(m4_crossvalid[[#This Row],[ds]]))</f>
        <v>45730</v>
      </c>
      <c r="C77">
        <v>3818</v>
      </c>
      <c r="D77" s="1">
        <v>45730.333333333336</v>
      </c>
      <c r="E77">
        <v>2885.8817305665007</v>
      </c>
      <c r="F77">
        <v>1148.0601972626432</v>
      </c>
      <c r="G77">
        <v>4691.1504527534062</v>
      </c>
      <c r="H77" s="1">
        <v>45716.333333333336</v>
      </c>
    </row>
    <row r="78" spans="1:8" x14ac:dyDescent="0.25">
      <c r="A78" s="7">
        <f>DATE(YEAR(m4_crossvalid[[#This Row],[cutoff]]),MONTH(m4_crossvalid[[#This Row],[cutoff]]),DAY(m4_crossvalid[[#This Row],[cutoff]]))</f>
        <v>45716</v>
      </c>
      <c r="B78" s="7">
        <f>DATE(YEAR(m4_crossvalid[[#This Row],[ds]]),MONTH(m4_crossvalid[[#This Row],[ds]]),DAY(m4_crossvalid[[#This Row],[ds]]))</f>
        <v>45731</v>
      </c>
      <c r="C78">
        <v>927</v>
      </c>
      <c r="D78" s="1">
        <v>45731.333333333336</v>
      </c>
      <c r="E78">
        <v>594.01374040164183</v>
      </c>
      <c r="F78">
        <v>-1272.0623783913293</v>
      </c>
      <c r="G78">
        <v>2372.5356814285906</v>
      </c>
      <c r="H78" s="1">
        <v>45716.333333333336</v>
      </c>
    </row>
    <row r="79" spans="1:8" x14ac:dyDescent="0.25">
      <c r="A79" s="7">
        <f>DATE(YEAR(m4_crossvalid[[#This Row],[cutoff]]),MONTH(m4_crossvalid[[#This Row],[cutoff]]),DAY(m4_crossvalid[[#This Row],[cutoff]]))</f>
        <v>45716</v>
      </c>
      <c r="B79" s="7">
        <f>DATE(YEAR(m4_crossvalid[[#This Row],[ds]]),MONTH(m4_crossvalid[[#This Row],[ds]]),DAY(m4_crossvalid[[#This Row],[ds]]))</f>
        <v>45732</v>
      </c>
      <c r="C79">
        <v>263</v>
      </c>
      <c r="D79" s="1">
        <v>45732.333333333336</v>
      </c>
      <c r="E79">
        <v>3.6345911235839594</v>
      </c>
      <c r="F79">
        <v>-1760.4586774202598</v>
      </c>
      <c r="G79">
        <v>1805.4675462038763</v>
      </c>
      <c r="H79" s="1">
        <v>45716.333333333336</v>
      </c>
    </row>
    <row r="80" spans="1:8" x14ac:dyDescent="0.25">
      <c r="A80" s="7">
        <f>DATE(YEAR(m4_crossvalid[[#This Row],[cutoff]]),MONTH(m4_crossvalid[[#This Row],[cutoff]]),DAY(m4_crossvalid[[#This Row],[cutoff]]))</f>
        <v>45716</v>
      </c>
      <c r="B80" s="7">
        <f>DATE(YEAR(m4_crossvalid[[#This Row],[ds]]),MONTH(m4_crossvalid[[#This Row],[ds]]),DAY(m4_crossvalid[[#This Row],[ds]]))</f>
        <v>45733</v>
      </c>
      <c r="C80">
        <v>4812</v>
      </c>
      <c r="D80" s="1">
        <v>45733.333333333336</v>
      </c>
      <c r="E80">
        <v>2607.7851115975245</v>
      </c>
      <c r="F80">
        <v>857.1132495477957</v>
      </c>
      <c r="G80">
        <v>4571.5372122878753</v>
      </c>
      <c r="H80" s="1">
        <v>45716.333333333336</v>
      </c>
    </row>
    <row r="81" spans="1:8" x14ac:dyDescent="0.25">
      <c r="A81" s="7">
        <f>DATE(YEAR(m4_crossvalid[[#This Row],[cutoff]]),MONTH(m4_crossvalid[[#This Row],[cutoff]]),DAY(m4_crossvalid[[#This Row],[cutoff]]))</f>
        <v>45716</v>
      </c>
      <c r="B81" s="7">
        <f>DATE(YEAR(m4_crossvalid[[#This Row],[ds]]),MONTH(m4_crossvalid[[#This Row],[ds]]),DAY(m4_crossvalid[[#This Row],[ds]]))</f>
        <v>45734</v>
      </c>
      <c r="C81">
        <v>1459</v>
      </c>
      <c r="D81" s="1">
        <v>45734.333333333336</v>
      </c>
      <c r="E81">
        <v>1653.9074076019392</v>
      </c>
      <c r="F81">
        <v>-80.627139953644502</v>
      </c>
      <c r="G81">
        <v>3358.2921330888475</v>
      </c>
      <c r="H81" s="1">
        <v>45716.333333333336</v>
      </c>
    </row>
    <row r="82" spans="1:8" x14ac:dyDescent="0.25">
      <c r="A82" s="7">
        <f>DATE(YEAR(m4_crossvalid[[#This Row],[cutoff]]),MONTH(m4_crossvalid[[#This Row],[cutoff]]),DAY(m4_crossvalid[[#This Row],[cutoff]]))</f>
        <v>45716</v>
      </c>
      <c r="B82" s="7">
        <f>DATE(YEAR(m4_crossvalid[[#This Row],[ds]]),MONTH(m4_crossvalid[[#This Row],[ds]]),DAY(m4_crossvalid[[#This Row],[ds]]))</f>
        <v>45735</v>
      </c>
      <c r="C82">
        <v>3508</v>
      </c>
      <c r="D82" s="1">
        <v>45735.333333333336</v>
      </c>
      <c r="E82">
        <v>3438.7590738391991</v>
      </c>
      <c r="F82">
        <v>1546.7640203667854</v>
      </c>
      <c r="G82">
        <v>5237.4217612238899</v>
      </c>
      <c r="H82" s="1">
        <v>45716.333333333336</v>
      </c>
    </row>
    <row r="83" spans="1:8" x14ac:dyDescent="0.25">
      <c r="A83" s="7">
        <f>DATE(YEAR(m4_crossvalid[[#This Row],[cutoff]]),MONTH(m4_crossvalid[[#This Row],[cutoff]]),DAY(m4_crossvalid[[#This Row],[cutoff]]))</f>
        <v>45716</v>
      </c>
      <c r="B83" s="7">
        <f>DATE(YEAR(m4_crossvalid[[#This Row],[ds]]),MONTH(m4_crossvalid[[#This Row],[ds]]),DAY(m4_crossvalid[[#This Row],[ds]]))</f>
        <v>45736</v>
      </c>
      <c r="C83">
        <v>3947</v>
      </c>
      <c r="D83" s="1">
        <v>45736.333333333336</v>
      </c>
      <c r="E83">
        <v>3401.6702549956894</v>
      </c>
      <c r="F83">
        <v>1554.264539537367</v>
      </c>
      <c r="G83">
        <v>5237.9007509785115</v>
      </c>
      <c r="H83" s="1">
        <v>45716.333333333336</v>
      </c>
    </row>
    <row r="84" spans="1:8" x14ac:dyDescent="0.25">
      <c r="A84" s="7">
        <f>DATE(YEAR(m4_crossvalid[[#This Row],[cutoff]]),MONTH(m4_crossvalid[[#This Row],[cutoff]]),DAY(m4_crossvalid[[#This Row],[cutoff]]))</f>
        <v>45716</v>
      </c>
      <c r="B84" s="7">
        <f>DATE(YEAR(m4_crossvalid[[#This Row],[ds]]),MONTH(m4_crossvalid[[#This Row],[ds]]),DAY(m4_crossvalid[[#This Row],[ds]]))</f>
        <v>45737</v>
      </c>
      <c r="C84">
        <v>4280</v>
      </c>
      <c r="D84" s="1">
        <v>45737.333333333336</v>
      </c>
      <c r="E84">
        <v>3123.4599717689143</v>
      </c>
      <c r="F84">
        <v>1512.3790537320265</v>
      </c>
      <c r="G84">
        <v>4943.2907893903484</v>
      </c>
      <c r="H84" s="1">
        <v>45716.333333333336</v>
      </c>
    </row>
    <row r="85" spans="1:8" x14ac:dyDescent="0.25">
      <c r="A85" s="7">
        <f>DATE(YEAR(m4_crossvalid[[#This Row],[cutoff]]),MONTH(m4_crossvalid[[#This Row],[cutoff]]),DAY(m4_crossvalid[[#This Row],[cutoff]]))</f>
        <v>45716</v>
      </c>
      <c r="B85" s="7">
        <f>DATE(YEAR(m4_crossvalid[[#This Row],[ds]]),MONTH(m4_crossvalid[[#This Row],[ds]]),DAY(m4_crossvalid[[#This Row],[ds]]))</f>
        <v>45738</v>
      </c>
      <c r="C85">
        <v>1076</v>
      </c>
      <c r="D85" s="1">
        <v>45738.333333333336</v>
      </c>
      <c r="E85">
        <v>896.71561416569693</v>
      </c>
      <c r="F85">
        <v>-927.86839911218237</v>
      </c>
      <c r="G85">
        <v>2551.2567519488707</v>
      </c>
      <c r="H85" s="1">
        <v>45716.333333333336</v>
      </c>
    </row>
    <row r="86" spans="1:8" x14ac:dyDescent="0.25">
      <c r="A86" s="7">
        <f>DATE(YEAR(m4_crossvalid[[#This Row],[cutoff]]),MONTH(m4_crossvalid[[#This Row],[cutoff]]),DAY(m4_crossvalid[[#This Row],[cutoff]]))</f>
        <v>45716</v>
      </c>
      <c r="B86" s="7">
        <f>DATE(YEAR(m4_crossvalid[[#This Row],[ds]]),MONTH(m4_crossvalid[[#This Row],[ds]]),DAY(m4_crossvalid[[#This Row],[ds]]))</f>
        <v>45739</v>
      </c>
      <c r="C86">
        <v>301</v>
      </c>
      <c r="D86" s="1">
        <v>45739.333333333336</v>
      </c>
      <c r="E86">
        <v>628.83866517490833</v>
      </c>
      <c r="F86">
        <v>-1185.2599464945422</v>
      </c>
      <c r="G86">
        <v>2531.3003210098368</v>
      </c>
      <c r="H86" s="1">
        <v>45716.333333333336</v>
      </c>
    </row>
    <row r="87" spans="1:8" x14ac:dyDescent="0.25">
      <c r="A87" s="7">
        <f>DATE(YEAR(m4_crossvalid[[#This Row],[cutoff]]),MONTH(m4_crossvalid[[#This Row],[cutoff]]),DAY(m4_crossvalid[[#This Row],[cutoff]]))</f>
        <v>45716</v>
      </c>
      <c r="B87" s="7">
        <f>DATE(YEAR(m4_crossvalid[[#This Row],[ds]]),MONTH(m4_crossvalid[[#This Row],[ds]]),DAY(m4_crossvalid[[#This Row],[ds]]))</f>
        <v>45740</v>
      </c>
      <c r="C87">
        <v>4292</v>
      </c>
      <c r="D87" s="1">
        <v>45740.333333333336</v>
      </c>
      <c r="E87">
        <v>3475.6469353752109</v>
      </c>
      <c r="F87">
        <v>1701.0990166026006</v>
      </c>
      <c r="G87">
        <v>5205.1242609281207</v>
      </c>
      <c r="H87" s="1">
        <v>45716.333333333336</v>
      </c>
    </row>
    <row r="88" spans="1:8" x14ac:dyDescent="0.25">
      <c r="A88" s="7">
        <f>DATE(YEAR(m4_crossvalid[[#This Row],[cutoff]]),MONTH(m4_crossvalid[[#This Row],[cutoff]]),DAY(m4_crossvalid[[#This Row],[cutoff]]))</f>
        <v>45716</v>
      </c>
      <c r="B88" s="7">
        <f>DATE(YEAR(m4_crossvalid[[#This Row],[ds]]),MONTH(m4_crossvalid[[#This Row],[ds]]),DAY(m4_crossvalid[[#This Row],[ds]]))</f>
        <v>45741</v>
      </c>
      <c r="C88">
        <v>5571</v>
      </c>
      <c r="D88" s="1">
        <v>45741.333333333336</v>
      </c>
      <c r="E88">
        <v>3991.3340664306693</v>
      </c>
      <c r="F88">
        <v>2205.7044207704253</v>
      </c>
      <c r="G88">
        <v>5796.2833827226086</v>
      </c>
      <c r="H88" s="1">
        <v>45716.333333333336</v>
      </c>
    </row>
    <row r="89" spans="1:8" x14ac:dyDescent="0.25">
      <c r="A89" s="7">
        <f>DATE(YEAR(m4_crossvalid[[#This Row],[cutoff]]),MONTH(m4_crossvalid[[#This Row],[cutoff]]),DAY(m4_crossvalid[[#This Row],[cutoff]]))</f>
        <v>45716</v>
      </c>
      <c r="B89" s="7">
        <f>DATE(YEAR(m4_crossvalid[[#This Row],[ds]]),MONTH(m4_crossvalid[[#This Row],[ds]]),DAY(m4_crossvalid[[#This Row],[ds]]))</f>
        <v>45742</v>
      </c>
      <c r="C89">
        <v>6352</v>
      </c>
      <c r="D89" s="1">
        <v>45742.333333333336</v>
      </c>
      <c r="E89">
        <v>3947.8834815284235</v>
      </c>
      <c r="F89">
        <v>2175.0301731971249</v>
      </c>
      <c r="G89">
        <v>5580.8528401973244</v>
      </c>
      <c r="H89" s="1">
        <v>45716.333333333336</v>
      </c>
    </row>
    <row r="90" spans="1:8" x14ac:dyDescent="0.25">
      <c r="A90" s="7">
        <f>DATE(YEAR(m4_crossvalid[[#This Row],[cutoff]]),MONTH(m4_crossvalid[[#This Row],[cutoff]]),DAY(m4_crossvalid[[#This Row],[cutoff]]))</f>
        <v>45716</v>
      </c>
      <c r="B90" s="7">
        <f>DATE(YEAR(m4_crossvalid[[#This Row],[ds]]),MONTH(m4_crossvalid[[#This Row],[ds]]),DAY(m4_crossvalid[[#This Row],[ds]]))</f>
        <v>45743</v>
      </c>
      <c r="C90">
        <v>8836</v>
      </c>
      <c r="D90" s="1">
        <v>45743.333333333336</v>
      </c>
      <c r="E90">
        <v>3877.730752441973</v>
      </c>
      <c r="F90">
        <v>2093.3512067400256</v>
      </c>
      <c r="G90">
        <v>5534.0785283143641</v>
      </c>
      <c r="H90" s="1">
        <v>45716.333333333336</v>
      </c>
    </row>
    <row r="91" spans="1:8" x14ac:dyDescent="0.25">
      <c r="A91" s="7">
        <f>DATE(YEAR(m4_crossvalid[[#This Row],[cutoff]]),MONTH(m4_crossvalid[[#This Row],[cutoff]]),DAY(m4_crossvalid[[#This Row],[cutoff]]))</f>
        <v>45716</v>
      </c>
      <c r="B91" s="7">
        <f>DATE(YEAR(m4_crossvalid[[#This Row],[ds]]),MONTH(m4_crossvalid[[#This Row],[ds]]),DAY(m4_crossvalid[[#This Row],[ds]]))</f>
        <v>45744</v>
      </c>
      <c r="C91">
        <v>9717</v>
      </c>
      <c r="D91" s="1">
        <v>45744.333333333336</v>
      </c>
      <c r="E91">
        <v>4157.7982278412619</v>
      </c>
      <c r="F91">
        <v>2232.8646148329171</v>
      </c>
      <c r="G91">
        <v>5943.9049548286621</v>
      </c>
      <c r="H91" s="1">
        <v>45716.333333333336</v>
      </c>
    </row>
    <row r="92" spans="1:8" x14ac:dyDescent="0.25">
      <c r="A92" s="7">
        <f>DATE(YEAR(m4_crossvalid[[#This Row],[cutoff]]),MONTH(m4_crossvalid[[#This Row],[cutoff]]),DAY(m4_crossvalid[[#This Row],[cutoff]]))</f>
        <v>45716</v>
      </c>
      <c r="B92" s="7">
        <f>DATE(YEAR(m4_crossvalid[[#This Row],[ds]]),MONTH(m4_crossvalid[[#This Row],[ds]]),DAY(m4_crossvalid[[#This Row],[ds]]))</f>
        <v>45745</v>
      </c>
      <c r="C92">
        <v>3249</v>
      </c>
      <c r="D92" s="1">
        <v>45745.333333333336</v>
      </c>
      <c r="E92">
        <v>2980.0172018272729</v>
      </c>
      <c r="F92">
        <v>1242.5353044130261</v>
      </c>
      <c r="G92">
        <v>4711.093195792786</v>
      </c>
      <c r="H92" s="1">
        <v>45716.333333333336</v>
      </c>
    </row>
    <row r="93" spans="1:8" x14ac:dyDescent="0.25">
      <c r="A93" s="7">
        <f>DATE(YEAR(m4_crossvalid[[#This Row],[cutoff]]),MONTH(m4_crossvalid[[#This Row],[cutoff]]),DAY(m4_crossvalid[[#This Row],[cutoff]]))</f>
        <v>45716</v>
      </c>
      <c r="B93" s="7">
        <f>DATE(YEAR(m4_crossvalid[[#This Row],[ds]]),MONTH(m4_crossvalid[[#This Row],[ds]]),DAY(m4_crossvalid[[#This Row],[ds]]))</f>
        <v>45746</v>
      </c>
      <c r="C93">
        <v>198</v>
      </c>
      <c r="D93" s="1">
        <v>45746.333333333336</v>
      </c>
      <c r="E93">
        <v>3699.1206305582919</v>
      </c>
      <c r="F93">
        <v>1962.2388131907546</v>
      </c>
      <c r="G93">
        <v>5569.9424201714637</v>
      </c>
      <c r="H93" s="1">
        <v>45716.333333333336</v>
      </c>
    </row>
    <row r="94" spans="1:8" x14ac:dyDescent="0.25">
      <c r="A94" s="7">
        <f>DATE(YEAR(m4_crossvalid[[#This Row],[cutoff]]),MONTH(m4_crossvalid[[#This Row],[cutoff]]),DAY(m4_crossvalid[[#This Row],[cutoff]]))</f>
        <v>45716</v>
      </c>
      <c r="B94" s="7">
        <f>DATE(YEAR(m4_crossvalid[[#This Row],[ds]]),MONTH(m4_crossvalid[[#This Row],[ds]]),DAY(m4_crossvalid[[#This Row],[ds]]))</f>
        <v>45747</v>
      </c>
      <c r="C94">
        <v>53</v>
      </c>
      <c r="D94" s="1">
        <v>45747.333333333336</v>
      </c>
      <c r="E94">
        <v>4858.688087268014</v>
      </c>
      <c r="F94">
        <v>3175.3828073375062</v>
      </c>
      <c r="G94">
        <v>6687.3332391090398</v>
      </c>
      <c r="H94" s="1">
        <v>45716.333333333336</v>
      </c>
    </row>
    <row r="95" spans="1:8" x14ac:dyDescent="0.25">
      <c r="A95" s="7">
        <f>DATE(YEAR(m4_crossvalid[[#This Row],[cutoff]]),MONTH(m4_crossvalid[[#This Row],[cutoff]]),DAY(m4_crossvalid[[#This Row],[cutoff]]))</f>
        <v>45747</v>
      </c>
      <c r="B95" s="7">
        <f>DATE(YEAR(m4_crossvalid[[#This Row],[ds]]),MONTH(m4_crossvalid[[#This Row],[ds]]),DAY(m4_crossvalid[[#This Row],[ds]]))</f>
        <v>45748</v>
      </c>
      <c r="C95">
        <v>2</v>
      </c>
      <c r="D95" s="1">
        <v>45748.333333333336</v>
      </c>
      <c r="E95">
        <v>3398.1730085631616</v>
      </c>
      <c r="F95">
        <v>1743.9411557547112</v>
      </c>
      <c r="G95">
        <v>5203.3095138336294</v>
      </c>
      <c r="H95" s="1">
        <v>45747.333333333336</v>
      </c>
    </row>
    <row r="96" spans="1:8" x14ac:dyDescent="0.25">
      <c r="A96" s="7">
        <f>DATE(YEAR(m4_crossvalid[[#This Row],[cutoff]]),MONTH(m4_crossvalid[[#This Row],[cutoff]]),DAY(m4_crossvalid[[#This Row],[cutoff]]))</f>
        <v>45747</v>
      </c>
      <c r="B96" s="7">
        <f>DATE(YEAR(m4_crossvalid[[#This Row],[ds]]),MONTH(m4_crossvalid[[#This Row],[ds]]),DAY(m4_crossvalid[[#This Row],[ds]]))</f>
        <v>45749</v>
      </c>
      <c r="C96">
        <v>105</v>
      </c>
      <c r="D96" s="1">
        <v>45749.333333333336</v>
      </c>
      <c r="E96">
        <v>4390.4900433310822</v>
      </c>
      <c r="F96">
        <v>2550.4429100785405</v>
      </c>
      <c r="G96">
        <v>6180.6003423098737</v>
      </c>
      <c r="H96" s="1">
        <v>45747.333333333336</v>
      </c>
    </row>
    <row r="97" spans="1:8" x14ac:dyDescent="0.25">
      <c r="A97" s="7">
        <f>DATE(YEAR(m4_crossvalid[[#This Row],[cutoff]]),MONTH(m4_crossvalid[[#This Row],[cutoff]]),DAY(m4_crossvalid[[#This Row],[cutoff]]))</f>
        <v>45747</v>
      </c>
      <c r="B97" s="7">
        <f>DATE(YEAR(m4_crossvalid[[#This Row],[ds]]),MONTH(m4_crossvalid[[#This Row],[ds]]),DAY(m4_crossvalid[[#This Row],[ds]]))</f>
        <v>45750</v>
      </c>
      <c r="C97">
        <v>284</v>
      </c>
      <c r="D97" s="1">
        <v>45750.333333333336</v>
      </c>
      <c r="E97">
        <v>2082.9724394777104</v>
      </c>
      <c r="F97">
        <v>220.62258748306397</v>
      </c>
      <c r="G97">
        <v>3844.7041568293612</v>
      </c>
      <c r="H97" s="1">
        <v>45747.333333333336</v>
      </c>
    </row>
    <row r="98" spans="1:8" x14ac:dyDescent="0.25">
      <c r="A98" s="7">
        <f>DATE(YEAR(m4_crossvalid[[#This Row],[cutoff]]),MONTH(m4_crossvalid[[#This Row],[cutoff]]),DAY(m4_crossvalid[[#This Row],[cutoff]]))</f>
        <v>45747</v>
      </c>
      <c r="B98" s="7">
        <f>DATE(YEAR(m4_crossvalid[[#This Row],[ds]]),MONTH(m4_crossvalid[[#This Row],[ds]]),DAY(m4_crossvalid[[#This Row],[ds]]))</f>
        <v>45751</v>
      </c>
      <c r="C98">
        <v>403</v>
      </c>
      <c r="D98" s="1">
        <v>45751.333333333336</v>
      </c>
      <c r="E98">
        <v>1109.591905333491</v>
      </c>
      <c r="F98">
        <v>-806.99206971526576</v>
      </c>
      <c r="G98">
        <v>2899.7015856201301</v>
      </c>
      <c r="H98" s="1">
        <v>45747.333333333336</v>
      </c>
    </row>
    <row r="99" spans="1:8" x14ac:dyDescent="0.25">
      <c r="A99" s="7">
        <f>DATE(YEAR(m4_crossvalid[[#This Row],[cutoff]]),MONTH(m4_crossvalid[[#This Row],[cutoff]]),DAY(m4_crossvalid[[#This Row],[cutoff]]))</f>
        <v>45747</v>
      </c>
      <c r="B99" s="7">
        <f>DATE(YEAR(m4_crossvalid[[#This Row],[ds]]),MONTH(m4_crossvalid[[#This Row],[ds]]),DAY(m4_crossvalid[[#This Row],[ds]]))</f>
        <v>45752</v>
      </c>
      <c r="C99">
        <v>47</v>
      </c>
      <c r="D99" s="1">
        <v>45752.333333333336</v>
      </c>
      <c r="E99">
        <v>-1113.4169531664797</v>
      </c>
      <c r="F99">
        <v>-2942.3814281730192</v>
      </c>
      <c r="G99">
        <v>778.96479545937473</v>
      </c>
      <c r="H99" s="1">
        <v>45747.333333333336</v>
      </c>
    </row>
    <row r="100" spans="1:8" x14ac:dyDescent="0.25">
      <c r="A100" s="7">
        <f>DATE(YEAR(m4_crossvalid[[#This Row],[cutoff]]),MONTH(m4_crossvalid[[#This Row],[cutoff]]),DAY(m4_crossvalid[[#This Row],[cutoff]]))</f>
        <v>45747</v>
      </c>
      <c r="B100" s="7">
        <f>DATE(YEAR(m4_crossvalid[[#This Row],[ds]]),MONTH(m4_crossvalid[[#This Row],[ds]]),DAY(m4_crossvalid[[#This Row],[ds]]))</f>
        <v>45753</v>
      </c>
      <c r="C100">
        <v>11</v>
      </c>
      <c r="D100" s="1">
        <v>45753.333333333336</v>
      </c>
      <c r="E100">
        <v>-1263.511492605754</v>
      </c>
      <c r="F100">
        <v>-2955.3665293403851</v>
      </c>
      <c r="G100">
        <v>454.84331592748873</v>
      </c>
      <c r="H100" s="1">
        <v>45747.333333333336</v>
      </c>
    </row>
    <row r="101" spans="1:8" x14ac:dyDescent="0.25">
      <c r="A101" s="7">
        <f>DATE(YEAR(m4_crossvalid[[#This Row],[cutoff]]),MONTH(m4_crossvalid[[#This Row],[cutoff]]),DAY(m4_crossvalid[[#This Row],[cutoff]]))</f>
        <v>45747</v>
      </c>
      <c r="B101" s="7">
        <f>DATE(YEAR(m4_crossvalid[[#This Row],[ds]]),MONTH(m4_crossvalid[[#This Row],[ds]]),DAY(m4_crossvalid[[#This Row],[ds]]))</f>
        <v>45754</v>
      </c>
      <c r="C101">
        <v>477</v>
      </c>
      <c r="D101" s="1">
        <v>45754.333333333336</v>
      </c>
      <c r="E101">
        <v>303.21279627973763</v>
      </c>
      <c r="F101">
        <v>-1485.9575036309909</v>
      </c>
      <c r="G101">
        <v>2112.9873724697663</v>
      </c>
      <c r="H101" s="1">
        <v>45747.333333333336</v>
      </c>
    </row>
    <row r="102" spans="1:8" x14ac:dyDescent="0.25">
      <c r="A102" s="7">
        <f>DATE(YEAR(m4_crossvalid[[#This Row],[cutoff]]),MONTH(m4_crossvalid[[#This Row],[cutoff]]),DAY(m4_crossvalid[[#This Row],[cutoff]]))</f>
        <v>45747</v>
      </c>
      <c r="B102" s="7">
        <f>DATE(YEAR(m4_crossvalid[[#This Row],[ds]]),MONTH(m4_crossvalid[[#This Row],[ds]]),DAY(m4_crossvalid[[#This Row],[ds]]))</f>
        <v>45755</v>
      </c>
      <c r="C102">
        <v>775</v>
      </c>
      <c r="D102" s="1">
        <v>45755.333333333336</v>
      </c>
      <c r="E102">
        <v>914.72226291336597</v>
      </c>
      <c r="F102">
        <v>-785.78341391440495</v>
      </c>
      <c r="G102">
        <v>2697.390507968119</v>
      </c>
      <c r="H102" s="1">
        <v>45747.333333333336</v>
      </c>
    </row>
    <row r="103" spans="1:8" x14ac:dyDescent="0.25">
      <c r="A103" s="7">
        <f>DATE(YEAR(m4_crossvalid[[#This Row],[cutoff]]),MONTH(m4_crossvalid[[#This Row],[cutoff]]),DAY(m4_crossvalid[[#This Row],[cutoff]]))</f>
        <v>45747</v>
      </c>
      <c r="B103" s="7">
        <f>DATE(YEAR(m4_crossvalid[[#This Row],[ds]]),MONTH(m4_crossvalid[[#This Row],[ds]]),DAY(m4_crossvalid[[#This Row],[ds]]))</f>
        <v>45756</v>
      </c>
      <c r="C103">
        <v>1016</v>
      </c>
      <c r="D103" s="1">
        <v>45756.333333333336</v>
      </c>
      <c r="E103">
        <v>2192.9817678475692</v>
      </c>
      <c r="F103">
        <v>375.86100465663276</v>
      </c>
      <c r="G103">
        <v>4099.9864360428946</v>
      </c>
      <c r="H103" s="1">
        <v>45747.333333333336</v>
      </c>
    </row>
    <row r="104" spans="1:8" x14ac:dyDescent="0.25">
      <c r="A104" s="7">
        <f>DATE(YEAR(m4_crossvalid[[#This Row],[cutoff]]),MONTH(m4_crossvalid[[#This Row],[cutoff]]),DAY(m4_crossvalid[[#This Row],[cutoff]]))</f>
        <v>45747</v>
      </c>
      <c r="B104" s="7">
        <f>DATE(YEAR(m4_crossvalid[[#This Row],[ds]]),MONTH(m4_crossvalid[[#This Row],[ds]]),DAY(m4_crossvalid[[#This Row],[ds]]))</f>
        <v>45757</v>
      </c>
      <c r="C104">
        <v>1422</v>
      </c>
      <c r="D104" s="1">
        <v>45757.333333333336</v>
      </c>
      <c r="E104">
        <v>2120.6464850494149</v>
      </c>
      <c r="F104">
        <v>314.11202047786787</v>
      </c>
      <c r="G104">
        <v>3870.8280710357626</v>
      </c>
      <c r="H104" s="1">
        <v>45747.333333333336</v>
      </c>
    </row>
    <row r="105" spans="1:8" x14ac:dyDescent="0.25">
      <c r="A105" s="7">
        <f>DATE(YEAR(m4_crossvalid[[#This Row],[cutoff]]),MONTH(m4_crossvalid[[#This Row],[cutoff]]),DAY(m4_crossvalid[[#This Row],[cutoff]]))</f>
        <v>45747</v>
      </c>
      <c r="B105" s="7">
        <f>DATE(YEAR(m4_crossvalid[[#This Row],[ds]]),MONTH(m4_crossvalid[[#This Row],[ds]]),DAY(m4_crossvalid[[#This Row],[ds]]))</f>
        <v>45758</v>
      </c>
      <c r="C105">
        <v>1565</v>
      </c>
      <c r="D105" s="1">
        <v>45758.333333333336</v>
      </c>
      <c r="E105">
        <v>2189.9034583891971</v>
      </c>
      <c r="F105">
        <v>328.48248228075039</v>
      </c>
      <c r="G105">
        <v>3909.2930685110805</v>
      </c>
      <c r="H105" s="1">
        <v>45747.333333333336</v>
      </c>
    </row>
    <row r="106" spans="1:8" x14ac:dyDescent="0.25">
      <c r="A106" s="7">
        <f>DATE(YEAR(m4_crossvalid[[#This Row],[cutoff]]),MONTH(m4_crossvalid[[#This Row],[cutoff]]),DAY(m4_crossvalid[[#This Row],[cutoff]]))</f>
        <v>45747</v>
      </c>
      <c r="B106" s="7">
        <f>DATE(YEAR(m4_crossvalid[[#This Row],[ds]]),MONTH(m4_crossvalid[[#This Row],[ds]]),DAY(m4_crossvalid[[#This Row],[ds]]))</f>
        <v>45759</v>
      </c>
      <c r="C106">
        <v>276</v>
      </c>
      <c r="D106" s="1">
        <v>45759.333333333336</v>
      </c>
      <c r="E106">
        <v>254.18384199037837</v>
      </c>
      <c r="F106">
        <v>-1498.9099103472709</v>
      </c>
      <c r="G106">
        <v>2009.8773213077313</v>
      </c>
      <c r="H106" s="1">
        <v>45747.333333333336</v>
      </c>
    </row>
    <row r="107" spans="1:8" x14ac:dyDescent="0.25">
      <c r="A107" s="7">
        <f>DATE(YEAR(m4_crossvalid[[#This Row],[cutoff]]),MONTH(m4_crossvalid[[#This Row],[cutoff]]),DAY(m4_crossvalid[[#This Row],[cutoff]]))</f>
        <v>45747</v>
      </c>
      <c r="B107" s="7">
        <f>DATE(YEAR(m4_crossvalid[[#This Row],[ds]]),MONTH(m4_crossvalid[[#This Row],[ds]]),DAY(m4_crossvalid[[#This Row],[ds]]))</f>
        <v>45760</v>
      </c>
      <c r="C107">
        <v>55</v>
      </c>
      <c r="D107" s="1">
        <v>45760.333333333336</v>
      </c>
      <c r="E107">
        <v>-27.692122587820904</v>
      </c>
      <c r="F107">
        <v>-1939.582375250669</v>
      </c>
      <c r="G107">
        <v>1839.785459533269</v>
      </c>
      <c r="H107" s="1">
        <v>45747.333333333336</v>
      </c>
    </row>
    <row r="108" spans="1:8" x14ac:dyDescent="0.25">
      <c r="A108" s="7">
        <f>DATE(YEAR(m4_crossvalid[[#This Row],[cutoff]]),MONTH(m4_crossvalid[[#This Row],[cutoff]]),DAY(m4_crossvalid[[#This Row],[cutoff]]))</f>
        <v>45747</v>
      </c>
      <c r="B108" s="7">
        <f>DATE(YEAR(m4_crossvalid[[#This Row],[ds]]),MONTH(m4_crossvalid[[#This Row],[ds]]),DAY(m4_crossvalid[[#This Row],[ds]]))</f>
        <v>45761</v>
      </c>
      <c r="C108">
        <v>1634</v>
      </c>
      <c r="D108" s="1">
        <v>45761.333333333336</v>
      </c>
      <c r="E108">
        <v>2485.9549943125303</v>
      </c>
      <c r="F108">
        <v>618.82049043648146</v>
      </c>
      <c r="G108">
        <v>4234.9714673049202</v>
      </c>
      <c r="H108" s="1">
        <v>45747.333333333336</v>
      </c>
    </row>
    <row r="109" spans="1:8" x14ac:dyDescent="0.25">
      <c r="A109" s="7">
        <f>DATE(YEAR(m4_crossvalid[[#This Row],[cutoff]]),MONTH(m4_crossvalid[[#This Row],[cutoff]]),DAY(m4_crossvalid[[#This Row],[cutoff]]))</f>
        <v>45747</v>
      </c>
      <c r="B109" s="7">
        <f>DATE(YEAR(m4_crossvalid[[#This Row],[ds]]),MONTH(m4_crossvalid[[#This Row],[ds]]),DAY(m4_crossvalid[[#This Row],[ds]]))</f>
        <v>45762</v>
      </c>
      <c r="C109">
        <v>1965</v>
      </c>
      <c r="D109" s="1">
        <v>45762.333333333336</v>
      </c>
      <c r="E109">
        <v>2697.0137427119403</v>
      </c>
      <c r="F109">
        <v>1023.9108810454734</v>
      </c>
      <c r="G109">
        <v>4477.9757278838433</v>
      </c>
      <c r="H109" s="1">
        <v>45747.333333333336</v>
      </c>
    </row>
    <row r="110" spans="1:8" x14ac:dyDescent="0.25">
      <c r="A110" s="7">
        <f>DATE(YEAR(m4_crossvalid[[#This Row],[cutoff]]),MONTH(m4_crossvalid[[#This Row],[cutoff]]),DAY(m4_crossvalid[[#This Row],[cutoff]]))</f>
        <v>45747</v>
      </c>
      <c r="B110" s="7">
        <f>DATE(YEAR(m4_crossvalid[[#This Row],[ds]]),MONTH(m4_crossvalid[[#This Row],[ds]]),DAY(m4_crossvalid[[#This Row],[ds]]))</f>
        <v>45763</v>
      </c>
      <c r="C110">
        <v>2361</v>
      </c>
      <c r="D110" s="1">
        <v>45763.333333333336</v>
      </c>
      <c r="E110">
        <v>2745.8123518478715</v>
      </c>
      <c r="F110">
        <v>969.01897512001688</v>
      </c>
      <c r="G110">
        <v>4503.864553228279</v>
      </c>
      <c r="H110" s="1">
        <v>45747.333333333336</v>
      </c>
    </row>
    <row r="111" spans="1:8" x14ac:dyDescent="0.25">
      <c r="A111" s="7">
        <f>DATE(YEAR(m4_crossvalid[[#This Row],[cutoff]]),MONTH(m4_crossvalid[[#This Row],[cutoff]]),DAY(m4_crossvalid[[#This Row],[cutoff]]))</f>
        <v>45747</v>
      </c>
      <c r="B111" s="7">
        <f>DATE(YEAR(m4_crossvalid[[#This Row],[ds]]),MONTH(m4_crossvalid[[#This Row],[ds]]),DAY(m4_crossvalid[[#This Row],[ds]]))</f>
        <v>45764</v>
      </c>
      <c r="C111">
        <v>2761</v>
      </c>
      <c r="D111" s="1">
        <v>45764.333333333336</v>
      </c>
      <c r="E111">
        <v>2979.5457352437074</v>
      </c>
      <c r="F111">
        <v>1127.0326749833064</v>
      </c>
      <c r="G111">
        <v>4666.9111655098377</v>
      </c>
      <c r="H111" s="1">
        <v>45747.333333333336</v>
      </c>
    </row>
    <row r="112" spans="1:8" x14ac:dyDescent="0.25">
      <c r="A112" s="7">
        <f>DATE(YEAR(m4_crossvalid[[#This Row],[cutoff]]),MONTH(m4_crossvalid[[#This Row],[cutoff]]),DAY(m4_crossvalid[[#This Row],[cutoff]]))</f>
        <v>45747</v>
      </c>
      <c r="B112" s="7">
        <f>DATE(YEAR(m4_crossvalid[[#This Row],[ds]]),MONTH(m4_crossvalid[[#This Row],[ds]]),DAY(m4_crossvalid[[#This Row],[ds]]))</f>
        <v>45765</v>
      </c>
      <c r="C112">
        <v>2721</v>
      </c>
      <c r="D112" s="1">
        <v>45765.333333333336</v>
      </c>
      <c r="E112">
        <v>3171.0687912319154</v>
      </c>
      <c r="F112">
        <v>1234.4573208881845</v>
      </c>
      <c r="G112">
        <v>4918.1393541609223</v>
      </c>
      <c r="H112" s="1">
        <v>45747.333333333336</v>
      </c>
    </row>
    <row r="113" spans="1:8" x14ac:dyDescent="0.25">
      <c r="A113" s="7">
        <f>DATE(YEAR(m4_crossvalid[[#This Row],[cutoff]]),MONTH(m4_crossvalid[[#This Row],[cutoff]]),DAY(m4_crossvalid[[#This Row],[cutoff]]))</f>
        <v>45747</v>
      </c>
      <c r="B113" s="7">
        <f>DATE(YEAR(m4_crossvalid[[#This Row],[ds]]),MONTH(m4_crossvalid[[#This Row],[ds]]),DAY(m4_crossvalid[[#This Row],[ds]]))</f>
        <v>45766</v>
      </c>
      <c r="C113">
        <v>420</v>
      </c>
      <c r="D113" s="1">
        <v>45766.333333333336</v>
      </c>
      <c r="E113">
        <v>1025.7764805671629</v>
      </c>
      <c r="F113">
        <v>-777.22660329337066</v>
      </c>
      <c r="G113">
        <v>2666.7306312322817</v>
      </c>
      <c r="H113" s="1">
        <v>45747.333333333336</v>
      </c>
    </row>
    <row r="114" spans="1:8" x14ac:dyDescent="0.25">
      <c r="A114" s="7">
        <f>DATE(YEAR(m4_crossvalid[[#This Row],[cutoff]]),MONTH(m4_crossvalid[[#This Row],[cutoff]]),DAY(m4_crossvalid[[#This Row],[cutoff]]))</f>
        <v>45747</v>
      </c>
      <c r="B114" s="7">
        <f>DATE(YEAR(m4_crossvalid[[#This Row],[ds]]),MONTH(m4_crossvalid[[#This Row],[ds]]),DAY(m4_crossvalid[[#This Row],[ds]]))</f>
        <v>45767</v>
      </c>
      <c r="C114">
        <v>166</v>
      </c>
      <c r="D114" s="1">
        <v>45767.333333333336</v>
      </c>
      <c r="E114">
        <v>404.69822255031477</v>
      </c>
      <c r="F114">
        <v>-1332.6619685134626</v>
      </c>
      <c r="G114">
        <v>2022.0459497908346</v>
      </c>
      <c r="H114" s="1">
        <v>45747.333333333336</v>
      </c>
    </row>
    <row r="115" spans="1:8" x14ac:dyDescent="0.25">
      <c r="A115" s="7">
        <f>DATE(YEAR(m4_crossvalid[[#This Row],[cutoff]]),MONTH(m4_crossvalid[[#This Row],[cutoff]]),DAY(m4_crossvalid[[#This Row],[cutoff]]))</f>
        <v>45747</v>
      </c>
      <c r="B115" s="7">
        <f>DATE(YEAR(m4_crossvalid[[#This Row],[ds]]),MONTH(m4_crossvalid[[#This Row],[ds]]),DAY(m4_crossvalid[[#This Row],[ds]]))</f>
        <v>45768</v>
      </c>
      <c r="C115">
        <v>2715</v>
      </c>
      <c r="D115" s="1">
        <v>45768.333333333336</v>
      </c>
      <c r="E115">
        <v>2784.6817096992067</v>
      </c>
      <c r="F115">
        <v>976.2354175656402</v>
      </c>
      <c r="G115">
        <v>4568.8917266516601</v>
      </c>
      <c r="H115" s="1">
        <v>45747.333333333336</v>
      </c>
    </row>
    <row r="116" spans="1:8" x14ac:dyDescent="0.25">
      <c r="A116" s="7">
        <f>DATE(YEAR(m4_crossvalid[[#This Row],[cutoff]]),MONTH(m4_crossvalid[[#This Row],[cutoff]]),DAY(m4_crossvalid[[#This Row],[cutoff]]))</f>
        <v>45747</v>
      </c>
      <c r="B116" s="7">
        <f>DATE(YEAR(m4_crossvalid[[#This Row],[ds]]),MONTH(m4_crossvalid[[#This Row],[ds]]),DAY(m4_crossvalid[[#This Row],[ds]]))</f>
        <v>45769</v>
      </c>
      <c r="C116">
        <v>3162</v>
      </c>
      <c r="D116" s="1">
        <v>45769.333333333336</v>
      </c>
      <c r="E116">
        <v>3192.7447871328654</v>
      </c>
      <c r="F116">
        <v>1442.7943337376737</v>
      </c>
      <c r="G116">
        <v>4992.7416294117884</v>
      </c>
      <c r="H116" s="1">
        <v>45747.333333333336</v>
      </c>
    </row>
    <row r="117" spans="1:8" x14ac:dyDescent="0.25">
      <c r="A117" s="7">
        <f>DATE(YEAR(m4_crossvalid[[#This Row],[cutoff]]),MONTH(m4_crossvalid[[#This Row],[cutoff]]),DAY(m4_crossvalid[[#This Row],[cutoff]]))</f>
        <v>45747</v>
      </c>
      <c r="B117" s="7">
        <f>DATE(YEAR(m4_crossvalid[[#This Row],[ds]]),MONTH(m4_crossvalid[[#This Row],[ds]]),DAY(m4_crossvalid[[#This Row],[ds]]))</f>
        <v>45770</v>
      </c>
      <c r="C117">
        <v>3604</v>
      </c>
      <c r="D117" s="1">
        <v>45770.333333333336</v>
      </c>
      <c r="E117">
        <v>3559.2823464370349</v>
      </c>
      <c r="F117">
        <v>1854.3161314242059</v>
      </c>
      <c r="G117">
        <v>5399.1120643994882</v>
      </c>
      <c r="H117" s="1">
        <v>45747.333333333336</v>
      </c>
    </row>
    <row r="118" spans="1:8" x14ac:dyDescent="0.25">
      <c r="A118" s="7">
        <f>DATE(YEAR(m4_crossvalid[[#This Row],[cutoff]]),MONTH(m4_crossvalid[[#This Row],[cutoff]]),DAY(m4_crossvalid[[#This Row],[cutoff]]))</f>
        <v>45747</v>
      </c>
      <c r="B118" s="7">
        <f>DATE(YEAR(m4_crossvalid[[#This Row],[ds]]),MONTH(m4_crossvalid[[#This Row],[ds]]),DAY(m4_crossvalid[[#This Row],[ds]]))</f>
        <v>45771</v>
      </c>
      <c r="C118">
        <v>3831</v>
      </c>
      <c r="D118" s="1">
        <v>45771.333333333336</v>
      </c>
      <c r="E118">
        <v>3906.6084360356845</v>
      </c>
      <c r="F118">
        <v>2117.1167422616527</v>
      </c>
      <c r="G118">
        <v>5760.6916012305101</v>
      </c>
      <c r="H118" s="1">
        <v>45747.333333333336</v>
      </c>
    </row>
    <row r="119" spans="1:8" x14ac:dyDescent="0.25">
      <c r="A119" s="7">
        <f>DATE(YEAR(m4_crossvalid[[#This Row],[cutoff]]),MONTH(m4_crossvalid[[#This Row],[cutoff]]),DAY(m4_crossvalid[[#This Row],[cutoff]]))</f>
        <v>45747</v>
      </c>
      <c r="B119" s="7">
        <f>DATE(YEAR(m4_crossvalid[[#This Row],[ds]]),MONTH(m4_crossvalid[[#This Row],[ds]]),DAY(m4_crossvalid[[#This Row],[ds]]))</f>
        <v>45772</v>
      </c>
      <c r="C119">
        <v>4600</v>
      </c>
      <c r="D119" s="1">
        <v>45772.333333333336</v>
      </c>
      <c r="E119">
        <v>3919.5210517980104</v>
      </c>
      <c r="F119">
        <v>2206.6925885315532</v>
      </c>
      <c r="G119">
        <v>5785.5912552639838</v>
      </c>
      <c r="H119" s="1">
        <v>45747.333333333336</v>
      </c>
    </row>
    <row r="120" spans="1:8" x14ac:dyDescent="0.25">
      <c r="A120" s="7">
        <f>DATE(YEAR(m4_crossvalid[[#This Row],[cutoff]]),MONTH(m4_crossvalid[[#This Row],[cutoff]]),DAY(m4_crossvalid[[#This Row],[cutoff]]))</f>
        <v>45747</v>
      </c>
      <c r="B120" s="7">
        <f>DATE(YEAR(m4_crossvalid[[#This Row],[ds]]),MONTH(m4_crossvalid[[#This Row],[ds]]),DAY(m4_crossvalid[[#This Row],[ds]]))</f>
        <v>45773</v>
      </c>
      <c r="C120">
        <v>1014</v>
      </c>
      <c r="D120" s="1">
        <v>45773.333333333336</v>
      </c>
      <c r="E120">
        <v>1585.4384346489906</v>
      </c>
      <c r="F120">
        <v>-210.45208107014199</v>
      </c>
      <c r="G120">
        <v>3396.0571865987849</v>
      </c>
      <c r="H120" s="1">
        <v>45747.333333333336</v>
      </c>
    </row>
    <row r="121" spans="1:8" x14ac:dyDescent="0.25">
      <c r="A121" s="7">
        <f>DATE(YEAR(m4_crossvalid[[#This Row],[cutoff]]),MONTH(m4_crossvalid[[#This Row],[cutoff]]),DAY(m4_crossvalid[[#This Row],[cutoff]]))</f>
        <v>45747</v>
      </c>
      <c r="B121" s="7">
        <f>DATE(YEAR(m4_crossvalid[[#This Row],[ds]]),MONTH(m4_crossvalid[[#This Row],[ds]]),DAY(m4_crossvalid[[#This Row],[ds]]))</f>
        <v>45774</v>
      </c>
      <c r="C121">
        <v>198</v>
      </c>
      <c r="D121" s="1">
        <v>45774.333333333336</v>
      </c>
      <c r="E121">
        <v>1182.4512880409659</v>
      </c>
      <c r="F121">
        <v>-697.34015713643782</v>
      </c>
      <c r="G121">
        <v>2889.6055700182128</v>
      </c>
      <c r="H121" s="1">
        <v>45747.333333333336</v>
      </c>
    </row>
    <row r="122" spans="1:8" x14ac:dyDescent="0.25">
      <c r="A122" s="7">
        <f>DATE(YEAR(m4_crossvalid[[#This Row],[cutoff]]),MONTH(m4_crossvalid[[#This Row],[cutoff]]),DAY(m4_crossvalid[[#This Row],[cutoff]]))</f>
        <v>45747</v>
      </c>
      <c r="B122" s="7">
        <f>DATE(YEAR(m4_crossvalid[[#This Row],[ds]]),MONTH(m4_crossvalid[[#This Row],[ds]]),DAY(m4_crossvalid[[#This Row],[ds]]))</f>
        <v>45775</v>
      </c>
      <c r="C122">
        <v>5133</v>
      </c>
      <c r="D122" s="1">
        <v>45775.333333333336</v>
      </c>
      <c r="E122">
        <v>4335.1721317698102</v>
      </c>
      <c r="F122">
        <v>2569.0986118213614</v>
      </c>
      <c r="G122">
        <v>6129.268218121143</v>
      </c>
      <c r="H122" s="1">
        <v>45747.333333333336</v>
      </c>
    </row>
    <row r="123" spans="1:8" x14ac:dyDescent="0.25">
      <c r="A123" s="7">
        <f>DATE(YEAR(m4_crossvalid[[#This Row],[cutoff]]),MONTH(m4_crossvalid[[#This Row],[cutoff]]),DAY(m4_crossvalid[[#This Row],[cutoff]]))</f>
        <v>45747</v>
      </c>
      <c r="B123" s="7">
        <f>DATE(YEAR(m4_crossvalid[[#This Row],[ds]]),MONTH(m4_crossvalid[[#This Row],[ds]]),DAY(m4_crossvalid[[#This Row],[ds]]))</f>
        <v>45776</v>
      </c>
      <c r="C123">
        <v>7913</v>
      </c>
      <c r="D123" s="1">
        <v>45776.333333333336</v>
      </c>
      <c r="E123">
        <v>5741.8304012512181</v>
      </c>
      <c r="F123">
        <v>3997.2714733101348</v>
      </c>
      <c r="G123">
        <v>7586.7042303256085</v>
      </c>
      <c r="H123" s="1">
        <v>45747.333333333336</v>
      </c>
    </row>
    <row r="124" spans="1:8" x14ac:dyDescent="0.25">
      <c r="A124" s="7">
        <f>DATE(YEAR(m4_crossvalid[[#This Row],[cutoff]]),MONTH(m4_crossvalid[[#This Row],[cutoff]]),DAY(m4_crossvalid[[#This Row],[cutoff]]))</f>
        <v>45747</v>
      </c>
      <c r="B124" s="7">
        <f>DATE(YEAR(m4_crossvalid[[#This Row],[ds]]),MONTH(m4_crossvalid[[#This Row],[ds]]),DAY(m4_crossvalid[[#This Row],[ds]]))</f>
        <v>45777</v>
      </c>
      <c r="C124">
        <v>14564</v>
      </c>
      <c r="D124" s="1">
        <v>45777.333333333336</v>
      </c>
      <c r="E124">
        <v>6712.45432587904</v>
      </c>
      <c r="F124">
        <v>4976.7843902917339</v>
      </c>
      <c r="G124">
        <v>8479.7679543476588</v>
      </c>
      <c r="H124" s="1">
        <v>45747.333333333336</v>
      </c>
    </row>
    <row r="125" spans="1:8" x14ac:dyDescent="0.25">
      <c r="A125" s="7">
        <f>DATE(YEAR(m4_crossvalid[[#This Row],[cutoff]]),MONTH(m4_crossvalid[[#This Row],[cutoff]]),DAY(m4_crossvalid[[#This Row],[cutoff]]))</f>
        <v>45747</v>
      </c>
      <c r="B125" s="7">
        <f>DATE(YEAR(m4_crossvalid[[#This Row],[ds]]),MONTH(m4_crossvalid[[#This Row],[ds]]),DAY(m4_crossvalid[[#This Row],[ds]]))</f>
        <v>45778</v>
      </c>
      <c r="C125">
        <v>24</v>
      </c>
      <c r="D125" s="1">
        <v>45778.333333333336</v>
      </c>
      <c r="E125">
        <v>5237.6999387395726</v>
      </c>
      <c r="F125">
        <v>3572.4018307632232</v>
      </c>
      <c r="G125">
        <v>7049.1455007760978</v>
      </c>
      <c r="H125" s="1">
        <v>45747.333333333336</v>
      </c>
    </row>
    <row r="126" spans="1:8" x14ac:dyDescent="0.25">
      <c r="A126" s="7">
        <f>DATE(YEAR(m4_crossvalid[[#This Row],[cutoff]]),MONTH(m4_crossvalid[[#This Row],[cutoff]]),DAY(m4_crossvalid[[#This Row],[cutoff]]))</f>
        <v>45777</v>
      </c>
      <c r="B126" s="7">
        <f>DATE(YEAR(m4_crossvalid[[#This Row],[ds]]),MONTH(m4_crossvalid[[#This Row],[ds]]),DAY(m4_crossvalid[[#This Row],[ds]]))</f>
        <v>45778</v>
      </c>
      <c r="C126">
        <v>24</v>
      </c>
      <c r="D126" s="1">
        <v>45778.333333333336</v>
      </c>
      <c r="E126">
        <v>5490.2937175626221</v>
      </c>
      <c r="F126">
        <v>3706.1558524686388</v>
      </c>
      <c r="G126">
        <v>7415.4019327390179</v>
      </c>
      <c r="H126" s="1">
        <v>45777.333333333336</v>
      </c>
    </row>
    <row r="127" spans="1:8" x14ac:dyDescent="0.25">
      <c r="A127" s="7">
        <f>DATE(YEAR(m4_crossvalid[[#This Row],[cutoff]]),MONTH(m4_crossvalid[[#This Row],[cutoff]]),DAY(m4_crossvalid[[#This Row],[cutoff]]))</f>
        <v>45777</v>
      </c>
      <c r="B127" s="7">
        <f>DATE(YEAR(m4_crossvalid[[#This Row],[ds]]),MONTH(m4_crossvalid[[#This Row],[ds]]),DAY(m4_crossvalid[[#This Row],[ds]]))</f>
        <v>45779</v>
      </c>
      <c r="C127">
        <v>750</v>
      </c>
      <c r="D127" s="1">
        <v>45779.333333333336</v>
      </c>
      <c r="E127">
        <v>5782.4286917882855</v>
      </c>
      <c r="F127">
        <v>4049.4517931110004</v>
      </c>
      <c r="G127">
        <v>7496.3199876923563</v>
      </c>
      <c r="H127" s="1">
        <v>45777.333333333336</v>
      </c>
    </row>
    <row r="128" spans="1:8" x14ac:dyDescent="0.25">
      <c r="A128" s="7">
        <f>DATE(YEAR(m4_crossvalid[[#This Row],[cutoff]]),MONTH(m4_crossvalid[[#This Row],[cutoff]]),DAY(m4_crossvalid[[#This Row],[cutoff]]))</f>
        <v>45777</v>
      </c>
      <c r="B128" s="7">
        <f>DATE(YEAR(m4_crossvalid[[#This Row],[ds]]),MONTH(m4_crossvalid[[#This Row],[ds]]),DAY(m4_crossvalid[[#This Row],[ds]]))</f>
        <v>45780</v>
      </c>
      <c r="C128">
        <v>70</v>
      </c>
      <c r="D128" s="1">
        <v>45780.333333333336</v>
      </c>
      <c r="E128">
        <v>1644.8256550407659</v>
      </c>
      <c r="F128">
        <v>-118.36075048264402</v>
      </c>
      <c r="G128">
        <v>3468.6782826816871</v>
      </c>
      <c r="H128" s="1">
        <v>45777.333333333336</v>
      </c>
    </row>
    <row r="129" spans="1:8" x14ac:dyDescent="0.25">
      <c r="A129" s="7">
        <f>DATE(YEAR(m4_crossvalid[[#This Row],[cutoff]]),MONTH(m4_crossvalid[[#This Row],[cutoff]]),DAY(m4_crossvalid[[#This Row],[cutoff]]))</f>
        <v>45777</v>
      </c>
      <c r="B129" s="7">
        <f>DATE(YEAR(m4_crossvalid[[#This Row],[ds]]),MONTH(m4_crossvalid[[#This Row],[ds]]),DAY(m4_crossvalid[[#This Row],[ds]]))</f>
        <v>45781</v>
      </c>
      <c r="C129">
        <v>31</v>
      </c>
      <c r="D129" s="1">
        <v>45781.333333333336</v>
      </c>
      <c r="E129">
        <v>-569.2575714761465</v>
      </c>
      <c r="F129">
        <v>-2447.2363098795108</v>
      </c>
      <c r="G129">
        <v>1178.737715645552</v>
      </c>
      <c r="H129" s="1">
        <v>45777.333333333336</v>
      </c>
    </row>
    <row r="130" spans="1:8" x14ac:dyDescent="0.25">
      <c r="A130" s="7">
        <f>DATE(YEAR(m4_crossvalid[[#This Row],[cutoff]]),MONTH(m4_crossvalid[[#This Row],[cutoff]]),DAY(m4_crossvalid[[#This Row],[cutoff]]))</f>
        <v>45777</v>
      </c>
      <c r="B130" s="7">
        <f>DATE(YEAR(m4_crossvalid[[#This Row],[ds]]),MONTH(m4_crossvalid[[#This Row],[ds]]),DAY(m4_crossvalid[[#This Row],[ds]]))</f>
        <v>45782</v>
      </c>
      <c r="C130">
        <v>1026</v>
      </c>
      <c r="D130" s="1">
        <v>45782.333333333336</v>
      </c>
      <c r="E130">
        <v>1093.4390763517295</v>
      </c>
      <c r="F130">
        <v>-745.55917256705152</v>
      </c>
      <c r="G130">
        <v>2864.5452477391477</v>
      </c>
      <c r="H130" s="1">
        <v>45777.333333333336</v>
      </c>
    </row>
    <row r="131" spans="1:8" x14ac:dyDescent="0.25">
      <c r="A131" s="7">
        <f>DATE(YEAR(m4_crossvalid[[#This Row],[cutoff]]),MONTH(m4_crossvalid[[#This Row],[cutoff]]),DAY(m4_crossvalid[[#This Row],[cutoff]]))</f>
        <v>45777</v>
      </c>
      <c r="B131" s="7">
        <f>DATE(YEAR(m4_crossvalid[[#This Row],[ds]]),MONTH(m4_crossvalid[[#This Row],[ds]]),DAY(m4_crossvalid[[#This Row],[ds]]))</f>
        <v>45783</v>
      </c>
      <c r="C131">
        <v>940</v>
      </c>
      <c r="D131" s="1">
        <v>45783.333333333336</v>
      </c>
      <c r="E131">
        <v>1430.2960372748312</v>
      </c>
      <c r="F131">
        <v>-425.9808450321807</v>
      </c>
      <c r="G131">
        <v>3271.1531523999161</v>
      </c>
      <c r="H131" s="1">
        <v>45777.333333333336</v>
      </c>
    </row>
    <row r="132" spans="1:8" x14ac:dyDescent="0.25">
      <c r="A132" s="7">
        <f>DATE(YEAR(m4_crossvalid[[#This Row],[cutoff]]),MONTH(m4_crossvalid[[#This Row],[cutoff]]),DAY(m4_crossvalid[[#This Row],[cutoff]]))</f>
        <v>45777</v>
      </c>
      <c r="B132" s="7">
        <f>DATE(YEAR(m4_crossvalid[[#This Row],[ds]]),MONTH(m4_crossvalid[[#This Row],[ds]]),DAY(m4_crossvalid[[#This Row],[ds]]))</f>
        <v>45784</v>
      </c>
      <c r="C132">
        <v>1225</v>
      </c>
      <c r="D132" s="1">
        <v>45784.333333333336</v>
      </c>
      <c r="E132">
        <v>1902.9449750332965</v>
      </c>
      <c r="F132">
        <v>-35.57408174891598</v>
      </c>
      <c r="G132">
        <v>3658.3755905489838</v>
      </c>
      <c r="H132" s="1">
        <v>45777.333333333336</v>
      </c>
    </row>
    <row r="133" spans="1:8" x14ac:dyDescent="0.25">
      <c r="A133" s="7">
        <f>DATE(YEAR(m4_crossvalid[[#This Row],[cutoff]]),MONTH(m4_crossvalid[[#This Row],[cutoff]]),DAY(m4_crossvalid[[#This Row],[cutoff]]))</f>
        <v>45777</v>
      </c>
      <c r="B133" s="7">
        <f>DATE(YEAR(m4_crossvalid[[#This Row],[ds]]),MONTH(m4_crossvalid[[#This Row],[ds]]),DAY(m4_crossvalid[[#This Row],[ds]]))</f>
        <v>45785</v>
      </c>
      <c r="C133">
        <v>1538</v>
      </c>
      <c r="D133" s="1">
        <v>45785.333333333336</v>
      </c>
      <c r="E133">
        <v>2130.8635804237924</v>
      </c>
      <c r="F133">
        <v>428.06202410645733</v>
      </c>
      <c r="G133">
        <v>3845.0417896425038</v>
      </c>
      <c r="H133" s="1">
        <v>45777.333333333336</v>
      </c>
    </row>
    <row r="134" spans="1:8" x14ac:dyDescent="0.25">
      <c r="A134" s="7">
        <f>DATE(YEAR(m4_crossvalid[[#This Row],[cutoff]]),MONTH(m4_crossvalid[[#This Row],[cutoff]]),DAY(m4_crossvalid[[#This Row],[cutoff]]))</f>
        <v>45777</v>
      </c>
      <c r="B134" s="7">
        <f>DATE(YEAR(m4_crossvalid[[#This Row],[ds]]),MONTH(m4_crossvalid[[#This Row],[ds]]),DAY(m4_crossvalid[[#This Row],[ds]]))</f>
        <v>45786</v>
      </c>
      <c r="C134">
        <v>1799</v>
      </c>
      <c r="D134" s="1">
        <v>45786.333333333336</v>
      </c>
      <c r="E134">
        <v>1981.5159907099096</v>
      </c>
      <c r="F134">
        <v>169.95526665323635</v>
      </c>
      <c r="G134">
        <v>3653.7926716314337</v>
      </c>
      <c r="H134" s="1">
        <v>45777.333333333336</v>
      </c>
    </row>
    <row r="135" spans="1:8" x14ac:dyDescent="0.25">
      <c r="A135" s="7">
        <f>DATE(YEAR(m4_crossvalid[[#This Row],[cutoff]]),MONTH(m4_crossvalid[[#This Row],[cutoff]]),DAY(m4_crossvalid[[#This Row],[cutoff]]))</f>
        <v>45777</v>
      </c>
      <c r="B135" s="7">
        <f>DATE(YEAR(m4_crossvalid[[#This Row],[ds]]),MONTH(m4_crossvalid[[#This Row],[ds]]),DAY(m4_crossvalid[[#This Row],[ds]]))</f>
        <v>45787</v>
      </c>
      <c r="C135">
        <v>415</v>
      </c>
      <c r="D135" s="1">
        <v>45787.333333333336</v>
      </c>
      <c r="E135">
        <v>-448.16286152198518</v>
      </c>
      <c r="F135">
        <v>-2304.2463970821732</v>
      </c>
      <c r="G135">
        <v>1485.4077577131382</v>
      </c>
      <c r="H135" s="1">
        <v>45777.333333333336</v>
      </c>
    </row>
    <row r="136" spans="1:8" x14ac:dyDescent="0.25">
      <c r="A136" s="7">
        <f>DATE(YEAR(m4_crossvalid[[#This Row],[cutoff]]),MONTH(m4_crossvalid[[#This Row],[cutoff]]),DAY(m4_crossvalid[[#This Row],[cutoff]]))</f>
        <v>45777</v>
      </c>
      <c r="B136" s="7">
        <f>DATE(YEAR(m4_crossvalid[[#This Row],[ds]]),MONTH(m4_crossvalid[[#This Row],[ds]]),DAY(m4_crossvalid[[#This Row],[ds]]))</f>
        <v>45788</v>
      </c>
      <c r="C136">
        <v>169</v>
      </c>
      <c r="D136" s="1">
        <v>45788.333333333336</v>
      </c>
      <c r="E136">
        <v>-924.46753556485919</v>
      </c>
      <c r="F136">
        <v>-2759.305415109699</v>
      </c>
      <c r="G136">
        <v>798.47526048271232</v>
      </c>
      <c r="H136" s="1">
        <v>45777.333333333336</v>
      </c>
    </row>
    <row r="137" spans="1:8" x14ac:dyDescent="0.25">
      <c r="A137" s="7">
        <f>DATE(YEAR(m4_crossvalid[[#This Row],[cutoff]]),MONTH(m4_crossvalid[[#This Row],[cutoff]]),DAY(m4_crossvalid[[#This Row],[cutoff]]))</f>
        <v>45777</v>
      </c>
      <c r="B137" s="7">
        <f>DATE(YEAR(m4_crossvalid[[#This Row],[ds]]),MONTH(m4_crossvalid[[#This Row],[ds]]),DAY(m4_crossvalid[[#This Row],[ds]]))</f>
        <v>45789</v>
      </c>
      <c r="C137">
        <v>185</v>
      </c>
      <c r="D137" s="1">
        <v>45789.333333333336</v>
      </c>
      <c r="E137">
        <v>342.21762236465884</v>
      </c>
      <c r="F137">
        <v>-1384.7571736430691</v>
      </c>
      <c r="G137">
        <v>2086.3033251965076</v>
      </c>
      <c r="H137" s="1">
        <v>45777.333333333336</v>
      </c>
    </row>
    <row r="138" spans="1:8" x14ac:dyDescent="0.25">
      <c r="A138" s="7">
        <f>DATE(YEAR(m4_crossvalid[[#This Row],[cutoff]]),MONTH(m4_crossvalid[[#This Row],[cutoff]]),DAY(m4_crossvalid[[#This Row],[cutoff]]))</f>
        <v>45777</v>
      </c>
      <c r="B138" s="7">
        <f>DATE(YEAR(m4_crossvalid[[#This Row],[ds]]),MONTH(m4_crossvalid[[#This Row],[ds]]),DAY(m4_crossvalid[[#This Row],[ds]]))</f>
        <v>45790</v>
      </c>
      <c r="C138">
        <v>2011</v>
      </c>
      <c r="D138" s="1">
        <v>45790.333333333336</v>
      </c>
      <c r="E138">
        <v>2497.8711179660831</v>
      </c>
      <c r="F138">
        <v>638.1821371026515</v>
      </c>
      <c r="G138">
        <v>4288.0704340626653</v>
      </c>
      <c r="H138" s="1">
        <v>45777.333333333336</v>
      </c>
    </row>
    <row r="139" spans="1:8" x14ac:dyDescent="0.25">
      <c r="A139" s="7">
        <f>DATE(YEAR(m4_crossvalid[[#This Row],[cutoff]]),MONTH(m4_crossvalid[[#This Row],[cutoff]]),DAY(m4_crossvalid[[#This Row],[cutoff]]))</f>
        <v>45777</v>
      </c>
      <c r="B139" s="7">
        <f>DATE(YEAR(m4_crossvalid[[#This Row],[ds]]),MONTH(m4_crossvalid[[#This Row],[ds]]),DAY(m4_crossvalid[[#This Row],[ds]]))</f>
        <v>45791</v>
      </c>
      <c r="C139">
        <v>2630</v>
      </c>
      <c r="D139" s="1">
        <v>45791.333333333336</v>
      </c>
      <c r="E139">
        <v>2650.6605482658319</v>
      </c>
      <c r="F139">
        <v>703.26198027592613</v>
      </c>
      <c r="G139">
        <v>4480.813174767999</v>
      </c>
      <c r="H139" s="1">
        <v>45777.333333333336</v>
      </c>
    </row>
    <row r="140" spans="1:8" x14ac:dyDescent="0.25">
      <c r="A140" s="7">
        <f>DATE(YEAR(m4_crossvalid[[#This Row],[cutoff]]),MONTH(m4_crossvalid[[#This Row],[cutoff]]),DAY(m4_crossvalid[[#This Row],[cutoff]]))</f>
        <v>45777</v>
      </c>
      <c r="B140" s="7">
        <f>DATE(YEAR(m4_crossvalid[[#This Row],[ds]]),MONTH(m4_crossvalid[[#This Row],[ds]]),DAY(m4_crossvalid[[#This Row],[ds]]))</f>
        <v>45792</v>
      </c>
      <c r="C140">
        <v>2985</v>
      </c>
      <c r="D140" s="1">
        <v>45792.333333333336</v>
      </c>
      <c r="E140">
        <v>2511.3283478640956</v>
      </c>
      <c r="F140">
        <v>587.02168117128804</v>
      </c>
      <c r="G140">
        <v>4299.628381802886</v>
      </c>
      <c r="H140" s="1">
        <v>45777.333333333336</v>
      </c>
    </row>
    <row r="141" spans="1:8" x14ac:dyDescent="0.25">
      <c r="A141" s="7">
        <f>DATE(YEAR(m4_crossvalid[[#This Row],[cutoff]]),MONTH(m4_crossvalid[[#This Row],[cutoff]]),DAY(m4_crossvalid[[#This Row],[cutoff]]))</f>
        <v>45777</v>
      </c>
      <c r="B141" s="7">
        <f>DATE(YEAR(m4_crossvalid[[#This Row],[ds]]),MONTH(m4_crossvalid[[#This Row],[ds]]),DAY(m4_crossvalid[[#This Row],[ds]]))</f>
        <v>45793</v>
      </c>
      <c r="C141">
        <v>3081</v>
      </c>
      <c r="D141" s="1">
        <v>45793.333333333336</v>
      </c>
      <c r="E141">
        <v>2344.8634107625098</v>
      </c>
      <c r="F141">
        <v>460.09608502278434</v>
      </c>
      <c r="G141">
        <v>4136.8442776950169</v>
      </c>
      <c r="H141" s="1">
        <v>45777.333333333336</v>
      </c>
    </row>
    <row r="142" spans="1:8" x14ac:dyDescent="0.25">
      <c r="A142" s="7">
        <f>DATE(YEAR(m4_crossvalid[[#This Row],[cutoff]]),MONTH(m4_crossvalid[[#This Row],[cutoff]]),DAY(m4_crossvalid[[#This Row],[cutoff]]))</f>
        <v>45777</v>
      </c>
      <c r="B142" s="7">
        <f>DATE(YEAR(m4_crossvalid[[#This Row],[ds]]),MONTH(m4_crossvalid[[#This Row],[ds]]),DAY(m4_crossvalid[[#This Row],[ds]]))</f>
        <v>45794</v>
      </c>
      <c r="C142">
        <v>609</v>
      </c>
      <c r="D142" s="1">
        <v>45794.333333333336</v>
      </c>
      <c r="E142">
        <v>211.2505529125965</v>
      </c>
      <c r="F142">
        <v>-1596.1412529610775</v>
      </c>
      <c r="G142">
        <v>2098.1412387111313</v>
      </c>
      <c r="H142" s="1">
        <v>45777.333333333336</v>
      </c>
    </row>
    <row r="143" spans="1:8" x14ac:dyDescent="0.25">
      <c r="A143" s="7">
        <f>DATE(YEAR(m4_crossvalid[[#This Row],[cutoff]]),MONTH(m4_crossvalid[[#This Row],[cutoff]]),DAY(m4_crossvalid[[#This Row],[cutoff]]))</f>
        <v>45777</v>
      </c>
      <c r="B143" s="7">
        <f>DATE(YEAR(m4_crossvalid[[#This Row],[ds]]),MONTH(m4_crossvalid[[#This Row],[ds]]),DAY(m4_crossvalid[[#This Row],[ds]]))</f>
        <v>45795</v>
      </c>
      <c r="C143">
        <v>185</v>
      </c>
      <c r="D143" s="1">
        <v>45795.333333333336</v>
      </c>
      <c r="E143">
        <v>-7.4821132638167001</v>
      </c>
      <c r="F143">
        <v>-1864.8961823088191</v>
      </c>
      <c r="G143">
        <v>1745.4570932515189</v>
      </c>
      <c r="H143" s="1">
        <v>45777.333333333336</v>
      </c>
    </row>
    <row r="144" spans="1:8" x14ac:dyDescent="0.25">
      <c r="A144" s="7">
        <f>DATE(YEAR(m4_crossvalid[[#This Row],[cutoff]]),MONTH(m4_crossvalid[[#This Row],[cutoff]]),DAY(m4_crossvalid[[#This Row],[cutoff]]))</f>
        <v>45777</v>
      </c>
      <c r="B144" s="7">
        <f>DATE(YEAR(m4_crossvalid[[#This Row],[ds]]),MONTH(m4_crossvalid[[#This Row],[ds]]),DAY(m4_crossvalid[[#This Row],[ds]]))</f>
        <v>45796</v>
      </c>
      <c r="C144">
        <v>2926</v>
      </c>
      <c r="D144" s="1">
        <v>45796.333333333336</v>
      </c>
      <c r="E144">
        <v>2734.3223219089195</v>
      </c>
      <c r="F144">
        <v>971.91308337192083</v>
      </c>
      <c r="G144">
        <v>4453.3669019354475</v>
      </c>
      <c r="H144" s="1">
        <v>45777.333333333336</v>
      </c>
    </row>
    <row r="145" spans="1:8" x14ac:dyDescent="0.25">
      <c r="A145" s="7">
        <f>DATE(YEAR(m4_crossvalid[[#This Row],[cutoff]]),MONTH(m4_crossvalid[[#This Row],[cutoff]]),DAY(m4_crossvalid[[#This Row],[cutoff]]))</f>
        <v>45777</v>
      </c>
      <c r="B145" s="7">
        <f>DATE(YEAR(m4_crossvalid[[#This Row],[ds]]),MONTH(m4_crossvalid[[#This Row],[ds]]),DAY(m4_crossvalid[[#This Row],[ds]]))</f>
        <v>45797</v>
      </c>
      <c r="C145">
        <v>3213</v>
      </c>
      <c r="D145" s="1">
        <v>45797.333333333336</v>
      </c>
      <c r="E145">
        <v>3035.4345119389013</v>
      </c>
      <c r="F145">
        <v>1218.3084590095052</v>
      </c>
      <c r="G145">
        <v>4818.6992254962297</v>
      </c>
      <c r="H145" s="1">
        <v>45777.333333333336</v>
      </c>
    </row>
    <row r="146" spans="1:8" x14ac:dyDescent="0.25">
      <c r="A146" s="7">
        <f>DATE(YEAR(m4_crossvalid[[#This Row],[cutoff]]),MONTH(m4_crossvalid[[#This Row],[cutoff]]),DAY(m4_crossvalid[[#This Row],[cutoff]]))</f>
        <v>45777</v>
      </c>
      <c r="B146" s="7">
        <f>DATE(YEAR(m4_crossvalid[[#This Row],[ds]]),MONTH(m4_crossvalid[[#This Row],[ds]]),DAY(m4_crossvalid[[#This Row],[ds]]))</f>
        <v>45798</v>
      </c>
      <c r="C146">
        <v>3566</v>
      </c>
      <c r="D146" s="1">
        <v>45798.333333333336</v>
      </c>
      <c r="E146">
        <v>2953.6178230135456</v>
      </c>
      <c r="F146">
        <v>1148.3692666896693</v>
      </c>
      <c r="G146">
        <v>4744.6700476960341</v>
      </c>
      <c r="H146" s="1">
        <v>45777.333333333336</v>
      </c>
    </row>
    <row r="147" spans="1:8" x14ac:dyDescent="0.25">
      <c r="A147" s="7">
        <f>DATE(YEAR(m4_crossvalid[[#This Row],[cutoff]]),MONTH(m4_crossvalid[[#This Row],[cutoff]]),DAY(m4_crossvalid[[#This Row],[cutoff]]))</f>
        <v>45777</v>
      </c>
      <c r="B147" s="7">
        <f>DATE(YEAR(m4_crossvalid[[#This Row],[ds]]),MONTH(m4_crossvalid[[#This Row],[ds]]),DAY(m4_crossvalid[[#This Row],[ds]]))</f>
        <v>45799</v>
      </c>
      <c r="C147">
        <v>3706</v>
      </c>
      <c r="D147" s="1">
        <v>45799.333333333336</v>
      </c>
      <c r="E147">
        <v>2918.4297227562556</v>
      </c>
      <c r="F147">
        <v>1176.9347361705215</v>
      </c>
      <c r="G147">
        <v>4678.4419792026238</v>
      </c>
      <c r="H147" s="1">
        <v>45777.333333333336</v>
      </c>
    </row>
    <row r="148" spans="1:8" x14ac:dyDescent="0.25">
      <c r="A148" s="7">
        <f>DATE(YEAR(m4_crossvalid[[#This Row],[cutoff]]),MONTH(m4_crossvalid[[#This Row],[cutoff]]),DAY(m4_crossvalid[[#This Row],[cutoff]]))</f>
        <v>45777</v>
      </c>
      <c r="B148" s="7">
        <f>DATE(YEAR(m4_crossvalid[[#This Row],[ds]]),MONTH(m4_crossvalid[[#This Row],[ds]]),DAY(m4_crossvalid[[#This Row],[ds]]))</f>
        <v>45800</v>
      </c>
      <c r="C148">
        <v>3920</v>
      </c>
      <c r="D148" s="1">
        <v>45800.333333333336</v>
      </c>
      <c r="E148">
        <v>3111.1973261263529</v>
      </c>
      <c r="F148">
        <v>1298.6507904269361</v>
      </c>
      <c r="G148">
        <v>5059.7785820301742</v>
      </c>
      <c r="H148" s="1">
        <v>45777.333333333336</v>
      </c>
    </row>
    <row r="149" spans="1:8" x14ac:dyDescent="0.25">
      <c r="A149" s="7">
        <f>DATE(YEAR(m4_crossvalid[[#This Row],[cutoff]]),MONTH(m4_crossvalid[[#This Row],[cutoff]]),DAY(m4_crossvalid[[#This Row],[cutoff]]))</f>
        <v>45777</v>
      </c>
      <c r="B149" s="7">
        <f>DATE(YEAR(m4_crossvalid[[#This Row],[ds]]),MONTH(m4_crossvalid[[#This Row],[ds]]),DAY(m4_crossvalid[[#This Row],[ds]]))</f>
        <v>45801</v>
      </c>
      <c r="C149">
        <v>857</v>
      </c>
      <c r="D149" s="1">
        <v>45801.333333333336</v>
      </c>
      <c r="E149">
        <v>1252.8193074452995</v>
      </c>
      <c r="F149">
        <v>-381.01254897772355</v>
      </c>
      <c r="G149">
        <v>3013.0035126899306</v>
      </c>
      <c r="H149" s="1">
        <v>45777.333333333336</v>
      </c>
    </row>
    <row r="150" spans="1:8" x14ac:dyDescent="0.25">
      <c r="A150" s="7">
        <f>DATE(YEAR(m4_crossvalid[[#This Row],[cutoff]]),MONTH(m4_crossvalid[[#This Row],[cutoff]]),DAY(m4_crossvalid[[#This Row],[cutoff]]))</f>
        <v>45777</v>
      </c>
      <c r="B150" s="7">
        <f>DATE(YEAR(m4_crossvalid[[#This Row],[ds]]),MONTH(m4_crossvalid[[#This Row],[ds]]),DAY(m4_crossvalid[[#This Row],[ds]]))</f>
        <v>45802</v>
      </c>
      <c r="C150">
        <v>215</v>
      </c>
      <c r="D150" s="1">
        <v>45802.333333333336</v>
      </c>
      <c r="E150">
        <v>985.05410335667125</v>
      </c>
      <c r="F150">
        <v>-818.73127222734854</v>
      </c>
      <c r="G150">
        <v>2757.835520855253</v>
      </c>
      <c r="H150" s="1">
        <v>45777.333333333336</v>
      </c>
    </row>
    <row r="151" spans="1:8" x14ac:dyDescent="0.25">
      <c r="A151" s="7">
        <f>DATE(YEAR(m4_crossvalid[[#This Row],[cutoff]]),MONTH(m4_crossvalid[[#This Row],[cutoff]]),DAY(m4_crossvalid[[#This Row],[cutoff]]))</f>
        <v>45777</v>
      </c>
      <c r="B151" s="7">
        <f>DATE(YEAR(m4_crossvalid[[#This Row],[ds]]),MONTH(m4_crossvalid[[#This Row],[ds]]),DAY(m4_crossvalid[[#This Row],[ds]]))</f>
        <v>45803</v>
      </c>
      <c r="C151">
        <v>4297</v>
      </c>
      <c r="D151" s="1">
        <v>45803.333333333336</v>
      </c>
      <c r="E151">
        <v>3488.4847739975426</v>
      </c>
      <c r="F151">
        <v>1733.7110580690207</v>
      </c>
      <c r="G151">
        <v>5392.8078455778541</v>
      </c>
      <c r="H151" s="1">
        <v>45777.333333333336</v>
      </c>
    </row>
    <row r="152" spans="1:8" x14ac:dyDescent="0.25">
      <c r="A152" s="7">
        <f>DATE(YEAR(m4_crossvalid[[#This Row],[cutoff]]),MONTH(m4_crossvalid[[#This Row],[cutoff]]),DAY(m4_crossvalid[[#This Row],[cutoff]]))</f>
        <v>45777</v>
      </c>
      <c r="B152" s="7">
        <f>DATE(YEAR(m4_crossvalid[[#This Row],[ds]]),MONTH(m4_crossvalid[[#This Row],[ds]]),DAY(m4_crossvalid[[#This Row],[ds]]))</f>
        <v>45804</v>
      </c>
      <c r="C152">
        <v>5188</v>
      </c>
      <c r="D152" s="1">
        <v>45804.333333333336</v>
      </c>
      <c r="E152">
        <v>3787.6089099785904</v>
      </c>
      <c r="F152">
        <v>2010.358815723431</v>
      </c>
      <c r="G152">
        <v>5704.7243412182852</v>
      </c>
      <c r="H152" s="1">
        <v>45777.333333333336</v>
      </c>
    </row>
    <row r="153" spans="1:8" x14ac:dyDescent="0.25">
      <c r="A153" s="7">
        <f>DATE(YEAR(m4_crossvalid[[#This Row],[cutoff]]),MONTH(m4_crossvalid[[#This Row],[cutoff]]),DAY(m4_crossvalid[[#This Row],[cutoff]]))</f>
        <v>45777</v>
      </c>
      <c r="B153" s="7">
        <f>DATE(YEAR(m4_crossvalid[[#This Row],[ds]]),MONTH(m4_crossvalid[[#This Row],[ds]]),DAY(m4_crossvalid[[#This Row],[ds]]))</f>
        <v>45805</v>
      </c>
      <c r="C153">
        <v>5701</v>
      </c>
      <c r="D153" s="1">
        <v>45805.333333333336</v>
      </c>
      <c r="E153">
        <v>4266.8187026167143</v>
      </c>
      <c r="F153">
        <v>2481.7900526231501</v>
      </c>
      <c r="G153">
        <v>5996.0787137679226</v>
      </c>
      <c r="H153" s="1">
        <v>45777.333333333336</v>
      </c>
    </row>
    <row r="154" spans="1:8" x14ac:dyDescent="0.25">
      <c r="A154" s="7">
        <f>DATE(YEAR(m4_crossvalid[[#This Row],[cutoff]]),MONTH(m4_crossvalid[[#This Row],[cutoff]]),DAY(m4_crossvalid[[#This Row],[cutoff]]))</f>
        <v>45777</v>
      </c>
      <c r="B154" s="7">
        <f>DATE(YEAR(m4_crossvalid[[#This Row],[ds]]),MONTH(m4_crossvalid[[#This Row],[ds]]),DAY(m4_crossvalid[[#This Row],[ds]]))</f>
        <v>45806</v>
      </c>
      <c r="C154">
        <v>8103</v>
      </c>
      <c r="D154" s="1">
        <v>45806.333333333336</v>
      </c>
      <c r="E154">
        <v>5235.6690805220005</v>
      </c>
      <c r="F154">
        <v>3337.5616504851459</v>
      </c>
      <c r="G154">
        <v>7085.6029280979083</v>
      </c>
      <c r="H154" s="1">
        <v>45777.333333333336</v>
      </c>
    </row>
    <row r="155" spans="1:8" x14ac:dyDescent="0.25">
      <c r="A155" s="7">
        <f>DATE(YEAR(m4_crossvalid[[#This Row],[cutoff]]),MONTH(m4_crossvalid[[#This Row],[cutoff]]),DAY(m4_crossvalid[[#This Row],[cutoff]]))</f>
        <v>45777</v>
      </c>
      <c r="B155" s="7">
        <f>DATE(YEAR(m4_crossvalid[[#This Row],[ds]]),MONTH(m4_crossvalid[[#This Row],[ds]]),DAY(m4_crossvalid[[#This Row],[ds]]))</f>
        <v>45807</v>
      </c>
      <c r="C155">
        <v>8920</v>
      </c>
      <c r="D155" s="1">
        <v>45807.333333333336</v>
      </c>
      <c r="E155">
        <v>6322.5947722006131</v>
      </c>
      <c r="F155">
        <v>4600.915253465776</v>
      </c>
      <c r="G155">
        <v>8032.2942755587137</v>
      </c>
      <c r="H155" s="1">
        <v>45777.333333333336</v>
      </c>
    </row>
    <row r="156" spans="1:8" x14ac:dyDescent="0.25">
      <c r="A156" s="7">
        <f>DATE(YEAR(m4_crossvalid[[#This Row],[cutoff]]),MONTH(m4_crossvalid[[#This Row],[cutoff]]),DAY(m4_crossvalid[[#This Row],[cutoff]]))</f>
        <v>45777</v>
      </c>
      <c r="B156" s="7">
        <f>DATE(YEAR(m4_crossvalid[[#This Row],[ds]]),MONTH(m4_crossvalid[[#This Row],[ds]]),DAY(m4_crossvalid[[#This Row],[ds]]))</f>
        <v>45808</v>
      </c>
      <c r="C156">
        <v>4108</v>
      </c>
      <c r="D156" s="1">
        <v>45808.333333333336</v>
      </c>
      <c r="E156">
        <v>4634.9114723468629</v>
      </c>
      <c r="F156">
        <v>2833.2408778173462</v>
      </c>
      <c r="G156">
        <v>6358.5751535998834</v>
      </c>
      <c r="H156" s="1">
        <v>45777.333333333336</v>
      </c>
    </row>
    <row r="157" spans="1:8" x14ac:dyDescent="0.25">
      <c r="A157" s="7">
        <f>DATE(YEAR(m4_crossvalid[[#This Row],[cutoff]]),MONTH(m4_crossvalid[[#This Row],[cutoff]]),DAY(m4_crossvalid[[#This Row],[cutoff]]))</f>
        <v>45808</v>
      </c>
      <c r="B157" s="7">
        <f>DATE(YEAR(m4_crossvalid[[#This Row],[ds]]),MONTH(m4_crossvalid[[#This Row],[ds]]),DAY(m4_crossvalid[[#This Row],[ds]]))</f>
        <v>45809</v>
      </c>
      <c r="C157">
        <v>75</v>
      </c>
      <c r="D157" s="1">
        <v>45809.333333333336</v>
      </c>
      <c r="E157">
        <v>3640.6424019482001</v>
      </c>
      <c r="F157">
        <v>1755.6918600111978</v>
      </c>
      <c r="G157">
        <v>5464.7014202001537</v>
      </c>
      <c r="H157" s="1">
        <v>45808.333333333336</v>
      </c>
    </row>
    <row r="158" spans="1:8" x14ac:dyDescent="0.25">
      <c r="A158" s="7">
        <f>DATE(YEAR(m4_crossvalid[[#This Row],[cutoff]]),MONTH(m4_crossvalid[[#This Row],[cutoff]]),DAY(m4_crossvalid[[#This Row],[cutoff]]))</f>
        <v>45808</v>
      </c>
      <c r="B158" s="7">
        <f>DATE(YEAR(m4_crossvalid[[#This Row],[ds]]),MONTH(m4_crossvalid[[#This Row],[ds]]),DAY(m4_crossvalid[[#This Row],[ds]]))</f>
        <v>45810</v>
      </c>
      <c r="C158">
        <v>3</v>
      </c>
      <c r="D158" s="1">
        <v>45810.333333333336</v>
      </c>
      <c r="E158">
        <v>2925.5256652964872</v>
      </c>
      <c r="F158">
        <v>1101.0675912216766</v>
      </c>
      <c r="G158">
        <v>4776.5406960239252</v>
      </c>
      <c r="H158" s="1">
        <v>45808.333333333336</v>
      </c>
    </row>
    <row r="159" spans="1:8" x14ac:dyDescent="0.25">
      <c r="A159" s="7">
        <f>DATE(YEAR(m4_crossvalid[[#This Row],[cutoff]]),MONTH(m4_crossvalid[[#This Row],[cutoff]]),DAY(m4_crossvalid[[#This Row],[cutoff]]))</f>
        <v>45808</v>
      </c>
      <c r="B159" s="7">
        <f>DATE(YEAR(m4_crossvalid[[#This Row],[ds]]),MONTH(m4_crossvalid[[#This Row],[ds]]),DAY(m4_crossvalid[[#This Row],[ds]]))</f>
        <v>45811</v>
      </c>
      <c r="C159">
        <v>578</v>
      </c>
      <c r="D159" s="1">
        <v>45811.333333333336</v>
      </c>
      <c r="E159">
        <v>3052.600582544359</v>
      </c>
      <c r="F159">
        <v>1205.883827097769</v>
      </c>
      <c r="G159">
        <v>4872.0264122510862</v>
      </c>
      <c r="H159" s="1">
        <v>45808.333333333336</v>
      </c>
    </row>
    <row r="160" spans="1:8" x14ac:dyDescent="0.25">
      <c r="A160" s="7">
        <f>DATE(YEAR(m4_crossvalid[[#This Row],[cutoff]]),MONTH(m4_crossvalid[[#This Row],[cutoff]]),DAY(m4_crossvalid[[#This Row],[cutoff]]))</f>
        <v>45808</v>
      </c>
      <c r="B160" s="7">
        <f>DATE(YEAR(m4_crossvalid[[#This Row],[ds]]),MONTH(m4_crossvalid[[#This Row],[ds]]),DAY(m4_crossvalid[[#This Row],[ds]]))</f>
        <v>45812</v>
      </c>
      <c r="C160">
        <v>842</v>
      </c>
      <c r="D160" s="1">
        <v>45812.333333333336</v>
      </c>
      <c r="E160">
        <v>1858.9191551684066</v>
      </c>
      <c r="F160">
        <v>-101.07179861006654</v>
      </c>
      <c r="G160">
        <v>3668.1337716498374</v>
      </c>
      <c r="H160" s="1">
        <v>45808.333333333336</v>
      </c>
    </row>
    <row r="161" spans="1:8" x14ac:dyDescent="0.25">
      <c r="A161" s="7">
        <f>DATE(YEAR(m4_crossvalid[[#This Row],[cutoff]]),MONTH(m4_crossvalid[[#This Row],[cutoff]]),DAY(m4_crossvalid[[#This Row],[cutoff]]))</f>
        <v>45808</v>
      </c>
      <c r="B161" s="7">
        <f>DATE(YEAR(m4_crossvalid[[#This Row],[ds]]),MONTH(m4_crossvalid[[#This Row],[ds]]),DAY(m4_crossvalid[[#This Row],[ds]]))</f>
        <v>45813</v>
      </c>
      <c r="C161">
        <v>1102</v>
      </c>
      <c r="D161" s="1">
        <v>45813.333333333336</v>
      </c>
      <c r="E161">
        <v>1464.4404624359022</v>
      </c>
      <c r="F161">
        <v>-306.10369943793222</v>
      </c>
      <c r="G161">
        <v>3364.2718574854757</v>
      </c>
      <c r="H161" s="1">
        <v>45808.333333333336</v>
      </c>
    </row>
    <row r="162" spans="1:8" x14ac:dyDescent="0.25">
      <c r="A162" s="7">
        <f>DATE(YEAR(m4_crossvalid[[#This Row],[cutoff]]),MONTH(m4_crossvalid[[#This Row],[cutoff]]),DAY(m4_crossvalid[[#This Row],[cutoff]]))</f>
        <v>45808</v>
      </c>
      <c r="B162" s="7">
        <f>DATE(YEAR(m4_crossvalid[[#This Row],[ds]]),MONTH(m4_crossvalid[[#This Row],[ds]]),DAY(m4_crossvalid[[#This Row],[ds]]))</f>
        <v>45814</v>
      </c>
      <c r="C162">
        <v>1098</v>
      </c>
      <c r="D162" s="1">
        <v>45814.333333333336</v>
      </c>
      <c r="E162">
        <v>-2049.9866285418061</v>
      </c>
      <c r="F162">
        <v>-3857.3431375869882</v>
      </c>
      <c r="G162">
        <v>-117.82926494070693</v>
      </c>
      <c r="H162" s="1">
        <v>45808.333333333336</v>
      </c>
    </row>
    <row r="163" spans="1:8" x14ac:dyDescent="0.25">
      <c r="A163" s="7">
        <f>DATE(YEAR(m4_crossvalid[[#This Row],[cutoff]]),MONTH(m4_crossvalid[[#This Row],[cutoff]]),DAY(m4_crossvalid[[#This Row],[cutoff]]))</f>
        <v>45808</v>
      </c>
      <c r="B163" s="7">
        <f>DATE(YEAR(m4_crossvalid[[#This Row],[ds]]),MONTH(m4_crossvalid[[#This Row],[ds]]),DAY(m4_crossvalid[[#This Row],[ds]]))</f>
        <v>45815</v>
      </c>
      <c r="C163">
        <v>17</v>
      </c>
      <c r="D163" s="1">
        <v>45815.333333333336</v>
      </c>
      <c r="E163">
        <v>-209.57680723524572</v>
      </c>
      <c r="F163">
        <v>-2011.9112539663518</v>
      </c>
      <c r="G163">
        <v>1502.6364750405114</v>
      </c>
      <c r="H163" s="1">
        <v>45808.333333333336</v>
      </c>
    </row>
    <row r="164" spans="1:8" x14ac:dyDescent="0.25">
      <c r="A164" s="7">
        <f>DATE(YEAR(m4_crossvalid[[#This Row],[cutoff]]),MONTH(m4_crossvalid[[#This Row],[cutoff]]),DAY(m4_crossvalid[[#This Row],[cutoff]]))</f>
        <v>45808</v>
      </c>
      <c r="B164" s="7">
        <f>DATE(YEAR(m4_crossvalid[[#This Row],[ds]]),MONTH(m4_crossvalid[[#This Row],[ds]]),DAY(m4_crossvalid[[#This Row],[ds]]))</f>
        <v>45816</v>
      </c>
      <c r="C164">
        <v>2</v>
      </c>
      <c r="D164" s="1">
        <v>45816.333333333336</v>
      </c>
      <c r="E164">
        <v>-1880.8659204263249</v>
      </c>
      <c r="F164">
        <v>-3702.3548141302226</v>
      </c>
      <c r="G164">
        <v>-74.376689851405672</v>
      </c>
      <c r="H164" s="1">
        <v>45808.333333333336</v>
      </c>
    </row>
    <row r="165" spans="1:8" x14ac:dyDescent="0.25">
      <c r="A165" s="7">
        <f>DATE(YEAR(m4_crossvalid[[#This Row],[cutoff]]),MONTH(m4_crossvalid[[#This Row],[cutoff]]),DAY(m4_crossvalid[[#This Row],[cutoff]]))</f>
        <v>45808</v>
      </c>
      <c r="B165" s="7">
        <f>DATE(YEAR(m4_crossvalid[[#This Row],[ds]]),MONTH(m4_crossvalid[[#This Row],[ds]]),DAY(m4_crossvalid[[#This Row],[ds]]))</f>
        <v>45817</v>
      </c>
      <c r="C165">
        <v>716</v>
      </c>
      <c r="D165" s="1">
        <v>45817.333333333336</v>
      </c>
      <c r="E165">
        <v>1781.5231718904138</v>
      </c>
      <c r="F165">
        <v>-73.461441337951243</v>
      </c>
      <c r="G165">
        <v>3434.160625094024</v>
      </c>
      <c r="H165" s="1">
        <v>45808.333333333336</v>
      </c>
    </row>
    <row r="166" spans="1:8" x14ac:dyDescent="0.25">
      <c r="A166" s="7">
        <f>DATE(YEAR(m4_crossvalid[[#This Row],[cutoff]]),MONTH(m4_crossvalid[[#This Row],[cutoff]]),DAY(m4_crossvalid[[#This Row],[cutoff]]))</f>
        <v>45808</v>
      </c>
      <c r="B166" s="7">
        <f>DATE(YEAR(m4_crossvalid[[#This Row],[ds]]),MONTH(m4_crossvalid[[#This Row],[ds]]),DAY(m4_crossvalid[[#This Row],[ds]]))</f>
        <v>45818</v>
      </c>
      <c r="C166">
        <v>1129</v>
      </c>
      <c r="D166" s="1">
        <v>45818.333333333336</v>
      </c>
      <c r="E166">
        <v>1485.9599163352761</v>
      </c>
      <c r="F166">
        <v>-329.1822526540318</v>
      </c>
      <c r="G166">
        <v>3243.7098797177428</v>
      </c>
      <c r="H166" s="1">
        <v>45808.333333333336</v>
      </c>
    </row>
    <row r="167" spans="1:8" x14ac:dyDescent="0.25">
      <c r="A167" s="7">
        <f>DATE(YEAR(m4_crossvalid[[#This Row],[cutoff]]),MONTH(m4_crossvalid[[#This Row],[cutoff]]),DAY(m4_crossvalid[[#This Row],[cutoff]]))</f>
        <v>45808</v>
      </c>
      <c r="B167" s="7">
        <f>DATE(YEAR(m4_crossvalid[[#This Row],[ds]]),MONTH(m4_crossvalid[[#This Row],[ds]]),DAY(m4_crossvalid[[#This Row],[ds]]))</f>
        <v>45819</v>
      </c>
      <c r="C167">
        <v>1387</v>
      </c>
      <c r="D167" s="1">
        <v>45819.333333333336</v>
      </c>
      <c r="E167">
        <v>2024.1354072660827</v>
      </c>
      <c r="F167">
        <v>118.11633024211966</v>
      </c>
      <c r="G167">
        <v>3895.7072966250762</v>
      </c>
      <c r="H167" s="1">
        <v>45808.333333333336</v>
      </c>
    </row>
    <row r="168" spans="1:8" x14ac:dyDescent="0.25">
      <c r="A168" s="7">
        <f>DATE(YEAR(m4_crossvalid[[#This Row],[cutoff]]),MONTH(m4_crossvalid[[#This Row],[cutoff]]),DAY(m4_crossvalid[[#This Row],[cutoff]]))</f>
        <v>45808</v>
      </c>
      <c r="B168" s="7">
        <f>DATE(YEAR(m4_crossvalid[[#This Row],[ds]]),MONTH(m4_crossvalid[[#This Row],[ds]]),DAY(m4_crossvalid[[#This Row],[ds]]))</f>
        <v>45820</v>
      </c>
      <c r="C168">
        <v>1689</v>
      </c>
      <c r="D168" s="1">
        <v>45820.333333333336</v>
      </c>
      <c r="E168">
        <v>2523.4705509574815</v>
      </c>
      <c r="F168">
        <v>584.28046245072051</v>
      </c>
      <c r="G168">
        <v>4282.8674984411819</v>
      </c>
      <c r="H168" s="1">
        <v>45808.333333333336</v>
      </c>
    </row>
    <row r="169" spans="1:8" x14ac:dyDescent="0.25">
      <c r="A169" s="7">
        <f>DATE(YEAR(m4_crossvalid[[#This Row],[cutoff]]),MONTH(m4_crossvalid[[#This Row],[cutoff]]),DAY(m4_crossvalid[[#This Row],[cutoff]]))</f>
        <v>45808</v>
      </c>
      <c r="B169" s="7">
        <f>DATE(YEAR(m4_crossvalid[[#This Row],[ds]]),MONTH(m4_crossvalid[[#This Row],[ds]]),DAY(m4_crossvalid[[#This Row],[ds]]))</f>
        <v>45821</v>
      </c>
      <c r="C169">
        <v>1883</v>
      </c>
      <c r="D169" s="1">
        <v>45821.333333333336</v>
      </c>
      <c r="E169">
        <v>2214.2521076432113</v>
      </c>
      <c r="F169">
        <v>332.51407033061395</v>
      </c>
      <c r="G169">
        <v>4119.9724422369163</v>
      </c>
      <c r="H169" s="1">
        <v>45808.333333333336</v>
      </c>
    </row>
    <row r="170" spans="1:8" x14ac:dyDescent="0.25">
      <c r="A170" s="7">
        <f>DATE(YEAR(m4_crossvalid[[#This Row],[cutoff]]),MONTH(m4_crossvalid[[#This Row],[cutoff]]),DAY(m4_crossvalid[[#This Row],[cutoff]]))</f>
        <v>45808</v>
      </c>
      <c r="B170" s="7">
        <f>DATE(YEAR(m4_crossvalid[[#This Row],[ds]]),MONTH(m4_crossvalid[[#This Row],[ds]]),DAY(m4_crossvalid[[#This Row],[ds]]))</f>
        <v>45822</v>
      </c>
      <c r="C170">
        <v>280</v>
      </c>
      <c r="D170" s="1">
        <v>45822.333333333336</v>
      </c>
      <c r="E170">
        <v>385.05088516099249</v>
      </c>
      <c r="F170">
        <v>-1478.7822965605808</v>
      </c>
      <c r="G170">
        <v>2289.754427718985</v>
      </c>
      <c r="H170" s="1">
        <v>45808.333333333336</v>
      </c>
    </row>
    <row r="171" spans="1:8" x14ac:dyDescent="0.25">
      <c r="A171" s="7">
        <f>DATE(YEAR(m4_crossvalid[[#This Row],[cutoff]]),MONTH(m4_crossvalid[[#This Row],[cutoff]]),DAY(m4_crossvalid[[#This Row],[cutoff]]))</f>
        <v>45808</v>
      </c>
      <c r="B171" s="7">
        <f>DATE(YEAR(m4_crossvalid[[#This Row],[ds]]),MONTH(m4_crossvalid[[#This Row],[ds]]),DAY(m4_crossvalid[[#This Row],[ds]]))</f>
        <v>45823</v>
      </c>
      <c r="C171">
        <v>71</v>
      </c>
      <c r="D171" s="1">
        <v>45823.333333333336</v>
      </c>
      <c r="E171">
        <v>-234.89849907646112</v>
      </c>
      <c r="F171">
        <v>-2046.8238086461233</v>
      </c>
      <c r="G171">
        <v>1547.0163418060854</v>
      </c>
      <c r="H171" s="1">
        <v>45808.333333333336</v>
      </c>
    </row>
    <row r="172" spans="1:8" x14ac:dyDescent="0.25">
      <c r="A172" s="7">
        <f>DATE(YEAR(m4_crossvalid[[#This Row],[cutoff]]),MONTH(m4_crossvalid[[#This Row],[cutoff]]),DAY(m4_crossvalid[[#This Row],[cutoff]]))</f>
        <v>45808</v>
      </c>
      <c r="B172" s="7">
        <f>DATE(YEAR(m4_crossvalid[[#This Row],[ds]]),MONTH(m4_crossvalid[[#This Row],[ds]]),DAY(m4_crossvalid[[#This Row],[ds]]))</f>
        <v>45824</v>
      </c>
      <c r="C172">
        <v>1852</v>
      </c>
      <c r="D172" s="1">
        <v>45824.333333333336</v>
      </c>
      <c r="E172">
        <v>2298.686524477997</v>
      </c>
      <c r="F172">
        <v>478.59688775545266</v>
      </c>
      <c r="G172">
        <v>4046.5423573382554</v>
      </c>
      <c r="H172" s="1">
        <v>45808.333333333336</v>
      </c>
    </row>
    <row r="173" spans="1:8" x14ac:dyDescent="0.25">
      <c r="A173" s="7">
        <f>DATE(YEAR(m4_crossvalid[[#This Row],[cutoff]]),MONTH(m4_crossvalid[[#This Row],[cutoff]]),DAY(m4_crossvalid[[#This Row],[cutoff]]))</f>
        <v>45808</v>
      </c>
      <c r="B173" s="7">
        <f>DATE(YEAR(m4_crossvalid[[#This Row],[ds]]),MONTH(m4_crossvalid[[#This Row],[ds]]),DAY(m4_crossvalid[[#This Row],[ds]]))</f>
        <v>45825</v>
      </c>
      <c r="C173">
        <v>2251</v>
      </c>
      <c r="D173" s="1">
        <v>45825.333333333336</v>
      </c>
      <c r="E173">
        <v>2823.3298504571862</v>
      </c>
      <c r="F173">
        <v>1002.162023591985</v>
      </c>
      <c r="G173">
        <v>4675.4472098060578</v>
      </c>
      <c r="H173" s="1">
        <v>45808.333333333336</v>
      </c>
    </row>
    <row r="174" spans="1:8" x14ac:dyDescent="0.25">
      <c r="A174" s="7">
        <f>DATE(YEAR(m4_crossvalid[[#This Row],[cutoff]]),MONTH(m4_crossvalid[[#This Row],[cutoff]]),DAY(m4_crossvalid[[#This Row],[cutoff]]))</f>
        <v>45808</v>
      </c>
      <c r="B174" s="7">
        <f>DATE(YEAR(m4_crossvalid[[#This Row],[ds]]),MONTH(m4_crossvalid[[#This Row],[ds]]),DAY(m4_crossvalid[[#This Row],[ds]]))</f>
        <v>45826</v>
      </c>
      <c r="C174">
        <v>2552</v>
      </c>
      <c r="D174" s="1">
        <v>45826.333333333336</v>
      </c>
      <c r="E174">
        <v>3161.7716687859788</v>
      </c>
      <c r="F174">
        <v>1405.8658465919098</v>
      </c>
      <c r="G174">
        <v>4934.3854715600901</v>
      </c>
      <c r="H174" s="1">
        <v>45808.333333333336</v>
      </c>
    </row>
    <row r="175" spans="1:8" x14ac:dyDescent="0.25">
      <c r="A175" s="7">
        <f>DATE(YEAR(m4_crossvalid[[#This Row],[cutoff]]),MONTH(m4_crossvalid[[#This Row],[cutoff]]),DAY(m4_crossvalid[[#This Row],[cutoff]]))</f>
        <v>45808</v>
      </c>
      <c r="B175" s="7">
        <f>DATE(YEAR(m4_crossvalid[[#This Row],[ds]]),MONTH(m4_crossvalid[[#This Row],[ds]]),DAY(m4_crossvalid[[#This Row],[ds]]))</f>
        <v>45827</v>
      </c>
      <c r="C175">
        <v>2813</v>
      </c>
      <c r="D175" s="1">
        <v>45827.333333333336</v>
      </c>
      <c r="E175">
        <v>3217.0265289192753</v>
      </c>
      <c r="F175">
        <v>1429.8791752921859</v>
      </c>
      <c r="G175">
        <v>4938.621393002587</v>
      </c>
      <c r="H175" s="1">
        <v>45808.333333333336</v>
      </c>
    </row>
    <row r="176" spans="1:8" x14ac:dyDescent="0.25">
      <c r="A176" s="7">
        <f>DATE(YEAR(m4_crossvalid[[#This Row],[cutoff]]),MONTH(m4_crossvalid[[#This Row],[cutoff]]),DAY(m4_crossvalid[[#This Row],[cutoff]]))</f>
        <v>45808</v>
      </c>
      <c r="B176" s="7">
        <f>DATE(YEAR(m4_crossvalid[[#This Row],[ds]]),MONTH(m4_crossvalid[[#This Row],[ds]]),DAY(m4_crossvalid[[#This Row],[ds]]))</f>
        <v>45828</v>
      </c>
      <c r="C176">
        <v>3023</v>
      </c>
      <c r="D176" s="1">
        <v>45828.333333333336</v>
      </c>
      <c r="E176">
        <v>3028.0615710784432</v>
      </c>
      <c r="F176">
        <v>1245.0451319894105</v>
      </c>
      <c r="G176">
        <v>4944.0638884415257</v>
      </c>
      <c r="H176" s="1">
        <v>45808.333333333336</v>
      </c>
    </row>
    <row r="177" spans="1:8" x14ac:dyDescent="0.25">
      <c r="A177" s="7">
        <f>DATE(YEAR(m4_crossvalid[[#This Row],[cutoff]]),MONTH(m4_crossvalid[[#This Row],[cutoff]]),DAY(m4_crossvalid[[#This Row],[cutoff]]))</f>
        <v>45808</v>
      </c>
      <c r="B177" s="7">
        <f>DATE(YEAR(m4_crossvalid[[#This Row],[ds]]),MONTH(m4_crossvalid[[#This Row],[ds]]),DAY(m4_crossvalid[[#This Row],[ds]]))</f>
        <v>45829</v>
      </c>
      <c r="C177">
        <v>360</v>
      </c>
      <c r="D177" s="1">
        <v>45829.333333333336</v>
      </c>
      <c r="E177">
        <v>659.00769380330712</v>
      </c>
      <c r="F177">
        <v>-1058.4035351411967</v>
      </c>
      <c r="G177">
        <v>2410.3843239834973</v>
      </c>
      <c r="H177" s="1">
        <v>45808.333333333336</v>
      </c>
    </row>
    <row r="178" spans="1:8" x14ac:dyDescent="0.25">
      <c r="A178" s="7">
        <f>DATE(YEAR(m4_crossvalid[[#This Row],[cutoff]]),MONTH(m4_crossvalid[[#This Row],[cutoff]]),DAY(m4_crossvalid[[#This Row],[cutoff]]))</f>
        <v>45808</v>
      </c>
      <c r="B178" s="7">
        <f>DATE(YEAR(m4_crossvalid[[#This Row],[ds]]),MONTH(m4_crossvalid[[#This Row],[ds]]),DAY(m4_crossvalid[[#This Row],[ds]]))</f>
        <v>45830</v>
      </c>
      <c r="C178">
        <v>129</v>
      </c>
      <c r="D178" s="1">
        <v>45830.333333333336</v>
      </c>
      <c r="E178">
        <v>267.86355113666377</v>
      </c>
      <c r="F178">
        <v>-1736.2735942742872</v>
      </c>
      <c r="G178">
        <v>2166.3794397408319</v>
      </c>
      <c r="H178" s="1">
        <v>45808.333333333336</v>
      </c>
    </row>
    <row r="179" spans="1:8" x14ac:dyDescent="0.25">
      <c r="A179" s="7">
        <f>DATE(YEAR(m4_crossvalid[[#This Row],[cutoff]]),MONTH(m4_crossvalid[[#This Row],[cutoff]]),DAY(m4_crossvalid[[#This Row],[cutoff]]))</f>
        <v>45808</v>
      </c>
      <c r="B179" s="7">
        <f>DATE(YEAR(m4_crossvalid[[#This Row],[ds]]),MONTH(m4_crossvalid[[#This Row],[ds]]),DAY(m4_crossvalid[[#This Row],[ds]]))</f>
        <v>45831</v>
      </c>
      <c r="C179">
        <v>3291</v>
      </c>
      <c r="D179" s="1">
        <v>45831.333333333336</v>
      </c>
      <c r="E179">
        <v>3114.940434489265</v>
      </c>
      <c r="F179">
        <v>1354.507837234388</v>
      </c>
      <c r="G179">
        <v>4861.9109741247612</v>
      </c>
      <c r="H179" s="1">
        <v>45808.333333333336</v>
      </c>
    </row>
    <row r="180" spans="1:8" x14ac:dyDescent="0.25">
      <c r="A180" s="7">
        <f>DATE(YEAR(m4_crossvalid[[#This Row],[cutoff]]),MONTH(m4_crossvalid[[#This Row],[cutoff]]),DAY(m4_crossvalid[[#This Row],[cutoff]]))</f>
        <v>45808</v>
      </c>
      <c r="B180" s="7">
        <f>DATE(YEAR(m4_crossvalid[[#This Row],[ds]]),MONTH(m4_crossvalid[[#This Row],[ds]]),DAY(m4_crossvalid[[#This Row],[ds]]))</f>
        <v>45832</v>
      </c>
      <c r="C180">
        <v>3743</v>
      </c>
      <c r="D180" s="1">
        <v>45832.333333333336</v>
      </c>
      <c r="E180">
        <v>3732.3270183472287</v>
      </c>
      <c r="F180">
        <v>1947.3096414801</v>
      </c>
      <c r="G180">
        <v>5509.0935150471596</v>
      </c>
      <c r="H180" s="1">
        <v>45808.333333333336</v>
      </c>
    </row>
    <row r="181" spans="1:8" x14ac:dyDescent="0.25">
      <c r="A181" s="7">
        <f>DATE(YEAR(m4_crossvalid[[#This Row],[cutoff]]),MONTH(m4_crossvalid[[#This Row],[cutoff]]),DAY(m4_crossvalid[[#This Row],[cutoff]]))</f>
        <v>45808</v>
      </c>
      <c r="B181" s="7">
        <f>DATE(YEAR(m4_crossvalid[[#This Row],[ds]]),MONTH(m4_crossvalid[[#This Row],[ds]]),DAY(m4_crossvalid[[#This Row],[ds]]))</f>
        <v>45833</v>
      </c>
      <c r="C181">
        <v>4576</v>
      </c>
      <c r="D181" s="1">
        <v>45833.333333333336</v>
      </c>
      <c r="E181">
        <v>3894.2888961521594</v>
      </c>
      <c r="F181">
        <v>1998.812338299866</v>
      </c>
      <c r="G181">
        <v>5602.7230703375571</v>
      </c>
      <c r="H181" s="1">
        <v>45808.333333333336</v>
      </c>
    </row>
    <row r="182" spans="1:8" x14ac:dyDescent="0.25">
      <c r="A182" s="7">
        <f>DATE(YEAR(m4_crossvalid[[#This Row],[cutoff]]),MONTH(m4_crossvalid[[#This Row],[cutoff]]),DAY(m4_crossvalid[[#This Row],[cutoff]]))</f>
        <v>45808</v>
      </c>
      <c r="B182" s="7">
        <f>DATE(YEAR(m4_crossvalid[[#This Row],[ds]]),MONTH(m4_crossvalid[[#This Row],[ds]]),DAY(m4_crossvalid[[#This Row],[ds]]))</f>
        <v>45834</v>
      </c>
      <c r="C182">
        <v>6205</v>
      </c>
      <c r="D182" s="1">
        <v>45834.333333333336</v>
      </c>
      <c r="E182">
        <v>3807.4461029868717</v>
      </c>
      <c r="F182">
        <v>1862.8246615723097</v>
      </c>
      <c r="G182">
        <v>5512.7262718969423</v>
      </c>
      <c r="H182" s="1">
        <v>45808.333333333336</v>
      </c>
    </row>
    <row r="183" spans="1:8" x14ac:dyDescent="0.25">
      <c r="A183" s="7">
        <f>DATE(YEAR(m4_crossvalid[[#This Row],[cutoff]]),MONTH(m4_crossvalid[[#This Row],[cutoff]]),DAY(m4_crossvalid[[#This Row],[cutoff]]))</f>
        <v>45808</v>
      </c>
      <c r="B183" s="7">
        <f>DATE(YEAR(m4_crossvalid[[#This Row],[ds]]),MONTH(m4_crossvalid[[#This Row],[ds]]),DAY(m4_crossvalid[[#This Row],[ds]]))</f>
        <v>45835</v>
      </c>
      <c r="C183">
        <v>814</v>
      </c>
      <c r="D183" s="1">
        <v>45835.333333333336</v>
      </c>
      <c r="E183">
        <v>2256.5538075626646</v>
      </c>
      <c r="F183">
        <v>339.08606165741548</v>
      </c>
      <c r="G183">
        <v>4082.299477794013</v>
      </c>
      <c r="H183" s="1">
        <v>45808.333333333336</v>
      </c>
    </row>
    <row r="184" spans="1:8" x14ac:dyDescent="0.25">
      <c r="A184" s="7">
        <f>DATE(YEAR(m4_crossvalid[[#This Row],[cutoff]]),MONTH(m4_crossvalid[[#This Row],[cutoff]]),DAY(m4_crossvalid[[#This Row],[cutoff]]))</f>
        <v>45808</v>
      </c>
      <c r="B184" s="7">
        <f>DATE(YEAR(m4_crossvalid[[#This Row],[ds]]),MONTH(m4_crossvalid[[#This Row],[ds]]),DAY(m4_crossvalid[[#This Row],[ds]]))</f>
        <v>45836</v>
      </c>
      <c r="C184">
        <v>2326</v>
      </c>
      <c r="D184" s="1">
        <v>45836.333333333336</v>
      </c>
      <c r="E184">
        <v>2362.4964855757958</v>
      </c>
      <c r="F184">
        <v>606.91084853419329</v>
      </c>
      <c r="G184">
        <v>4236.3444370887482</v>
      </c>
      <c r="H184" s="1">
        <v>45808.333333333336</v>
      </c>
    </row>
    <row r="185" spans="1:8" x14ac:dyDescent="0.25">
      <c r="A185" s="7">
        <f>DATE(YEAR(m4_crossvalid[[#This Row],[cutoff]]),MONTH(m4_crossvalid[[#This Row],[cutoff]]),DAY(m4_crossvalid[[#This Row],[cutoff]]))</f>
        <v>45808</v>
      </c>
      <c r="B185" s="7">
        <f>DATE(YEAR(m4_crossvalid[[#This Row],[ds]]),MONTH(m4_crossvalid[[#This Row],[ds]]),DAY(m4_crossvalid[[#This Row],[ds]]))</f>
        <v>45837</v>
      </c>
      <c r="C185">
        <v>427</v>
      </c>
      <c r="D185" s="1">
        <v>45837.333333333336</v>
      </c>
      <c r="E185">
        <v>2963.3821563945085</v>
      </c>
      <c r="F185">
        <v>1333.2269087324867</v>
      </c>
      <c r="G185">
        <v>4790.5440208167347</v>
      </c>
      <c r="H185" s="1">
        <v>45808.333333333336</v>
      </c>
    </row>
    <row r="186" spans="1:8" x14ac:dyDescent="0.25">
      <c r="A186" s="7">
        <f>DATE(YEAR(m4_crossvalid[[#This Row],[cutoff]]),MONTH(m4_crossvalid[[#This Row],[cutoff]]),DAY(m4_crossvalid[[#This Row],[cutoff]]))</f>
        <v>45808</v>
      </c>
      <c r="B186" s="7">
        <f>DATE(YEAR(m4_crossvalid[[#This Row],[ds]]),MONTH(m4_crossvalid[[#This Row],[ds]]),DAY(m4_crossvalid[[#This Row],[ds]]))</f>
        <v>45838</v>
      </c>
      <c r="C186">
        <v>13624</v>
      </c>
      <c r="D186" s="1">
        <v>45838.333333333336</v>
      </c>
      <c r="E186">
        <v>6355.1587056030457</v>
      </c>
      <c r="F186">
        <v>4542.6096698126366</v>
      </c>
      <c r="G186">
        <v>8204.798560891928</v>
      </c>
      <c r="H186" s="1">
        <v>45808.333333333336</v>
      </c>
    </row>
    <row r="187" spans="1:8" x14ac:dyDescent="0.25">
      <c r="A187" s="7">
        <f>DATE(YEAR(m4_crossvalid[[#This Row],[cutoff]]),MONTH(m4_crossvalid[[#This Row],[cutoff]]),DAY(m4_crossvalid[[#This Row],[cutoff]]))</f>
        <v>45808</v>
      </c>
      <c r="B187" s="7">
        <f>DATE(YEAR(m4_crossvalid[[#This Row],[ds]]),MONTH(m4_crossvalid[[#This Row],[ds]]),DAY(m4_crossvalid[[#This Row],[ds]]))</f>
        <v>45839</v>
      </c>
      <c r="C187">
        <v>624</v>
      </c>
      <c r="D187" s="1">
        <v>45839.333333333336</v>
      </c>
      <c r="E187">
        <v>6620.9900920964592</v>
      </c>
      <c r="F187">
        <v>4724.5052278371559</v>
      </c>
      <c r="G187">
        <v>8410.4085669930701</v>
      </c>
      <c r="H187" s="1">
        <v>45808.333333333336</v>
      </c>
    </row>
    <row r="188" spans="1:8" x14ac:dyDescent="0.25">
      <c r="A188" s="7">
        <f>DATE(YEAR(m4_crossvalid[[#This Row],[cutoff]]),MONTH(m4_crossvalid[[#This Row],[cutoff]]),DAY(m4_crossvalid[[#This Row],[cutoff]]))</f>
        <v>45838</v>
      </c>
      <c r="B188" s="7">
        <f>DATE(YEAR(m4_crossvalid[[#This Row],[ds]]),MONTH(m4_crossvalid[[#This Row],[ds]]),DAY(m4_crossvalid[[#This Row],[ds]]))</f>
        <v>45839</v>
      </c>
      <c r="C188">
        <v>624</v>
      </c>
      <c r="D188" s="1">
        <v>45839.333333333336</v>
      </c>
      <c r="E188">
        <v>6690.288360215297</v>
      </c>
      <c r="F188">
        <v>4888.0851972263808</v>
      </c>
      <c r="G188">
        <v>8554.8291330301981</v>
      </c>
      <c r="H188" s="1">
        <v>45838.333333333336</v>
      </c>
    </row>
    <row r="189" spans="1:8" x14ac:dyDescent="0.25">
      <c r="A189" s="7">
        <f>DATE(YEAR(m4_crossvalid[[#This Row],[cutoff]]),MONTH(m4_crossvalid[[#This Row],[cutoff]]),DAY(m4_crossvalid[[#This Row],[cutoff]]))</f>
        <v>45838</v>
      </c>
      <c r="B189" s="7">
        <f>DATE(YEAR(m4_crossvalid[[#This Row],[ds]]),MONTH(m4_crossvalid[[#This Row],[ds]]),DAY(m4_crossvalid[[#This Row],[ds]]))</f>
        <v>45840</v>
      </c>
      <c r="C189">
        <v>733</v>
      </c>
      <c r="D189" s="1">
        <v>45840.333333333336</v>
      </c>
      <c r="E189">
        <v>5574.6392807818484</v>
      </c>
      <c r="F189">
        <v>3716.8715706774879</v>
      </c>
      <c r="G189">
        <v>7386.9530306410234</v>
      </c>
      <c r="H189" s="1">
        <v>45838.333333333336</v>
      </c>
    </row>
    <row r="190" spans="1:8" x14ac:dyDescent="0.25">
      <c r="A190" s="7">
        <f>DATE(YEAR(m4_crossvalid[[#This Row],[cutoff]]),MONTH(m4_crossvalid[[#This Row],[cutoff]]),DAY(m4_crossvalid[[#This Row],[cutoff]]))</f>
        <v>45838</v>
      </c>
      <c r="B190" s="7">
        <f>DATE(YEAR(m4_crossvalid[[#This Row],[ds]]),MONTH(m4_crossvalid[[#This Row],[ds]]),DAY(m4_crossvalid[[#This Row],[ds]]))</f>
        <v>45841</v>
      </c>
      <c r="C190">
        <v>1036</v>
      </c>
      <c r="D190" s="1">
        <v>45841.333333333336</v>
      </c>
      <c r="E190">
        <v>3708.8450433990306</v>
      </c>
      <c r="F190">
        <v>1774.6516319633067</v>
      </c>
      <c r="G190">
        <v>5691.010522728775</v>
      </c>
      <c r="H190" s="1">
        <v>45838.333333333336</v>
      </c>
    </row>
    <row r="191" spans="1:8" x14ac:dyDescent="0.25">
      <c r="A191" s="7">
        <f>DATE(YEAR(m4_crossvalid[[#This Row],[cutoff]]),MONTH(m4_crossvalid[[#This Row],[cutoff]]),DAY(m4_crossvalid[[#This Row],[cutoff]]))</f>
        <v>45838</v>
      </c>
      <c r="B191" s="7">
        <f>DATE(YEAR(m4_crossvalid[[#This Row],[ds]]),MONTH(m4_crossvalid[[#This Row],[ds]]),DAY(m4_crossvalid[[#This Row],[ds]]))</f>
        <v>45842</v>
      </c>
      <c r="C191">
        <v>1189</v>
      </c>
      <c r="D191" s="1">
        <v>45842.333333333336</v>
      </c>
      <c r="E191">
        <v>2010.0015245481634</v>
      </c>
      <c r="F191">
        <v>148.98752724974855</v>
      </c>
      <c r="G191">
        <v>3866.432544604359</v>
      </c>
      <c r="H191" s="1">
        <v>45838.333333333336</v>
      </c>
    </row>
    <row r="192" spans="1:8" x14ac:dyDescent="0.25">
      <c r="A192" s="7">
        <f>DATE(YEAR(m4_crossvalid[[#This Row],[cutoff]]),MONTH(m4_crossvalid[[#This Row],[cutoff]]),DAY(m4_crossvalid[[#This Row],[cutoff]]))</f>
        <v>45838</v>
      </c>
      <c r="B192" s="7">
        <f>DATE(YEAR(m4_crossvalid[[#This Row],[ds]]),MONTH(m4_crossvalid[[#This Row],[ds]]),DAY(m4_crossvalid[[#This Row],[ds]]))</f>
        <v>45843</v>
      </c>
      <c r="C192">
        <v>170</v>
      </c>
      <c r="D192" s="1">
        <v>45843.333333333336</v>
      </c>
      <c r="E192">
        <v>-1030.0277512633947</v>
      </c>
      <c r="F192">
        <v>-2922.2796120216117</v>
      </c>
      <c r="G192">
        <v>860.26971682491899</v>
      </c>
      <c r="H192" s="1">
        <v>45838.333333333336</v>
      </c>
    </row>
    <row r="193" spans="1:8" x14ac:dyDescent="0.25">
      <c r="A193" s="7">
        <f>DATE(YEAR(m4_crossvalid[[#This Row],[cutoff]]),MONTH(m4_crossvalid[[#This Row],[cutoff]]),DAY(m4_crossvalid[[#This Row],[cutoff]]))</f>
        <v>45838</v>
      </c>
      <c r="B193" s="7">
        <f>DATE(YEAR(m4_crossvalid[[#This Row],[ds]]),MONTH(m4_crossvalid[[#This Row],[ds]]),DAY(m4_crossvalid[[#This Row],[ds]]))</f>
        <v>45844</v>
      </c>
      <c r="C193">
        <v>30</v>
      </c>
      <c r="D193" s="1">
        <v>45844.333333333336</v>
      </c>
      <c r="E193">
        <v>-1477.4421374567569</v>
      </c>
      <c r="F193">
        <v>-3287.5531211756697</v>
      </c>
      <c r="G193">
        <v>454.96105029276396</v>
      </c>
      <c r="H193" s="1">
        <v>45838.333333333336</v>
      </c>
    </row>
    <row r="194" spans="1:8" x14ac:dyDescent="0.25">
      <c r="A194" s="7">
        <f>DATE(YEAR(m4_crossvalid[[#This Row],[cutoff]]),MONTH(m4_crossvalid[[#This Row],[cutoff]]),DAY(m4_crossvalid[[#This Row],[cutoff]]))</f>
        <v>45838</v>
      </c>
      <c r="B194" s="7">
        <f>DATE(YEAR(m4_crossvalid[[#This Row],[ds]]),MONTH(m4_crossvalid[[#This Row],[ds]]),DAY(m4_crossvalid[[#This Row],[ds]]))</f>
        <v>45845</v>
      </c>
      <c r="C194">
        <v>1218</v>
      </c>
      <c r="D194" s="1">
        <v>45845.333333333336</v>
      </c>
      <c r="E194">
        <v>1505.1785345414651</v>
      </c>
      <c r="F194">
        <v>-312.375665922633</v>
      </c>
      <c r="G194">
        <v>3386.1923582263839</v>
      </c>
      <c r="H194" s="1">
        <v>45838.333333333336</v>
      </c>
    </row>
    <row r="195" spans="1:8" x14ac:dyDescent="0.25">
      <c r="A195" s="7">
        <f>DATE(YEAR(m4_crossvalid[[#This Row],[cutoff]]),MONTH(m4_crossvalid[[#This Row],[cutoff]]),DAY(m4_crossvalid[[#This Row],[cutoff]]))</f>
        <v>45838</v>
      </c>
      <c r="B195" s="7">
        <f>DATE(YEAR(m4_crossvalid[[#This Row],[ds]]),MONTH(m4_crossvalid[[#This Row],[ds]]),DAY(m4_crossvalid[[#This Row],[ds]]))</f>
        <v>45846</v>
      </c>
      <c r="C195">
        <v>1543</v>
      </c>
      <c r="D195" s="1">
        <v>45846.333333333336</v>
      </c>
      <c r="E195">
        <v>2026.9038227224912</v>
      </c>
      <c r="F195">
        <v>313.98487372300934</v>
      </c>
      <c r="G195">
        <v>3970.0099848612772</v>
      </c>
      <c r="H195" s="1">
        <v>45838.333333333336</v>
      </c>
    </row>
    <row r="196" spans="1:8" x14ac:dyDescent="0.25">
      <c r="A196" s="7">
        <f>DATE(YEAR(m4_crossvalid[[#This Row],[cutoff]]),MONTH(m4_crossvalid[[#This Row],[cutoff]]),DAY(m4_crossvalid[[#This Row],[cutoff]]))</f>
        <v>45838</v>
      </c>
      <c r="B196" s="7">
        <f>DATE(YEAR(m4_crossvalid[[#This Row],[ds]]),MONTH(m4_crossvalid[[#This Row],[ds]]),DAY(m4_crossvalid[[#This Row],[ds]]))</f>
        <v>45847</v>
      </c>
      <c r="C196">
        <v>2120</v>
      </c>
      <c r="D196" s="1">
        <v>45847.333333333336</v>
      </c>
      <c r="E196">
        <v>2044.1093413017632</v>
      </c>
      <c r="F196">
        <v>116.04219373009056</v>
      </c>
      <c r="G196">
        <v>3760.5864847881526</v>
      </c>
      <c r="H196" s="1">
        <v>45838.333333333336</v>
      </c>
    </row>
    <row r="197" spans="1:8" x14ac:dyDescent="0.25">
      <c r="A197" s="7">
        <f>DATE(YEAR(m4_crossvalid[[#This Row],[cutoff]]),MONTH(m4_crossvalid[[#This Row],[cutoff]]),DAY(m4_crossvalid[[#This Row],[cutoff]]))</f>
        <v>45838</v>
      </c>
      <c r="B197" s="7">
        <f>DATE(YEAR(m4_crossvalid[[#This Row],[ds]]),MONTH(m4_crossvalid[[#This Row],[ds]]),DAY(m4_crossvalid[[#This Row],[ds]]))</f>
        <v>45848</v>
      </c>
      <c r="C197">
        <v>2298</v>
      </c>
      <c r="D197" s="1">
        <v>45848.333333333336</v>
      </c>
      <c r="E197">
        <v>1869.8633344817213</v>
      </c>
      <c r="F197">
        <v>60.139579302632953</v>
      </c>
      <c r="G197">
        <v>3776.9189409621522</v>
      </c>
      <c r="H197" s="1">
        <v>45838.333333333336</v>
      </c>
    </row>
    <row r="198" spans="1:8" x14ac:dyDescent="0.25">
      <c r="A198" s="7">
        <f>DATE(YEAR(m4_crossvalid[[#This Row],[cutoff]]),MONTH(m4_crossvalid[[#This Row],[cutoff]]),DAY(m4_crossvalid[[#This Row],[cutoff]]))</f>
        <v>45838</v>
      </c>
      <c r="B198" s="7">
        <f>DATE(YEAR(m4_crossvalid[[#This Row],[ds]]),MONTH(m4_crossvalid[[#This Row],[ds]]),DAY(m4_crossvalid[[#This Row],[ds]]))</f>
        <v>45849</v>
      </c>
      <c r="C198">
        <v>2183</v>
      </c>
      <c r="D198" s="1">
        <v>45849.333333333336</v>
      </c>
      <c r="E198">
        <v>1847.8471446374333</v>
      </c>
      <c r="F198">
        <v>86.986571966854626</v>
      </c>
      <c r="G198">
        <v>3535.025175466069</v>
      </c>
      <c r="H198" s="1">
        <v>45838.333333333336</v>
      </c>
    </row>
    <row r="199" spans="1:8" x14ac:dyDescent="0.25">
      <c r="A199" s="7">
        <f>DATE(YEAR(m4_crossvalid[[#This Row],[cutoff]]),MONTH(m4_crossvalid[[#This Row],[cutoff]]),DAY(m4_crossvalid[[#This Row],[cutoff]]))</f>
        <v>45838</v>
      </c>
      <c r="B199" s="7">
        <f>DATE(YEAR(m4_crossvalid[[#This Row],[ds]]),MONTH(m4_crossvalid[[#This Row],[ds]]),DAY(m4_crossvalid[[#This Row],[ds]]))</f>
        <v>45850</v>
      </c>
      <c r="C199">
        <v>462</v>
      </c>
      <c r="D199" s="1">
        <v>45850.333333333336</v>
      </c>
      <c r="E199">
        <v>-121.7061367162155</v>
      </c>
      <c r="F199">
        <v>-1945.6092577514066</v>
      </c>
      <c r="G199">
        <v>1635.6233918031153</v>
      </c>
      <c r="H199" s="1">
        <v>45838.333333333336</v>
      </c>
    </row>
    <row r="200" spans="1:8" x14ac:dyDescent="0.25">
      <c r="A200" s="7">
        <f>DATE(YEAR(m4_crossvalid[[#This Row],[cutoff]]),MONTH(m4_crossvalid[[#This Row],[cutoff]]),DAY(m4_crossvalid[[#This Row],[cutoff]]))</f>
        <v>45838</v>
      </c>
      <c r="B200" s="7">
        <f>DATE(YEAR(m4_crossvalid[[#This Row],[ds]]),MONTH(m4_crossvalid[[#This Row],[ds]]),DAY(m4_crossvalid[[#This Row],[ds]]))</f>
        <v>45851</v>
      </c>
      <c r="C200">
        <v>114</v>
      </c>
      <c r="D200" s="1">
        <v>45851.333333333336</v>
      </c>
      <c r="E200">
        <v>-333.19980269531607</v>
      </c>
      <c r="F200">
        <v>-2237.5187708249459</v>
      </c>
      <c r="G200">
        <v>1496.9278147141354</v>
      </c>
      <c r="H200" s="1">
        <v>45838.333333333336</v>
      </c>
    </row>
    <row r="201" spans="1:8" x14ac:dyDescent="0.25">
      <c r="A201" s="7">
        <f>DATE(YEAR(m4_crossvalid[[#This Row],[cutoff]]),MONTH(m4_crossvalid[[#This Row],[cutoff]]),DAY(m4_crossvalid[[#This Row],[cutoff]]))</f>
        <v>45838</v>
      </c>
      <c r="B201" s="7">
        <f>DATE(YEAR(m4_crossvalid[[#This Row],[ds]]),MONTH(m4_crossvalid[[#This Row],[ds]]),DAY(m4_crossvalid[[#This Row],[ds]]))</f>
        <v>45852</v>
      </c>
      <c r="C201">
        <v>2356</v>
      </c>
      <c r="D201" s="1">
        <v>45852.333333333336</v>
      </c>
      <c r="E201">
        <v>2326.6639051833386</v>
      </c>
      <c r="F201">
        <v>414.1109153137877</v>
      </c>
      <c r="G201">
        <v>4150.8927090346915</v>
      </c>
      <c r="H201" s="1">
        <v>45838.333333333336</v>
      </c>
    </row>
    <row r="202" spans="1:8" x14ac:dyDescent="0.25">
      <c r="A202" s="7">
        <f>DATE(YEAR(m4_crossvalid[[#This Row],[cutoff]]),MONTH(m4_crossvalid[[#This Row],[cutoff]]),DAY(m4_crossvalid[[#This Row],[cutoff]]))</f>
        <v>45838</v>
      </c>
      <c r="B202" s="7">
        <f>DATE(YEAR(m4_crossvalid[[#This Row],[ds]]),MONTH(m4_crossvalid[[#This Row],[ds]]),DAY(m4_crossvalid[[#This Row],[ds]]))</f>
        <v>45853</v>
      </c>
      <c r="C202">
        <v>2694</v>
      </c>
      <c r="D202" s="1">
        <v>45853.333333333336</v>
      </c>
      <c r="E202">
        <v>2504.2256271704196</v>
      </c>
      <c r="F202">
        <v>599.98725144140099</v>
      </c>
      <c r="G202">
        <v>4332.312388945993</v>
      </c>
      <c r="H202" s="1">
        <v>45838.333333333336</v>
      </c>
    </row>
    <row r="203" spans="1:8" x14ac:dyDescent="0.25">
      <c r="A203" s="7">
        <f>DATE(YEAR(m4_crossvalid[[#This Row],[cutoff]]),MONTH(m4_crossvalid[[#This Row],[cutoff]]),DAY(m4_crossvalid[[#This Row],[cutoff]]))</f>
        <v>45838</v>
      </c>
      <c r="B203" s="7">
        <f>DATE(YEAR(m4_crossvalid[[#This Row],[ds]]),MONTH(m4_crossvalid[[#This Row],[ds]]),DAY(m4_crossvalid[[#This Row],[ds]]))</f>
        <v>45854</v>
      </c>
      <c r="C203">
        <v>2796</v>
      </c>
      <c r="D203" s="1">
        <v>45854.333333333336</v>
      </c>
      <c r="E203">
        <v>2523.0812837775543</v>
      </c>
      <c r="F203">
        <v>723.57562720368048</v>
      </c>
      <c r="G203">
        <v>4389.8964132746823</v>
      </c>
      <c r="H203" s="1">
        <v>45838.333333333336</v>
      </c>
    </row>
    <row r="204" spans="1:8" x14ac:dyDescent="0.25">
      <c r="A204" s="7">
        <f>DATE(YEAR(m4_crossvalid[[#This Row],[cutoff]]),MONTH(m4_crossvalid[[#This Row],[cutoff]]),DAY(m4_crossvalid[[#This Row],[cutoff]]))</f>
        <v>45838</v>
      </c>
      <c r="B204" s="7">
        <f>DATE(YEAR(m4_crossvalid[[#This Row],[ds]]),MONTH(m4_crossvalid[[#This Row],[ds]]),DAY(m4_crossvalid[[#This Row],[ds]]))</f>
        <v>45855</v>
      </c>
      <c r="C204">
        <v>2972</v>
      </c>
      <c r="D204" s="1">
        <v>45855.333333333336</v>
      </c>
      <c r="E204">
        <v>2640.7636088695049</v>
      </c>
      <c r="F204">
        <v>904.47730429711794</v>
      </c>
      <c r="G204">
        <v>4417.3707305319404</v>
      </c>
      <c r="H204" s="1">
        <v>45838.333333333336</v>
      </c>
    </row>
    <row r="205" spans="1:8" x14ac:dyDescent="0.25">
      <c r="A205" s="7">
        <f>DATE(YEAR(m4_crossvalid[[#This Row],[cutoff]]),MONTH(m4_crossvalid[[#This Row],[cutoff]]),DAY(m4_crossvalid[[#This Row],[cutoff]]))</f>
        <v>45838</v>
      </c>
      <c r="B205" s="7">
        <f>DATE(YEAR(m4_crossvalid[[#This Row],[ds]]),MONTH(m4_crossvalid[[#This Row],[ds]]),DAY(m4_crossvalid[[#This Row],[ds]]))</f>
        <v>45856</v>
      </c>
      <c r="C205">
        <v>2891</v>
      </c>
      <c r="D205" s="1">
        <v>45856.333333333336</v>
      </c>
      <c r="E205">
        <v>2855.2299952818621</v>
      </c>
      <c r="F205">
        <v>965.99742892774316</v>
      </c>
      <c r="G205">
        <v>4635.2153139256216</v>
      </c>
      <c r="H205" s="1">
        <v>45838.333333333336</v>
      </c>
    </row>
    <row r="206" spans="1:8" x14ac:dyDescent="0.25">
      <c r="A206" s="7">
        <f>DATE(YEAR(m4_crossvalid[[#This Row],[cutoff]]),MONTH(m4_crossvalid[[#This Row],[cutoff]]),DAY(m4_crossvalid[[#This Row],[cutoff]]))</f>
        <v>45838</v>
      </c>
      <c r="B206" s="7">
        <f>DATE(YEAR(m4_crossvalid[[#This Row],[ds]]),MONTH(m4_crossvalid[[#This Row],[ds]]),DAY(m4_crossvalid[[#This Row],[ds]]))</f>
        <v>45857</v>
      </c>
      <c r="C206">
        <v>521</v>
      </c>
      <c r="D206" s="1">
        <v>45857.333333333336</v>
      </c>
      <c r="E206">
        <v>804.58495745869186</v>
      </c>
      <c r="F206">
        <v>-1045.2370313392064</v>
      </c>
      <c r="G206">
        <v>2561.0068610431717</v>
      </c>
      <c r="H206" s="1">
        <v>45838.333333333336</v>
      </c>
    </row>
    <row r="207" spans="1:8" x14ac:dyDescent="0.25">
      <c r="A207" s="7">
        <f>DATE(YEAR(m4_crossvalid[[#This Row],[cutoff]]),MONTH(m4_crossvalid[[#This Row],[cutoff]]),DAY(m4_crossvalid[[#This Row],[cutoff]]))</f>
        <v>45838</v>
      </c>
      <c r="B207" s="7">
        <f>DATE(YEAR(m4_crossvalid[[#This Row],[ds]]),MONTH(m4_crossvalid[[#This Row],[ds]]),DAY(m4_crossvalid[[#This Row],[ds]]))</f>
        <v>45858</v>
      </c>
      <c r="C207">
        <v>189</v>
      </c>
      <c r="D207" s="1">
        <v>45858.333333333336</v>
      </c>
      <c r="E207">
        <v>273.40737496519932</v>
      </c>
      <c r="F207">
        <v>-1558.9989247447238</v>
      </c>
      <c r="G207">
        <v>2026.4719931557097</v>
      </c>
      <c r="H207" s="1">
        <v>45838.333333333336</v>
      </c>
    </row>
    <row r="208" spans="1:8" x14ac:dyDescent="0.25">
      <c r="A208" s="7">
        <f>DATE(YEAR(m4_crossvalid[[#This Row],[cutoff]]),MONTH(m4_crossvalid[[#This Row],[cutoff]]),DAY(m4_crossvalid[[#This Row],[cutoff]]))</f>
        <v>45838</v>
      </c>
      <c r="B208" s="7">
        <f>DATE(YEAR(m4_crossvalid[[#This Row],[ds]]),MONTH(m4_crossvalid[[#This Row],[ds]]),DAY(m4_crossvalid[[#This Row],[ds]]))</f>
        <v>45859</v>
      </c>
      <c r="C208">
        <v>2798</v>
      </c>
      <c r="D208" s="1">
        <v>45859.333333333336</v>
      </c>
      <c r="E208">
        <v>2702.1312834402352</v>
      </c>
      <c r="F208">
        <v>843.07724521018554</v>
      </c>
      <c r="G208">
        <v>4558.6116615467436</v>
      </c>
      <c r="H208" s="1">
        <v>45838.333333333336</v>
      </c>
    </row>
    <row r="209" spans="1:8" x14ac:dyDescent="0.25">
      <c r="A209" s="7">
        <f>DATE(YEAR(m4_crossvalid[[#This Row],[cutoff]]),MONTH(m4_crossvalid[[#This Row],[cutoff]]),DAY(m4_crossvalid[[#This Row],[cutoff]]))</f>
        <v>45838</v>
      </c>
      <c r="B209" s="7">
        <f>DATE(YEAR(m4_crossvalid[[#This Row],[ds]]),MONTH(m4_crossvalid[[#This Row],[ds]]),DAY(m4_crossvalid[[#This Row],[ds]]))</f>
        <v>45860</v>
      </c>
      <c r="C209">
        <v>2894</v>
      </c>
      <c r="D209" s="1">
        <v>45860.333333333336</v>
      </c>
      <c r="E209">
        <v>2975.5373319897212</v>
      </c>
      <c r="F209">
        <v>1067.9321005348586</v>
      </c>
      <c r="G209">
        <v>4812.2709549342171</v>
      </c>
      <c r="H209" s="1">
        <v>45838.333333333336</v>
      </c>
    </row>
    <row r="210" spans="1:8" x14ac:dyDescent="0.25">
      <c r="A210" s="7">
        <f>DATE(YEAR(m4_crossvalid[[#This Row],[cutoff]]),MONTH(m4_crossvalid[[#This Row],[cutoff]]),DAY(m4_crossvalid[[#This Row],[cutoff]]))</f>
        <v>45838</v>
      </c>
      <c r="B210" s="7">
        <f>DATE(YEAR(m4_crossvalid[[#This Row],[ds]]),MONTH(m4_crossvalid[[#This Row],[ds]]),DAY(m4_crossvalid[[#This Row],[ds]]))</f>
        <v>45861</v>
      </c>
      <c r="C210">
        <v>3299</v>
      </c>
      <c r="D210" s="1">
        <v>45861.333333333336</v>
      </c>
      <c r="E210">
        <v>3325.4567585031018</v>
      </c>
      <c r="F210">
        <v>1546.9499887422432</v>
      </c>
      <c r="G210">
        <v>5162.0548156803998</v>
      </c>
      <c r="H210" s="1">
        <v>45838.333333333336</v>
      </c>
    </row>
    <row r="211" spans="1:8" x14ac:dyDescent="0.25">
      <c r="A211" s="7">
        <f>DATE(YEAR(m4_crossvalid[[#This Row],[cutoff]]),MONTH(m4_crossvalid[[#This Row],[cutoff]]),DAY(m4_crossvalid[[#This Row],[cutoff]]))</f>
        <v>45838</v>
      </c>
      <c r="B211" s="7">
        <f>DATE(YEAR(m4_crossvalid[[#This Row],[ds]]),MONTH(m4_crossvalid[[#This Row],[ds]]),DAY(m4_crossvalid[[#This Row],[ds]]))</f>
        <v>45862</v>
      </c>
      <c r="C211">
        <v>3785</v>
      </c>
      <c r="D211" s="1">
        <v>45862.333333333336</v>
      </c>
      <c r="E211">
        <v>3683.5514387191024</v>
      </c>
      <c r="F211">
        <v>1726.6869939545725</v>
      </c>
      <c r="G211">
        <v>5470.4175715007059</v>
      </c>
      <c r="H211" s="1">
        <v>45838.333333333336</v>
      </c>
    </row>
    <row r="212" spans="1:8" x14ac:dyDescent="0.25">
      <c r="A212" s="7">
        <f>DATE(YEAR(m4_crossvalid[[#This Row],[cutoff]]),MONTH(m4_crossvalid[[#This Row],[cutoff]]),DAY(m4_crossvalid[[#This Row],[cutoff]]))</f>
        <v>45838</v>
      </c>
      <c r="B212" s="7">
        <f>DATE(YEAR(m4_crossvalid[[#This Row],[ds]]),MONTH(m4_crossvalid[[#This Row],[ds]]),DAY(m4_crossvalid[[#This Row],[ds]]))</f>
        <v>45863</v>
      </c>
      <c r="C212">
        <v>3663</v>
      </c>
      <c r="D212" s="1">
        <v>45863.333333333336</v>
      </c>
      <c r="E212">
        <v>3831.5097627948544</v>
      </c>
      <c r="F212">
        <v>1977.1121259757497</v>
      </c>
      <c r="G212">
        <v>5761.5298540567028</v>
      </c>
      <c r="H212" s="1">
        <v>45838.333333333336</v>
      </c>
    </row>
    <row r="213" spans="1:8" x14ac:dyDescent="0.25">
      <c r="A213" s="7">
        <f>DATE(YEAR(m4_crossvalid[[#This Row],[cutoff]]),MONTH(m4_crossvalid[[#This Row],[cutoff]]),DAY(m4_crossvalid[[#This Row],[cutoff]]))</f>
        <v>45838</v>
      </c>
      <c r="B213" s="7">
        <f>DATE(YEAR(m4_crossvalid[[#This Row],[ds]]),MONTH(m4_crossvalid[[#This Row],[ds]]),DAY(m4_crossvalid[[#This Row],[ds]]))</f>
        <v>45864</v>
      </c>
      <c r="C213">
        <v>901</v>
      </c>
      <c r="D213" s="1">
        <v>45864.333333333336</v>
      </c>
      <c r="E213">
        <v>1554.3875724448976</v>
      </c>
      <c r="F213">
        <v>-409.15995346713595</v>
      </c>
      <c r="G213">
        <v>3459.3103186527342</v>
      </c>
      <c r="H213" s="1">
        <v>45838.333333333336</v>
      </c>
    </row>
    <row r="214" spans="1:8" x14ac:dyDescent="0.25">
      <c r="A214" s="7">
        <f>DATE(YEAR(m4_crossvalid[[#This Row],[cutoff]]),MONTH(m4_crossvalid[[#This Row],[cutoff]]),DAY(m4_crossvalid[[#This Row],[cutoff]]))</f>
        <v>45838</v>
      </c>
      <c r="B214" s="7">
        <f>DATE(YEAR(m4_crossvalid[[#This Row],[ds]]),MONTH(m4_crossvalid[[#This Row],[ds]]),DAY(m4_crossvalid[[#This Row],[ds]]))</f>
        <v>45865</v>
      </c>
      <c r="C214">
        <v>262</v>
      </c>
      <c r="D214" s="1">
        <v>45865.333333333336</v>
      </c>
      <c r="E214">
        <v>1048.9175432527022</v>
      </c>
      <c r="F214">
        <v>-799.14756244863429</v>
      </c>
      <c r="G214">
        <v>2787.2745909753294</v>
      </c>
      <c r="H214" s="1">
        <v>45838.333333333336</v>
      </c>
    </row>
    <row r="215" spans="1:8" x14ac:dyDescent="0.25">
      <c r="A215" s="7">
        <f>DATE(YEAR(m4_crossvalid[[#This Row],[cutoff]]),MONTH(m4_crossvalid[[#This Row],[cutoff]]),DAY(m4_crossvalid[[#This Row],[cutoff]]))</f>
        <v>45838</v>
      </c>
      <c r="B215" s="7">
        <f>DATE(YEAR(m4_crossvalid[[#This Row],[ds]]),MONTH(m4_crossvalid[[#This Row],[ds]]),DAY(m4_crossvalid[[#This Row],[ds]]))</f>
        <v>45866</v>
      </c>
      <c r="C215">
        <v>4324</v>
      </c>
      <c r="D215" s="1">
        <v>45866.333333333336</v>
      </c>
      <c r="E215">
        <v>4051.7672331072163</v>
      </c>
      <c r="F215">
        <v>2335.7990814476011</v>
      </c>
      <c r="G215">
        <v>5951.3211308451091</v>
      </c>
      <c r="H215" s="1">
        <v>45838.333333333336</v>
      </c>
    </row>
    <row r="216" spans="1:8" x14ac:dyDescent="0.25">
      <c r="A216" s="7">
        <f>DATE(YEAR(m4_crossvalid[[#This Row],[cutoff]]),MONTH(m4_crossvalid[[#This Row],[cutoff]]),DAY(m4_crossvalid[[#This Row],[cutoff]]))</f>
        <v>45838</v>
      </c>
      <c r="B216" s="7">
        <f>DATE(YEAR(m4_crossvalid[[#This Row],[ds]]),MONTH(m4_crossvalid[[#This Row],[ds]]),DAY(m4_crossvalid[[#This Row],[ds]]))</f>
        <v>45867</v>
      </c>
      <c r="C216">
        <v>5336</v>
      </c>
      <c r="D216" s="1">
        <v>45867.333333333336</v>
      </c>
      <c r="E216">
        <v>5304.381904644868</v>
      </c>
      <c r="F216">
        <v>3499.9234402765469</v>
      </c>
      <c r="G216">
        <v>7166.2583259166495</v>
      </c>
      <c r="H216" s="1">
        <v>45838.333333333336</v>
      </c>
    </row>
    <row r="217" spans="1:8" x14ac:dyDescent="0.25">
      <c r="A217" s="7">
        <f>DATE(YEAR(m4_crossvalid[[#This Row],[cutoff]]),MONTH(m4_crossvalid[[#This Row],[cutoff]]),DAY(m4_crossvalid[[#This Row],[cutoff]]))</f>
        <v>45838</v>
      </c>
      <c r="B217" s="7">
        <f>DATE(YEAR(m4_crossvalid[[#This Row],[ds]]),MONTH(m4_crossvalid[[#This Row],[ds]]),DAY(m4_crossvalid[[#This Row],[ds]]))</f>
        <v>45868</v>
      </c>
      <c r="C217">
        <v>8373</v>
      </c>
      <c r="D217" s="1">
        <v>45868.333333333336</v>
      </c>
      <c r="E217">
        <v>6487.582355528335</v>
      </c>
      <c r="F217">
        <v>4586.0946248451392</v>
      </c>
      <c r="G217">
        <v>8309.3020585985723</v>
      </c>
      <c r="H217" s="1">
        <v>45838.333333333336</v>
      </c>
    </row>
    <row r="218" spans="1:8" x14ac:dyDescent="0.25">
      <c r="A218" s="7">
        <f>DATE(YEAR(m4_crossvalid[[#This Row],[cutoff]]),MONTH(m4_crossvalid[[#This Row],[cutoff]]),DAY(m4_crossvalid[[#This Row],[cutoff]]))</f>
        <v>45838</v>
      </c>
      <c r="B218" s="7">
        <f>DATE(YEAR(m4_crossvalid[[#This Row],[ds]]),MONTH(m4_crossvalid[[#This Row],[ds]]),DAY(m4_crossvalid[[#This Row],[ds]]))</f>
        <v>45869</v>
      </c>
      <c r="C218">
        <v>11889</v>
      </c>
      <c r="D218" s="1">
        <v>45869.333333333336</v>
      </c>
      <c r="E218">
        <v>6944.0021893848825</v>
      </c>
      <c r="F218">
        <v>5052.3651637665107</v>
      </c>
      <c r="G218">
        <v>8701.626689470846</v>
      </c>
      <c r="H218" s="1">
        <v>45838.333333333336</v>
      </c>
    </row>
    <row r="219" spans="1:8" x14ac:dyDescent="0.25">
      <c r="A219" s="7">
        <f>DATE(YEAR(m4_crossvalid[[#This Row],[cutoff]]),MONTH(m4_crossvalid[[#This Row],[cutoff]]),DAY(m4_crossvalid[[#This Row],[cutoff]]))</f>
        <v>45869</v>
      </c>
      <c r="B219" s="7">
        <f>DATE(YEAR(m4_crossvalid[[#This Row],[ds]]),MONTH(m4_crossvalid[[#This Row],[ds]]),DAY(m4_crossvalid[[#This Row],[ds]]))</f>
        <v>45870</v>
      </c>
      <c r="C219">
        <v>761</v>
      </c>
      <c r="D219" s="1">
        <v>45870.333333333336</v>
      </c>
      <c r="E219">
        <v>6257.3713511289043</v>
      </c>
      <c r="F219">
        <v>4414.2412811260474</v>
      </c>
      <c r="G219">
        <v>8208.2870919228244</v>
      </c>
      <c r="H219" s="1">
        <v>45869.333333333336</v>
      </c>
    </row>
    <row r="220" spans="1:8" x14ac:dyDescent="0.25">
      <c r="A220" s="7">
        <f>DATE(YEAR(m4_crossvalid[[#This Row],[cutoff]]),MONTH(m4_crossvalid[[#This Row],[cutoff]]),DAY(m4_crossvalid[[#This Row],[cutoff]]))</f>
        <v>45869</v>
      </c>
      <c r="B220" s="7">
        <f>DATE(YEAR(m4_crossvalid[[#This Row],[ds]]),MONTH(m4_crossvalid[[#This Row],[ds]]),DAY(m4_crossvalid[[#This Row],[ds]]))</f>
        <v>45871</v>
      </c>
      <c r="C220">
        <v>74</v>
      </c>
      <c r="D220" s="1">
        <v>45871.333333333336</v>
      </c>
      <c r="E220">
        <v>2372.0168011374785</v>
      </c>
      <c r="F220">
        <v>618.17503328919588</v>
      </c>
      <c r="G220">
        <v>4217.295119787821</v>
      </c>
      <c r="H220" s="1">
        <v>45869.333333333336</v>
      </c>
    </row>
    <row r="221" spans="1:8" x14ac:dyDescent="0.25">
      <c r="A221" s="7">
        <f>DATE(YEAR(m4_crossvalid[[#This Row],[cutoff]]),MONTH(m4_crossvalid[[#This Row],[cutoff]]),DAY(m4_crossvalid[[#This Row],[cutoff]]))</f>
        <v>45869</v>
      </c>
      <c r="B221" s="7">
        <f>DATE(YEAR(m4_crossvalid[[#This Row],[ds]]),MONTH(m4_crossvalid[[#This Row],[ds]]),DAY(m4_crossvalid[[#This Row],[ds]]))</f>
        <v>45872</v>
      </c>
      <c r="C221">
        <v>28</v>
      </c>
      <c r="D221" s="1">
        <v>45872.333333333336</v>
      </c>
      <c r="E221">
        <v>40.678678986844716</v>
      </c>
      <c r="F221">
        <v>-1678.8096790436609</v>
      </c>
      <c r="G221">
        <v>1839.730721125346</v>
      </c>
      <c r="H221" s="1">
        <v>45869.333333333336</v>
      </c>
    </row>
    <row r="222" spans="1:8" x14ac:dyDescent="0.25">
      <c r="A222" s="7">
        <f>DATE(YEAR(m4_crossvalid[[#This Row],[cutoff]]),MONTH(m4_crossvalid[[#This Row],[cutoff]]),DAY(m4_crossvalid[[#This Row],[cutoff]]))</f>
        <v>45869</v>
      </c>
      <c r="B222" s="7">
        <f>DATE(YEAR(m4_crossvalid[[#This Row],[ds]]),MONTH(m4_crossvalid[[#This Row],[ds]]),DAY(m4_crossvalid[[#This Row],[ds]]))</f>
        <v>45873</v>
      </c>
      <c r="C222">
        <v>912</v>
      </c>
      <c r="D222" s="1">
        <v>45873.333333333336</v>
      </c>
      <c r="E222">
        <v>1399.5909015473899</v>
      </c>
      <c r="F222">
        <v>-524.51249434633348</v>
      </c>
      <c r="G222">
        <v>3181.0080966338819</v>
      </c>
      <c r="H222" s="1">
        <v>45869.333333333336</v>
      </c>
    </row>
    <row r="223" spans="1:8" x14ac:dyDescent="0.25">
      <c r="A223" s="7">
        <f>DATE(YEAR(m4_crossvalid[[#This Row],[cutoff]]),MONTH(m4_crossvalid[[#This Row],[cutoff]]),DAY(m4_crossvalid[[#This Row],[cutoff]]))</f>
        <v>45869</v>
      </c>
      <c r="B223" s="7">
        <f>DATE(YEAR(m4_crossvalid[[#This Row],[ds]]),MONTH(m4_crossvalid[[#This Row],[ds]]),DAY(m4_crossvalid[[#This Row],[ds]]))</f>
        <v>45874</v>
      </c>
      <c r="C223">
        <v>2022</v>
      </c>
      <c r="D223" s="1">
        <v>45874.333333333336</v>
      </c>
      <c r="E223">
        <v>1355.4113646449159</v>
      </c>
      <c r="F223">
        <v>-444.62307292152315</v>
      </c>
      <c r="G223">
        <v>3200.4953305998738</v>
      </c>
      <c r="H223" s="1">
        <v>45869.333333333336</v>
      </c>
    </row>
    <row r="224" spans="1:8" x14ac:dyDescent="0.25">
      <c r="A224" s="7">
        <f>DATE(YEAR(m4_crossvalid[[#This Row],[cutoff]]),MONTH(m4_crossvalid[[#This Row],[cutoff]]),DAY(m4_crossvalid[[#This Row],[cutoff]]))</f>
        <v>45869</v>
      </c>
      <c r="B224" s="7">
        <f>DATE(YEAR(m4_crossvalid[[#This Row],[ds]]),MONTH(m4_crossvalid[[#This Row],[ds]]),DAY(m4_crossvalid[[#This Row],[ds]]))</f>
        <v>45875</v>
      </c>
      <c r="C224">
        <v>1344</v>
      </c>
      <c r="D224" s="1">
        <v>45875.333333333336</v>
      </c>
      <c r="E224">
        <v>1781.1773786605563</v>
      </c>
      <c r="F224">
        <v>20.827316410699314</v>
      </c>
      <c r="G224">
        <v>3576.8384566830478</v>
      </c>
      <c r="H224" s="1">
        <v>45869.333333333336</v>
      </c>
    </row>
    <row r="225" spans="1:8" x14ac:dyDescent="0.25">
      <c r="A225" s="7">
        <f>DATE(YEAR(m4_crossvalid[[#This Row],[cutoff]]),MONTH(m4_crossvalid[[#This Row],[cutoff]]),DAY(m4_crossvalid[[#This Row],[cutoff]]))</f>
        <v>45869</v>
      </c>
      <c r="B225" s="7">
        <f>DATE(YEAR(m4_crossvalid[[#This Row],[ds]]),MONTH(m4_crossvalid[[#This Row],[ds]]),DAY(m4_crossvalid[[#This Row],[ds]]))</f>
        <v>45876</v>
      </c>
      <c r="C225">
        <v>1585</v>
      </c>
      <c r="D225" s="1">
        <v>45876.333333333336</v>
      </c>
      <c r="E225">
        <v>2146.9362202407365</v>
      </c>
      <c r="F225">
        <v>354.60474986316655</v>
      </c>
      <c r="G225">
        <v>3885.0671540866961</v>
      </c>
      <c r="H225" s="1">
        <v>45869.333333333336</v>
      </c>
    </row>
    <row r="226" spans="1:8" x14ac:dyDescent="0.25">
      <c r="A226" s="7">
        <f>DATE(YEAR(m4_crossvalid[[#This Row],[cutoff]]),MONTH(m4_crossvalid[[#This Row],[cutoff]]),DAY(m4_crossvalid[[#This Row],[cutoff]]))</f>
        <v>45869</v>
      </c>
      <c r="B226" s="7">
        <f>DATE(YEAR(m4_crossvalid[[#This Row],[ds]]),MONTH(m4_crossvalid[[#This Row],[ds]]),DAY(m4_crossvalid[[#This Row],[ds]]))</f>
        <v>45877</v>
      </c>
      <c r="C226">
        <v>2032</v>
      </c>
      <c r="D226" s="1">
        <v>45877.333333333336</v>
      </c>
      <c r="E226">
        <v>2110.8074106058089</v>
      </c>
      <c r="F226">
        <v>191.70072669847585</v>
      </c>
      <c r="G226">
        <v>3802.7184822573854</v>
      </c>
      <c r="H226" s="1">
        <v>45869.333333333336</v>
      </c>
    </row>
    <row r="227" spans="1:8" x14ac:dyDescent="0.25">
      <c r="A227" s="7">
        <f>DATE(YEAR(m4_crossvalid[[#This Row],[cutoff]]),MONTH(m4_crossvalid[[#This Row],[cutoff]]),DAY(m4_crossvalid[[#This Row],[cutoff]]))</f>
        <v>45869</v>
      </c>
      <c r="B227" s="7">
        <f>DATE(YEAR(m4_crossvalid[[#This Row],[ds]]),MONTH(m4_crossvalid[[#This Row],[ds]]),DAY(m4_crossvalid[[#This Row],[ds]]))</f>
        <v>45878</v>
      </c>
      <c r="C227">
        <v>327</v>
      </c>
      <c r="D227" s="1">
        <v>45878.333333333336</v>
      </c>
      <c r="E227">
        <v>-291.86565473609562</v>
      </c>
      <c r="F227">
        <v>-2020.7593448626917</v>
      </c>
      <c r="G227">
        <v>1539.215315224747</v>
      </c>
      <c r="H227" s="1">
        <v>45869.333333333336</v>
      </c>
    </row>
    <row r="228" spans="1:8" x14ac:dyDescent="0.25">
      <c r="A228" s="7">
        <f>DATE(YEAR(m4_crossvalid[[#This Row],[cutoff]]),MONTH(m4_crossvalid[[#This Row],[cutoff]]),DAY(m4_crossvalid[[#This Row],[cutoff]]))</f>
        <v>45869</v>
      </c>
      <c r="B228" s="7">
        <f>DATE(YEAR(m4_crossvalid[[#This Row],[ds]]),MONTH(m4_crossvalid[[#This Row],[ds]]),DAY(m4_crossvalid[[#This Row],[ds]]))</f>
        <v>45879</v>
      </c>
      <c r="C228">
        <v>78</v>
      </c>
      <c r="D228" s="1">
        <v>45879.333333333336</v>
      </c>
      <c r="E228">
        <v>-869.33092902382941</v>
      </c>
      <c r="F228">
        <v>-2727.7190364828939</v>
      </c>
      <c r="G228">
        <v>881.19735421309235</v>
      </c>
      <c r="H228" s="1">
        <v>45869.333333333336</v>
      </c>
    </row>
    <row r="229" spans="1:8" x14ac:dyDescent="0.25">
      <c r="A229" s="7">
        <f>DATE(YEAR(m4_crossvalid[[#This Row],[cutoff]]),MONTH(m4_crossvalid[[#This Row],[cutoff]]),DAY(m4_crossvalid[[#This Row],[cutoff]]))</f>
        <v>45869</v>
      </c>
      <c r="B229" s="7">
        <f>DATE(YEAR(m4_crossvalid[[#This Row],[ds]]),MONTH(m4_crossvalid[[#This Row],[ds]]),DAY(m4_crossvalid[[#This Row],[ds]]))</f>
        <v>45880</v>
      </c>
      <c r="C229">
        <v>2043</v>
      </c>
      <c r="D229" s="1">
        <v>45880.333333333336</v>
      </c>
      <c r="E229">
        <v>1884.5178558606676</v>
      </c>
      <c r="F229">
        <v>-31.917407324818786</v>
      </c>
      <c r="G229">
        <v>3760.5108202329857</v>
      </c>
      <c r="H229" s="1">
        <v>45869.333333333336</v>
      </c>
    </row>
    <row r="230" spans="1:8" x14ac:dyDescent="0.25">
      <c r="A230" s="7">
        <f>DATE(YEAR(m4_crossvalid[[#This Row],[cutoff]]),MONTH(m4_crossvalid[[#This Row],[cutoff]]),DAY(m4_crossvalid[[#This Row],[cutoff]]))</f>
        <v>45869</v>
      </c>
      <c r="B230" s="7">
        <f>DATE(YEAR(m4_crossvalid[[#This Row],[ds]]),MONTH(m4_crossvalid[[#This Row],[ds]]),DAY(m4_crossvalid[[#This Row],[ds]]))</f>
        <v>45881</v>
      </c>
      <c r="C230">
        <v>2431</v>
      </c>
      <c r="D230" s="1">
        <v>45881.333333333336</v>
      </c>
      <c r="E230">
        <v>2449.8470588182813</v>
      </c>
      <c r="F230">
        <v>669.48382416807976</v>
      </c>
      <c r="G230">
        <v>4325.3150918418505</v>
      </c>
      <c r="H230" s="1">
        <v>45869.333333333336</v>
      </c>
    </row>
    <row r="231" spans="1:8" x14ac:dyDescent="0.25">
      <c r="A231" s="7">
        <f>DATE(YEAR(m4_crossvalid[[#This Row],[cutoff]]),MONTH(m4_crossvalid[[#This Row],[cutoff]]),DAY(m4_crossvalid[[#This Row],[cutoff]]))</f>
        <v>45869</v>
      </c>
      <c r="B231" s="7">
        <f>DATE(YEAR(m4_crossvalid[[#This Row],[ds]]),MONTH(m4_crossvalid[[#This Row],[ds]]),DAY(m4_crossvalid[[#This Row],[ds]]))</f>
        <v>45882</v>
      </c>
      <c r="C231">
        <v>2484</v>
      </c>
      <c r="D231" s="1">
        <v>45882.333333333336</v>
      </c>
      <c r="E231">
        <v>2756.2845970098624</v>
      </c>
      <c r="F231">
        <v>831.28952204744269</v>
      </c>
      <c r="G231">
        <v>4521.3653426087176</v>
      </c>
      <c r="H231" s="1">
        <v>45869.333333333336</v>
      </c>
    </row>
    <row r="232" spans="1:8" x14ac:dyDescent="0.25">
      <c r="A232" s="7">
        <f>DATE(YEAR(m4_crossvalid[[#This Row],[cutoff]]),MONTH(m4_crossvalid[[#This Row],[cutoff]]),DAY(m4_crossvalid[[#This Row],[cutoff]]))</f>
        <v>45869</v>
      </c>
      <c r="B232" s="7">
        <f>DATE(YEAR(m4_crossvalid[[#This Row],[ds]]),MONTH(m4_crossvalid[[#This Row],[ds]]),DAY(m4_crossvalid[[#This Row],[ds]]))</f>
        <v>45883</v>
      </c>
      <c r="C232">
        <v>2669</v>
      </c>
      <c r="D232" s="1">
        <v>45883.333333333336</v>
      </c>
      <c r="E232">
        <v>2737.2586113258831</v>
      </c>
      <c r="F232">
        <v>822.54739817539553</v>
      </c>
      <c r="G232">
        <v>4625.2736265380254</v>
      </c>
      <c r="H232" s="1">
        <v>45869.333333333336</v>
      </c>
    </row>
    <row r="233" spans="1:8" x14ac:dyDescent="0.25">
      <c r="A233" s="7">
        <f>DATE(YEAR(m4_crossvalid[[#This Row],[cutoff]]),MONTH(m4_crossvalid[[#This Row],[cutoff]]),DAY(m4_crossvalid[[#This Row],[cutoff]]))</f>
        <v>45869</v>
      </c>
      <c r="B233" s="7">
        <f>DATE(YEAR(m4_crossvalid[[#This Row],[ds]]),MONTH(m4_crossvalid[[#This Row],[ds]]),DAY(m4_crossvalid[[#This Row],[ds]]))</f>
        <v>45884</v>
      </c>
      <c r="C233">
        <v>3160</v>
      </c>
      <c r="D233" s="1">
        <v>45884.333333333336</v>
      </c>
      <c r="E233">
        <v>2536.1721873337719</v>
      </c>
      <c r="F233">
        <v>576.67961305249628</v>
      </c>
      <c r="G233">
        <v>4445.8371043615989</v>
      </c>
      <c r="H233" s="1">
        <v>45869.333333333336</v>
      </c>
    </row>
    <row r="234" spans="1:8" x14ac:dyDescent="0.25">
      <c r="A234" s="7">
        <f>DATE(YEAR(m4_crossvalid[[#This Row],[cutoff]]),MONTH(m4_crossvalid[[#This Row],[cutoff]]),DAY(m4_crossvalid[[#This Row],[cutoff]]))</f>
        <v>45869</v>
      </c>
      <c r="B234" s="7">
        <f>DATE(YEAR(m4_crossvalid[[#This Row],[ds]]),MONTH(m4_crossvalid[[#This Row],[ds]]),DAY(m4_crossvalid[[#This Row],[ds]]))</f>
        <v>45885</v>
      </c>
      <c r="C234">
        <v>560</v>
      </c>
      <c r="D234" s="1">
        <v>45885.333333333336</v>
      </c>
      <c r="E234">
        <v>326.55622475664495</v>
      </c>
      <c r="F234">
        <v>-1530.214536836419</v>
      </c>
      <c r="G234">
        <v>2089.0650691734345</v>
      </c>
      <c r="H234" s="1">
        <v>45869.333333333336</v>
      </c>
    </row>
    <row r="235" spans="1:8" x14ac:dyDescent="0.25">
      <c r="A235" s="7">
        <f>DATE(YEAR(m4_crossvalid[[#This Row],[cutoff]]),MONTH(m4_crossvalid[[#This Row],[cutoff]]),DAY(m4_crossvalid[[#This Row],[cutoff]]))</f>
        <v>45869</v>
      </c>
      <c r="B235" s="7">
        <f>DATE(YEAR(m4_crossvalid[[#This Row],[ds]]),MONTH(m4_crossvalid[[#This Row],[ds]]),DAY(m4_crossvalid[[#This Row],[ds]]))</f>
        <v>45886</v>
      </c>
      <c r="C235">
        <v>166</v>
      </c>
      <c r="D235" s="1">
        <v>45886.333333333336</v>
      </c>
      <c r="E235">
        <v>50.072944209150592</v>
      </c>
      <c r="F235">
        <v>-1948.0287414866837</v>
      </c>
      <c r="G235">
        <v>1889.9721960662644</v>
      </c>
      <c r="H235" s="1">
        <v>45869.333333333336</v>
      </c>
    </row>
    <row r="236" spans="1:8" x14ac:dyDescent="0.25">
      <c r="A236" s="7">
        <f>DATE(YEAR(m4_crossvalid[[#This Row],[cutoff]]),MONTH(m4_crossvalid[[#This Row],[cutoff]]),DAY(m4_crossvalid[[#This Row],[cutoff]]))</f>
        <v>45869</v>
      </c>
      <c r="B236" s="7">
        <f>DATE(YEAR(m4_crossvalid[[#This Row],[ds]]),MONTH(m4_crossvalid[[#This Row],[ds]]),DAY(m4_crossvalid[[#This Row],[ds]]))</f>
        <v>45887</v>
      </c>
      <c r="C236">
        <v>3003</v>
      </c>
      <c r="D236" s="1">
        <v>45887.333333333336</v>
      </c>
      <c r="E236">
        <v>2874.5868584559066</v>
      </c>
      <c r="F236">
        <v>957.20574151381004</v>
      </c>
      <c r="G236">
        <v>4652.0902613275721</v>
      </c>
      <c r="H236" s="1">
        <v>45869.333333333336</v>
      </c>
    </row>
    <row r="237" spans="1:8" x14ac:dyDescent="0.25">
      <c r="A237" s="7">
        <f>DATE(YEAR(m4_crossvalid[[#This Row],[cutoff]]),MONTH(m4_crossvalid[[#This Row],[cutoff]]),DAY(m4_crossvalid[[#This Row],[cutoff]]))</f>
        <v>45869</v>
      </c>
      <c r="B237" s="7">
        <f>DATE(YEAR(m4_crossvalid[[#This Row],[ds]]),MONTH(m4_crossvalid[[#This Row],[ds]]),DAY(m4_crossvalid[[#This Row],[ds]]))</f>
        <v>45888</v>
      </c>
      <c r="C237">
        <v>3182</v>
      </c>
      <c r="D237" s="1">
        <v>45888.333333333336</v>
      </c>
      <c r="E237">
        <v>3200.4506888469928</v>
      </c>
      <c r="F237">
        <v>1346.9030368860224</v>
      </c>
      <c r="G237">
        <v>4982.9112646388758</v>
      </c>
      <c r="H237" s="1">
        <v>45869.333333333336</v>
      </c>
    </row>
    <row r="238" spans="1:8" x14ac:dyDescent="0.25">
      <c r="A238" s="7">
        <f>DATE(YEAR(m4_crossvalid[[#This Row],[cutoff]]),MONTH(m4_crossvalid[[#This Row],[cutoff]]),DAY(m4_crossvalid[[#This Row],[cutoff]]))</f>
        <v>45869</v>
      </c>
      <c r="B238" s="7">
        <f>DATE(YEAR(m4_crossvalid[[#This Row],[ds]]),MONTH(m4_crossvalid[[#This Row],[ds]]),DAY(m4_crossvalid[[#This Row],[ds]]))</f>
        <v>45889</v>
      </c>
      <c r="C238">
        <v>3745</v>
      </c>
      <c r="D238" s="1">
        <v>45889.333333333336</v>
      </c>
      <c r="E238">
        <v>3204.3755742327671</v>
      </c>
      <c r="F238">
        <v>1321.2266797078662</v>
      </c>
      <c r="G238">
        <v>5010.4899970354863</v>
      </c>
      <c r="H238" s="1">
        <v>45869.333333333336</v>
      </c>
    </row>
    <row r="239" spans="1:8" x14ac:dyDescent="0.25">
      <c r="A239" s="7">
        <f>DATE(YEAR(m4_crossvalid[[#This Row],[cutoff]]),MONTH(m4_crossvalid[[#This Row],[cutoff]]),DAY(m4_crossvalid[[#This Row],[cutoff]]))</f>
        <v>45869</v>
      </c>
      <c r="B239" s="7">
        <f>DATE(YEAR(m4_crossvalid[[#This Row],[ds]]),MONTH(m4_crossvalid[[#This Row],[ds]]),DAY(m4_crossvalid[[#This Row],[ds]]))</f>
        <v>45890</v>
      </c>
      <c r="C239">
        <v>3754</v>
      </c>
      <c r="D239" s="1">
        <v>45890.333333333336</v>
      </c>
      <c r="E239">
        <v>3134.2614051382734</v>
      </c>
      <c r="F239">
        <v>1259.5672822259985</v>
      </c>
      <c r="G239">
        <v>4973.4595325144855</v>
      </c>
      <c r="H239" s="1">
        <v>45869.333333333336</v>
      </c>
    </row>
    <row r="240" spans="1:8" x14ac:dyDescent="0.25">
      <c r="A240" s="7">
        <f>DATE(YEAR(m4_crossvalid[[#This Row],[cutoff]]),MONTH(m4_crossvalid[[#This Row],[cutoff]]),DAY(m4_crossvalid[[#This Row],[cutoff]]))</f>
        <v>45869</v>
      </c>
      <c r="B240" s="7">
        <f>DATE(YEAR(m4_crossvalid[[#This Row],[ds]]),MONTH(m4_crossvalid[[#This Row],[ds]]),DAY(m4_crossvalid[[#This Row],[ds]]))</f>
        <v>45891</v>
      </c>
      <c r="C240">
        <v>3741</v>
      </c>
      <c r="D240" s="1">
        <v>45891.333333333336</v>
      </c>
      <c r="E240">
        <v>3194.0604635312379</v>
      </c>
      <c r="F240">
        <v>1304.8327812140121</v>
      </c>
      <c r="G240">
        <v>5081.426161169542</v>
      </c>
      <c r="H240" s="1">
        <v>45869.333333333336</v>
      </c>
    </row>
    <row r="241" spans="1:8" x14ac:dyDescent="0.25">
      <c r="A241" s="7">
        <f>DATE(YEAR(m4_crossvalid[[#This Row],[cutoff]]),MONTH(m4_crossvalid[[#This Row],[cutoff]]),DAY(m4_crossvalid[[#This Row],[cutoff]]))</f>
        <v>45869</v>
      </c>
      <c r="B241" s="7">
        <f>DATE(YEAR(m4_crossvalid[[#This Row],[ds]]),MONTH(m4_crossvalid[[#This Row],[ds]]),DAY(m4_crossvalid[[#This Row],[ds]]))</f>
        <v>45892</v>
      </c>
      <c r="C241">
        <v>761</v>
      </c>
      <c r="D241" s="1">
        <v>45892.333333333336</v>
      </c>
      <c r="E241">
        <v>1302.7523242442398</v>
      </c>
      <c r="F241">
        <v>-477.79332022679188</v>
      </c>
      <c r="G241">
        <v>3191.0866252291721</v>
      </c>
      <c r="H241" s="1">
        <v>45869.333333333336</v>
      </c>
    </row>
    <row r="242" spans="1:8" x14ac:dyDescent="0.25">
      <c r="A242" s="7">
        <f>DATE(YEAR(m4_crossvalid[[#This Row],[cutoff]]),MONTH(m4_crossvalid[[#This Row],[cutoff]]),DAY(m4_crossvalid[[#This Row],[cutoff]]))</f>
        <v>45869</v>
      </c>
      <c r="B242" s="7">
        <f>DATE(YEAR(m4_crossvalid[[#This Row],[ds]]),MONTH(m4_crossvalid[[#This Row],[ds]]),DAY(m4_crossvalid[[#This Row],[ds]]))</f>
        <v>45893</v>
      </c>
      <c r="C242">
        <v>239</v>
      </c>
      <c r="D242" s="1">
        <v>45893.333333333336</v>
      </c>
      <c r="E242">
        <v>1096.6487122786436</v>
      </c>
      <c r="F242">
        <v>-822.11985387991569</v>
      </c>
      <c r="G242">
        <v>2926.7286389727974</v>
      </c>
      <c r="H242" s="1">
        <v>45869.333333333336</v>
      </c>
    </row>
    <row r="243" spans="1:8" x14ac:dyDescent="0.25">
      <c r="A243" s="7">
        <f>DATE(YEAR(m4_crossvalid[[#This Row],[cutoff]]),MONTH(m4_crossvalid[[#This Row],[cutoff]]),DAY(m4_crossvalid[[#This Row],[cutoff]]))</f>
        <v>45869</v>
      </c>
      <c r="B243" s="7">
        <f>DATE(YEAR(m4_crossvalid[[#This Row],[ds]]),MONTH(m4_crossvalid[[#This Row],[ds]]),DAY(m4_crossvalid[[#This Row],[ds]]))</f>
        <v>45894</v>
      </c>
      <c r="C243">
        <v>3838</v>
      </c>
      <c r="D243" s="1">
        <v>45894.333333333336</v>
      </c>
      <c r="E243">
        <v>3720.8734426992405</v>
      </c>
      <c r="F243">
        <v>1811.1436481105814</v>
      </c>
      <c r="G243">
        <v>5581.1885654964208</v>
      </c>
      <c r="H243" s="1">
        <v>45869.333333333336</v>
      </c>
    </row>
    <row r="244" spans="1:8" x14ac:dyDescent="0.25">
      <c r="A244" s="7">
        <f>DATE(YEAR(m4_crossvalid[[#This Row],[cutoff]]),MONTH(m4_crossvalid[[#This Row],[cutoff]]),DAY(m4_crossvalid[[#This Row],[cutoff]]))</f>
        <v>45869</v>
      </c>
      <c r="B244" s="7">
        <f>DATE(YEAR(m4_crossvalid[[#This Row],[ds]]),MONTH(m4_crossvalid[[#This Row],[ds]]),DAY(m4_crossvalid[[#This Row],[ds]]))</f>
        <v>45895</v>
      </c>
      <c r="C244">
        <v>5214</v>
      </c>
      <c r="D244" s="1">
        <v>45895.333333333336</v>
      </c>
      <c r="E244">
        <v>3904.8554084216426</v>
      </c>
      <c r="F244">
        <v>2053.1608548036907</v>
      </c>
      <c r="G244">
        <v>5804.4779710325847</v>
      </c>
      <c r="H244" s="1">
        <v>45869.333333333336</v>
      </c>
    </row>
    <row r="245" spans="1:8" x14ac:dyDescent="0.25">
      <c r="A245" s="7">
        <f>DATE(YEAR(m4_crossvalid[[#This Row],[cutoff]]),MONTH(m4_crossvalid[[#This Row],[cutoff]]),DAY(m4_crossvalid[[#This Row],[cutoff]]))</f>
        <v>45869</v>
      </c>
      <c r="B245" s="7">
        <f>DATE(YEAR(m4_crossvalid[[#This Row],[ds]]),MONTH(m4_crossvalid[[#This Row],[ds]]),DAY(m4_crossvalid[[#This Row],[ds]]))</f>
        <v>45896</v>
      </c>
      <c r="C245">
        <v>5989</v>
      </c>
      <c r="D245" s="1">
        <v>45896.333333333336</v>
      </c>
      <c r="E245">
        <v>4221.9661659026115</v>
      </c>
      <c r="F245">
        <v>2414.2497422042065</v>
      </c>
      <c r="G245">
        <v>5978.2614127652496</v>
      </c>
      <c r="H245" s="1">
        <v>45869.333333333336</v>
      </c>
    </row>
    <row r="246" spans="1:8" x14ac:dyDescent="0.25">
      <c r="A246" s="7">
        <f>DATE(YEAR(m4_crossvalid[[#This Row],[cutoff]]),MONTH(m4_crossvalid[[#This Row],[cutoff]]),DAY(m4_crossvalid[[#This Row],[cutoff]]))</f>
        <v>45869</v>
      </c>
      <c r="B246" s="7">
        <f>DATE(YEAR(m4_crossvalid[[#This Row],[ds]]),MONTH(m4_crossvalid[[#This Row],[ds]]),DAY(m4_crossvalid[[#This Row],[ds]]))</f>
        <v>45897</v>
      </c>
      <c r="C246">
        <v>7115</v>
      </c>
      <c r="D246" s="1">
        <v>45897.333333333336</v>
      </c>
      <c r="E246">
        <v>4992.5540728605556</v>
      </c>
      <c r="F246">
        <v>3251.3704664609968</v>
      </c>
      <c r="G246">
        <v>6722.3205661359034</v>
      </c>
      <c r="H246" s="1">
        <v>45869.333333333336</v>
      </c>
    </row>
    <row r="247" spans="1:8" x14ac:dyDescent="0.25">
      <c r="A247" s="7">
        <f>DATE(YEAR(m4_crossvalid[[#This Row],[cutoff]]),MONTH(m4_crossvalid[[#This Row],[cutoff]]),DAY(m4_crossvalid[[#This Row],[cutoff]]))</f>
        <v>45869</v>
      </c>
      <c r="B247" s="7">
        <f>DATE(YEAR(m4_crossvalid[[#This Row],[ds]]),MONTH(m4_crossvalid[[#This Row],[ds]]),DAY(m4_crossvalid[[#This Row],[ds]]))</f>
        <v>45898</v>
      </c>
      <c r="C247">
        <v>9571</v>
      </c>
      <c r="D247" s="1">
        <v>45898.333333333336</v>
      </c>
      <c r="E247">
        <v>6025.0521409389003</v>
      </c>
      <c r="F247">
        <v>4143.372763269721</v>
      </c>
      <c r="G247">
        <v>7937.3577324249245</v>
      </c>
      <c r="H247" s="1">
        <v>45869.333333333336</v>
      </c>
    </row>
    <row r="248" spans="1:8" x14ac:dyDescent="0.25">
      <c r="A248" s="7">
        <f>DATE(YEAR(m4_crossvalid[[#This Row],[cutoff]]),MONTH(m4_crossvalid[[#This Row],[cutoff]]),DAY(m4_crossvalid[[#This Row],[cutoff]]))</f>
        <v>45869</v>
      </c>
      <c r="B248" s="7">
        <f>DATE(YEAR(m4_crossvalid[[#This Row],[ds]]),MONTH(m4_crossvalid[[#This Row],[ds]]),DAY(m4_crossvalid[[#This Row],[ds]]))</f>
        <v>45899</v>
      </c>
      <c r="C248">
        <v>5764</v>
      </c>
      <c r="D248" s="1">
        <v>45899.333333333336</v>
      </c>
      <c r="E248">
        <v>4616.7765525711438</v>
      </c>
      <c r="F248">
        <v>2595.9631644666879</v>
      </c>
      <c r="G248">
        <v>6379.1266283982459</v>
      </c>
      <c r="H248" s="1">
        <v>45869.333333333336</v>
      </c>
    </row>
    <row r="249" spans="1:8" x14ac:dyDescent="0.25">
      <c r="A249" s="7">
        <f>DATE(YEAR(m4_crossvalid[[#This Row],[cutoff]]),MONTH(m4_crossvalid[[#This Row],[cutoff]]),DAY(m4_crossvalid[[#This Row],[cutoff]]))</f>
        <v>45869</v>
      </c>
      <c r="B249" s="7">
        <f>DATE(YEAR(m4_crossvalid[[#This Row],[ds]]),MONTH(m4_crossvalid[[#This Row],[ds]]),DAY(m4_crossvalid[[#This Row],[ds]]))</f>
        <v>45900</v>
      </c>
      <c r="C249">
        <v>386</v>
      </c>
      <c r="D249" s="1">
        <v>45900.333333333336</v>
      </c>
      <c r="E249">
        <v>2258.6296780169873</v>
      </c>
      <c r="F249">
        <v>300.2078720032323</v>
      </c>
      <c r="G249">
        <v>4066.1548439682524</v>
      </c>
      <c r="H249" s="1">
        <v>45869.333333333336</v>
      </c>
    </row>
    <row r="250" spans="1:8" x14ac:dyDescent="0.25">
      <c r="A250" s="7">
        <f>DATE(YEAR(m4_crossvalid[[#This Row],[cutoff]]),MONTH(m4_crossvalid[[#This Row],[cutoff]]),DAY(m4_crossvalid[[#This Row],[cutoff]]))</f>
        <v>45900</v>
      </c>
      <c r="B250" s="7">
        <f>DATE(YEAR(m4_crossvalid[[#This Row],[ds]]),MONTH(m4_crossvalid[[#This Row],[ds]]),DAY(m4_crossvalid[[#This Row],[ds]]))</f>
        <v>45901</v>
      </c>
      <c r="C250">
        <v>34</v>
      </c>
      <c r="D250" s="1">
        <v>45901.333333333336</v>
      </c>
      <c r="E250">
        <v>3614.3218385094915</v>
      </c>
      <c r="F250">
        <v>1754.8421802942241</v>
      </c>
      <c r="G250">
        <v>5330.3682456252609</v>
      </c>
      <c r="H250" s="1">
        <v>45900.333333333336</v>
      </c>
    </row>
    <row r="251" spans="1:8" x14ac:dyDescent="0.25">
      <c r="A251" s="7">
        <f>DATE(YEAR(m4_crossvalid[[#This Row],[cutoff]]),MONTH(m4_crossvalid[[#This Row],[cutoff]]),DAY(m4_crossvalid[[#This Row],[cutoff]]))</f>
        <v>45900</v>
      </c>
      <c r="B251" s="7">
        <f>DATE(YEAR(m4_crossvalid[[#This Row],[ds]]),MONTH(m4_crossvalid[[#This Row],[ds]]),DAY(m4_crossvalid[[#This Row],[ds]]))</f>
        <v>45902</v>
      </c>
      <c r="C251">
        <v>463</v>
      </c>
      <c r="D251" s="1">
        <v>45902.333333333336</v>
      </c>
      <c r="E251">
        <v>3775.749165396327</v>
      </c>
      <c r="F251">
        <v>1858.2901737964557</v>
      </c>
      <c r="G251">
        <v>5573.5759039529448</v>
      </c>
      <c r="H251" s="1">
        <v>45900.333333333336</v>
      </c>
    </row>
    <row r="252" spans="1:8" x14ac:dyDescent="0.25">
      <c r="A252" s="7">
        <f>DATE(YEAR(m4_crossvalid[[#This Row],[cutoff]]),MONTH(m4_crossvalid[[#This Row],[cutoff]]),DAY(m4_crossvalid[[#This Row],[cutoff]]))</f>
        <v>45900</v>
      </c>
      <c r="B252" s="7">
        <f>DATE(YEAR(m4_crossvalid[[#This Row],[ds]]),MONTH(m4_crossvalid[[#This Row],[ds]]),DAY(m4_crossvalid[[#This Row],[ds]]))</f>
        <v>45903</v>
      </c>
      <c r="C252">
        <v>734</v>
      </c>
      <c r="D252" s="1">
        <v>45903.333333333336</v>
      </c>
      <c r="E252">
        <v>2318.150348753567</v>
      </c>
      <c r="F252">
        <v>388.48422587250474</v>
      </c>
      <c r="G252">
        <v>4160.4534377566806</v>
      </c>
      <c r="H252" s="1">
        <v>45900.333333333336</v>
      </c>
    </row>
    <row r="253" spans="1:8" x14ac:dyDescent="0.25">
      <c r="A253" s="7">
        <f>DATE(YEAR(m4_crossvalid[[#This Row],[cutoff]]),MONTH(m4_crossvalid[[#This Row],[cutoff]]),DAY(m4_crossvalid[[#This Row],[cutoff]]))</f>
        <v>45900</v>
      </c>
      <c r="B253" s="7">
        <f>DATE(YEAR(m4_crossvalid[[#This Row],[ds]]),MONTH(m4_crossvalid[[#This Row],[ds]]),DAY(m4_crossvalid[[#This Row],[ds]]))</f>
        <v>45904</v>
      </c>
      <c r="C253">
        <v>973</v>
      </c>
      <c r="D253" s="1">
        <v>45904.333333333336</v>
      </c>
      <c r="E253">
        <v>1604.1936814060482</v>
      </c>
      <c r="F253">
        <v>-177.53514995854053</v>
      </c>
      <c r="G253">
        <v>3410.6539995279204</v>
      </c>
      <c r="H253" s="1">
        <v>45900.333333333336</v>
      </c>
    </row>
    <row r="254" spans="1:8" x14ac:dyDescent="0.25">
      <c r="A254" s="7">
        <f>DATE(YEAR(m4_crossvalid[[#This Row],[cutoff]]),MONTH(m4_crossvalid[[#This Row],[cutoff]]),DAY(m4_crossvalid[[#This Row],[cutoff]]))</f>
        <v>45900</v>
      </c>
      <c r="B254" s="7">
        <f>DATE(YEAR(m4_crossvalid[[#This Row],[ds]]),MONTH(m4_crossvalid[[#This Row],[ds]]),DAY(m4_crossvalid[[#This Row],[ds]]))</f>
        <v>45905</v>
      </c>
      <c r="C254">
        <v>61</v>
      </c>
      <c r="D254" s="1">
        <v>45905.333333333336</v>
      </c>
      <c r="E254">
        <v>-179.28061884792578</v>
      </c>
      <c r="F254">
        <v>-2126.2478353975816</v>
      </c>
      <c r="G254">
        <v>1662.9951078911693</v>
      </c>
      <c r="H254" s="1">
        <v>45900.333333333336</v>
      </c>
    </row>
    <row r="255" spans="1:8" x14ac:dyDescent="0.25">
      <c r="A255" s="7">
        <f>DATE(YEAR(m4_crossvalid[[#This Row],[cutoff]]),MONTH(m4_crossvalid[[#This Row],[cutoff]]),DAY(m4_crossvalid[[#This Row],[cutoff]]))</f>
        <v>45900</v>
      </c>
      <c r="B255" s="7">
        <f>DATE(YEAR(m4_crossvalid[[#This Row],[ds]]),MONTH(m4_crossvalid[[#This Row],[ds]]),DAY(m4_crossvalid[[#This Row],[ds]]))</f>
        <v>45906</v>
      </c>
      <c r="C255">
        <v>107</v>
      </c>
      <c r="D255" s="1">
        <v>45906.333333333336</v>
      </c>
      <c r="E255">
        <v>-331.14572056219549</v>
      </c>
      <c r="F255">
        <v>-2015.3452796807585</v>
      </c>
      <c r="G255">
        <v>1368.7226902303466</v>
      </c>
      <c r="H255" s="1">
        <v>45900.333333333336</v>
      </c>
    </row>
    <row r="256" spans="1:8" x14ac:dyDescent="0.25">
      <c r="A256" s="7">
        <f>DATE(YEAR(m4_crossvalid[[#This Row],[cutoff]]),MONTH(m4_crossvalid[[#This Row],[cutoff]]),DAY(m4_crossvalid[[#This Row],[cutoff]]))</f>
        <v>45900</v>
      </c>
      <c r="B256" s="7">
        <f>DATE(YEAR(m4_crossvalid[[#This Row],[ds]]),MONTH(m4_crossvalid[[#This Row],[ds]]),DAY(m4_crossvalid[[#This Row],[ds]]))</f>
        <v>45907</v>
      </c>
      <c r="C256">
        <v>30</v>
      </c>
      <c r="D256" s="1">
        <v>45907.333333333336</v>
      </c>
      <c r="E256">
        <v>-659.90561828850787</v>
      </c>
      <c r="F256">
        <v>-2563.0268612579348</v>
      </c>
      <c r="G256">
        <v>1164.5683750547769</v>
      </c>
      <c r="H256" s="1">
        <v>45900.333333333336</v>
      </c>
    </row>
    <row r="257" spans="1:8" x14ac:dyDescent="0.25">
      <c r="A257" s="7">
        <f>DATE(YEAR(m4_crossvalid[[#This Row],[cutoff]]),MONTH(m4_crossvalid[[#This Row],[cutoff]]),DAY(m4_crossvalid[[#This Row],[cutoff]]))</f>
        <v>45900</v>
      </c>
      <c r="B257" s="7">
        <f>DATE(YEAR(m4_crossvalid[[#This Row],[ds]]),MONTH(m4_crossvalid[[#This Row],[ds]]),DAY(m4_crossvalid[[#This Row],[ds]]))</f>
        <v>45908</v>
      </c>
      <c r="C257">
        <v>1382</v>
      </c>
      <c r="D257" s="1">
        <v>45908.333333333336</v>
      </c>
      <c r="E257">
        <v>1802.7048807589606</v>
      </c>
      <c r="F257">
        <v>-29.443478915432166</v>
      </c>
      <c r="G257">
        <v>3621.6265762285529</v>
      </c>
      <c r="H257" s="1">
        <v>45900.333333333336</v>
      </c>
    </row>
    <row r="258" spans="1:8" x14ac:dyDescent="0.25">
      <c r="A258" s="7">
        <f>DATE(YEAR(m4_crossvalid[[#This Row],[cutoff]]),MONTH(m4_crossvalid[[#This Row],[cutoff]]),DAY(m4_crossvalid[[#This Row],[cutoff]]))</f>
        <v>45900</v>
      </c>
      <c r="B258" s="7">
        <f>DATE(YEAR(m4_crossvalid[[#This Row],[ds]]),MONTH(m4_crossvalid[[#This Row],[ds]]),DAY(m4_crossvalid[[#This Row],[ds]]))</f>
        <v>45909</v>
      </c>
      <c r="C258">
        <v>1925</v>
      </c>
      <c r="D258" s="1">
        <v>45909.333333333336</v>
      </c>
      <c r="E258">
        <v>1899.3508796609076</v>
      </c>
      <c r="F258">
        <v>-126.92215694338309</v>
      </c>
      <c r="G258">
        <v>3778.6461146555507</v>
      </c>
      <c r="H258" s="1">
        <v>45900.333333333336</v>
      </c>
    </row>
    <row r="259" spans="1:8" x14ac:dyDescent="0.25">
      <c r="A259" s="7">
        <f>DATE(YEAR(m4_crossvalid[[#This Row],[cutoff]]),MONTH(m4_crossvalid[[#This Row],[cutoff]]),DAY(m4_crossvalid[[#This Row],[cutoff]]))</f>
        <v>45900</v>
      </c>
      <c r="B259" s="7">
        <f>DATE(YEAR(m4_crossvalid[[#This Row],[ds]]),MONTH(m4_crossvalid[[#This Row],[ds]]),DAY(m4_crossvalid[[#This Row],[ds]]))</f>
        <v>45910</v>
      </c>
      <c r="C259">
        <v>1988</v>
      </c>
      <c r="D259" s="1">
        <v>45910.333333333336</v>
      </c>
      <c r="E259">
        <v>2043.5582839887766</v>
      </c>
      <c r="F259">
        <v>188.11544011329181</v>
      </c>
      <c r="G259">
        <v>4013.2339673654355</v>
      </c>
      <c r="H259" s="1">
        <v>45900.333333333336</v>
      </c>
    </row>
    <row r="260" spans="1:8" x14ac:dyDescent="0.25">
      <c r="A260" s="7">
        <f>DATE(YEAR(m4_crossvalid[[#This Row],[cutoff]]),MONTH(m4_crossvalid[[#This Row],[cutoff]]),DAY(m4_crossvalid[[#This Row],[cutoff]]))</f>
        <v>45900</v>
      </c>
      <c r="B260" s="7">
        <f>DATE(YEAR(m4_crossvalid[[#This Row],[ds]]),MONTH(m4_crossvalid[[#This Row],[ds]]),DAY(m4_crossvalid[[#This Row],[ds]]))</f>
        <v>45911</v>
      </c>
      <c r="C260">
        <v>2414</v>
      </c>
      <c r="D260" s="1">
        <v>45911.333333333336</v>
      </c>
      <c r="E260">
        <v>2312.2925620918068</v>
      </c>
      <c r="F260">
        <v>365.80674929662769</v>
      </c>
      <c r="G260">
        <v>4078.6218394878365</v>
      </c>
      <c r="H260" s="1">
        <v>45900.333333333336</v>
      </c>
    </row>
    <row r="261" spans="1:8" x14ac:dyDescent="0.25">
      <c r="A261" s="7">
        <f>DATE(YEAR(m4_crossvalid[[#This Row],[cutoff]]),MONTH(m4_crossvalid[[#This Row],[cutoff]]),DAY(m4_crossvalid[[#This Row],[cutoff]]))</f>
        <v>45900</v>
      </c>
      <c r="B261" s="7">
        <f>DATE(YEAR(m4_crossvalid[[#This Row],[ds]]),MONTH(m4_crossvalid[[#This Row],[ds]]),DAY(m4_crossvalid[[#This Row],[ds]]))</f>
        <v>45912</v>
      </c>
      <c r="C261">
        <v>2644</v>
      </c>
      <c r="D261" s="1">
        <v>45912.333333333336</v>
      </c>
      <c r="E261">
        <v>2447.9589822958005</v>
      </c>
      <c r="F261">
        <v>577.38820685781116</v>
      </c>
      <c r="G261">
        <v>4289.3773273308407</v>
      </c>
      <c r="H261" s="1">
        <v>45900.333333333336</v>
      </c>
    </row>
    <row r="262" spans="1:8" x14ac:dyDescent="0.25">
      <c r="A262" s="7">
        <f>DATE(YEAR(m4_crossvalid[[#This Row],[cutoff]]),MONTH(m4_crossvalid[[#This Row],[cutoff]]),DAY(m4_crossvalid[[#This Row],[cutoff]]))</f>
        <v>45900</v>
      </c>
      <c r="B262" s="7">
        <f>DATE(YEAR(m4_crossvalid[[#This Row],[ds]]),MONTH(m4_crossvalid[[#This Row],[ds]]),DAY(m4_crossvalid[[#This Row],[ds]]))</f>
        <v>45913</v>
      </c>
      <c r="C262">
        <v>439</v>
      </c>
      <c r="D262" s="1">
        <v>45913.333333333336</v>
      </c>
      <c r="E262">
        <v>243.19377993183616</v>
      </c>
      <c r="F262">
        <v>-1589.4346230376495</v>
      </c>
      <c r="G262">
        <v>2040.2881796910056</v>
      </c>
      <c r="H262" s="1">
        <v>45900.333333333336</v>
      </c>
    </row>
    <row r="263" spans="1:8" x14ac:dyDescent="0.25">
      <c r="A263" s="7">
        <f>DATE(YEAR(m4_crossvalid[[#This Row],[cutoff]]),MONTH(m4_crossvalid[[#This Row],[cutoff]]),DAY(m4_crossvalid[[#This Row],[cutoff]]))</f>
        <v>45900</v>
      </c>
      <c r="B263" s="7">
        <f>DATE(YEAR(m4_crossvalid[[#This Row],[ds]]),MONTH(m4_crossvalid[[#This Row],[ds]]),DAY(m4_crossvalid[[#This Row],[ds]]))</f>
        <v>45914</v>
      </c>
      <c r="C263">
        <v>108</v>
      </c>
      <c r="D263" s="1">
        <v>45914.333333333336</v>
      </c>
      <c r="E263">
        <v>-394.50851360665638</v>
      </c>
      <c r="F263">
        <v>-2209.0016234677105</v>
      </c>
      <c r="G263">
        <v>1388.2907401036409</v>
      </c>
      <c r="H263" s="1">
        <v>45900.333333333336</v>
      </c>
    </row>
    <row r="264" spans="1:8" x14ac:dyDescent="0.25">
      <c r="A264" s="7">
        <f>DATE(YEAR(m4_crossvalid[[#This Row],[cutoff]]),MONTH(m4_crossvalid[[#This Row],[cutoff]]),DAY(m4_crossvalid[[#This Row],[cutoff]]))</f>
        <v>45900</v>
      </c>
      <c r="B264" s="7">
        <f>DATE(YEAR(m4_crossvalid[[#This Row],[ds]]),MONTH(m4_crossvalid[[#This Row],[ds]]),DAY(m4_crossvalid[[#This Row],[ds]]))</f>
        <v>45915</v>
      </c>
      <c r="C264">
        <v>19</v>
      </c>
      <c r="D264" s="1">
        <v>45915.333333333336</v>
      </c>
      <c r="E264">
        <v>358.22276522833408</v>
      </c>
      <c r="F264">
        <v>-1552.0289787626177</v>
      </c>
      <c r="G264">
        <v>2133.4479974249543</v>
      </c>
      <c r="H264" s="1">
        <v>45900.333333333336</v>
      </c>
    </row>
    <row r="265" spans="1:8" x14ac:dyDescent="0.25">
      <c r="A265" s="7">
        <f>DATE(YEAR(m4_crossvalid[[#This Row],[cutoff]]),MONTH(m4_crossvalid[[#This Row],[cutoff]]),DAY(m4_crossvalid[[#This Row],[cutoff]]))</f>
        <v>45900</v>
      </c>
      <c r="B265" s="7">
        <f>DATE(YEAR(m4_crossvalid[[#This Row],[ds]]),MONTH(m4_crossvalid[[#This Row],[ds]]),DAY(m4_crossvalid[[#This Row],[ds]]))</f>
        <v>45916</v>
      </c>
      <c r="C265">
        <v>5</v>
      </c>
      <c r="D265" s="1">
        <v>45916.333333333336</v>
      </c>
      <c r="E265">
        <v>735.8085637985273</v>
      </c>
      <c r="F265">
        <v>-1269.3617024788966</v>
      </c>
      <c r="G265">
        <v>2650.9240464475047</v>
      </c>
      <c r="H265" s="1">
        <v>45900.333333333336</v>
      </c>
    </row>
    <row r="266" spans="1:8" x14ac:dyDescent="0.25">
      <c r="A266" s="7">
        <f>DATE(YEAR(m4_crossvalid[[#This Row],[cutoff]]),MONTH(m4_crossvalid[[#This Row],[cutoff]]),DAY(m4_crossvalid[[#This Row],[cutoff]]))</f>
        <v>45900</v>
      </c>
      <c r="B266" s="7">
        <f>DATE(YEAR(m4_crossvalid[[#This Row],[ds]]),MONTH(m4_crossvalid[[#This Row],[ds]]),DAY(m4_crossvalid[[#This Row],[ds]]))</f>
        <v>45917</v>
      </c>
      <c r="C266">
        <v>2108</v>
      </c>
      <c r="D266" s="1">
        <v>45917.333333333336</v>
      </c>
      <c r="E266">
        <v>2824.1308573299443</v>
      </c>
      <c r="F266">
        <v>1051.727904879564</v>
      </c>
      <c r="G266">
        <v>4709.3980494443667</v>
      </c>
      <c r="H266" s="1">
        <v>45900.333333333336</v>
      </c>
    </row>
    <row r="267" spans="1:8" x14ac:dyDescent="0.25">
      <c r="A267" s="7">
        <f>DATE(YEAR(m4_crossvalid[[#This Row],[cutoff]]),MONTH(m4_crossvalid[[#This Row],[cutoff]]),DAY(m4_crossvalid[[#This Row],[cutoff]]))</f>
        <v>45900</v>
      </c>
      <c r="B267" s="7">
        <f>DATE(YEAR(m4_crossvalid[[#This Row],[ds]]),MONTH(m4_crossvalid[[#This Row],[ds]]),DAY(m4_crossvalid[[#This Row],[ds]]))</f>
        <v>45918</v>
      </c>
      <c r="C267">
        <v>3129</v>
      </c>
      <c r="D267" s="1">
        <v>45918.333333333336</v>
      </c>
      <c r="E267">
        <v>3006.6655108002851</v>
      </c>
      <c r="F267">
        <v>1148.0761338306636</v>
      </c>
      <c r="G267">
        <v>4953.8401409324879</v>
      </c>
      <c r="H267" s="1">
        <v>45900.333333333336</v>
      </c>
    </row>
    <row r="268" spans="1:8" x14ac:dyDescent="0.25">
      <c r="A268" s="7">
        <f>DATE(YEAR(m4_crossvalid[[#This Row],[cutoff]]),MONTH(m4_crossvalid[[#This Row],[cutoff]]),DAY(m4_crossvalid[[#This Row],[cutoff]]))</f>
        <v>45900</v>
      </c>
      <c r="B268" s="7">
        <f>DATE(YEAR(m4_crossvalid[[#This Row],[ds]]),MONTH(m4_crossvalid[[#This Row],[ds]]),DAY(m4_crossvalid[[#This Row],[ds]]))</f>
        <v>45919</v>
      </c>
      <c r="C268">
        <v>3027</v>
      </c>
      <c r="D268" s="1">
        <v>45919.333333333336</v>
      </c>
      <c r="E268">
        <v>2857.8837628084643</v>
      </c>
      <c r="F268">
        <v>1005.8211250630211</v>
      </c>
      <c r="G268">
        <v>4692.450048987499</v>
      </c>
      <c r="H268" s="1">
        <v>45900.333333333336</v>
      </c>
    </row>
    <row r="269" spans="1:8" x14ac:dyDescent="0.25">
      <c r="A269" s="7">
        <f>DATE(YEAR(m4_crossvalid[[#This Row],[cutoff]]),MONTH(m4_crossvalid[[#This Row],[cutoff]]),DAY(m4_crossvalid[[#This Row],[cutoff]]))</f>
        <v>45900</v>
      </c>
      <c r="B269" s="7">
        <f>DATE(YEAR(m4_crossvalid[[#This Row],[ds]]),MONTH(m4_crossvalid[[#This Row],[ds]]),DAY(m4_crossvalid[[#This Row],[ds]]))</f>
        <v>45920</v>
      </c>
      <c r="C269">
        <v>525</v>
      </c>
      <c r="D269" s="1">
        <v>45920.333333333336</v>
      </c>
      <c r="E269">
        <v>478.05811671118431</v>
      </c>
      <c r="F269">
        <v>-1358.8193989721644</v>
      </c>
      <c r="G269">
        <v>2318.5796164129129</v>
      </c>
      <c r="H269" s="1">
        <v>45900.333333333336</v>
      </c>
    </row>
    <row r="270" spans="1:8" x14ac:dyDescent="0.25">
      <c r="A270" s="7">
        <f>DATE(YEAR(m4_crossvalid[[#This Row],[cutoff]]),MONTH(m4_crossvalid[[#This Row],[cutoff]]),DAY(m4_crossvalid[[#This Row],[cutoff]]))</f>
        <v>45900</v>
      </c>
      <c r="B270" s="7">
        <f>DATE(YEAR(m4_crossvalid[[#This Row],[ds]]),MONTH(m4_crossvalid[[#This Row],[ds]]),DAY(m4_crossvalid[[#This Row],[ds]]))</f>
        <v>45921</v>
      </c>
      <c r="C270">
        <v>107</v>
      </c>
      <c r="D270" s="1">
        <v>45921.333333333336</v>
      </c>
      <c r="E270">
        <v>-25.880930974091825</v>
      </c>
      <c r="F270">
        <v>-1935.9446809766125</v>
      </c>
      <c r="G270">
        <v>1775.8814709565331</v>
      </c>
      <c r="H270" s="1">
        <v>45900.333333333336</v>
      </c>
    </row>
    <row r="271" spans="1:8" x14ac:dyDescent="0.25">
      <c r="A271" s="7">
        <f>DATE(YEAR(m4_crossvalid[[#This Row],[cutoff]]),MONTH(m4_crossvalid[[#This Row],[cutoff]]),DAY(m4_crossvalid[[#This Row],[cutoff]]))</f>
        <v>45900</v>
      </c>
      <c r="B271" s="7">
        <f>DATE(YEAR(m4_crossvalid[[#This Row],[ds]]),MONTH(m4_crossvalid[[#This Row],[ds]]),DAY(m4_crossvalid[[#This Row],[ds]]))</f>
        <v>45922</v>
      </c>
      <c r="C271">
        <v>2480</v>
      </c>
      <c r="D271" s="1">
        <v>45922.333333333336</v>
      </c>
      <c r="E271">
        <v>2792.2324177732753</v>
      </c>
      <c r="F271">
        <v>928.88981954992823</v>
      </c>
      <c r="G271">
        <v>4697.4999708323849</v>
      </c>
      <c r="H271" s="1">
        <v>45900.333333333336</v>
      </c>
    </row>
    <row r="272" spans="1:8" x14ac:dyDescent="0.25">
      <c r="A272" s="7">
        <f>DATE(YEAR(m4_crossvalid[[#This Row],[cutoff]]),MONTH(m4_crossvalid[[#This Row],[cutoff]]),DAY(m4_crossvalid[[#This Row],[cutoff]]))</f>
        <v>45900</v>
      </c>
      <c r="B272" s="7">
        <f>DATE(YEAR(m4_crossvalid[[#This Row],[ds]]),MONTH(m4_crossvalid[[#This Row],[ds]]),DAY(m4_crossvalid[[#This Row],[ds]]))</f>
        <v>45923</v>
      </c>
      <c r="C272">
        <v>2893</v>
      </c>
      <c r="D272" s="1">
        <v>45923.333333333336</v>
      </c>
      <c r="E272">
        <v>3392.4454134824923</v>
      </c>
      <c r="F272">
        <v>1484.082290601913</v>
      </c>
      <c r="G272">
        <v>5215.1005633313707</v>
      </c>
      <c r="H272" s="1">
        <v>45900.333333333336</v>
      </c>
    </row>
    <row r="273" spans="1:8" x14ac:dyDescent="0.25">
      <c r="A273" s="7">
        <f>DATE(YEAR(m4_crossvalid[[#This Row],[cutoff]]),MONTH(m4_crossvalid[[#This Row],[cutoff]]),DAY(m4_crossvalid[[#This Row],[cutoff]]))</f>
        <v>45900</v>
      </c>
      <c r="B273" s="7">
        <f>DATE(YEAR(m4_crossvalid[[#This Row],[ds]]),MONTH(m4_crossvalid[[#This Row],[ds]]),DAY(m4_crossvalid[[#This Row],[ds]]))</f>
        <v>45924</v>
      </c>
      <c r="C273">
        <v>3143</v>
      </c>
      <c r="D273" s="1">
        <v>45924.333333333336</v>
      </c>
      <c r="E273">
        <v>3687.6145178343586</v>
      </c>
      <c r="F273">
        <v>1925.7647762156707</v>
      </c>
      <c r="G273">
        <v>5549.1290734203349</v>
      </c>
      <c r="H273" s="1">
        <v>45900.333333333336</v>
      </c>
    </row>
    <row r="274" spans="1:8" x14ac:dyDescent="0.25">
      <c r="A274" s="7">
        <f>DATE(YEAR(m4_crossvalid[[#This Row],[cutoff]]),MONTH(m4_crossvalid[[#This Row],[cutoff]]),DAY(m4_crossvalid[[#This Row],[cutoff]]))</f>
        <v>45900</v>
      </c>
      <c r="B274" s="7">
        <f>DATE(YEAR(m4_crossvalid[[#This Row],[ds]]),MONTH(m4_crossvalid[[#This Row],[ds]]),DAY(m4_crossvalid[[#This Row],[ds]]))</f>
        <v>45925</v>
      </c>
      <c r="C274">
        <v>3361</v>
      </c>
      <c r="D274" s="1">
        <v>45925.333333333336</v>
      </c>
      <c r="E274">
        <v>3702.5380747509071</v>
      </c>
      <c r="F274">
        <v>1927.8600211226944</v>
      </c>
      <c r="G274">
        <v>5541.9226920705096</v>
      </c>
      <c r="H274" s="1">
        <v>45900.333333333336</v>
      </c>
    </row>
    <row r="275" spans="1:8" x14ac:dyDescent="0.25">
      <c r="A275" s="7">
        <f>DATE(YEAR(m4_crossvalid[[#This Row],[cutoff]]),MONTH(m4_crossvalid[[#This Row],[cutoff]]),DAY(m4_crossvalid[[#This Row],[cutoff]]))</f>
        <v>45900</v>
      </c>
      <c r="B275" s="7">
        <f>DATE(YEAR(m4_crossvalid[[#This Row],[ds]]),MONTH(m4_crossvalid[[#This Row],[ds]]),DAY(m4_crossvalid[[#This Row],[ds]]))</f>
        <v>45926</v>
      </c>
      <c r="C275">
        <v>3885</v>
      </c>
      <c r="D275" s="1">
        <v>45926.333333333336</v>
      </c>
      <c r="E275">
        <v>3670.9660469709761</v>
      </c>
      <c r="F275">
        <v>1949.3949535483605</v>
      </c>
      <c r="G275">
        <v>5592.5480636220109</v>
      </c>
      <c r="H275" s="1">
        <v>45900.333333333336</v>
      </c>
    </row>
    <row r="276" spans="1:8" x14ac:dyDescent="0.25">
      <c r="A276" s="7">
        <f>DATE(YEAR(m4_crossvalid[[#This Row],[cutoff]]),MONTH(m4_crossvalid[[#This Row],[cutoff]]),DAY(m4_crossvalid[[#This Row],[cutoff]]))</f>
        <v>45900</v>
      </c>
      <c r="B276" s="7">
        <f>DATE(YEAR(m4_crossvalid[[#This Row],[ds]]),MONTH(m4_crossvalid[[#This Row],[ds]]),DAY(m4_crossvalid[[#This Row],[ds]]))</f>
        <v>45927</v>
      </c>
      <c r="C276">
        <v>1024</v>
      </c>
      <c r="D276" s="1">
        <v>45927.333333333336</v>
      </c>
      <c r="E276">
        <v>1939.9224888709293</v>
      </c>
      <c r="F276">
        <v>4.2692319219319748</v>
      </c>
      <c r="G276">
        <v>3707.6802544627908</v>
      </c>
      <c r="H276" s="1">
        <v>45900.333333333336</v>
      </c>
    </row>
    <row r="277" spans="1:8" x14ac:dyDescent="0.25">
      <c r="A277" s="7">
        <f>DATE(YEAR(m4_crossvalid[[#This Row],[cutoff]]),MONTH(m4_crossvalid[[#This Row],[cutoff]]),DAY(m4_crossvalid[[#This Row],[cutoff]]))</f>
        <v>45900</v>
      </c>
      <c r="B277" s="7">
        <f>DATE(YEAR(m4_crossvalid[[#This Row],[ds]]),MONTH(m4_crossvalid[[#This Row],[ds]]),DAY(m4_crossvalid[[#This Row],[ds]]))</f>
        <v>45928</v>
      </c>
      <c r="C277">
        <v>280</v>
      </c>
      <c r="D277" s="1">
        <v>45928.333333333336</v>
      </c>
      <c r="E277">
        <v>2432.7401616834836</v>
      </c>
      <c r="F277">
        <v>611.0986580004452</v>
      </c>
      <c r="G277">
        <v>4358.1836570727637</v>
      </c>
      <c r="H277" s="1">
        <v>45900.333333333336</v>
      </c>
    </row>
    <row r="278" spans="1:8" x14ac:dyDescent="0.25">
      <c r="A278" s="7">
        <f>DATE(YEAR(m4_crossvalid[[#This Row],[cutoff]]),MONTH(m4_crossvalid[[#This Row],[cutoff]]),DAY(m4_crossvalid[[#This Row],[cutoff]]))</f>
        <v>45900</v>
      </c>
      <c r="B278" s="7">
        <f>DATE(YEAR(m4_crossvalid[[#This Row],[ds]]),MONTH(m4_crossvalid[[#This Row],[ds]]),DAY(m4_crossvalid[[#This Row],[ds]]))</f>
        <v>45929</v>
      </c>
      <c r="C278">
        <v>8852</v>
      </c>
      <c r="D278" s="1">
        <v>45929.333333333336</v>
      </c>
      <c r="E278">
        <v>6045.0612193605002</v>
      </c>
      <c r="F278">
        <v>4083.5661762837422</v>
      </c>
      <c r="G278">
        <v>7795.5939828789942</v>
      </c>
      <c r="H278" s="1">
        <v>45900.333333333336</v>
      </c>
    </row>
    <row r="279" spans="1:8" x14ac:dyDescent="0.25">
      <c r="A279" s="7">
        <f>DATE(YEAR(m4_crossvalid[[#This Row],[cutoff]]),MONTH(m4_crossvalid[[#This Row],[cutoff]]),DAY(m4_crossvalid[[#This Row],[cutoff]]))</f>
        <v>45900</v>
      </c>
      <c r="B279" s="7">
        <f>DATE(YEAR(m4_crossvalid[[#This Row],[ds]]),MONTH(m4_crossvalid[[#This Row],[ds]]),DAY(m4_crossvalid[[#This Row],[ds]]))</f>
        <v>45930</v>
      </c>
      <c r="C279">
        <v>14458</v>
      </c>
      <c r="D279" s="1">
        <v>45930.333333333336</v>
      </c>
      <c r="E279">
        <v>6685.0593208822756</v>
      </c>
      <c r="F279">
        <v>4790.0401529124247</v>
      </c>
      <c r="G279">
        <v>8601.3087937104592</v>
      </c>
      <c r="H279" s="1">
        <v>45900.333333333336</v>
      </c>
    </row>
    <row r="280" spans="1:8" x14ac:dyDescent="0.25">
      <c r="A280" s="7">
        <f>DATE(YEAR(m4_crossvalid[[#This Row],[cutoff]]),MONTH(m4_crossvalid[[#This Row],[cutoff]]),DAY(m4_crossvalid[[#This Row],[cutoff]]))</f>
        <v>45900</v>
      </c>
      <c r="B280" s="7">
        <f>DATE(YEAR(m4_crossvalid[[#This Row],[ds]]),MONTH(m4_crossvalid[[#This Row],[ds]]),DAY(m4_crossvalid[[#This Row],[ds]]))</f>
        <v>45931</v>
      </c>
      <c r="C280">
        <v>639</v>
      </c>
      <c r="D280" s="1">
        <v>45931.333333333336</v>
      </c>
      <c r="E280">
        <v>6075.6393941579099</v>
      </c>
      <c r="F280">
        <v>4235.4666108989013</v>
      </c>
      <c r="G280">
        <v>7887.0059049291231</v>
      </c>
      <c r="H280" s="1">
        <v>45900.333333333336</v>
      </c>
    </row>
    <row r="281" spans="1:8" x14ac:dyDescent="0.25">
      <c r="A281" s="7">
        <f>DATE(YEAR(m4_crossvalid[[#This Row],[cutoff]]),MONTH(m4_crossvalid[[#This Row],[cutoff]]),DAY(m4_crossvalid[[#This Row],[cutoff]]))</f>
        <v>45930</v>
      </c>
      <c r="B281" s="7">
        <f>DATE(YEAR(m4_crossvalid[[#This Row],[ds]]),MONTH(m4_crossvalid[[#This Row],[ds]]),DAY(m4_crossvalid[[#This Row],[ds]]))</f>
        <v>45931</v>
      </c>
      <c r="C281">
        <v>639</v>
      </c>
      <c r="D281" s="1">
        <v>45931.333333333336</v>
      </c>
      <c r="E281">
        <v>6220.4880992859808</v>
      </c>
      <c r="F281">
        <v>4355.5370376541641</v>
      </c>
      <c r="G281">
        <v>8190.3391673560309</v>
      </c>
      <c r="H281" s="1">
        <v>45930.333333333336</v>
      </c>
    </row>
    <row r="282" spans="1:8" x14ac:dyDescent="0.25">
      <c r="A282" s="7">
        <f>DATE(YEAR(m4_crossvalid[[#This Row],[cutoff]]),MONTH(m4_crossvalid[[#This Row],[cutoff]]),DAY(m4_crossvalid[[#This Row],[cutoff]]))</f>
        <v>45930</v>
      </c>
      <c r="B282" s="7">
        <f>DATE(YEAR(m4_crossvalid[[#This Row],[ds]]),MONTH(m4_crossvalid[[#This Row],[ds]]),DAY(m4_crossvalid[[#This Row],[ds]]))</f>
        <v>45932</v>
      </c>
      <c r="C282">
        <v>823</v>
      </c>
      <c r="D282" s="1">
        <v>45932.333333333336</v>
      </c>
      <c r="E282">
        <v>4590.7058676412053</v>
      </c>
      <c r="F282">
        <v>2565.5524158976377</v>
      </c>
      <c r="G282">
        <v>6408.2218375433904</v>
      </c>
      <c r="H282" s="1">
        <v>45930.333333333336</v>
      </c>
    </row>
    <row r="283" spans="1:8" x14ac:dyDescent="0.25">
      <c r="A283" s="7">
        <f>DATE(YEAR(m4_crossvalid[[#This Row],[cutoff]]),MONTH(m4_crossvalid[[#This Row],[cutoff]]),DAY(m4_crossvalid[[#This Row],[cutoff]]))</f>
        <v>45930</v>
      </c>
      <c r="B283" s="7">
        <f>DATE(YEAR(m4_crossvalid[[#This Row],[ds]]),MONTH(m4_crossvalid[[#This Row],[ds]]),DAY(m4_crossvalid[[#This Row],[ds]]))</f>
        <v>45933</v>
      </c>
      <c r="C283">
        <v>996</v>
      </c>
      <c r="D283" s="1">
        <v>45933.333333333336</v>
      </c>
      <c r="E283">
        <v>2709.7283207090427</v>
      </c>
      <c r="F283">
        <v>911.72652591208725</v>
      </c>
      <c r="G283">
        <v>4419.2260614862553</v>
      </c>
      <c r="H283" s="1">
        <v>45930.333333333336</v>
      </c>
    </row>
    <row r="284" spans="1:8" x14ac:dyDescent="0.25">
      <c r="A284" s="7">
        <f>DATE(YEAR(m4_crossvalid[[#This Row],[cutoff]]),MONTH(m4_crossvalid[[#This Row],[cutoff]]),DAY(m4_crossvalid[[#This Row],[cutoff]]))</f>
        <v>45930</v>
      </c>
      <c r="B284" s="7">
        <f>DATE(YEAR(m4_crossvalid[[#This Row],[ds]]),MONTH(m4_crossvalid[[#This Row],[ds]]),DAY(m4_crossvalid[[#This Row],[ds]]))</f>
        <v>45934</v>
      </c>
      <c r="C284">
        <v>141</v>
      </c>
      <c r="D284" s="1">
        <v>45934.333333333336</v>
      </c>
      <c r="E284">
        <v>-672.19405533201461</v>
      </c>
      <c r="F284">
        <v>-2481.8807049752231</v>
      </c>
      <c r="G284">
        <v>1262.883104942973</v>
      </c>
      <c r="H284" s="1">
        <v>45930.333333333336</v>
      </c>
    </row>
    <row r="285" spans="1:8" x14ac:dyDescent="0.25">
      <c r="A285" s="7">
        <f>DATE(YEAR(m4_crossvalid[[#This Row],[cutoff]]),MONTH(m4_crossvalid[[#This Row],[cutoff]]),DAY(m4_crossvalid[[#This Row],[cutoff]]))</f>
        <v>45930</v>
      </c>
      <c r="B285" s="7">
        <f>DATE(YEAR(m4_crossvalid[[#This Row],[ds]]),MONTH(m4_crossvalid[[#This Row],[ds]]),DAY(m4_crossvalid[[#This Row],[ds]]))</f>
        <v>45935</v>
      </c>
      <c r="C285">
        <v>38</v>
      </c>
      <c r="D285" s="1">
        <v>45935.333333333336</v>
      </c>
      <c r="E285">
        <v>-1405.7408603489448</v>
      </c>
      <c r="F285">
        <v>-3297.5293069261752</v>
      </c>
      <c r="G285">
        <v>498.03746112020048</v>
      </c>
      <c r="H285" s="1">
        <v>45930.333333333336</v>
      </c>
    </row>
    <row r="286" spans="1:8" x14ac:dyDescent="0.25">
      <c r="A286" s="7">
        <f>DATE(YEAR(m4_crossvalid[[#This Row],[cutoff]]),MONTH(m4_crossvalid[[#This Row],[cutoff]]),DAY(m4_crossvalid[[#This Row],[cutoff]]))</f>
        <v>45930</v>
      </c>
      <c r="B286" s="7">
        <f>DATE(YEAR(m4_crossvalid[[#This Row],[ds]]),MONTH(m4_crossvalid[[#This Row],[ds]]),DAY(m4_crossvalid[[#This Row],[ds]]))</f>
        <v>45936</v>
      </c>
      <c r="C286">
        <v>1044</v>
      </c>
      <c r="D286" s="1">
        <v>45936.333333333336</v>
      </c>
      <c r="E286">
        <v>1516.3395820088181</v>
      </c>
      <c r="F286">
        <v>-295.30619271117024</v>
      </c>
      <c r="G286">
        <v>3417.4486389869394</v>
      </c>
      <c r="H286" s="1">
        <v>45930.333333333336</v>
      </c>
    </row>
    <row r="287" spans="1:8" x14ac:dyDescent="0.25">
      <c r="A287" s="7">
        <f>DATE(YEAR(m4_crossvalid[[#This Row],[cutoff]]),MONTH(m4_crossvalid[[#This Row],[cutoff]]),DAY(m4_crossvalid[[#This Row],[cutoff]]))</f>
        <v>45930</v>
      </c>
      <c r="B287" s="7">
        <f>DATE(YEAR(m4_crossvalid[[#This Row],[ds]]),MONTH(m4_crossvalid[[#This Row],[ds]]),DAY(m4_crossvalid[[#This Row],[ds]]))</f>
        <v>45937</v>
      </c>
      <c r="C287">
        <v>1351</v>
      </c>
      <c r="D287" s="1">
        <v>45937.333333333336</v>
      </c>
      <c r="E287">
        <v>2149.0908494621181</v>
      </c>
      <c r="F287">
        <v>357.83139438729677</v>
      </c>
      <c r="G287">
        <v>4016.2292410770124</v>
      </c>
      <c r="H287" s="1">
        <v>45930.333333333336</v>
      </c>
    </row>
    <row r="288" spans="1:8" x14ac:dyDescent="0.25">
      <c r="A288" s="7">
        <f>DATE(YEAR(m4_crossvalid[[#This Row],[cutoff]]),MONTH(m4_crossvalid[[#This Row],[cutoff]]),DAY(m4_crossvalid[[#This Row],[cutoff]]))</f>
        <v>45930</v>
      </c>
      <c r="B288" s="7">
        <f>DATE(YEAR(m4_crossvalid[[#This Row],[ds]]),MONTH(m4_crossvalid[[#This Row],[ds]]),DAY(m4_crossvalid[[#This Row],[ds]]))</f>
        <v>45938</v>
      </c>
      <c r="C288">
        <v>1654</v>
      </c>
      <c r="D288" s="1">
        <v>45938.333333333336</v>
      </c>
      <c r="E288">
        <v>2275.4989364023459</v>
      </c>
      <c r="F288">
        <v>423.06533629015479</v>
      </c>
      <c r="G288">
        <v>4018.1788435149397</v>
      </c>
      <c r="H288" s="1">
        <v>45930.333333333336</v>
      </c>
    </row>
    <row r="289" spans="1:8" x14ac:dyDescent="0.25">
      <c r="A289" s="7">
        <f>DATE(YEAR(m4_crossvalid[[#This Row],[cutoff]]),MONTH(m4_crossvalid[[#This Row],[cutoff]]),DAY(m4_crossvalid[[#This Row],[cutoff]]))</f>
        <v>45930</v>
      </c>
      <c r="B289" s="7">
        <f>DATE(YEAR(m4_crossvalid[[#This Row],[ds]]),MONTH(m4_crossvalid[[#This Row],[ds]]),DAY(m4_crossvalid[[#This Row],[ds]]))</f>
        <v>45939</v>
      </c>
      <c r="C289">
        <v>2108</v>
      </c>
      <c r="D289" s="1">
        <v>45939.333333333336</v>
      </c>
      <c r="E289">
        <v>2147.833206146458</v>
      </c>
      <c r="F289">
        <v>224.38073169033396</v>
      </c>
      <c r="G289">
        <v>4029.6853838985862</v>
      </c>
      <c r="H289" s="1">
        <v>45930.333333333336</v>
      </c>
    </row>
    <row r="290" spans="1:8" x14ac:dyDescent="0.25">
      <c r="A290" s="7">
        <f>DATE(YEAR(m4_crossvalid[[#This Row],[cutoff]]),MONTH(m4_crossvalid[[#This Row],[cutoff]]),DAY(m4_crossvalid[[#This Row],[cutoff]]))</f>
        <v>45930</v>
      </c>
      <c r="B290" s="7">
        <f>DATE(YEAR(m4_crossvalid[[#This Row],[ds]]),MONTH(m4_crossvalid[[#This Row],[ds]]),DAY(m4_crossvalid[[#This Row],[ds]]))</f>
        <v>45940</v>
      </c>
      <c r="C290">
        <v>2215</v>
      </c>
      <c r="D290" s="1">
        <v>45940.333333333336</v>
      </c>
      <c r="E290">
        <v>1999.9790133113897</v>
      </c>
      <c r="F290">
        <v>127.24657414534218</v>
      </c>
      <c r="G290">
        <v>3794.032319833299</v>
      </c>
      <c r="H290" s="1">
        <v>45930.333333333336</v>
      </c>
    </row>
    <row r="291" spans="1:8" x14ac:dyDescent="0.25">
      <c r="A291" s="7">
        <f>DATE(YEAR(m4_crossvalid[[#This Row],[cutoff]]),MONTH(m4_crossvalid[[#This Row],[cutoff]]),DAY(m4_crossvalid[[#This Row],[cutoff]]))</f>
        <v>45930</v>
      </c>
      <c r="B291" s="7">
        <f>DATE(YEAR(m4_crossvalid[[#This Row],[ds]]),MONTH(m4_crossvalid[[#This Row],[ds]]),DAY(m4_crossvalid[[#This Row],[ds]]))</f>
        <v>45941</v>
      </c>
      <c r="C291">
        <v>380</v>
      </c>
      <c r="D291" s="1">
        <v>45941.333333333336</v>
      </c>
      <c r="E291">
        <v>-45.376857454546098</v>
      </c>
      <c r="F291">
        <v>-1788.181457748751</v>
      </c>
      <c r="G291">
        <v>1932.9464021000524</v>
      </c>
      <c r="H291" s="1">
        <v>45930.333333333336</v>
      </c>
    </row>
    <row r="292" spans="1:8" x14ac:dyDescent="0.25">
      <c r="A292" s="7">
        <f>DATE(YEAR(m4_crossvalid[[#This Row],[cutoff]]),MONTH(m4_crossvalid[[#This Row],[cutoff]]),DAY(m4_crossvalid[[#This Row],[cutoff]]))</f>
        <v>45930</v>
      </c>
      <c r="B292" s="7">
        <f>DATE(YEAR(m4_crossvalid[[#This Row],[ds]]),MONTH(m4_crossvalid[[#This Row],[ds]]),DAY(m4_crossvalid[[#This Row],[ds]]))</f>
        <v>45942</v>
      </c>
      <c r="C292">
        <v>120</v>
      </c>
      <c r="D292" s="1">
        <v>45942.333333333336</v>
      </c>
      <c r="E292">
        <v>-242.33712261265282</v>
      </c>
      <c r="F292">
        <v>-2092.6561520247242</v>
      </c>
      <c r="G292">
        <v>1664.1544438082365</v>
      </c>
      <c r="H292" s="1">
        <v>45930.333333333336</v>
      </c>
    </row>
    <row r="293" spans="1:8" x14ac:dyDescent="0.25">
      <c r="A293" s="7">
        <f>DATE(YEAR(m4_crossvalid[[#This Row],[cutoff]]),MONTH(m4_crossvalid[[#This Row],[cutoff]]),DAY(m4_crossvalid[[#This Row],[cutoff]]))</f>
        <v>45930</v>
      </c>
      <c r="B293" s="7">
        <f>DATE(YEAR(m4_crossvalid[[#This Row],[ds]]),MONTH(m4_crossvalid[[#This Row],[ds]]),DAY(m4_crossvalid[[#This Row],[ds]]))</f>
        <v>45943</v>
      </c>
      <c r="C293">
        <v>2406</v>
      </c>
      <c r="D293" s="1">
        <v>45943.333333333336</v>
      </c>
      <c r="E293">
        <v>2501.2157295681959</v>
      </c>
      <c r="F293">
        <v>604.12796174532468</v>
      </c>
      <c r="G293">
        <v>4346.646359633557</v>
      </c>
      <c r="H293" s="1">
        <v>45930.333333333336</v>
      </c>
    </row>
    <row r="294" spans="1:8" x14ac:dyDescent="0.25">
      <c r="A294" s="7">
        <f>DATE(YEAR(m4_crossvalid[[#This Row],[cutoff]]),MONTH(m4_crossvalid[[#This Row],[cutoff]]),DAY(m4_crossvalid[[#This Row],[cutoff]]))</f>
        <v>45930</v>
      </c>
      <c r="B294" s="7">
        <f>DATE(YEAR(m4_crossvalid[[#This Row],[ds]]),MONTH(m4_crossvalid[[#This Row],[ds]]),DAY(m4_crossvalid[[#This Row],[ds]]))</f>
        <v>45944</v>
      </c>
      <c r="C294">
        <v>2958</v>
      </c>
      <c r="D294" s="1">
        <v>45944.333333333336</v>
      </c>
      <c r="E294">
        <v>2717.3042262229465</v>
      </c>
      <c r="F294">
        <v>853.99058358972843</v>
      </c>
      <c r="G294">
        <v>4642.2564374570211</v>
      </c>
      <c r="H294" s="1">
        <v>45930.333333333336</v>
      </c>
    </row>
    <row r="295" spans="1:8" x14ac:dyDescent="0.25">
      <c r="A295" s="7">
        <f>DATE(YEAR(m4_crossvalid[[#This Row],[cutoff]]),MONTH(m4_crossvalid[[#This Row],[cutoff]]),DAY(m4_crossvalid[[#This Row],[cutoff]]))</f>
        <v>45930</v>
      </c>
      <c r="B295" s="7">
        <f>DATE(YEAR(m4_crossvalid[[#This Row],[ds]]),MONTH(m4_crossvalid[[#This Row],[ds]]),DAY(m4_crossvalid[[#This Row],[ds]]))</f>
        <v>45945</v>
      </c>
      <c r="C295">
        <v>3074</v>
      </c>
      <c r="D295" s="1">
        <v>45945.333333333336</v>
      </c>
      <c r="E295">
        <v>2665.5413374170639</v>
      </c>
      <c r="F295">
        <v>931.40857252583385</v>
      </c>
      <c r="G295">
        <v>4570.189390213457</v>
      </c>
      <c r="H295" s="1">
        <v>45930.333333333336</v>
      </c>
    </row>
    <row r="296" spans="1:8" x14ac:dyDescent="0.25">
      <c r="A296" s="7">
        <f>DATE(YEAR(m4_crossvalid[[#This Row],[cutoff]]),MONTH(m4_crossvalid[[#This Row],[cutoff]]),DAY(m4_crossvalid[[#This Row],[cutoff]]))</f>
        <v>45930</v>
      </c>
      <c r="B296" s="7">
        <f>DATE(YEAR(m4_crossvalid[[#This Row],[ds]]),MONTH(m4_crossvalid[[#This Row],[ds]]),DAY(m4_crossvalid[[#This Row],[ds]]))</f>
        <v>45946</v>
      </c>
      <c r="C296">
        <v>3505</v>
      </c>
      <c r="D296" s="1">
        <v>45946.333333333336</v>
      </c>
      <c r="E296">
        <v>2716.5854396092004</v>
      </c>
      <c r="F296">
        <v>885.71410606700499</v>
      </c>
      <c r="G296">
        <v>4525.1853528078891</v>
      </c>
      <c r="H296" s="1">
        <v>45930.333333333336</v>
      </c>
    </row>
    <row r="297" spans="1:8" x14ac:dyDescent="0.25">
      <c r="A297" s="7">
        <f>DATE(YEAR(m4_crossvalid[[#This Row],[cutoff]]),MONTH(m4_crossvalid[[#This Row],[cutoff]]),DAY(m4_crossvalid[[#This Row],[cutoff]]))</f>
        <v>45930</v>
      </c>
      <c r="B297" s="7">
        <f>DATE(YEAR(m4_crossvalid[[#This Row],[ds]]),MONTH(m4_crossvalid[[#This Row],[ds]]),DAY(m4_crossvalid[[#This Row],[ds]]))</f>
        <v>45947</v>
      </c>
      <c r="C297">
        <v>3630</v>
      </c>
      <c r="D297" s="1">
        <v>45947.333333333336</v>
      </c>
      <c r="E297">
        <v>2842.684543219777</v>
      </c>
      <c r="F297">
        <v>873.97643162596285</v>
      </c>
      <c r="G297">
        <v>4680.2742656959063</v>
      </c>
      <c r="H297" s="1">
        <v>45930.333333333336</v>
      </c>
    </row>
    <row r="298" spans="1:8" x14ac:dyDescent="0.25">
      <c r="A298" s="7">
        <f>DATE(YEAR(m4_crossvalid[[#This Row],[cutoff]]),MONTH(m4_crossvalid[[#This Row],[cutoff]]),DAY(m4_crossvalid[[#This Row],[cutoff]]))</f>
        <v>45930</v>
      </c>
      <c r="B298" s="7">
        <f>DATE(YEAR(m4_crossvalid[[#This Row],[ds]]),MONTH(m4_crossvalid[[#This Row],[ds]]),DAY(m4_crossvalid[[#This Row],[ds]]))</f>
        <v>45948</v>
      </c>
      <c r="C298">
        <v>653</v>
      </c>
      <c r="D298" s="1">
        <v>45948.333333333336</v>
      </c>
      <c r="E298">
        <v>834.87936910627036</v>
      </c>
      <c r="F298">
        <v>-902.41785785930028</v>
      </c>
      <c r="G298">
        <v>2765.0494277034336</v>
      </c>
      <c r="H298" s="1">
        <v>45930.333333333336</v>
      </c>
    </row>
    <row r="299" spans="1:8" x14ac:dyDescent="0.25">
      <c r="A299" s="7">
        <f>DATE(YEAR(m4_crossvalid[[#This Row],[cutoff]]),MONTH(m4_crossvalid[[#This Row],[cutoff]]),DAY(m4_crossvalid[[#This Row],[cutoff]]))</f>
        <v>45930</v>
      </c>
      <c r="B299" s="7">
        <f>DATE(YEAR(m4_crossvalid[[#This Row],[ds]]),MONTH(m4_crossvalid[[#This Row],[ds]]),DAY(m4_crossvalid[[#This Row],[ds]]))</f>
        <v>45949</v>
      </c>
      <c r="C299">
        <v>180</v>
      </c>
      <c r="D299" s="1">
        <v>45949.333333333336</v>
      </c>
      <c r="E299">
        <v>375.78212174171767</v>
      </c>
      <c r="F299">
        <v>-1447.5152751827641</v>
      </c>
      <c r="G299">
        <v>2423.9270559859474</v>
      </c>
      <c r="H299" s="1">
        <v>45930.333333333336</v>
      </c>
    </row>
    <row r="300" spans="1:8" x14ac:dyDescent="0.25">
      <c r="A300" s="7">
        <f>DATE(YEAR(m4_crossvalid[[#This Row],[cutoff]]),MONTH(m4_crossvalid[[#This Row],[cutoff]]),DAY(m4_crossvalid[[#This Row],[cutoff]]))</f>
        <v>45930</v>
      </c>
      <c r="B300" s="7">
        <f>DATE(YEAR(m4_crossvalid[[#This Row],[ds]]),MONTH(m4_crossvalid[[#This Row],[ds]]),DAY(m4_crossvalid[[#This Row],[ds]]))</f>
        <v>45950</v>
      </c>
      <c r="C300">
        <v>250</v>
      </c>
      <c r="D300" s="1">
        <v>45950.333333333336</v>
      </c>
      <c r="E300">
        <v>999.39191732204381</v>
      </c>
      <c r="F300">
        <v>-993.26198913827091</v>
      </c>
      <c r="G300">
        <v>2870.9653335137837</v>
      </c>
      <c r="H300" s="1">
        <v>45930.333333333336</v>
      </c>
    </row>
    <row r="301" spans="1:8" x14ac:dyDescent="0.25">
      <c r="A301" s="7">
        <f>DATE(YEAR(m4_crossvalid[[#This Row],[cutoff]]),MONTH(m4_crossvalid[[#This Row],[cutoff]]),DAY(m4_crossvalid[[#This Row],[cutoff]]))</f>
        <v>45930</v>
      </c>
      <c r="B301" s="7">
        <f>DATE(YEAR(m4_crossvalid[[#This Row],[ds]]),MONTH(m4_crossvalid[[#This Row],[ds]]),DAY(m4_crossvalid[[#This Row],[ds]]))</f>
        <v>45951</v>
      </c>
      <c r="C301">
        <v>2797</v>
      </c>
      <c r="D301" s="1">
        <v>45951.333333333336</v>
      </c>
      <c r="E301">
        <v>2985.510778457146</v>
      </c>
      <c r="F301">
        <v>985.74449614597711</v>
      </c>
      <c r="G301">
        <v>4940.001940508012</v>
      </c>
      <c r="H301" s="1">
        <v>45930.333333333336</v>
      </c>
    </row>
    <row r="302" spans="1:8" x14ac:dyDescent="0.25">
      <c r="A302" s="7">
        <f>DATE(YEAR(m4_crossvalid[[#This Row],[cutoff]]),MONTH(m4_crossvalid[[#This Row],[cutoff]]),DAY(m4_crossvalid[[#This Row],[cutoff]]))</f>
        <v>45930</v>
      </c>
      <c r="B302" s="7">
        <f>DATE(YEAR(m4_crossvalid[[#This Row],[ds]]),MONTH(m4_crossvalid[[#This Row],[ds]]),DAY(m4_crossvalid[[#This Row],[ds]]))</f>
        <v>45952</v>
      </c>
      <c r="C302">
        <v>3644</v>
      </c>
      <c r="D302" s="1">
        <v>45952.333333333336</v>
      </c>
      <c r="E302">
        <v>3194.7043419791044</v>
      </c>
      <c r="F302">
        <v>1341.2215282136165</v>
      </c>
      <c r="G302">
        <v>4981.006622908224</v>
      </c>
      <c r="H302" s="1">
        <v>45930.333333333336</v>
      </c>
    </row>
    <row r="303" spans="1:8" x14ac:dyDescent="0.25">
      <c r="A303" s="7">
        <f>DATE(YEAR(m4_crossvalid[[#This Row],[cutoff]]),MONTH(m4_crossvalid[[#This Row],[cutoff]]),DAY(m4_crossvalid[[#This Row],[cutoff]]))</f>
        <v>45930</v>
      </c>
      <c r="B303" s="7">
        <f>DATE(YEAR(m4_crossvalid[[#This Row],[ds]]),MONTH(m4_crossvalid[[#This Row],[ds]]),DAY(m4_crossvalid[[#This Row],[ds]]))</f>
        <v>45953</v>
      </c>
      <c r="C303">
        <v>4009</v>
      </c>
      <c r="D303" s="1">
        <v>45953.333333333336</v>
      </c>
      <c r="E303">
        <v>3548.7397827830409</v>
      </c>
      <c r="F303">
        <v>1602.405074564773</v>
      </c>
      <c r="G303">
        <v>5480.7638290142149</v>
      </c>
      <c r="H303" s="1">
        <v>45930.333333333336</v>
      </c>
    </row>
    <row r="304" spans="1:8" x14ac:dyDescent="0.25">
      <c r="A304" s="7">
        <f>DATE(YEAR(m4_crossvalid[[#This Row],[cutoff]]),MONTH(m4_crossvalid[[#This Row],[cutoff]]),DAY(m4_crossvalid[[#This Row],[cutoff]]))</f>
        <v>45930</v>
      </c>
      <c r="B304" s="7">
        <f>DATE(YEAR(m4_crossvalid[[#This Row],[ds]]),MONTH(m4_crossvalid[[#This Row],[ds]]),DAY(m4_crossvalid[[#This Row],[ds]]))</f>
        <v>45954</v>
      </c>
      <c r="C304">
        <v>4008</v>
      </c>
      <c r="D304" s="1">
        <v>45954.333333333336</v>
      </c>
      <c r="E304">
        <v>3726.4526218393135</v>
      </c>
      <c r="F304">
        <v>1782.144486883162</v>
      </c>
      <c r="G304">
        <v>5682.0373295238996</v>
      </c>
      <c r="H304" s="1">
        <v>45930.333333333336</v>
      </c>
    </row>
    <row r="305" spans="1:8" x14ac:dyDescent="0.25">
      <c r="A305" s="7">
        <f>DATE(YEAR(m4_crossvalid[[#This Row],[cutoff]]),MONTH(m4_crossvalid[[#This Row],[cutoff]]),DAY(m4_crossvalid[[#This Row],[cutoff]]))</f>
        <v>45930</v>
      </c>
      <c r="B305" s="7">
        <f>DATE(YEAR(m4_crossvalid[[#This Row],[ds]]),MONTH(m4_crossvalid[[#This Row],[ds]]),DAY(m4_crossvalid[[#This Row],[ds]]))</f>
        <v>45955</v>
      </c>
      <c r="C305">
        <v>971</v>
      </c>
      <c r="D305" s="1">
        <v>45955.333333333336</v>
      </c>
      <c r="E305">
        <v>1520.2486101665522</v>
      </c>
      <c r="F305">
        <v>-342.37661051794487</v>
      </c>
      <c r="G305">
        <v>3305.5986916300576</v>
      </c>
      <c r="H305" s="1">
        <v>45930.333333333336</v>
      </c>
    </row>
    <row r="306" spans="1:8" x14ac:dyDescent="0.25">
      <c r="A306" s="7">
        <f>DATE(YEAR(m4_crossvalid[[#This Row],[cutoff]]),MONTH(m4_crossvalid[[#This Row],[cutoff]]),DAY(m4_crossvalid[[#This Row],[cutoff]]))</f>
        <v>45930</v>
      </c>
      <c r="B306" s="7">
        <f>DATE(YEAR(m4_crossvalid[[#This Row],[ds]]),MONTH(m4_crossvalid[[#This Row],[ds]]),DAY(m4_crossvalid[[#This Row],[ds]]))</f>
        <v>45956</v>
      </c>
      <c r="C306">
        <v>238</v>
      </c>
      <c r="D306" s="1">
        <v>45956.333333333336</v>
      </c>
      <c r="E306">
        <v>957.31232194471204</v>
      </c>
      <c r="F306">
        <v>-957.15026783626934</v>
      </c>
      <c r="G306">
        <v>2757.1336896746984</v>
      </c>
      <c r="H306" s="1">
        <v>45930.333333333336</v>
      </c>
    </row>
    <row r="307" spans="1:8" x14ac:dyDescent="0.25">
      <c r="A307" s="7">
        <f>DATE(YEAR(m4_crossvalid[[#This Row],[cutoff]]),MONTH(m4_crossvalid[[#This Row],[cutoff]]),DAY(m4_crossvalid[[#This Row],[cutoff]]))</f>
        <v>45930</v>
      </c>
      <c r="B307" s="7">
        <f>DATE(YEAR(m4_crossvalid[[#This Row],[ds]]),MONTH(m4_crossvalid[[#This Row],[ds]]),DAY(m4_crossvalid[[#This Row],[ds]]))</f>
        <v>45957</v>
      </c>
      <c r="C307">
        <v>4219</v>
      </c>
      <c r="D307" s="1">
        <v>45957.333333333336</v>
      </c>
      <c r="E307">
        <v>3773.9540762777124</v>
      </c>
      <c r="F307">
        <v>1884.6183541527867</v>
      </c>
      <c r="G307">
        <v>5547.9725192467286</v>
      </c>
      <c r="H307" s="1">
        <v>45930.333333333336</v>
      </c>
    </row>
    <row r="308" spans="1:8" x14ac:dyDescent="0.25">
      <c r="A308" s="7">
        <f>DATE(YEAR(m4_crossvalid[[#This Row],[cutoff]]),MONTH(m4_crossvalid[[#This Row],[cutoff]]),DAY(m4_crossvalid[[#This Row],[cutoff]]))</f>
        <v>45930</v>
      </c>
      <c r="B308" s="7">
        <f>DATE(YEAR(m4_crossvalid[[#This Row],[ds]]),MONTH(m4_crossvalid[[#This Row],[ds]]),DAY(m4_crossvalid[[#This Row],[ds]]))</f>
        <v>45958</v>
      </c>
      <c r="C308">
        <v>5659</v>
      </c>
      <c r="D308" s="1">
        <v>45958.333333333336</v>
      </c>
      <c r="E308">
        <v>4852.423175586282</v>
      </c>
      <c r="F308">
        <v>3029.5754310550956</v>
      </c>
      <c r="G308">
        <v>6786.5081010180766</v>
      </c>
      <c r="H308" s="1">
        <v>45930.333333333336</v>
      </c>
    </row>
    <row r="309" spans="1:8" x14ac:dyDescent="0.25">
      <c r="A309" s="7">
        <f>DATE(YEAR(m4_crossvalid[[#This Row],[cutoff]]),MONTH(m4_crossvalid[[#This Row],[cutoff]]),DAY(m4_crossvalid[[#This Row],[cutoff]]))</f>
        <v>45930</v>
      </c>
      <c r="B309" s="7">
        <f>DATE(YEAR(m4_crossvalid[[#This Row],[ds]]),MONTH(m4_crossvalid[[#This Row],[ds]]),DAY(m4_crossvalid[[#This Row],[ds]]))</f>
        <v>45959</v>
      </c>
      <c r="C309">
        <v>6381</v>
      </c>
      <c r="D309" s="1">
        <v>45959.333333333336</v>
      </c>
      <c r="E309">
        <v>6071.7499791535101</v>
      </c>
      <c r="F309">
        <v>4124.1259971191503</v>
      </c>
      <c r="G309">
        <v>7898.2684766991797</v>
      </c>
      <c r="H309" s="1">
        <v>45930.333333333336</v>
      </c>
    </row>
    <row r="310" spans="1:8" x14ac:dyDescent="0.25">
      <c r="A310" s="7">
        <f>DATE(YEAR(m4_crossvalid[[#This Row],[cutoff]]),MONTH(m4_crossvalid[[#This Row],[cutoff]]),DAY(m4_crossvalid[[#This Row],[cutoff]]))</f>
        <v>45930</v>
      </c>
      <c r="B310" s="7">
        <f>DATE(YEAR(m4_crossvalid[[#This Row],[ds]]),MONTH(m4_crossvalid[[#This Row],[ds]]),DAY(m4_crossvalid[[#This Row],[ds]]))</f>
        <v>45960</v>
      </c>
      <c r="C310">
        <v>7936</v>
      </c>
      <c r="D310" s="1">
        <v>45960.333333333336</v>
      </c>
      <c r="E310">
        <v>6909.4225161388194</v>
      </c>
      <c r="F310">
        <v>5140.3786883957273</v>
      </c>
      <c r="G310">
        <v>8828.9783383052618</v>
      </c>
      <c r="H310" s="1">
        <v>45930.333333333336</v>
      </c>
    </row>
    <row r="311" spans="1:8" x14ac:dyDescent="0.25">
      <c r="A311" s="7">
        <f>DATE(YEAR(m4_crossvalid[[#This Row],[cutoff]]),MONTH(m4_crossvalid[[#This Row],[cutoff]]),DAY(m4_crossvalid[[#This Row],[cutoff]]))</f>
        <v>45930</v>
      </c>
      <c r="B311" s="7">
        <f>DATE(YEAR(m4_crossvalid[[#This Row],[ds]]),MONTH(m4_crossvalid[[#This Row],[ds]]),DAY(m4_crossvalid[[#This Row],[ds]]))</f>
        <v>45961</v>
      </c>
      <c r="C311">
        <v>13386</v>
      </c>
      <c r="D311" s="1">
        <v>45961.333333333336</v>
      </c>
      <c r="E311">
        <v>6635.1074881935692</v>
      </c>
      <c r="F311">
        <v>4844.7066055170189</v>
      </c>
      <c r="G311">
        <v>8384.5947958882243</v>
      </c>
      <c r="H311" s="1">
        <v>45930.333333333336</v>
      </c>
    </row>
    <row r="312" spans="1:8" x14ac:dyDescent="0.25">
      <c r="A312" s="7">
        <f>DATE(YEAR(m4_crossvalid[[#This Row],[cutoff]]),MONTH(m4_crossvalid[[#This Row],[cutoff]]),DAY(m4_crossvalid[[#This Row],[cutoff]]))</f>
        <v>45961</v>
      </c>
      <c r="B312" s="7">
        <f>DATE(YEAR(m4_crossvalid[[#This Row],[ds]]),MONTH(m4_crossvalid[[#This Row],[ds]]),DAY(m4_crossvalid[[#This Row],[ds]]))</f>
        <v>45962</v>
      </c>
      <c r="C312">
        <v>104</v>
      </c>
      <c r="D312" s="1">
        <v>45962.333333333336</v>
      </c>
      <c r="E312">
        <v>3217.772971954716</v>
      </c>
      <c r="F312">
        <v>1287.8382787484713</v>
      </c>
      <c r="G312">
        <v>4937.1067853689829</v>
      </c>
      <c r="H312" s="1">
        <v>45961.333333333336</v>
      </c>
    </row>
    <row r="313" spans="1:8" x14ac:dyDescent="0.25">
      <c r="A313" s="7">
        <f>DATE(YEAR(m4_crossvalid[[#This Row],[cutoff]]),MONTH(m4_crossvalid[[#This Row],[cutoff]]),DAY(m4_crossvalid[[#This Row],[cutoff]]))</f>
        <v>45961</v>
      </c>
      <c r="B313" s="7">
        <f>DATE(YEAR(m4_crossvalid[[#This Row],[ds]]),MONTH(m4_crossvalid[[#This Row],[ds]]),DAY(m4_crossvalid[[#This Row],[ds]]))</f>
        <v>45963</v>
      </c>
      <c r="C313">
        <v>32</v>
      </c>
      <c r="D313" s="1">
        <v>45963.333333333336</v>
      </c>
      <c r="E313">
        <v>851.16250292585732</v>
      </c>
      <c r="F313">
        <v>-1100.2322509728413</v>
      </c>
      <c r="G313">
        <v>2659.8971112903305</v>
      </c>
      <c r="H313" s="1">
        <v>45961.333333333336</v>
      </c>
    </row>
    <row r="314" spans="1:8" x14ac:dyDescent="0.25">
      <c r="A314" s="7">
        <f>DATE(YEAR(m4_crossvalid[[#This Row],[cutoff]]),MONTH(m4_crossvalid[[#This Row],[cutoff]]),DAY(m4_crossvalid[[#This Row],[cutoff]]))</f>
        <v>45961</v>
      </c>
      <c r="B314" s="7">
        <f>DATE(YEAR(m4_crossvalid[[#This Row],[ds]]),MONTH(m4_crossvalid[[#This Row],[ds]]),DAY(m4_crossvalid[[#This Row],[ds]]))</f>
        <v>45964</v>
      </c>
      <c r="C314">
        <v>607</v>
      </c>
      <c r="D314" s="1">
        <v>45964.333333333336</v>
      </c>
      <c r="E314">
        <v>1892.0069993033756</v>
      </c>
      <c r="F314">
        <v>-17.81306077922973</v>
      </c>
      <c r="G314">
        <v>3738.2426283688797</v>
      </c>
      <c r="H314" s="1">
        <v>45961.333333333336</v>
      </c>
    </row>
    <row r="315" spans="1:8" x14ac:dyDescent="0.25">
      <c r="A315" s="7">
        <f>DATE(YEAR(m4_crossvalid[[#This Row],[cutoff]]),MONTH(m4_crossvalid[[#This Row],[cutoff]]),DAY(m4_crossvalid[[#This Row],[cutoff]]))</f>
        <v>45961</v>
      </c>
      <c r="B315" s="7">
        <f>DATE(YEAR(m4_crossvalid[[#This Row],[ds]]),MONTH(m4_crossvalid[[#This Row],[ds]]),DAY(m4_crossvalid[[#This Row],[ds]]))</f>
        <v>45965</v>
      </c>
      <c r="C315">
        <v>821</v>
      </c>
      <c r="D315" s="1">
        <v>45965.333333333336</v>
      </c>
      <c r="E315">
        <v>1526.2831121151708</v>
      </c>
      <c r="F315">
        <v>-384.08848719127781</v>
      </c>
      <c r="G315">
        <v>3310.7542198155306</v>
      </c>
      <c r="H315" s="1">
        <v>45961.333333333336</v>
      </c>
    </row>
    <row r="316" spans="1:8" x14ac:dyDescent="0.25">
      <c r="A316" s="7">
        <f>DATE(YEAR(m4_crossvalid[[#This Row],[cutoff]]),MONTH(m4_crossvalid[[#This Row],[cutoff]]),DAY(m4_crossvalid[[#This Row],[cutoff]]))</f>
        <v>45961</v>
      </c>
      <c r="B316" s="7">
        <f>DATE(YEAR(m4_crossvalid[[#This Row],[ds]]),MONTH(m4_crossvalid[[#This Row],[ds]]),DAY(m4_crossvalid[[#This Row],[ds]]))</f>
        <v>45966</v>
      </c>
      <c r="C316">
        <v>1032</v>
      </c>
      <c r="D316" s="1">
        <v>45966.333333333336</v>
      </c>
      <c r="E316">
        <v>1723.8484820113586</v>
      </c>
      <c r="F316">
        <v>-120.28507254345062</v>
      </c>
      <c r="G316">
        <v>3558.8206750003574</v>
      </c>
      <c r="H316" s="1">
        <v>45961.333333333336</v>
      </c>
    </row>
    <row r="317" spans="1:8" x14ac:dyDescent="0.25">
      <c r="A317" s="7">
        <f>DATE(YEAR(m4_crossvalid[[#This Row],[cutoff]]),MONTH(m4_crossvalid[[#This Row],[cutoff]]),DAY(m4_crossvalid[[#This Row],[cutoff]]))</f>
        <v>45961</v>
      </c>
      <c r="B317" s="7">
        <f>DATE(YEAR(m4_crossvalid[[#This Row],[ds]]),MONTH(m4_crossvalid[[#This Row],[ds]]),DAY(m4_crossvalid[[#This Row],[ds]]))</f>
        <v>45967</v>
      </c>
      <c r="C317">
        <v>1396</v>
      </c>
      <c r="D317" s="1">
        <v>45967.333333333336</v>
      </c>
      <c r="E317">
        <v>2179.3385163947687</v>
      </c>
      <c r="F317">
        <v>313.30998636134586</v>
      </c>
      <c r="G317">
        <v>4075.1251299515093</v>
      </c>
      <c r="H317" s="1">
        <v>45961.333333333336</v>
      </c>
    </row>
    <row r="318" spans="1:8" x14ac:dyDescent="0.25">
      <c r="A318" s="7">
        <f>DATE(YEAR(m4_crossvalid[[#This Row],[cutoff]]),MONTH(m4_crossvalid[[#This Row],[cutoff]]),DAY(m4_crossvalid[[#This Row],[cutoff]]))</f>
        <v>45961</v>
      </c>
      <c r="B318" s="7">
        <f>DATE(YEAR(m4_crossvalid[[#This Row],[ds]]),MONTH(m4_crossvalid[[#This Row],[ds]]),DAY(m4_crossvalid[[#This Row],[ds]]))</f>
        <v>45968</v>
      </c>
      <c r="C318">
        <v>1612</v>
      </c>
      <c r="D318" s="1">
        <v>45968.333333333336</v>
      </c>
      <c r="E318">
        <v>2318.5420492130984</v>
      </c>
      <c r="F318">
        <v>393.93809244043393</v>
      </c>
      <c r="G318">
        <v>4094.1461372193917</v>
      </c>
      <c r="H318" s="1">
        <v>45961.333333333336</v>
      </c>
    </row>
    <row r="319" spans="1:8" x14ac:dyDescent="0.25">
      <c r="A319" s="7">
        <f>DATE(YEAR(m4_crossvalid[[#This Row],[cutoff]]),MONTH(m4_crossvalid[[#This Row],[cutoff]]),DAY(m4_crossvalid[[#This Row],[cutoff]]))</f>
        <v>45961</v>
      </c>
      <c r="B319" s="7">
        <f>DATE(YEAR(m4_crossvalid[[#This Row],[ds]]),MONTH(m4_crossvalid[[#This Row],[ds]]),DAY(m4_crossvalid[[#This Row],[ds]]))</f>
        <v>45969</v>
      </c>
      <c r="C319">
        <v>206</v>
      </c>
      <c r="D319" s="1">
        <v>45969.333333333336</v>
      </c>
      <c r="E319">
        <v>-56.979922623740094</v>
      </c>
      <c r="F319">
        <v>-1922.227106169782</v>
      </c>
      <c r="G319">
        <v>1690.4937485858609</v>
      </c>
      <c r="H319" s="1">
        <v>45961.333333333336</v>
      </c>
    </row>
    <row r="320" spans="1:8" x14ac:dyDescent="0.25">
      <c r="A320" s="7">
        <f>DATE(YEAR(m4_crossvalid[[#This Row],[cutoff]]),MONTH(m4_crossvalid[[#This Row],[cutoff]]),DAY(m4_crossvalid[[#This Row],[cutoff]]))</f>
        <v>45961</v>
      </c>
      <c r="B320" s="7">
        <f>DATE(YEAR(m4_crossvalid[[#This Row],[ds]]),MONTH(m4_crossvalid[[#This Row],[ds]]),DAY(m4_crossvalid[[#This Row],[ds]]))</f>
        <v>45970</v>
      </c>
      <c r="C320">
        <v>95</v>
      </c>
      <c r="D320" s="1">
        <v>45970.333333333336</v>
      </c>
      <c r="E320">
        <v>-700.48407690757676</v>
      </c>
      <c r="F320">
        <v>-2622.1594073575975</v>
      </c>
      <c r="G320">
        <v>1137.2320450808068</v>
      </c>
      <c r="H320" s="1">
        <v>45961.333333333336</v>
      </c>
    </row>
    <row r="321" spans="1:8" x14ac:dyDescent="0.25">
      <c r="A321" s="7">
        <f>DATE(YEAR(m4_crossvalid[[#This Row],[cutoff]]),MONTH(m4_crossvalid[[#This Row],[cutoff]]),DAY(m4_crossvalid[[#This Row],[cutoff]]))</f>
        <v>45961</v>
      </c>
      <c r="B321" s="7">
        <f>DATE(YEAR(m4_crossvalid[[#This Row],[ds]]),MONTH(m4_crossvalid[[#This Row],[ds]]),DAY(m4_crossvalid[[#This Row],[ds]]))</f>
        <v>45971</v>
      </c>
      <c r="C321">
        <v>1552</v>
      </c>
      <c r="D321" s="1">
        <v>45971.333333333336</v>
      </c>
      <c r="E321">
        <v>1954.3570587808274</v>
      </c>
      <c r="F321">
        <v>62.873358301580829</v>
      </c>
      <c r="G321">
        <v>3812.5962187898554</v>
      </c>
      <c r="H321" s="1">
        <v>45961.333333333336</v>
      </c>
    </row>
    <row r="322" spans="1:8" x14ac:dyDescent="0.25">
      <c r="A322" s="7">
        <f>DATE(YEAR(m4_crossvalid[[#This Row],[cutoff]]),MONTH(m4_crossvalid[[#This Row],[cutoff]]),DAY(m4_crossvalid[[#This Row],[cutoff]]))</f>
        <v>45961</v>
      </c>
      <c r="B322" s="7">
        <f>DATE(YEAR(m4_crossvalid[[#This Row],[ds]]),MONTH(m4_crossvalid[[#This Row],[ds]]),DAY(m4_crossvalid[[#This Row],[ds]]))</f>
        <v>45972</v>
      </c>
      <c r="C322">
        <v>1937</v>
      </c>
      <c r="D322" s="1">
        <v>45972.333333333336</v>
      </c>
      <c r="E322">
        <v>2534.5882597004588</v>
      </c>
      <c r="F322">
        <v>702.46575707698048</v>
      </c>
      <c r="G322">
        <v>4406.1782687618997</v>
      </c>
      <c r="H322" s="1">
        <v>45961.333333333336</v>
      </c>
    </row>
    <row r="323" spans="1:8" x14ac:dyDescent="0.25">
      <c r="A323" s="7">
        <f>DATE(YEAR(m4_crossvalid[[#This Row],[cutoff]]),MONTH(m4_crossvalid[[#This Row],[cutoff]]),DAY(m4_crossvalid[[#This Row],[cutoff]]))</f>
        <v>45961</v>
      </c>
      <c r="B323" s="7">
        <f>DATE(YEAR(m4_crossvalid[[#This Row],[ds]]),MONTH(m4_crossvalid[[#This Row],[ds]]),DAY(m4_crossvalid[[#This Row],[ds]]))</f>
        <v>45973</v>
      </c>
      <c r="C323">
        <v>2198</v>
      </c>
      <c r="D323" s="1">
        <v>45973.333333333336</v>
      </c>
      <c r="E323">
        <v>2857.007340337268</v>
      </c>
      <c r="F323">
        <v>936.68774067647507</v>
      </c>
      <c r="G323">
        <v>4847.9621780181978</v>
      </c>
      <c r="H323" s="1">
        <v>45961.333333333336</v>
      </c>
    </row>
    <row r="324" spans="1:8" x14ac:dyDescent="0.25">
      <c r="A324" s="7">
        <f>DATE(YEAR(m4_crossvalid[[#This Row],[cutoff]]),MONTH(m4_crossvalid[[#This Row],[cutoff]]),DAY(m4_crossvalid[[#This Row],[cutoff]]))</f>
        <v>45961</v>
      </c>
      <c r="B324" s="7">
        <f>DATE(YEAR(m4_crossvalid[[#This Row],[ds]]),MONTH(m4_crossvalid[[#This Row],[ds]]),DAY(m4_crossvalid[[#This Row],[ds]]))</f>
        <v>45974</v>
      </c>
      <c r="C324">
        <v>2401</v>
      </c>
      <c r="D324" s="1">
        <v>45974.333333333336</v>
      </c>
      <c r="E324">
        <v>2949.6792919620143</v>
      </c>
      <c r="F324">
        <v>1150.8908293204468</v>
      </c>
      <c r="G324">
        <v>4905.7408645127025</v>
      </c>
      <c r="H324" s="1">
        <v>45961.333333333336</v>
      </c>
    </row>
    <row r="325" spans="1:8" x14ac:dyDescent="0.25">
      <c r="A325" s="7">
        <f>DATE(YEAR(m4_crossvalid[[#This Row],[cutoff]]),MONTH(m4_crossvalid[[#This Row],[cutoff]]),DAY(m4_crossvalid[[#This Row],[cutoff]]))</f>
        <v>45961</v>
      </c>
      <c r="B325" s="7">
        <f>DATE(YEAR(m4_crossvalid[[#This Row],[ds]]),MONTH(m4_crossvalid[[#This Row],[ds]]),DAY(m4_crossvalid[[#This Row],[ds]]))</f>
        <v>45975</v>
      </c>
      <c r="C325">
        <v>2547</v>
      </c>
      <c r="D325" s="1">
        <v>45975.333333333336</v>
      </c>
      <c r="E325">
        <v>2769.2420279016123</v>
      </c>
      <c r="F325">
        <v>892.47075337560909</v>
      </c>
      <c r="G325">
        <v>4569.7447224947709</v>
      </c>
      <c r="H325" s="1">
        <v>45961.333333333336</v>
      </c>
    </row>
    <row r="326" spans="1:8" x14ac:dyDescent="0.25">
      <c r="A326" s="7">
        <f>DATE(YEAR(m4_crossvalid[[#This Row],[cutoff]]),MONTH(m4_crossvalid[[#This Row],[cutoff]]),DAY(m4_crossvalid[[#This Row],[cutoff]]))</f>
        <v>45961</v>
      </c>
      <c r="B326" s="7">
        <f>DATE(YEAR(m4_crossvalid[[#This Row],[ds]]),MONTH(m4_crossvalid[[#This Row],[ds]]),DAY(m4_crossvalid[[#This Row],[ds]]))</f>
        <v>45976</v>
      </c>
      <c r="C326">
        <v>773</v>
      </c>
      <c r="D326" s="1">
        <v>45976.333333333336</v>
      </c>
      <c r="E326">
        <v>424.11419375261858</v>
      </c>
      <c r="F326">
        <v>-1327.3685975118983</v>
      </c>
      <c r="G326">
        <v>2271.0354042579611</v>
      </c>
      <c r="H326" s="1">
        <v>45961.333333333336</v>
      </c>
    </row>
    <row r="327" spans="1:8" x14ac:dyDescent="0.25">
      <c r="A327" s="7">
        <f>DATE(YEAR(m4_crossvalid[[#This Row],[cutoff]]),MONTH(m4_crossvalid[[#This Row],[cutoff]]),DAY(m4_crossvalid[[#This Row],[cutoff]]))</f>
        <v>45961</v>
      </c>
      <c r="B327" s="7">
        <f>DATE(YEAR(m4_crossvalid[[#This Row],[ds]]),MONTH(m4_crossvalid[[#This Row],[ds]]),DAY(m4_crossvalid[[#This Row],[ds]]))</f>
        <v>45977</v>
      </c>
      <c r="C327">
        <v>113</v>
      </c>
      <c r="D327" s="1">
        <v>45977.333333333336</v>
      </c>
      <c r="E327">
        <v>48.777974140298738</v>
      </c>
      <c r="F327">
        <v>-1818.7579368013367</v>
      </c>
      <c r="G327">
        <v>1974.2457091308056</v>
      </c>
      <c r="H327" s="1">
        <v>45961.333333333336</v>
      </c>
    </row>
    <row r="328" spans="1:8" x14ac:dyDescent="0.25">
      <c r="A328" s="7">
        <f>DATE(YEAR(m4_crossvalid[[#This Row],[cutoff]]),MONTH(m4_crossvalid[[#This Row],[cutoff]]),DAY(m4_crossvalid[[#This Row],[cutoff]]))</f>
        <v>45961</v>
      </c>
      <c r="B328" s="7">
        <f>DATE(YEAR(m4_crossvalid[[#This Row],[ds]]),MONTH(m4_crossvalid[[#This Row],[ds]]),DAY(m4_crossvalid[[#This Row],[ds]]))</f>
        <v>45978</v>
      </c>
      <c r="C328">
        <v>2849</v>
      </c>
      <c r="D328" s="1">
        <v>45978.333333333336</v>
      </c>
      <c r="E328">
        <v>2862.6035132237103</v>
      </c>
      <c r="F328">
        <v>968.62524624256298</v>
      </c>
      <c r="G328">
        <v>4668.8128306990329</v>
      </c>
      <c r="H328" s="1">
        <v>45961.333333333336</v>
      </c>
    </row>
    <row r="329" spans="1:8" x14ac:dyDescent="0.25">
      <c r="A329" s="7">
        <f>DATE(YEAR(m4_crossvalid[[#This Row],[cutoff]]),MONTH(m4_crossvalid[[#This Row],[cutoff]]),DAY(m4_crossvalid[[#This Row],[cutoff]]))</f>
        <v>45961</v>
      </c>
      <c r="B329" s="7">
        <f>DATE(YEAR(m4_crossvalid[[#This Row],[ds]]),MONTH(m4_crossvalid[[#This Row],[ds]]),DAY(m4_crossvalid[[#This Row],[ds]]))</f>
        <v>45979</v>
      </c>
      <c r="C329">
        <v>3351</v>
      </c>
      <c r="D329" s="1">
        <v>45979.333333333336</v>
      </c>
      <c r="E329">
        <v>3283.0396918797665</v>
      </c>
      <c r="F329">
        <v>1334.8297522240346</v>
      </c>
      <c r="G329">
        <v>5204.3945320537459</v>
      </c>
      <c r="H329" s="1">
        <v>45961.333333333336</v>
      </c>
    </row>
    <row r="330" spans="1:8" x14ac:dyDescent="0.25">
      <c r="A330" s="7">
        <f>DATE(YEAR(m4_crossvalid[[#This Row],[cutoff]]),MONTH(m4_crossvalid[[#This Row],[cutoff]]),DAY(m4_crossvalid[[#This Row],[cutoff]]))</f>
        <v>45961</v>
      </c>
      <c r="B330" s="7">
        <f>DATE(YEAR(m4_crossvalid[[#This Row],[ds]]),MONTH(m4_crossvalid[[#This Row],[ds]]),DAY(m4_crossvalid[[#This Row],[ds]]))</f>
        <v>45980</v>
      </c>
      <c r="C330">
        <v>3248</v>
      </c>
      <c r="D330" s="1">
        <v>45980.333333333336</v>
      </c>
      <c r="E330">
        <v>3259.6706555649725</v>
      </c>
      <c r="F330">
        <v>1398.5022418236945</v>
      </c>
      <c r="G330">
        <v>5186.4765448484859</v>
      </c>
      <c r="H330" s="1">
        <v>45961.333333333336</v>
      </c>
    </row>
    <row r="331" spans="1:8" x14ac:dyDescent="0.25">
      <c r="A331" s="7">
        <f>DATE(YEAR(m4_crossvalid[[#This Row],[cutoff]]),MONTH(m4_crossvalid[[#This Row],[cutoff]]),DAY(m4_crossvalid[[#This Row],[cutoff]]))</f>
        <v>45961</v>
      </c>
      <c r="B331" s="7">
        <f>DATE(YEAR(m4_crossvalid[[#This Row],[ds]]),MONTH(m4_crossvalid[[#This Row],[ds]]),DAY(m4_crossvalid[[#This Row],[ds]]))</f>
        <v>45981</v>
      </c>
      <c r="C331">
        <v>3581</v>
      </c>
      <c r="D331" s="1">
        <v>45981.333333333336</v>
      </c>
      <c r="E331">
        <v>3150.3301116788325</v>
      </c>
      <c r="F331">
        <v>1354.9834065974565</v>
      </c>
      <c r="G331">
        <v>4920.0926428850489</v>
      </c>
      <c r="H331" s="1">
        <v>45961.333333333336</v>
      </c>
    </row>
    <row r="332" spans="1:8" x14ac:dyDescent="0.25">
      <c r="A332" s="7">
        <f>DATE(YEAR(m4_crossvalid[[#This Row],[cutoff]]),MONTH(m4_crossvalid[[#This Row],[cutoff]]),DAY(m4_crossvalid[[#This Row],[cutoff]]))</f>
        <v>45961</v>
      </c>
      <c r="B332" s="7">
        <f>DATE(YEAR(m4_crossvalid[[#This Row],[ds]]),MONTH(m4_crossvalid[[#This Row],[ds]]),DAY(m4_crossvalid[[#This Row],[ds]]))</f>
        <v>45982</v>
      </c>
      <c r="C332">
        <v>3622</v>
      </c>
      <c r="D332" s="1">
        <v>45982.333333333336</v>
      </c>
      <c r="E332">
        <v>3099.5828785266681</v>
      </c>
      <c r="F332">
        <v>1156.8055565269146</v>
      </c>
      <c r="G332">
        <v>4830.8634132170473</v>
      </c>
      <c r="H332" s="1">
        <v>45961.333333333336</v>
      </c>
    </row>
    <row r="333" spans="1:8" x14ac:dyDescent="0.25">
      <c r="A333" s="7">
        <f>DATE(YEAR(m4_crossvalid[[#This Row],[cutoff]]),MONTH(m4_crossvalid[[#This Row],[cutoff]]),DAY(m4_crossvalid[[#This Row],[cutoff]]))</f>
        <v>45961</v>
      </c>
      <c r="B333" s="7">
        <f>DATE(YEAR(m4_crossvalid[[#This Row],[ds]]),MONTH(m4_crossvalid[[#This Row],[ds]]),DAY(m4_crossvalid[[#This Row],[ds]]))</f>
        <v>45983</v>
      </c>
      <c r="C333">
        <v>783</v>
      </c>
      <c r="D333" s="1">
        <v>45983.333333333336</v>
      </c>
      <c r="E333">
        <v>1070.8239087867437</v>
      </c>
      <c r="F333">
        <v>-715.17175264972411</v>
      </c>
      <c r="G333">
        <v>3070.2249934018237</v>
      </c>
      <c r="H333" s="1">
        <v>45961.333333333336</v>
      </c>
    </row>
    <row r="334" spans="1:8" x14ac:dyDescent="0.25">
      <c r="A334" s="7">
        <f>DATE(YEAR(m4_crossvalid[[#This Row],[cutoff]]),MONTH(m4_crossvalid[[#This Row],[cutoff]]),DAY(m4_crossvalid[[#This Row],[cutoff]]))</f>
        <v>45961</v>
      </c>
      <c r="B334" s="7">
        <f>DATE(YEAR(m4_crossvalid[[#This Row],[ds]]),MONTH(m4_crossvalid[[#This Row],[ds]]),DAY(m4_crossvalid[[#This Row],[ds]]))</f>
        <v>45984</v>
      </c>
      <c r="C334">
        <v>188</v>
      </c>
      <c r="D334" s="1">
        <v>45984.333333333336</v>
      </c>
      <c r="E334">
        <v>870.96249636694415</v>
      </c>
      <c r="F334">
        <v>-1038.514038227459</v>
      </c>
      <c r="G334">
        <v>2826.6350016413812</v>
      </c>
      <c r="H334" s="1">
        <v>45961.333333333336</v>
      </c>
    </row>
    <row r="335" spans="1:8" x14ac:dyDescent="0.25">
      <c r="A335" s="7">
        <f>DATE(YEAR(m4_crossvalid[[#This Row],[cutoff]]),MONTH(m4_crossvalid[[#This Row],[cutoff]]),DAY(m4_crossvalid[[#This Row],[cutoff]]))</f>
        <v>45961</v>
      </c>
      <c r="B335" s="7">
        <f>DATE(YEAR(m4_crossvalid[[#This Row],[ds]]),MONTH(m4_crossvalid[[#This Row],[ds]]),DAY(m4_crossvalid[[#This Row],[ds]]))</f>
        <v>45985</v>
      </c>
      <c r="C335">
        <v>3515</v>
      </c>
      <c r="D335" s="1">
        <v>45985.333333333336</v>
      </c>
      <c r="E335">
        <v>3558.5340245849175</v>
      </c>
      <c r="F335">
        <v>1797.0937751521033</v>
      </c>
      <c r="G335">
        <v>5507.7129010866965</v>
      </c>
      <c r="H335" s="1">
        <v>45961.333333333336</v>
      </c>
    </row>
    <row r="336" spans="1:8" x14ac:dyDescent="0.25">
      <c r="A336" s="7">
        <f>DATE(YEAR(m4_crossvalid[[#This Row],[cutoff]]),MONTH(m4_crossvalid[[#This Row],[cutoff]]),DAY(m4_crossvalid[[#This Row],[cutoff]]))</f>
        <v>45961</v>
      </c>
      <c r="B336" s="7">
        <f>DATE(YEAR(m4_crossvalid[[#This Row],[ds]]),MONTH(m4_crossvalid[[#This Row],[ds]]),DAY(m4_crossvalid[[#This Row],[ds]]))</f>
        <v>45986</v>
      </c>
      <c r="C336">
        <v>4824</v>
      </c>
      <c r="D336" s="1">
        <v>45986.333333333336</v>
      </c>
      <c r="E336">
        <v>3760.7824825792086</v>
      </c>
      <c r="F336">
        <v>1926.5954780191444</v>
      </c>
      <c r="G336">
        <v>5531.1506066335905</v>
      </c>
      <c r="H336" s="1">
        <v>45961.333333333336</v>
      </c>
    </row>
    <row r="337" spans="1:8" x14ac:dyDescent="0.25">
      <c r="A337" s="7">
        <f>DATE(YEAR(m4_crossvalid[[#This Row],[cutoff]]),MONTH(m4_crossvalid[[#This Row],[cutoff]]),DAY(m4_crossvalid[[#This Row],[cutoff]]))</f>
        <v>45961</v>
      </c>
      <c r="B337" s="7">
        <f>DATE(YEAR(m4_crossvalid[[#This Row],[ds]]),MONTH(m4_crossvalid[[#This Row],[ds]]),DAY(m4_crossvalid[[#This Row],[ds]]))</f>
        <v>45987</v>
      </c>
      <c r="C337">
        <v>5463</v>
      </c>
      <c r="D337" s="1">
        <v>45987.333333333336</v>
      </c>
      <c r="E337">
        <v>3850.5108723749845</v>
      </c>
      <c r="F337">
        <v>2077.3806876815424</v>
      </c>
      <c r="G337">
        <v>5702.2431496399768</v>
      </c>
      <c r="H337" s="1">
        <v>45961.333333333336</v>
      </c>
    </row>
    <row r="338" spans="1:8" x14ac:dyDescent="0.25">
      <c r="A338" s="7">
        <f>DATE(YEAR(m4_crossvalid[[#This Row],[cutoff]]),MONTH(m4_crossvalid[[#This Row],[cutoff]]),DAY(m4_crossvalid[[#This Row],[cutoff]]))</f>
        <v>45961</v>
      </c>
      <c r="B338" s="7">
        <f>DATE(YEAR(m4_crossvalid[[#This Row],[ds]]),MONTH(m4_crossvalid[[#This Row],[ds]]),DAY(m4_crossvalid[[#This Row],[ds]]))</f>
        <v>45988</v>
      </c>
      <c r="C338">
        <v>7236</v>
      </c>
      <c r="D338" s="1">
        <v>45988.333333333336</v>
      </c>
      <c r="E338">
        <v>4427.4095809143537</v>
      </c>
      <c r="F338">
        <v>2540.6148224686021</v>
      </c>
      <c r="G338">
        <v>6260.922799861145</v>
      </c>
      <c r="H338" s="1">
        <v>45961.333333333336</v>
      </c>
    </row>
    <row r="339" spans="1:8" x14ac:dyDescent="0.25">
      <c r="A339" s="7">
        <f>DATE(YEAR(m4_crossvalid[[#This Row],[cutoff]]),MONTH(m4_crossvalid[[#This Row],[cutoff]]),DAY(m4_crossvalid[[#This Row],[cutoff]]))</f>
        <v>45961</v>
      </c>
      <c r="B339" s="7">
        <f>DATE(YEAR(m4_crossvalid[[#This Row],[ds]]),MONTH(m4_crossvalid[[#This Row],[ds]]),DAY(m4_crossvalid[[#This Row],[ds]]))</f>
        <v>45989</v>
      </c>
      <c r="C339">
        <v>10013</v>
      </c>
      <c r="D339" s="1">
        <v>45989.333333333336</v>
      </c>
      <c r="E339">
        <v>5417.3487319276865</v>
      </c>
      <c r="F339">
        <v>3570.9523100934448</v>
      </c>
      <c r="G339">
        <v>7244.0214631463105</v>
      </c>
      <c r="H339" s="1">
        <v>45961.333333333336</v>
      </c>
    </row>
    <row r="340" spans="1:8" x14ac:dyDescent="0.25">
      <c r="A340" s="7">
        <f>DATE(YEAR(m4_crossvalid[[#This Row],[cutoff]]),MONTH(m4_crossvalid[[#This Row],[cutoff]]),DAY(m4_crossvalid[[#This Row],[cutoff]]))</f>
        <v>45961</v>
      </c>
      <c r="B340" s="7">
        <f>DATE(YEAR(m4_crossvalid[[#This Row],[ds]]),MONTH(m4_crossvalid[[#This Row],[ds]]),DAY(m4_crossvalid[[#This Row],[ds]]))</f>
        <v>45990</v>
      </c>
      <c r="C340">
        <v>8210</v>
      </c>
      <c r="D340" s="1">
        <v>45990.333333333336</v>
      </c>
      <c r="E340">
        <v>4198.1729765384516</v>
      </c>
      <c r="F340">
        <v>2304.5996275539287</v>
      </c>
      <c r="G340">
        <v>6045.1946139632291</v>
      </c>
      <c r="H340" s="1">
        <v>45961.333333333336</v>
      </c>
    </row>
    <row r="341" spans="1:8" x14ac:dyDescent="0.25">
      <c r="A341" s="7">
        <f>DATE(YEAR(m4_crossvalid[[#This Row],[cutoff]]),MONTH(m4_crossvalid[[#This Row],[cutoff]]),DAY(m4_crossvalid[[#This Row],[cutoff]]))</f>
        <v>45961</v>
      </c>
      <c r="B341" s="7">
        <f>DATE(YEAR(m4_crossvalid[[#This Row],[ds]]),MONTH(m4_crossvalid[[#This Row],[ds]]),DAY(m4_crossvalid[[#This Row],[ds]]))</f>
        <v>45991</v>
      </c>
      <c r="C341">
        <v>3567</v>
      </c>
      <c r="D341" s="1">
        <v>45991.333333333336</v>
      </c>
      <c r="E341">
        <v>4018.1832285147293</v>
      </c>
      <c r="F341">
        <v>2220.1827710538473</v>
      </c>
      <c r="G341">
        <v>5975.5243769776807</v>
      </c>
      <c r="H341" s="1">
        <v>45961.333333333336</v>
      </c>
    </row>
    <row r="342" spans="1:8" x14ac:dyDescent="0.25">
      <c r="A342" s="7">
        <f>DATE(YEAR(m4_crossvalid[[#This Row],[cutoff]]),MONTH(m4_crossvalid[[#This Row],[cutoff]]),DAY(m4_crossvalid[[#This Row],[cutoff]]))</f>
        <v>45961</v>
      </c>
      <c r="B342" s="7">
        <f>DATE(YEAR(m4_crossvalid[[#This Row],[ds]]),MONTH(m4_crossvalid[[#This Row],[ds]]),DAY(m4_crossvalid[[#This Row],[ds]]))</f>
        <v>45992</v>
      </c>
      <c r="C342">
        <v>659</v>
      </c>
      <c r="D342" s="1">
        <v>45992.333333333336</v>
      </c>
      <c r="E342">
        <v>5768.9923512156083</v>
      </c>
      <c r="F342">
        <v>3917.8046300220071</v>
      </c>
      <c r="G342">
        <v>7485.7071618427462</v>
      </c>
      <c r="H342" s="1">
        <v>45961.333333333336</v>
      </c>
    </row>
    <row r="343" spans="1:8" x14ac:dyDescent="0.25">
      <c r="A343" s="7">
        <f>DATE(YEAR(m4_crossvalid[[#This Row],[cutoff]]),MONTH(m4_crossvalid[[#This Row],[cutoff]]),DAY(m4_crossvalid[[#This Row],[cutoff]]))</f>
        <v>45991</v>
      </c>
      <c r="B343" s="7">
        <f>DATE(YEAR(m4_crossvalid[[#This Row],[ds]]),MONTH(m4_crossvalid[[#This Row],[ds]]),DAY(m4_crossvalid[[#This Row],[ds]]))</f>
        <v>45992</v>
      </c>
      <c r="C343">
        <v>659</v>
      </c>
      <c r="D343" s="1">
        <v>45992.333333333336</v>
      </c>
      <c r="E343">
        <v>5974.5440283487187</v>
      </c>
      <c r="F343">
        <v>4097.4603210280275</v>
      </c>
      <c r="G343">
        <v>7737.087838003712</v>
      </c>
      <c r="H343" s="1">
        <v>45991.333333333336</v>
      </c>
    </row>
    <row r="344" spans="1:8" x14ac:dyDescent="0.25">
      <c r="A344" s="7">
        <f>DATE(YEAR(m4_crossvalid[[#This Row],[cutoff]]),MONTH(m4_crossvalid[[#This Row],[cutoff]]),DAY(m4_crossvalid[[#This Row],[cutoff]]))</f>
        <v>45991</v>
      </c>
      <c r="B344" s="7">
        <f>DATE(YEAR(m4_crossvalid[[#This Row],[ds]]),MONTH(m4_crossvalid[[#This Row],[ds]]),DAY(m4_crossvalid[[#This Row],[ds]]))</f>
        <v>45993</v>
      </c>
      <c r="C344">
        <v>963</v>
      </c>
      <c r="D344" s="1">
        <v>45993.333333333336</v>
      </c>
      <c r="E344">
        <v>4550.3567691820217</v>
      </c>
      <c r="F344">
        <v>2650.4822890496075</v>
      </c>
      <c r="G344">
        <v>6404.0924566523745</v>
      </c>
      <c r="H344" s="1">
        <v>45991.333333333336</v>
      </c>
    </row>
    <row r="345" spans="1:8" x14ac:dyDescent="0.25">
      <c r="A345" s="7">
        <f>DATE(YEAR(m4_crossvalid[[#This Row],[cutoff]]),MONTH(m4_crossvalid[[#This Row],[cutoff]]),DAY(m4_crossvalid[[#This Row],[cutoff]]))</f>
        <v>45991</v>
      </c>
      <c r="B345" s="7">
        <f>DATE(YEAR(m4_crossvalid[[#This Row],[ds]]),MONTH(m4_crossvalid[[#This Row],[ds]]),DAY(m4_crossvalid[[#This Row],[ds]]))</f>
        <v>45994</v>
      </c>
      <c r="C345">
        <v>1248</v>
      </c>
      <c r="D345" s="1">
        <v>45994.333333333336</v>
      </c>
      <c r="E345">
        <v>2823.7923623329521</v>
      </c>
      <c r="F345">
        <v>819.80024313483477</v>
      </c>
      <c r="G345">
        <v>4627.8509229369738</v>
      </c>
      <c r="H345" s="1">
        <v>45991.333333333336</v>
      </c>
    </row>
    <row r="346" spans="1:8" x14ac:dyDescent="0.25">
      <c r="A346" s="7">
        <f>DATE(YEAR(m4_crossvalid[[#This Row],[cutoff]]),MONTH(m4_crossvalid[[#This Row],[cutoff]]),DAY(m4_crossvalid[[#This Row],[cutoff]]))</f>
        <v>45991</v>
      </c>
      <c r="B346" s="7">
        <f>DATE(YEAR(m4_crossvalid[[#This Row],[ds]]),MONTH(m4_crossvalid[[#This Row],[ds]]),DAY(m4_crossvalid[[#This Row],[ds]]))</f>
        <v>45995</v>
      </c>
      <c r="C346">
        <v>1462</v>
      </c>
      <c r="D346" s="1">
        <v>45995.333333333336</v>
      </c>
      <c r="E346">
        <v>1786.8494161523281</v>
      </c>
      <c r="F346">
        <v>-214.16603910479512</v>
      </c>
      <c r="G346">
        <v>3500.7054525581198</v>
      </c>
      <c r="H346" s="1">
        <v>45991.333333333336</v>
      </c>
    </row>
    <row r="347" spans="1:8" x14ac:dyDescent="0.25">
      <c r="A347" s="7">
        <f>DATE(YEAR(m4_crossvalid[[#This Row],[cutoff]]),MONTH(m4_crossvalid[[#This Row],[cutoff]]),DAY(m4_crossvalid[[#This Row],[cutoff]]))</f>
        <v>45991</v>
      </c>
      <c r="B347" s="7">
        <f>DATE(YEAR(m4_crossvalid[[#This Row],[ds]]),MONTH(m4_crossvalid[[#This Row],[ds]]),DAY(m4_crossvalid[[#This Row],[ds]]))</f>
        <v>45996</v>
      </c>
      <c r="C347">
        <v>1441</v>
      </c>
      <c r="D347" s="1">
        <v>45996.333333333336</v>
      </c>
      <c r="E347">
        <v>1554.0104960662386</v>
      </c>
      <c r="F347">
        <v>-473.27582174842678</v>
      </c>
      <c r="G347">
        <v>3570.82297919441</v>
      </c>
      <c r="H347" s="1">
        <v>45991.333333333336</v>
      </c>
    </row>
    <row r="348" spans="1:8" x14ac:dyDescent="0.25">
      <c r="A348" s="7">
        <f>DATE(YEAR(m4_crossvalid[[#This Row],[cutoff]]),MONTH(m4_crossvalid[[#This Row],[cutoff]]),DAY(m4_crossvalid[[#This Row],[cutoff]]))</f>
        <v>45991</v>
      </c>
      <c r="B348" s="7">
        <f>DATE(YEAR(m4_crossvalid[[#This Row],[ds]]),MONTH(m4_crossvalid[[#This Row],[ds]]),DAY(m4_crossvalid[[#This Row],[ds]]))</f>
        <v>45997</v>
      </c>
      <c r="C348">
        <v>380</v>
      </c>
      <c r="D348" s="1">
        <v>45997.333333333336</v>
      </c>
      <c r="E348">
        <v>-374.80234973434744</v>
      </c>
      <c r="F348">
        <v>-2099.5085141561308</v>
      </c>
      <c r="G348">
        <v>1513.5434452996506</v>
      </c>
      <c r="H348" s="1">
        <v>45991.333333333336</v>
      </c>
    </row>
    <row r="349" spans="1:8" x14ac:dyDescent="0.25">
      <c r="A349" s="7">
        <f>DATE(YEAR(m4_crossvalid[[#This Row],[cutoff]]),MONTH(m4_crossvalid[[#This Row],[cutoff]]),DAY(m4_crossvalid[[#This Row],[cutoff]]))</f>
        <v>45991</v>
      </c>
      <c r="B349" s="7">
        <f>DATE(YEAR(m4_crossvalid[[#This Row],[ds]]),MONTH(m4_crossvalid[[#This Row],[ds]]),DAY(m4_crossvalid[[#This Row],[ds]]))</f>
        <v>45998</v>
      </c>
      <c r="C349">
        <v>59</v>
      </c>
      <c r="D349" s="1">
        <v>45998.333333333336</v>
      </c>
      <c r="E349">
        <v>-544.27559364221133</v>
      </c>
      <c r="F349">
        <v>-2414.7028238883581</v>
      </c>
      <c r="G349">
        <v>1379.1400703046124</v>
      </c>
      <c r="H349" s="1">
        <v>45991.333333333336</v>
      </c>
    </row>
    <row r="350" spans="1:8" x14ac:dyDescent="0.25">
      <c r="A350" s="7">
        <f>DATE(YEAR(m4_crossvalid[[#This Row],[cutoff]]),MONTH(m4_crossvalid[[#This Row],[cutoff]]),DAY(m4_crossvalid[[#This Row],[cutoff]]))</f>
        <v>45991</v>
      </c>
      <c r="B350" s="7">
        <f>DATE(YEAR(m4_crossvalid[[#This Row],[ds]]),MONTH(m4_crossvalid[[#This Row],[ds]]),DAY(m4_crossvalid[[#This Row],[ds]]))</f>
        <v>45999</v>
      </c>
      <c r="C350">
        <v>1698</v>
      </c>
      <c r="D350" s="1">
        <v>45999.333333333336</v>
      </c>
      <c r="E350">
        <v>2070.872363871958</v>
      </c>
      <c r="F350">
        <v>129.96565827308717</v>
      </c>
      <c r="G350">
        <v>3926.0869299820461</v>
      </c>
      <c r="H350" s="1">
        <v>45991.333333333336</v>
      </c>
    </row>
    <row r="351" spans="1:8" x14ac:dyDescent="0.25">
      <c r="A351" s="7">
        <f>DATE(YEAR(m4_crossvalid[[#This Row],[cutoff]]),MONTH(m4_crossvalid[[#This Row],[cutoff]]),DAY(m4_crossvalid[[#This Row],[cutoff]]))</f>
        <v>45991</v>
      </c>
      <c r="B351" s="7">
        <f>DATE(YEAR(m4_crossvalid[[#This Row],[ds]]),MONTH(m4_crossvalid[[#This Row],[ds]]),DAY(m4_crossvalid[[#This Row],[ds]]))</f>
        <v>46000</v>
      </c>
      <c r="C351">
        <v>1924</v>
      </c>
      <c r="D351" s="1">
        <v>46000.333333333336</v>
      </c>
      <c r="E351">
        <v>2241.1856545039582</v>
      </c>
      <c r="F351">
        <v>462.91038651200836</v>
      </c>
      <c r="G351">
        <v>4208.1887815906193</v>
      </c>
      <c r="H351" s="1">
        <v>45991.333333333336</v>
      </c>
    </row>
    <row r="352" spans="1:8" x14ac:dyDescent="0.25">
      <c r="A352" s="7">
        <f>DATE(YEAR(m4_crossvalid[[#This Row],[cutoff]]),MONTH(m4_crossvalid[[#This Row],[cutoff]]),DAY(m4_crossvalid[[#This Row],[cutoff]]))</f>
        <v>45991</v>
      </c>
      <c r="B352" s="7">
        <f>DATE(YEAR(m4_crossvalid[[#This Row],[ds]]),MONTH(m4_crossvalid[[#This Row],[ds]]),DAY(m4_crossvalid[[#This Row],[ds]]))</f>
        <v>46001</v>
      </c>
      <c r="C352">
        <v>2624</v>
      </c>
      <c r="D352" s="1">
        <v>46001.333333333336</v>
      </c>
      <c r="E352">
        <v>2294.3652959693427</v>
      </c>
      <c r="F352">
        <v>380.16070916158276</v>
      </c>
      <c r="G352">
        <v>4155.7066998464634</v>
      </c>
      <c r="H352" s="1">
        <v>45991.333333333336</v>
      </c>
    </row>
    <row r="353" spans="1:8" x14ac:dyDescent="0.25">
      <c r="A353" s="7">
        <f>DATE(YEAR(m4_crossvalid[[#This Row],[cutoff]]),MONTH(m4_crossvalid[[#This Row],[cutoff]]),DAY(m4_crossvalid[[#This Row],[cutoff]]))</f>
        <v>45991</v>
      </c>
      <c r="B353" s="7">
        <f>DATE(YEAR(m4_crossvalid[[#This Row],[ds]]),MONTH(m4_crossvalid[[#This Row],[ds]]),DAY(m4_crossvalid[[#This Row],[ds]]))</f>
        <v>46002</v>
      </c>
      <c r="C353">
        <v>1853</v>
      </c>
      <c r="D353" s="1">
        <v>46002.333333333336</v>
      </c>
      <c r="E353">
        <v>2600.6278338058737</v>
      </c>
      <c r="F353">
        <v>788.1574791387784</v>
      </c>
      <c r="G353">
        <v>4442.2179882634582</v>
      </c>
      <c r="H353" s="1">
        <v>45991.333333333336</v>
      </c>
    </row>
    <row r="354" spans="1:8" x14ac:dyDescent="0.25">
      <c r="A354" s="7">
        <f>DATE(YEAR(m4_crossvalid[[#This Row],[cutoff]]),MONTH(m4_crossvalid[[#This Row],[cutoff]]),DAY(m4_crossvalid[[#This Row],[cutoff]]))</f>
        <v>45991</v>
      </c>
      <c r="B354" s="7">
        <f>DATE(YEAR(m4_crossvalid[[#This Row],[ds]]),MONTH(m4_crossvalid[[#This Row],[ds]]),DAY(m4_crossvalid[[#This Row],[ds]]))</f>
        <v>46003</v>
      </c>
      <c r="C354">
        <v>3010</v>
      </c>
      <c r="D354" s="1">
        <v>46003.333333333336</v>
      </c>
      <c r="E354">
        <v>2903.0687366776838</v>
      </c>
      <c r="F354">
        <v>1010.5005430073921</v>
      </c>
      <c r="G354">
        <v>4834.3633036247311</v>
      </c>
      <c r="H354" s="1">
        <v>45991.333333333336</v>
      </c>
    </row>
    <row r="355" spans="1:8" x14ac:dyDescent="0.25">
      <c r="A355" s="7">
        <f>DATE(YEAR(m4_crossvalid[[#This Row],[cutoff]]),MONTH(m4_crossvalid[[#This Row],[cutoff]]),DAY(m4_crossvalid[[#This Row],[cutoff]]))</f>
        <v>45991</v>
      </c>
      <c r="B355" s="7">
        <f>DATE(YEAR(m4_crossvalid[[#This Row],[ds]]),MONTH(m4_crossvalid[[#This Row],[ds]]),DAY(m4_crossvalid[[#This Row],[ds]]))</f>
        <v>46004</v>
      </c>
      <c r="C355">
        <v>552</v>
      </c>
      <c r="D355" s="1">
        <v>46004.333333333336</v>
      </c>
      <c r="E355">
        <v>817.77016867872658</v>
      </c>
      <c r="F355">
        <v>-1014.617958177421</v>
      </c>
      <c r="G355">
        <v>2719.4958879185592</v>
      </c>
      <c r="H355" s="1">
        <v>45991.333333333336</v>
      </c>
    </row>
    <row r="356" spans="1:8" x14ac:dyDescent="0.25">
      <c r="A356" s="7">
        <f>DATE(YEAR(m4_crossvalid[[#This Row],[cutoff]]),MONTH(m4_crossvalid[[#This Row],[cutoff]]),DAY(m4_crossvalid[[#This Row],[cutoff]]))</f>
        <v>45991</v>
      </c>
      <c r="B356" s="7">
        <f>DATE(YEAR(m4_crossvalid[[#This Row],[ds]]),MONTH(m4_crossvalid[[#This Row],[ds]]),DAY(m4_crossvalid[[#This Row],[ds]]))</f>
        <v>46005</v>
      </c>
      <c r="C356">
        <v>162</v>
      </c>
      <c r="D356" s="1">
        <v>46005.333333333336</v>
      </c>
      <c r="E356">
        <v>281.6917695927923</v>
      </c>
      <c r="F356">
        <v>-1550.0033192565165</v>
      </c>
      <c r="G356">
        <v>2131.9013965609242</v>
      </c>
      <c r="H356" s="1">
        <v>45991.333333333336</v>
      </c>
    </row>
    <row r="357" spans="1:8" x14ac:dyDescent="0.25">
      <c r="A357" s="7">
        <f>DATE(YEAR(m4_crossvalid[[#This Row],[cutoff]]),MONTH(m4_crossvalid[[#This Row],[cutoff]]),DAY(m4_crossvalid[[#This Row],[cutoff]]))</f>
        <v>45991</v>
      </c>
      <c r="B357" s="7">
        <f>DATE(YEAR(m4_crossvalid[[#This Row],[ds]]),MONTH(m4_crossvalid[[#This Row],[ds]]),DAY(m4_crossvalid[[#This Row],[ds]]))</f>
        <v>46006</v>
      </c>
      <c r="C357">
        <v>2685</v>
      </c>
      <c r="D357" s="1">
        <v>46006.333333333336</v>
      </c>
      <c r="E357">
        <v>2772.9381135114622</v>
      </c>
      <c r="F357">
        <v>906.21602655418269</v>
      </c>
      <c r="G357">
        <v>4586.165386987901</v>
      </c>
      <c r="H357" s="1">
        <v>45991.333333333336</v>
      </c>
    </row>
    <row r="358" spans="1:8" x14ac:dyDescent="0.25">
      <c r="A358" s="7">
        <f>DATE(YEAR(m4_crossvalid[[#This Row],[cutoff]]),MONTH(m4_crossvalid[[#This Row],[cutoff]]),DAY(m4_crossvalid[[#This Row],[cutoff]]))</f>
        <v>45991</v>
      </c>
      <c r="B358" s="7">
        <f>DATE(YEAR(m4_crossvalid[[#This Row],[ds]]),MONTH(m4_crossvalid[[#This Row],[ds]]),DAY(m4_crossvalid[[#This Row],[ds]]))</f>
        <v>46007</v>
      </c>
      <c r="C358">
        <v>3397</v>
      </c>
      <c r="D358" s="1">
        <v>46007.333333333336</v>
      </c>
      <c r="E358">
        <v>3151.2815765830028</v>
      </c>
      <c r="F358">
        <v>1331.847860868882</v>
      </c>
      <c r="G358">
        <v>4825.8720168290974</v>
      </c>
      <c r="H358" s="1">
        <v>45991.333333333336</v>
      </c>
    </row>
    <row r="359" spans="1:8" x14ac:dyDescent="0.25">
      <c r="A359" s="7">
        <f>DATE(YEAR(m4_crossvalid[[#This Row],[cutoff]]),MONTH(m4_crossvalid[[#This Row],[cutoff]]),DAY(m4_crossvalid[[#This Row],[cutoff]]))</f>
        <v>45991</v>
      </c>
      <c r="B359" s="7">
        <f>DATE(YEAR(m4_crossvalid[[#This Row],[ds]]),MONTH(m4_crossvalid[[#This Row],[ds]]),DAY(m4_crossvalid[[#This Row],[ds]]))</f>
        <v>46008</v>
      </c>
      <c r="C359">
        <v>4029</v>
      </c>
      <c r="D359" s="1">
        <v>46008.333333333336</v>
      </c>
      <c r="E359">
        <v>3474.3689402423934</v>
      </c>
      <c r="F359">
        <v>1518.7018356048179</v>
      </c>
      <c r="G359">
        <v>5342.8787366947199</v>
      </c>
      <c r="H359" s="1">
        <v>45991.333333333336</v>
      </c>
    </row>
    <row r="360" spans="1:8" x14ac:dyDescent="0.25">
      <c r="A360" s="7">
        <f>DATE(YEAR(m4_crossvalid[[#This Row],[cutoff]]),MONTH(m4_crossvalid[[#This Row],[cutoff]]),DAY(m4_crossvalid[[#This Row],[cutoff]]))</f>
        <v>45991</v>
      </c>
      <c r="B360" s="7">
        <f>DATE(YEAR(m4_crossvalid[[#This Row],[ds]]),MONTH(m4_crossvalid[[#This Row],[ds]]),DAY(m4_crossvalid[[#This Row],[ds]]))</f>
        <v>46009</v>
      </c>
      <c r="C360">
        <v>3874</v>
      </c>
      <c r="D360" s="1">
        <v>46009.333333333336</v>
      </c>
      <c r="E360">
        <v>3798.0758568664191</v>
      </c>
      <c r="F360">
        <v>1849.8081348562616</v>
      </c>
      <c r="G360">
        <v>5796.7536052626547</v>
      </c>
      <c r="H360" s="1">
        <v>45991.333333333336</v>
      </c>
    </row>
    <row r="361" spans="1:8" x14ac:dyDescent="0.25">
      <c r="A361" s="7">
        <f>DATE(YEAR(m4_crossvalid[[#This Row],[cutoff]]),MONTH(m4_crossvalid[[#This Row],[cutoff]]),DAY(m4_crossvalid[[#This Row],[cutoff]]))</f>
        <v>45991</v>
      </c>
      <c r="B361" s="7">
        <f>DATE(YEAR(m4_crossvalid[[#This Row],[ds]]),MONTH(m4_crossvalid[[#This Row],[ds]]),DAY(m4_crossvalid[[#This Row],[ds]]))</f>
        <v>46010</v>
      </c>
      <c r="C361">
        <v>4261</v>
      </c>
      <c r="D361" s="1">
        <v>46010.333333333336</v>
      </c>
      <c r="E361">
        <v>3825.5402115426796</v>
      </c>
      <c r="F361">
        <v>1916.3650448198632</v>
      </c>
      <c r="G361">
        <v>5649.216152633443</v>
      </c>
      <c r="H361" s="1">
        <v>45991.333333333336</v>
      </c>
    </row>
    <row r="362" spans="1:8" x14ac:dyDescent="0.25">
      <c r="A362" s="7">
        <f>DATE(YEAR(m4_crossvalid[[#This Row],[cutoff]]),MONTH(m4_crossvalid[[#This Row],[cutoff]]),DAY(m4_crossvalid[[#This Row],[cutoff]]))</f>
        <v>45991</v>
      </c>
      <c r="B362" s="7">
        <f>DATE(YEAR(m4_crossvalid[[#This Row],[ds]]),MONTH(m4_crossvalid[[#This Row],[ds]]),DAY(m4_crossvalid[[#This Row],[ds]]))</f>
        <v>46011</v>
      </c>
      <c r="C362">
        <v>999</v>
      </c>
      <c r="D362" s="1">
        <v>46011.333333333336</v>
      </c>
      <c r="E362">
        <v>1433.6604576189577</v>
      </c>
      <c r="F362">
        <v>-651.76245781790158</v>
      </c>
      <c r="G362">
        <v>3294.3073292070153</v>
      </c>
      <c r="H362" s="1">
        <v>45991.333333333336</v>
      </c>
    </row>
    <row r="363" spans="1:8" x14ac:dyDescent="0.25">
      <c r="A363" s="7">
        <f>DATE(YEAR(m4_crossvalid[[#This Row],[cutoff]]),MONTH(m4_crossvalid[[#This Row],[cutoff]]),DAY(m4_crossvalid[[#This Row],[cutoff]]))</f>
        <v>45991</v>
      </c>
      <c r="B363" s="7">
        <f>DATE(YEAR(m4_crossvalid[[#This Row],[ds]]),MONTH(m4_crossvalid[[#This Row],[ds]]),DAY(m4_crossvalid[[#This Row],[ds]]))</f>
        <v>46012</v>
      </c>
      <c r="C363">
        <v>251</v>
      </c>
      <c r="D363" s="1">
        <v>46012.333333333336</v>
      </c>
      <c r="E363">
        <v>846.88335965504166</v>
      </c>
      <c r="F363">
        <v>-922.55505639229284</v>
      </c>
      <c r="G363">
        <v>2736.5702714744743</v>
      </c>
      <c r="H363" s="1">
        <v>45991.333333333336</v>
      </c>
    </row>
    <row r="364" spans="1:8" x14ac:dyDescent="0.25">
      <c r="A364" s="7">
        <f>DATE(YEAR(m4_crossvalid[[#This Row],[cutoff]]),MONTH(m4_crossvalid[[#This Row],[cutoff]]),DAY(m4_crossvalid[[#This Row],[cutoff]]))</f>
        <v>45991</v>
      </c>
      <c r="B364" s="7">
        <f>DATE(YEAR(m4_crossvalid[[#This Row],[ds]]),MONTH(m4_crossvalid[[#This Row],[ds]]),DAY(m4_crossvalid[[#This Row],[ds]]))</f>
        <v>46013</v>
      </c>
      <c r="C364">
        <v>4791</v>
      </c>
      <c r="D364" s="1">
        <v>46013.333333333336</v>
      </c>
      <c r="E364">
        <v>3563.6743235579415</v>
      </c>
      <c r="F364">
        <v>1609.0944047012072</v>
      </c>
      <c r="G364">
        <v>5397.3299243107613</v>
      </c>
      <c r="H364" s="1">
        <v>45991.333333333336</v>
      </c>
    </row>
    <row r="365" spans="1:8" x14ac:dyDescent="0.25">
      <c r="A365" s="7">
        <f>DATE(YEAR(m4_crossvalid[[#This Row],[cutoff]]),MONTH(m4_crossvalid[[#This Row],[cutoff]]),DAY(m4_crossvalid[[#This Row],[cutoff]]))</f>
        <v>45991</v>
      </c>
      <c r="B365" s="7">
        <f>DATE(YEAR(m4_crossvalid[[#This Row],[ds]]),MONTH(m4_crossvalid[[#This Row],[ds]]),DAY(m4_crossvalid[[#This Row],[ds]]))</f>
        <v>46014</v>
      </c>
      <c r="C365">
        <v>5802</v>
      </c>
      <c r="D365" s="1">
        <v>46014.333333333336</v>
      </c>
      <c r="E365">
        <v>4178.9530180861002</v>
      </c>
      <c r="F365">
        <v>2456.4914749089257</v>
      </c>
      <c r="G365">
        <v>6021.9298133573484</v>
      </c>
      <c r="H365" s="1">
        <v>45991.333333333336</v>
      </c>
    </row>
    <row r="366" spans="1:8" x14ac:dyDescent="0.25">
      <c r="A366" s="7">
        <f>DATE(YEAR(m4_crossvalid[[#This Row],[cutoff]]),MONTH(m4_crossvalid[[#This Row],[cutoff]]),DAY(m4_crossvalid[[#This Row],[cutoff]]))</f>
        <v>45991</v>
      </c>
      <c r="B366" s="7">
        <f>DATE(YEAR(m4_crossvalid[[#This Row],[ds]]),MONTH(m4_crossvalid[[#This Row],[ds]]),DAY(m4_crossvalid[[#This Row],[ds]]))</f>
        <v>46015</v>
      </c>
      <c r="C366">
        <v>6117</v>
      </c>
      <c r="D366" s="1">
        <v>46015.333333333336</v>
      </c>
      <c r="E366">
        <v>4480.8957453829953</v>
      </c>
      <c r="F366">
        <v>2600.2223472597007</v>
      </c>
      <c r="G366">
        <v>6312.9237600665429</v>
      </c>
      <c r="H366" s="1">
        <v>45991.333333333336</v>
      </c>
    </row>
    <row r="367" spans="1:8" x14ac:dyDescent="0.25">
      <c r="A367" s="7">
        <f>DATE(YEAR(m4_crossvalid[[#This Row],[cutoff]]),MONTH(m4_crossvalid[[#This Row],[cutoff]]),DAY(m4_crossvalid[[#This Row],[cutoff]]))</f>
        <v>45991</v>
      </c>
      <c r="B367" s="7">
        <f>DATE(YEAR(m4_crossvalid[[#This Row],[ds]]),MONTH(m4_crossvalid[[#This Row],[ds]]),DAY(m4_crossvalid[[#This Row],[ds]]))</f>
        <v>46016</v>
      </c>
      <c r="C367">
        <v>400</v>
      </c>
      <c r="D367" s="1">
        <v>46016.333333333336</v>
      </c>
      <c r="E367">
        <v>819.30815794214209</v>
      </c>
      <c r="F367">
        <v>-1056.8000510269098</v>
      </c>
      <c r="G367">
        <v>2610.3714884200363</v>
      </c>
      <c r="H367" s="1">
        <v>45991.333333333336</v>
      </c>
    </row>
    <row r="368" spans="1:8" x14ac:dyDescent="0.25">
      <c r="A368" s="7">
        <f>DATE(YEAR(m4_crossvalid[[#This Row],[cutoff]]),MONTH(m4_crossvalid[[#This Row],[cutoff]]),DAY(m4_crossvalid[[#This Row],[cutoff]]))</f>
        <v>45991</v>
      </c>
      <c r="B368" s="7">
        <f>DATE(YEAR(m4_crossvalid[[#This Row],[ds]]),MONTH(m4_crossvalid[[#This Row],[ds]]),DAY(m4_crossvalid[[#This Row],[ds]]))</f>
        <v>46017</v>
      </c>
      <c r="C368">
        <v>6559</v>
      </c>
      <c r="D368" s="1">
        <v>46017.333333333336</v>
      </c>
      <c r="E368">
        <v>4462.0147844079584</v>
      </c>
      <c r="F368">
        <v>2622.5607921763412</v>
      </c>
      <c r="G368">
        <v>6350.8578963842301</v>
      </c>
      <c r="H368" s="1">
        <v>45991.333333333336</v>
      </c>
    </row>
    <row r="369" spans="1:8" x14ac:dyDescent="0.25">
      <c r="A369" s="7">
        <f>DATE(YEAR(m4_crossvalid[[#This Row],[cutoff]]),MONTH(m4_crossvalid[[#This Row],[cutoff]]),DAY(m4_crossvalid[[#This Row],[cutoff]]))</f>
        <v>45991</v>
      </c>
      <c r="B369" s="7">
        <f>DATE(YEAR(m4_crossvalid[[#This Row],[ds]]),MONTH(m4_crossvalid[[#This Row],[ds]]),DAY(m4_crossvalid[[#This Row],[ds]]))</f>
        <v>46018</v>
      </c>
      <c r="C369">
        <v>1928</v>
      </c>
      <c r="D369" s="1">
        <v>46018.333333333336</v>
      </c>
      <c r="E369">
        <v>2439.8604766353174</v>
      </c>
      <c r="F369">
        <v>505.79883029512945</v>
      </c>
      <c r="G369">
        <v>4294.1292713318508</v>
      </c>
      <c r="H369" s="1">
        <v>45991.333333333336</v>
      </c>
    </row>
    <row r="370" spans="1:8" x14ac:dyDescent="0.25">
      <c r="A370" s="7">
        <f>DATE(YEAR(m4_crossvalid[[#This Row],[cutoff]]),MONTH(m4_crossvalid[[#This Row],[cutoff]]),DAY(m4_crossvalid[[#This Row],[cutoff]]))</f>
        <v>45991</v>
      </c>
      <c r="B370" s="7">
        <f>DATE(YEAR(m4_crossvalid[[#This Row],[ds]]),MONTH(m4_crossvalid[[#This Row],[ds]]),DAY(m4_crossvalid[[#This Row],[ds]]))</f>
        <v>46019</v>
      </c>
      <c r="C370">
        <v>428</v>
      </c>
      <c r="D370" s="1">
        <v>46019.333333333336</v>
      </c>
      <c r="E370">
        <v>2723.0606214362656</v>
      </c>
      <c r="F370">
        <v>929.3111111207113</v>
      </c>
      <c r="G370">
        <v>4786.607226664134</v>
      </c>
      <c r="H370" s="1">
        <v>45991.333333333336</v>
      </c>
    </row>
    <row r="371" spans="1:8" x14ac:dyDescent="0.25">
      <c r="A371" s="7">
        <f>DATE(YEAR(m4_crossvalid[[#This Row],[cutoff]]),MONTH(m4_crossvalid[[#This Row],[cutoff]]),DAY(m4_crossvalid[[#This Row],[cutoff]]))</f>
        <v>45991</v>
      </c>
      <c r="B371" s="7">
        <f>DATE(YEAR(m4_crossvalid[[#This Row],[ds]]),MONTH(m4_crossvalid[[#This Row],[ds]]),DAY(m4_crossvalid[[#This Row],[ds]]))</f>
        <v>46020</v>
      </c>
      <c r="C371">
        <v>7441</v>
      </c>
      <c r="D371" s="1">
        <v>46020.333333333336</v>
      </c>
      <c r="E371">
        <v>6366.2671077830792</v>
      </c>
      <c r="F371">
        <v>4466.3719495127198</v>
      </c>
      <c r="G371">
        <v>8259.3641645423722</v>
      </c>
      <c r="H371" s="1">
        <v>45991.333333333336</v>
      </c>
    </row>
    <row r="372" spans="1:8" x14ac:dyDescent="0.25">
      <c r="A372" s="7">
        <f>DATE(YEAR(m4_crossvalid[[#This Row],[cutoff]]),MONTH(m4_crossvalid[[#This Row],[cutoff]]),DAY(m4_crossvalid[[#This Row],[cutoff]]))</f>
        <v>45991</v>
      </c>
      <c r="B372" s="7">
        <f>DATE(YEAR(m4_crossvalid[[#This Row],[ds]]),MONTH(m4_crossvalid[[#This Row],[ds]]),DAY(m4_crossvalid[[#This Row],[ds]]))</f>
        <v>46021</v>
      </c>
      <c r="C372">
        <v>10603</v>
      </c>
      <c r="D372" s="1">
        <v>46021.333333333336</v>
      </c>
      <c r="E372">
        <v>7343.7259768148833</v>
      </c>
      <c r="F372">
        <v>5467.4026308048433</v>
      </c>
      <c r="G372">
        <v>9105.5395619189294</v>
      </c>
      <c r="H372" s="1">
        <v>45991.333333333336</v>
      </c>
    </row>
    <row r="373" spans="1:8" x14ac:dyDescent="0.25">
      <c r="A373" s="7">
        <f>DATE(YEAR(m4_crossvalid[[#This Row],[cutoff]]),MONTH(m4_crossvalid[[#This Row],[cutoff]]),DAY(m4_crossvalid[[#This Row],[cutoff]]))</f>
        <v>45991</v>
      </c>
      <c r="B373" s="7">
        <f>DATE(YEAR(m4_crossvalid[[#This Row],[ds]]),MONTH(m4_crossvalid[[#This Row],[ds]]),DAY(m4_crossvalid[[#This Row],[ds]]))</f>
        <v>46022</v>
      </c>
      <c r="C373">
        <v>15370</v>
      </c>
      <c r="D373" s="1">
        <v>46022.333333333336</v>
      </c>
      <c r="E373">
        <v>7063.3341826391388</v>
      </c>
      <c r="F373">
        <v>5257.8548227020747</v>
      </c>
      <c r="G373">
        <v>8948.9110544073792</v>
      </c>
      <c r="H373" s="1">
        <v>45991.333333333336</v>
      </c>
    </row>
    <row r="374" spans="1:8" x14ac:dyDescent="0.25">
      <c r="A374" s="7">
        <f>DATE(YEAR(m4_crossvalid[[#This Row],[cutoff]]),MONTH(m4_crossvalid[[#This Row],[cutoff]]),DAY(m4_crossvalid[[#This Row],[cutoff]]))</f>
        <v>46022</v>
      </c>
      <c r="B374" s="7">
        <f>DATE(YEAR(m4_crossvalid[[#This Row],[ds]]),MONTH(m4_crossvalid[[#This Row],[ds]]),DAY(m4_crossvalid[[#This Row],[ds]]))</f>
        <v>46023</v>
      </c>
      <c r="C374">
        <v>2584</v>
      </c>
      <c r="D374" s="1">
        <v>46023.333333333336</v>
      </c>
      <c r="E374">
        <v>4110.2799995967016</v>
      </c>
      <c r="F374">
        <v>2397.0915553736213</v>
      </c>
      <c r="G374">
        <v>6037.2533312429314</v>
      </c>
      <c r="H374" s="1">
        <v>46022.333333333336</v>
      </c>
    </row>
    <row r="375" spans="1:8" x14ac:dyDescent="0.25">
      <c r="A375" s="7">
        <f>DATE(YEAR(m4_crossvalid[[#This Row],[cutoff]]),MONTH(m4_crossvalid[[#This Row],[cutoff]]),DAY(m4_crossvalid[[#This Row],[cutoff]]))</f>
        <v>46022</v>
      </c>
      <c r="B375" s="7">
        <f>DATE(YEAR(m4_crossvalid[[#This Row],[ds]]),MONTH(m4_crossvalid[[#This Row],[ds]]),DAY(m4_crossvalid[[#This Row],[ds]]))</f>
        <v>46024</v>
      </c>
      <c r="C375">
        <v>1536</v>
      </c>
      <c r="D375" s="1">
        <v>46024.333333333336</v>
      </c>
      <c r="E375">
        <v>3920.703883672385</v>
      </c>
      <c r="F375">
        <v>2083.0471403439733</v>
      </c>
      <c r="G375">
        <v>5894.6644819883677</v>
      </c>
      <c r="H375" s="1">
        <v>46022.333333333336</v>
      </c>
    </row>
    <row r="376" spans="1:8" x14ac:dyDescent="0.25">
      <c r="A376" s="7">
        <f>DATE(YEAR(m4_crossvalid[[#This Row],[cutoff]]),MONTH(m4_crossvalid[[#This Row],[cutoff]]),DAY(m4_crossvalid[[#This Row],[cutoff]]))</f>
        <v>46022</v>
      </c>
      <c r="B376" s="7">
        <f>DATE(YEAR(m4_crossvalid[[#This Row],[ds]]),MONTH(m4_crossvalid[[#This Row],[ds]]),DAY(m4_crossvalid[[#This Row],[ds]]))</f>
        <v>46025</v>
      </c>
      <c r="C376">
        <v>80</v>
      </c>
      <c r="D376" s="1">
        <v>46025.333333333336</v>
      </c>
      <c r="E376">
        <v>8.7333415381872328</v>
      </c>
      <c r="F376">
        <v>-1845.3220219612613</v>
      </c>
      <c r="G376">
        <v>1796.1319934999733</v>
      </c>
      <c r="H376" s="1">
        <v>46022.333333333336</v>
      </c>
    </row>
    <row r="377" spans="1:8" x14ac:dyDescent="0.25">
      <c r="A377" s="7">
        <f>DATE(YEAR(m4_crossvalid[[#This Row],[cutoff]]),MONTH(m4_crossvalid[[#This Row],[cutoff]]),DAY(m4_crossvalid[[#This Row],[cutoff]]))</f>
        <v>46022</v>
      </c>
      <c r="B377" s="7">
        <f>DATE(YEAR(m4_crossvalid[[#This Row],[ds]]),MONTH(m4_crossvalid[[#This Row],[ds]]),DAY(m4_crossvalid[[#This Row],[ds]]))</f>
        <v>46026</v>
      </c>
      <c r="C377">
        <v>17</v>
      </c>
      <c r="D377" s="1">
        <v>46026.333333333336</v>
      </c>
      <c r="E377">
        <v>-1230.7439394618877</v>
      </c>
      <c r="F377">
        <v>-3084.3310377469252</v>
      </c>
      <c r="G377">
        <v>650.03915534431189</v>
      </c>
      <c r="H377" s="1">
        <v>46022.333333333336</v>
      </c>
    </row>
    <row r="378" spans="1:8" x14ac:dyDescent="0.25">
      <c r="A378" s="7">
        <f>DATE(YEAR(m4_crossvalid[[#This Row],[cutoff]]),MONTH(m4_crossvalid[[#This Row],[cutoff]]),DAY(m4_crossvalid[[#This Row],[cutoff]]))</f>
        <v>46022</v>
      </c>
      <c r="B378" s="7">
        <f>DATE(YEAR(m4_crossvalid[[#This Row],[ds]]),MONTH(m4_crossvalid[[#This Row],[ds]]),DAY(m4_crossvalid[[#This Row],[ds]]))</f>
        <v>46027</v>
      </c>
      <c r="C378">
        <v>340</v>
      </c>
      <c r="D378" s="1">
        <v>46027.333333333336</v>
      </c>
      <c r="E378">
        <v>1398.4029560068357</v>
      </c>
      <c r="F378">
        <v>-531.04654697309411</v>
      </c>
      <c r="G378">
        <v>3181.6221364936932</v>
      </c>
      <c r="H378" s="1">
        <v>46022.333333333336</v>
      </c>
    </row>
    <row r="379" spans="1:8" x14ac:dyDescent="0.25">
      <c r="A379" s="7">
        <f>DATE(YEAR(m4_crossvalid[[#This Row],[cutoff]]),MONTH(m4_crossvalid[[#This Row],[cutoff]]),DAY(m4_crossvalid[[#This Row],[cutoff]]))</f>
        <v>46022</v>
      </c>
      <c r="B379" s="7">
        <f>DATE(YEAR(m4_crossvalid[[#This Row],[ds]]),MONTH(m4_crossvalid[[#This Row],[ds]]),DAY(m4_crossvalid[[#This Row],[ds]]))</f>
        <v>46028</v>
      </c>
      <c r="C379">
        <v>485</v>
      </c>
      <c r="D379" s="1">
        <v>46028.333333333336</v>
      </c>
      <c r="E379">
        <v>2021.5418139777053</v>
      </c>
      <c r="F379">
        <v>144.33227562218602</v>
      </c>
      <c r="G379">
        <v>3964.7985620094405</v>
      </c>
      <c r="H379" s="1">
        <v>46022.333333333336</v>
      </c>
    </row>
    <row r="380" spans="1:8" x14ac:dyDescent="0.25">
      <c r="A380" s="7">
        <f>DATE(YEAR(m4_crossvalid[[#This Row],[cutoff]]),MONTH(m4_crossvalid[[#This Row],[cutoff]]),DAY(m4_crossvalid[[#This Row],[cutoff]]))</f>
        <v>46022</v>
      </c>
      <c r="B380" s="7">
        <f>DATE(YEAR(m4_crossvalid[[#This Row],[ds]]),MONTH(m4_crossvalid[[#This Row],[ds]]),DAY(m4_crossvalid[[#This Row],[ds]]))</f>
        <v>46029</v>
      </c>
      <c r="C380">
        <v>532</v>
      </c>
      <c r="D380" s="1">
        <v>46029.333333333336</v>
      </c>
      <c r="E380">
        <v>2206.8619639680714</v>
      </c>
      <c r="F380">
        <v>313.85819056071523</v>
      </c>
      <c r="G380">
        <v>4069.9209174649641</v>
      </c>
      <c r="H380" s="1">
        <v>46022.333333333336</v>
      </c>
    </row>
    <row r="381" spans="1:8" x14ac:dyDescent="0.25">
      <c r="A381" s="7">
        <f>DATE(YEAR(m4_crossvalid[[#This Row],[cutoff]]),MONTH(m4_crossvalid[[#This Row],[cutoff]]),DAY(m4_crossvalid[[#This Row],[cutoff]]))</f>
        <v>46022</v>
      </c>
      <c r="B381" s="7">
        <f>DATE(YEAR(m4_crossvalid[[#This Row],[ds]]),MONTH(m4_crossvalid[[#This Row],[ds]]),DAY(m4_crossvalid[[#This Row],[ds]]))</f>
        <v>46030</v>
      </c>
      <c r="C381">
        <v>659</v>
      </c>
      <c r="D381" s="1">
        <v>46030.333333333336</v>
      </c>
      <c r="E381">
        <v>2012.8082680115626</v>
      </c>
      <c r="F381">
        <v>132.80098496755377</v>
      </c>
      <c r="G381">
        <v>3886.5793033092355</v>
      </c>
      <c r="H381" s="1">
        <v>46022.333333333336</v>
      </c>
    </row>
    <row r="382" spans="1:8" x14ac:dyDescent="0.25">
      <c r="A382" s="7">
        <f>DATE(YEAR(m4_crossvalid[[#This Row],[cutoff]]),MONTH(m4_crossvalid[[#This Row],[cutoff]]),DAY(m4_crossvalid[[#This Row],[cutoff]]))</f>
        <v>46022</v>
      </c>
      <c r="B382" s="7">
        <f>DATE(YEAR(m4_crossvalid[[#This Row],[ds]]),MONTH(m4_crossvalid[[#This Row],[ds]]),DAY(m4_crossvalid[[#This Row],[ds]]))</f>
        <v>46031</v>
      </c>
      <c r="C382">
        <v>787</v>
      </c>
      <c r="D382" s="1">
        <v>46031.333333333336</v>
      </c>
      <c r="E382">
        <v>1772.2451190854249</v>
      </c>
      <c r="F382">
        <v>-32.93262818606329</v>
      </c>
      <c r="G382">
        <v>3742.0772713080037</v>
      </c>
      <c r="H382" s="1">
        <v>46022.333333333336</v>
      </c>
    </row>
    <row r="383" spans="1:8" x14ac:dyDescent="0.25">
      <c r="A383" s="7">
        <f>DATE(YEAR(m4_crossvalid[[#This Row],[cutoff]]),MONTH(m4_crossvalid[[#This Row],[cutoff]]),DAY(m4_crossvalid[[#This Row],[cutoff]]))</f>
        <v>46022</v>
      </c>
      <c r="B383" s="7">
        <f>DATE(YEAR(m4_crossvalid[[#This Row],[ds]]),MONTH(m4_crossvalid[[#This Row],[ds]]),DAY(m4_crossvalid[[#This Row],[ds]]))</f>
        <v>46032</v>
      </c>
      <c r="C383">
        <v>137</v>
      </c>
      <c r="D383" s="1">
        <v>46032.333333333336</v>
      </c>
      <c r="E383">
        <v>-513.37316469141024</v>
      </c>
      <c r="F383">
        <v>-2551.4403294415742</v>
      </c>
      <c r="G383">
        <v>1323.1316384003003</v>
      </c>
      <c r="H383" s="1">
        <v>46022.333333333336</v>
      </c>
    </row>
    <row r="384" spans="1:8" x14ac:dyDescent="0.25">
      <c r="A384" s="7">
        <f>DATE(YEAR(m4_crossvalid[[#This Row],[cutoff]]),MONTH(m4_crossvalid[[#This Row],[cutoff]]),DAY(m4_crossvalid[[#This Row],[cutoff]]))</f>
        <v>46022</v>
      </c>
      <c r="B384" s="7">
        <f>DATE(YEAR(m4_crossvalid[[#This Row],[ds]]),MONTH(m4_crossvalid[[#This Row],[ds]]),DAY(m4_crossvalid[[#This Row],[ds]]))</f>
        <v>46033</v>
      </c>
      <c r="C384">
        <v>44</v>
      </c>
      <c r="D384" s="1">
        <v>46033.333333333336</v>
      </c>
      <c r="E384">
        <v>-812.76244161263685</v>
      </c>
      <c r="F384">
        <v>-2730.4601387085431</v>
      </c>
      <c r="G384">
        <v>1112.4256512223276</v>
      </c>
      <c r="H384" s="1">
        <v>46022.333333333336</v>
      </c>
    </row>
    <row r="385" spans="1:8" x14ac:dyDescent="0.25">
      <c r="A385" s="7">
        <f>DATE(YEAR(m4_crossvalid[[#This Row],[cutoff]]),MONTH(m4_crossvalid[[#This Row],[cutoff]]),DAY(m4_crossvalid[[#This Row],[cutoff]]))</f>
        <v>46022</v>
      </c>
      <c r="B385" s="7">
        <f>DATE(YEAR(m4_crossvalid[[#This Row],[ds]]),MONTH(m4_crossvalid[[#This Row],[ds]]),DAY(m4_crossvalid[[#This Row],[ds]]))</f>
        <v>46034</v>
      </c>
      <c r="C385">
        <v>779</v>
      </c>
      <c r="D385" s="1">
        <v>46034.333333333336</v>
      </c>
      <c r="E385">
        <v>1945.0767185305976</v>
      </c>
      <c r="F385">
        <v>43.683101553223224</v>
      </c>
      <c r="G385">
        <v>3791.5816924201563</v>
      </c>
      <c r="H385" s="1">
        <v>46022.333333333336</v>
      </c>
    </row>
    <row r="386" spans="1:8" x14ac:dyDescent="0.25">
      <c r="A386" s="7">
        <f>DATE(YEAR(m4_crossvalid[[#This Row],[cutoff]]),MONTH(m4_crossvalid[[#This Row],[cutoff]]),DAY(m4_crossvalid[[#This Row],[cutoff]]))</f>
        <v>46022</v>
      </c>
      <c r="B386" s="7">
        <f>DATE(YEAR(m4_crossvalid[[#This Row],[ds]]),MONTH(m4_crossvalid[[#This Row],[ds]]),DAY(m4_crossvalid[[#This Row],[ds]]))</f>
        <v>46035</v>
      </c>
      <c r="C386">
        <v>1113</v>
      </c>
      <c r="D386" s="1">
        <v>46035.333333333336</v>
      </c>
      <c r="E386">
        <v>2245.0348438778792</v>
      </c>
      <c r="F386">
        <v>250.01734044848877</v>
      </c>
      <c r="G386">
        <v>4085.0435552151703</v>
      </c>
      <c r="H386" s="1">
        <v>46022.333333333336</v>
      </c>
    </row>
    <row r="387" spans="1:8" x14ac:dyDescent="0.25">
      <c r="A387" s="7">
        <f>DATE(YEAR(m4_crossvalid[[#This Row],[cutoff]]),MONTH(m4_crossvalid[[#This Row],[cutoff]]),DAY(m4_crossvalid[[#This Row],[cutoff]]))</f>
        <v>46022</v>
      </c>
      <c r="B387" s="7">
        <f>DATE(YEAR(m4_crossvalid[[#This Row],[ds]]),MONTH(m4_crossvalid[[#This Row],[ds]]),DAY(m4_crossvalid[[#This Row],[ds]]))</f>
        <v>46036</v>
      </c>
      <c r="C387">
        <v>1419</v>
      </c>
      <c r="D387" s="1">
        <v>46036.333333333336</v>
      </c>
      <c r="E387">
        <v>2190.4262624042808</v>
      </c>
      <c r="F387">
        <v>331.75720795612773</v>
      </c>
      <c r="G387">
        <v>3991.1066880425915</v>
      </c>
      <c r="H387" s="1">
        <v>46022.333333333336</v>
      </c>
    </row>
    <row r="388" spans="1:8" x14ac:dyDescent="0.25">
      <c r="A388" s="7">
        <f>DATE(YEAR(m4_crossvalid[[#This Row],[cutoff]]),MONTH(m4_crossvalid[[#This Row],[cutoff]]),DAY(m4_crossvalid[[#This Row],[cutoff]]))</f>
        <v>46022</v>
      </c>
      <c r="B388" s="7">
        <f>DATE(YEAR(m4_crossvalid[[#This Row],[ds]]),MONTH(m4_crossvalid[[#This Row],[ds]]),DAY(m4_crossvalid[[#This Row],[ds]]))</f>
        <v>46037</v>
      </c>
      <c r="C388">
        <v>1874</v>
      </c>
      <c r="D388" s="1">
        <v>46037.333333333336</v>
      </c>
      <c r="E388">
        <v>2127.2047960704253</v>
      </c>
      <c r="F388">
        <v>284.37617250068087</v>
      </c>
      <c r="G388">
        <v>4046.2050325340547</v>
      </c>
      <c r="H388" s="1">
        <v>46022.333333333336</v>
      </c>
    </row>
    <row r="389" spans="1:8" x14ac:dyDescent="0.25">
      <c r="A389" s="7">
        <f>DATE(YEAR(m4_crossvalid[[#This Row],[cutoff]]),MONTH(m4_crossvalid[[#This Row],[cutoff]]),DAY(m4_crossvalid[[#This Row],[cutoff]]))</f>
        <v>46022</v>
      </c>
      <c r="B389" s="7">
        <f>DATE(YEAR(m4_crossvalid[[#This Row],[ds]]),MONTH(m4_crossvalid[[#This Row],[ds]]),DAY(m4_crossvalid[[#This Row],[ds]]))</f>
        <v>46038</v>
      </c>
      <c r="C389">
        <v>2020</v>
      </c>
      <c r="D389" s="1">
        <v>46038.333333333336</v>
      </c>
      <c r="E389">
        <v>2250.4287582409866</v>
      </c>
      <c r="F389">
        <v>368.37382143999378</v>
      </c>
      <c r="G389">
        <v>4168.5547219135697</v>
      </c>
      <c r="H389" s="1">
        <v>46022.333333333336</v>
      </c>
    </row>
    <row r="390" spans="1:8" x14ac:dyDescent="0.25">
      <c r="A390" s="7">
        <f>DATE(YEAR(m4_crossvalid[[#This Row],[cutoff]]),MONTH(m4_crossvalid[[#This Row],[cutoff]]),DAY(m4_crossvalid[[#This Row],[cutoff]]))</f>
        <v>46022</v>
      </c>
      <c r="B390" s="7">
        <f>DATE(YEAR(m4_crossvalid[[#This Row],[ds]]),MONTH(m4_crossvalid[[#This Row],[ds]]),DAY(m4_crossvalid[[#This Row],[ds]]))</f>
        <v>46039</v>
      </c>
      <c r="C390">
        <v>451</v>
      </c>
      <c r="D390" s="1">
        <v>46039.333333333336</v>
      </c>
      <c r="E390">
        <v>203.48715024385456</v>
      </c>
      <c r="F390">
        <v>-1706.8743495943072</v>
      </c>
      <c r="G390">
        <v>2143.4794438266913</v>
      </c>
      <c r="H390" s="1">
        <v>46022.333333333336</v>
      </c>
    </row>
    <row r="391" spans="1:8" x14ac:dyDescent="0.25">
      <c r="A391" s="7">
        <f>DATE(YEAR(m4_crossvalid[[#This Row],[cutoff]]),MONTH(m4_crossvalid[[#This Row],[cutoff]]),DAY(m4_crossvalid[[#This Row],[cutoff]]))</f>
        <v>46022</v>
      </c>
      <c r="B391" s="7">
        <f>DATE(YEAR(m4_crossvalid[[#This Row],[ds]]),MONTH(m4_crossvalid[[#This Row],[ds]]),DAY(m4_crossvalid[[#This Row],[ds]]))</f>
        <v>46040</v>
      </c>
      <c r="C391">
        <v>76</v>
      </c>
      <c r="D391" s="1">
        <v>46040.333333333336</v>
      </c>
      <c r="E391">
        <v>-183.04667587599079</v>
      </c>
      <c r="F391">
        <v>-2088.913292298716</v>
      </c>
      <c r="G391">
        <v>1641.3610960219717</v>
      </c>
      <c r="H391" s="1">
        <v>46022.333333333336</v>
      </c>
    </row>
    <row r="392" spans="1:8" x14ac:dyDescent="0.25">
      <c r="A392" s="7">
        <f>DATE(YEAR(m4_crossvalid[[#This Row],[cutoff]]),MONTH(m4_crossvalid[[#This Row],[cutoff]]),DAY(m4_crossvalid[[#This Row],[cutoff]]))</f>
        <v>46022</v>
      </c>
      <c r="B392" s="7">
        <f>DATE(YEAR(m4_crossvalid[[#This Row],[ds]]),MONTH(m4_crossvalid[[#This Row],[ds]]),DAY(m4_crossvalid[[#This Row],[ds]]))</f>
        <v>46041</v>
      </c>
      <c r="C392">
        <v>1963</v>
      </c>
      <c r="D392" s="1">
        <v>46041.333333333336</v>
      </c>
      <c r="E392">
        <v>2310.2623036212499</v>
      </c>
      <c r="F392">
        <v>360.28271372869921</v>
      </c>
      <c r="G392">
        <v>4245.4090329426517</v>
      </c>
      <c r="H392" s="1">
        <v>46022.333333333336</v>
      </c>
    </row>
    <row r="393" spans="1:8" x14ac:dyDescent="0.25">
      <c r="A393" s="7">
        <f>DATE(YEAR(m4_crossvalid[[#This Row],[cutoff]]),MONTH(m4_crossvalid[[#This Row],[cutoff]]),DAY(m4_crossvalid[[#This Row],[cutoff]]))</f>
        <v>46022</v>
      </c>
      <c r="B393" s="7">
        <f>DATE(YEAR(m4_crossvalid[[#This Row],[ds]]),MONTH(m4_crossvalid[[#This Row],[ds]]),DAY(m4_crossvalid[[#This Row],[ds]]))</f>
        <v>46042</v>
      </c>
      <c r="C393">
        <v>2481</v>
      </c>
      <c r="D393" s="1">
        <v>46042.333333333336</v>
      </c>
      <c r="E393">
        <v>2502.3007729779556</v>
      </c>
      <c r="F393">
        <v>479.11110699397233</v>
      </c>
      <c r="G393">
        <v>4414.572847885167</v>
      </c>
      <c r="H393" s="1">
        <v>46022.333333333336</v>
      </c>
    </row>
    <row r="394" spans="1:8" x14ac:dyDescent="0.25">
      <c r="A394" s="7">
        <f>DATE(YEAR(m4_crossvalid[[#This Row],[cutoff]]),MONTH(m4_crossvalid[[#This Row],[cutoff]]),DAY(m4_crossvalid[[#This Row],[cutoff]]))</f>
        <v>46022</v>
      </c>
      <c r="B394" s="7">
        <f>DATE(YEAR(m4_crossvalid[[#This Row],[ds]]),MONTH(m4_crossvalid[[#This Row],[ds]]),DAY(m4_crossvalid[[#This Row],[ds]]))</f>
        <v>46043</v>
      </c>
      <c r="C394">
        <v>2679</v>
      </c>
      <c r="D394" s="1">
        <v>46043.333333333336</v>
      </c>
      <c r="E394">
        <v>2671.7733104431377</v>
      </c>
      <c r="F394">
        <v>847.3239587630361</v>
      </c>
      <c r="G394">
        <v>4666.6533332760655</v>
      </c>
      <c r="H394" s="1">
        <v>46022.333333333336</v>
      </c>
    </row>
    <row r="395" spans="1:8" x14ac:dyDescent="0.25">
      <c r="A395" s="7">
        <f>DATE(YEAR(m4_crossvalid[[#This Row],[cutoff]]),MONTH(m4_crossvalid[[#This Row],[cutoff]]),DAY(m4_crossvalid[[#This Row],[cutoff]]))</f>
        <v>46022</v>
      </c>
      <c r="B395" s="7">
        <f>DATE(YEAR(m4_crossvalid[[#This Row],[ds]]),MONTH(m4_crossvalid[[#This Row],[ds]]),DAY(m4_crossvalid[[#This Row],[ds]]))</f>
        <v>46044</v>
      </c>
      <c r="C395">
        <v>2830</v>
      </c>
      <c r="D395" s="1">
        <v>46044.333333333336</v>
      </c>
      <c r="E395">
        <v>3002.5446324490385</v>
      </c>
      <c r="F395">
        <v>1203.1143330979469</v>
      </c>
      <c r="G395">
        <v>4888.4972490191894</v>
      </c>
      <c r="H395" s="1">
        <v>46022.333333333336</v>
      </c>
    </row>
    <row r="396" spans="1:8" x14ac:dyDescent="0.25">
      <c r="A396" s="7">
        <f>DATE(YEAR(m4_crossvalid[[#This Row],[cutoff]]),MONTH(m4_crossvalid[[#This Row],[cutoff]]),DAY(m4_crossvalid[[#This Row],[cutoff]]))</f>
        <v>46022</v>
      </c>
      <c r="B396" s="7">
        <f>DATE(YEAR(m4_crossvalid[[#This Row],[ds]]),MONTH(m4_crossvalid[[#This Row],[ds]]),DAY(m4_crossvalid[[#This Row],[ds]]))</f>
        <v>46045</v>
      </c>
      <c r="C396">
        <v>3000</v>
      </c>
      <c r="D396" s="1">
        <v>46045.333333333336</v>
      </c>
      <c r="E396">
        <v>3357.7220859313047</v>
      </c>
      <c r="F396">
        <v>1428.4696380092687</v>
      </c>
      <c r="G396">
        <v>5251.2531156541572</v>
      </c>
      <c r="H396" s="1">
        <v>46022.333333333336</v>
      </c>
    </row>
    <row r="397" spans="1:8" x14ac:dyDescent="0.25">
      <c r="A397" s="7">
        <f>DATE(YEAR(m4_crossvalid[[#This Row],[cutoff]]),MONTH(m4_crossvalid[[#This Row],[cutoff]]),DAY(m4_crossvalid[[#This Row],[cutoff]]))</f>
        <v>46022</v>
      </c>
      <c r="B397" s="7">
        <f>DATE(YEAR(m4_crossvalid[[#This Row],[ds]]),MONTH(m4_crossvalid[[#This Row],[ds]]),DAY(m4_crossvalid[[#This Row],[ds]]))</f>
        <v>46046</v>
      </c>
      <c r="C397">
        <v>902</v>
      </c>
      <c r="D397" s="1">
        <v>46046.333333333336</v>
      </c>
      <c r="E397">
        <v>1232.8682275312767</v>
      </c>
      <c r="F397">
        <v>-739.99129108098487</v>
      </c>
      <c r="G397">
        <v>3089.8148694593829</v>
      </c>
      <c r="H397" s="1">
        <v>46022.333333333336</v>
      </c>
    </row>
    <row r="398" spans="1:8" x14ac:dyDescent="0.25">
      <c r="A398" s="7">
        <f>DATE(YEAR(m4_crossvalid[[#This Row],[cutoff]]),MONTH(m4_crossvalid[[#This Row],[cutoff]]),DAY(m4_crossvalid[[#This Row],[cutoff]]))</f>
        <v>46022</v>
      </c>
      <c r="B398" s="7">
        <f>DATE(YEAR(m4_crossvalid[[#This Row],[ds]]),MONTH(m4_crossvalid[[#This Row],[ds]]),DAY(m4_crossvalid[[#This Row],[ds]]))</f>
        <v>46047</v>
      </c>
      <c r="C398">
        <v>150</v>
      </c>
      <c r="D398" s="1">
        <v>46047.333333333336</v>
      </c>
      <c r="E398">
        <v>685.57940209696699</v>
      </c>
      <c r="F398">
        <v>-1138.4906493352</v>
      </c>
      <c r="G398">
        <v>2558.9942431705244</v>
      </c>
      <c r="H398" s="1">
        <v>46022.333333333336</v>
      </c>
    </row>
    <row r="399" spans="1:8" x14ac:dyDescent="0.25">
      <c r="A399" s="7">
        <f>DATE(YEAR(m4_crossvalid[[#This Row],[cutoff]]),MONTH(m4_crossvalid[[#This Row],[cutoff]]),DAY(m4_crossvalid[[#This Row],[cutoff]]))</f>
        <v>46022</v>
      </c>
      <c r="B399" s="7">
        <f>DATE(YEAR(m4_crossvalid[[#This Row],[ds]]),MONTH(m4_crossvalid[[#This Row],[ds]]),DAY(m4_crossvalid[[#This Row],[ds]]))</f>
        <v>46048</v>
      </c>
      <c r="C399">
        <v>3603</v>
      </c>
      <c r="D399" s="1">
        <v>46048.333333333336</v>
      </c>
      <c r="E399">
        <v>3361.0058334677501</v>
      </c>
      <c r="F399">
        <v>1490.5072705986265</v>
      </c>
      <c r="G399">
        <v>5344.3737466939401</v>
      </c>
      <c r="H399" s="1">
        <v>46022.333333333336</v>
      </c>
    </row>
    <row r="400" spans="1:8" x14ac:dyDescent="0.25">
      <c r="A400" s="7">
        <f>DATE(YEAR(m4_crossvalid[[#This Row],[cutoff]]),MONTH(m4_crossvalid[[#This Row],[cutoff]]),DAY(m4_crossvalid[[#This Row],[cutoff]]))</f>
        <v>46022</v>
      </c>
      <c r="B400" s="7">
        <f>DATE(YEAR(m4_crossvalid[[#This Row],[ds]]),MONTH(m4_crossvalid[[#This Row],[ds]]),DAY(m4_crossvalid[[#This Row],[ds]]))</f>
        <v>46049</v>
      </c>
      <c r="C400">
        <v>4548</v>
      </c>
      <c r="D400" s="1">
        <v>46049.333333333336</v>
      </c>
      <c r="E400">
        <v>4300.965051373063</v>
      </c>
      <c r="F400">
        <v>2412.1116280267015</v>
      </c>
      <c r="G400">
        <v>5943.6062478415133</v>
      </c>
      <c r="H400" s="1">
        <v>46022.333333333336</v>
      </c>
    </row>
    <row r="401" spans="1:8" x14ac:dyDescent="0.25">
      <c r="A401" s="7">
        <f>DATE(YEAR(m4_crossvalid[[#This Row],[cutoff]]),MONTH(m4_crossvalid[[#This Row],[cutoff]]),DAY(m4_crossvalid[[#This Row],[cutoff]]))</f>
        <v>46022</v>
      </c>
      <c r="B401" s="7">
        <f>DATE(YEAR(m4_crossvalid[[#This Row],[ds]]),MONTH(m4_crossvalid[[#This Row],[ds]]),DAY(m4_crossvalid[[#This Row],[ds]]))</f>
        <v>46050</v>
      </c>
      <c r="C401">
        <v>5313</v>
      </c>
      <c r="D401" s="1">
        <v>46050.333333333336</v>
      </c>
      <c r="E401">
        <v>5537.566424543269</v>
      </c>
      <c r="F401">
        <v>3487.7857457305572</v>
      </c>
      <c r="G401">
        <v>7330.3577044704052</v>
      </c>
      <c r="H401" s="1">
        <v>46022.333333333336</v>
      </c>
    </row>
    <row r="402" spans="1:8" x14ac:dyDescent="0.25">
      <c r="A402" s="7">
        <f>DATE(YEAR(m4_crossvalid[[#This Row],[cutoff]]),MONTH(m4_crossvalid[[#This Row],[cutoff]]),DAY(m4_crossvalid[[#This Row],[cutoff]]))</f>
        <v>46022</v>
      </c>
      <c r="B402" s="7">
        <f>DATE(YEAR(m4_crossvalid[[#This Row],[ds]]),MONTH(m4_crossvalid[[#This Row],[ds]]),DAY(m4_crossvalid[[#This Row],[ds]]))</f>
        <v>46051</v>
      </c>
      <c r="C402">
        <v>7326</v>
      </c>
      <c r="D402" s="1">
        <v>46051.333333333336</v>
      </c>
      <c r="E402">
        <v>6653.1202091318983</v>
      </c>
      <c r="F402">
        <v>4753.4141967552387</v>
      </c>
      <c r="G402">
        <v>8589.8176771197104</v>
      </c>
      <c r="H402" s="1">
        <v>46022.333333333336</v>
      </c>
    </row>
    <row r="403" spans="1:8" x14ac:dyDescent="0.25">
      <c r="A403" s="7">
        <f>DATE(YEAR(m4_crossvalid[[#This Row],[cutoff]]),MONTH(m4_crossvalid[[#This Row],[cutoff]]),DAY(m4_crossvalid[[#This Row],[cutoff]]))</f>
        <v>46022</v>
      </c>
      <c r="B403" s="7">
        <f>DATE(YEAR(m4_crossvalid[[#This Row],[ds]]),MONTH(m4_crossvalid[[#This Row],[ds]]),DAY(m4_crossvalid[[#This Row],[ds]]))</f>
        <v>46052</v>
      </c>
      <c r="C403">
        <v>10276</v>
      </c>
      <c r="D403" s="1">
        <v>46052.333333333336</v>
      </c>
      <c r="E403">
        <v>6959.2127351599975</v>
      </c>
      <c r="F403">
        <v>5074.4926519358669</v>
      </c>
      <c r="G403">
        <v>8899.3700449449279</v>
      </c>
      <c r="H403" s="1">
        <v>46022.333333333336</v>
      </c>
    </row>
    <row r="404" spans="1:8" x14ac:dyDescent="0.25">
      <c r="A404" s="7">
        <f>DATE(YEAR(m4_crossvalid[[#This Row],[cutoff]]),MONTH(m4_crossvalid[[#This Row],[cutoff]]),DAY(m4_crossvalid[[#This Row],[cutoff]]))</f>
        <v>46022</v>
      </c>
      <c r="B404" s="7">
        <f>DATE(YEAR(m4_crossvalid[[#This Row],[ds]]),MONTH(m4_crossvalid[[#This Row],[ds]]),DAY(m4_crossvalid[[#This Row],[ds]]))</f>
        <v>46053</v>
      </c>
      <c r="C404">
        <v>7991</v>
      </c>
      <c r="D404" s="1">
        <v>46053.333333333336</v>
      </c>
      <c r="E404">
        <v>3807.5194053836753</v>
      </c>
      <c r="F404">
        <v>2049.6490144117115</v>
      </c>
      <c r="G404">
        <v>5615.6355981200113</v>
      </c>
      <c r="H404" s="1">
        <v>46022.333333333336</v>
      </c>
    </row>
    <row r="405" spans="1:8" x14ac:dyDescent="0.25">
      <c r="A405" s="7">
        <f>DATE(YEAR(m4_crossvalid[[#This Row],[cutoff]]),MONTH(m4_crossvalid[[#This Row],[cutoff]]),DAY(m4_crossvalid[[#This Row],[cutoff]]))</f>
        <v>46053</v>
      </c>
      <c r="B405" s="7">
        <f>DATE(YEAR(m4_crossvalid[[#This Row],[ds]]),MONTH(m4_crossvalid[[#This Row],[ds]]),DAY(m4_crossvalid[[#This Row],[ds]]))</f>
        <v>46054</v>
      </c>
      <c r="C405">
        <v>26</v>
      </c>
      <c r="D405" s="1">
        <v>46054.333333333336</v>
      </c>
      <c r="E405">
        <v>-135.8369313351227</v>
      </c>
      <c r="F405">
        <v>-1990.2416664609</v>
      </c>
      <c r="G405">
        <v>1709.0140369152291</v>
      </c>
      <c r="H405" s="1">
        <v>46053.333333333336</v>
      </c>
    </row>
    <row r="406" spans="1:8" x14ac:dyDescent="0.25">
      <c r="A406" s="7">
        <f>DATE(YEAR(m4_crossvalid[[#This Row],[cutoff]]),MONTH(m4_crossvalid[[#This Row],[cutoff]]),DAY(m4_crossvalid[[#This Row],[cutoff]]))</f>
        <v>46053</v>
      </c>
      <c r="B406" s="7">
        <f>DATE(YEAR(m4_crossvalid[[#This Row],[ds]]),MONTH(m4_crossvalid[[#This Row],[ds]]),DAY(m4_crossvalid[[#This Row],[ds]]))</f>
        <v>46055</v>
      </c>
      <c r="C406">
        <v>134</v>
      </c>
      <c r="D406" s="1">
        <v>46055.333333333336</v>
      </c>
      <c r="E406">
        <v>613.53987674590053</v>
      </c>
      <c r="F406">
        <v>-1298.0397643224296</v>
      </c>
      <c r="G406">
        <v>2423.5802425076354</v>
      </c>
      <c r="H406" s="1">
        <v>46053.333333333336</v>
      </c>
    </row>
    <row r="407" spans="1:8" x14ac:dyDescent="0.25">
      <c r="A407" s="7">
        <f>DATE(YEAR(m4_crossvalid[[#This Row],[cutoff]]),MONTH(m4_crossvalid[[#This Row],[cutoff]]),DAY(m4_crossvalid[[#This Row],[cutoff]]))</f>
        <v>46053</v>
      </c>
      <c r="B407" s="7">
        <f>DATE(YEAR(m4_crossvalid[[#This Row],[ds]]),MONTH(m4_crossvalid[[#This Row],[ds]]),DAY(m4_crossvalid[[#This Row],[ds]]))</f>
        <v>46056</v>
      </c>
      <c r="C407">
        <v>521</v>
      </c>
      <c r="D407" s="1">
        <v>46056.333333333336</v>
      </c>
      <c r="E407">
        <v>-149.77137131612653</v>
      </c>
      <c r="F407">
        <v>-2051.6956231708077</v>
      </c>
      <c r="G407">
        <v>1729.3405796351979</v>
      </c>
      <c r="H407" s="1">
        <v>46053.333333333336</v>
      </c>
    </row>
    <row r="408" spans="1:8" x14ac:dyDescent="0.25">
      <c r="A408" s="7">
        <f>DATE(YEAR(m4_crossvalid[[#This Row],[cutoff]]),MONTH(m4_crossvalid[[#This Row],[cutoff]]),DAY(m4_crossvalid[[#This Row],[cutoff]]))</f>
        <v>46053</v>
      </c>
      <c r="B408" s="7">
        <f>DATE(YEAR(m4_crossvalid[[#This Row],[ds]]),MONTH(m4_crossvalid[[#This Row],[ds]]),DAY(m4_crossvalid[[#This Row],[ds]]))</f>
        <v>46057</v>
      </c>
      <c r="C408">
        <v>696</v>
      </c>
      <c r="D408" s="1">
        <v>46057.333333333336</v>
      </c>
      <c r="E408">
        <v>1611.7443720468964</v>
      </c>
      <c r="F408">
        <v>-258.29967930023787</v>
      </c>
      <c r="G408">
        <v>3450.9059143553618</v>
      </c>
      <c r="H408" s="1">
        <v>46053.333333333336</v>
      </c>
    </row>
    <row r="409" spans="1:8" x14ac:dyDescent="0.25">
      <c r="A409" s="7">
        <f>DATE(YEAR(m4_crossvalid[[#This Row],[cutoff]]),MONTH(m4_crossvalid[[#This Row],[cutoff]]),DAY(m4_crossvalid[[#This Row],[cutoff]]))</f>
        <v>46053</v>
      </c>
      <c r="B409" s="7">
        <f>DATE(YEAR(m4_crossvalid[[#This Row],[ds]]),MONTH(m4_crossvalid[[#This Row],[ds]]),DAY(m4_crossvalid[[#This Row],[ds]]))</f>
        <v>46058</v>
      </c>
      <c r="C409">
        <v>1038</v>
      </c>
      <c r="D409" s="1">
        <v>46058.333333333336</v>
      </c>
      <c r="E409">
        <v>1984.1515492128565</v>
      </c>
      <c r="F409">
        <v>270.96971782323646</v>
      </c>
      <c r="G409">
        <v>3826.5419603210803</v>
      </c>
      <c r="H409" s="1">
        <v>46053.333333333336</v>
      </c>
    </row>
    <row r="410" spans="1:8" x14ac:dyDescent="0.25">
      <c r="A410" s="7">
        <f>DATE(YEAR(m4_crossvalid[[#This Row],[cutoff]]),MONTH(m4_crossvalid[[#This Row],[cutoff]]),DAY(m4_crossvalid[[#This Row],[cutoff]]))</f>
        <v>46053</v>
      </c>
      <c r="B410" s="7">
        <f>DATE(YEAR(m4_crossvalid[[#This Row],[ds]]),MONTH(m4_crossvalid[[#This Row],[ds]]),DAY(m4_crossvalid[[#This Row],[ds]]))</f>
        <v>46059</v>
      </c>
      <c r="C410">
        <v>1414</v>
      </c>
      <c r="D410" s="1">
        <v>46059.333333333336</v>
      </c>
      <c r="E410">
        <v>2288.1657200395871</v>
      </c>
      <c r="F410">
        <v>485.56371750223485</v>
      </c>
      <c r="G410">
        <v>4263.8766207304334</v>
      </c>
      <c r="H410" s="1">
        <v>46053.333333333336</v>
      </c>
    </row>
    <row r="411" spans="1:8" x14ac:dyDescent="0.25">
      <c r="A411" s="7">
        <f>DATE(YEAR(m4_crossvalid[[#This Row],[cutoff]]),MONTH(m4_crossvalid[[#This Row],[cutoff]]),DAY(m4_crossvalid[[#This Row],[cutoff]]))</f>
        <v>46053</v>
      </c>
      <c r="B411" s="7">
        <f>DATE(YEAR(m4_crossvalid[[#This Row],[ds]]),MONTH(m4_crossvalid[[#This Row],[ds]]),DAY(m4_crossvalid[[#This Row],[ds]]))</f>
        <v>46060</v>
      </c>
      <c r="C411">
        <v>286</v>
      </c>
      <c r="D411" s="1">
        <v>46060.333333333336</v>
      </c>
      <c r="E411">
        <v>12.868688089693933</v>
      </c>
      <c r="F411">
        <v>-1872.7656984774956</v>
      </c>
      <c r="G411">
        <v>1951.977975338755</v>
      </c>
      <c r="H411" s="1">
        <v>46053.333333333336</v>
      </c>
    </row>
    <row r="412" spans="1:8" x14ac:dyDescent="0.25">
      <c r="A412" s="7">
        <f>DATE(YEAR(m4_crossvalid[[#This Row],[cutoff]]),MONTH(m4_crossvalid[[#This Row],[cutoff]]),DAY(m4_crossvalid[[#This Row],[cutoff]]))</f>
        <v>46053</v>
      </c>
      <c r="B412" s="7">
        <f>DATE(YEAR(m4_crossvalid[[#This Row],[ds]]),MONTH(m4_crossvalid[[#This Row],[ds]]),DAY(m4_crossvalid[[#This Row],[ds]]))</f>
        <v>46061</v>
      </c>
      <c r="C412">
        <v>82</v>
      </c>
      <c r="D412" s="1">
        <v>46061.333333333336</v>
      </c>
      <c r="E412">
        <v>-704.94706065995842</v>
      </c>
      <c r="F412">
        <v>-2689.8405026526216</v>
      </c>
      <c r="G412">
        <v>1203.964435089918</v>
      </c>
      <c r="H412" s="1">
        <v>46053.333333333336</v>
      </c>
    </row>
    <row r="413" spans="1:8" x14ac:dyDescent="0.25">
      <c r="A413" s="7">
        <f>DATE(YEAR(m4_crossvalid[[#This Row],[cutoff]]),MONTH(m4_crossvalid[[#This Row],[cutoff]]),DAY(m4_crossvalid[[#This Row],[cutoff]]))</f>
        <v>46053</v>
      </c>
      <c r="B413" s="7">
        <f>DATE(YEAR(m4_crossvalid[[#This Row],[ds]]),MONTH(m4_crossvalid[[#This Row],[ds]]),DAY(m4_crossvalid[[#This Row],[ds]]))</f>
        <v>46062</v>
      </c>
      <c r="C413">
        <v>1902</v>
      </c>
      <c r="D413" s="1">
        <v>46062.333333333336</v>
      </c>
      <c r="E413">
        <v>1793.7758824040318</v>
      </c>
      <c r="F413">
        <v>-97.335298928180009</v>
      </c>
      <c r="G413">
        <v>3613.2094924763778</v>
      </c>
      <c r="H413" s="1">
        <v>46053.333333333336</v>
      </c>
    </row>
    <row r="414" spans="1:8" x14ac:dyDescent="0.25">
      <c r="A414" s="7">
        <f>DATE(YEAR(m4_crossvalid[[#This Row],[cutoff]]),MONTH(m4_crossvalid[[#This Row],[cutoff]]),DAY(m4_crossvalid[[#This Row],[cutoff]]))</f>
        <v>46053</v>
      </c>
      <c r="B414" s="7">
        <f>DATE(YEAR(m4_crossvalid[[#This Row],[ds]]),MONTH(m4_crossvalid[[#This Row],[ds]]),DAY(m4_crossvalid[[#This Row],[ds]]))</f>
        <v>46063</v>
      </c>
      <c r="C414">
        <v>2288</v>
      </c>
      <c r="D414" s="1">
        <v>46063.333333333336</v>
      </c>
      <c r="E414">
        <v>2311.5930318168057</v>
      </c>
      <c r="F414">
        <v>463.35385428437587</v>
      </c>
      <c r="G414">
        <v>4224.0147162108751</v>
      </c>
      <c r="H414" s="1">
        <v>46053.333333333336</v>
      </c>
    </row>
    <row r="415" spans="1:8" x14ac:dyDescent="0.25">
      <c r="A415" s="7">
        <f>DATE(YEAR(m4_crossvalid[[#This Row],[cutoff]]),MONTH(m4_crossvalid[[#This Row],[cutoff]]),DAY(m4_crossvalid[[#This Row],[cutoff]]))</f>
        <v>46053</v>
      </c>
      <c r="B415" s="7">
        <f>DATE(YEAR(m4_crossvalid[[#This Row],[ds]]),MONTH(m4_crossvalid[[#This Row],[ds]]),DAY(m4_crossvalid[[#This Row],[ds]]))</f>
        <v>46064</v>
      </c>
      <c r="C415">
        <v>2663</v>
      </c>
      <c r="D415" s="1">
        <v>46064.333333333336</v>
      </c>
      <c r="E415">
        <v>2694.3609418660913</v>
      </c>
      <c r="F415">
        <v>748.53725013786777</v>
      </c>
      <c r="G415">
        <v>4550.7128873969277</v>
      </c>
      <c r="H415" s="1">
        <v>46053.333333333336</v>
      </c>
    </row>
    <row r="416" spans="1:8" x14ac:dyDescent="0.25">
      <c r="A416" s="7">
        <f>DATE(YEAR(m4_crossvalid[[#This Row],[cutoff]]),MONTH(m4_crossvalid[[#This Row],[cutoff]]),DAY(m4_crossvalid[[#This Row],[cutoff]]))</f>
        <v>46053</v>
      </c>
      <c r="B416" s="7">
        <f>DATE(YEAR(m4_crossvalid[[#This Row],[ds]]),MONTH(m4_crossvalid[[#This Row],[ds]]),DAY(m4_crossvalid[[#This Row],[ds]]))</f>
        <v>46065</v>
      </c>
      <c r="C416">
        <v>3108</v>
      </c>
      <c r="D416" s="1">
        <v>46065.333333333336</v>
      </c>
      <c r="E416">
        <v>2817.1872262448919</v>
      </c>
      <c r="F416">
        <v>841.2693548072557</v>
      </c>
      <c r="G416">
        <v>4605.0644474699066</v>
      </c>
      <c r="H416" s="1">
        <v>46053.333333333336</v>
      </c>
    </row>
    <row r="417" spans="1:8" x14ac:dyDescent="0.25">
      <c r="A417" s="7">
        <f>DATE(YEAR(m4_crossvalid[[#This Row],[cutoff]]),MONTH(m4_crossvalid[[#This Row],[cutoff]]),DAY(m4_crossvalid[[#This Row],[cutoff]]))</f>
        <v>46053</v>
      </c>
      <c r="B417" s="7">
        <f>DATE(YEAR(m4_crossvalid[[#This Row],[ds]]),MONTH(m4_crossvalid[[#This Row],[ds]]),DAY(m4_crossvalid[[#This Row],[ds]]))</f>
        <v>46066</v>
      </c>
      <c r="C417">
        <v>3172</v>
      </c>
      <c r="D417" s="1">
        <v>46066.333333333336</v>
      </c>
      <c r="E417">
        <v>2694.8975266304342</v>
      </c>
      <c r="F417">
        <v>754.9374888143725</v>
      </c>
      <c r="G417">
        <v>4545.5086019352575</v>
      </c>
      <c r="H417" s="1">
        <v>46053.333333333336</v>
      </c>
    </row>
    <row r="418" spans="1:8" x14ac:dyDescent="0.25">
      <c r="A418" s="7">
        <f>DATE(YEAR(m4_crossvalid[[#This Row],[cutoff]]),MONTH(m4_crossvalid[[#This Row],[cutoff]]),DAY(m4_crossvalid[[#This Row],[cutoff]]))</f>
        <v>46053</v>
      </c>
      <c r="B418" s="7">
        <f>DATE(YEAR(m4_crossvalid[[#This Row],[ds]]),MONTH(m4_crossvalid[[#This Row],[ds]]),DAY(m4_crossvalid[[#This Row],[ds]]))</f>
        <v>46067</v>
      </c>
      <c r="C418">
        <v>913</v>
      </c>
      <c r="D418" s="1">
        <v>46067.333333333336</v>
      </c>
      <c r="E418">
        <v>277.70399145596593</v>
      </c>
      <c r="F418">
        <v>-1705.1596644274973</v>
      </c>
      <c r="G418">
        <v>2128.1946470951079</v>
      </c>
      <c r="H418" s="1">
        <v>46053.333333333336</v>
      </c>
    </row>
    <row r="419" spans="1:8" x14ac:dyDescent="0.25">
      <c r="A419" s="7">
        <f>DATE(YEAR(m4_crossvalid[[#This Row],[cutoff]]),MONTH(m4_crossvalid[[#This Row],[cutoff]]),DAY(m4_crossvalid[[#This Row],[cutoff]]))</f>
        <v>46053</v>
      </c>
      <c r="B419" s="7">
        <f>DATE(YEAR(m4_crossvalid[[#This Row],[ds]]),MONTH(m4_crossvalid[[#This Row],[ds]]),DAY(m4_crossvalid[[#This Row],[ds]]))</f>
        <v>46068</v>
      </c>
      <c r="C419">
        <v>208</v>
      </c>
      <c r="D419" s="1">
        <v>46068.333333333336</v>
      </c>
      <c r="E419">
        <v>-230.06494786672465</v>
      </c>
      <c r="F419">
        <v>-2004.0261967009462</v>
      </c>
      <c r="G419">
        <v>1550.3568451197877</v>
      </c>
      <c r="H419" s="1">
        <v>46053.333333333336</v>
      </c>
    </row>
    <row r="420" spans="1:8" x14ac:dyDescent="0.25">
      <c r="A420" s="7">
        <f>DATE(YEAR(m4_crossvalid[[#This Row],[cutoff]]),MONTH(m4_crossvalid[[#This Row],[cutoff]]),DAY(m4_crossvalid[[#This Row],[cutoff]]))</f>
        <v>46053</v>
      </c>
      <c r="B420" s="7">
        <f>DATE(YEAR(m4_crossvalid[[#This Row],[ds]]),MONTH(m4_crossvalid[[#This Row],[ds]]),DAY(m4_crossvalid[[#This Row],[ds]]))</f>
        <v>46069</v>
      </c>
      <c r="C420">
        <v>1728</v>
      </c>
      <c r="D420" s="1">
        <v>46069.333333333336</v>
      </c>
      <c r="E420">
        <v>2532.1426579609638</v>
      </c>
      <c r="F420">
        <v>683.62664225931326</v>
      </c>
      <c r="G420">
        <v>4493.647352884358</v>
      </c>
      <c r="H420" s="1">
        <v>46053.333333333336</v>
      </c>
    </row>
    <row r="421" spans="1:8" x14ac:dyDescent="0.25">
      <c r="A421" s="7">
        <f>DATE(YEAR(m4_crossvalid[[#This Row],[cutoff]]),MONTH(m4_crossvalid[[#This Row],[cutoff]]),DAY(m4_crossvalid[[#This Row],[cutoff]]))</f>
        <v>46053</v>
      </c>
      <c r="B421" s="7">
        <f>DATE(YEAR(m4_crossvalid[[#This Row],[ds]]),MONTH(m4_crossvalid[[#This Row],[ds]]),DAY(m4_crossvalid[[#This Row],[ds]]))</f>
        <v>46070</v>
      </c>
      <c r="C421">
        <v>27</v>
      </c>
      <c r="D421" s="1">
        <v>46070.333333333336</v>
      </c>
      <c r="E421">
        <v>619.45123119371442</v>
      </c>
      <c r="F421">
        <v>-1393.7698082361494</v>
      </c>
      <c r="G421">
        <v>2449.3837799126377</v>
      </c>
      <c r="H421" s="1">
        <v>46053.333333333336</v>
      </c>
    </row>
    <row r="422" spans="1:8" x14ac:dyDescent="0.25">
      <c r="A422" s="7">
        <f>DATE(YEAR(m4_crossvalid[[#This Row],[cutoff]]),MONTH(m4_crossvalid[[#This Row],[cutoff]]),DAY(m4_crossvalid[[#This Row],[cutoff]]))</f>
        <v>46053</v>
      </c>
      <c r="B422" s="7">
        <f>DATE(YEAR(m4_crossvalid[[#This Row],[ds]]),MONTH(m4_crossvalid[[#This Row],[ds]]),DAY(m4_crossvalid[[#This Row],[ds]]))</f>
        <v>46071</v>
      </c>
      <c r="C422">
        <v>21</v>
      </c>
      <c r="D422" s="1">
        <v>46071.333333333336</v>
      </c>
      <c r="E422">
        <v>712.18689878505347</v>
      </c>
      <c r="F422">
        <v>-1020.8668703692431</v>
      </c>
      <c r="G422">
        <v>2603.0974305087248</v>
      </c>
      <c r="H422" s="1">
        <v>46053.333333333336</v>
      </c>
    </row>
    <row r="423" spans="1:8" x14ac:dyDescent="0.25">
      <c r="A423" s="7">
        <f>DATE(YEAR(m4_crossvalid[[#This Row],[cutoff]]),MONTH(m4_crossvalid[[#This Row],[cutoff]]),DAY(m4_crossvalid[[#This Row],[cutoff]]))</f>
        <v>46053</v>
      </c>
      <c r="B423" s="7">
        <f>DATE(YEAR(m4_crossvalid[[#This Row],[ds]]),MONTH(m4_crossvalid[[#This Row],[ds]]),DAY(m4_crossvalid[[#This Row],[ds]]))</f>
        <v>46072</v>
      </c>
      <c r="C423">
        <v>1000</v>
      </c>
      <c r="D423" s="1">
        <v>46072.333333333336</v>
      </c>
      <c r="E423">
        <v>2974.7922387165013</v>
      </c>
      <c r="F423">
        <v>991.73932572482101</v>
      </c>
      <c r="G423">
        <v>4970.3223122536101</v>
      </c>
      <c r="H423" s="1">
        <v>46053.333333333336</v>
      </c>
    </row>
    <row r="424" spans="1:8" x14ac:dyDescent="0.25">
      <c r="A424" s="7">
        <f>DATE(YEAR(m4_crossvalid[[#This Row],[cutoff]]),MONTH(m4_crossvalid[[#This Row],[cutoff]]),DAY(m4_crossvalid[[#This Row],[cutoff]]))</f>
        <v>46053</v>
      </c>
      <c r="B424" s="7">
        <f>DATE(YEAR(m4_crossvalid[[#This Row],[ds]]),MONTH(m4_crossvalid[[#This Row],[ds]]),DAY(m4_crossvalid[[#This Row],[ds]]))</f>
        <v>46073</v>
      </c>
      <c r="C424">
        <v>1555</v>
      </c>
      <c r="D424" s="1">
        <v>46073.333333333336</v>
      </c>
      <c r="E424">
        <v>2863.8321621026271</v>
      </c>
      <c r="F424">
        <v>967.76683786215813</v>
      </c>
      <c r="G424">
        <v>4690.2347548830285</v>
      </c>
      <c r="H424" s="1">
        <v>46053.333333333336</v>
      </c>
    </row>
    <row r="425" spans="1:8" x14ac:dyDescent="0.25">
      <c r="A425" s="7">
        <f>DATE(YEAR(m4_crossvalid[[#This Row],[cutoff]]),MONTH(m4_crossvalid[[#This Row],[cutoff]]),DAY(m4_crossvalid[[#This Row],[cutoff]]))</f>
        <v>46053</v>
      </c>
      <c r="B425" s="7">
        <f>DATE(YEAR(m4_crossvalid[[#This Row],[ds]]),MONTH(m4_crossvalid[[#This Row],[ds]]),DAY(m4_crossvalid[[#This Row],[ds]]))</f>
        <v>46074</v>
      </c>
      <c r="C425">
        <v>492</v>
      </c>
      <c r="D425" s="1">
        <v>46074.333333333336</v>
      </c>
      <c r="E425">
        <v>754.12241772991752</v>
      </c>
      <c r="F425">
        <v>-1146.3668755562674</v>
      </c>
      <c r="G425">
        <v>2565.0649030013833</v>
      </c>
      <c r="H425" s="1">
        <v>46053.333333333336</v>
      </c>
    </row>
    <row r="426" spans="1:8" x14ac:dyDescent="0.25">
      <c r="A426" s="7">
        <f>DATE(YEAR(m4_crossvalid[[#This Row],[cutoff]]),MONTH(m4_crossvalid[[#This Row],[cutoff]]),DAY(m4_crossvalid[[#This Row],[cutoff]]))</f>
        <v>46053</v>
      </c>
      <c r="B426" s="7">
        <f>DATE(YEAR(m4_crossvalid[[#This Row],[ds]]),MONTH(m4_crossvalid[[#This Row],[ds]]),DAY(m4_crossvalid[[#This Row],[ds]]))</f>
        <v>46075</v>
      </c>
      <c r="C426">
        <v>159</v>
      </c>
      <c r="D426" s="1">
        <v>46075.333333333336</v>
      </c>
      <c r="E426">
        <v>554.16890808266771</v>
      </c>
      <c r="F426">
        <v>-1180.5306589643399</v>
      </c>
      <c r="G426">
        <v>2462.3674484592143</v>
      </c>
      <c r="H426" s="1">
        <v>46053.333333333336</v>
      </c>
    </row>
    <row r="427" spans="1:8" x14ac:dyDescent="0.25">
      <c r="A427" s="7">
        <f>DATE(YEAR(m4_crossvalid[[#This Row],[cutoff]]),MONTH(m4_crossvalid[[#This Row],[cutoff]]),DAY(m4_crossvalid[[#This Row],[cutoff]]))</f>
        <v>46053</v>
      </c>
      <c r="B427" s="7">
        <f>DATE(YEAR(m4_crossvalid[[#This Row],[ds]]),MONTH(m4_crossvalid[[#This Row],[ds]]),DAY(m4_crossvalid[[#This Row],[ds]]))</f>
        <v>46076</v>
      </c>
      <c r="C427">
        <v>2313</v>
      </c>
      <c r="D427" s="1">
        <v>46076.333333333336</v>
      </c>
      <c r="E427">
        <v>3344.3346406388946</v>
      </c>
      <c r="F427">
        <v>1492.3389144244784</v>
      </c>
      <c r="G427">
        <v>5191.4009479415672</v>
      </c>
      <c r="H427" s="1">
        <v>46053.333333333336</v>
      </c>
    </row>
    <row r="428" spans="1:8" x14ac:dyDescent="0.25">
      <c r="A428" s="7">
        <f>DATE(YEAR(m4_crossvalid[[#This Row],[cutoff]]),MONTH(m4_crossvalid[[#This Row],[cutoff]]),DAY(m4_crossvalid[[#This Row],[cutoff]]))</f>
        <v>46053</v>
      </c>
      <c r="B428" s="7">
        <f>DATE(YEAR(m4_crossvalid[[#This Row],[ds]]),MONTH(m4_crossvalid[[#This Row],[ds]]),DAY(m4_crossvalid[[#This Row],[ds]]))</f>
        <v>46077</v>
      </c>
      <c r="C428">
        <v>3081</v>
      </c>
      <c r="D428" s="1">
        <v>46077.333333333336</v>
      </c>
      <c r="E428">
        <v>3656.7001082930933</v>
      </c>
      <c r="F428">
        <v>1711.0302912793688</v>
      </c>
      <c r="G428">
        <v>5621.8779970293708</v>
      </c>
      <c r="H428" s="1">
        <v>46053.333333333336</v>
      </c>
    </row>
    <row r="429" spans="1:8" x14ac:dyDescent="0.25">
      <c r="A429" s="7">
        <f>DATE(YEAR(m4_crossvalid[[#This Row],[cutoff]]),MONTH(m4_crossvalid[[#This Row],[cutoff]]),DAY(m4_crossvalid[[#This Row],[cutoff]]))</f>
        <v>46053</v>
      </c>
      <c r="B429" s="7">
        <f>DATE(YEAR(m4_crossvalid[[#This Row],[ds]]),MONTH(m4_crossvalid[[#This Row],[ds]]),DAY(m4_crossvalid[[#This Row],[ds]]))</f>
        <v>46078</v>
      </c>
      <c r="C429">
        <v>4066</v>
      </c>
      <c r="D429" s="1">
        <v>46078.333333333336</v>
      </c>
      <c r="E429">
        <v>3702.1933385838411</v>
      </c>
      <c r="F429">
        <v>1957.4900042277625</v>
      </c>
      <c r="G429">
        <v>5528.6708696956821</v>
      </c>
      <c r="H429" s="1">
        <v>46053.333333333336</v>
      </c>
    </row>
    <row r="430" spans="1:8" x14ac:dyDescent="0.25">
      <c r="A430" s="7">
        <f>DATE(YEAR(m4_crossvalid[[#This Row],[cutoff]]),MONTH(m4_crossvalid[[#This Row],[cutoff]]),DAY(m4_crossvalid[[#This Row],[cutoff]]))</f>
        <v>46053</v>
      </c>
      <c r="B430" s="7">
        <f>DATE(YEAR(m4_crossvalid[[#This Row],[ds]]),MONTH(m4_crossvalid[[#This Row],[ds]]),DAY(m4_crossvalid[[#This Row],[ds]]))</f>
        <v>46079</v>
      </c>
      <c r="C430">
        <v>5569</v>
      </c>
      <c r="D430" s="1">
        <v>46079.333333333336</v>
      </c>
      <c r="E430">
        <v>4023.1016914991405</v>
      </c>
      <c r="F430">
        <v>2166.4751660314037</v>
      </c>
      <c r="G430">
        <v>5677.4112679357422</v>
      </c>
      <c r="H430" s="1">
        <v>46053.333333333336</v>
      </c>
    </row>
    <row r="431" spans="1:8" x14ac:dyDescent="0.25">
      <c r="A431" s="7">
        <f>DATE(YEAR(m4_crossvalid[[#This Row],[cutoff]]),MONTH(m4_crossvalid[[#This Row],[cutoff]]),DAY(m4_crossvalid[[#This Row],[cutoff]]))</f>
        <v>46053</v>
      </c>
      <c r="B431" s="7">
        <f>DATE(YEAR(m4_crossvalid[[#This Row],[ds]]),MONTH(m4_crossvalid[[#This Row],[ds]]),DAY(m4_crossvalid[[#This Row],[ds]]))</f>
        <v>46080</v>
      </c>
      <c r="C431">
        <v>8803</v>
      </c>
      <c r="D431" s="1">
        <v>46080.333333333336</v>
      </c>
      <c r="E431">
        <v>4918.3687632417477</v>
      </c>
      <c r="F431">
        <v>2971.4928606894523</v>
      </c>
      <c r="G431">
        <v>6802.4630194616921</v>
      </c>
      <c r="H431" s="1">
        <v>46053.333333333336</v>
      </c>
    </row>
    <row r="432" spans="1:8" x14ac:dyDescent="0.25">
      <c r="A432" s="7">
        <f>DATE(YEAR(m4_crossvalid[[#This Row],[cutoff]]),MONTH(m4_crossvalid[[#This Row],[cutoff]]),DAY(m4_crossvalid[[#This Row],[cutoff]]))</f>
        <v>46053</v>
      </c>
      <c r="B432" s="7">
        <f>DATE(YEAR(m4_crossvalid[[#This Row],[ds]]),MONTH(m4_crossvalid[[#This Row],[ds]]),DAY(m4_crossvalid[[#This Row],[ds]]))</f>
        <v>46081</v>
      </c>
      <c r="C432">
        <v>9425</v>
      </c>
      <c r="D432" s="1">
        <v>46081.333333333336</v>
      </c>
      <c r="E432">
        <v>3858.461089322825</v>
      </c>
      <c r="F432">
        <v>1902.1653726490531</v>
      </c>
      <c r="G432">
        <v>5702.471803530002</v>
      </c>
      <c r="H432" s="1">
        <v>46053.333333333336</v>
      </c>
    </row>
    <row r="433" spans="1:8" x14ac:dyDescent="0.25">
      <c r="A433" s="7">
        <f>DATE(YEAR(m4_crossvalid[[#This Row],[cutoff]]),MONTH(m4_crossvalid[[#This Row],[cutoff]]),DAY(m4_crossvalid[[#This Row],[cutoff]]))</f>
        <v>46053</v>
      </c>
      <c r="B433" s="7">
        <f>DATE(YEAR(m4_crossvalid[[#This Row],[ds]]),MONTH(m4_crossvalid[[#This Row],[ds]]),DAY(m4_crossvalid[[#This Row],[ds]]))</f>
        <v>46082</v>
      </c>
      <c r="C433">
        <v>40</v>
      </c>
      <c r="D433" s="1">
        <v>46082.333333333336</v>
      </c>
      <c r="E433">
        <v>4110.3840841749561</v>
      </c>
      <c r="F433">
        <v>2295.6087729456203</v>
      </c>
      <c r="G433">
        <v>5951.3263021570019</v>
      </c>
      <c r="H433" s="1">
        <v>46053.333333333336</v>
      </c>
    </row>
    <row r="434" spans="1:8" x14ac:dyDescent="0.25">
      <c r="A434" s="7">
        <f>DATE(YEAR(m4_crossvalid[[#This Row],[cutoff]]),MONTH(m4_crossvalid[[#This Row],[cutoff]]),DAY(m4_crossvalid[[#This Row],[cutoff]]))</f>
        <v>46053</v>
      </c>
      <c r="B434" s="7">
        <f>DATE(YEAR(m4_crossvalid[[#This Row],[ds]]),MONTH(m4_crossvalid[[#This Row],[ds]]),DAY(m4_crossvalid[[#This Row],[ds]]))</f>
        <v>46083</v>
      </c>
      <c r="C434">
        <v>617</v>
      </c>
      <c r="D434" s="1">
        <v>46083.333333333336</v>
      </c>
      <c r="E434">
        <v>6380.9028950601296</v>
      </c>
      <c r="F434">
        <v>4365.4251883311736</v>
      </c>
      <c r="G434">
        <v>8124.7973645815382</v>
      </c>
      <c r="H434" s="1">
        <v>46053.333333333336</v>
      </c>
    </row>
    <row r="435" spans="1:8" x14ac:dyDescent="0.25">
      <c r="A435" s="7">
        <f>DATE(YEAR(m4_crossvalid[[#This Row],[cutoff]]),MONTH(m4_crossvalid[[#This Row],[cutoff]]),DAY(m4_crossvalid[[#This Row],[cutoff]]))</f>
        <v>46053</v>
      </c>
      <c r="B435" s="7">
        <f>DATE(YEAR(m4_crossvalid[[#This Row],[ds]]),MONTH(m4_crossvalid[[#This Row],[ds]]),DAY(m4_crossvalid[[#This Row],[ds]]))</f>
        <v>46084</v>
      </c>
      <c r="C435">
        <v>799</v>
      </c>
      <c r="D435" s="1">
        <v>46084.333333333336</v>
      </c>
      <c r="E435">
        <v>5305.3655167509369</v>
      </c>
      <c r="F435">
        <v>3454.9906163411697</v>
      </c>
      <c r="G435">
        <v>7174.6657997690781</v>
      </c>
      <c r="H435" s="1">
        <v>46053.333333333336</v>
      </c>
    </row>
    <row r="436" spans="1:8" x14ac:dyDescent="0.25">
      <c r="A436" s="7">
        <f>DATE(YEAR(m4_crossvalid[[#This Row],[cutoff]]),MONTH(m4_crossvalid[[#This Row],[cutoff]]),DAY(m4_crossvalid[[#This Row],[cutoff]]))</f>
        <v>46081</v>
      </c>
      <c r="B436" s="7">
        <f>DATE(YEAR(m4_crossvalid[[#This Row],[ds]]),MONTH(m4_crossvalid[[#This Row],[ds]]),DAY(m4_crossvalid[[#This Row],[ds]]))</f>
        <v>46082</v>
      </c>
      <c r="C436">
        <v>40</v>
      </c>
      <c r="D436" s="1">
        <v>46082.333333333336</v>
      </c>
      <c r="E436">
        <v>4256.8322623765671</v>
      </c>
      <c r="F436">
        <v>2445.1068299433896</v>
      </c>
      <c r="G436">
        <v>6130.7663875889275</v>
      </c>
      <c r="H436" s="1">
        <v>46081.333333333336</v>
      </c>
    </row>
    <row r="437" spans="1:8" x14ac:dyDescent="0.25">
      <c r="A437" s="7">
        <f>DATE(YEAR(m4_crossvalid[[#This Row],[cutoff]]),MONTH(m4_crossvalid[[#This Row],[cutoff]]),DAY(m4_crossvalid[[#This Row],[cutoff]]))</f>
        <v>46081</v>
      </c>
      <c r="B437" s="7">
        <f>DATE(YEAR(m4_crossvalid[[#This Row],[ds]]),MONTH(m4_crossvalid[[#This Row],[ds]]),DAY(m4_crossvalid[[#This Row],[ds]]))</f>
        <v>46083</v>
      </c>
      <c r="C437">
        <v>617</v>
      </c>
      <c r="D437" s="1">
        <v>46083.333333333336</v>
      </c>
      <c r="E437">
        <v>6484.0939601983246</v>
      </c>
      <c r="F437">
        <v>4570.7404975122026</v>
      </c>
      <c r="G437">
        <v>8308.1130683379524</v>
      </c>
      <c r="H437" s="1">
        <v>46081.333333333336</v>
      </c>
    </row>
    <row r="438" spans="1:8" x14ac:dyDescent="0.25">
      <c r="A438" s="7">
        <f>DATE(YEAR(m4_crossvalid[[#This Row],[cutoff]]),MONTH(m4_crossvalid[[#This Row],[cutoff]]),DAY(m4_crossvalid[[#This Row],[cutoff]]))</f>
        <v>46081</v>
      </c>
      <c r="B438" s="7">
        <f>DATE(YEAR(m4_crossvalid[[#This Row],[ds]]),MONTH(m4_crossvalid[[#This Row],[ds]]),DAY(m4_crossvalid[[#This Row],[ds]]))</f>
        <v>46084</v>
      </c>
      <c r="C438">
        <v>799</v>
      </c>
      <c r="D438" s="1">
        <v>46084.333333333336</v>
      </c>
      <c r="E438">
        <v>5401.8675258766079</v>
      </c>
      <c r="F438">
        <v>3594.638425105119</v>
      </c>
      <c r="G438">
        <v>7188.5106283533878</v>
      </c>
      <c r="H438" s="1">
        <v>46081.333333333336</v>
      </c>
    </row>
    <row r="439" spans="1:8" x14ac:dyDescent="0.25">
      <c r="A439" s="7">
        <f>DATE(YEAR(m4_crossvalid[[#This Row],[cutoff]]),MONTH(m4_crossvalid[[#This Row],[cutoff]]),DAY(m4_crossvalid[[#This Row],[cutoff]]))</f>
        <v>46081</v>
      </c>
      <c r="B439" s="7">
        <f>DATE(YEAR(m4_crossvalid[[#This Row],[ds]]),MONTH(m4_crossvalid[[#This Row],[ds]]),DAY(m4_crossvalid[[#This Row],[ds]]))</f>
        <v>46085</v>
      </c>
      <c r="C439">
        <v>995</v>
      </c>
      <c r="D439" s="1">
        <v>46085.333333333336</v>
      </c>
      <c r="E439">
        <v>3625.7058363570277</v>
      </c>
      <c r="F439">
        <v>1604.5533938051938</v>
      </c>
      <c r="G439">
        <v>5576.4328292444279</v>
      </c>
      <c r="H439" s="1">
        <v>46081.333333333336</v>
      </c>
    </row>
    <row r="440" spans="1:8" x14ac:dyDescent="0.25">
      <c r="A440" s="7">
        <f>DATE(YEAR(m4_crossvalid[[#This Row],[cutoff]]),MONTH(m4_crossvalid[[#This Row],[cutoff]]),DAY(m4_crossvalid[[#This Row],[cutoff]]))</f>
        <v>46081</v>
      </c>
      <c r="B440" s="7">
        <f>DATE(YEAR(m4_crossvalid[[#This Row],[ds]]),MONTH(m4_crossvalid[[#This Row],[ds]]),DAY(m4_crossvalid[[#This Row],[ds]]))</f>
        <v>46086</v>
      </c>
      <c r="C440">
        <v>1314</v>
      </c>
      <c r="D440" s="1">
        <v>46086.333333333336</v>
      </c>
      <c r="E440">
        <v>2157.1007545714824</v>
      </c>
      <c r="F440">
        <v>411.4390462882904</v>
      </c>
      <c r="G440">
        <v>4239.7072888836092</v>
      </c>
      <c r="H440" s="1">
        <v>46081.333333333336</v>
      </c>
    </row>
    <row r="441" spans="1:8" x14ac:dyDescent="0.25">
      <c r="A441" s="7">
        <f>DATE(YEAR(m4_crossvalid[[#This Row],[cutoff]]),MONTH(m4_crossvalid[[#This Row],[cutoff]]),DAY(m4_crossvalid[[#This Row],[cutoff]]))</f>
        <v>46081</v>
      </c>
      <c r="B441" s="7">
        <f>DATE(YEAR(m4_crossvalid[[#This Row],[ds]]),MONTH(m4_crossvalid[[#This Row],[ds]]),DAY(m4_crossvalid[[#This Row],[ds]]))</f>
        <v>46087</v>
      </c>
      <c r="C441">
        <v>1617</v>
      </c>
      <c r="D441" s="1">
        <v>46087.333333333336</v>
      </c>
      <c r="E441">
        <v>1582.1002495981006</v>
      </c>
      <c r="F441">
        <v>-344.80670653955832</v>
      </c>
      <c r="G441">
        <v>3579.0421376405716</v>
      </c>
      <c r="H441" s="1">
        <v>46081.333333333336</v>
      </c>
    </row>
    <row r="442" spans="1:8" x14ac:dyDescent="0.25">
      <c r="A442" s="7">
        <f>DATE(YEAR(m4_crossvalid[[#This Row],[cutoff]]),MONTH(m4_crossvalid[[#This Row],[cutoff]]),DAY(m4_crossvalid[[#This Row],[cutoff]]))</f>
        <v>46081</v>
      </c>
      <c r="B442" s="7">
        <f>DATE(YEAR(m4_crossvalid[[#This Row],[ds]]),MONTH(m4_crossvalid[[#This Row],[ds]]),DAY(m4_crossvalid[[#This Row],[ds]]))</f>
        <v>46088</v>
      </c>
      <c r="C442">
        <v>220</v>
      </c>
      <c r="D442" s="1">
        <v>46088.333333333336</v>
      </c>
      <c r="E442">
        <v>-2295.675579826237</v>
      </c>
      <c r="F442">
        <v>-4338.3563240093472</v>
      </c>
      <c r="G442">
        <v>-526.78617365913351</v>
      </c>
      <c r="H442" s="1">
        <v>46081.333333333336</v>
      </c>
    </row>
    <row r="443" spans="1:8" x14ac:dyDescent="0.25">
      <c r="A443" s="7">
        <f>DATE(YEAR(m4_crossvalid[[#This Row],[cutoff]]),MONTH(m4_crossvalid[[#This Row],[cutoff]]),DAY(m4_crossvalid[[#This Row],[cutoff]]))</f>
        <v>46081</v>
      </c>
      <c r="B443" s="7">
        <f>DATE(YEAR(m4_crossvalid[[#This Row],[ds]]),MONTH(m4_crossvalid[[#This Row],[ds]]),DAY(m4_crossvalid[[#This Row],[ds]]))</f>
        <v>46089</v>
      </c>
      <c r="C443">
        <v>43</v>
      </c>
      <c r="D443" s="1">
        <v>46089.333333333336</v>
      </c>
      <c r="E443">
        <v>-616.40595925361686</v>
      </c>
      <c r="F443">
        <v>-2556.8523356334472</v>
      </c>
      <c r="G443">
        <v>1333.9817868476061</v>
      </c>
      <c r="H443" s="1">
        <v>46081.333333333336</v>
      </c>
    </row>
    <row r="444" spans="1:8" x14ac:dyDescent="0.25">
      <c r="A444" s="7">
        <f>DATE(YEAR(m4_crossvalid[[#This Row],[cutoff]]),MONTH(m4_crossvalid[[#This Row],[cutoff]]),DAY(m4_crossvalid[[#This Row],[cutoff]]))</f>
        <v>46081</v>
      </c>
      <c r="B444" s="7">
        <f>DATE(YEAR(m4_crossvalid[[#This Row],[ds]]),MONTH(m4_crossvalid[[#This Row],[ds]]),DAY(m4_crossvalid[[#This Row],[ds]]))</f>
        <v>46090</v>
      </c>
      <c r="C444">
        <v>1766</v>
      </c>
      <c r="D444" s="1">
        <v>46090.333333333336</v>
      </c>
      <c r="E444">
        <v>2114.4509753936736</v>
      </c>
      <c r="F444">
        <v>142.04823046058067</v>
      </c>
      <c r="G444">
        <v>3952.0904612827835</v>
      </c>
      <c r="H444" s="1">
        <v>46081.333333333336</v>
      </c>
    </row>
    <row r="445" spans="1:8" x14ac:dyDescent="0.25">
      <c r="A445" s="7">
        <f>DATE(YEAR(m4_crossvalid[[#This Row],[cutoff]]),MONTH(m4_crossvalid[[#This Row],[cutoff]]),DAY(m4_crossvalid[[#This Row],[cutoff]]))</f>
        <v>46081</v>
      </c>
      <c r="B445" s="7">
        <f>DATE(YEAR(m4_crossvalid[[#This Row],[ds]]),MONTH(m4_crossvalid[[#This Row],[ds]]),DAY(m4_crossvalid[[#This Row],[ds]]))</f>
        <v>46091</v>
      </c>
      <c r="C445">
        <v>2170</v>
      </c>
      <c r="D445" s="1">
        <v>46091.333333333336</v>
      </c>
      <c r="E445">
        <v>2363.5314675145896</v>
      </c>
      <c r="F445">
        <v>614.19815560974712</v>
      </c>
      <c r="G445">
        <v>4339.8375269310445</v>
      </c>
      <c r="H445" s="1">
        <v>46081.333333333336</v>
      </c>
    </row>
    <row r="446" spans="1:8" x14ac:dyDescent="0.25">
      <c r="A446" s="7">
        <f>DATE(YEAR(m4_crossvalid[[#This Row],[cutoff]]),MONTH(m4_crossvalid[[#This Row],[cutoff]]),DAY(m4_crossvalid[[#This Row],[cutoff]]))</f>
        <v>46081</v>
      </c>
      <c r="B446" s="7">
        <f>DATE(YEAR(m4_crossvalid[[#This Row],[ds]]),MONTH(m4_crossvalid[[#This Row],[ds]]),DAY(m4_crossvalid[[#This Row],[ds]]))</f>
        <v>46092</v>
      </c>
      <c r="C446">
        <v>2907</v>
      </c>
      <c r="D446" s="1">
        <v>46092.333333333336</v>
      </c>
      <c r="E446">
        <v>2375.8559894904956</v>
      </c>
      <c r="F446">
        <v>482.97592413125295</v>
      </c>
      <c r="G446">
        <v>4274.7334607882904</v>
      </c>
      <c r="H446" s="1">
        <v>46081.333333333336</v>
      </c>
    </row>
    <row r="447" spans="1:8" x14ac:dyDescent="0.25">
      <c r="A447" s="7">
        <f>DATE(YEAR(m4_crossvalid[[#This Row],[cutoff]]),MONTH(m4_crossvalid[[#This Row],[cutoff]]),DAY(m4_crossvalid[[#This Row],[cutoff]]))</f>
        <v>46081</v>
      </c>
      <c r="B447" s="7">
        <f>DATE(YEAR(m4_crossvalid[[#This Row],[ds]]),MONTH(m4_crossvalid[[#This Row],[ds]]),DAY(m4_crossvalid[[#This Row],[ds]]))</f>
        <v>46093</v>
      </c>
      <c r="C447">
        <v>3020</v>
      </c>
      <c r="D447" s="1">
        <v>46093.333333333336</v>
      </c>
      <c r="E447">
        <v>2520.4156627393695</v>
      </c>
      <c r="F447">
        <v>700.90567285693237</v>
      </c>
      <c r="G447">
        <v>4367.3136838257215</v>
      </c>
      <c r="H447" s="1">
        <v>46081.333333333336</v>
      </c>
    </row>
    <row r="448" spans="1:8" x14ac:dyDescent="0.25">
      <c r="A448" s="7">
        <f>DATE(YEAR(m4_crossvalid[[#This Row],[cutoff]]),MONTH(m4_crossvalid[[#This Row],[cutoff]]),DAY(m4_crossvalid[[#This Row],[cutoff]]))</f>
        <v>46081</v>
      </c>
      <c r="B448" s="7">
        <f>DATE(YEAR(m4_crossvalid[[#This Row],[ds]]),MONTH(m4_crossvalid[[#This Row],[ds]]),DAY(m4_crossvalid[[#This Row],[ds]]))</f>
        <v>46094</v>
      </c>
      <c r="C448">
        <v>3551</v>
      </c>
      <c r="D448" s="1">
        <v>46094.333333333336</v>
      </c>
      <c r="E448">
        <v>2838.5399025870893</v>
      </c>
      <c r="F448">
        <v>864.32071363190494</v>
      </c>
      <c r="G448">
        <v>4801.592103432059</v>
      </c>
      <c r="H448" s="1">
        <v>46081.333333333336</v>
      </c>
    </row>
    <row r="449" spans="1:8" x14ac:dyDescent="0.25">
      <c r="A449" s="7">
        <f>DATE(YEAR(m4_crossvalid[[#This Row],[cutoff]]),MONTH(m4_crossvalid[[#This Row],[cutoff]]),DAY(m4_crossvalid[[#This Row],[cutoff]]))</f>
        <v>46081</v>
      </c>
      <c r="B449" s="7">
        <f>DATE(YEAR(m4_crossvalid[[#This Row],[ds]]),MONTH(m4_crossvalid[[#This Row],[ds]]),DAY(m4_crossvalid[[#This Row],[ds]]))</f>
        <v>46095</v>
      </c>
      <c r="C449">
        <v>1088</v>
      </c>
      <c r="D449" s="1">
        <v>46095.333333333336</v>
      </c>
      <c r="E449">
        <v>844.1862448089214</v>
      </c>
      <c r="F449">
        <v>-958.76254339478771</v>
      </c>
      <c r="G449">
        <v>2720.2656425591463</v>
      </c>
      <c r="H449" s="1">
        <v>46081.333333333336</v>
      </c>
    </row>
    <row r="450" spans="1:8" x14ac:dyDescent="0.25">
      <c r="A450" s="7">
        <f>DATE(YEAR(m4_crossvalid[[#This Row],[cutoff]]),MONTH(m4_crossvalid[[#This Row],[cutoff]]),DAY(m4_crossvalid[[#This Row],[cutoff]]))</f>
        <v>46081</v>
      </c>
      <c r="B450" s="7">
        <f>DATE(YEAR(m4_crossvalid[[#This Row],[ds]]),MONTH(m4_crossvalid[[#This Row],[ds]]),DAY(m4_crossvalid[[#This Row],[ds]]))</f>
        <v>46096</v>
      </c>
      <c r="C450">
        <v>228</v>
      </c>
      <c r="D450" s="1">
        <v>46096.333333333336</v>
      </c>
      <c r="E450">
        <v>312.70288601658785</v>
      </c>
      <c r="F450">
        <v>-1551.0766064717257</v>
      </c>
      <c r="G450">
        <v>2213.8746442699467</v>
      </c>
      <c r="H450" s="1">
        <v>46081.333333333336</v>
      </c>
    </row>
    <row r="451" spans="1:8" x14ac:dyDescent="0.25">
      <c r="A451" s="7">
        <f>DATE(YEAR(m4_crossvalid[[#This Row],[cutoff]]),MONTH(m4_crossvalid[[#This Row],[cutoff]]),DAY(m4_crossvalid[[#This Row],[cutoff]]))</f>
        <v>46081</v>
      </c>
      <c r="B451" s="7">
        <f>DATE(YEAR(m4_crossvalid[[#This Row],[ds]]),MONTH(m4_crossvalid[[#This Row],[ds]]),DAY(m4_crossvalid[[#This Row],[ds]]))</f>
        <v>46097</v>
      </c>
      <c r="C451">
        <v>3950</v>
      </c>
      <c r="D451" s="1">
        <v>46097.333333333336</v>
      </c>
      <c r="E451">
        <v>2727.5472947017311</v>
      </c>
      <c r="F451">
        <v>601.38974821725162</v>
      </c>
      <c r="G451">
        <v>4508.9481099375398</v>
      </c>
      <c r="H451" s="1">
        <v>46081.333333333336</v>
      </c>
    </row>
    <row r="452" spans="1:8" x14ac:dyDescent="0.25">
      <c r="A452" s="7">
        <f>DATE(YEAR(m4_crossvalid[[#This Row],[cutoff]]),MONTH(m4_crossvalid[[#This Row],[cutoff]]),DAY(m4_crossvalid[[#This Row],[cutoff]]))</f>
        <v>46081</v>
      </c>
      <c r="B452" s="7">
        <f>DATE(YEAR(m4_crossvalid[[#This Row],[ds]]),MONTH(m4_crossvalid[[#This Row],[ds]]),DAY(m4_crossvalid[[#This Row],[ds]]))</f>
        <v>46098</v>
      </c>
      <c r="C452">
        <v>5807</v>
      </c>
      <c r="D452" s="1">
        <v>46098.333333333336</v>
      </c>
      <c r="E452">
        <v>3013.776098238965</v>
      </c>
      <c r="F452">
        <v>1162.9628238690893</v>
      </c>
      <c r="G452">
        <v>4869.2746047109704</v>
      </c>
      <c r="H452" s="1">
        <v>46081.333333333336</v>
      </c>
    </row>
    <row r="453" spans="1:8" x14ac:dyDescent="0.25">
      <c r="A453" s="7">
        <f>DATE(YEAR(m4_crossvalid[[#This Row],[cutoff]]),MONTH(m4_crossvalid[[#This Row],[cutoff]]),DAY(m4_crossvalid[[#This Row],[cutoff]]))</f>
        <v>46081</v>
      </c>
      <c r="B453" s="7">
        <f>DATE(YEAR(m4_crossvalid[[#This Row],[ds]]),MONTH(m4_crossvalid[[#This Row],[ds]]),DAY(m4_crossvalid[[#This Row],[ds]]))</f>
        <v>46099</v>
      </c>
      <c r="C453">
        <v>5295</v>
      </c>
      <c r="D453" s="1">
        <v>46099.333333333336</v>
      </c>
      <c r="E453">
        <v>3274.3616588539435</v>
      </c>
      <c r="F453">
        <v>1317.5221799086949</v>
      </c>
      <c r="G453">
        <v>5138.8516213868497</v>
      </c>
      <c r="H453" s="1">
        <v>46081.333333333336</v>
      </c>
    </row>
    <row r="454" spans="1:8" x14ac:dyDescent="0.25">
      <c r="A454" s="7">
        <f>DATE(YEAR(m4_crossvalid[[#This Row],[cutoff]]),MONTH(m4_crossvalid[[#This Row],[cutoff]]),DAY(m4_crossvalid[[#This Row],[cutoff]]))</f>
        <v>46081</v>
      </c>
      <c r="B454" s="7">
        <f>DATE(YEAR(m4_crossvalid[[#This Row],[ds]]),MONTH(m4_crossvalid[[#This Row],[ds]]),DAY(m4_crossvalid[[#This Row],[ds]]))</f>
        <v>46100</v>
      </c>
      <c r="C454">
        <v>3557</v>
      </c>
      <c r="D454" s="1">
        <v>46100.333333333336</v>
      </c>
      <c r="E454">
        <v>3530.4758743613652</v>
      </c>
      <c r="F454">
        <v>1584.7894545882818</v>
      </c>
      <c r="G454">
        <v>5363.3685542392504</v>
      </c>
      <c r="H454" s="1">
        <v>46081.333333333336</v>
      </c>
    </row>
    <row r="455" spans="1:8" x14ac:dyDescent="0.25">
      <c r="A455" s="7">
        <f>DATE(YEAR(m4_crossvalid[[#This Row],[cutoff]]),MONTH(m4_crossvalid[[#This Row],[cutoff]]),DAY(m4_crossvalid[[#This Row],[cutoff]]))</f>
        <v>46081</v>
      </c>
      <c r="B455" s="7">
        <f>DATE(YEAR(m4_crossvalid[[#This Row],[ds]]),MONTH(m4_crossvalid[[#This Row],[ds]]),DAY(m4_crossvalid[[#This Row],[ds]]))</f>
        <v>46101</v>
      </c>
      <c r="C455">
        <v>61</v>
      </c>
      <c r="D455" s="1">
        <v>46101.333333333336</v>
      </c>
      <c r="E455">
        <v>260.35331227689494</v>
      </c>
      <c r="F455">
        <v>-1594.5769863501291</v>
      </c>
      <c r="G455">
        <v>2246.6752063243366</v>
      </c>
      <c r="H455" s="1">
        <v>46081.333333333336</v>
      </c>
    </row>
    <row r="456" spans="1:8" x14ac:dyDescent="0.25">
      <c r="A456" s="7">
        <f>DATE(YEAR(m4_crossvalid[[#This Row],[cutoff]]),MONTH(m4_crossvalid[[#This Row],[cutoff]]),DAY(m4_crossvalid[[#This Row],[cutoff]]))</f>
        <v>46081</v>
      </c>
      <c r="B456" s="7">
        <f>DATE(YEAR(m4_crossvalid[[#This Row],[ds]]),MONTH(m4_crossvalid[[#This Row],[ds]]),DAY(m4_crossvalid[[#This Row],[ds]]))</f>
        <v>46102</v>
      </c>
      <c r="C456">
        <v>3</v>
      </c>
      <c r="D456" s="1">
        <v>46102.333333333336</v>
      </c>
      <c r="E456">
        <v>-2662.4263120724381</v>
      </c>
      <c r="F456">
        <v>-4504.4471285827403</v>
      </c>
      <c r="G456">
        <v>-753.62566203245387</v>
      </c>
      <c r="H456" s="1">
        <v>46081.333333333336</v>
      </c>
    </row>
    <row r="457" spans="1:8" x14ac:dyDescent="0.25">
      <c r="A457" s="7">
        <f>DATE(YEAR(m4_crossvalid[[#This Row],[cutoff]]),MONTH(m4_crossvalid[[#This Row],[cutoff]]),DAY(m4_crossvalid[[#This Row],[cutoff]]))</f>
        <v>46081</v>
      </c>
      <c r="B457" s="7">
        <f>DATE(YEAR(m4_crossvalid[[#This Row],[ds]]),MONTH(m4_crossvalid[[#This Row],[ds]]),DAY(m4_crossvalid[[#This Row],[ds]]))</f>
        <v>46103</v>
      </c>
      <c r="C457">
        <v>6</v>
      </c>
      <c r="D457" s="1">
        <v>46103.333333333336</v>
      </c>
      <c r="E457">
        <v>-4489.3438900260771</v>
      </c>
      <c r="F457">
        <v>-6403.563955807067</v>
      </c>
      <c r="G457">
        <v>-2595.7336641139186</v>
      </c>
      <c r="H457" s="1">
        <v>46081.333333333336</v>
      </c>
    </row>
    <row r="458" spans="1:8" x14ac:dyDescent="0.25">
      <c r="A458" s="7">
        <f>DATE(YEAR(m4_crossvalid[[#This Row],[cutoff]]),MONTH(m4_crossvalid[[#This Row],[cutoff]]),DAY(m4_crossvalid[[#This Row],[cutoff]]))</f>
        <v>46081</v>
      </c>
      <c r="B458" s="7">
        <f>DATE(YEAR(m4_crossvalid[[#This Row],[ds]]),MONTH(m4_crossvalid[[#This Row],[ds]]),DAY(m4_crossvalid[[#This Row],[ds]]))</f>
        <v>46104</v>
      </c>
      <c r="C458">
        <v>23</v>
      </c>
      <c r="D458" s="1">
        <v>46104.333333333336</v>
      </c>
      <c r="E458">
        <v>-2198.723240231885</v>
      </c>
      <c r="F458">
        <v>-4094.4292222060258</v>
      </c>
      <c r="G458">
        <v>-355.64763564571899</v>
      </c>
      <c r="H458" s="1">
        <v>46081.333333333336</v>
      </c>
    </row>
    <row r="459" spans="1:8" x14ac:dyDescent="0.25">
      <c r="A459" s="7">
        <f>DATE(YEAR(m4_crossvalid[[#This Row],[cutoff]]),MONTH(m4_crossvalid[[#This Row],[cutoff]]),DAY(m4_crossvalid[[#This Row],[cutoff]]))</f>
        <v>46081</v>
      </c>
      <c r="B459" s="7">
        <f>DATE(YEAR(m4_crossvalid[[#This Row],[ds]]),MONTH(m4_crossvalid[[#This Row],[ds]]),DAY(m4_crossvalid[[#This Row],[ds]]))</f>
        <v>46105</v>
      </c>
      <c r="C459">
        <v>974</v>
      </c>
      <c r="D459" s="1">
        <v>46105.333333333336</v>
      </c>
      <c r="E459">
        <v>1449.4715177495937</v>
      </c>
      <c r="F459">
        <v>-428.87486984139406</v>
      </c>
      <c r="G459">
        <v>3283.6918225663189</v>
      </c>
      <c r="H459" s="1">
        <v>46081.333333333336</v>
      </c>
    </row>
    <row r="460" spans="1:8" x14ac:dyDescent="0.25">
      <c r="A460" s="7">
        <f>DATE(YEAR(m4_crossvalid[[#This Row],[cutoff]]),MONTH(m4_crossvalid[[#This Row],[cutoff]]),DAY(m4_crossvalid[[#This Row],[cutoff]]))</f>
        <v>46081</v>
      </c>
      <c r="B460" s="7">
        <f>DATE(YEAR(m4_crossvalid[[#This Row],[ds]]),MONTH(m4_crossvalid[[#This Row],[ds]]),DAY(m4_crossvalid[[#This Row],[ds]]))</f>
        <v>46106</v>
      </c>
      <c r="C460">
        <v>1752</v>
      </c>
      <c r="D460" s="1">
        <v>46106.333333333336</v>
      </c>
      <c r="E460">
        <v>2535.9996123351339</v>
      </c>
      <c r="F460">
        <v>624.81750769109976</v>
      </c>
      <c r="G460">
        <v>4301.1909980196624</v>
      </c>
      <c r="H460" s="1">
        <v>46081.333333333336</v>
      </c>
    </row>
    <row r="461" spans="1:8" x14ac:dyDescent="0.25">
      <c r="A461" s="7">
        <f>DATE(YEAR(m4_crossvalid[[#This Row],[cutoff]]),MONTH(m4_crossvalid[[#This Row],[cutoff]]),DAY(m4_crossvalid[[#This Row],[cutoff]]))</f>
        <v>46081</v>
      </c>
      <c r="B461" s="7">
        <f>DATE(YEAR(m4_crossvalid[[#This Row],[ds]]),MONTH(m4_crossvalid[[#This Row],[ds]]),DAY(m4_crossvalid[[#This Row],[ds]]))</f>
        <v>46107</v>
      </c>
      <c r="C461">
        <v>2884</v>
      </c>
      <c r="D461" s="1">
        <v>46107.333333333336</v>
      </c>
      <c r="E461">
        <v>3616.4723408657928</v>
      </c>
      <c r="F461">
        <v>1478.0723827667832</v>
      </c>
      <c r="G461">
        <v>5432.9811949312607</v>
      </c>
      <c r="H461" s="1">
        <v>46081.333333333336</v>
      </c>
    </row>
    <row r="462" spans="1:8" x14ac:dyDescent="0.25">
      <c r="A462" s="7">
        <f>DATE(YEAR(m4_crossvalid[[#This Row],[cutoff]]),MONTH(m4_crossvalid[[#This Row],[cutoff]]),DAY(m4_crossvalid[[#This Row],[cutoff]]))</f>
        <v>46081</v>
      </c>
      <c r="B462" s="7">
        <f>DATE(YEAR(m4_crossvalid[[#This Row],[ds]]),MONTH(m4_crossvalid[[#This Row],[ds]]),DAY(m4_crossvalid[[#This Row],[ds]]))</f>
        <v>46108</v>
      </c>
      <c r="C462">
        <v>3597</v>
      </c>
      <c r="D462" s="1">
        <v>46108.333333333336</v>
      </c>
      <c r="E462">
        <v>2309.0845337156147</v>
      </c>
      <c r="F462">
        <v>492.32900450959698</v>
      </c>
      <c r="G462">
        <v>4229.0460073539853</v>
      </c>
      <c r="H462" s="1">
        <v>46081.333333333336</v>
      </c>
    </row>
    <row r="463" spans="1:8" x14ac:dyDescent="0.25">
      <c r="A463" s="7">
        <f>DATE(YEAR(m4_crossvalid[[#This Row],[cutoff]]),MONTH(m4_crossvalid[[#This Row],[cutoff]]),DAY(m4_crossvalid[[#This Row],[cutoff]]))</f>
        <v>46081</v>
      </c>
      <c r="B463" s="7">
        <f>DATE(YEAR(m4_crossvalid[[#This Row],[ds]]),MONTH(m4_crossvalid[[#This Row],[ds]]),DAY(m4_crossvalid[[#This Row],[ds]]))</f>
        <v>46109</v>
      </c>
      <c r="C463">
        <v>1207</v>
      </c>
      <c r="D463" s="1">
        <v>46109.333333333336</v>
      </c>
      <c r="E463">
        <v>442.68559365306373</v>
      </c>
      <c r="F463">
        <v>-1411.6842729753</v>
      </c>
      <c r="G463">
        <v>2259.1472584959065</v>
      </c>
      <c r="H463" s="1">
        <v>46081.333333333336</v>
      </c>
    </row>
    <row r="464" spans="1:8" x14ac:dyDescent="0.25">
      <c r="A464" s="7">
        <f>DATE(YEAR(m4_crossvalid[[#This Row],[cutoff]]),MONTH(m4_crossvalid[[#This Row],[cutoff]]),DAY(m4_crossvalid[[#This Row],[cutoff]]))</f>
        <v>46081</v>
      </c>
      <c r="B464" s="7">
        <f>DATE(YEAR(m4_crossvalid[[#This Row],[ds]]),MONTH(m4_crossvalid[[#This Row],[ds]]),DAY(m4_crossvalid[[#This Row],[ds]]))</f>
        <v>46110</v>
      </c>
      <c r="C464">
        <v>183</v>
      </c>
      <c r="D464" s="1">
        <v>46110.333333333336</v>
      </c>
      <c r="E464">
        <v>343.94297319032103</v>
      </c>
      <c r="F464">
        <v>-1621.2927400891408</v>
      </c>
      <c r="G464">
        <v>2275.9105545125644</v>
      </c>
      <c r="H464" s="1">
        <v>46081.333333333336</v>
      </c>
    </row>
    <row r="465" spans="1:8" x14ac:dyDescent="0.25">
      <c r="A465" s="7">
        <f>DATE(YEAR(m4_crossvalid[[#This Row],[cutoff]]),MONTH(m4_crossvalid[[#This Row],[cutoff]]),DAY(m4_crossvalid[[#This Row],[cutoff]]))</f>
        <v>46081</v>
      </c>
      <c r="B465" s="7">
        <f>DATE(YEAR(m4_crossvalid[[#This Row],[ds]]),MONTH(m4_crossvalid[[#This Row],[ds]]),DAY(m4_crossvalid[[#This Row],[ds]]))</f>
        <v>46111</v>
      </c>
      <c r="C465">
        <v>4959</v>
      </c>
      <c r="D465" s="1">
        <v>46111.333333333336</v>
      </c>
      <c r="E465">
        <v>4085.4127814923477</v>
      </c>
      <c r="F465">
        <v>2262.6629663609629</v>
      </c>
      <c r="G465">
        <v>6095.770532879581</v>
      </c>
      <c r="H465" s="1">
        <v>46081.333333333336</v>
      </c>
    </row>
    <row r="466" spans="1:8" x14ac:dyDescent="0.25">
      <c r="A466" s="7">
        <f>DATE(YEAR(m4_crossvalid[[#This Row],[cutoff]]),MONTH(m4_crossvalid[[#This Row],[cutoff]]),DAY(m4_crossvalid[[#This Row],[cutoff]]))</f>
        <v>46081</v>
      </c>
      <c r="B466" s="7">
        <f>DATE(YEAR(m4_crossvalid[[#This Row],[ds]]),MONTH(m4_crossvalid[[#This Row],[ds]]),DAY(m4_crossvalid[[#This Row],[ds]]))</f>
        <v>46112</v>
      </c>
      <c r="C466">
        <v>13213</v>
      </c>
      <c r="D466" s="1">
        <v>46112.333333333336</v>
      </c>
      <c r="E466">
        <v>6920.2946946655393</v>
      </c>
      <c r="F466">
        <v>5109.9011902691354</v>
      </c>
      <c r="G466">
        <v>8822.9403423630447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B824-5356-483F-B1CB-86846F9487A8}">
  <dimension ref="A1:H466"/>
  <sheetViews>
    <sheetView workbookViewId="0"/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DATE(YEAR(m5_crossvalid[[#This Row],[cutoff]]),MONTH(m5_crossvalid[[#This Row],[cutoff]]),DAY(m5_crossvalid[[#This Row],[cutoff]]))</f>
        <v>45657</v>
      </c>
      <c r="B2" s="7">
        <f>DATE(YEAR(m5_crossvalid[[#This Row],[ds]]),MONTH(m5_crossvalid[[#This Row],[ds]]),DAY(m5_crossvalid[[#This Row],[ds]]))</f>
        <v>45658</v>
      </c>
      <c r="C2">
        <v>90</v>
      </c>
      <c r="D2" s="1">
        <v>45658.333333333336</v>
      </c>
      <c r="E2">
        <v>626.17119515970398</v>
      </c>
      <c r="F2">
        <v>-727.72301741432682</v>
      </c>
      <c r="G2">
        <v>2064.6673154751384</v>
      </c>
      <c r="H2" s="1">
        <v>45657.333333333336</v>
      </c>
    </row>
    <row r="3" spans="1:8" x14ac:dyDescent="0.25">
      <c r="A3" s="7">
        <f>DATE(YEAR(m5_crossvalid[[#This Row],[cutoff]]),MONTH(m5_crossvalid[[#This Row],[cutoff]]),DAY(m5_crossvalid[[#This Row],[cutoff]]))</f>
        <v>45657</v>
      </c>
      <c r="B3" s="7">
        <f>DATE(YEAR(m5_crossvalid[[#This Row],[ds]]),MONTH(m5_crossvalid[[#This Row],[ds]]),DAY(m5_crossvalid[[#This Row],[ds]]))</f>
        <v>45659</v>
      </c>
      <c r="C3">
        <v>541</v>
      </c>
      <c r="D3" s="1">
        <v>45659.333333333336</v>
      </c>
      <c r="E3">
        <v>1722.9509703269357</v>
      </c>
      <c r="F3">
        <v>262.20245489455675</v>
      </c>
      <c r="G3">
        <v>3028.2629543047751</v>
      </c>
      <c r="H3" s="1">
        <v>45657.333333333336</v>
      </c>
    </row>
    <row r="4" spans="1:8" x14ac:dyDescent="0.25">
      <c r="A4" s="7">
        <f>DATE(YEAR(m5_crossvalid[[#This Row],[cutoff]]),MONTH(m5_crossvalid[[#This Row],[cutoff]]),DAY(m5_crossvalid[[#This Row],[cutoff]]))</f>
        <v>45657</v>
      </c>
      <c r="B4" s="7">
        <f>DATE(YEAR(m5_crossvalid[[#This Row],[ds]]),MONTH(m5_crossvalid[[#This Row],[ds]]),DAY(m5_crossvalid[[#This Row],[ds]]))</f>
        <v>45660</v>
      </c>
      <c r="C4">
        <v>563</v>
      </c>
      <c r="D4" s="1">
        <v>45660.333333333336</v>
      </c>
      <c r="E4">
        <v>1709.7860715975357</v>
      </c>
      <c r="F4">
        <v>255.28508469193244</v>
      </c>
      <c r="G4">
        <v>3019.7327853318698</v>
      </c>
      <c r="H4" s="1">
        <v>45657.333333333336</v>
      </c>
    </row>
    <row r="5" spans="1:8" x14ac:dyDescent="0.25">
      <c r="A5" s="7">
        <f>DATE(YEAR(m5_crossvalid[[#This Row],[cutoff]]),MONTH(m5_crossvalid[[#This Row],[cutoff]]),DAY(m5_crossvalid[[#This Row],[cutoff]]))</f>
        <v>45657</v>
      </c>
      <c r="B5" s="7">
        <f>DATE(YEAR(m5_crossvalid[[#This Row],[ds]]),MONTH(m5_crossvalid[[#This Row],[ds]]),DAY(m5_crossvalid[[#This Row],[ds]]))</f>
        <v>45661</v>
      </c>
      <c r="C5">
        <v>42</v>
      </c>
      <c r="D5" s="1">
        <v>45661.333333333336</v>
      </c>
      <c r="E5">
        <v>-504.15326703289338</v>
      </c>
      <c r="F5">
        <v>-1875.1649735916862</v>
      </c>
      <c r="G5">
        <v>866.15828131183991</v>
      </c>
      <c r="H5" s="1">
        <v>45657.333333333336</v>
      </c>
    </row>
    <row r="6" spans="1:8" x14ac:dyDescent="0.25">
      <c r="A6" s="7">
        <f>DATE(YEAR(m5_crossvalid[[#This Row],[cutoff]]),MONTH(m5_crossvalid[[#This Row],[cutoff]]),DAY(m5_crossvalid[[#This Row],[cutoff]]))</f>
        <v>45657</v>
      </c>
      <c r="B6" s="7">
        <f>DATE(YEAR(m5_crossvalid[[#This Row],[ds]]),MONTH(m5_crossvalid[[#This Row],[ds]]),DAY(m5_crossvalid[[#This Row],[ds]]))</f>
        <v>45662</v>
      </c>
      <c r="C6">
        <v>22</v>
      </c>
      <c r="D6" s="1">
        <v>45662.333333333336</v>
      </c>
      <c r="E6">
        <v>-980.11061354204139</v>
      </c>
      <c r="F6">
        <v>-2309.015676217181</v>
      </c>
      <c r="G6">
        <v>426.56149513479448</v>
      </c>
      <c r="H6" s="1">
        <v>45657.333333333336</v>
      </c>
    </row>
    <row r="7" spans="1:8" x14ac:dyDescent="0.25">
      <c r="A7" s="7">
        <f>DATE(YEAR(m5_crossvalid[[#This Row],[cutoff]]),MONTH(m5_crossvalid[[#This Row],[cutoff]]),DAY(m5_crossvalid[[#This Row],[cutoff]]))</f>
        <v>45657</v>
      </c>
      <c r="B7" s="7">
        <f>DATE(YEAR(m5_crossvalid[[#This Row],[ds]]),MONTH(m5_crossvalid[[#This Row],[ds]]),DAY(m5_crossvalid[[#This Row],[ds]]))</f>
        <v>45663</v>
      </c>
      <c r="C7">
        <v>533</v>
      </c>
      <c r="D7" s="1">
        <v>45663.333333333336</v>
      </c>
      <c r="E7">
        <v>1412.4698336401934</v>
      </c>
      <c r="F7">
        <v>-46.060926867044316</v>
      </c>
      <c r="G7">
        <v>2694.3340205609679</v>
      </c>
      <c r="H7" s="1">
        <v>45657.333333333336</v>
      </c>
    </row>
    <row r="8" spans="1:8" x14ac:dyDescent="0.25">
      <c r="A8" s="7">
        <f>DATE(YEAR(m5_crossvalid[[#This Row],[cutoff]]),MONTH(m5_crossvalid[[#This Row],[cutoff]]),DAY(m5_crossvalid[[#This Row],[cutoff]]))</f>
        <v>45657</v>
      </c>
      <c r="B8" s="7">
        <f>DATE(YEAR(m5_crossvalid[[#This Row],[ds]]),MONTH(m5_crossvalid[[#This Row],[ds]]),DAY(m5_crossvalid[[#This Row],[ds]]))</f>
        <v>45664</v>
      </c>
      <c r="C8">
        <v>712</v>
      </c>
      <c r="D8" s="1">
        <v>45664.333333333336</v>
      </c>
      <c r="E8">
        <v>1549.947430779519</v>
      </c>
      <c r="F8">
        <v>188.39855837218272</v>
      </c>
      <c r="G8">
        <v>2974.0564626103146</v>
      </c>
      <c r="H8" s="1">
        <v>45657.333333333336</v>
      </c>
    </row>
    <row r="9" spans="1:8" x14ac:dyDescent="0.25">
      <c r="A9" s="7">
        <f>DATE(YEAR(m5_crossvalid[[#This Row],[cutoff]]),MONTH(m5_crossvalid[[#This Row],[cutoff]]),DAY(m5_crossvalid[[#This Row],[cutoff]]))</f>
        <v>45657</v>
      </c>
      <c r="B9" s="7">
        <f>DATE(YEAR(m5_crossvalid[[#This Row],[ds]]),MONTH(m5_crossvalid[[#This Row],[ds]]),DAY(m5_crossvalid[[#This Row],[ds]]))</f>
        <v>45665</v>
      </c>
      <c r="C9">
        <v>904</v>
      </c>
      <c r="D9" s="1">
        <v>45665.333333333336</v>
      </c>
      <c r="E9">
        <v>2144.3899426648163</v>
      </c>
      <c r="F9">
        <v>703.71031975376582</v>
      </c>
      <c r="G9">
        <v>3500.5212209775259</v>
      </c>
      <c r="H9" s="1">
        <v>45657.333333333336</v>
      </c>
    </row>
    <row r="10" spans="1:8" x14ac:dyDescent="0.25">
      <c r="A10" s="7">
        <f>DATE(YEAR(m5_crossvalid[[#This Row],[cutoff]]),MONTH(m5_crossvalid[[#This Row],[cutoff]]),DAY(m5_crossvalid[[#This Row],[cutoff]]))</f>
        <v>45657</v>
      </c>
      <c r="B10" s="7">
        <f>DATE(YEAR(m5_crossvalid[[#This Row],[ds]]),MONTH(m5_crossvalid[[#This Row],[ds]]),DAY(m5_crossvalid[[#This Row],[ds]]))</f>
        <v>45666</v>
      </c>
      <c r="C10">
        <v>1135</v>
      </c>
      <c r="D10" s="1">
        <v>45666.333333333336</v>
      </c>
      <c r="E10">
        <v>2038.5871180409897</v>
      </c>
      <c r="F10">
        <v>594.21949128027666</v>
      </c>
      <c r="G10">
        <v>3364.8635825053398</v>
      </c>
      <c r="H10" s="1">
        <v>45657.333333333336</v>
      </c>
    </row>
    <row r="11" spans="1:8" x14ac:dyDescent="0.25">
      <c r="A11" s="7">
        <f>DATE(YEAR(m5_crossvalid[[#This Row],[cutoff]]),MONTH(m5_crossvalid[[#This Row],[cutoff]]),DAY(m5_crossvalid[[#This Row],[cutoff]]))</f>
        <v>45657</v>
      </c>
      <c r="B11" s="7">
        <f>DATE(YEAR(m5_crossvalid[[#This Row],[ds]]),MONTH(m5_crossvalid[[#This Row],[ds]]),DAY(m5_crossvalid[[#This Row],[ds]]))</f>
        <v>45667</v>
      </c>
      <c r="C11">
        <v>1270</v>
      </c>
      <c r="D11" s="1">
        <v>45667.333333333336</v>
      </c>
      <c r="E11">
        <v>1918.1388688220895</v>
      </c>
      <c r="F11">
        <v>650.55324322161073</v>
      </c>
      <c r="G11">
        <v>3363.0933100140492</v>
      </c>
      <c r="H11" s="1">
        <v>45657.333333333336</v>
      </c>
    </row>
    <row r="12" spans="1:8" x14ac:dyDescent="0.25">
      <c r="A12" s="7">
        <f>DATE(YEAR(m5_crossvalid[[#This Row],[cutoff]]),MONTH(m5_crossvalid[[#This Row],[cutoff]]),DAY(m5_crossvalid[[#This Row],[cutoff]]))</f>
        <v>45657</v>
      </c>
      <c r="B12" s="7">
        <f>DATE(YEAR(m5_crossvalid[[#This Row],[ds]]),MONTH(m5_crossvalid[[#This Row],[ds]]),DAY(m5_crossvalid[[#This Row],[ds]]))</f>
        <v>45668</v>
      </c>
      <c r="C12">
        <v>203</v>
      </c>
      <c r="D12" s="1">
        <v>45668.333333333336</v>
      </c>
      <c r="E12">
        <v>-216.79882966917603</v>
      </c>
      <c r="F12">
        <v>-1537.0319346367944</v>
      </c>
      <c r="G12">
        <v>1051.8265743703848</v>
      </c>
      <c r="H12" s="1">
        <v>45657.333333333336</v>
      </c>
    </row>
    <row r="13" spans="1:8" x14ac:dyDescent="0.25">
      <c r="A13" s="7">
        <f>DATE(YEAR(m5_crossvalid[[#This Row],[cutoff]]),MONTH(m5_crossvalid[[#This Row],[cutoff]]),DAY(m5_crossvalid[[#This Row],[cutoff]]))</f>
        <v>45657</v>
      </c>
      <c r="B13" s="7">
        <f>DATE(YEAR(m5_crossvalid[[#This Row],[ds]]),MONTH(m5_crossvalid[[#This Row],[ds]]),DAY(m5_crossvalid[[#This Row],[ds]]))</f>
        <v>45669</v>
      </c>
      <c r="C13">
        <v>41</v>
      </c>
      <c r="D13" s="1">
        <v>45669.333333333336</v>
      </c>
      <c r="E13">
        <v>-685.67469314550999</v>
      </c>
      <c r="F13">
        <v>-2043.2201262683525</v>
      </c>
      <c r="G13">
        <v>746.11144967583505</v>
      </c>
      <c r="H13" s="1">
        <v>45657.333333333336</v>
      </c>
    </row>
    <row r="14" spans="1:8" x14ac:dyDescent="0.25">
      <c r="A14" s="7">
        <f>DATE(YEAR(m5_crossvalid[[#This Row],[cutoff]]),MONTH(m5_crossvalid[[#This Row],[cutoff]]),DAY(m5_crossvalid[[#This Row],[cutoff]]))</f>
        <v>45657</v>
      </c>
      <c r="B14" s="7">
        <f>DATE(YEAR(m5_crossvalid[[#This Row],[ds]]),MONTH(m5_crossvalid[[#This Row],[ds]]),DAY(m5_crossvalid[[#This Row],[ds]]))</f>
        <v>45670</v>
      </c>
      <c r="C14">
        <v>1313</v>
      </c>
      <c r="D14" s="1">
        <v>45670.333333333336</v>
      </c>
      <c r="E14">
        <v>1804.4582221777773</v>
      </c>
      <c r="F14">
        <v>433.74554677155049</v>
      </c>
      <c r="G14">
        <v>3126.3871684745418</v>
      </c>
      <c r="H14" s="1">
        <v>45657.333333333336</v>
      </c>
    </row>
    <row r="15" spans="1:8" x14ac:dyDescent="0.25">
      <c r="A15" s="7">
        <f>DATE(YEAR(m5_crossvalid[[#This Row],[cutoff]]),MONTH(m5_crossvalid[[#This Row],[cutoff]]),DAY(m5_crossvalid[[#This Row],[cutoff]]))</f>
        <v>45657</v>
      </c>
      <c r="B15" s="7">
        <f>DATE(YEAR(m5_crossvalid[[#This Row],[ds]]),MONTH(m5_crossvalid[[#This Row],[ds]]),DAY(m5_crossvalid[[#This Row],[ds]]))</f>
        <v>45671</v>
      </c>
      <c r="C15">
        <v>1609</v>
      </c>
      <c r="D15" s="1">
        <v>45671.333333333336</v>
      </c>
      <c r="E15">
        <v>2197.7051258812194</v>
      </c>
      <c r="F15">
        <v>835.04270455481162</v>
      </c>
      <c r="G15">
        <v>3643.855306506709</v>
      </c>
      <c r="H15" s="1">
        <v>45657.333333333336</v>
      </c>
    </row>
    <row r="16" spans="1:8" x14ac:dyDescent="0.25">
      <c r="A16" s="7">
        <f>DATE(YEAR(m5_crossvalid[[#This Row],[cutoff]]),MONTH(m5_crossvalid[[#This Row],[cutoff]]),DAY(m5_crossvalid[[#This Row],[cutoff]]))</f>
        <v>45657</v>
      </c>
      <c r="B16" s="7">
        <f>DATE(YEAR(m5_crossvalid[[#This Row],[ds]]),MONTH(m5_crossvalid[[#This Row],[ds]]),DAY(m5_crossvalid[[#This Row],[ds]]))</f>
        <v>45672</v>
      </c>
      <c r="C16">
        <v>2010</v>
      </c>
      <c r="D16" s="1">
        <v>45672.333333333336</v>
      </c>
      <c r="E16">
        <v>2387.322022331221</v>
      </c>
      <c r="F16">
        <v>1004.5005797559246</v>
      </c>
      <c r="G16">
        <v>3746.5198361340886</v>
      </c>
      <c r="H16" s="1">
        <v>45657.333333333336</v>
      </c>
    </row>
    <row r="17" spans="1:8" x14ac:dyDescent="0.25">
      <c r="A17" s="7">
        <f>DATE(YEAR(m5_crossvalid[[#This Row],[cutoff]]),MONTH(m5_crossvalid[[#This Row],[cutoff]]),DAY(m5_crossvalid[[#This Row],[cutoff]]))</f>
        <v>45657</v>
      </c>
      <c r="B17" s="7">
        <f>DATE(YEAR(m5_crossvalid[[#This Row],[ds]]),MONTH(m5_crossvalid[[#This Row],[ds]]),DAY(m5_crossvalid[[#This Row],[ds]]))</f>
        <v>45673</v>
      </c>
      <c r="C17">
        <v>2206</v>
      </c>
      <c r="D17" s="1">
        <v>45673.333333333336</v>
      </c>
      <c r="E17">
        <v>2535.6340092958303</v>
      </c>
      <c r="F17">
        <v>1199.0983353940405</v>
      </c>
      <c r="G17">
        <v>3905.2508139138804</v>
      </c>
      <c r="H17" s="1">
        <v>45657.333333333336</v>
      </c>
    </row>
    <row r="18" spans="1:8" x14ac:dyDescent="0.25">
      <c r="A18" s="7">
        <f>DATE(YEAR(m5_crossvalid[[#This Row],[cutoff]]),MONTH(m5_crossvalid[[#This Row],[cutoff]]),DAY(m5_crossvalid[[#This Row],[cutoff]]))</f>
        <v>45657</v>
      </c>
      <c r="B18" s="7">
        <f>DATE(YEAR(m5_crossvalid[[#This Row],[ds]]),MONTH(m5_crossvalid[[#This Row],[ds]]),DAY(m5_crossvalid[[#This Row],[ds]]))</f>
        <v>45674</v>
      </c>
      <c r="C18">
        <v>2291</v>
      </c>
      <c r="D18" s="1">
        <v>45674.333333333336</v>
      </c>
      <c r="E18">
        <v>2498.0142318113139</v>
      </c>
      <c r="F18">
        <v>1096.3584676397459</v>
      </c>
      <c r="G18">
        <v>3864.1507953696196</v>
      </c>
      <c r="H18" s="1">
        <v>45657.333333333336</v>
      </c>
    </row>
    <row r="19" spans="1:8" x14ac:dyDescent="0.25">
      <c r="A19" s="7">
        <f>DATE(YEAR(m5_crossvalid[[#This Row],[cutoff]]),MONTH(m5_crossvalid[[#This Row],[cutoff]]),DAY(m5_crossvalid[[#This Row],[cutoff]]))</f>
        <v>45657</v>
      </c>
      <c r="B19" s="7">
        <f>DATE(YEAR(m5_crossvalid[[#This Row],[ds]]),MONTH(m5_crossvalid[[#This Row],[ds]]),DAY(m5_crossvalid[[#This Row],[ds]]))</f>
        <v>45675</v>
      </c>
      <c r="C19">
        <v>401</v>
      </c>
      <c r="D19" s="1">
        <v>45675.333333333336</v>
      </c>
      <c r="E19">
        <v>319.12726053385791</v>
      </c>
      <c r="F19">
        <v>-1037.4079158196564</v>
      </c>
      <c r="G19">
        <v>1802.468520226261</v>
      </c>
      <c r="H19" s="1">
        <v>45657.333333333336</v>
      </c>
    </row>
    <row r="20" spans="1:8" x14ac:dyDescent="0.25">
      <c r="A20" s="7">
        <f>DATE(YEAR(m5_crossvalid[[#This Row],[cutoff]]),MONTH(m5_crossvalid[[#This Row],[cutoff]]),DAY(m5_crossvalid[[#This Row],[cutoff]]))</f>
        <v>45657</v>
      </c>
      <c r="B20" s="7">
        <f>DATE(YEAR(m5_crossvalid[[#This Row],[ds]]),MONTH(m5_crossvalid[[#This Row],[ds]]),DAY(m5_crossvalid[[#This Row],[ds]]))</f>
        <v>45676</v>
      </c>
      <c r="C20">
        <v>129</v>
      </c>
      <c r="D20" s="1">
        <v>45676.333333333336</v>
      </c>
      <c r="E20">
        <v>-189.76645889987049</v>
      </c>
      <c r="F20">
        <v>-1601.1740704514591</v>
      </c>
      <c r="G20">
        <v>1145.6109329751291</v>
      </c>
      <c r="H20" s="1">
        <v>45657.333333333336</v>
      </c>
    </row>
    <row r="21" spans="1:8" x14ac:dyDescent="0.25">
      <c r="A21" s="7">
        <f>DATE(YEAR(m5_crossvalid[[#This Row],[cutoff]]),MONTH(m5_crossvalid[[#This Row],[cutoff]]),DAY(m5_crossvalid[[#This Row],[cutoff]]))</f>
        <v>45657</v>
      </c>
      <c r="B21" s="7">
        <f>DATE(YEAR(m5_crossvalid[[#This Row],[ds]]),MONTH(m5_crossvalid[[#This Row],[ds]]),DAY(m5_crossvalid[[#This Row],[ds]]))</f>
        <v>45677</v>
      </c>
      <c r="C21">
        <v>2385</v>
      </c>
      <c r="D21" s="1">
        <v>45677.333333333336</v>
      </c>
      <c r="E21">
        <v>2357.324448812572</v>
      </c>
      <c r="F21">
        <v>962.6841500988819</v>
      </c>
      <c r="G21">
        <v>3618.6991472452055</v>
      </c>
      <c r="H21" s="1">
        <v>45657.333333333336</v>
      </c>
    </row>
    <row r="22" spans="1:8" x14ac:dyDescent="0.25">
      <c r="A22" s="7">
        <f>DATE(YEAR(m5_crossvalid[[#This Row],[cutoff]]),MONTH(m5_crossvalid[[#This Row],[cutoff]]),DAY(m5_crossvalid[[#This Row],[cutoff]]))</f>
        <v>45657</v>
      </c>
      <c r="B22" s="7">
        <f>DATE(YEAR(m5_crossvalid[[#This Row],[ds]]),MONTH(m5_crossvalid[[#This Row],[ds]]),DAY(m5_crossvalid[[#This Row],[ds]]))</f>
        <v>45678</v>
      </c>
      <c r="C22">
        <v>3051</v>
      </c>
      <c r="D22" s="1">
        <v>45678.333333333336</v>
      </c>
      <c r="E22">
        <v>2881.6285633153443</v>
      </c>
      <c r="F22">
        <v>1505.5258422209811</v>
      </c>
      <c r="G22">
        <v>4322.2353206472799</v>
      </c>
      <c r="H22" s="1">
        <v>45657.333333333336</v>
      </c>
    </row>
    <row r="23" spans="1:8" x14ac:dyDescent="0.25">
      <c r="A23" s="7">
        <f>DATE(YEAR(m5_crossvalid[[#This Row],[cutoff]]),MONTH(m5_crossvalid[[#This Row],[cutoff]]),DAY(m5_crossvalid[[#This Row],[cutoff]]))</f>
        <v>45657</v>
      </c>
      <c r="B23" s="7">
        <f>DATE(YEAR(m5_crossvalid[[#This Row],[ds]]),MONTH(m5_crossvalid[[#This Row],[ds]]),DAY(m5_crossvalid[[#This Row],[ds]]))</f>
        <v>45679</v>
      </c>
      <c r="C23">
        <v>2878</v>
      </c>
      <c r="D23" s="1">
        <v>45679.333333333336</v>
      </c>
      <c r="E23">
        <v>3175.950851508615</v>
      </c>
      <c r="F23">
        <v>1862.3318292455378</v>
      </c>
      <c r="G23">
        <v>4532.7503087376908</v>
      </c>
      <c r="H23" s="1">
        <v>45657.333333333336</v>
      </c>
    </row>
    <row r="24" spans="1:8" x14ac:dyDescent="0.25">
      <c r="A24" s="7">
        <f>DATE(YEAR(m5_crossvalid[[#This Row],[cutoff]]),MONTH(m5_crossvalid[[#This Row],[cutoff]]),DAY(m5_crossvalid[[#This Row],[cutoff]]))</f>
        <v>45657</v>
      </c>
      <c r="B24" s="7">
        <f>DATE(YEAR(m5_crossvalid[[#This Row],[ds]]),MONTH(m5_crossvalid[[#This Row],[ds]]),DAY(m5_crossvalid[[#This Row],[ds]]))</f>
        <v>45680</v>
      </c>
      <c r="C24">
        <v>4853</v>
      </c>
      <c r="D24" s="1">
        <v>45680.333333333336</v>
      </c>
      <c r="E24">
        <v>3336.9859183665594</v>
      </c>
      <c r="F24">
        <v>1959.4157653319476</v>
      </c>
      <c r="G24">
        <v>4674.420933022082</v>
      </c>
      <c r="H24" s="1">
        <v>45657.333333333336</v>
      </c>
    </row>
    <row r="25" spans="1:8" x14ac:dyDescent="0.25">
      <c r="A25" s="7">
        <f>DATE(YEAR(m5_crossvalid[[#This Row],[cutoff]]),MONTH(m5_crossvalid[[#This Row],[cutoff]]),DAY(m5_crossvalid[[#This Row],[cutoff]]))</f>
        <v>45657</v>
      </c>
      <c r="B25" s="7">
        <f>DATE(YEAR(m5_crossvalid[[#This Row],[ds]]),MONTH(m5_crossvalid[[#This Row],[ds]]),DAY(m5_crossvalid[[#This Row],[ds]]))</f>
        <v>45681</v>
      </c>
      <c r="C25">
        <v>5202</v>
      </c>
      <c r="D25" s="1">
        <v>45681.333333333336</v>
      </c>
      <c r="E25">
        <v>3262.3467590596274</v>
      </c>
      <c r="F25">
        <v>1837.2102901595881</v>
      </c>
      <c r="G25">
        <v>4629.9333619887439</v>
      </c>
      <c r="H25" s="1">
        <v>45657.333333333336</v>
      </c>
    </row>
    <row r="26" spans="1:8" x14ac:dyDescent="0.25">
      <c r="A26" s="7">
        <f>DATE(YEAR(m5_crossvalid[[#This Row],[cutoff]]),MONTH(m5_crossvalid[[#This Row],[cutoff]]),DAY(m5_crossvalid[[#This Row],[cutoff]]))</f>
        <v>45657</v>
      </c>
      <c r="B26" s="7">
        <f>DATE(YEAR(m5_crossvalid[[#This Row],[ds]]),MONTH(m5_crossvalid[[#This Row],[ds]]),DAY(m5_crossvalid[[#This Row],[ds]]))</f>
        <v>45682</v>
      </c>
      <c r="C26">
        <v>1624</v>
      </c>
      <c r="D26" s="1">
        <v>45682.333333333336</v>
      </c>
      <c r="E26">
        <v>1106.1957729398132</v>
      </c>
      <c r="F26">
        <v>-356.70365316832215</v>
      </c>
      <c r="G26">
        <v>2513.3249247349199</v>
      </c>
      <c r="H26" s="1">
        <v>45657.333333333336</v>
      </c>
    </row>
    <row r="27" spans="1:8" x14ac:dyDescent="0.25">
      <c r="A27" s="7">
        <f>DATE(YEAR(m5_crossvalid[[#This Row],[cutoff]]),MONTH(m5_crossvalid[[#This Row],[cutoff]]),DAY(m5_crossvalid[[#This Row],[cutoff]]))</f>
        <v>45657</v>
      </c>
      <c r="B27" s="7">
        <f>DATE(YEAR(m5_crossvalid[[#This Row],[ds]]),MONTH(m5_crossvalid[[#This Row],[ds]]),DAY(m5_crossvalid[[#This Row],[ds]]))</f>
        <v>45683</v>
      </c>
      <c r="C27">
        <v>454</v>
      </c>
      <c r="D27" s="1">
        <v>45683.333333333336</v>
      </c>
      <c r="E27">
        <v>738.75471262790438</v>
      </c>
      <c r="F27">
        <v>-744.53045386701888</v>
      </c>
      <c r="G27">
        <v>2071.5471452875317</v>
      </c>
      <c r="H27" s="1">
        <v>45657.333333333336</v>
      </c>
    </row>
    <row r="28" spans="1:8" x14ac:dyDescent="0.25">
      <c r="A28" s="7">
        <f>DATE(YEAR(m5_crossvalid[[#This Row],[cutoff]]),MONTH(m5_crossvalid[[#This Row],[cutoff]]),DAY(m5_crossvalid[[#This Row],[cutoff]]))</f>
        <v>45657</v>
      </c>
      <c r="B28" s="7">
        <f>DATE(YEAR(m5_crossvalid[[#This Row],[ds]]),MONTH(m5_crossvalid[[#This Row],[ds]]),DAY(m5_crossvalid[[#This Row],[ds]]))</f>
        <v>45684</v>
      </c>
      <c r="C28">
        <v>5598</v>
      </c>
      <c r="D28" s="1">
        <v>45684.333333333336</v>
      </c>
      <c r="E28">
        <v>4615.1477235097645</v>
      </c>
      <c r="F28">
        <v>3237.657658037765</v>
      </c>
      <c r="G28">
        <v>6034.1446889144709</v>
      </c>
      <c r="H28" s="1">
        <v>45657.333333333336</v>
      </c>
    </row>
    <row r="29" spans="1:8" x14ac:dyDescent="0.25">
      <c r="A29" s="7">
        <f>DATE(YEAR(m5_crossvalid[[#This Row],[cutoff]]),MONTH(m5_crossvalid[[#This Row],[cutoff]]),DAY(m5_crossvalid[[#This Row],[cutoff]]))</f>
        <v>45657</v>
      </c>
      <c r="B29" s="7">
        <f>DATE(YEAR(m5_crossvalid[[#This Row],[ds]]),MONTH(m5_crossvalid[[#This Row],[ds]]),DAY(m5_crossvalid[[#This Row],[ds]]))</f>
        <v>45685</v>
      </c>
      <c r="C29">
        <v>5264</v>
      </c>
      <c r="D29" s="1">
        <v>45685.333333333336</v>
      </c>
      <c r="E29">
        <v>5199.0105639762751</v>
      </c>
      <c r="F29">
        <v>3739.7455289309787</v>
      </c>
      <c r="G29">
        <v>6539.244626148723</v>
      </c>
      <c r="H29" s="1">
        <v>45657.333333333336</v>
      </c>
    </row>
    <row r="30" spans="1:8" x14ac:dyDescent="0.25">
      <c r="A30" s="7">
        <f>DATE(YEAR(m5_crossvalid[[#This Row],[cutoff]]),MONTH(m5_crossvalid[[#This Row],[cutoff]]),DAY(m5_crossvalid[[#This Row],[cutoff]]))</f>
        <v>45657</v>
      </c>
      <c r="B30" s="7">
        <f>DATE(YEAR(m5_crossvalid[[#This Row],[ds]]),MONTH(m5_crossvalid[[#This Row],[ds]]),DAY(m5_crossvalid[[#This Row],[ds]]))</f>
        <v>45686</v>
      </c>
      <c r="C30">
        <v>310</v>
      </c>
      <c r="D30" s="1">
        <v>45686.333333333336</v>
      </c>
      <c r="E30">
        <v>4209.1956979896358</v>
      </c>
      <c r="F30">
        <v>2972.7216478275964</v>
      </c>
      <c r="G30">
        <v>5529.3769961119842</v>
      </c>
      <c r="H30" s="1">
        <v>45657.333333333336</v>
      </c>
    </row>
    <row r="31" spans="1:8" x14ac:dyDescent="0.25">
      <c r="A31" s="7">
        <f>DATE(YEAR(m5_crossvalid[[#This Row],[cutoff]]),MONTH(m5_crossvalid[[#This Row],[cutoff]]),DAY(m5_crossvalid[[#This Row],[cutoff]]))</f>
        <v>45657</v>
      </c>
      <c r="B31" s="7">
        <f>DATE(YEAR(m5_crossvalid[[#This Row],[ds]]),MONTH(m5_crossvalid[[#This Row],[ds]]),DAY(m5_crossvalid[[#This Row],[ds]]))</f>
        <v>45687</v>
      </c>
      <c r="C31">
        <v>255</v>
      </c>
      <c r="D31" s="1">
        <v>45687.333333333336</v>
      </c>
      <c r="E31">
        <v>6108.1752450277672</v>
      </c>
      <c r="F31">
        <v>4695.425306850987</v>
      </c>
      <c r="G31">
        <v>7569.1520024638648</v>
      </c>
      <c r="H31" s="1">
        <v>45657.333333333336</v>
      </c>
    </row>
    <row r="32" spans="1:8" x14ac:dyDescent="0.25">
      <c r="A32" s="7">
        <f>DATE(YEAR(m5_crossvalid[[#This Row],[cutoff]]),MONTH(m5_crossvalid[[#This Row],[cutoff]]),DAY(m5_crossvalid[[#This Row],[cutoff]]))</f>
        <v>45657</v>
      </c>
      <c r="B32" s="7">
        <f>DATE(YEAR(m5_crossvalid[[#This Row],[ds]]),MONTH(m5_crossvalid[[#This Row],[ds]]),DAY(m5_crossvalid[[#This Row],[ds]]))</f>
        <v>45688</v>
      </c>
      <c r="C32">
        <v>6041</v>
      </c>
      <c r="D32" s="1">
        <v>45688.333333333336</v>
      </c>
      <c r="E32">
        <v>8348.9780484257863</v>
      </c>
      <c r="F32">
        <v>6912.1612870432373</v>
      </c>
      <c r="G32">
        <v>9789.4613240779818</v>
      </c>
      <c r="H32" s="1">
        <v>45657.333333333336</v>
      </c>
    </row>
    <row r="33" spans="1:8" x14ac:dyDescent="0.25">
      <c r="A33" s="7">
        <f>DATE(YEAR(m5_crossvalid[[#This Row],[cutoff]]),MONTH(m5_crossvalid[[#This Row],[cutoff]]),DAY(m5_crossvalid[[#This Row],[cutoff]]))</f>
        <v>45688</v>
      </c>
      <c r="B33" s="7">
        <f>DATE(YEAR(m5_crossvalid[[#This Row],[ds]]),MONTH(m5_crossvalid[[#This Row],[ds]]),DAY(m5_crossvalid[[#This Row],[ds]]))</f>
        <v>45689</v>
      </c>
      <c r="C33">
        <v>47</v>
      </c>
      <c r="D33" s="1">
        <v>45689.333333333336</v>
      </c>
      <c r="E33">
        <v>-2456.3513515828781</v>
      </c>
      <c r="F33">
        <v>-3774.5566757066645</v>
      </c>
      <c r="G33">
        <v>-1000.333342063859</v>
      </c>
      <c r="H33" s="1">
        <v>45688.333333333336</v>
      </c>
    </row>
    <row r="34" spans="1:8" x14ac:dyDescent="0.25">
      <c r="A34" s="7">
        <f>DATE(YEAR(m5_crossvalid[[#This Row],[cutoff]]),MONTH(m5_crossvalid[[#This Row],[cutoff]]),DAY(m5_crossvalid[[#This Row],[cutoff]]))</f>
        <v>45688</v>
      </c>
      <c r="B34" s="7">
        <f>DATE(YEAR(m5_crossvalid[[#This Row],[ds]]),MONTH(m5_crossvalid[[#This Row],[ds]]),DAY(m5_crossvalid[[#This Row],[ds]]))</f>
        <v>45690</v>
      </c>
      <c r="C34">
        <v>14</v>
      </c>
      <c r="D34" s="1">
        <v>45690.333333333336</v>
      </c>
      <c r="E34">
        <v>-1637.0338412149254</v>
      </c>
      <c r="F34">
        <v>-3023.0197729125011</v>
      </c>
      <c r="G34">
        <v>-291.36730383168515</v>
      </c>
      <c r="H34" s="1">
        <v>45688.333333333336</v>
      </c>
    </row>
    <row r="35" spans="1:8" x14ac:dyDescent="0.25">
      <c r="A35" s="7">
        <f>DATE(YEAR(m5_crossvalid[[#This Row],[cutoff]]),MONTH(m5_crossvalid[[#This Row],[cutoff]]),DAY(m5_crossvalid[[#This Row],[cutoff]]))</f>
        <v>45688</v>
      </c>
      <c r="B35" s="7">
        <f>DATE(YEAR(m5_crossvalid[[#This Row],[ds]]),MONTH(m5_crossvalid[[#This Row],[ds]]),DAY(m5_crossvalid[[#This Row],[ds]]))</f>
        <v>45691</v>
      </c>
      <c r="C35">
        <v>454</v>
      </c>
      <c r="D35" s="1">
        <v>45691.333333333336</v>
      </c>
      <c r="E35">
        <v>1124.5726458888532</v>
      </c>
      <c r="F35">
        <v>-234.19531758055822</v>
      </c>
      <c r="G35">
        <v>2432.1757531525159</v>
      </c>
      <c r="H35" s="1">
        <v>45688.333333333336</v>
      </c>
    </row>
    <row r="36" spans="1:8" x14ac:dyDescent="0.25">
      <c r="A36" s="7">
        <f>DATE(YEAR(m5_crossvalid[[#This Row],[cutoff]]),MONTH(m5_crossvalid[[#This Row],[cutoff]]),DAY(m5_crossvalid[[#This Row],[cutoff]]))</f>
        <v>45688</v>
      </c>
      <c r="B36" s="7">
        <f>DATE(YEAR(m5_crossvalid[[#This Row],[ds]]),MONTH(m5_crossvalid[[#This Row],[ds]]),DAY(m5_crossvalid[[#This Row],[ds]]))</f>
        <v>45692</v>
      </c>
      <c r="C36">
        <v>626</v>
      </c>
      <c r="D36" s="1">
        <v>45692.333333333336</v>
      </c>
      <c r="E36">
        <v>1614.0495608097117</v>
      </c>
      <c r="F36">
        <v>176.48962489528679</v>
      </c>
      <c r="G36">
        <v>2954.969362635929</v>
      </c>
      <c r="H36" s="1">
        <v>45688.333333333336</v>
      </c>
    </row>
    <row r="37" spans="1:8" x14ac:dyDescent="0.25">
      <c r="A37" s="7">
        <f>DATE(YEAR(m5_crossvalid[[#This Row],[cutoff]]),MONTH(m5_crossvalid[[#This Row],[cutoff]]),DAY(m5_crossvalid[[#This Row],[cutoff]]))</f>
        <v>45688</v>
      </c>
      <c r="B37" s="7">
        <f>DATE(YEAR(m5_crossvalid[[#This Row],[ds]]),MONTH(m5_crossvalid[[#This Row],[ds]]),DAY(m5_crossvalid[[#This Row],[ds]]))</f>
        <v>45693</v>
      </c>
      <c r="C37">
        <v>886</v>
      </c>
      <c r="D37" s="1">
        <v>45693.333333333336</v>
      </c>
      <c r="E37">
        <v>1693.0861542101948</v>
      </c>
      <c r="F37">
        <v>231.16473227682462</v>
      </c>
      <c r="G37">
        <v>3055.2449499611876</v>
      </c>
      <c r="H37" s="1">
        <v>45688.333333333336</v>
      </c>
    </row>
    <row r="38" spans="1:8" x14ac:dyDescent="0.25">
      <c r="A38" s="7">
        <f>DATE(YEAR(m5_crossvalid[[#This Row],[cutoff]]),MONTH(m5_crossvalid[[#This Row],[cutoff]]),DAY(m5_crossvalid[[#This Row],[cutoff]]))</f>
        <v>45688</v>
      </c>
      <c r="B38" s="7">
        <f>DATE(YEAR(m5_crossvalid[[#This Row],[ds]]),MONTH(m5_crossvalid[[#This Row],[ds]]),DAY(m5_crossvalid[[#This Row],[ds]]))</f>
        <v>45694</v>
      </c>
      <c r="C38">
        <v>1159</v>
      </c>
      <c r="D38" s="1">
        <v>45694.333333333336</v>
      </c>
      <c r="E38">
        <v>1551.7830848265862</v>
      </c>
      <c r="F38">
        <v>117.68924130453885</v>
      </c>
      <c r="G38">
        <v>3059.8175125347957</v>
      </c>
      <c r="H38" s="1">
        <v>45688.333333333336</v>
      </c>
    </row>
    <row r="39" spans="1:8" x14ac:dyDescent="0.25">
      <c r="A39" s="7">
        <f>DATE(YEAR(m5_crossvalid[[#This Row],[cutoff]]),MONTH(m5_crossvalid[[#This Row],[cutoff]]),DAY(m5_crossvalid[[#This Row],[cutoff]]))</f>
        <v>45688</v>
      </c>
      <c r="B39" s="7">
        <f>DATE(YEAR(m5_crossvalid[[#This Row],[ds]]),MONTH(m5_crossvalid[[#This Row],[ds]]),DAY(m5_crossvalid[[#This Row],[ds]]))</f>
        <v>45695</v>
      </c>
      <c r="C39">
        <v>1342</v>
      </c>
      <c r="D39" s="1">
        <v>45695.333333333336</v>
      </c>
      <c r="E39">
        <v>1247.8568071270579</v>
      </c>
      <c r="F39">
        <v>-275.20294328394993</v>
      </c>
      <c r="G39">
        <v>2683.4004609985359</v>
      </c>
      <c r="H39" s="1">
        <v>45688.333333333336</v>
      </c>
    </row>
    <row r="40" spans="1:8" x14ac:dyDescent="0.25">
      <c r="A40" s="7">
        <f>DATE(YEAR(m5_crossvalid[[#This Row],[cutoff]]),MONTH(m5_crossvalid[[#This Row],[cutoff]]),DAY(m5_crossvalid[[#This Row],[cutoff]]))</f>
        <v>45688</v>
      </c>
      <c r="B40" s="7">
        <f>DATE(YEAR(m5_crossvalid[[#This Row],[ds]]),MONTH(m5_crossvalid[[#This Row],[ds]]),DAY(m5_crossvalid[[#This Row],[ds]]))</f>
        <v>45696</v>
      </c>
      <c r="C40">
        <v>301</v>
      </c>
      <c r="D40" s="1">
        <v>45696.333333333336</v>
      </c>
      <c r="E40">
        <v>-290.84807757908357</v>
      </c>
      <c r="F40">
        <v>-1767.5928928221647</v>
      </c>
      <c r="G40">
        <v>988.86019816804617</v>
      </c>
      <c r="H40" s="1">
        <v>45688.333333333336</v>
      </c>
    </row>
    <row r="41" spans="1:8" x14ac:dyDescent="0.25">
      <c r="A41" s="7">
        <f>DATE(YEAR(m5_crossvalid[[#This Row],[cutoff]]),MONTH(m5_crossvalid[[#This Row],[cutoff]]),DAY(m5_crossvalid[[#This Row],[cutoff]]))</f>
        <v>45688</v>
      </c>
      <c r="B41" s="7">
        <f>DATE(YEAR(m5_crossvalid[[#This Row],[ds]]),MONTH(m5_crossvalid[[#This Row],[ds]]),DAY(m5_crossvalid[[#This Row],[ds]]))</f>
        <v>45697</v>
      </c>
      <c r="C41">
        <v>54</v>
      </c>
      <c r="D41" s="1">
        <v>45697.333333333336</v>
      </c>
      <c r="E41">
        <v>-740.14441805747629</v>
      </c>
      <c r="F41">
        <v>-2107.4772632321642</v>
      </c>
      <c r="G41">
        <v>776.34719982127228</v>
      </c>
      <c r="H41" s="1">
        <v>45688.333333333336</v>
      </c>
    </row>
    <row r="42" spans="1:8" x14ac:dyDescent="0.25">
      <c r="A42" s="7">
        <f>DATE(YEAR(m5_crossvalid[[#This Row],[cutoff]]),MONTH(m5_crossvalid[[#This Row],[cutoff]]),DAY(m5_crossvalid[[#This Row],[cutoff]]))</f>
        <v>45688</v>
      </c>
      <c r="B42" s="7">
        <f>DATE(YEAR(m5_crossvalid[[#This Row],[ds]]),MONTH(m5_crossvalid[[#This Row],[ds]]),DAY(m5_crossvalid[[#This Row],[ds]]))</f>
        <v>45698</v>
      </c>
      <c r="C42">
        <v>1577</v>
      </c>
      <c r="D42" s="1">
        <v>45698.333333333336</v>
      </c>
      <c r="E42">
        <v>1856.0006253861643</v>
      </c>
      <c r="F42">
        <v>558.77017625613485</v>
      </c>
      <c r="G42">
        <v>3128.0034456140852</v>
      </c>
      <c r="H42" s="1">
        <v>45688.333333333336</v>
      </c>
    </row>
    <row r="43" spans="1:8" x14ac:dyDescent="0.25">
      <c r="A43" s="7">
        <f>DATE(YEAR(m5_crossvalid[[#This Row],[cutoff]]),MONTH(m5_crossvalid[[#This Row],[cutoff]]),DAY(m5_crossvalid[[#This Row],[cutoff]]))</f>
        <v>45688</v>
      </c>
      <c r="B43" s="7">
        <f>DATE(YEAR(m5_crossvalid[[#This Row],[ds]]),MONTH(m5_crossvalid[[#This Row],[ds]]),DAY(m5_crossvalid[[#This Row],[ds]]))</f>
        <v>45699</v>
      </c>
      <c r="C43">
        <v>555</v>
      </c>
      <c r="D43" s="1">
        <v>45699.333333333336</v>
      </c>
      <c r="E43">
        <v>700.60775447317269</v>
      </c>
      <c r="F43">
        <v>-755.39588362184827</v>
      </c>
      <c r="G43">
        <v>2131.9944673943269</v>
      </c>
      <c r="H43" s="1">
        <v>45688.333333333336</v>
      </c>
    </row>
    <row r="44" spans="1:8" x14ac:dyDescent="0.25">
      <c r="A44" s="7">
        <f>DATE(YEAR(m5_crossvalid[[#This Row],[cutoff]]),MONTH(m5_crossvalid[[#This Row],[cutoff]]),DAY(m5_crossvalid[[#This Row],[cutoff]]))</f>
        <v>45688</v>
      </c>
      <c r="B44" s="7">
        <f>DATE(YEAR(m5_crossvalid[[#This Row],[ds]]),MONTH(m5_crossvalid[[#This Row],[ds]]),DAY(m5_crossvalid[[#This Row],[ds]]))</f>
        <v>45700</v>
      </c>
      <c r="C44">
        <v>1823</v>
      </c>
      <c r="D44" s="1">
        <v>45700.333333333336</v>
      </c>
      <c r="E44">
        <v>2334.332642851221</v>
      </c>
      <c r="F44">
        <v>917.56363752773098</v>
      </c>
      <c r="G44">
        <v>3766.6918253921731</v>
      </c>
      <c r="H44" s="1">
        <v>45688.333333333336</v>
      </c>
    </row>
    <row r="45" spans="1:8" x14ac:dyDescent="0.25">
      <c r="A45" s="7">
        <f>DATE(YEAR(m5_crossvalid[[#This Row],[cutoff]]),MONTH(m5_crossvalid[[#This Row],[cutoff]]),DAY(m5_crossvalid[[#This Row],[cutoff]]))</f>
        <v>45688</v>
      </c>
      <c r="B45" s="7">
        <f>DATE(YEAR(m5_crossvalid[[#This Row],[ds]]),MONTH(m5_crossvalid[[#This Row],[ds]]),DAY(m5_crossvalid[[#This Row],[ds]]))</f>
        <v>45701</v>
      </c>
      <c r="C45">
        <v>2210</v>
      </c>
      <c r="D45" s="1">
        <v>45701.333333333336</v>
      </c>
      <c r="E45">
        <v>2336.7480852633976</v>
      </c>
      <c r="F45">
        <v>964.17713937836959</v>
      </c>
      <c r="G45">
        <v>3704.38264345262</v>
      </c>
      <c r="H45" s="1">
        <v>45688.333333333336</v>
      </c>
    </row>
    <row r="46" spans="1:8" x14ac:dyDescent="0.25">
      <c r="A46" s="7">
        <f>DATE(YEAR(m5_crossvalid[[#This Row],[cutoff]]),MONTH(m5_crossvalid[[#This Row],[cutoff]]),DAY(m5_crossvalid[[#This Row],[cutoff]]))</f>
        <v>45688</v>
      </c>
      <c r="B46" s="7">
        <f>DATE(YEAR(m5_crossvalid[[#This Row],[ds]]),MONTH(m5_crossvalid[[#This Row],[ds]]),DAY(m5_crossvalid[[#This Row],[ds]]))</f>
        <v>45702</v>
      </c>
      <c r="C46">
        <v>2308</v>
      </c>
      <c r="D46" s="1">
        <v>45702.333333333336</v>
      </c>
      <c r="E46">
        <v>2313.8192373011684</v>
      </c>
      <c r="F46">
        <v>898.48348928795781</v>
      </c>
      <c r="G46">
        <v>3756.5245162517663</v>
      </c>
      <c r="H46" s="1">
        <v>45688.333333333336</v>
      </c>
    </row>
    <row r="47" spans="1:8" x14ac:dyDescent="0.25">
      <c r="A47" s="7">
        <f>DATE(YEAR(m5_crossvalid[[#This Row],[cutoff]]),MONTH(m5_crossvalid[[#This Row],[cutoff]]),DAY(m5_crossvalid[[#This Row],[cutoff]]))</f>
        <v>45688</v>
      </c>
      <c r="B47" s="7">
        <f>DATE(YEAR(m5_crossvalid[[#This Row],[ds]]),MONTH(m5_crossvalid[[#This Row],[ds]]),DAY(m5_crossvalid[[#This Row],[ds]]))</f>
        <v>45703</v>
      </c>
      <c r="C47">
        <v>485</v>
      </c>
      <c r="D47" s="1">
        <v>45703.333333333336</v>
      </c>
      <c r="E47">
        <v>310.80569179761665</v>
      </c>
      <c r="F47">
        <v>-970.32062492404123</v>
      </c>
      <c r="G47">
        <v>1683.3906883673844</v>
      </c>
      <c r="H47" s="1">
        <v>45688.333333333336</v>
      </c>
    </row>
    <row r="48" spans="1:8" x14ac:dyDescent="0.25">
      <c r="A48" s="7">
        <f>DATE(YEAR(m5_crossvalid[[#This Row],[cutoff]]),MONTH(m5_crossvalid[[#This Row],[cutoff]]),DAY(m5_crossvalid[[#This Row],[cutoff]]))</f>
        <v>45688</v>
      </c>
      <c r="B48" s="7">
        <f>DATE(YEAR(m5_crossvalid[[#This Row],[ds]]),MONTH(m5_crossvalid[[#This Row],[ds]]),DAY(m5_crossvalid[[#This Row],[ds]]))</f>
        <v>45704</v>
      </c>
      <c r="C48">
        <v>118</v>
      </c>
      <c r="D48" s="1">
        <v>45704.333333333336</v>
      </c>
      <c r="E48">
        <v>-45.807613860732999</v>
      </c>
      <c r="F48">
        <v>-1469.1006053014846</v>
      </c>
      <c r="G48">
        <v>1347.7929596793911</v>
      </c>
      <c r="H48" s="1">
        <v>45688.333333333336</v>
      </c>
    </row>
    <row r="49" spans="1:8" x14ac:dyDescent="0.25">
      <c r="A49" s="7">
        <f>DATE(YEAR(m5_crossvalid[[#This Row],[cutoff]]),MONTH(m5_crossvalid[[#This Row],[cutoff]]),DAY(m5_crossvalid[[#This Row],[cutoff]]))</f>
        <v>45688</v>
      </c>
      <c r="B49" s="7">
        <f>DATE(YEAR(m5_crossvalid[[#This Row],[ds]]),MONTH(m5_crossvalid[[#This Row],[ds]]),DAY(m5_crossvalid[[#This Row],[ds]]))</f>
        <v>45705</v>
      </c>
      <c r="C49">
        <v>2482</v>
      </c>
      <c r="D49" s="1">
        <v>45705.333333333336</v>
      </c>
      <c r="E49">
        <v>2473.0945551894092</v>
      </c>
      <c r="F49">
        <v>1127.0407298207172</v>
      </c>
      <c r="G49">
        <v>3767.0774974391857</v>
      </c>
      <c r="H49" s="1">
        <v>45688.333333333336</v>
      </c>
    </row>
    <row r="50" spans="1:8" x14ac:dyDescent="0.25">
      <c r="A50" s="7">
        <f>DATE(YEAR(m5_crossvalid[[#This Row],[cutoff]]),MONTH(m5_crossvalid[[#This Row],[cutoff]]),DAY(m5_crossvalid[[#This Row],[cutoff]]))</f>
        <v>45688</v>
      </c>
      <c r="B50" s="7">
        <f>DATE(YEAR(m5_crossvalid[[#This Row],[ds]]),MONTH(m5_crossvalid[[#This Row],[ds]]),DAY(m5_crossvalid[[#This Row],[ds]]))</f>
        <v>45706</v>
      </c>
      <c r="C50">
        <v>2913</v>
      </c>
      <c r="D50" s="1">
        <v>45706.333333333336</v>
      </c>
      <c r="E50">
        <v>2781.1534732425798</v>
      </c>
      <c r="F50">
        <v>1373.8444121143223</v>
      </c>
      <c r="G50">
        <v>4188.9664076183117</v>
      </c>
      <c r="H50" s="1">
        <v>45688.333333333336</v>
      </c>
    </row>
    <row r="51" spans="1:8" x14ac:dyDescent="0.25">
      <c r="A51" s="7">
        <f>DATE(YEAR(m5_crossvalid[[#This Row],[cutoff]]),MONTH(m5_crossvalid[[#This Row],[cutoff]]),DAY(m5_crossvalid[[#This Row],[cutoff]]))</f>
        <v>45688</v>
      </c>
      <c r="B51" s="7">
        <f>DATE(YEAR(m5_crossvalid[[#This Row],[ds]]),MONTH(m5_crossvalid[[#This Row],[ds]]),DAY(m5_crossvalid[[#This Row],[ds]]))</f>
        <v>45707</v>
      </c>
      <c r="C51">
        <v>3106</v>
      </c>
      <c r="D51" s="1">
        <v>45707.333333333336</v>
      </c>
      <c r="E51">
        <v>2819.948928808084</v>
      </c>
      <c r="F51">
        <v>1459.5797986423022</v>
      </c>
      <c r="G51">
        <v>4213.2102587257805</v>
      </c>
      <c r="H51" s="1">
        <v>45688.333333333336</v>
      </c>
    </row>
    <row r="52" spans="1:8" x14ac:dyDescent="0.25">
      <c r="A52" s="7">
        <f>DATE(YEAR(m5_crossvalid[[#This Row],[cutoff]]),MONTH(m5_crossvalid[[#This Row],[cutoff]]),DAY(m5_crossvalid[[#This Row],[cutoff]]))</f>
        <v>45688</v>
      </c>
      <c r="B52" s="7">
        <f>DATE(YEAR(m5_crossvalid[[#This Row],[ds]]),MONTH(m5_crossvalid[[#This Row],[ds]]),DAY(m5_crossvalid[[#This Row],[ds]]))</f>
        <v>45708</v>
      </c>
      <c r="C52">
        <v>3104</v>
      </c>
      <c r="D52" s="1">
        <v>45708.333333333336</v>
      </c>
      <c r="E52">
        <v>2931.3461098548009</v>
      </c>
      <c r="F52">
        <v>1501.7750433942508</v>
      </c>
      <c r="G52">
        <v>4420.9967655785358</v>
      </c>
      <c r="H52" s="1">
        <v>45688.333333333336</v>
      </c>
    </row>
    <row r="53" spans="1:8" x14ac:dyDescent="0.25">
      <c r="A53" s="7">
        <f>DATE(YEAR(m5_crossvalid[[#This Row],[cutoff]]),MONTH(m5_crossvalid[[#This Row],[cutoff]]),DAY(m5_crossvalid[[#This Row],[cutoff]]))</f>
        <v>45688</v>
      </c>
      <c r="B53" s="7">
        <f>DATE(YEAR(m5_crossvalid[[#This Row],[ds]]),MONTH(m5_crossvalid[[#This Row],[ds]]),DAY(m5_crossvalid[[#This Row],[ds]]))</f>
        <v>45709</v>
      </c>
      <c r="C53">
        <v>3309</v>
      </c>
      <c r="D53" s="1">
        <v>45709.333333333336</v>
      </c>
      <c r="E53">
        <v>3041.7494691531888</v>
      </c>
      <c r="F53">
        <v>1667.3974009696078</v>
      </c>
      <c r="G53">
        <v>4499.4731230704292</v>
      </c>
      <c r="H53" s="1">
        <v>45688.333333333336</v>
      </c>
    </row>
    <row r="54" spans="1:8" x14ac:dyDescent="0.25">
      <c r="A54" s="7">
        <f>DATE(YEAR(m5_crossvalid[[#This Row],[cutoff]]),MONTH(m5_crossvalid[[#This Row],[cutoff]]),DAY(m5_crossvalid[[#This Row],[cutoff]]))</f>
        <v>45688</v>
      </c>
      <c r="B54" s="7">
        <f>DATE(YEAR(m5_crossvalid[[#This Row],[ds]]),MONTH(m5_crossvalid[[#This Row],[ds]]),DAY(m5_crossvalid[[#This Row],[ds]]))</f>
        <v>45710</v>
      </c>
      <c r="C54">
        <v>732</v>
      </c>
      <c r="D54" s="1">
        <v>45710.333333333336</v>
      </c>
      <c r="E54">
        <v>1085.1008754600064</v>
      </c>
      <c r="F54">
        <v>-239.35600384157269</v>
      </c>
      <c r="G54">
        <v>2617.4159203669269</v>
      </c>
      <c r="H54" s="1">
        <v>45688.333333333336</v>
      </c>
    </row>
    <row r="55" spans="1:8" x14ac:dyDescent="0.25">
      <c r="A55" s="7">
        <f>DATE(YEAR(m5_crossvalid[[#This Row],[cutoff]]),MONTH(m5_crossvalid[[#This Row],[cutoff]]),DAY(m5_crossvalid[[#This Row],[cutoff]]))</f>
        <v>45688</v>
      </c>
      <c r="B55" s="7">
        <f>DATE(YEAR(m5_crossvalid[[#This Row],[ds]]),MONTH(m5_crossvalid[[#This Row],[ds]]),DAY(m5_crossvalid[[#This Row],[ds]]))</f>
        <v>45711</v>
      </c>
      <c r="C55">
        <v>202</v>
      </c>
      <c r="D55" s="1">
        <v>45711.333333333336</v>
      </c>
      <c r="E55">
        <v>683.08606101259829</v>
      </c>
      <c r="F55">
        <v>-733.33188038343155</v>
      </c>
      <c r="G55">
        <v>2018.4089023652091</v>
      </c>
      <c r="H55" s="1">
        <v>45688.333333333336</v>
      </c>
    </row>
    <row r="56" spans="1:8" x14ac:dyDescent="0.25">
      <c r="A56" s="7">
        <f>DATE(YEAR(m5_crossvalid[[#This Row],[cutoff]]),MONTH(m5_crossvalid[[#This Row],[cutoff]]),DAY(m5_crossvalid[[#This Row],[cutoff]]))</f>
        <v>45688</v>
      </c>
      <c r="B56" s="7">
        <f>DATE(YEAR(m5_crossvalid[[#This Row],[ds]]),MONTH(m5_crossvalid[[#This Row],[ds]]),DAY(m5_crossvalid[[#This Row],[ds]]))</f>
        <v>45712</v>
      </c>
      <c r="C56">
        <v>3545</v>
      </c>
      <c r="D56" s="1">
        <v>45712.333333333336</v>
      </c>
      <c r="E56">
        <v>4297.8785644537202</v>
      </c>
      <c r="F56">
        <v>2879.9767009148554</v>
      </c>
      <c r="G56">
        <v>5715.8960835777534</v>
      </c>
      <c r="H56" s="1">
        <v>45688.333333333336</v>
      </c>
    </row>
    <row r="57" spans="1:8" x14ac:dyDescent="0.25">
      <c r="A57" s="7">
        <f>DATE(YEAR(m5_crossvalid[[#This Row],[cutoff]]),MONTH(m5_crossvalid[[#This Row],[cutoff]]),DAY(m5_crossvalid[[#This Row],[cutoff]]))</f>
        <v>45688</v>
      </c>
      <c r="B57" s="7">
        <f>DATE(YEAR(m5_crossvalid[[#This Row],[ds]]),MONTH(m5_crossvalid[[#This Row],[ds]]),DAY(m5_crossvalid[[#This Row],[ds]]))</f>
        <v>45713</v>
      </c>
      <c r="C57">
        <v>4868</v>
      </c>
      <c r="D57" s="1">
        <v>45713.333333333336</v>
      </c>
      <c r="E57">
        <v>4696.3155287547843</v>
      </c>
      <c r="F57">
        <v>3435.9180706582001</v>
      </c>
      <c r="G57">
        <v>6171.0160207539357</v>
      </c>
      <c r="H57" s="1">
        <v>45688.333333333336</v>
      </c>
    </row>
    <row r="58" spans="1:8" x14ac:dyDescent="0.25">
      <c r="A58" s="7">
        <f>DATE(YEAR(m5_crossvalid[[#This Row],[cutoff]]),MONTH(m5_crossvalid[[#This Row],[cutoff]]),DAY(m5_crossvalid[[#This Row],[cutoff]]))</f>
        <v>45688</v>
      </c>
      <c r="B58" s="7">
        <f>DATE(YEAR(m5_crossvalid[[#This Row],[ds]]),MONTH(m5_crossvalid[[#This Row],[ds]]),DAY(m5_crossvalid[[#This Row],[ds]]))</f>
        <v>45714</v>
      </c>
      <c r="C58">
        <v>6187</v>
      </c>
      <c r="D58" s="1">
        <v>45714.333333333336</v>
      </c>
      <c r="E58">
        <v>4921.8200672592484</v>
      </c>
      <c r="F58">
        <v>3614.4625635788725</v>
      </c>
      <c r="G58">
        <v>6357.4965973525013</v>
      </c>
      <c r="H58" s="1">
        <v>45688.333333333336</v>
      </c>
    </row>
    <row r="59" spans="1:8" x14ac:dyDescent="0.25">
      <c r="A59" s="7">
        <f>DATE(YEAR(m5_crossvalid[[#This Row],[cutoff]]),MONTH(m5_crossvalid[[#This Row],[cutoff]]),DAY(m5_crossvalid[[#This Row],[cutoff]]))</f>
        <v>45688</v>
      </c>
      <c r="B59" s="7">
        <f>DATE(YEAR(m5_crossvalid[[#This Row],[ds]]),MONTH(m5_crossvalid[[#This Row],[ds]]),DAY(m5_crossvalid[[#This Row],[ds]]))</f>
        <v>45715</v>
      </c>
      <c r="C59">
        <v>8082</v>
      </c>
      <c r="D59" s="1">
        <v>45715.333333333336</v>
      </c>
      <c r="E59">
        <v>7392.1949438573974</v>
      </c>
      <c r="F59">
        <v>5916.3834412537326</v>
      </c>
      <c r="G59">
        <v>8789.0761915821131</v>
      </c>
      <c r="H59" s="1">
        <v>45688.333333333336</v>
      </c>
    </row>
    <row r="60" spans="1:8" x14ac:dyDescent="0.25">
      <c r="A60" s="7">
        <f>DATE(YEAR(m5_crossvalid[[#This Row],[cutoff]]),MONTH(m5_crossvalid[[#This Row],[cutoff]]),DAY(m5_crossvalid[[#This Row],[cutoff]]))</f>
        <v>45688</v>
      </c>
      <c r="B60" s="7">
        <f>DATE(YEAR(m5_crossvalid[[#This Row],[ds]]),MONTH(m5_crossvalid[[#This Row],[ds]]),DAY(m5_crossvalid[[#This Row],[ds]]))</f>
        <v>45716</v>
      </c>
      <c r="C60">
        <v>14838</v>
      </c>
      <c r="D60" s="1">
        <v>45716.333333333336</v>
      </c>
      <c r="E60">
        <v>9361.1439576870725</v>
      </c>
      <c r="F60">
        <v>7967.049124483</v>
      </c>
      <c r="G60">
        <v>10767.105062368215</v>
      </c>
      <c r="H60" s="1">
        <v>45688.333333333336</v>
      </c>
    </row>
    <row r="61" spans="1:8" x14ac:dyDescent="0.25">
      <c r="A61" s="7">
        <f>DATE(YEAR(m5_crossvalid[[#This Row],[cutoff]]),MONTH(m5_crossvalid[[#This Row],[cutoff]]),DAY(m5_crossvalid[[#This Row],[cutoff]]))</f>
        <v>45688</v>
      </c>
      <c r="B61" s="7">
        <f>DATE(YEAR(m5_crossvalid[[#This Row],[ds]]),MONTH(m5_crossvalid[[#This Row],[ds]]),DAY(m5_crossvalid[[#This Row],[ds]]))</f>
        <v>45717</v>
      </c>
      <c r="C61">
        <v>74</v>
      </c>
      <c r="D61" s="1">
        <v>45717.333333333336</v>
      </c>
      <c r="E61">
        <v>643.72817930468432</v>
      </c>
      <c r="F61">
        <v>-700.11865902332704</v>
      </c>
      <c r="G61">
        <v>2052.0095727337994</v>
      </c>
      <c r="H61" s="1">
        <v>45688.333333333336</v>
      </c>
    </row>
    <row r="62" spans="1:8" x14ac:dyDescent="0.25">
      <c r="A62" s="7">
        <f>DATE(YEAR(m5_crossvalid[[#This Row],[cutoff]]),MONTH(m5_crossvalid[[#This Row],[cutoff]]),DAY(m5_crossvalid[[#This Row],[cutoff]]))</f>
        <v>45688</v>
      </c>
      <c r="B62" s="7">
        <f>DATE(YEAR(m5_crossvalid[[#This Row],[ds]]),MONTH(m5_crossvalid[[#This Row],[ds]]),DAY(m5_crossvalid[[#This Row],[ds]]))</f>
        <v>45718</v>
      </c>
      <c r="C62">
        <v>27</v>
      </c>
      <c r="D62" s="1">
        <v>45718.333333333336</v>
      </c>
      <c r="E62">
        <v>-417.20265655415596</v>
      </c>
      <c r="F62">
        <v>-1816.7096697726038</v>
      </c>
      <c r="G62">
        <v>1005.0465469358389</v>
      </c>
      <c r="H62" s="1">
        <v>45688.333333333336</v>
      </c>
    </row>
    <row r="63" spans="1:8" x14ac:dyDescent="0.25">
      <c r="A63" s="7">
        <f>DATE(YEAR(m5_crossvalid[[#This Row],[cutoff]]),MONTH(m5_crossvalid[[#This Row],[cutoff]]),DAY(m5_crossvalid[[#This Row],[cutoff]]))</f>
        <v>45688</v>
      </c>
      <c r="B63" s="7">
        <f>DATE(YEAR(m5_crossvalid[[#This Row],[ds]]),MONTH(m5_crossvalid[[#This Row],[ds]]),DAY(m5_crossvalid[[#This Row],[ds]]))</f>
        <v>45719</v>
      </c>
      <c r="C63">
        <v>378</v>
      </c>
      <c r="D63" s="1">
        <v>45719.333333333336</v>
      </c>
      <c r="E63">
        <v>1678.3125011227105</v>
      </c>
      <c r="F63">
        <v>362.45322793260721</v>
      </c>
      <c r="G63">
        <v>3147.3638155729186</v>
      </c>
      <c r="H63" s="1">
        <v>45688.333333333336</v>
      </c>
    </row>
    <row r="64" spans="1:8" x14ac:dyDescent="0.25">
      <c r="A64" s="7">
        <f>DATE(YEAR(m5_crossvalid[[#This Row],[cutoff]]),MONTH(m5_crossvalid[[#This Row],[cutoff]]),DAY(m5_crossvalid[[#This Row],[cutoff]]))</f>
        <v>45716</v>
      </c>
      <c r="B64" s="7">
        <f>DATE(YEAR(m5_crossvalid[[#This Row],[ds]]),MONTH(m5_crossvalid[[#This Row],[ds]]),DAY(m5_crossvalid[[#This Row],[ds]]))</f>
        <v>45717</v>
      </c>
      <c r="C64">
        <v>74</v>
      </c>
      <c r="D64" s="1">
        <v>45717.333333333336</v>
      </c>
      <c r="E64">
        <v>994.12634638529266</v>
      </c>
      <c r="F64">
        <v>-438.03684782871926</v>
      </c>
      <c r="G64">
        <v>2476.6113130397225</v>
      </c>
      <c r="H64" s="1">
        <v>45716.333333333336</v>
      </c>
    </row>
    <row r="65" spans="1:8" x14ac:dyDescent="0.25">
      <c r="A65" s="7">
        <f>DATE(YEAR(m5_crossvalid[[#This Row],[cutoff]]),MONTH(m5_crossvalid[[#This Row],[cutoff]]),DAY(m5_crossvalid[[#This Row],[cutoff]]))</f>
        <v>45716</v>
      </c>
      <c r="B65" s="7">
        <f>DATE(YEAR(m5_crossvalid[[#This Row],[ds]]),MONTH(m5_crossvalid[[#This Row],[ds]]),DAY(m5_crossvalid[[#This Row],[ds]]))</f>
        <v>45718</v>
      </c>
      <c r="C65">
        <v>27</v>
      </c>
      <c r="D65" s="1">
        <v>45718.333333333336</v>
      </c>
      <c r="E65">
        <v>-188.92244643311051</v>
      </c>
      <c r="F65">
        <v>-1721.8648762200037</v>
      </c>
      <c r="G65">
        <v>1247.2647324392501</v>
      </c>
      <c r="H65" s="1">
        <v>45716.333333333336</v>
      </c>
    </row>
    <row r="66" spans="1:8" x14ac:dyDescent="0.25">
      <c r="A66" s="7">
        <f>DATE(YEAR(m5_crossvalid[[#This Row],[cutoff]]),MONTH(m5_crossvalid[[#This Row],[cutoff]]),DAY(m5_crossvalid[[#This Row],[cutoff]]))</f>
        <v>45716</v>
      </c>
      <c r="B66" s="7">
        <f>DATE(YEAR(m5_crossvalid[[#This Row],[ds]]),MONTH(m5_crossvalid[[#This Row],[ds]]),DAY(m5_crossvalid[[#This Row],[ds]]))</f>
        <v>45719</v>
      </c>
      <c r="C66">
        <v>378</v>
      </c>
      <c r="D66" s="1">
        <v>45719.333333333336</v>
      </c>
      <c r="E66">
        <v>1722.4002153513852</v>
      </c>
      <c r="F66">
        <v>245.59545886645753</v>
      </c>
      <c r="G66">
        <v>3177.221947039573</v>
      </c>
      <c r="H66" s="1">
        <v>45716.333333333336</v>
      </c>
    </row>
    <row r="67" spans="1:8" x14ac:dyDescent="0.25">
      <c r="A67" s="7">
        <f>DATE(YEAR(m5_crossvalid[[#This Row],[cutoff]]),MONTH(m5_crossvalid[[#This Row],[cutoff]]),DAY(m5_crossvalid[[#This Row],[cutoff]]))</f>
        <v>45716</v>
      </c>
      <c r="B67" s="7">
        <f>DATE(YEAR(m5_crossvalid[[#This Row],[ds]]),MONTH(m5_crossvalid[[#This Row],[ds]]),DAY(m5_crossvalid[[#This Row],[ds]]))</f>
        <v>45720</v>
      </c>
      <c r="C67">
        <v>666</v>
      </c>
      <c r="D67" s="1">
        <v>45720.333333333336</v>
      </c>
      <c r="E67">
        <v>1692.2330662342686</v>
      </c>
      <c r="F67">
        <v>262.65349209505399</v>
      </c>
      <c r="G67">
        <v>3023.4443461737437</v>
      </c>
      <c r="H67" s="1">
        <v>45716.333333333336</v>
      </c>
    </row>
    <row r="68" spans="1:8" x14ac:dyDescent="0.25">
      <c r="A68" s="7">
        <f>DATE(YEAR(m5_crossvalid[[#This Row],[cutoff]]),MONTH(m5_crossvalid[[#This Row],[cutoff]]),DAY(m5_crossvalid[[#This Row],[cutoff]]))</f>
        <v>45716</v>
      </c>
      <c r="B68" s="7">
        <f>DATE(YEAR(m5_crossvalid[[#This Row],[ds]]),MONTH(m5_crossvalid[[#This Row],[ds]]),DAY(m5_crossvalid[[#This Row],[ds]]))</f>
        <v>45721</v>
      </c>
      <c r="C68">
        <v>793</v>
      </c>
      <c r="D68" s="1">
        <v>45721.333333333336</v>
      </c>
      <c r="E68">
        <v>1709.9504882240592</v>
      </c>
      <c r="F68">
        <v>231.2247201195847</v>
      </c>
      <c r="G68">
        <v>3034.1743544524438</v>
      </c>
      <c r="H68" s="1">
        <v>45716.333333333336</v>
      </c>
    </row>
    <row r="69" spans="1:8" x14ac:dyDescent="0.25">
      <c r="A69" s="7">
        <f>DATE(YEAR(m5_crossvalid[[#This Row],[cutoff]]),MONTH(m5_crossvalid[[#This Row],[cutoff]]),DAY(m5_crossvalid[[#This Row],[cutoff]]))</f>
        <v>45716</v>
      </c>
      <c r="B69" s="7">
        <f>DATE(YEAR(m5_crossvalid[[#This Row],[ds]]),MONTH(m5_crossvalid[[#This Row],[ds]]),DAY(m5_crossvalid[[#This Row],[ds]]))</f>
        <v>45722</v>
      </c>
      <c r="C69">
        <v>1426</v>
      </c>
      <c r="D69" s="1">
        <v>45722.333333333336</v>
      </c>
      <c r="E69">
        <v>1872.2660207942363</v>
      </c>
      <c r="F69">
        <v>401.95249902373729</v>
      </c>
      <c r="G69">
        <v>3255.2163058724154</v>
      </c>
      <c r="H69" s="1">
        <v>45716.333333333336</v>
      </c>
    </row>
    <row r="70" spans="1:8" x14ac:dyDescent="0.25">
      <c r="A70" s="7">
        <f>DATE(YEAR(m5_crossvalid[[#This Row],[cutoff]]),MONTH(m5_crossvalid[[#This Row],[cutoff]]),DAY(m5_crossvalid[[#This Row],[cutoff]]))</f>
        <v>45716</v>
      </c>
      <c r="B70" s="7">
        <f>DATE(YEAR(m5_crossvalid[[#This Row],[ds]]),MONTH(m5_crossvalid[[#This Row],[ds]]),DAY(m5_crossvalid[[#This Row],[ds]]))</f>
        <v>45723</v>
      </c>
      <c r="C70">
        <v>1674</v>
      </c>
      <c r="D70" s="1">
        <v>45723.333333333336</v>
      </c>
      <c r="E70">
        <v>1925.6959028979711</v>
      </c>
      <c r="F70">
        <v>549.10294367412052</v>
      </c>
      <c r="G70">
        <v>3340.5789498454378</v>
      </c>
      <c r="H70" s="1">
        <v>45716.333333333336</v>
      </c>
    </row>
    <row r="71" spans="1:8" x14ac:dyDescent="0.25">
      <c r="A71" s="7">
        <f>DATE(YEAR(m5_crossvalid[[#This Row],[cutoff]]),MONTH(m5_crossvalid[[#This Row],[cutoff]]),DAY(m5_crossvalid[[#This Row],[cutoff]]))</f>
        <v>45716</v>
      </c>
      <c r="B71" s="7">
        <f>DATE(YEAR(m5_crossvalid[[#This Row],[ds]]),MONTH(m5_crossvalid[[#This Row],[ds]]),DAY(m5_crossvalid[[#This Row],[ds]]))</f>
        <v>45724</v>
      </c>
      <c r="C71">
        <v>310</v>
      </c>
      <c r="D71" s="1">
        <v>45724.333333333336</v>
      </c>
      <c r="E71">
        <v>377.89588986678086</v>
      </c>
      <c r="F71">
        <v>-1003.7138463914872</v>
      </c>
      <c r="G71">
        <v>1732.5955175853492</v>
      </c>
      <c r="H71" s="1">
        <v>45716.333333333336</v>
      </c>
    </row>
    <row r="72" spans="1:8" x14ac:dyDescent="0.25">
      <c r="A72" s="7">
        <f>DATE(YEAR(m5_crossvalid[[#This Row],[cutoff]]),MONTH(m5_crossvalid[[#This Row],[cutoff]]),DAY(m5_crossvalid[[#This Row],[cutoff]]))</f>
        <v>45716</v>
      </c>
      <c r="B72" s="7">
        <f>DATE(YEAR(m5_crossvalid[[#This Row],[ds]]),MONTH(m5_crossvalid[[#This Row],[ds]]),DAY(m5_crossvalid[[#This Row],[ds]]))</f>
        <v>45725</v>
      </c>
      <c r="C72">
        <v>109</v>
      </c>
      <c r="D72" s="1">
        <v>45725.333333333336</v>
      </c>
      <c r="E72">
        <v>-279.42327719411287</v>
      </c>
      <c r="F72">
        <v>-1582.5264787093311</v>
      </c>
      <c r="G72">
        <v>1127.2074097097097</v>
      </c>
      <c r="H72" s="1">
        <v>45716.333333333336</v>
      </c>
    </row>
    <row r="73" spans="1:8" x14ac:dyDescent="0.25">
      <c r="A73" s="7">
        <f>DATE(YEAR(m5_crossvalid[[#This Row],[cutoff]]),MONTH(m5_crossvalid[[#This Row],[cutoff]]),DAY(m5_crossvalid[[#This Row],[cutoff]]))</f>
        <v>45716</v>
      </c>
      <c r="B73" s="7">
        <f>DATE(YEAR(m5_crossvalid[[#This Row],[ds]]),MONTH(m5_crossvalid[[#This Row],[ds]]),DAY(m5_crossvalid[[#This Row],[ds]]))</f>
        <v>45726</v>
      </c>
      <c r="C73">
        <v>1900</v>
      </c>
      <c r="D73" s="1">
        <v>45726.333333333336</v>
      </c>
      <c r="E73">
        <v>2053.6386465450637</v>
      </c>
      <c r="F73">
        <v>557.62547074392262</v>
      </c>
      <c r="G73">
        <v>3434.7897924192057</v>
      </c>
      <c r="H73" s="1">
        <v>45716.333333333336</v>
      </c>
    </row>
    <row r="74" spans="1:8" x14ac:dyDescent="0.25">
      <c r="A74" s="7">
        <f>DATE(YEAR(m5_crossvalid[[#This Row],[cutoff]]),MONTH(m5_crossvalid[[#This Row],[cutoff]]),DAY(m5_crossvalid[[#This Row],[cutoff]]))</f>
        <v>45716</v>
      </c>
      <c r="B74" s="7">
        <f>DATE(YEAR(m5_crossvalid[[#This Row],[ds]]),MONTH(m5_crossvalid[[#This Row],[ds]]),DAY(m5_crossvalid[[#This Row],[ds]]))</f>
        <v>45727</v>
      </c>
      <c r="C74">
        <v>2294</v>
      </c>
      <c r="D74" s="1">
        <v>45727.333333333336</v>
      </c>
      <c r="E74">
        <v>2423.0781775452374</v>
      </c>
      <c r="F74">
        <v>1011.2695191032835</v>
      </c>
      <c r="G74">
        <v>3844.2644899960014</v>
      </c>
      <c r="H74" s="1">
        <v>45716.333333333336</v>
      </c>
    </row>
    <row r="75" spans="1:8" x14ac:dyDescent="0.25">
      <c r="A75" s="7">
        <f>DATE(YEAR(m5_crossvalid[[#This Row],[cutoff]]),MONTH(m5_crossvalid[[#This Row],[cutoff]]),DAY(m5_crossvalid[[#This Row],[cutoff]]))</f>
        <v>45716</v>
      </c>
      <c r="B75" s="7">
        <f>DATE(YEAR(m5_crossvalid[[#This Row],[ds]]),MONTH(m5_crossvalid[[#This Row],[ds]]),DAY(m5_crossvalid[[#This Row],[ds]]))</f>
        <v>45728</v>
      </c>
      <c r="C75">
        <v>2576</v>
      </c>
      <c r="D75" s="1">
        <v>45728.333333333336</v>
      </c>
      <c r="E75">
        <v>2583.2862856812462</v>
      </c>
      <c r="F75">
        <v>1068.8532411280344</v>
      </c>
      <c r="G75">
        <v>3921.2800970379521</v>
      </c>
      <c r="H75" s="1">
        <v>45716.333333333336</v>
      </c>
    </row>
    <row r="76" spans="1:8" x14ac:dyDescent="0.25">
      <c r="A76" s="7">
        <f>DATE(YEAR(m5_crossvalid[[#This Row],[cutoff]]),MONTH(m5_crossvalid[[#This Row],[cutoff]]),DAY(m5_crossvalid[[#This Row],[cutoff]]))</f>
        <v>45716</v>
      </c>
      <c r="B76" s="7">
        <f>DATE(YEAR(m5_crossvalid[[#This Row],[ds]]),MONTH(m5_crossvalid[[#This Row],[ds]]),DAY(m5_crossvalid[[#This Row],[ds]]))</f>
        <v>45729</v>
      </c>
      <c r="C76">
        <v>2235</v>
      </c>
      <c r="D76" s="1">
        <v>45729.333333333336</v>
      </c>
      <c r="E76">
        <v>2676.9790910441552</v>
      </c>
      <c r="F76">
        <v>1332.3135180512472</v>
      </c>
      <c r="G76">
        <v>4028.4495802544047</v>
      </c>
      <c r="H76" s="1">
        <v>45716.333333333336</v>
      </c>
    </row>
    <row r="77" spans="1:8" x14ac:dyDescent="0.25">
      <c r="A77" s="7">
        <f>DATE(YEAR(m5_crossvalid[[#This Row],[cutoff]]),MONTH(m5_crossvalid[[#This Row],[cutoff]]),DAY(m5_crossvalid[[#This Row],[cutoff]]))</f>
        <v>45716</v>
      </c>
      <c r="B77" s="7">
        <f>DATE(YEAR(m5_crossvalid[[#This Row],[ds]]),MONTH(m5_crossvalid[[#This Row],[ds]]),DAY(m5_crossvalid[[#This Row],[ds]]))</f>
        <v>45730</v>
      </c>
      <c r="C77">
        <v>3818</v>
      </c>
      <c r="D77" s="1">
        <v>45730.333333333336</v>
      </c>
      <c r="E77">
        <v>2633.0365503670428</v>
      </c>
      <c r="F77">
        <v>1270.2820353842249</v>
      </c>
      <c r="G77">
        <v>3995.1287770406871</v>
      </c>
      <c r="H77" s="1">
        <v>45716.333333333336</v>
      </c>
    </row>
    <row r="78" spans="1:8" x14ac:dyDescent="0.25">
      <c r="A78" s="7">
        <f>DATE(YEAR(m5_crossvalid[[#This Row],[cutoff]]),MONTH(m5_crossvalid[[#This Row],[cutoff]]),DAY(m5_crossvalid[[#This Row],[cutoff]]))</f>
        <v>45716</v>
      </c>
      <c r="B78" s="7">
        <f>DATE(YEAR(m5_crossvalid[[#This Row],[ds]]),MONTH(m5_crossvalid[[#This Row],[ds]]),DAY(m5_crossvalid[[#This Row],[ds]]))</f>
        <v>45731</v>
      </c>
      <c r="C78">
        <v>927</v>
      </c>
      <c r="D78" s="1">
        <v>45731.333333333336</v>
      </c>
      <c r="E78">
        <v>461.1632839604531</v>
      </c>
      <c r="F78">
        <v>-954.26361832603391</v>
      </c>
      <c r="G78">
        <v>1911.3549762936589</v>
      </c>
      <c r="H78" s="1">
        <v>45716.333333333336</v>
      </c>
    </row>
    <row r="79" spans="1:8" x14ac:dyDescent="0.25">
      <c r="A79" s="7">
        <f>DATE(YEAR(m5_crossvalid[[#This Row],[cutoff]]),MONTH(m5_crossvalid[[#This Row],[cutoff]]),DAY(m5_crossvalid[[#This Row],[cutoff]]))</f>
        <v>45716</v>
      </c>
      <c r="B79" s="7">
        <f>DATE(YEAR(m5_crossvalid[[#This Row],[ds]]),MONTH(m5_crossvalid[[#This Row],[ds]]),DAY(m5_crossvalid[[#This Row],[ds]]))</f>
        <v>45732</v>
      </c>
      <c r="C79">
        <v>263</v>
      </c>
      <c r="D79" s="1">
        <v>45732.333333333336</v>
      </c>
      <c r="E79">
        <v>23.923266740570398</v>
      </c>
      <c r="F79">
        <v>-1361.2248537672692</v>
      </c>
      <c r="G79">
        <v>1448.7025985516614</v>
      </c>
      <c r="H79" s="1">
        <v>45716.333333333336</v>
      </c>
    </row>
    <row r="80" spans="1:8" x14ac:dyDescent="0.25">
      <c r="A80" s="7">
        <f>DATE(YEAR(m5_crossvalid[[#This Row],[cutoff]]),MONTH(m5_crossvalid[[#This Row],[cutoff]]),DAY(m5_crossvalid[[#This Row],[cutoff]]))</f>
        <v>45716</v>
      </c>
      <c r="B80" s="7">
        <f>DATE(YEAR(m5_crossvalid[[#This Row],[ds]]),MONTH(m5_crossvalid[[#This Row],[ds]]),DAY(m5_crossvalid[[#This Row],[ds]]))</f>
        <v>45733</v>
      </c>
      <c r="C80">
        <v>4812</v>
      </c>
      <c r="D80" s="1">
        <v>45733.333333333336</v>
      </c>
      <c r="E80">
        <v>2616.9007859076228</v>
      </c>
      <c r="F80">
        <v>1147.2599910410947</v>
      </c>
      <c r="G80">
        <v>3884.0715860716236</v>
      </c>
      <c r="H80" s="1">
        <v>45716.333333333336</v>
      </c>
    </row>
    <row r="81" spans="1:8" x14ac:dyDescent="0.25">
      <c r="A81" s="7">
        <f>DATE(YEAR(m5_crossvalid[[#This Row],[cutoff]]),MONTH(m5_crossvalid[[#This Row],[cutoff]]),DAY(m5_crossvalid[[#This Row],[cutoff]]))</f>
        <v>45716</v>
      </c>
      <c r="B81" s="7">
        <f>DATE(YEAR(m5_crossvalid[[#This Row],[ds]]),MONTH(m5_crossvalid[[#This Row],[ds]]),DAY(m5_crossvalid[[#This Row],[ds]]))</f>
        <v>45734</v>
      </c>
      <c r="C81">
        <v>1459</v>
      </c>
      <c r="D81" s="1">
        <v>45734.333333333336</v>
      </c>
      <c r="E81">
        <v>1591.442499647083</v>
      </c>
      <c r="F81">
        <v>338.7502243145625</v>
      </c>
      <c r="G81">
        <v>2993.9791930528613</v>
      </c>
      <c r="H81" s="1">
        <v>45716.333333333336</v>
      </c>
    </row>
    <row r="82" spans="1:8" x14ac:dyDescent="0.25">
      <c r="A82" s="7">
        <f>DATE(YEAR(m5_crossvalid[[#This Row],[cutoff]]),MONTH(m5_crossvalid[[#This Row],[cutoff]]),DAY(m5_crossvalid[[#This Row],[cutoff]]))</f>
        <v>45716</v>
      </c>
      <c r="B82" s="7">
        <f>DATE(YEAR(m5_crossvalid[[#This Row],[ds]]),MONTH(m5_crossvalid[[#This Row],[ds]]),DAY(m5_crossvalid[[#This Row],[ds]]))</f>
        <v>45735</v>
      </c>
      <c r="C82">
        <v>3508</v>
      </c>
      <c r="D82" s="1">
        <v>45735.333333333336</v>
      </c>
      <c r="E82">
        <v>3235.3686536692267</v>
      </c>
      <c r="F82">
        <v>1892.0386677751148</v>
      </c>
      <c r="G82">
        <v>4629.0599472126287</v>
      </c>
      <c r="H82" s="1">
        <v>45716.333333333336</v>
      </c>
    </row>
    <row r="83" spans="1:8" x14ac:dyDescent="0.25">
      <c r="A83" s="7">
        <f>DATE(YEAR(m5_crossvalid[[#This Row],[cutoff]]),MONTH(m5_crossvalid[[#This Row],[cutoff]]),DAY(m5_crossvalid[[#This Row],[cutoff]]))</f>
        <v>45716</v>
      </c>
      <c r="B83" s="7">
        <f>DATE(YEAR(m5_crossvalid[[#This Row],[ds]]),MONTH(m5_crossvalid[[#This Row],[ds]]),DAY(m5_crossvalid[[#This Row],[ds]]))</f>
        <v>45736</v>
      </c>
      <c r="C83">
        <v>3947</v>
      </c>
      <c r="D83" s="1">
        <v>45736.333333333336</v>
      </c>
      <c r="E83">
        <v>3202.9069123614122</v>
      </c>
      <c r="F83">
        <v>1878.8873188314535</v>
      </c>
      <c r="G83">
        <v>4513.1132211088079</v>
      </c>
      <c r="H83" s="1">
        <v>45716.333333333336</v>
      </c>
    </row>
    <row r="84" spans="1:8" x14ac:dyDescent="0.25">
      <c r="A84" s="7">
        <f>DATE(YEAR(m5_crossvalid[[#This Row],[cutoff]]),MONTH(m5_crossvalid[[#This Row],[cutoff]]),DAY(m5_crossvalid[[#This Row],[cutoff]]))</f>
        <v>45716</v>
      </c>
      <c r="B84" s="7">
        <f>DATE(YEAR(m5_crossvalid[[#This Row],[ds]]),MONTH(m5_crossvalid[[#This Row],[ds]]),DAY(m5_crossvalid[[#This Row],[ds]]))</f>
        <v>45737</v>
      </c>
      <c r="C84">
        <v>4280</v>
      </c>
      <c r="D84" s="1">
        <v>45737.333333333336</v>
      </c>
      <c r="E84">
        <v>3097.7283140989889</v>
      </c>
      <c r="F84">
        <v>1624.4965022176693</v>
      </c>
      <c r="G84">
        <v>4517.9153855389104</v>
      </c>
      <c r="H84" s="1">
        <v>45716.333333333336</v>
      </c>
    </row>
    <row r="85" spans="1:8" x14ac:dyDescent="0.25">
      <c r="A85" s="7">
        <f>DATE(YEAR(m5_crossvalid[[#This Row],[cutoff]]),MONTH(m5_crossvalid[[#This Row],[cutoff]]),DAY(m5_crossvalid[[#This Row],[cutoff]]))</f>
        <v>45716</v>
      </c>
      <c r="B85" s="7">
        <f>DATE(YEAR(m5_crossvalid[[#This Row],[ds]]),MONTH(m5_crossvalid[[#This Row],[ds]]),DAY(m5_crossvalid[[#This Row],[ds]]))</f>
        <v>45738</v>
      </c>
      <c r="C85">
        <v>1076</v>
      </c>
      <c r="D85" s="1">
        <v>45738.333333333336</v>
      </c>
      <c r="E85">
        <v>986.40113375642477</v>
      </c>
      <c r="F85">
        <v>-549.94074439090627</v>
      </c>
      <c r="G85">
        <v>2548.353487400821</v>
      </c>
      <c r="H85" s="1">
        <v>45716.333333333336</v>
      </c>
    </row>
    <row r="86" spans="1:8" x14ac:dyDescent="0.25">
      <c r="A86" s="7">
        <f>DATE(YEAR(m5_crossvalid[[#This Row],[cutoff]]),MONTH(m5_crossvalid[[#This Row],[cutoff]]),DAY(m5_crossvalid[[#This Row],[cutoff]]))</f>
        <v>45716</v>
      </c>
      <c r="B86" s="7">
        <f>DATE(YEAR(m5_crossvalid[[#This Row],[ds]]),MONTH(m5_crossvalid[[#This Row],[ds]]),DAY(m5_crossvalid[[#This Row],[ds]]))</f>
        <v>45739</v>
      </c>
      <c r="C86">
        <v>301</v>
      </c>
      <c r="D86" s="1">
        <v>45739.333333333336</v>
      </c>
      <c r="E86">
        <v>656.81862961623756</v>
      </c>
      <c r="F86">
        <v>-780.89474395763307</v>
      </c>
      <c r="G86">
        <v>2100.2159431267905</v>
      </c>
      <c r="H86" s="1">
        <v>45716.333333333336</v>
      </c>
    </row>
    <row r="87" spans="1:8" x14ac:dyDescent="0.25">
      <c r="A87" s="7">
        <f>DATE(YEAR(m5_crossvalid[[#This Row],[cutoff]]),MONTH(m5_crossvalid[[#This Row],[cutoff]]),DAY(m5_crossvalid[[#This Row],[cutoff]]))</f>
        <v>45716</v>
      </c>
      <c r="B87" s="7">
        <f>DATE(YEAR(m5_crossvalid[[#This Row],[ds]]),MONTH(m5_crossvalid[[#This Row],[ds]]),DAY(m5_crossvalid[[#This Row],[ds]]))</f>
        <v>45740</v>
      </c>
      <c r="C87">
        <v>4292</v>
      </c>
      <c r="D87" s="1">
        <v>45740.333333333336</v>
      </c>
      <c r="E87">
        <v>3288.3395667935865</v>
      </c>
      <c r="F87">
        <v>1879.6208183018809</v>
      </c>
      <c r="G87">
        <v>4710.1570115199074</v>
      </c>
      <c r="H87" s="1">
        <v>45716.333333333336</v>
      </c>
    </row>
    <row r="88" spans="1:8" x14ac:dyDescent="0.25">
      <c r="A88" s="7">
        <f>DATE(YEAR(m5_crossvalid[[#This Row],[cutoff]]),MONTH(m5_crossvalid[[#This Row],[cutoff]]),DAY(m5_crossvalid[[#This Row],[cutoff]]))</f>
        <v>45716</v>
      </c>
      <c r="B88" s="7">
        <f>DATE(YEAR(m5_crossvalid[[#This Row],[ds]]),MONTH(m5_crossvalid[[#This Row],[ds]]),DAY(m5_crossvalid[[#This Row],[ds]]))</f>
        <v>45741</v>
      </c>
      <c r="C88">
        <v>5571</v>
      </c>
      <c r="D88" s="1">
        <v>45741.333333333336</v>
      </c>
      <c r="E88">
        <v>3732.7204767765224</v>
      </c>
      <c r="F88">
        <v>2326.2153323606694</v>
      </c>
      <c r="G88">
        <v>5121.3335096998726</v>
      </c>
      <c r="H88" s="1">
        <v>45716.333333333336</v>
      </c>
    </row>
    <row r="89" spans="1:8" x14ac:dyDescent="0.25">
      <c r="A89" s="7">
        <f>DATE(YEAR(m5_crossvalid[[#This Row],[cutoff]]),MONTH(m5_crossvalid[[#This Row],[cutoff]]),DAY(m5_crossvalid[[#This Row],[cutoff]]))</f>
        <v>45716</v>
      </c>
      <c r="B89" s="7">
        <f>DATE(YEAR(m5_crossvalid[[#This Row],[ds]]),MONTH(m5_crossvalid[[#This Row],[ds]]),DAY(m5_crossvalid[[#This Row],[ds]]))</f>
        <v>45742</v>
      </c>
      <c r="C89">
        <v>6352</v>
      </c>
      <c r="D89" s="1">
        <v>45742.333333333336</v>
      </c>
      <c r="E89">
        <v>3789.2229290013706</v>
      </c>
      <c r="F89">
        <v>2448.1956857971013</v>
      </c>
      <c r="G89">
        <v>5267.9778943131369</v>
      </c>
      <c r="H89" s="1">
        <v>45716.333333333336</v>
      </c>
    </row>
    <row r="90" spans="1:8" x14ac:dyDescent="0.25">
      <c r="A90" s="7">
        <f>DATE(YEAR(m5_crossvalid[[#This Row],[cutoff]]),MONTH(m5_crossvalid[[#This Row],[cutoff]]),DAY(m5_crossvalid[[#This Row],[cutoff]]))</f>
        <v>45716</v>
      </c>
      <c r="B90" s="7">
        <f>DATE(YEAR(m5_crossvalid[[#This Row],[ds]]),MONTH(m5_crossvalid[[#This Row],[ds]]),DAY(m5_crossvalid[[#This Row],[ds]]))</f>
        <v>45743</v>
      </c>
      <c r="C90">
        <v>8836</v>
      </c>
      <c r="D90" s="1">
        <v>45743.333333333336</v>
      </c>
      <c r="E90">
        <v>4868.338809959926</v>
      </c>
      <c r="F90">
        <v>3491.037099479187</v>
      </c>
      <c r="G90">
        <v>6241.6099200589288</v>
      </c>
      <c r="H90" s="1">
        <v>45716.333333333336</v>
      </c>
    </row>
    <row r="91" spans="1:8" x14ac:dyDescent="0.25">
      <c r="A91" s="7">
        <f>DATE(YEAR(m5_crossvalid[[#This Row],[cutoff]]),MONTH(m5_crossvalid[[#This Row],[cutoff]]),DAY(m5_crossvalid[[#This Row],[cutoff]]))</f>
        <v>45716</v>
      </c>
      <c r="B91" s="7">
        <f>DATE(YEAR(m5_crossvalid[[#This Row],[ds]]),MONTH(m5_crossvalid[[#This Row],[ds]]),DAY(m5_crossvalid[[#This Row],[ds]]))</f>
        <v>45744</v>
      </c>
      <c r="C91">
        <v>9717</v>
      </c>
      <c r="D91" s="1">
        <v>45744.333333333336</v>
      </c>
      <c r="E91">
        <v>4971.5313727455141</v>
      </c>
      <c r="F91">
        <v>3543.6718114021883</v>
      </c>
      <c r="G91">
        <v>6465.1252828504912</v>
      </c>
      <c r="H91" s="1">
        <v>45716.333333333336</v>
      </c>
    </row>
    <row r="92" spans="1:8" x14ac:dyDescent="0.25">
      <c r="A92" s="7">
        <f>DATE(YEAR(m5_crossvalid[[#This Row],[cutoff]]),MONTH(m5_crossvalid[[#This Row],[cutoff]]),DAY(m5_crossvalid[[#This Row],[cutoff]]))</f>
        <v>45716</v>
      </c>
      <c r="B92" s="7">
        <f>DATE(YEAR(m5_crossvalid[[#This Row],[ds]]),MONTH(m5_crossvalid[[#This Row],[ds]]),DAY(m5_crossvalid[[#This Row],[ds]]))</f>
        <v>45745</v>
      </c>
      <c r="C92">
        <v>3249</v>
      </c>
      <c r="D92" s="1">
        <v>45745.333333333336</v>
      </c>
      <c r="E92">
        <v>3059.8917467648162</v>
      </c>
      <c r="F92">
        <v>1595.9820014356246</v>
      </c>
      <c r="G92">
        <v>4451.244838870236</v>
      </c>
      <c r="H92" s="1">
        <v>45716.333333333336</v>
      </c>
    </row>
    <row r="93" spans="1:8" x14ac:dyDescent="0.25">
      <c r="A93" s="7">
        <f>DATE(YEAR(m5_crossvalid[[#This Row],[cutoff]]),MONTH(m5_crossvalid[[#This Row],[cutoff]]),DAY(m5_crossvalid[[#This Row],[cutoff]]))</f>
        <v>45716</v>
      </c>
      <c r="B93" s="7">
        <f>DATE(YEAR(m5_crossvalid[[#This Row],[ds]]),MONTH(m5_crossvalid[[#This Row],[ds]]),DAY(m5_crossvalid[[#This Row],[ds]]))</f>
        <v>45746</v>
      </c>
      <c r="C93">
        <v>198</v>
      </c>
      <c r="D93" s="1">
        <v>45746.333333333336</v>
      </c>
      <c r="E93">
        <v>5065.0423286193563</v>
      </c>
      <c r="F93">
        <v>3629.1477691358932</v>
      </c>
      <c r="G93">
        <v>6389.045141902654</v>
      </c>
      <c r="H93" s="1">
        <v>45716.333333333336</v>
      </c>
    </row>
    <row r="94" spans="1:8" x14ac:dyDescent="0.25">
      <c r="A94" s="7">
        <f>DATE(YEAR(m5_crossvalid[[#This Row],[cutoff]]),MONTH(m5_crossvalid[[#This Row],[cutoff]]),DAY(m5_crossvalid[[#This Row],[cutoff]]))</f>
        <v>45716</v>
      </c>
      <c r="B94" s="7">
        <f>DATE(YEAR(m5_crossvalid[[#This Row],[ds]]),MONTH(m5_crossvalid[[#This Row],[ds]]),DAY(m5_crossvalid[[#This Row],[ds]]))</f>
        <v>45747</v>
      </c>
      <c r="C94">
        <v>53</v>
      </c>
      <c r="D94" s="1">
        <v>45747.333333333336</v>
      </c>
      <c r="E94">
        <v>7839.2306687879118</v>
      </c>
      <c r="F94">
        <v>6325.1395250102632</v>
      </c>
      <c r="G94">
        <v>9386.0842329929255</v>
      </c>
      <c r="H94" s="1">
        <v>45716.333333333336</v>
      </c>
    </row>
    <row r="95" spans="1:8" x14ac:dyDescent="0.25">
      <c r="A95" s="7">
        <f>DATE(YEAR(m5_crossvalid[[#This Row],[cutoff]]),MONTH(m5_crossvalid[[#This Row],[cutoff]]),DAY(m5_crossvalid[[#This Row],[cutoff]]))</f>
        <v>45747</v>
      </c>
      <c r="B95" s="7">
        <f>DATE(YEAR(m5_crossvalid[[#This Row],[ds]]),MONTH(m5_crossvalid[[#This Row],[ds]]),DAY(m5_crossvalid[[#This Row],[ds]]))</f>
        <v>45748</v>
      </c>
      <c r="C95">
        <v>2</v>
      </c>
      <c r="D95" s="1">
        <v>45748.333333333336</v>
      </c>
      <c r="E95">
        <v>-213.20656180974356</v>
      </c>
      <c r="F95">
        <v>-1559.2943641497161</v>
      </c>
      <c r="G95">
        <v>1350.3768010592987</v>
      </c>
      <c r="H95" s="1">
        <v>45747.333333333336</v>
      </c>
    </row>
    <row r="96" spans="1:8" x14ac:dyDescent="0.25">
      <c r="A96" s="7">
        <f>DATE(YEAR(m5_crossvalid[[#This Row],[cutoff]]),MONTH(m5_crossvalid[[#This Row],[cutoff]]),DAY(m5_crossvalid[[#This Row],[cutoff]]))</f>
        <v>45747</v>
      </c>
      <c r="B96" s="7">
        <f>DATE(YEAR(m5_crossvalid[[#This Row],[ds]]),MONTH(m5_crossvalid[[#This Row],[ds]]),DAY(m5_crossvalid[[#This Row],[ds]]))</f>
        <v>45749</v>
      </c>
      <c r="C96">
        <v>105</v>
      </c>
      <c r="D96" s="1">
        <v>45749.333333333336</v>
      </c>
      <c r="E96">
        <v>1521.5332358908552</v>
      </c>
      <c r="F96">
        <v>77.663435821931458</v>
      </c>
      <c r="G96">
        <v>2876.3062387639175</v>
      </c>
      <c r="H96" s="1">
        <v>45747.333333333336</v>
      </c>
    </row>
    <row r="97" spans="1:8" x14ac:dyDescent="0.25">
      <c r="A97" s="7">
        <f>DATE(YEAR(m5_crossvalid[[#This Row],[cutoff]]),MONTH(m5_crossvalid[[#This Row],[cutoff]]),DAY(m5_crossvalid[[#This Row],[cutoff]]))</f>
        <v>45747</v>
      </c>
      <c r="B97" s="7">
        <f>DATE(YEAR(m5_crossvalid[[#This Row],[ds]]),MONTH(m5_crossvalid[[#This Row],[ds]]),DAY(m5_crossvalid[[#This Row],[ds]]))</f>
        <v>45750</v>
      </c>
      <c r="C97">
        <v>284</v>
      </c>
      <c r="D97" s="1">
        <v>45750.333333333336</v>
      </c>
      <c r="E97">
        <v>191.6574440330121</v>
      </c>
      <c r="F97">
        <v>-1275.6877170461707</v>
      </c>
      <c r="G97">
        <v>1586.4237438108851</v>
      </c>
      <c r="H97" s="1">
        <v>45747.333333333336</v>
      </c>
    </row>
    <row r="98" spans="1:8" x14ac:dyDescent="0.25">
      <c r="A98" s="7">
        <f>DATE(YEAR(m5_crossvalid[[#This Row],[cutoff]]),MONTH(m5_crossvalid[[#This Row],[cutoff]]),DAY(m5_crossvalid[[#This Row],[cutoff]]))</f>
        <v>45747</v>
      </c>
      <c r="B98" s="7">
        <f>DATE(YEAR(m5_crossvalid[[#This Row],[ds]]),MONTH(m5_crossvalid[[#This Row],[ds]]),DAY(m5_crossvalid[[#This Row],[ds]]))</f>
        <v>45751</v>
      </c>
      <c r="C98">
        <v>403</v>
      </c>
      <c r="D98" s="1">
        <v>45751.333333333336</v>
      </c>
      <c r="E98">
        <v>1036.2989821039384</v>
      </c>
      <c r="F98">
        <v>-524.07503791270005</v>
      </c>
      <c r="G98">
        <v>2378.6628917036869</v>
      </c>
      <c r="H98" s="1">
        <v>45747.333333333336</v>
      </c>
    </row>
    <row r="99" spans="1:8" x14ac:dyDescent="0.25">
      <c r="A99" s="7">
        <f>DATE(YEAR(m5_crossvalid[[#This Row],[cutoff]]),MONTH(m5_crossvalid[[#This Row],[cutoff]]),DAY(m5_crossvalid[[#This Row],[cutoff]]))</f>
        <v>45747</v>
      </c>
      <c r="B99" s="7">
        <f>DATE(YEAR(m5_crossvalid[[#This Row],[ds]]),MONTH(m5_crossvalid[[#This Row],[ds]]),DAY(m5_crossvalid[[#This Row],[ds]]))</f>
        <v>45752</v>
      </c>
      <c r="C99">
        <v>47</v>
      </c>
      <c r="D99" s="1">
        <v>45752.333333333336</v>
      </c>
      <c r="E99">
        <v>-885.46729695086515</v>
      </c>
      <c r="F99">
        <v>-2290.449279959983</v>
      </c>
      <c r="G99">
        <v>666.16203368261768</v>
      </c>
      <c r="H99" s="1">
        <v>45747.333333333336</v>
      </c>
    </row>
    <row r="100" spans="1:8" x14ac:dyDescent="0.25">
      <c r="A100" s="7">
        <f>DATE(YEAR(m5_crossvalid[[#This Row],[cutoff]]),MONTH(m5_crossvalid[[#This Row],[cutoff]]),DAY(m5_crossvalid[[#This Row],[cutoff]]))</f>
        <v>45747</v>
      </c>
      <c r="B100" s="7">
        <f>DATE(YEAR(m5_crossvalid[[#This Row],[ds]]),MONTH(m5_crossvalid[[#This Row],[ds]]),DAY(m5_crossvalid[[#This Row],[ds]]))</f>
        <v>45753</v>
      </c>
      <c r="C100">
        <v>11</v>
      </c>
      <c r="D100" s="1">
        <v>45753.333333333336</v>
      </c>
      <c r="E100">
        <v>-1547.754101596322</v>
      </c>
      <c r="F100">
        <v>-2932.3789101010489</v>
      </c>
      <c r="G100">
        <v>-28.143114023444348</v>
      </c>
      <c r="H100" s="1">
        <v>45747.333333333336</v>
      </c>
    </row>
    <row r="101" spans="1:8" x14ac:dyDescent="0.25">
      <c r="A101" s="7">
        <f>DATE(YEAR(m5_crossvalid[[#This Row],[cutoff]]),MONTH(m5_crossvalid[[#This Row],[cutoff]]),DAY(m5_crossvalid[[#This Row],[cutoff]]))</f>
        <v>45747</v>
      </c>
      <c r="B101" s="7">
        <f>DATE(YEAR(m5_crossvalid[[#This Row],[ds]]),MONTH(m5_crossvalid[[#This Row],[ds]]),DAY(m5_crossvalid[[#This Row],[ds]]))</f>
        <v>45754</v>
      </c>
      <c r="C101">
        <v>477</v>
      </c>
      <c r="D101" s="1">
        <v>45754.333333333336</v>
      </c>
      <c r="E101">
        <v>-641.76507275609993</v>
      </c>
      <c r="F101">
        <v>-2110.1294380815202</v>
      </c>
      <c r="G101">
        <v>740.55106069818316</v>
      </c>
      <c r="H101" s="1">
        <v>45747.333333333336</v>
      </c>
    </row>
    <row r="102" spans="1:8" x14ac:dyDescent="0.25">
      <c r="A102" s="7">
        <f>DATE(YEAR(m5_crossvalid[[#This Row],[cutoff]]),MONTH(m5_crossvalid[[#This Row],[cutoff]]),DAY(m5_crossvalid[[#This Row],[cutoff]]))</f>
        <v>45747</v>
      </c>
      <c r="B102" s="7">
        <f>DATE(YEAR(m5_crossvalid[[#This Row],[ds]]),MONTH(m5_crossvalid[[#This Row],[ds]]),DAY(m5_crossvalid[[#This Row],[ds]]))</f>
        <v>45755</v>
      </c>
      <c r="C102">
        <v>775</v>
      </c>
      <c r="D102" s="1">
        <v>45755.333333333336</v>
      </c>
      <c r="E102">
        <v>1094.2035106918217</v>
      </c>
      <c r="F102">
        <v>-363.31543942865176</v>
      </c>
      <c r="G102">
        <v>2534.0329103133417</v>
      </c>
      <c r="H102" s="1">
        <v>45747.333333333336</v>
      </c>
    </row>
    <row r="103" spans="1:8" x14ac:dyDescent="0.25">
      <c r="A103" s="7">
        <f>DATE(YEAR(m5_crossvalid[[#This Row],[cutoff]]),MONTH(m5_crossvalid[[#This Row],[cutoff]]),DAY(m5_crossvalid[[#This Row],[cutoff]]))</f>
        <v>45747</v>
      </c>
      <c r="B103" s="7">
        <f>DATE(YEAR(m5_crossvalid[[#This Row],[ds]]),MONTH(m5_crossvalid[[#This Row],[ds]]),DAY(m5_crossvalid[[#This Row],[ds]]))</f>
        <v>45756</v>
      </c>
      <c r="C103">
        <v>1016</v>
      </c>
      <c r="D103" s="1">
        <v>45756.333333333336</v>
      </c>
      <c r="E103">
        <v>2425.4294000186101</v>
      </c>
      <c r="F103">
        <v>945.78210396437566</v>
      </c>
      <c r="G103">
        <v>3876.2260159253319</v>
      </c>
      <c r="H103" s="1">
        <v>45747.333333333336</v>
      </c>
    </row>
    <row r="104" spans="1:8" x14ac:dyDescent="0.25">
      <c r="A104" s="7">
        <f>DATE(YEAR(m5_crossvalid[[#This Row],[cutoff]]),MONTH(m5_crossvalid[[#This Row],[cutoff]]),DAY(m5_crossvalid[[#This Row],[cutoff]]))</f>
        <v>45747</v>
      </c>
      <c r="B104" s="7">
        <f>DATE(YEAR(m5_crossvalid[[#This Row],[ds]]),MONTH(m5_crossvalid[[#This Row],[ds]]),DAY(m5_crossvalid[[#This Row],[ds]]))</f>
        <v>45757</v>
      </c>
      <c r="C104">
        <v>1422</v>
      </c>
      <c r="D104" s="1">
        <v>45757.333333333336</v>
      </c>
      <c r="E104">
        <v>2330.045240900748</v>
      </c>
      <c r="F104">
        <v>879.03993935111885</v>
      </c>
      <c r="G104">
        <v>3828.3563751173037</v>
      </c>
      <c r="H104" s="1">
        <v>45747.333333333336</v>
      </c>
    </row>
    <row r="105" spans="1:8" x14ac:dyDescent="0.25">
      <c r="A105" s="7">
        <f>DATE(YEAR(m5_crossvalid[[#This Row],[cutoff]]),MONTH(m5_crossvalid[[#This Row],[cutoff]]),DAY(m5_crossvalid[[#This Row],[cutoff]]))</f>
        <v>45747</v>
      </c>
      <c r="B105" s="7">
        <f>DATE(YEAR(m5_crossvalid[[#This Row],[ds]]),MONTH(m5_crossvalid[[#This Row],[ds]]),DAY(m5_crossvalid[[#This Row],[ds]]))</f>
        <v>45758</v>
      </c>
      <c r="C105">
        <v>1565</v>
      </c>
      <c r="D105" s="1">
        <v>45758.333333333336</v>
      </c>
      <c r="E105">
        <v>2327.4423589884987</v>
      </c>
      <c r="F105">
        <v>834.67045870368202</v>
      </c>
      <c r="G105">
        <v>3745.5042534399668</v>
      </c>
      <c r="H105" s="1">
        <v>45747.333333333336</v>
      </c>
    </row>
    <row r="106" spans="1:8" x14ac:dyDescent="0.25">
      <c r="A106" s="7">
        <f>DATE(YEAR(m5_crossvalid[[#This Row],[cutoff]]),MONTH(m5_crossvalid[[#This Row],[cutoff]]),DAY(m5_crossvalid[[#This Row],[cutoff]]))</f>
        <v>45747</v>
      </c>
      <c r="B106" s="7">
        <f>DATE(YEAR(m5_crossvalid[[#This Row],[ds]]),MONTH(m5_crossvalid[[#This Row],[ds]]),DAY(m5_crossvalid[[#This Row],[ds]]))</f>
        <v>45759</v>
      </c>
      <c r="C106">
        <v>276</v>
      </c>
      <c r="D106" s="1">
        <v>45759.333333333336</v>
      </c>
      <c r="E106">
        <v>228.79778640985</v>
      </c>
      <c r="F106">
        <v>-1243.2057172856689</v>
      </c>
      <c r="G106">
        <v>1595.6153665771369</v>
      </c>
      <c r="H106" s="1">
        <v>45747.333333333336</v>
      </c>
    </row>
    <row r="107" spans="1:8" x14ac:dyDescent="0.25">
      <c r="A107" s="7">
        <f>DATE(YEAR(m5_crossvalid[[#This Row],[cutoff]]),MONTH(m5_crossvalid[[#This Row],[cutoff]]),DAY(m5_crossvalid[[#This Row],[cutoff]]))</f>
        <v>45747</v>
      </c>
      <c r="B107" s="7">
        <f>DATE(YEAR(m5_crossvalid[[#This Row],[ds]]),MONTH(m5_crossvalid[[#This Row],[ds]]),DAY(m5_crossvalid[[#This Row],[ds]]))</f>
        <v>45760</v>
      </c>
      <c r="C107">
        <v>55</v>
      </c>
      <c r="D107" s="1">
        <v>45760.333333333336</v>
      </c>
      <c r="E107">
        <v>-190.62270002918558</v>
      </c>
      <c r="F107">
        <v>-1563.2465602687173</v>
      </c>
      <c r="G107">
        <v>1162.8684751257124</v>
      </c>
      <c r="H107" s="1">
        <v>45747.333333333336</v>
      </c>
    </row>
    <row r="108" spans="1:8" x14ac:dyDescent="0.25">
      <c r="A108" s="7">
        <f>DATE(YEAR(m5_crossvalid[[#This Row],[cutoff]]),MONTH(m5_crossvalid[[#This Row],[cutoff]]),DAY(m5_crossvalid[[#This Row],[cutoff]]))</f>
        <v>45747</v>
      </c>
      <c r="B108" s="7">
        <f>DATE(YEAR(m5_crossvalid[[#This Row],[ds]]),MONTH(m5_crossvalid[[#This Row],[ds]]),DAY(m5_crossvalid[[#This Row],[ds]]))</f>
        <v>45761</v>
      </c>
      <c r="C108">
        <v>1634</v>
      </c>
      <c r="D108" s="1">
        <v>45761.333333333336</v>
      </c>
      <c r="E108">
        <v>2327.1032980992131</v>
      </c>
      <c r="F108">
        <v>887.43140552490854</v>
      </c>
      <c r="G108">
        <v>3780.3601107608943</v>
      </c>
      <c r="H108" s="1">
        <v>45747.333333333336</v>
      </c>
    </row>
    <row r="109" spans="1:8" x14ac:dyDescent="0.25">
      <c r="A109" s="7">
        <f>DATE(YEAR(m5_crossvalid[[#This Row],[cutoff]]),MONTH(m5_crossvalid[[#This Row],[cutoff]]),DAY(m5_crossvalid[[#This Row],[cutoff]]))</f>
        <v>45747</v>
      </c>
      <c r="B109" s="7">
        <f>DATE(YEAR(m5_crossvalid[[#This Row],[ds]]),MONTH(m5_crossvalid[[#This Row],[ds]]),DAY(m5_crossvalid[[#This Row],[ds]]))</f>
        <v>45762</v>
      </c>
      <c r="C109">
        <v>1965</v>
      </c>
      <c r="D109" s="1">
        <v>45762.333333333336</v>
      </c>
      <c r="E109">
        <v>2707.7858328094076</v>
      </c>
      <c r="F109">
        <v>1239.6227623929071</v>
      </c>
      <c r="G109">
        <v>4132.2496929455056</v>
      </c>
      <c r="H109" s="1">
        <v>45747.333333333336</v>
      </c>
    </row>
    <row r="110" spans="1:8" x14ac:dyDescent="0.25">
      <c r="A110" s="7">
        <f>DATE(YEAR(m5_crossvalid[[#This Row],[cutoff]]),MONTH(m5_crossvalid[[#This Row],[cutoff]]),DAY(m5_crossvalid[[#This Row],[cutoff]]))</f>
        <v>45747</v>
      </c>
      <c r="B110" s="7">
        <f>DATE(YEAR(m5_crossvalid[[#This Row],[ds]]),MONTH(m5_crossvalid[[#This Row],[ds]]),DAY(m5_crossvalid[[#This Row],[ds]]))</f>
        <v>45763</v>
      </c>
      <c r="C110">
        <v>2361</v>
      </c>
      <c r="D110" s="1">
        <v>45763.333333333336</v>
      </c>
      <c r="E110">
        <v>2861.3107575158779</v>
      </c>
      <c r="F110">
        <v>1408.4334961818956</v>
      </c>
      <c r="G110">
        <v>4181.0820466054056</v>
      </c>
      <c r="H110" s="1">
        <v>45747.333333333336</v>
      </c>
    </row>
    <row r="111" spans="1:8" x14ac:dyDescent="0.25">
      <c r="A111" s="7">
        <f>DATE(YEAR(m5_crossvalid[[#This Row],[cutoff]]),MONTH(m5_crossvalid[[#This Row],[cutoff]]),DAY(m5_crossvalid[[#This Row],[cutoff]]))</f>
        <v>45747</v>
      </c>
      <c r="B111" s="7">
        <f>DATE(YEAR(m5_crossvalid[[#This Row],[ds]]),MONTH(m5_crossvalid[[#This Row],[ds]]),DAY(m5_crossvalid[[#This Row],[ds]]))</f>
        <v>45764</v>
      </c>
      <c r="C111">
        <v>2761</v>
      </c>
      <c r="D111" s="1">
        <v>45764.333333333336</v>
      </c>
      <c r="E111">
        <v>3023.6096650369118</v>
      </c>
      <c r="F111">
        <v>1718.6629932887222</v>
      </c>
      <c r="G111">
        <v>4549.9098703245299</v>
      </c>
      <c r="H111" s="1">
        <v>45747.333333333336</v>
      </c>
    </row>
    <row r="112" spans="1:8" x14ac:dyDescent="0.25">
      <c r="A112" s="7">
        <f>DATE(YEAR(m5_crossvalid[[#This Row],[cutoff]]),MONTH(m5_crossvalid[[#This Row],[cutoff]]),DAY(m5_crossvalid[[#This Row],[cutoff]]))</f>
        <v>45747</v>
      </c>
      <c r="B112" s="7">
        <f>DATE(YEAR(m5_crossvalid[[#This Row],[ds]]),MONTH(m5_crossvalid[[#This Row],[ds]]),DAY(m5_crossvalid[[#This Row],[ds]]))</f>
        <v>45765</v>
      </c>
      <c r="C112">
        <v>2721</v>
      </c>
      <c r="D112" s="1">
        <v>45765.333333333336</v>
      </c>
      <c r="E112">
        <v>3123.0669074831803</v>
      </c>
      <c r="F112">
        <v>1756.1171546981689</v>
      </c>
      <c r="G112">
        <v>4607.007096910831</v>
      </c>
      <c r="H112" s="1">
        <v>45747.333333333336</v>
      </c>
    </row>
    <row r="113" spans="1:8" x14ac:dyDescent="0.25">
      <c r="A113" s="7">
        <f>DATE(YEAR(m5_crossvalid[[#This Row],[cutoff]]),MONTH(m5_crossvalid[[#This Row],[cutoff]]),DAY(m5_crossvalid[[#This Row],[cutoff]]))</f>
        <v>45747</v>
      </c>
      <c r="B113" s="7">
        <f>DATE(YEAR(m5_crossvalid[[#This Row],[ds]]),MONTH(m5_crossvalid[[#This Row],[ds]]),DAY(m5_crossvalid[[#This Row],[ds]]))</f>
        <v>45766</v>
      </c>
      <c r="C113">
        <v>420</v>
      </c>
      <c r="D113" s="1">
        <v>45766.333333333336</v>
      </c>
      <c r="E113">
        <v>952.15758982650186</v>
      </c>
      <c r="F113">
        <v>-565.88543448019971</v>
      </c>
      <c r="G113">
        <v>2410.9525284048495</v>
      </c>
      <c r="H113" s="1">
        <v>45747.333333333336</v>
      </c>
    </row>
    <row r="114" spans="1:8" x14ac:dyDescent="0.25">
      <c r="A114" s="7">
        <f>DATE(YEAR(m5_crossvalid[[#This Row],[cutoff]]),MONTH(m5_crossvalid[[#This Row],[cutoff]]),DAY(m5_crossvalid[[#This Row],[cutoff]]))</f>
        <v>45747</v>
      </c>
      <c r="B114" s="7">
        <f>DATE(YEAR(m5_crossvalid[[#This Row],[ds]]),MONTH(m5_crossvalid[[#This Row],[ds]]),DAY(m5_crossvalid[[#This Row],[ds]]))</f>
        <v>45767</v>
      </c>
      <c r="C114">
        <v>166</v>
      </c>
      <c r="D114" s="1">
        <v>45767.333333333336</v>
      </c>
      <c r="E114">
        <v>399.93349148310836</v>
      </c>
      <c r="F114">
        <v>-1015.8236099881332</v>
      </c>
      <c r="G114">
        <v>1850.9367385319197</v>
      </c>
      <c r="H114" s="1">
        <v>45747.333333333336</v>
      </c>
    </row>
    <row r="115" spans="1:8" x14ac:dyDescent="0.25">
      <c r="A115" s="7">
        <f>DATE(YEAR(m5_crossvalid[[#This Row],[cutoff]]),MONTH(m5_crossvalid[[#This Row],[cutoff]]),DAY(m5_crossvalid[[#This Row],[cutoff]]))</f>
        <v>45747</v>
      </c>
      <c r="B115" s="7">
        <f>DATE(YEAR(m5_crossvalid[[#This Row],[ds]]),MONTH(m5_crossvalid[[#This Row],[ds]]),DAY(m5_crossvalid[[#This Row],[ds]]))</f>
        <v>45768</v>
      </c>
      <c r="C115">
        <v>2715</v>
      </c>
      <c r="D115" s="1">
        <v>45768.333333333336</v>
      </c>
      <c r="E115">
        <v>2863.5174742857348</v>
      </c>
      <c r="F115">
        <v>1505.4264241263027</v>
      </c>
      <c r="G115">
        <v>4178.4460265620173</v>
      </c>
      <c r="H115" s="1">
        <v>45747.333333333336</v>
      </c>
    </row>
    <row r="116" spans="1:8" x14ac:dyDescent="0.25">
      <c r="A116" s="7">
        <f>DATE(YEAR(m5_crossvalid[[#This Row],[cutoff]]),MONTH(m5_crossvalid[[#This Row],[cutoff]]),DAY(m5_crossvalid[[#This Row],[cutoff]]))</f>
        <v>45747</v>
      </c>
      <c r="B116" s="7">
        <f>DATE(YEAR(m5_crossvalid[[#This Row],[ds]]),MONTH(m5_crossvalid[[#This Row],[ds]]),DAY(m5_crossvalid[[#This Row],[ds]]))</f>
        <v>45769</v>
      </c>
      <c r="C116">
        <v>3162</v>
      </c>
      <c r="D116" s="1">
        <v>45769.333333333336</v>
      </c>
      <c r="E116">
        <v>3311.4745776677469</v>
      </c>
      <c r="F116">
        <v>1974.9145693859421</v>
      </c>
      <c r="G116">
        <v>4792.8354882964722</v>
      </c>
      <c r="H116" s="1">
        <v>45747.333333333336</v>
      </c>
    </row>
    <row r="117" spans="1:8" x14ac:dyDescent="0.25">
      <c r="A117" s="7">
        <f>DATE(YEAR(m5_crossvalid[[#This Row],[cutoff]]),MONTH(m5_crossvalid[[#This Row],[cutoff]]),DAY(m5_crossvalid[[#This Row],[cutoff]]))</f>
        <v>45747</v>
      </c>
      <c r="B117" s="7">
        <f>DATE(YEAR(m5_crossvalid[[#This Row],[ds]]),MONTH(m5_crossvalid[[#This Row],[ds]]),DAY(m5_crossvalid[[#This Row],[ds]]))</f>
        <v>45770</v>
      </c>
      <c r="C117">
        <v>3604</v>
      </c>
      <c r="D117" s="1">
        <v>45770.333333333336</v>
      </c>
      <c r="E117">
        <v>3575.1824547483643</v>
      </c>
      <c r="F117">
        <v>2244.4504602228585</v>
      </c>
      <c r="G117">
        <v>4936.4156594361475</v>
      </c>
      <c r="H117" s="1">
        <v>45747.333333333336</v>
      </c>
    </row>
    <row r="118" spans="1:8" x14ac:dyDescent="0.25">
      <c r="A118" s="7">
        <f>DATE(YEAR(m5_crossvalid[[#This Row],[cutoff]]),MONTH(m5_crossvalid[[#This Row],[cutoff]]),DAY(m5_crossvalid[[#This Row],[cutoff]]))</f>
        <v>45747</v>
      </c>
      <c r="B118" s="7">
        <f>DATE(YEAR(m5_crossvalid[[#This Row],[ds]]),MONTH(m5_crossvalid[[#This Row],[ds]]),DAY(m5_crossvalid[[#This Row],[ds]]))</f>
        <v>45771</v>
      </c>
      <c r="C118">
        <v>3831</v>
      </c>
      <c r="D118" s="1">
        <v>45771.333333333336</v>
      </c>
      <c r="E118">
        <v>3779.9733550621709</v>
      </c>
      <c r="F118">
        <v>2364.4136531238446</v>
      </c>
      <c r="G118">
        <v>5205.4671940238341</v>
      </c>
      <c r="H118" s="1">
        <v>45747.333333333336</v>
      </c>
    </row>
    <row r="119" spans="1:8" x14ac:dyDescent="0.25">
      <c r="A119" s="7">
        <f>DATE(YEAR(m5_crossvalid[[#This Row],[cutoff]]),MONTH(m5_crossvalid[[#This Row],[cutoff]]),DAY(m5_crossvalid[[#This Row],[cutoff]]))</f>
        <v>45747</v>
      </c>
      <c r="B119" s="7">
        <f>DATE(YEAR(m5_crossvalid[[#This Row],[ds]]),MONTH(m5_crossvalid[[#This Row],[ds]]),DAY(m5_crossvalid[[#This Row],[ds]]))</f>
        <v>45772</v>
      </c>
      <c r="C119">
        <v>4600</v>
      </c>
      <c r="D119" s="1">
        <v>45772.333333333336</v>
      </c>
      <c r="E119">
        <v>3823.1070827985441</v>
      </c>
      <c r="F119">
        <v>2498.4208807882242</v>
      </c>
      <c r="G119">
        <v>5209.4132466441151</v>
      </c>
      <c r="H119" s="1">
        <v>45747.333333333336</v>
      </c>
    </row>
    <row r="120" spans="1:8" x14ac:dyDescent="0.25">
      <c r="A120" s="7">
        <f>DATE(YEAR(m5_crossvalid[[#This Row],[cutoff]]),MONTH(m5_crossvalid[[#This Row],[cutoff]]),DAY(m5_crossvalid[[#This Row],[cutoff]]))</f>
        <v>45747</v>
      </c>
      <c r="B120" s="7">
        <f>DATE(YEAR(m5_crossvalid[[#This Row],[ds]]),MONTH(m5_crossvalid[[#This Row],[ds]]),DAY(m5_crossvalid[[#This Row],[ds]]))</f>
        <v>45773</v>
      </c>
      <c r="C120">
        <v>1014</v>
      </c>
      <c r="D120" s="1">
        <v>45773.333333333336</v>
      </c>
      <c r="E120">
        <v>3002.4302176073852</v>
      </c>
      <c r="F120">
        <v>1485.7021902499109</v>
      </c>
      <c r="G120">
        <v>4519.4678520420566</v>
      </c>
      <c r="H120" s="1">
        <v>45747.333333333336</v>
      </c>
    </row>
    <row r="121" spans="1:8" x14ac:dyDescent="0.25">
      <c r="A121" s="7">
        <f>DATE(YEAR(m5_crossvalid[[#This Row],[cutoff]]),MONTH(m5_crossvalid[[#This Row],[cutoff]]),DAY(m5_crossvalid[[#This Row],[cutoff]]))</f>
        <v>45747</v>
      </c>
      <c r="B121" s="7">
        <f>DATE(YEAR(m5_crossvalid[[#This Row],[ds]]),MONTH(m5_crossvalid[[#This Row],[ds]]),DAY(m5_crossvalid[[#This Row],[ds]]))</f>
        <v>45774</v>
      </c>
      <c r="C121">
        <v>198</v>
      </c>
      <c r="D121" s="1">
        <v>45774.333333333336</v>
      </c>
      <c r="E121">
        <v>2429.0100810888953</v>
      </c>
      <c r="F121">
        <v>1030.1354133159496</v>
      </c>
      <c r="G121">
        <v>3885.7141563335654</v>
      </c>
      <c r="H121" s="1">
        <v>45747.333333333336</v>
      </c>
    </row>
    <row r="122" spans="1:8" x14ac:dyDescent="0.25">
      <c r="A122" s="7">
        <f>DATE(YEAR(m5_crossvalid[[#This Row],[cutoff]]),MONTH(m5_crossvalid[[#This Row],[cutoff]]),DAY(m5_crossvalid[[#This Row],[cutoff]]))</f>
        <v>45747</v>
      </c>
      <c r="B122" s="7">
        <f>DATE(YEAR(m5_crossvalid[[#This Row],[ds]]),MONTH(m5_crossvalid[[#This Row],[ds]]),DAY(m5_crossvalid[[#This Row],[ds]]))</f>
        <v>45775</v>
      </c>
      <c r="C122">
        <v>5133</v>
      </c>
      <c r="D122" s="1">
        <v>45775.333333333336</v>
      </c>
      <c r="E122">
        <v>4928.4261304606498</v>
      </c>
      <c r="F122">
        <v>3413.4834823474043</v>
      </c>
      <c r="G122">
        <v>6305.6401020759622</v>
      </c>
      <c r="H122" s="1">
        <v>45747.333333333336</v>
      </c>
    </row>
    <row r="123" spans="1:8" x14ac:dyDescent="0.25">
      <c r="A123" s="7">
        <f>DATE(YEAR(m5_crossvalid[[#This Row],[cutoff]]),MONTH(m5_crossvalid[[#This Row],[cutoff]]),DAY(m5_crossvalid[[#This Row],[cutoff]]))</f>
        <v>45747</v>
      </c>
      <c r="B123" s="7">
        <f>DATE(YEAR(m5_crossvalid[[#This Row],[ds]]),MONTH(m5_crossvalid[[#This Row],[ds]]),DAY(m5_crossvalid[[#This Row],[ds]]))</f>
        <v>45776</v>
      </c>
      <c r="C123">
        <v>7913</v>
      </c>
      <c r="D123" s="1">
        <v>45776.333333333336</v>
      </c>
      <c r="E123">
        <v>7469.8267803786948</v>
      </c>
      <c r="F123">
        <v>6053.7414485705331</v>
      </c>
      <c r="G123">
        <v>8839.4184988728357</v>
      </c>
      <c r="H123" s="1">
        <v>45747.333333333336</v>
      </c>
    </row>
    <row r="124" spans="1:8" x14ac:dyDescent="0.25">
      <c r="A124" s="7">
        <f>DATE(YEAR(m5_crossvalid[[#This Row],[cutoff]]),MONTH(m5_crossvalid[[#This Row],[cutoff]]),DAY(m5_crossvalid[[#This Row],[cutoff]]))</f>
        <v>45747</v>
      </c>
      <c r="B124" s="7">
        <f>DATE(YEAR(m5_crossvalid[[#This Row],[ds]]),MONTH(m5_crossvalid[[#This Row],[ds]]),DAY(m5_crossvalid[[#This Row],[ds]]))</f>
        <v>45777</v>
      </c>
      <c r="C124">
        <v>14564</v>
      </c>
      <c r="D124" s="1">
        <v>45777.333333333336</v>
      </c>
      <c r="E124">
        <v>9542.3508283574993</v>
      </c>
      <c r="F124">
        <v>8197.3841035513069</v>
      </c>
      <c r="G124">
        <v>11016.313188499606</v>
      </c>
      <c r="H124" s="1">
        <v>45747.333333333336</v>
      </c>
    </row>
    <row r="125" spans="1:8" x14ac:dyDescent="0.25">
      <c r="A125" s="7">
        <f>DATE(YEAR(m5_crossvalid[[#This Row],[cutoff]]),MONTH(m5_crossvalid[[#This Row],[cutoff]]),DAY(m5_crossvalid[[#This Row],[cutoff]]))</f>
        <v>45747</v>
      </c>
      <c r="B125" s="7">
        <f>DATE(YEAR(m5_crossvalid[[#This Row],[ds]]),MONTH(m5_crossvalid[[#This Row],[ds]]),DAY(m5_crossvalid[[#This Row],[ds]]))</f>
        <v>45778</v>
      </c>
      <c r="C125">
        <v>24</v>
      </c>
      <c r="D125" s="1">
        <v>45778.333333333336</v>
      </c>
      <c r="E125">
        <v>1364.0458963066912</v>
      </c>
      <c r="F125">
        <v>-121.83859334914601</v>
      </c>
      <c r="G125">
        <v>2758.2866125720047</v>
      </c>
      <c r="H125" s="1">
        <v>45747.333333333336</v>
      </c>
    </row>
    <row r="126" spans="1:8" x14ac:dyDescent="0.25">
      <c r="A126" s="7">
        <f>DATE(YEAR(m5_crossvalid[[#This Row],[cutoff]]),MONTH(m5_crossvalid[[#This Row],[cutoff]]),DAY(m5_crossvalid[[#This Row],[cutoff]]))</f>
        <v>45777</v>
      </c>
      <c r="B126" s="7">
        <f>DATE(YEAR(m5_crossvalid[[#This Row],[ds]]),MONTH(m5_crossvalid[[#This Row],[ds]]),DAY(m5_crossvalid[[#This Row],[ds]]))</f>
        <v>45778</v>
      </c>
      <c r="C126">
        <v>24</v>
      </c>
      <c r="D126" s="1">
        <v>45778.333333333336</v>
      </c>
      <c r="E126">
        <v>1538.352999840105</v>
      </c>
      <c r="F126">
        <v>23.173598375052872</v>
      </c>
      <c r="G126">
        <v>2887.61649155533</v>
      </c>
      <c r="H126" s="1">
        <v>45777.333333333336</v>
      </c>
    </row>
    <row r="127" spans="1:8" x14ac:dyDescent="0.25">
      <c r="A127" s="7">
        <f>DATE(YEAR(m5_crossvalid[[#This Row],[cutoff]]),MONTH(m5_crossvalid[[#This Row],[cutoff]]),DAY(m5_crossvalid[[#This Row],[cutoff]]))</f>
        <v>45777</v>
      </c>
      <c r="B127" s="7">
        <f>DATE(YEAR(m5_crossvalid[[#This Row],[ds]]),MONTH(m5_crossvalid[[#This Row],[ds]]),DAY(m5_crossvalid[[#This Row],[ds]]))</f>
        <v>45779</v>
      </c>
      <c r="C127">
        <v>750</v>
      </c>
      <c r="D127" s="1">
        <v>45779.333333333336</v>
      </c>
      <c r="E127">
        <v>2398.5812033720695</v>
      </c>
      <c r="F127">
        <v>913.87322805697727</v>
      </c>
      <c r="G127">
        <v>3917.3535989161555</v>
      </c>
      <c r="H127" s="1">
        <v>45777.333333333336</v>
      </c>
    </row>
    <row r="128" spans="1:8" x14ac:dyDescent="0.25">
      <c r="A128" s="7">
        <f>DATE(YEAR(m5_crossvalid[[#This Row],[cutoff]]),MONTH(m5_crossvalid[[#This Row],[cutoff]]),DAY(m5_crossvalid[[#This Row],[cutoff]]))</f>
        <v>45777</v>
      </c>
      <c r="B128" s="7">
        <f>DATE(YEAR(m5_crossvalid[[#This Row],[ds]]),MONTH(m5_crossvalid[[#This Row],[ds]]),DAY(m5_crossvalid[[#This Row],[ds]]))</f>
        <v>45780</v>
      </c>
      <c r="C128">
        <v>70</v>
      </c>
      <c r="D128" s="1">
        <v>45780.333333333336</v>
      </c>
      <c r="E128">
        <v>-450.52510100824747</v>
      </c>
      <c r="F128">
        <v>-1856.7038490451368</v>
      </c>
      <c r="G128">
        <v>969.87517745627929</v>
      </c>
      <c r="H128" s="1">
        <v>45777.333333333336</v>
      </c>
    </row>
    <row r="129" spans="1:8" x14ac:dyDescent="0.25">
      <c r="A129" s="7">
        <f>DATE(YEAR(m5_crossvalid[[#This Row],[cutoff]]),MONTH(m5_crossvalid[[#This Row],[cutoff]]),DAY(m5_crossvalid[[#This Row],[cutoff]]))</f>
        <v>45777</v>
      </c>
      <c r="B129" s="7">
        <f>DATE(YEAR(m5_crossvalid[[#This Row],[ds]]),MONTH(m5_crossvalid[[#This Row],[ds]]),DAY(m5_crossvalid[[#This Row],[ds]]))</f>
        <v>45781</v>
      </c>
      <c r="C129">
        <v>31</v>
      </c>
      <c r="D129" s="1">
        <v>45781.333333333336</v>
      </c>
      <c r="E129">
        <v>-1341.6718051694529</v>
      </c>
      <c r="F129">
        <v>-2735.6049752506774</v>
      </c>
      <c r="G129">
        <v>124.44112053360712</v>
      </c>
      <c r="H129" s="1">
        <v>45777.333333333336</v>
      </c>
    </row>
    <row r="130" spans="1:8" x14ac:dyDescent="0.25">
      <c r="A130" s="7">
        <f>DATE(YEAR(m5_crossvalid[[#This Row],[cutoff]]),MONTH(m5_crossvalid[[#This Row],[cutoff]]),DAY(m5_crossvalid[[#This Row],[cutoff]]))</f>
        <v>45777</v>
      </c>
      <c r="B130" s="7">
        <f>DATE(YEAR(m5_crossvalid[[#This Row],[ds]]),MONTH(m5_crossvalid[[#This Row],[ds]]),DAY(m5_crossvalid[[#This Row],[ds]]))</f>
        <v>45782</v>
      </c>
      <c r="C130">
        <v>1026</v>
      </c>
      <c r="D130" s="1">
        <v>45782.333333333336</v>
      </c>
      <c r="E130">
        <v>1113.0327488859514</v>
      </c>
      <c r="F130">
        <v>-261.61058388943621</v>
      </c>
      <c r="G130">
        <v>2558.789818084364</v>
      </c>
      <c r="H130" s="1">
        <v>45777.333333333336</v>
      </c>
    </row>
    <row r="131" spans="1:8" x14ac:dyDescent="0.25">
      <c r="A131" s="7">
        <f>DATE(YEAR(m5_crossvalid[[#This Row],[cutoff]]),MONTH(m5_crossvalid[[#This Row],[cutoff]]),DAY(m5_crossvalid[[#This Row],[cutoff]]))</f>
        <v>45777</v>
      </c>
      <c r="B131" s="7">
        <f>DATE(YEAR(m5_crossvalid[[#This Row],[ds]]),MONTH(m5_crossvalid[[#This Row],[ds]]),DAY(m5_crossvalid[[#This Row],[ds]]))</f>
        <v>45783</v>
      </c>
      <c r="C131">
        <v>940</v>
      </c>
      <c r="D131" s="1">
        <v>45783.333333333336</v>
      </c>
      <c r="E131">
        <v>1610.5129950300175</v>
      </c>
      <c r="F131">
        <v>207.43448993831521</v>
      </c>
      <c r="G131">
        <v>2914.8794730608079</v>
      </c>
      <c r="H131" s="1">
        <v>45777.333333333336</v>
      </c>
    </row>
    <row r="132" spans="1:8" x14ac:dyDescent="0.25">
      <c r="A132" s="7">
        <f>DATE(YEAR(m5_crossvalid[[#This Row],[cutoff]]),MONTH(m5_crossvalid[[#This Row],[cutoff]]),DAY(m5_crossvalid[[#This Row],[cutoff]]))</f>
        <v>45777</v>
      </c>
      <c r="B132" s="7">
        <f>DATE(YEAR(m5_crossvalid[[#This Row],[ds]]),MONTH(m5_crossvalid[[#This Row],[ds]]),DAY(m5_crossvalid[[#This Row],[ds]]))</f>
        <v>45784</v>
      </c>
      <c r="C132">
        <v>1225</v>
      </c>
      <c r="D132" s="1">
        <v>45784.333333333336</v>
      </c>
      <c r="E132">
        <v>1797.1506441814952</v>
      </c>
      <c r="F132">
        <v>355.17226182621982</v>
      </c>
      <c r="G132">
        <v>3217.4757210457342</v>
      </c>
      <c r="H132" s="1">
        <v>45777.333333333336</v>
      </c>
    </row>
    <row r="133" spans="1:8" x14ac:dyDescent="0.25">
      <c r="A133" s="7">
        <f>DATE(YEAR(m5_crossvalid[[#This Row],[cutoff]]),MONTH(m5_crossvalid[[#This Row],[cutoff]]),DAY(m5_crossvalid[[#This Row],[cutoff]]))</f>
        <v>45777</v>
      </c>
      <c r="B133" s="7">
        <f>DATE(YEAR(m5_crossvalid[[#This Row],[ds]]),MONTH(m5_crossvalid[[#This Row],[ds]]),DAY(m5_crossvalid[[#This Row],[ds]]))</f>
        <v>45785</v>
      </c>
      <c r="C133">
        <v>1538</v>
      </c>
      <c r="D133" s="1">
        <v>45785.333333333336</v>
      </c>
      <c r="E133">
        <v>2380.6163760968848</v>
      </c>
      <c r="F133">
        <v>891.57404781384253</v>
      </c>
      <c r="G133">
        <v>3800.721658270726</v>
      </c>
      <c r="H133" s="1">
        <v>45777.333333333336</v>
      </c>
    </row>
    <row r="134" spans="1:8" x14ac:dyDescent="0.25">
      <c r="A134" s="7">
        <f>DATE(YEAR(m5_crossvalid[[#This Row],[cutoff]]),MONTH(m5_crossvalid[[#This Row],[cutoff]]),DAY(m5_crossvalid[[#This Row],[cutoff]]))</f>
        <v>45777</v>
      </c>
      <c r="B134" s="7">
        <f>DATE(YEAR(m5_crossvalid[[#This Row],[ds]]),MONTH(m5_crossvalid[[#This Row],[ds]]),DAY(m5_crossvalid[[#This Row],[ds]]))</f>
        <v>45786</v>
      </c>
      <c r="C134">
        <v>1799</v>
      </c>
      <c r="D134" s="1">
        <v>45786.333333333336</v>
      </c>
      <c r="E134">
        <v>2144.0489801072194</v>
      </c>
      <c r="F134">
        <v>767.92518449601209</v>
      </c>
      <c r="G134">
        <v>3526.8592604770133</v>
      </c>
      <c r="H134" s="1">
        <v>45777.333333333336</v>
      </c>
    </row>
    <row r="135" spans="1:8" x14ac:dyDescent="0.25">
      <c r="A135" s="7">
        <f>DATE(YEAR(m5_crossvalid[[#This Row],[cutoff]]),MONTH(m5_crossvalid[[#This Row],[cutoff]]),DAY(m5_crossvalid[[#This Row],[cutoff]]))</f>
        <v>45777</v>
      </c>
      <c r="B135" s="7">
        <f>DATE(YEAR(m5_crossvalid[[#This Row],[ds]]),MONTH(m5_crossvalid[[#This Row],[ds]]),DAY(m5_crossvalid[[#This Row],[ds]]))</f>
        <v>45787</v>
      </c>
      <c r="C135">
        <v>415</v>
      </c>
      <c r="D135" s="1">
        <v>45787.333333333336</v>
      </c>
      <c r="E135">
        <v>-247.55573576479037</v>
      </c>
      <c r="F135">
        <v>-1599.6158969752241</v>
      </c>
      <c r="G135">
        <v>1237.682425308863</v>
      </c>
      <c r="H135" s="1">
        <v>45777.333333333336</v>
      </c>
    </row>
    <row r="136" spans="1:8" x14ac:dyDescent="0.25">
      <c r="A136" s="7">
        <f>DATE(YEAR(m5_crossvalid[[#This Row],[cutoff]]),MONTH(m5_crossvalid[[#This Row],[cutoff]]),DAY(m5_crossvalid[[#This Row],[cutoff]]))</f>
        <v>45777</v>
      </c>
      <c r="B136" s="7">
        <f>DATE(YEAR(m5_crossvalid[[#This Row],[ds]]),MONTH(m5_crossvalid[[#This Row],[ds]]),DAY(m5_crossvalid[[#This Row],[ds]]))</f>
        <v>45788</v>
      </c>
      <c r="C136">
        <v>169</v>
      </c>
      <c r="D136" s="1">
        <v>45788.333333333336</v>
      </c>
      <c r="E136">
        <v>-767.69782987710869</v>
      </c>
      <c r="F136">
        <v>-2209.3565841618047</v>
      </c>
      <c r="G136">
        <v>751.04530536887785</v>
      </c>
      <c r="H136" s="1">
        <v>45777.333333333336</v>
      </c>
    </row>
    <row r="137" spans="1:8" x14ac:dyDescent="0.25">
      <c r="A137" s="7">
        <f>DATE(YEAR(m5_crossvalid[[#This Row],[cutoff]]),MONTH(m5_crossvalid[[#This Row],[cutoff]]),DAY(m5_crossvalid[[#This Row],[cutoff]]))</f>
        <v>45777</v>
      </c>
      <c r="B137" s="7">
        <f>DATE(YEAR(m5_crossvalid[[#This Row],[ds]]),MONTH(m5_crossvalid[[#This Row],[ds]]),DAY(m5_crossvalid[[#This Row],[ds]]))</f>
        <v>45789</v>
      </c>
      <c r="C137">
        <v>185</v>
      </c>
      <c r="D137" s="1">
        <v>45789.333333333336</v>
      </c>
      <c r="E137">
        <v>279.82559448272741</v>
      </c>
      <c r="F137">
        <v>-1151.2234566164275</v>
      </c>
      <c r="G137">
        <v>1805.8150001510476</v>
      </c>
      <c r="H137" s="1">
        <v>45777.333333333336</v>
      </c>
    </row>
    <row r="138" spans="1:8" x14ac:dyDescent="0.25">
      <c r="A138" s="7">
        <f>DATE(YEAR(m5_crossvalid[[#This Row],[cutoff]]),MONTH(m5_crossvalid[[#This Row],[cutoff]]),DAY(m5_crossvalid[[#This Row],[cutoff]]))</f>
        <v>45777</v>
      </c>
      <c r="B138" s="7">
        <f>DATE(YEAR(m5_crossvalid[[#This Row],[ds]]),MONTH(m5_crossvalid[[#This Row],[ds]]),DAY(m5_crossvalid[[#This Row],[ds]]))</f>
        <v>45790</v>
      </c>
      <c r="C138">
        <v>2011</v>
      </c>
      <c r="D138" s="1">
        <v>45790.333333333336</v>
      </c>
      <c r="E138">
        <v>2301.2160956791772</v>
      </c>
      <c r="F138">
        <v>763.76156540264765</v>
      </c>
      <c r="G138">
        <v>3831.352468030022</v>
      </c>
      <c r="H138" s="1">
        <v>45777.333333333336</v>
      </c>
    </row>
    <row r="139" spans="1:8" x14ac:dyDescent="0.25">
      <c r="A139" s="7">
        <f>DATE(YEAR(m5_crossvalid[[#This Row],[cutoff]]),MONTH(m5_crossvalid[[#This Row],[cutoff]]),DAY(m5_crossvalid[[#This Row],[cutoff]]))</f>
        <v>45777</v>
      </c>
      <c r="B139" s="7">
        <f>DATE(YEAR(m5_crossvalid[[#This Row],[ds]]),MONTH(m5_crossvalid[[#This Row],[ds]]),DAY(m5_crossvalid[[#This Row],[ds]]))</f>
        <v>45791</v>
      </c>
      <c r="C139">
        <v>2630</v>
      </c>
      <c r="D139" s="1">
        <v>45791.333333333336</v>
      </c>
      <c r="E139">
        <v>2427.2448023809029</v>
      </c>
      <c r="F139">
        <v>883.60334377255538</v>
      </c>
      <c r="G139">
        <v>3775.2716285141887</v>
      </c>
      <c r="H139" s="1">
        <v>45777.333333333336</v>
      </c>
    </row>
    <row r="140" spans="1:8" x14ac:dyDescent="0.25">
      <c r="A140" s="7">
        <f>DATE(YEAR(m5_crossvalid[[#This Row],[cutoff]]),MONTH(m5_crossvalid[[#This Row],[cutoff]]),DAY(m5_crossvalid[[#This Row],[cutoff]]))</f>
        <v>45777</v>
      </c>
      <c r="B140" s="7">
        <f>DATE(YEAR(m5_crossvalid[[#This Row],[ds]]),MONTH(m5_crossvalid[[#This Row],[ds]]),DAY(m5_crossvalid[[#This Row],[ds]]))</f>
        <v>45792</v>
      </c>
      <c r="C140">
        <v>2985</v>
      </c>
      <c r="D140" s="1">
        <v>45792.333333333336</v>
      </c>
      <c r="E140">
        <v>2416.9924054492444</v>
      </c>
      <c r="F140">
        <v>976.7134972597222</v>
      </c>
      <c r="G140">
        <v>3944.3344846350037</v>
      </c>
      <c r="H140" s="1">
        <v>45777.333333333336</v>
      </c>
    </row>
    <row r="141" spans="1:8" x14ac:dyDescent="0.25">
      <c r="A141" s="7">
        <f>DATE(YEAR(m5_crossvalid[[#This Row],[cutoff]]),MONTH(m5_crossvalid[[#This Row],[cutoff]]),DAY(m5_crossvalid[[#This Row],[cutoff]]))</f>
        <v>45777</v>
      </c>
      <c r="B141" s="7">
        <f>DATE(YEAR(m5_crossvalid[[#This Row],[ds]]),MONTH(m5_crossvalid[[#This Row],[ds]]),DAY(m5_crossvalid[[#This Row],[ds]]))</f>
        <v>45793</v>
      </c>
      <c r="C141">
        <v>3081</v>
      </c>
      <c r="D141" s="1">
        <v>45793.333333333336</v>
      </c>
      <c r="E141">
        <v>2434.0869570026716</v>
      </c>
      <c r="F141">
        <v>1078.9769706698153</v>
      </c>
      <c r="G141">
        <v>4018.2843484643636</v>
      </c>
      <c r="H141" s="1">
        <v>45777.333333333336</v>
      </c>
    </row>
    <row r="142" spans="1:8" x14ac:dyDescent="0.25">
      <c r="A142" s="7">
        <f>DATE(YEAR(m5_crossvalid[[#This Row],[cutoff]]),MONTH(m5_crossvalid[[#This Row],[cutoff]]),DAY(m5_crossvalid[[#This Row],[cutoff]]))</f>
        <v>45777</v>
      </c>
      <c r="B142" s="7">
        <f>DATE(YEAR(m5_crossvalid[[#This Row],[ds]]),MONTH(m5_crossvalid[[#This Row],[ds]]),DAY(m5_crossvalid[[#This Row],[ds]]))</f>
        <v>45794</v>
      </c>
      <c r="C142">
        <v>609</v>
      </c>
      <c r="D142" s="1">
        <v>45794.333333333336</v>
      </c>
      <c r="E142">
        <v>341.42909162062779</v>
      </c>
      <c r="F142">
        <v>-1122.650853163392</v>
      </c>
      <c r="G142">
        <v>1896.57791749445</v>
      </c>
      <c r="H142" s="1">
        <v>45777.333333333336</v>
      </c>
    </row>
    <row r="143" spans="1:8" x14ac:dyDescent="0.25">
      <c r="A143" s="7">
        <f>DATE(YEAR(m5_crossvalid[[#This Row],[cutoff]]),MONTH(m5_crossvalid[[#This Row],[cutoff]]),DAY(m5_crossvalid[[#This Row],[cutoff]]))</f>
        <v>45777</v>
      </c>
      <c r="B143" s="7">
        <f>DATE(YEAR(m5_crossvalid[[#This Row],[ds]]),MONTH(m5_crossvalid[[#This Row],[ds]]),DAY(m5_crossvalid[[#This Row],[ds]]))</f>
        <v>45795</v>
      </c>
      <c r="C143">
        <v>185</v>
      </c>
      <c r="D143" s="1">
        <v>45795.333333333336</v>
      </c>
      <c r="E143">
        <v>-6.3979181903855533</v>
      </c>
      <c r="F143">
        <v>-1432.3644104751813</v>
      </c>
      <c r="G143">
        <v>1548.9930440527232</v>
      </c>
      <c r="H143" s="1">
        <v>45777.333333333336</v>
      </c>
    </row>
    <row r="144" spans="1:8" x14ac:dyDescent="0.25">
      <c r="A144" s="7">
        <f>DATE(YEAR(m5_crossvalid[[#This Row],[cutoff]]),MONTH(m5_crossvalid[[#This Row],[cutoff]]),DAY(m5_crossvalid[[#This Row],[cutoff]]))</f>
        <v>45777</v>
      </c>
      <c r="B144" s="7">
        <f>DATE(YEAR(m5_crossvalid[[#This Row],[ds]]),MONTH(m5_crossvalid[[#This Row],[ds]]),DAY(m5_crossvalid[[#This Row],[ds]]))</f>
        <v>45796</v>
      </c>
      <c r="C144">
        <v>2926</v>
      </c>
      <c r="D144" s="1">
        <v>45796.333333333336</v>
      </c>
      <c r="E144">
        <v>2580.6907644623666</v>
      </c>
      <c r="F144">
        <v>1137.8353922739609</v>
      </c>
      <c r="G144">
        <v>3982.2608077979053</v>
      </c>
      <c r="H144" s="1">
        <v>45777.333333333336</v>
      </c>
    </row>
    <row r="145" spans="1:8" x14ac:dyDescent="0.25">
      <c r="A145" s="7">
        <f>DATE(YEAR(m5_crossvalid[[#This Row],[cutoff]]),MONTH(m5_crossvalid[[#This Row],[cutoff]]),DAY(m5_crossvalid[[#This Row],[cutoff]]))</f>
        <v>45777</v>
      </c>
      <c r="B145" s="7">
        <f>DATE(YEAR(m5_crossvalid[[#This Row],[ds]]),MONTH(m5_crossvalid[[#This Row],[ds]]),DAY(m5_crossvalid[[#This Row],[ds]]))</f>
        <v>45797</v>
      </c>
      <c r="C145">
        <v>3213</v>
      </c>
      <c r="D145" s="1">
        <v>45797.333333333336</v>
      </c>
      <c r="E145">
        <v>2921.9550174391507</v>
      </c>
      <c r="F145">
        <v>1489.6724793646927</v>
      </c>
      <c r="G145">
        <v>4305.8632696560799</v>
      </c>
      <c r="H145" s="1">
        <v>45777.333333333336</v>
      </c>
    </row>
    <row r="146" spans="1:8" x14ac:dyDescent="0.25">
      <c r="A146" s="7">
        <f>DATE(YEAR(m5_crossvalid[[#This Row],[cutoff]]),MONTH(m5_crossvalid[[#This Row],[cutoff]]),DAY(m5_crossvalid[[#This Row],[cutoff]]))</f>
        <v>45777</v>
      </c>
      <c r="B146" s="7">
        <f>DATE(YEAR(m5_crossvalid[[#This Row],[ds]]),MONTH(m5_crossvalid[[#This Row],[ds]]),DAY(m5_crossvalid[[#This Row],[ds]]))</f>
        <v>45798</v>
      </c>
      <c r="C146">
        <v>3566</v>
      </c>
      <c r="D146" s="1">
        <v>45798.333333333336</v>
      </c>
      <c r="E146">
        <v>2983.3254569837914</v>
      </c>
      <c r="F146">
        <v>1570.7179319730997</v>
      </c>
      <c r="G146">
        <v>4415.760969013395</v>
      </c>
      <c r="H146" s="1">
        <v>45777.333333333336</v>
      </c>
    </row>
    <row r="147" spans="1:8" x14ac:dyDescent="0.25">
      <c r="A147" s="7">
        <f>DATE(YEAR(m5_crossvalid[[#This Row],[cutoff]]),MONTH(m5_crossvalid[[#This Row],[cutoff]]),DAY(m5_crossvalid[[#This Row],[cutoff]]))</f>
        <v>45777</v>
      </c>
      <c r="B147" s="7">
        <f>DATE(YEAR(m5_crossvalid[[#This Row],[ds]]),MONTH(m5_crossvalid[[#This Row],[ds]]),DAY(m5_crossvalid[[#This Row],[ds]]))</f>
        <v>45799</v>
      </c>
      <c r="C147">
        <v>3706</v>
      </c>
      <c r="D147" s="1">
        <v>45799.333333333336</v>
      </c>
      <c r="E147">
        <v>3042.0950588199539</v>
      </c>
      <c r="F147">
        <v>1575.7274197620156</v>
      </c>
      <c r="G147">
        <v>4541.6498556449378</v>
      </c>
      <c r="H147" s="1">
        <v>45777.333333333336</v>
      </c>
    </row>
    <row r="148" spans="1:8" x14ac:dyDescent="0.25">
      <c r="A148" s="7">
        <f>DATE(YEAR(m5_crossvalid[[#This Row],[cutoff]]),MONTH(m5_crossvalid[[#This Row],[cutoff]]),DAY(m5_crossvalid[[#This Row],[cutoff]]))</f>
        <v>45777</v>
      </c>
      <c r="B148" s="7">
        <f>DATE(YEAR(m5_crossvalid[[#This Row],[ds]]),MONTH(m5_crossvalid[[#This Row],[ds]]),DAY(m5_crossvalid[[#This Row],[ds]]))</f>
        <v>45800</v>
      </c>
      <c r="C148">
        <v>3920</v>
      </c>
      <c r="D148" s="1">
        <v>45800.333333333336</v>
      </c>
      <c r="E148">
        <v>3199.5584963315555</v>
      </c>
      <c r="F148">
        <v>1777.0855423459675</v>
      </c>
      <c r="G148">
        <v>4660.7059045561055</v>
      </c>
      <c r="H148" s="1">
        <v>45777.333333333336</v>
      </c>
    </row>
    <row r="149" spans="1:8" x14ac:dyDescent="0.25">
      <c r="A149" s="7">
        <f>DATE(YEAR(m5_crossvalid[[#This Row],[cutoff]]),MONTH(m5_crossvalid[[#This Row],[cutoff]]),DAY(m5_crossvalid[[#This Row],[cutoff]]))</f>
        <v>45777</v>
      </c>
      <c r="B149" s="7">
        <f>DATE(YEAR(m5_crossvalid[[#This Row],[ds]]),MONTH(m5_crossvalid[[#This Row],[ds]]),DAY(m5_crossvalid[[#This Row],[ds]]))</f>
        <v>45801</v>
      </c>
      <c r="C149">
        <v>857</v>
      </c>
      <c r="D149" s="1">
        <v>45801.333333333336</v>
      </c>
      <c r="E149">
        <v>1191.9536010566728</v>
      </c>
      <c r="F149">
        <v>-183.01465654697392</v>
      </c>
      <c r="G149">
        <v>2599.2837466610372</v>
      </c>
      <c r="H149" s="1">
        <v>45777.333333333336</v>
      </c>
    </row>
    <row r="150" spans="1:8" x14ac:dyDescent="0.25">
      <c r="A150" s="7">
        <f>DATE(YEAR(m5_crossvalid[[#This Row],[cutoff]]),MONTH(m5_crossvalid[[#This Row],[cutoff]]),DAY(m5_crossvalid[[#This Row],[cutoff]]))</f>
        <v>45777</v>
      </c>
      <c r="B150" s="7">
        <f>DATE(YEAR(m5_crossvalid[[#This Row],[ds]]),MONTH(m5_crossvalid[[#This Row],[ds]]),DAY(m5_crossvalid[[#This Row],[ds]]))</f>
        <v>45802</v>
      </c>
      <c r="C150">
        <v>215</v>
      </c>
      <c r="D150" s="1">
        <v>45802.333333333336</v>
      </c>
      <c r="E150">
        <v>816.30594258916199</v>
      </c>
      <c r="F150">
        <v>-631.69319293213982</v>
      </c>
      <c r="G150">
        <v>2279.519045023364</v>
      </c>
      <c r="H150" s="1">
        <v>45777.333333333336</v>
      </c>
    </row>
    <row r="151" spans="1:8" x14ac:dyDescent="0.25">
      <c r="A151" s="7">
        <f>DATE(YEAR(m5_crossvalid[[#This Row],[cutoff]]),MONTH(m5_crossvalid[[#This Row],[cutoff]]),DAY(m5_crossvalid[[#This Row],[cutoff]]))</f>
        <v>45777</v>
      </c>
      <c r="B151" s="7">
        <f>DATE(YEAR(m5_crossvalid[[#This Row],[ds]]),MONTH(m5_crossvalid[[#This Row],[ds]]),DAY(m5_crossvalid[[#This Row],[ds]]))</f>
        <v>45803</v>
      </c>
      <c r="C151">
        <v>4297</v>
      </c>
      <c r="D151" s="1">
        <v>45803.333333333336</v>
      </c>
      <c r="E151">
        <v>3331.9990145937818</v>
      </c>
      <c r="F151">
        <v>1916.1056938906515</v>
      </c>
      <c r="G151">
        <v>4748.1545038451213</v>
      </c>
      <c r="H151" s="1">
        <v>45777.333333333336</v>
      </c>
    </row>
    <row r="152" spans="1:8" x14ac:dyDescent="0.25">
      <c r="A152" s="7">
        <f>DATE(YEAR(m5_crossvalid[[#This Row],[cutoff]]),MONTH(m5_crossvalid[[#This Row],[cutoff]]),DAY(m5_crossvalid[[#This Row],[cutoff]]))</f>
        <v>45777</v>
      </c>
      <c r="B152" s="7">
        <f>DATE(YEAR(m5_crossvalid[[#This Row],[ds]]),MONTH(m5_crossvalid[[#This Row],[ds]]),DAY(m5_crossvalid[[#This Row],[ds]]))</f>
        <v>45804</v>
      </c>
      <c r="C152">
        <v>5188</v>
      </c>
      <c r="D152" s="1">
        <v>45804.333333333336</v>
      </c>
      <c r="E152">
        <v>4926.68539670679</v>
      </c>
      <c r="F152">
        <v>3481.0147373209511</v>
      </c>
      <c r="G152">
        <v>6207.3698569052676</v>
      </c>
      <c r="H152" s="1">
        <v>45777.333333333336</v>
      </c>
    </row>
    <row r="153" spans="1:8" x14ac:dyDescent="0.25">
      <c r="A153" s="7">
        <f>DATE(YEAR(m5_crossvalid[[#This Row],[cutoff]]),MONTH(m5_crossvalid[[#This Row],[cutoff]]),DAY(m5_crossvalid[[#This Row],[cutoff]]))</f>
        <v>45777</v>
      </c>
      <c r="B153" s="7">
        <f>DATE(YEAR(m5_crossvalid[[#This Row],[ds]]),MONTH(m5_crossvalid[[#This Row],[ds]]),DAY(m5_crossvalid[[#This Row],[ds]]))</f>
        <v>45805</v>
      </c>
      <c r="C153">
        <v>5701</v>
      </c>
      <c r="D153" s="1">
        <v>45805.333333333336</v>
      </c>
      <c r="E153">
        <v>5100.7176797503871</v>
      </c>
      <c r="F153">
        <v>3626.8925695740181</v>
      </c>
      <c r="G153">
        <v>6605.6236739163078</v>
      </c>
      <c r="H153" s="1">
        <v>45777.333333333336</v>
      </c>
    </row>
    <row r="154" spans="1:8" x14ac:dyDescent="0.25">
      <c r="A154" s="7">
        <f>DATE(YEAR(m5_crossvalid[[#This Row],[cutoff]]),MONTH(m5_crossvalid[[#This Row],[cutoff]]),DAY(m5_crossvalid[[#This Row],[cutoff]]))</f>
        <v>45777</v>
      </c>
      <c r="B154" s="7">
        <f>DATE(YEAR(m5_crossvalid[[#This Row],[ds]]),MONTH(m5_crossvalid[[#This Row],[ds]]),DAY(m5_crossvalid[[#This Row],[ds]]))</f>
        <v>45806</v>
      </c>
      <c r="C154">
        <v>8103</v>
      </c>
      <c r="D154" s="1">
        <v>45806.333333333336</v>
      </c>
      <c r="E154">
        <v>5261.2513019482394</v>
      </c>
      <c r="F154">
        <v>3851.7964350795878</v>
      </c>
      <c r="G154">
        <v>6757.2620614537527</v>
      </c>
      <c r="H154" s="1">
        <v>45777.333333333336</v>
      </c>
    </row>
    <row r="155" spans="1:8" x14ac:dyDescent="0.25">
      <c r="A155" s="7">
        <f>DATE(YEAR(m5_crossvalid[[#This Row],[cutoff]]),MONTH(m5_crossvalid[[#This Row],[cutoff]]),DAY(m5_crossvalid[[#This Row],[cutoff]]))</f>
        <v>45777</v>
      </c>
      <c r="B155" s="7">
        <f>DATE(YEAR(m5_crossvalid[[#This Row],[ds]]),MONTH(m5_crossvalid[[#This Row],[ds]]),DAY(m5_crossvalid[[#This Row],[ds]]))</f>
        <v>45807</v>
      </c>
      <c r="C155">
        <v>8920</v>
      </c>
      <c r="D155" s="1">
        <v>45807.333333333336</v>
      </c>
      <c r="E155">
        <v>7530.6136095518341</v>
      </c>
      <c r="F155">
        <v>6176.1491807065486</v>
      </c>
      <c r="G155">
        <v>8923.5023446299419</v>
      </c>
      <c r="H155" s="1">
        <v>45777.333333333336</v>
      </c>
    </row>
    <row r="156" spans="1:8" x14ac:dyDescent="0.25">
      <c r="A156" s="7">
        <f>DATE(YEAR(m5_crossvalid[[#This Row],[cutoff]]),MONTH(m5_crossvalid[[#This Row],[cutoff]]),DAY(m5_crossvalid[[#This Row],[cutoff]]))</f>
        <v>45777</v>
      </c>
      <c r="B156" s="7">
        <f>DATE(YEAR(m5_crossvalid[[#This Row],[ds]]),MONTH(m5_crossvalid[[#This Row],[ds]]),DAY(m5_crossvalid[[#This Row],[ds]]))</f>
        <v>45808</v>
      </c>
      <c r="C156">
        <v>4108</v>
      </c>
      <c r="D156" s="1">
        <v>45808.333333333336</v>
      </c>
      <c r="E156">
        <v>7403.7306234941607</v>
      </c>
      <c r="F156">
        <v>5899.5062419288806</v>
      </c>
      <c r="G156">
        <v>8784.9964910806539</v>
      </c>
      <c r="H156" s="1">
        <v>45777.333333333336</v>
      </c>
    </row>
    <row r="157" spans="1:8" x14ac:dyDescent="0.25">
      <c r="A157" s="7">
        <f>DATE(YEAR(m5_crossvalid[[#This Row],[cutoff]]),MONTH(m5_crossvalid[[#This Row],[cutoff]]),DAY(m5_crossvalid[[#This Row],[cutoff]]))</f>
        <v>45808</v>
      </c>
      <c r="B157" s="7">
        <f>DATE(YEAR(m5_crossvalid[[#This Row],[ds]]),MONTH(m5_crossvalid[[#This Row],[ds]]),DAY(m5_crossvalid[[#This Row],[ds]]))</f>
        <v>45809</v>
      </c>
      <c r="C157">
        <v>75</v>
      </c>
      <c r="D157" s="1">
        <v>45809.333333333336</v>
      </c>
      <c r="E157">
        <v>-77.278542326975639</v>
      </c>
      <c r="F157">
        <v>-1342.3297141242747</v>
      </c>
      <c r="G157">
        <v>1324.9452604562468</v>
      </c>
      <c r="H157" s="1">
        <v>45808.333333333336</v>
      </c>
    </row>
    <row r="158" spans="1:8" x14ac:dyDescent="0.25">
      <c r="A158" s="7">
        <f>DATE(YEAR(m5_crossvalid[[#This Row],[cutoff]]),MONTH(m5_crossvalid[[#This Row],[cutoff]]),DAY(m5_crossvalid[[#This Row],[cutoff]]))</f>
        <v>45808</v>
      </c>
      <c r="B158" s="7">
        <f>DATE(YEAR(m5_crossvalid[[#This Row],[ds]]),MONTH(m5_crossvalid[[#This Row],[ds]]),DAY(m5_crossvalid[[#This Row],[ds]]))</f>
        <v>45810</v>
      </c>
      <c r="C158">
        <v>3</v>
      </c>
      <c r="D158" s="1">
        <v>45810.333333333336</v>
      </c>
      <c r="E158">
        <v>123.98833232549805</v>
      </c>
      <c r="F158">
        <v>-1347.271905060569</v>
      </c>
      <c r="G158">
        <v>1379.1595666413755</v>
      </c>
      <c r="H158" s="1">
        <v>45808.333333333336</v>
      </c>
    </row>
    <row r="159" spans="1:8" x14ac:dyDescent="0.25">
      <c r="A159" s="7">
        <f>DATE(YEAR(m5_crossvalid[[#This Row],[cutoff]]),MONTH(m5_crossvalid[[#This Row],[cutoff]]),DAY(m5_crossvalid[[#This Row],[cutoff]]))</f>
        <v>45808</v>
      </c>
      <c r="B159" s="7">
        <f>DATE(YEAR(m5_crossvalid[[#This Row],[ds]]),MONTH(m5_crossvalid[[#This Row],[ds]]),DAY(m5_crossvalid[[#This Row],[ds]]))</f>
        <v>45811</v>
      </c>
      <c r="C159">
        <v>578</v>
      </c>
      <c r="D159" s="1">
        <v>45811.333333333336</v>
      </c>
      <c r="E159">
        <v>1733.0816367930961</v>
      </c>
      <c r="F159">
        <v>245.17658324810435</v>
      </c>
      <c r="G159">
        <v>3140.3358942580494</v>
      </c>
      <c r="H159" s="1">
        <v>45808.333333333336</v>
      </c>
    </row>
    <row r="160" spans="1:8" x14ac:dyDescent="0.25">
      <c r="A160" s="7">
        <f>DATE(YEAR(m5_crossvalid[[#This Row],[cutoff]]),MONTH(m5_crossvalid[[#This Row],[cutoff]]),DAY(m5_crossvalid[[#This Row],[cutoff]]))</f>
        <v>45808</v>
      </c>
      <c r="B160" s="7">
        <f>DATE(YEAR(m5_crossvalid[[#This Row],[ds]]),MONTH(m5_crossvalid[[#This Row],[ds]]),DAY(m5_crossvalid[[#This Row],[ds]]))</f>
        <v>45812</v>
      </c>
      <c r="C160">
        <v>842</v>
      </c>
      <c r="D160" s="1">
        <v>45812.333333333336</v>
      </c>
      <c r="E160">
        <v>1635.9196414701923</v>
      </c>
      <c r="F160">
        <v>124.53420097861755</v>
      </c>
      <c r="G160">
        <v>3066.3601096727439</v>
      </c>
      <c r="H160" s="1">
        <v>45808.333333333336</v>
      </c>
    </row>
    <row r="161" spans="1:8" x14ac:dyDescent="0.25">
      <c r="A161" s="7">
        <f>DATE(YEAR(m5_crossvalid[[#This Row],[cutoff]]),MONTH(m5_crossvalid[[#This Row],[cutoff]]),DAY(m5_crossvalid[[#This Row],[cutoff]]))</f>
        <v>45808</v>
      </c>
      <c r="B161" s="7">
        <f>DATE(YEAR(m5_crossvalid[[#This Row],[ds]]),MONTH(m5_crossvalid[[#This Row],[ds]]),DAY(m5_crossvalid[[#This Row],[ds]]))</f>
        <v>45813</v>
      </c>
      <c r="C161">
        <v>1102</v>
      </c>
      <c r="D161" s="1">
        <v>45813.333333333336</v>
      </c>
      <c r="E161">
        <v>1692.963897117442</v>
      </c>
      <c r="F161">
        <v>247.07027846762944</v>
      </c>
      <c r="G161">
        <v>3258.3287903830101</v>
      </c>
      <c r="H161" s="1">
        <v>45808.333333333336</v>
      </c>
    </row>
    <row r="162" spans="1:8" x14ac:dyDescent="0.25">
      <c r="A162" s="7">
        <f>DATE(YEAR(m5_crossvalid[[#This Row],[cutoff]]),MONTH(m5_crossvalid[[#This Row],[cutoff]]),DAY(m5_crossvalid[[#This Row],[cutoff]]))</f>
        <v>45808</v>
      </c>
      <c r="B162" s="7">
        <f>DATE(YEAR(m5_crossvalid[[#This Row],[ds]]),MONTH(m5_crossvalid[[#This Row],[ds]]),DAY(m5_crossvalid[[#This Row],[ds]]))</f>
        <v>45814</v>
      </c>
      <c r="C162">
        <v>1098</v>
      </c>
      <c r="D162" s="1">
        <v>45814.333333333336</v>
      </c>
      <c r="E162">
        <v>-1789.0503741604766</v>
      </c>
      <c r="F162">
        <v>-3296.8622647800285</v>
      </c>
      <c r="G162">
        <v>-322.35696742242703</v>
      </c>
      <c r="H162" s="1">
        <v>45808.333333333336</v>
      </c>
    </row>
    <row r="163" spans="1:8" x14ac:dyDescent="0.25">
      <c r="A163" s="7">
        <f>DATE(YEAR(m5_crossvalid[[#This Row],[cutoff]]),MONTH(m5_crossvalid[[#This Row],[cutoff]]),DAY(m5_crossvalid[[#This Row],[cutoff]]))</f>
        <v>45808</v>
      </c>
      <c r="B163" s="7">
        <f>DATE(YEAR(m5_crossvalid[[#This Row],[ds]]),MONTH(m5_crossvalid[[#This Row],[ds]]),DAY(m5_crossvalid[[#This Row],[ds]]))</f>
        <v>45815</v>
      </c>
      <c r="C163">
        <v>17</v>
      </c>
      <c r="D163" s="1">
        <v>45815.333333333336</v>
      </c>
      <c r="E163">
        <v>-1356.5955490928218</v>
      </c>
      <c r="F163">
        <v>-2729.6691395484677</v>
      </c>
      <c r="G163">
        <v>36.731743025083283</v>
      </c>
      <c r="H163" s="1">
        <v>45808.333333333336</v>
      </c>
    </row>
    <row r="164" spans="1:8" x14ac:dyDescent="0.25">
      <c r="A164" s="7">
        <f>DATE(YEAR(m5_crossvalid[[#This Row],[cutoff]]),MONTH(m5_crossvalid[[#This Row],[cutoff]]),DAY(m5_crossvalid[[#This Row],[cutoff]]))</f>
        <v>45808</v>
      </c>
      <c r="B164" s="7">
        <f>DATE(YEAR(m5_crossvalid[[#This Row],[ds]]),MONTH(m5_crossvalid[[#This Row],[ds]]),DAY(m5_crossvalid[[#This Row],[ds]]))</f>
        <v>45816</v>
      </c>
      <c r="C164">
        <v>2</v>
      </c>
      <c r="D164" s="1">
        <v>45816.333333333336</v>
      </c>
      <c r="E164">
        <v>-756.85982530641922</v>
      </c>
      <c r="F164">
        <v>-2119.4636733607472</v>
      </c>
      <c r="G164">
        <v>693.86502496093624</v>
      </c>
      <c r="H164" s="1">
        <v>45808.333333333336</v>
      </c>
    </row>
    <row r="165" spans="1:8" x14ac:dyDescent="0.25">
      <c r="A165" s="7">
        <f>DATE(YEAR(m5_crossvalid[[#This Row],[cutoff]]),MONTH(m5_crossvalid[[#This Row],[cutoff]]),DAY(m5_crossvalid[[#This Row],[cutoff]]))</f>
        <v>45808</v>
      </c>
      <c r="B165" s="7">
        <f>DATE(YEAR(m5_crossvalid[[#This Row],[ds]]),MONTH(m5_crossvalid[[#This Row],[ds]]),DAY(m5_crossvalid[[#This Row],[ds]]))</f>
        <v>45817</v>
      </c>
      <c r="C165">
        <v>716</v>
      </c>
      <c r="D165" s="1">
        <v>45817.333333333336</v>
      </c>
      <c r="E165">
        <v>2064.7785038402972</v>
      </c>
      <c r="F165">
        <v>731.20081547898155</v>
      </c>
      <c r="G165">
        <v>3525.8380946541665</v>
      </c>
      <c r="H165" s="1">
        <v>45808.333333333336</v>
      </c>
    </row>
    <row r="166" spans="1:8" x14ac:dyDescent="0.25">
      <c r="A166" s="7">
        <f>DATE(YEAR(m5_crossvalid[[#This Row],[cutoff]]),MONTH(m5_crossvalid[[#This Row],[cutoff]]),DAY(m5_crossvalid[[#This Row],[cutoff]]))</f>
        <v>45808</v>
      </c>
      <c r="B166" s="7">
        <f>DATE(YEAR(m5_crossvalid[[#This Row],[ds]]),MONTH(m5_crossvalid[[#This Row],[ds]]),DAY(m5_crossvalid[[#This Row],[ds]]))</f>
        <v>45818</v>
      </c>
      <c r="C166">
        <v>1129</v>
      </c>
      <c r="D166" s="1">
        <v>45818.333333333336</v>
      </c>
      <c r="E166">
        <v>1641.3608475593783</v>
      </c>
      <c r="F166">
        <v>202.00924966590946</v>
      </c>
      <c r="G166">
        <v>3138.7415297639359</v>
      </c>
      <c r="H166" s="1">
        <v>45808.333333333336</v>
      </c>
    </row>
    <row r="167" spans="1:8" x14ac:dyDescent="0.25">
      <c r="A167" s="7">
        <f>DATE(YEAR(m5_crossvalid[[#This Row],[cutoff]]),MONTH(m5_crossvalid[[#This Row],[cutoff]]),DAY(m5_crossvalid[[#This Row],[cutoff]]))</f>
        <v>45808</v>
      </c>
      <c r="B167" s="7">
        <f>DATE(YEAR(m5_crossvalid[[#This Row],[ds]]),MONTH(m5_crossvalid[[#This Row],[ds]]),DAY(m5_crossvalid[[#This Row],[ds]]))</f>
        <v>45819</v>
      </c>
      <c r="C167">
        <v>1387</v>
      </c>
      <c r="D167" s="1">
        <v>45819.333333333336</v>
      </c>
      <c r="E167">
        <v>1950.1809403857922</v>
      </c>
      <c r="F167">
        <v>479.49030950394751</v>
      </c>
      <c r="G167">
        <v>3373.8285260392045</v>
      </c>
      <c r="H167" s="1">
        <v>45808.333333333336</v>
      </c>
    </row>
    <row r="168" spans="1:8" x14ac:dyDescent="0.25">
      <c r="A168" s="7">
        <f>DATE(YEAR(m5_crossvalid[[#This Row],[cutoff]]),MONTH(m5_crossvalid[[#This Row],[cutoff]]),DAY(m5_crossvalid[[#This Row],[cutoff]]))</f>
        <v>45808</v>
      </c>
      <c r="B168" s="7">
        <f>DATE(YEAR(m5_crossvalid[[#This Row],[ds]]),MONTH(m5_crossvalid[[#This Row],[ds]]),DAY(m5_crossvalid[[#This Row],[ds]]))</f>
        <v>45820</v>
      </c>
      <c r="C168">
        <v>1689</v>
      </c>
      <c r="D168" s="1">
        <v>45820.333333333336</v>
      </c>
      <c r="E168">
        <v>2344.8527772284015</v>
      </c>
      <c r="F168">
        <v>898.81117427528636</v>
      </c>
      <c r="G168">
        <v>3763.946192313796</v>
      </c>
      <c r="H168" s="1">
        <v>45808.333333333336</v>
      </c>
    </row>
    <row r="169" spans="1:8" x14ac:dyDescent="0.25">
      <c r="A169" s="7">
        <f>DATE(YEAR(m5_crossvalid[[#This Row],[cutoff]]),MONTH(m5_crossvalid[[#This Row],[cutoff]]),DAY(m5_crossvalid[[#This Row],[cutoff]]))</f>
        <v>45808</v>
      </c>
      <c r="B169" s="7">
        <f>DATE(YEAR(m5_crossvalid[[#This Row],[ds]]),MONTH(m5_crossvalid[[#This Row],[ds]]),DAY(m5_crossvalid[[#This Row],[ds]]))</f>
        <v>45821</v>
      </c>
      <c r="C169">
        <v>1883</v>
      </c>
      <c r="D169" s="1">
        <v>45821.333333333336</v>
      </c>
      <c r="E169">
        <v>2120.3421868512619</v>
      </c>
      <c r="F169">
        <v>674.94261755602872</v>
      </c>
      <c r="G169">
        <v>3458.0497427158775</v>
      </c>
      <c r="H169" s="1">
        <v>45808.333333333336</v>
      </c>
    </row>
    <row r="170" spans="1:8" x14ac:dyDescent="0.25">
      <c r="A170" s="7">
        <f>DATE(YEAR(m5_crossvalid[[#This Row],[cutoff]]),MONTH(m5_crossvalid[[#This Row],[cutoff]]),DAY(m5_crossvalid[[#This Row],[cutoff]]))</f>
        <v>45808</v>
      </c>
      <c r="B170" s="7">
        <f>DATE(YEAR(m5_crossvalid[[#This Row],[ds]]),MONTH(m5_crossvalid[[#This Row],[ds]]),DAY(m5_crossvalid[[#This Row],[ds]]))</f>
        <v>45822</v>
      </c>
      <c r="C170">
        <v>280</v>
      </c>
      <c r="D170" s="1">
        <v>45822.333333333336</v>
      </c>
      <c r="E170">
        <v>222.09269324639558</v>
      </c>
      <c r="F170">
        <v>-1219.0671108616398</v>
      </c>
      <c r="G170">
        <v>1717.22941450549</v>
      </c>
      <c r="H170" s="1">
        <v>45808.333333333336</v>
      </c>
    </row>
    <row r="171" spans="1:8" x14ac:dyDescent="0.25">
      <c r="A171" s="7">
        <f>DATE(YEAR(m5_crossvalid[[#This Row],[cutoff]]),MONTH(m5_crossvalid[[#This Row],[cutoff]]),DAY(m5_crossvalid[[#This Row],[cutoff]]))</f>
        <v>45808</v>
      </c>
      <c r="B171" s="7">
        <f>DATE(YEAR(m5_crossvalid[[#This Row],[ds]]),MONTH(m5_crossvalid[[#This Row],[ds]]),DAY(m5_crossvalid[[#This Row],[ds]]))</f>
        <v>45823</v>
      </c>
      <c r="C171">
        <v>71</v>
      </c>
      <c r="D171" s="1">
        <v>45823.333333333336</v>
      </c>
      <c r="E171">
        <v>-248.28064081550701</v>
      </c>
      <c r="F171">
        <v>-1704.3632989488599</v>
      </c>
      <c r="G171">
        <v>1258.7618553025029</v>
      </c>
      <c r="H171" s="1">
        <v>45808.333333333336</v>
      </c>
    </row>
    <row r="172" spans="1:8" x14ac:dyDescent="0.25">
      <c r="A172" s="7">
        <f>DATE(YEAR(m5_crossvalid[[#This Row],[cutoff]]),MONTH(m5_crossvalid[[#This Row],[cutoff]]),DAY(m5_crossvalid[[#This Row],[cutoff]]))</f>
        <v>45808</v>
      </c>
      <c r="B172" s="7">
        <f>DATE(YEAR(m5_crossvalid[[#This Row],[ds]]),MONTH(m5_crossvalid[[#This Row],[ds]]),DAY(m5_crossvalid[[#This Row],[ds]]))</f>
        <v>45824</v>
      </c>
      <c r="C172">
        <v>1852</v>
      </c>
      <c r="D172" s="1">
        <v>45824.333333333336</v>
      </c>
      <c r="E172">
        <v>2321.8504799178786</v>
      </c>
      <c r="F172">
        <v>840.22843170633712</v>
      </c>
      <c r="G172">
        <v>3883.9468766535174</v>
      </c>
      <c r="H172" s="1">
        <v>45808.333333333336</v>
      </c>
    </row>
    <row r="173" spans="1:8" x14ac:dyDescent="0.25">
      <c r="A173" s="7">
        <f>DATE(YEAR(m5_crossvalid[[#This Row],[cutoff]]),MONTH(m5_crossvalid[[#This Row],[cutoff]]),DAY(m5_crossvalid[[#This Row],[cutoff]]))</f>
        <v>45808</v>
      </c>
      <c r="B173" s="7">
        <f>DATE(YEAR(m5_crossvalid[[#This Row],[ds]]),MONTH(m5_crossvalid[[#This Row],[ds]]),DAY(m5_crossvalid[[#This Row],[ds]]))</f>
        <v>45825</v>
      </c>
      <c r="C173">
        <v>2251</v>
      </c>
      <c r="D173" s="1">
        <v>45825.333333333336</v>
      </c>
      <c r="E173">
        <v>2805.2594211185428</v>
      </c>
      <c r="F173">
        <v>1359.0814201248493</v>
      </c>
      <c r="G173">
        <v>4274.9529553827279</v>
      </c>
      <c r="H173" s="1">
        <v>45808.333333333336</v>
      </c>
    </row>
    <row r="174" spans="1:8" x14ac:dyDescent="0.25">
      <c r="A174" s="7">
        <f>DATE(YEAR(m5_crossvalid[[#This Row],[cutoff]]),MONTH(m5_crossvalid[[#This Row],[cutoff]]),DAY(m5_crossvalid[[#This Row],[cutoff]]))</f>
        <v>45808</v>
      </c>
      <c r="B174" s="7">
        <f>DATE(YEAR(m5_crossvalid[[#This Row],[ds]]),MONTH(m5_crossvalid[[#This Row],[ds]]),DAY(m5_crossvalid[[#This Row],[ds]]))</f>
        <v>45826</v>
      </c>
      <c r="C174">
        <v>2552</v>
      </c>
      <c r="D174" s="1">
        <v>45826.333333333336</v>
      </c>
      <c r="E174">
        <v>3013.2623879319217</v>
      </c>
      <c r="F174">
        <v>1651.6336179992618</v>
      </c>
      <c r="G174">
        <v>4513.9844947125048</v>
      </c>
      <c r="H174" s="1">
        <v>45808.333333333336</v>
      </c>
    </row>
    <row r="175" spans="1:8" x14ac:dyDescent="0.25">
      <c r="A175" s="7">
        <f>DATE(YEAR(m5_crossvalid[[#This Row],[cutoff]]),MONTH(m5_crossvalid[[#This Row],[cutoff]]),DAY(m5_crossvalid[[#This Row],[cutoff]]))</f>
        <v>45808</v>
      </c>
      <c r="B175" s="7">
        <f>DATE(YEAR(m5_crossvalid[[#This Row],[ds]]),MONTH(m5_crossvalid[[#This Row],[ds]]),DAY(m5_crossvalid[[#This Row],[ds]]))</f>
        <v>45827</v>
      </c>
      <c r="C175">
        <v>2813</v>
      </c>
      <c r="D175" s="1">
        <v>45827.333333333336</v>
      </c>
      <c r="E175">
        <v>3049.778443837406</v>
      </c>
      <c r="F175">
        <v>1563.4907772144672</v>
      </c>
      <c r="G175">
        <v>4456.3508303038998</v>
      </c>
      <c r="H175" s="1">
        <v>45808.333333333336</v>
      </c>
    </row>
    <row r="176" spans="1:8" x14ac:dyDescent="0.25">
      <c r="A176" s="7">
        <f>DATE(YEAR(m5_crossvalid[[#This Row],[cutoff]]),MONTH(m5_crossvalid[[#This Row],[cutoff]]),DAY(m5_crossvalid[[#This Row],[cutoff]]))</f>
        <v>45808</v>
      </c>
      <c r="B176" s="7">
        <f>DATE(YEAR(m5_crossvalid[[#This Row],[ds]]),MONTH(m5_crossvalid[[#This Row],[ds]]),DAY(m5_crossvalid[[#This Row],[ds]]))</f>
        <v>45828</v>
      </c>
      <c r="C176">
        <v>3023</v>
      </c>
      <c r="D176" s="1">
        <v>45828.333333333336</v>
      </c>
      <c r="E176">
        <v>2981.9112381525501</v>
      </c>
      <c r="F176">
        <v>1578.6123282221072</v>
      </c>
      <c r="G176">
        <v>4328.4288944959162</v>
      </c>
      <c r="H176" s="1">
        <v>45808.333333333336</v>
      </c>
    </row>
    <row r="177" spans="1:8" x14ac:dyDescent="0.25">
      <c r="A177" s="7">
        <f>DATE(YEAR(m5_crossvalid[[#This Row],[cutoff]]),MONTH(m5_crossvalid[[#This Row],[cutoff]]),DAY(m5_crossvalid[[#This Row],[cutoff]]))</f>
        <v>45808</v>
      </c>
      <c r="B177" s="7">
        <f>DATE(YEAR(m5_crossvalid[[#This Row],[ds]]),MONTH(m5_crossvalid[[#This Row],[ds]]),DAY(m5_crossvalid[[#This Row],[ds]]))</f>
        <v>45829</v>
      </c>
      <c r="C177">
        <v>360</v>
      </c>
      <c r="D177" s="1">
        <v>45829.333333333336</v>
      </c>
      <c r="E177">
        <v>748.16739397655556</v>
      </c>
      <c r="F177">
        <v>-742.27208311574759</v>
      </c>
      <c r="G177">
        <v>2269.4400256744625</v>
      </c>
      <c r="H177" s="1">
        <v>45808.333333333336</v>
      </c>
    </row>
    <row r="178" spans="1:8" x14ac:dyDescent="0.25">
      <c r="A178" s="7">
        <f>DATE(YEAR(m5_crossvalid[[#This Row],[cutoff]]),MONTH(m5_crossvalid[[#This Row],[cutoff]]),DAY(m5_crossvalid[[#This Row],[cutoff]]))</f>
        <v>45808</v>
      </c>
      <c r="B178" s="7">
        <f>DATE(YEAR(m5_crossvalid[[#This Row],[ds]]),MONTH(m5_crossvalid[[#This Row],[ds]]),DAY(m5_crossvalid[[#This Row],[ds]]))</f>
        <v>45830</v>
      </c>
      <c r="C178">
        <v>129</v>
      </c>
      <c r="D178" s="1">
        <v>45830.333333333336</v>
      </c>
      <c r="E178">
        <v>362.57985991503142</v>
      </c>
      <c r="F178">
        <v>-1016.4482104558613</v>
      </c>
      <c r="G178">
        <v>1837.0902573232117</v>
      </c>
      <c r="H178" s="1">
        <v>45808.333333333336</v>
      </c>
    </row>
    <row r="179" spans="1:8" x14ac:dyDescent="0.25">
      <c r="A179" s="7">
        <f>DATE(YEAR(m5_crossvalid[[#This Row],[cutoff]]),MONTH(m5_crossvalid[[#This Row],[cutoff]]),DAY(m5_crossvalid[[#This Row],[cutoff]]))</f>
        <v>45808</v>
      </c>
      <c r="B179" s="7">
        <f>DATE(YEAR(m5_crossvalid[[#This Row],[ds]]),MONTH(m5_crossvalid[[#This Row],[ds]]),DAY(m5_crossvalid[[#This Row],[ds]]))</f>
        <v>45831</v>
      </c>
      <c r="C179">
        <v>3291</v>
      </c>
      <c r="D179" s="1">
        <v>45831.333333333336</v>
      </c>
      <c r="E179">
        <v>3028.3254953842456</v>
      </c>
      <c r="F179">
        <v>1520.1150637665141</v>
      </c>
      <c r="G179">
        <v>4441.2110287029464</v>
      </c>
      <c r="H179" s="1">
        <v>45808.333333333336</v>
      </c>
    </row>
    <row r="180" spans="1:8" x14ac:dyDescent="0.25">
      <c r="A180" s="7">
        <f>DATE(YEAR(m5_crossvalid[[#This Row],[cutoff]]),MONTH(m5_crossvalid[[#This Row],[cutoff]]),DAY(m5_crossvalid[[#This Row],[cutoff]]))</f>
        <v>45808</v>
      </c>
      <c r="B180" s="7">
        <f>DATE(YEAR(m5_crossvalid[[#This Row],[ds]]),MONTH(m5_crossvalid[[#This Row],[ds]]),DAY(m5_crossvalid[[#This Row],[ds]]))</f>
        <v>45832</v>
      </c>
      <c r="C180">
        <v>3743</v>
      </c>
      <c r="D180" s="1">
        <v>45832.333333333336</v>
      </c>
      <c r="E180">
        <v>3532.5694199074214</v>
      </c>
      <c r="F180">
        <v>2054.7056495711431</v>
      </c>
      <c r="G180">
        <v>4811.3482396897707</v>
      </c>
      <c r="H180" s="1">
        <v>45808.333333333336</v>
      </c>
    </row>
    <row r="181" spans="1:8" x14ac:dyDescent="0.25">
      <c r="A181" s="7">
        <f>DATE(YEAR(m5_crossvalid[[#This Row],[cutoff]]),MONTH(m5_crossvalid[[#This Row],[cutoff]]),DAY(m5_crossvalid[[#This Row],[cutoff]]))</f>
        <v>45808</v>
      </c>
      <c r="B181" s="7">
        <f>DATE(YEAR(m5_crossvalid[[#This Row],[ds]]),MONTH(m5_crossvalid[[#This Row],[ds]]),DAY(m5_crossvalid[[#This Row],[ds]]))</f>
        <v>45833</v>
      </c>
      <c r="C181">
        <v>4576</v>
      </c>
      <c r="D181" s="1">
        <v>45833.333333333336</v>
      </c>
      <c r="E181">
        <v>3690.3315948295735</v>
      </c>
      <c r="F181">
        <v>2185.427572632721</v>
      </c>
      <c r="G181">
        <v>5182.4430974264351</v>
      </c>
      <c r="H181" s="1">
        <v>45808.333333333336</v>
      </c>
    </row>
    <row r="182" spans="1:8" x14ac:dyDescent="0.25">
      <c r="A182" s="7">
        <f>DATE(YEAR(m5_crossvalid[[#This Row],[cutoff]]),MONTH(m5_crossvalid[[#This Row],[cutoff]]),DAY(m5_crossvalid[[#This Row],[cutoff]]))</f>
        <v>45808</v>
      </c>
      <c r="B182" s="7">
        <f>DATE(YEAR(m5_crossvalid[[#This Row],[ds]]),MONTH(m5_crossvalid[[#This Row],[ds]]),DAY(m5_crossvalid[[#This Row],[ds]]))</f>
        <v>45834</v>
      </c>
      <c r="C182">
        <v>6205</v>
      </c>
      <c r="D182" s="1">
        <v>45834.333333333336</v>
      </c>
      <c r="E182">
        <v>5028.3632195091814</v>
      </c>
      <c r="F182">
        <v>3621.5825379978728</v>
      </c>
      <c r="G182">
        <v>6496.207469398184</v>
      </c>
      <c r="H182" s="1">
        <v>45808.333333333336</v>
      </c>
    </row>
    <row r="183" spans="1:8" x14ac:dyDescent="0.25">
      <c r="A183" s="7">
        <f>DATE(YEAR(m5_crossvalid[[#This Row],[cutoff]]),MONTH(m5_crossvalid[[#This Row],[cutoff]]),DAY(m5_crossvalid[[#This Row],[cutoff]]))</f>
        <v>45808</v>
      </c>
      <c r="B183" s="7">
        <f>DATE(YEAR(m5_crossvalid[[#This Row],[ds]]),MONTH(m5_crossvalid[[#This Row],[ds]]),DAY(m5_crossvalid[[#This Row],[ds]]))</f>
        <v>45835</v>
      </c>
      <c r="C183">
        <v>814</v>
      </c>
      <c r="D183" s="1">
        <v>45835.333333333336</v>
      </c>
      <c r="E183">
        <v>3406.4396123650135</v>
      </c>
      <c r="F183">
        <v>1979.0721267569029</v>
      </c>
      <c r="G183">
        <v>4816.1694419450587</v>
      </c>
      <c r="H183" s="1">
        <v>45808.333333333336</v>
      </c>
    </row>
    <row r="184" spans="1:8" x14ac:dyDescent="0.25">
      <c r="A184" s="7">
        <f>DATE(YEAR(m5_crossvalid[[#This Row],[cutoff]]),MONTH(m5_crossvalid[[#This Row],[cutoff]]),DAY(m5_crossvalid[[#This Row],[cutoff]]))</f>
        <v>45808</v>
      </c>
      <c r="B184" s="7">
        <f>DATE(YEAR(m5_crossvalid[[#This Row],[ds]]),MONTH(m5_crossvalid[[#This Row],[ds]]),DAY(m5_crossvalid[[#This Row],[ds]]))</f>
        <v>45836</v>
      </c>
      <c r="C184">
        <v>2326</v>
      </c>
      <c r="D184" s="1">
        <v>45836.333333333336</v>
      </c>
      <c r="E184">
        <v>2851.8258957324365</v>
      </c>
      <c r="F184">
        <v>1487.6147382567606</v>
      </c>
      <c r="G184">
        <v>4269.9802144066525</v>
      </c>
      <c r="H184" s="1">
        <v>45808.333333333336</v>
      </c>
    </row>
    <row r="185" spans="1:8" x14ac:dyDescent="0.25">
      <c r="A185" s="7">
        <f>DATE(YEAR(m5_crossvalid[[#This Row],[cutoff]]),MONTH(m5_crossvalid[[#This Row],[cutoff]]),DAY(m5_crossvalid[[#This Row],[cutoff]]))</f>
        <v>45808</v>
      </c>
      <c r="B185" s="7">
        <f>DATE(YEAR(m5_crossvalid[[#This Row],[ds]]),MONTH(m5_crossvalid[[#This Row],[ds]]),DAY(m5_crossvalid[[#This Row],[ds]]))</f>
        <v>45837</v>
      </c>
      <c r="C185">
        <v>427</v>
      </c>
      <c r="D185" s="1">
        <v>45837.333333333336</v>
      </c>
      <c r="E185">
        <v>4697.8477377336367</v>
      </c>
      <c r="F185">
        <v>3236.831902583092</v>
      </c>
      <c r="G185">
        <v>6216.1554783613792</v>
      </c>
      <c r="H185" s="1">
        <v>45808.333333333336</v>
      </c>
    </row>
    <row r="186" spans="1:8" x14ac:dyDescent="0.25">
      <c r="A186" s="7">
        <f>DATE(YEAR(m5_crossvalid[[#This Row],[cutoff]]),MONTH(m5_crossvalid[[#This Row],[cutoff]]),DAY(m5_crossvalid[[#This Row],[cutoff]]))</f>
        <v>45808</v>
      </c>
      <c r="B186" s="7">
        <f>DATE(YEAR(m5_crossvalid[[#This Row],[ds]]),MONTH(m5_crossvalid[[#This Row],[ds]]),DAY(m5_crossvalid[[#This Row],[ds]]))</f>
        <v>45838</v>
      </c>
      <c r="C186">
        <v>13624</v>
      </c>
      <c r="D186" s="1">
        <v>45838.333333333336</v>
      </c>
      <c r="E186">
        <v>9215.1976877494853</v>
      </c>
      <c r="F186">
        <v>7760.5490977673253</v>
      </c>
      <c r="G186">
        <v>10656.310981564136</v>
      </c>
      <c r="H186" s="1">
        <v>45808.333333333336</v>
      </c>
    </row>
    <row r="187" spans="1:8" x14ac:dyDescent="0.25">
      <c r="A187" s="7">
        <f>DATE(YEAR(m5_crossvalid[[#This Row],[cutoff]]),MONTH(m5_crossvalid[[#This Row],[cutoff]]),DAY(m5_crossvalid[[#This Row],[cutoff]]))</f>
        <v>45808</v>
      </c>
      <c r="B187" s="7">
        <f>DATE(YEAR(m5_crossvalid[[#This Row],[ds]]),MONTH(m5_crossvalid[[#This Row],[ds]]),DAY(m5_crossvalid[[#This Row],[ds]]))</f>
        <v>45839</v>
      </c>
      <c r="C187">
        <v>624</v>
      </c>
      <c r="D187" s="1">
        <v>45839.333333333336</v>
      </c>
      <c r="E187">
        <v>2781.3886786395137</v>
      </c>
      <c r="F187">
        <v>1355.2172638468196</v>
      </c>
      <c r="G187">
        <v>4213.6555065153225</v>
      </c>
      <c r="H187" s="1">
        <v>45808.333333333336</v>
      </c>
    </row>
    <row r="188" spans="1:8" x14ac:dyDescent="0.25">
      <c r="A188" s="7">
        <f>DATE(YEAR(m5_crossvalid[[#This Row],[cutoff]]),MONTH(m5_crossvalid[[#This Row],[cutoff]]),DAY(m5_crossvalid[[#This Row],[cutoff]]))</f>
        <v>45838</v>
      </c>
      <c r="B188" s="7">
        <f>DATE(YEAR(m5_crossvalid[[#This Row],[ds]]),MONTH(m5_crossvalid[[#This Row],[ds]]),DAY(m5_crossvalid[[#This Row],[ds]]))</f>
        <v>45839</v>
      </c>
      <c r="C188">
        <v>624</v>
      </c>
      <c r="D188" s="1">
        <v>45839.333333333336</v>
      </c>
      <c r="E188">
        <v>2799.7124723594734</v>
      </c>
      <c r="F188">
        <v>1442.2593092673139</v>
      </c>
      <c r="G188">
        <v>4259.7644697054066</v>
      </c>
      <c r="H188" s="1">
        <v>45838.333333333336</v>
      </c>
    </row>
    <row r="189" spans="1:8" x14ac:dyDescent="0.25">
      <c r="A189" s="7">
        <f>DATE(YEAR(m5_crossvalid[[#This Row],[cutoff]]),MONTH(m5_crossvalid[[#This Row],[cutoff]]),DAY(m5_crossvalid[[#This Row],[cutoff]]))</f>
        <v>45838</v>
      </c>
      <c r="B189" s="7">
        <f>DATE(YEAR(m5_crossvalid[[#This Row],[ds]]),MONTH(m5_crossvalid[[#This Row],[ds]]),DAY(m5_crossvalid[[#This Row],[ds]]))</f>
        <v>45840</v>
      </c>
      <c r="C189">
        <v>733</v>
      </c>
      <c r="D189" s="1">
        <v>45840.333333333336</v>
      </c>
      <c r="E189">
        <v>2244.654258980403</v>
      </c>
      <c r="F189">
        <v>793.12400560786955</v>
      </c>
      <c r="G189">
        <v>3720.6288849754274</v>
      </c>
      <c r="H189" s="1">
        <v>45838.333333333336</v>
      </c>
    </row>
    <row r="190" spans="1:8" x14ac:dyDescent="0.25">
      <c r="A190" s="7">
        <f>DATE(YEAR(m5_crossvalid[[#This Row],[cutoff]]),MONTH(m5_crossvalid[[#This Row],[cutoff]]),DAY(m5_crossvalid[[#This Row],[cutoff]]))</f>
        <v>45838</v>
      </c>
      <c r="B190" s="7">
        <f>DATE(YEAR(m5_crossvalid[[#This Row],[ds]]),MONTH(m5_crossvalid[[#This Row],[ds]]),DAY(m5_crossvalid[[#This Row],[ds]]))</f>
        <v>45841</v>
      </c>
      <c r="C190">
        <v>1036</v>
      </c>
      <c r="D190" s="1">
        <v>45841.333333333336</v>
      </c>
      <c r="E190">
        <v>1713.9067320288075</v>
      </c>
      <c r="F190">
        <v>316.69548509170471</v>
      </c>
      <c r="G190">
        <v>3213.1683079061436</v>
      </c>
      <c r="H190" s="1">
        <v>45838.333333333336</v>
      </c>
    </row>
    <row r="191" spans="1:8" x14ac:dyDescent="0.25">
      <c r="A191" s="7">
        <f>DATE(YEAR(m5_crossvalid[[#This Row],[cutoff]]),MONTH(m5_crossvalid[[#This Row],[cutoff]]),DAY(m5_crossvalid[[#This Row],[cutoff]]))</f>
        <v>45838</v>
      </c>
      <c r="B191" s="7">
        <f>DATE(YEAR(m5_crossvalid[[#This Row],[ds]]),MONTH(m5_crossvalid[[#This Row],[ds]]),DAY(m5_crossvalid[[#This Row],[ds]]))</f>
        <v>45842</v>
      </c>
      <c r="C191">
        <v>1189</v>
      </c>
      <c r="D191" s="1">
        <v>45842.333333333336</v>
      </c>
      <c r="E191">
        <v>1323.3988412666072</v>
      </c>
      <c r="F191">
        <v>-147.58309609728769</v>
      </c>
      <c r="G191">
        <v>2682.7914705946414</v>
      </c>
      <c r="H191" s="1">
        <v>45838.333333333336</v>
      </c>
    </row>
    <row r="192" spans="1:8" x14ac:dyDescent="0.25">
      <c r="A192" s="7">
        <f>DATE(YEAR(m5_crossvalid[[#This Row],[cutoff]]),MONTH(m5_crossvalid[[#This Row],[cutoff]]),DAY(m5_crossvalid[[#This Row],[cutoff]]))</f>
        <v>45838</v>
      </c>
      <c r="B192" s="7">
        <f>DATE(YEAR(m5_crossvalid[[#This Row],[ds]]),MONTH(m5_crossvalid[[#This Row],[ds]]),DAY(m5_crossvalid[[#This Row],[ds]]))</f>
        <v>45843</v>
      </c>
      <c r="C192">
        <v>170</v>
      </c>
      <c r="D192" s="1">
        <v>45843.333333333336</v>
      </c>
      <c r="E192">
        <v>-938.54064535824318</v>
      </c>
      <c r="F192">
        <v>-2413.0377600422212</v>
      </c>
      <c r="G192">
        <v>571.72457397252754</v>
      </c>
      <c r="H192" s="1">
        <v>45838.333333333336</v>
      </c>
    </row>
    <row r="193" spans="1:8" x14ac:dyDescent="0.25">
      <c r="A193" s="7">
        <f>DATE(YEAR(m5_crossvalid[[#This Row],[cutoff]]),MONTH(m5_crossvalid[[#This Row],[cutoff]]),DAY(m5_crossvalid[[#This Row],[cutoff]]))</f>
        <v>45838</v>
      </c>
      <c r="B193" s="7">
        <f>DATE(YEAR(m5_crossvalid[[#This Row],[ds]]),MONTH(m5_crossvalid[[#This Row],[ds]]),DAY(m5_crossvalid[[#This Row],[ds]]))</f>
        <v>45844</v>
      </c>
      <c r="C193">
        <v>30</v>
      </c>
      <c r="D193" s="1">
        <v>45844.333333333336</v>
      </c>
      <c r="E193">
        <v>-1285.2377752198299</v>
      </c>
      <c r="F193">
        <v>-2665.3411280560572</v>
      </c>
      <c r="G193">
        <v>204.60898007960196</v>
      </c>
      <c r="H193" s="1">
        <v>45838.333333333336</v>
      </c>
    </row>
    <row r="194" spans="1:8" x14ac:dyDescent="0.25">
      <c r="A194" s="7">
        <f>DATE(YEAR(m5_crossvalid[[#This Row],[cutoff]]),MONTH(m5_crossvalid[[#This Row],[cutoff]]),DAY(m5_crossvalid[[#This Row],[cutoff]]))</f>
        <v>45838</v>
      </c>
      <c r="B194" s="7">
        <f>DATE(YEAR(m5_crossvalid[[#This Row],[ds]]),MONTH(m5_crossvalid[[#This Row],[ds]]),DAY(m5_crossvalid[[#This Row],[ds]]))</f>
        <v>45845</v>
      </c>
      <c r="C194">
        <v>1218</v>
      </c>
      <c r="D194" s="1">
        <v>45845.333333333336</v>
      </c>
      <c r="E194">
        <v>1340.9971927394026</v>
      </c>
      <c r="F194">
        <v>-35.342038306194233</v>
      </c>
      <c r="G194">
        <v>2800.1767787478029</v>
      </c>
      <c r="H194" s="1">
        <v>45838.333333333336</v>
      </c>
    </row>
    <row r="195" spans="1:8" x14ac:dyDescent="0.25">
      <c r="A195" s="7">
        <f>DATE(YEAR(m5_crossvalid[[#This Row],[cutoff]]),MONTH(m5_crossvalid[[#This Row],[cutoff]]),DAY(m5_crossvalid[[#This Row],[cutoff]]))</f>
        <v>45838</v>
      </c>
      <c r="B195" s="7">
        <f>DATE(YEAR(m5_crossvalid[[#This Row],[ds]]),MONTH(m5_crossvalid[[#This Row],[ds]]),DAY(m5_crossvalid[[#This Row],[ds]]))</f>
        <v>45846</v>
      </c>
      <c r="C195">
        <v>1543</v>
      </c>
      <c r="D195" s="1">
        <v>45846.333333333336</v>
      </c>
      <c r="E195">
        <v>2260.7668024411755</v>
      </c>
      <c r="F195">
        <v>821.28813903775927</v>
      </c>
      <c r="G195">
        <v>3749.6364983208209</v>
      </c>
      <c r="H195" s="1">
        <v>45838.333333333336</v>
      </c>
    </row>
    <row r="196" spans="1:8" x14ac:dyDescent="0.25">
      <c r="A196" s="7">
        <f>DATE(YEAR(m5_crossvalid[[#This Row],[cutoff]]),MONTH(m5_crossvalid[[#This Row],[cutoff]]),DAY(m5_crossvalid[[#This Row],[cutoff]]))</f>
        <v>45838</v>
      </c>
      <c r="B196" s="7">
        <f>DATE(YEAR(m5_crossvalid[[#This Row],[ds]]),MONTH(m5_crossvalid[[#This Row],[ds]]),DAY(m5_crossvalid[[#This Row],[ds]]))</f>
        <v>45847</v>
      </c>
      <c r="C196">
        <v>2120</v>
      </c>
      <c r="D196" s="1">
        <v>45847.333333333336</v>
      </c>
      <c r="E196">
        <v>2167.333850339694</v>
      </c>
      <c r="F196">
        <v>780.34666648229006</v>
      </c>
      <c r="G196">
        <v>3598.6259046372898</v>
      </c>
      <c r="H196" s="1">
        <v>45838.333333333336</v>
      </c>
    </row>
    <row r="197" spans="1:8" x14ac:dyDescent="0.25">
      <c r="A197" s="7">
        <f>DATE(YEAR(m5_crossvalid[[#This Row],[cutoff]]),MONTH(m5_crossvalid[[#This Row],[cutoff]]),DAY(m5_crossvalid[[#This Row],[cutoff]]))</f>
        <v>45838</v>
      </c>
      <c r="B197" s="7">
        <f>DATE(YEAR(m5_crossvalid[[#This Row],[ds]]),MONTH(m5_crossvalid[[#This Row],[ds]]),DAY(m5_crossvalid[[#This Row],[ds]]))</f>
        <v>45848</v>
      </c>
      <c r="C197">
        <v>2298</v>
      </c>
      <c r="D197" s="1">
        <v>45848.333333333336</v>
      </c>
      <c r="E197">
        <v>2008.5954021672983</v>
      </c>
      <c r="F197">
        <v>655.11214068080687</v>
      </c>
      <c r="G197">
        <v>3388.5333274233717</v>
      </c>
      <c r="H197" s="1">
        <v>45838.333333333336</v>
      </c>
    </row>
    <row r="198" spans="1:8" x14ac:dyDescent="0.25">
      <c r="A198" s="7">
        <f>DATE(YEAR(m5_crossvalid[[#This Row],[cutoff]]),MONTH(m5_crossvalid[[#This Row],[cutoff]]),DAY(m5_crossvalid[[#This Row],[cutoff]]))</f>
        <v>45838</v>
      </c>
      <c r="B198" s="7">
        <f>DATE(YEAR(m5_crossvalid[[#This Row],[ds]]),MONTH(m5_crossvalid[[#This Row],[ds]]),DAY(m5_crossvalid[[#This Row],[ds]]))</f>
        <v>45849</v>
      </c>
      <c r="C198">
        <v>2183</v>
      </c>
      <c r="D198" s="1">
        <v>45849.333333333336</v>
      </c>
      <c r="E198">
        <v>1964.204301073205</v>
      </c>
      <c r="F198">
        <v>554.55255952487119</v>
      </c>
      <c r="G198">
        <v>3497.7450464189656</v>
      </c>
      <c r="H198" s="1">
        <v>45838.333333333336</v>
      </c>
    </row>
    <row r="199" spans="1:8" x14ac:dyDescent="0.25">
      <c r="A199" s="7">
        <f>DATE(YEAR(m5_crossvalid[[#This Row],[cutoff]]),MONTH(m5_crossvalid[[#This Row],[cutoff]]),DAY(m5_crossvalid[[#This Row],[cutoff]]))</f>
        <v>45838</v>
      </c>
      <c r="B199" s="7">
        <f>DATE(YEAR(m5_crossvalid[[#This Row],[ds]]),MONTH(m5_crossvalid[[#This Row],[ds]]),DAY(m5_crossvalid[[#This Row],[ds]]))</f>
        <v>45850</v>
      </c>
      <c r="C199">
        <v>462</v>
      </c>
      <c r="D199" s="1">
        <v>45850.333333333336</v>
      </c>
      <c r="E199">
        <v>-152.20159989232889</v>
      </c>
      <c r="F199">
        <v>-1637.5030571631848</v>
      </c>
      <c r="G199">
        <v>1162.2151960367526</v>
      </c>
      <c r="H199" s="1">
        <v>45838.333333333336</v>
      </c>
    </row>
    <row r="200" spans="1:8" x14ac:dyDescent="0.25">
      <c r="A200" s="7">
        <f>DATE(YEAR(m5_crossvalid[[#This Row],[cutoff]]),MONTH(m5_crossvalid[[#This Row],[cutoff]]),DAY(m5_crossvalid[[#This Row],[cutoff]]))</f>
        <v>45838</v>
      </c>
      <c r="B200" s="7">
        <f>DATE(YEAR(m5_crossvalid[[#This Row],[ds]]),MONTH(m5_crossvalid[[#This Row],[ds]]),DAY(m5_crossvalid[[#This Row],[ds]]))</f>
        <v>45851</v>
      </c>
      <c r="C200">
        <v>114</v>
      </c>
      <c r="D200" s="1">
        <v>45851.333333333336</v>
      </c>
      <c r="E200">
        <v>-524.9650187727475</v>
      </c>
      <c r="F200">
        <v>-1931.2840607283229</v>
      </c>
      <c r="G200">
        <v>843.00425435667603</v>
      </c>
      <c r="H200" s="1">
        <v>45838.333333333336</v>
      </c>
    </row>
    <row r="201" spans="1:8" x14ac:dyDescent="0.25">
      <c r="A201" s="7">
        <f>DATE(YEAR(m5_crossvalid[[#This Row],[cutoff]]),MONTH(m5_crossvalid[[#This Row],[cutoff]]),DAY(m5_crossvalid[[#This Row],[cutoff]]))</f>
        <v>45838</v>
      </c>
      <c r="B201" s="7">
        <f>DATE(YEAR(m5_crossvalid[[#This Row],[ds]]),MONTH(m5_crossvalid[[#This Row],[ds]]),DAY(m5_crossvalid[[#This Row],[ds]]))</f>
        <v>45852</v>
      </c>
      <c r="C201">
        <v>2356</v>
      </c>
      <c r="D201" s="1">
        <v>45852.333333333336</v>
      </c>
      <c r="E201">
        <v>2056.1649347856101</v>
      </c>
      <c r="F201">
        <v>630.18439005483219</v>
      </c>
      <c r="G201">
        <v>3439.2710934161664</v>
      </c>
      <c r="H201" s="1">
        <v>45838.333333333336</v>
      </c>
    </row>
    <row r="202" spans="1:8" x14ac:dyDescent="0.25">
      <c r="A202" s="7">
        <f>DATE(YEAR(m5_crossvalid[[#This Row],[cutoff]]),MONTH(m5_crossvalid[[#This Row],[cutoff]]),DAY(m5_crossvalid[[#This Row],[cutoff]]))</f>
        <v>45838</v>
      </c>
      <c r="B202" s="7">
        <f>DATE(YEAR(m5_crossvalid[[#This Row],[ds]]),MONTH(m5_crossvalid[[#This Row],[ds]]),DAY(m5_crossvalid[[#This Row],[ds]]))</f>
        <v>45853</v>
      </c>
      <c r="C202">
        <v>2694</v>
      </c>
      <c r="D202" s="1">
        <v>45853.333333333336</v>
      </c>
      <c r="E202">
        <v>2385.243302105951</v>
      </c>
      <c r="F202">
        <v>1014.592576252916</v>
      </c>
      <c r="G202">
        <v>3923.2345281256139</v>
      </c>
      <c r="H202" s="1">
        <v>45838.333333333336</v>
      </c>
    </row>
    <row r="203" spans="1:8" x14ac:dyDescent="0.25">
      <c r="A203" s="7">
        <f>DATE(YEAR(m5_crossvalid[[#This Row],[cutoff]]),MONTH(m5_crossvalid[[#This Row],[cutoff]]),DAY(m5_crossvalid[[#This Row],[cutoff]]))</f>
        <v>45838</v>
      </c>
      <c r="B203" s="7">
        <f>DATE(YEAR(m5_crossvalid[[#This Row],[ds]]),MONTH(m5_crossvalid[[#This Row],[ds]]),DAY(m5_crossvalid[[#This Row],[ds]]))</f>
        <v>45854</v>
      </c>
      <c r="C203">
        <v>2796</v>
      </c>
      <c r="D203" s="1">
        <v>45854.333333333336</v>
      </c>
      <c r="E203">
        <v>2547.759210060407</v>
      </c>
      <c r="F203">
        <v>1145.8861525690095</v>
      </c>
      <c r="G203">
        <v>4000.9134270193686</v>
      </c>
      <c r="H203" s="1">
        <v>45838.333333333336</v>
      </c>
    </row>
    <row r="204" spans="1:8" x14ac:dyDescent="0.25">
      <c r="A204" s="7">
        <f>DATE(YEAR(m5_crossvalid[[#This Row],[cutoff]]),MONTH(m5_crossvalid[[#This Row],[cutoff]]),DAY(m5_crossvalid[[#This Row],[cutoff]]))</f>
        <v>45838</v>
      </c>
      <c r="B204" s="7">
        <f>DATE(YEAR(m5_crossvalid[[#This Row],[ds]]),MONTH(m5_crossvalid[[#This Row],[ds]]),DAY(m5_crossvalid[[#This Row],[ds]]))</f>
        <v>45855</v>
      </c>
      <c r="C204">
        <v>2972</v>
      </c>
      <c r="D204" s="1">
        <v>45855.333333333336</v>
      </c>
      <c r="E204">
        <v>2684.5633900573753</v>
      </c>
      <c r="F204">
        <v>1218.4604279743594</v>
      </c>
      <c r="G204">
        <v>4201.5875734511601</v>
      </c>
      <c r="H204" s="1">
        <v>45838.333333333336</v>
      </c>
    </row>
    <row r="205" spans="1:8" x14ac:dyDescent="0.25">
      <c r="A205" s="7">
        <f>DATE(YEAR(m5_crossvalid[[#This Row],[cutoff]]),MONTH(m5_crossvalid[[#This Row],[cutoff]]),DAY(m5_crossvalid[[#This Row],[cutoff]]))</f>
        <v>45838</v>
      </c>
      <c r="B205" s="7">
        <f>DATE(YEAR(m5_crossvalid[[#This Row],[ds]]),MONTH(m5_crossvalid[[#This Row],[ds]]),DAY(m5_crossvalid[[#This Row],[ds]]))</f>
        <v>45856</v>
      </c>
      <c r="C205">
        <v>2891</v>
      </c>
      <c r="D205" s="1">
        <v>45856.333333333336</v>
      </c>
      <c r="E205">
        <v>2807.9591479995997</v>
      </c>
      <c r="F205">
        <v>1426.0410281133479</v>
      </c>
      <c r="G205">
        <v>4224.0082004885744</v>
      </c>
      <c r="H205" s="1">
        <v>45838.333333333336</v>
      </c>
    </row>
    <row r="206" spans="1:8" x14ac:dyDescent="0.25">
      <c r="A206" s="7">
        <f>DATE(YEAR(m5_crossvalid[[#This Row],[cutoff]]),MONTH(m5_crossvalid[[#This Row],[cutoff]]),DAY(m5_crossvalid[[#This Row],[cutoff]]))</f>
        <v>45838</v>
      </c>
      <c r="B206" s="7">
        <f>DATE(YEAR(m5_crossvalid[[#This Row],[ds]]),MONTH(m5_crossvalid[[#This Row],[ds]]),DAY(m5_crossvalid[[#This Row],[ds]]))</f>
        <v>45857</v>
      </c>
      <c r="C206">
        <v>521</v>
      </c>
      <c r="D206" s="1">
        <v>45857.333333333336</v>
      </c>
      <c r="E206">
        <v>666.90855332440333</v>
      </c>
      <c r="F206">
        <v>-814.077378288315</v>
      </c>
      <c r="G206">
        <v>2133.5967077585083</v>
      </c>
      <c r="H206" s="1">
        <v>45838.333333333336</v>
      </c>
    </row>
    <row r="207" spans="1:8" x14ac:dyDescent="0.25">
      <c r="A207" s="7">
        <f>DATE(YEAR(m5_crossvalid[[#This Row],[cutoff]]),MONTH(m5_crossvalid[[#This Row],[cutoff]]),DAY(m5_crossvalid[[#This Row],[cutoff]]))</f>
        <v>45838</v>
      </c>
      <c r="B207" s="7">
        <f>DATE(YEAR(m5_crossvalid[[#This Row],[ds]]),MONTH(m5_crossvalid[[#This Row],[ds]]),DAY(m5_crossvalid[[#This Row],[ds]]))</f>
        <v>45858</v>
      </c>
      <c r="C207">
        <v>189</v>
      </c>
      <c r="D207" s="1">
        <v>45858.333333333336</v>
      </c>
      <c r="E207">
        <v>165.68479925143174</v>
      </c>
      <c r="F207">
        <v>-1202.6828154798009</v>
      </c>
      <c r="G207">
        <v>1555.1687636545098</v>
      </c>
      <c r="H207" s="1">
        <v>45838.333333333336</v>
      </c>
    </row>
    <row r="208" spans="1:8" x14ac:dyDescent="0.25">
      <c r="A208" s="7">
        <f>DATE(YEAR(m5_crossvalid[[#This Row],[cutoff]]),MONTH(m5_crossvalid[[#This Row],[cutoff]]),DAY(m5_crossvalid[[#This Row],[cutoff]]))</f>
        <v>45838</v>
      </c>
      <c r="B208" s="7">
        <f>DATE(YEAR(m5_crossvalid[[#This Row],[ds]]),MONTH(m5_crossvalid[[#This Row],[ds]]),DAY(m5_crossvalid[[#This Row],[ds]]))</f>
        <v>45859</v>
      </c>
      <c r="C208">
        <v>2798</v>
      </c>
      <c r="D208" s="1">
        <v>45859.333333333336</v>
      </c>
      <c r="E208">
        <v>2669.27117366824</v>
      </c>
      <c r="F208">
        <v>1203.9209456818367</v>
      </c>
      <c r="G208">
        <v>4115.8798281996278</v>
      </c>
      <c r="H208" s="1">
        <v>45838.333333333336</v>
      </c>
    </row>
    <row r="209" spans="1:8" x14ac:dyDescent="0.25">
      <c r="A209" s="7">
        <f>DATE(YEAR(m5_crossvalid[[#This Row],[cutoff]]),MONTH(m5_crossvalid[[#This Row],[cutoff]]),DAY(m5_crossvalid[[#This Row],[cutoff]]))</f>
        <v>45838</v>
      </c>
      <c r="B209" s="7">
        <f>DATE(YEAR(m5_crossvalid[[#This Row],[ds]]),MONTH(m5_crossvalid[[#This Row],[ds]]),DAY(m5_crossvalid[[#This Row],[ds]]))</f>
        <v>45860</v>
      </c>
      <c r="C209">
        <v>2894</v>
      </c>
      <c r="D209" s="1">
        <v>45860.333333333336</v>
      </c>
      <c r="E209">
        <v>3052.0175228914982</v>
      </c>
      <c r="F209">
        <v>1669.3228840752843</v>
      </c>
      <c r="G209">
        <v>4532.6056496358242</v>
      </c>
      <c r="H209" s="1">
        <v>45838.333333333336</v>
      </c>
    </row>
    <row r="210" spans="1:8" x14ac:dyDescent="0.25">
      <c r="A210" s="7">
        <f>DATE(YEAR(m5_crossvalid[[#This Row],[cutoff]]),MONTH(m5_crossvalid[[#This Row],[cutoff]]),DAY(m5_crossvalid[[#This Row],[cutoff]]))</f>
        <v>45838</v>
      </c>
      <c r="B210" s="7">
        <f>DATE(YEAR(m5_crossvalid[[#This Row],[ds]]),MONTH(m5_crossvalid[[#This Row],[ds]]),DAY(m5_crossvalid[[#This Row],[ds]]))</f>
        <v>45861</v>
      </c>
      <c r="C210">
        <v>3299</v>
      </c>
      <c r="D210" s="1">
        <v>45861.333333333336</v>
      </c>
      <c r="E210">
        <v>3342.7797795662864</v>
      </c>
      <c r="F210">
        <v>1871.2964952729744</v>
      </c>
      <c r="G210">
        <v>4880.1332649762508</v>
      </c>
      <c r="H210" s="1">
        <v>45838.333333333336</v>
      </c>
    </row>
    <row r="211" spans="1:8" x14ac:dyDescent="0.25">
      <c r="A211" s="7">
        <f>DATE(YEAR(m5_crossvalid[[#This Row],[cutoff]]),MONTH(m5_crossvalid[[#This Row],[cutoff]]),DAY(m5_crossvalid[[#This Row],[cutoff]]))</f>
        <v>45838</v>
      </c>
      <c r="B211" s="7">
        <f>DATE(YEAR(m5_crossvalid[[#This Row],[ds]]),MONTH(m5_crossvalid[[#This Row],[ds]]),DAY(m5_crossvalid[[#This Row],[ds]]))</f>
        <v>45862</v>
      </c>
      <c r="C211">
        <v>3785</v>
      </c>
      <c r="D211" s="1">
        <v>45862.333333333336</v>
      </c>
      <c r="E211">
        <v>3558.6097810871815</v>
      </c>
      <c r="F211">
        <v>2130.9930507965455</v>
      </c>
      <c r="G211">
        <v>5161.9707677121687</v>
      </c>
      <c r="H211" s="1">
        <v>45838.333333333336</v>
      </c>
    </row>
    <row r="212" spans="1:8" x14ac:dyDescent="0.25">
      <c r="A212" s="7">
        <f>DATE(YEAR(m5_crossvalid[[#This Row],[cutoff]]),MONTH(m5_crossvalid[[#This Row],[cutoff]]),DAY(m5_crossvalid[[#This Row],[cutoff]]))</f>
        <v>45838</v>
      </c>
      <c r="B212" s="7">
        <f>DATE(YEAR(m5_crossvalid[[#This Row],[ds]]),MONTH(m5_crossvalid[[#This Row],[ds]]),DAY(m5_crossvalid[[#This Row],[ds]]))</f>
        <v>45863</v>
      </c>
      <c r="C212">
        <v>3663</v>
      </c>
      <c r="D212" s="1">
        <v>45863.333333333336</v>
      </c>
      <c r="E212">
        <v>3649.9254664884193</v>
      </c>
      <c r="F212">
        <v>2091.3710360252408</v>
      </c>
      <c r="G212">
        <v>5210.6212655597838</v>
      </c>
      <c r="H212" s="1">
        <v>45838.333333333336</v>
      </c>
    </row>
    <row r="213" spans="1:8" x14ac:dyDescent="0.25">
      <c r="A213" s="7">
        <f>DATE(YEAR(m5_crossvalid[[#This Row],[cutoff]]),MONTH(m5_crossvalid[[#This Row],[cutoff]]),DAY(m5_crossvalid[[#This Row],[cutoff]]))</f>
        <v>45838</v>
      </c>
      <c r="B213" s="7">
        <f>DATE(YEAR(m5_crossvalid[[#This Row],[ds]]),MONTH(m5_crossvalid[[#This Row],[ds]]),DAY(m5_crossvalid[[#This Row],[ds]]))</f>
        <v>45864</v>
      </c>
      <c r="C213">
        <v>901</v>
      </c>
      <c r="D213" s="1">
        <v>45864.333333333336</v>
      </c>
      <c r="E213">
        <v>1425.7321791859006</v>
      </c>
      <c r="F213">
        <v>28.149300709340181</v>
      </c>
      <c r="G213">
        <v>2872.7868108644388</v>
      </c>
      <c r="H213" s="1">
        <v>45838.333333333336</v>
      </c>
    </row>
    <row r="214" spans="1:8" x14ac:dyDescent="0.25">
      <c r="A214" s="7">
        <f>DATE(YEAR(m5_crossvalid[[#This Row],[cutoff]]),MONTH(m5_crossvalid[[#This Row],[cutoff]]),DAY(m5_crossvalid[[#This Row],[cutoff]]))</f>
        <v>45838</v>
      </c>
      <c r="B214" s="7">
        <f>DATE(YEAR(m5_crossvalid[[#This Row],[ds]]),MONTH(m5_crossvalid[[#This Row],[ds]]),DAY(m5_crossvalid[[#This Row],[ds]]))</f>
        <v>45865</v>
      </c>
      <c r="C214">
        <v>262</v>
      </c>
      <c r="D214" s="1">
        <v>45865.333333333336</v>
      </c>
      <c r="E214">
        <v>2209.7921659669391</v>
      </c>
      <c r="F214">
        <v>798.75615250684825</v>
      </c>
      <c r="G214">
        <v>3613.4253642099752</v>
      </c>
      <c r="H214" s="1">
        <v>45838.333333333336</v>
      </c>
    </row>
    <row r="215" spans="1:8" x14ac:dyDescent="0.25">
      <c r="A215" s="7">
        <f>DATE(YEAR(m5_crossvalid[[#This Row],[cutoff]]),MONTH(m5_crossvalid[[#This Row],[cutoff]]),DAY(m5_crossvalid[[#This Row],[cutoff]]))</f>
        <v>45838</v>
      </c>
      <c r="B215" s="7">
        <f>DATE(YEAR(m5_crossvalid[[#This Row],[ds]]),MONTH(m5_crossvalid[[#This Row],[ds]]),DAY(m5_crossvalid[[#This Row],[ds]]))</f>
        <v>45866</v>
      </c>
      <c r="C215">
        <v>4324</v>
      </c>
      <c r="D215" s="1">
        <v>45866.333333333336</v>
      </c>
      <c r="E215">
        <v>4790.0182495740173</v>
      </c>
      <c r="F215">
        <v>3352.1956603685121</v>
      </c>
      <c r="G215">
        <v>6234.8118275477273</v>
      </c>
      <c r="H215" s="1">
        <v>45838.333333333336</v>
      </c>
    </row>
    <row r="216" spans="1:8" x14ac:dyDescent="0.25">
      <c r="A216" s="7">
        <f>DATE(YEAR(m5_crossvalid[[#This Row],[cutoff]]),MONTH(m5_crossvalid[[#This Row],[cutoff]]),DAY(m5_crossvalid[[#This Row],[cutoff]]))</f>
        <v>45838</v>
      </c>
      <c r="B216" s="7">
        <f>DATE(YEAR(m5_crossvalid[[#This Row],[ds]]),MONTH(m5_crossvalid[[#This Row],[ds]]),DAY(m5_crossvalid[[#This Row],[ds]]))</f>
        <v>45867</v>
      </c>
      <c r="C216">
        <v>5336</v>
      </c>
      <c r="D216" s="1">
        <v>45867.333333333336</v>
      </c>
      <c r="E216">
        <v>5240.6675098334281</v>
      </c>
      <c r="F216">
        <v>3722.1023394348454</v>
      </c>
      <c r="G216">
        <v>6706.4039245562717</v>
      </c>
      <c r="H216" s="1">
        <v>45838.333333333336</v>
      </c>
    </row>
    <row r="217" spans="1:8" x14ac:dyDescent="0.25">
      <c r="A217" s="7">
        <f>DATE(YEAR(m5_crossvalid[[#This Row],[cutoff]]),MONTH(m5_crossvalid[[#This Row],[cutoff]]),DAY(m5_crossvalid[[#This Row],[cutoff]]))</f>
        <v>45838</v>
      </c>
      <c r="B217" s="7">
        <f>DATE(YEAR(m5_crossvalid[[#This Row],[ds]]),MONTH(m5_crossvalid[[#This Row],[ds]]),DAY(m5_crossvalid[[#This Row],[ds]]))</f>
        <v>45868</v>
      </c>
      <c r="C217">
        <v>8373</v>
      </c>
      <c r="D217" s="1">
        <v>45868.333333333336</v>
      </c>
      <c r="E217">
        <v>7519.0837432506241</v>
      </c>
      <c r="F217">
        <v>6097.1047362201361</v>
      </c>
      <c r="G217">
        <v>8836.7525493210123</v>
      </c>
      <c r="H217" s="1">
        <v>45838.333333333336</v>
      </c>
    </row>
    <row r="218" spans="1:8" x14ac:dyDescent="0.25">
      <c r="A218" s="7">
        <f>DATE(YEAR(m5_crossvalid[[#This Row],[cutoff]]),MONTH(m5_crossvalid[[#This Row],[cutoff]]),DAY(m5_crossvalid[[#This Row],[cutoff]]))</f>
        <v>45838</v>
      </c>
      <c r="B218" s="7">
        <f>DATE(YEAR(m5_crossvalid[[#This Row],[ds]]),MONTH(m5_crossvalid[[#This Row],[ds]]),DAY(m5_crossvalid[[#This Row],[ds]]))</f>
        <v>45869</v>
      </c>
      <c r="C218">
        <v>11889</v>
      </c>
      <c r="D218" s="1">
        <v>45869.333333333336</v>
      </c>
      <c r="E218">
        <v>9711.7527898438784</v>
      </c>
      <c r="F218">
        <v>8259.3888223943104</v>
      </c>
      <c r="G218">
        <v>11156.19111811053</v>
      </c>
      <c r="H218" s="1">
        <v>45838.333333333336</v>
      </c>
    </row>
    <row r="219" spans="1:8" x14ac:dyDescent="0.25">
      <c r="A219" s="7">
        <f>DATE(YEAR(m5_crossvalid[[#This Row],[cutoff]]),MONTH(m5_crossvalid[[#This Row],[cutoff]]),DAY(m5_crossvalid[[#This Row],[cutoff]]))</f>
        <v>45869</v>
      </c>
      <c r="B219" s="7">
        <f>DATE(YEAR(m5_crossvalid[[#This Row],[ds]]),MONTH(m5_crossvalid[[#This Row],[ds]]),DAY(m5_crossvalid[[#This Row],[ds]]))</f>
        <v>45870</v>
      </c>
      <c r="C219">
        <v>761</v>
      </c>
      <c r="D219" s="1">
        <v>45870.333333333336</v>
      </c>
      <c r="E219">
        <v>2641.5092444396601</v>
      </c>
      <c r="F219">
        <v>1130.8089410539371</v>
      </c>
      <c r="G219">
        <v>4211.1982850299028</v>
      </c>
      <c r="H219" s="1">
        <v>45869.333333333336</v>
      </c>
    </row>
    <row r="220" spans="1:8" x14ac:dyDescent="0.25">
      <c r="A220" s="7">
        <f>DATE(YEAR(m5_crossvalid[[#This Row],[cutoff]]),MONTH(m5_crossvalid[[#This Row],[cutoff]]),DAY(m5_crossvalid[[#This Row],[cutoff]]))</f>
        <v>45869</v>
      </c>
      <c r="B220" s="7">
        <f>DATE(YEAR(m5_crossvalid[[#This Row],[ds]]),MONTH(m5_crossvalid[[#This Row],[ds]]),DAY(m5_crossvalid[[#This Row],[ds]]))</f>
        <v>45871</v>
      </c>
      <c r="C220">
        <v>74</v>
      </c>
      <c r="D220" s="1">
        <v>45871.333333333336</v>
      </c>
      <c r="E220">
        <v>-303.8777048963816</v>
      </c>
      <c r="F220">
        <v>-1760.4229795549113</v>
      </c>
      <c r="G220">
        <v>1198.607793477888</v>
      </c>
      <c r="H220" s="1">
        <v>45869.333333333336</v>
      </c>
    </row>
    <row r="221" spans="1:8" x14ac:dyDescent="0.25">
      <c r="A221" s="7">
        <f>DATE(YEAR(m5_crossvalid[[#This Row],[cutoff]]),MONTH(m5_crossvalid[[#This Row],[cutoff]]),DAY(m5_crossvalid[[#This Row],[cutoff]]))</f>
        <v>45869</v>
      </c>
      <c r="B221" s="7">
        <f>DATE(YEAR(m5_crossvalid[[#This Row],[ds]]),MONTH(m5_crossvalid[[#This Row],[ds]]),DAY(m5_crossvalid[[#This Row],[ds]]))</f>
        <v>45872</v>
      </c>
      <c r="C221">
        <v>28</v>
      </c>
      <c r="D221" s="1">
        <v>45872.333333333336</v>
      </c>
      <c r="E221">
        <v>-1188.7133672724794</v>
      </c>
      <c r="F221">
        <v>-2586.4491574893514</v>
      </c>
      <c r="G221">
        <v>254.23574111283247</v>
      </c>
      <c r="H221" s="1">
        <v>45869.333333333336</v>
      </c>
    </row>
    <row r="222" spans="1:8" x14ac:dyDescent="0.25">
      <c r="A222" s="7">
        <f>DATE(YEAR(m5_crossvalid[[#This Row],[cutoff]]),MONTH(m5_crossvalid[[#This Row],[cutoff]]),DAY(m5_crossvalid[[#This Row],[cutoff]]))</f>
        <v>45869</v>
      </c>
      <c r="B222" s="7">
        <f>DATE(YEAR(m5_crossvalid[[#This Row],[ds]]),MONTH(m5_crossvalid[[#This Row],[ds]]),DAY(m5_crossvalid[[#This Row],[ds]]))</f>
        <v>45873</v>
      </c>
      <c r="C222">
        <v>912</v>
      </c>
      <c r="D222" s="1">
        <v>45873.333333333336</v>
      </c>
      <c r="E222">
        <v>1178.658618483222</v>
      </c>
      <c r="F222">
        <v>-400.61180250156451</v>
      </c>
      <c r="G222">
        <v>2538.5608581957113</v>
      </c>
      <c r="H222" s="1">
        <v>45869.333333333336</v>
      </c>
    </row>
    <row r="223" spans="1:8" x14ac:dyDescent="0.25">
      <c r="A223" s="7">
        <f>DATE(YEAR(m5_crossvalid[[#This Row],[cutoff]]),MONTH(m5_crossvalid[[#This Row],[cutoff]]),DAY(m5_crossvalid[[#This Row],[cutoff]]))</f>
        <v>45869</v>
      </c>
      <c r="B223" s="7">
        <f>DATE(YEAR(m5_crossvalid[[#This Row],[ds]]),MONTH(m5_crossvalid[[#This Row],[ds]]),DAY(m5_crossvalid[[#This Row],[ds]]))</f>
        <v>45874</v>
      </c>
      <c r="C223">
        <v>2022</v>
      </c>
      <c r="D223" s="1">
        <v>45874.333333333336</v>
      </c>
      <c r="E223">
        <v>1588.4764154072366</v>
      </c>
      <c r="F223">
        <v>176.72678166725666</v>
      </c>
      <c r="G223">
        <v>3065.0141918411969</v>
      </c>
      <c r="H223" s="1">
        <v>45869.333333333336</v>
      </c>
    </row>
    <row r="224" spans="1:8" x14ac:dyDescent="0.25">
      <c r="A224" s="7">
        <f>DATE(YEAR(m5_crossvalid[[#This Row],[cutoff]]),MONTH(m5_crossvalid[[#This Row],[cutoff]]),DAY(m5_crossvalid[[#This Row],[cutoff]]))</f>
        <v>45869</v>
      </c>
      <c r="B224" s="7">
        <f>DATE(YEAR(m5_crossvalid[[#This Row],[ds]]),MONTH(m5_crossvalid[[#This Row],[ds]]),DAY(m5_crossvalid[[#This Row],[ds]]))</f>
        <v>45875</v>
      </c>
      <c r="C224">
        <v>1344</v>
      </c>
      <c r="D224" s="1">
        <v>45875.333333333336</v>
      </c>
      <c r="E224">
        <v>1852.1399165294886</v>
      </c>
      <c r="F224">
        <v>382.85118861597914</v>
      </c>
      <c r="G224">
        <v>3307.7814098527174</v>
      </c>
      <c r="H224" s="1">
        <v>45869.333333333336</v>
      </c>
    </row>
    <row r="225" spans="1:8" x14ac:dyDescent="0.25">
      <c r="A225" s="7">
        <f>DATE(YEAR(m5_crossvalid[[#This Row],[cutoff]]),MONTH(m5_crossvalid[[#This Row],[cutoff]]),DAY(m5_crossvalid[[#This Row],[cutoff]]))</f>
        <v>45869</v>
      </c>
      <c r="B225" s="7">
        <f>DATE(YEAR(m5_crossvalid[[#This Row],[ds]]),MONTH(m5_crossvalid[[#This Row],[ds]]),DAY(m5_crossvalid[[#This Row],[ds]]))</f>
        <v>45876</v>
      </c>
      <c r="C225">
        <v>1585</v>
      </c>
      <c r="D225" s="1">
        <v>45876.333333333336</v>
      </c>
      <c r="E225">
        <v>1861.8970460737858</v>
      </c>
      <c r="F225">
        <v>370.84990404872912</v>
      </c>
      <c r="G225">
        <v>3323.0315422524532</v>
      </c>
      <c r="H225" s="1">
        <v>45869.333333333336</v>
      </c>
    </row>
    <row r="226" spans="1:8" x14ac:dyDescent="0.25">
      <c r="A226" s="7">
        <f>DATE(YEAR(m5_crossvalid[[#This Row],[cutoff]]),MONTH(m5_crossvalid[[#This Row],[cutoff]]),DAY(m5_crossvalid[[#This Row],[cutoff]]))</f>
        <v>45869</v>
      </c>
      <c r="B226" s="7">
        <f>DATE(YEAR(m5_crossvalid[[#This Row],[ds]]),MONTH(m5_crossvalid[[#This Row],[ds]]),DAY(m5_crossvalid[[#This Row],[ds]]))</f>
        <v>45877</v>
      </c>
      <c r="C226">
        <v>2032</v>
      </c>
      <c r="D226" s="1">
        <v>45877.333333333336</v>
      </c>
      <c r="E226">
        <v>2333.0951098371802</v>
      </c>
      <c r="F226">
        <v>757.47897368133295</v>
      </c>
      <c r="G226">
        <v>3716.8787043902576</v>
      </c>
      <c r="H226" s="1">
        <v>45869.333333333336</v>
      </c>
    </row>
    <row r="227" spans="1:8" x14ac:dyDescent="0.25">
      <c r="A227" s="7">
        <f>DATE(YEAR(m5_crossvalid[[#This Row],[cutoff]]),MONTH(m5_crossvalid[[#This Row],[cutoff]]),DAY(m5_crossvalid[[#This Row],[cutoff]]))</f>
        <v>45869</v>
      </c>
      <c r="B227" s="7">
        <f>DATE(YEAR(m5_crossvalid[[#This Row],[ds]]),MONTH(m5_crossvalid[[#This Row],[ds]]),DAY(m5_crossvalid[[#This Row],[ds]]))</f>
        <v>45878</v>
      </c>
      <c r="C227">
        <v>327</v>
      </c>
      <c r="D227" s="1">
        <v>45878.333333333336</v>
      </c>
      <c r="E227">
        <v>-98.943350698692939</v>
      </c>
      <c r="F227">
        <v>-1577.176378738096</v>
      </c>
      <c r="G227">
        <v>1362.4622775434939</v>
      </c>
      <c r="H227" s="1">
        <v>45869.333333333336</v>
      </c>
    </row>
    <row r="228" spans="1:8" x14ac:dyDescent="0.25">
      <c r="A228" s="7">
        <f>DATE(YEAR(m5_crossvalid[[#This Row],[cutoff]]),MONTH(m5_crossvalid[[#This Row],[cutoff]]),DAY(m5_crossvalid[[#This Row],[cutoff]]))</f>
        <v>45869</v>
      </c>
      <c r="B228" s="7">
        <f>DATE(YEAR(m5_crossvalid[[#This Row],[ds]]),MONTH(m5_crossvalid[[#This Row],[ds]]),DAY(m5_crossvalid[[#This Row],[ds]]))</f>
        <v>45879</v>
      </c>
      <c r="C228">
        <v>78</v>
      </c>
      <c r="D228" s="1">
        <v>45879.333333333336</v>
      </c>
      <c r="E228">
        <v>-684.92720348929015</v>
      </c>
      <c r="F228">
        <v>-2048.2382711528621</v>
      </c>
      <c r="G228">
        <v>706.95159279322252</v>
      </c>
      <c r="H228" s="1">
        <v>45869.333333333336</v>
      </c>
    </row>
    <row r="229" spans="1:8" x14ac:dyDescent="0.25">
      <c r="A229" s="7">
        <f>DATE(YEAR(m5_crossvalid[[#This Row],[cutoff]]),MONTH(m5_crossvalid[[#This Row],[cutoff]]),DAY(m5_crossvalid[[#This Row],[cutoff]]))</f>
        <v>45869</v>
      </c>
      <c r="B229" s="7">
        <f>DATE(YEAR(m5_crossvalid[[#This Row],[ds]]),MONTH(m5_crossvalid[[#This Row],[ds]]),DAY(m5_crossvalid[[#This Row],[ds]]))</f>
        <v>45880</v>
      </c>
      <c r="C229">
        <v>2043</v>
      </c>
      <c r="D229" s="1">
        <v>45880.333333333336</v>
      </c>
      <c r="E229">
        <v>1908.3366618788616</v>
      </c>
      <c r="F229">
        <v>537.62654109644586</v>
      </c>
      <c r="G229">
        <v>3392.8301500900302</v>
      </c>
      <c r="H229" s="1">
        <v>45869.333333333336</v>
      </c>
    </row>
    <row r="230" spans="1:8" x14ac:dyDescent="0.25">
      <c r="A230" s="7">
        <f>DATE(YEAR(m5_crossvalid[[#This Row],[cutoff]]),MONTH(m5_crossvalid[[#This Row],[cutoff]]),DAY(m5_crossvalid[[#This Row],[cutoff]]))</f>
        <v>45869</v>
      </c>
      <c r="B230" s="7">
        <f>DATE(YEAR(m5_crossvalid[[#This Row],[ds]]),MONTH(m5_crossvalid[[#This Row],[ds]]),DAY(m5_crossvalid[[#This Row],[ds]]))</f>
        <v>45881</v>
      </c>
      <c r="C230">
        <v>2431</v>
      </c>
      <c r="D230" s="1">
        <v>45881.333333333336</v>
      </c>
      <c r="E230">
        <v>2344.0218829519899</v>
      </c>
      <c r="F230">
        <v>902.82588172107069</v>
      </c>
      <c r="G230">
        <v>3666.3666341065</v>
      </c>
      <c r="H230" s="1">
        <v>45869.333333333336</v>
      </c>
    </row>
    <row r="231" spans="1:8" x14ac:dyDescent="0.25">
      <c r="A231" s="7">
        <f>DATE(YEAR(m5_crossvalid[[#This Row],[cutoff]]),MONTH(m5_crossvalid[[#This Row],[cutoff]]),DAY(m5_crossvalid[[#This Row],[cutoff]]))</f>
        <v>45869</v>
      </c>
      <c r="B231" s="7">
        <f>DATE(YEAR(m5_crossvalid[[#This Row],[ds]]),MONTH(m5_crossvalid[[#This Row],[ds]]),DAY(m5_crossvalid[[#This Row],[ds]]))</f>
        <v>45882</v>
      </c>
      <c r="C231">
        <v>2484</v>
      </c>
      <c r="D231" s="1">
        <v>45882.333333333336</v>
      </c>
      <c r="E231">
        <v>2549.8368471974195</v>
      </c>
      <c r="F231">
        <v>1136.4199872192037</v>
      </c>
      <c r="G231">
        <v>3939.2598817846897</v>
      </c>
      <c r="H231" s="1">
        <v>45869.333333333336</v>
      </c>
    </row>
    <row r="232" spans="1:8" x14ac:dyDescent="0.25">
      <c r="A232" s="7">
        <f>DATE(YEAR(m5_crossvalid[[#This Row],[cutoff]]),MONTH(m5_crossvalid[[#This Row],[cutoff]]),DAY(m5_crossvalid[[#This Row],[cutoff]]))</f>
        <v>45869</v>
      </c>
      <c r="B232" s="7">
        <f>DATE(YEAR(m5_crossvalid[[#This Row],[ds]]),MONTH(m5_crossvalid[[#This Row],[ds]]),DAY(m5_crossvalid[[#This Row],[ds]]))</f>
        <v>45883</v>
      </c>
      <c r="C232">
        <v>2669</v>
      </c>
      <c r="D232" s="1">
        <v>45883.333333333336</v>
      </c>
      <c r="E232">
        <v>2591.0293086594061</v>
      </c>
      <c r="F232">
        <v>1256.5823844504375</v>
      </c>
      <c r="G232">
        <v>4031.8134992968844</v>
      </c>
      <c r="H232" s="1">
        <v>45869.333333333336</v>
      </c>
    </row>
    <row r="233" spans="1:8" x14ac:dyDescent="0.25">
      <c r="A233" s="7">
        <f>DATE(YEAR(m5_crossvalid[[#This Row],[cutoff]]),MONTH(m5_crossvalid[[#This Row],[cutoff]]),DAY(m5_crossvalid[[#This Row],[cutoff]]))</f>
        <v>45869</v>
      </c>
      <c r="B233" s="7">
        <f>DATE(YEAR(m5_crossvalid[[#This Row],[ds]]),MONTH(m5_crossvalid[[#This Row],[ds]]),DAY(m5_crossvalid[[#This Row],[ds]]))</f>
        <v>45884</v>
      </c>
      <c r="C233">
        <v>3160</v>
      </c>
      <c r="D233" s="1">
        <v>45884.333333333336</v>
      </c>
      <c r="E233">
        <v>2575.8426440727822</v>
      </c>
      <c r="F233">
        <v>1239.6179292471429</v>
      </c>
      <c r="G233">
        <v>4003.8463950562987</v>
      </c>
      <c r="H233" s="1">
        <v>45869.333333333336</v>
      </c>
    </row>
    <row r="234" spans="1:8" x14ac:dyDescent="0.25">
      <c r="A234" s="7">
        <f>DATE(YEAR(m5_crossvalid[[#This Row],[cutoff]]),MONTH(m5_crossvalid[[#This Row],[cutoff]]),DAY(m5_crossvalid[[#This Row],[cutoff]]))</f>
        <v>45869</v>
      </c>
      <c r="B234" s="7">
        <f>DATE(YEAR(m5_crossvalid[[#This Row],[ds]]),MONTH(m5_crossvalid[[#This Row],[ds]]),DAY(m5_crossvalid[[#This Row],[ds]]))</f>
        <v>45885</v>
      </c>
      <c r="C234">
        <v>560</v>
      </c>
      <c r="D234" s="1">
        <v>45885.333333333336</v>
      </c>
      <c r="E234">
        <v>450.76511280327645</v>
      </c>
      <c r="F234">
        <v>-954.44132502329978</v>
      </c>
      <c r="G234">
        <v>1913.1755552374784</v>
      </c>
      <c r="H234" s="1">
        <v>45869.333333333336</v>
      </c>
    </row>
    <row r="235" spans="1:8" x14ac:dyDescent="0.25">
      <c r="A235" s="7">
        <f>DATE(YEAR(m5_crossvalid[[#This Row],[cutoff]]),MONTH(m5_crossvalid[[#This Row],[cutoff]]),DAY(m5_crossvalid[[#This Row],[cutoff]]))</f>
        <v>45869</v>
      </c>
      <c r="B235" s="7">
        <f>DATE(YEAR(m5_crossvalid[[#This Row],[ds]]),MONTH(m5_crossvalid[[#This Row],[ds]]),DAY(m5_crossvalid[[#This Row],[ds]]))</f>
        <v>45886</v>
      </c>
      <c r="C235">
        <v>166</v>
      </c>
      <c r="D235" s="1">
        <v>45886.333333333336</v>
      </c>
      <c r="E235">
        <v>102.20254425371013</v>
      </c>
      <c r="F235">
        <v>-1431.4582939022266</v>
      </c>
      <c r="G235">
        <v>1535.9552772215122</v>
      </c>
      <c r="H235" s="1">
        <v>45869.333333333336</v>
      </c>
    </row>
    <row r="236" spans="1:8" x14ac:dyDescent="0.25">
      <c r="A236" s="7">
        <f>DATE(YEAR(m5_crossvalid[[#This Row],[cutoff]]),MONTH(m5_crossvalid[[#This Row],[cutoff]]),DAY(m5_crossvalid[[#This Row],[cutoff]]))</f>
        <v>45869</v>
      </c>
      <c r="B236" s="7">
        <f>DATE(YEAR(m5_crossvalid[[#This Row],[ds]]),MONTH(m5_crossvalid[[#This Row],[ds]]),DAY(m5_crossvalid[[#This Row],[ds]]))</f>
        <v>45887</v>
      </c>
      <c r="C236">
        <v>3003</v>
      </c>
      <c r="D236" s="1">
        <v>45887.333333333336</v>
      </c>
      <c r="E236">
        <v>2746.9086607190193</v>
      </c>
      <c r="F236">
        <v>1338.8202160182866</v>
      </c>
      <c r="G236">
        <v>4167.0942809054304</v>
      </c>
      <c r="H236" s="1">
        <v>45869.333333333336</v>
      </c>
    </row>
    <row r="237" spans="1:8" x14ac:dyDescent="0.25">
      <c r="A237" s="7">
        <f>DATE(YEAR(m5_crossvalid[[#This Row],[cutoff]]),MONTH(m5_crossvalid[[#This Row],[cutoff]]),DAY(m5_crossvalid[[#This Row],[cutoff]]))</f>
        <v>45869</v>
      </c>
      <c r="B237" s="7">
        <f>DATE(YEAR(m5_crossvalid[[#This Row],[ds]]),MONTH(m5_crossvalid[[#This Row],[ds]]),DAY(m5_crossvalid[[#This Row],[ds]]))</f>
        <v>45888</v>
      </c>
      <c r="C237">
        <v>3182</v>
      </c>
      <c r="D237" s="1">
        <v>45888.333333333336</v>
      </c>
      <c r="E237">
        <v>3082.51679326778</v>
      </c>
      <c r="F237">
        <v>1589.0219025084841</v>
      </c>
      <c r="G237">
        <v>4425.6341514987853</v>
      </c>
      <c r="H237" s="1">
        <v>45869.333333333336</v>
      </c>
    </row>
    <row r="238" spans="1:8" x14ac:dyDescent="0.25">
      <c r="A238" s="7">
        <f>DATE(YEAR(m5_crossvalid[[#This Row],[cutoff]]),MONTH(m5_crossvalid[[#This Row],[cutoff]]),DAY(m5_crossvalid[[#This Row],[cutoff]]))</f>
        <v>45869</v>
      </c>
      <c r="B238" s="7">
        <f>DATE(YEAR(m5_crossvalid[[#This Row],[ds]]),MONTH(m5_crossvalid[[#This Row],[ds]]),DAY(m5_crossvalid[[#This Row],[ds]]))</f>
        <v>45889</v>
      </c>
      <c r="C238">
        <v>3745</v>
      </c>
      <c r="D238" s="1">
        <v>45889.333333333336</v>
      </c>
      <c r="E238">
        <v>3182.2296739970279</v>
      </c>
      <c r="F238">
        <v>1880.0103523876271</v>
      </c>
      <c r="G238">
        <v>4569.5361767525783</v>
      </c>
      <c r="H238" s="1">
        <v>45869.333333333336</v>
      </c>
    </row>
    <row r="239" spans="1:8" x14ac:dyDescent="0.25">
      <c r="A239" s="7">
        <f>DATE(YEAR(m5_crossvalid[[#This Row],[cutoff]]),MONTH(m5_crossvalid[[#This Row],[cutoff]]),DAY(m5_crossvalid[[#This Row],[cutoff]]))</f>
        <v>45869</v>
      </c>
      <c r="B239" s="7">
        <f>DATE(YEAR(m5_crossvalid[[#This Row],[ds]]),MONTH(m5_crossvalid[[#This Row],[ds]]),DAY(m5_crossvalid[[#This Row],[ds]]))</f>
        <v>45890</v>
      </c>
      <c r="C239">
        <v>3754</v>
      </c>
      <c r="D239" s="1">
        <v>45890.333333333336</v>
      </c>
      <c r="E239">
        <v>3231.6576396042947</v>
      </c>
      <c r="F239">
        <v>1797.3104449736586</v>
      </c>
      <c r="G239">
        <v>4583.6057288908869</v>
      </c>
      <c r="H239" s="1">
        <v>45869.333333333336</v>
      </c>
    </row>
    <row r="240" spans="1:8" x14ac:dyDescent="0.25">
      <c r="A240" s="7">
        <f>DATE(YEAR(m5_crossvalid[[#This Row],[cutoff]]),MONTH(m5_crossvalid[[#This Row],[cutoff]]),DAY(m5_crossvalid[[#This Row],[cutoff]]))</f>
        <v>45869</v>
      </c>
      <c r="B240" s="7">
        <f>DATE(YEAR(m5_crossvalid[[#This Row],[ds]]),MONTH(m5_crossvalid[[#This Row],[ds]]),DAY(m5_crossvalid[[#This Row],[ds]]))</f>
        <v>45891</v>
      </c>
      <c r="C240">
        <v>3741</v>
      </c>
      <c r="D240" s="1">
        <v>45891.333333333336</v>
      </c>
      <c r="E240">
        <v>3330.740350343141</v>
      </c>
      <c r="F240">
        <v>1981.0342990836255</v>
      </c>
      <c r="G240">
        <v>4604.2086983116897</v>
      </c>
      <c r="H240" s="1">
        <v>45869.333333333336</v>
      </c>
    </row>
    <row r="241" spans="1:8" x14ac:dyDescent="0.25">
      <c r="A241" s="7">
        <f>DATE(YEAR(m5_crossvalid[[#This Row],[cutoff]]),MONTH(m5_crossvalid[[#This Row],[cutoff]]),DAY(m5_crossvalid[[#This Row],[cutoff]]))</f>
        <v>45869</v>
      </c>
      <c r="B241" s="7">
        <f>DATE(YEAR(m5_crossvalid[[#This Row],[ds]]),MONTH(m5_crossvalid[[#This Row],[ds]]),DAY(m5_crossvalid[[#This Row],[ds]]))</f>
        <v>45892</v>
      </c>
      <c r="C241">
        <v>761</v>
      </c>
      <c r="D241" s="1">
        <v>45892.333333333336</v>
      </c>
      <c r="E241">
        <v>1312.6042027027306</v>
      </c>
      <c r="F241">
        <v>-13.458609367772365</v>
      </c>
      <c r="G241">
        <v>2849.4558174732483</v>
      </c>
      <c r="H241" s="1">
        <v>45869.333333333336</v>
      </c>
    </row>
    <row r="242" spans="1:8" x14ac:dyDescent="0.25">
      <c r="A242" s="7">
        <f>DATE(YEAR(m5_crossvalid[[#This Row],[cutoff]]),MONTH(m5_crossvalid[[#This Row],[cutoff]]),DAY(m5_crossvalid[[#This Row],[cutoff]]))</f>
        <v>45869</v>
      </c>
      <c r="B242" s="7">
        <f>DATE(YEAR(m5_crossvalid[[#This Row],[ds]]),MONTH(m5_crossvalid[[#This Row],[ds]]),DAY(m5_crossvalid[[#This Row],[ds]]))</f>
        <v>45893</v>
      </c>
      <c r="C242">
        <v>239</v>
      </c>
      <c r="D242" s="1">
        <v>45893.333333333336</v>
      </c>
      <c r="E242">
        <v>967.38108651324887</v>
      </c>
      <c r="F242">
        <v>-425.86037797576427</v>
      </c>
      <c r="G242">
        <v>2469.8980214027702</v>
      </c>
      <c r="H242" s="1">
        <v>45869.333333333336</v>
      </c>
    </row>
    <row r="243" spans="1:8" x14ac:dyDescent="0.25">
      <c r="A243" s="7">
        <f>DATE(YEAR(m5_crossvalid[[#This Row],[cutoff]]),MONTH(m5_crossvalid[[#This Row],[cutoff]]),DAY(m5_crossvalid[[#This Row],[cutoff]]))</f>
        <v>45869</v>
      </c>
      <c r="B243" s="7">
        <f>DATE(YEAR(m5_crossvalid[[#This Row],[ds]]),MONTH(m5_crossvalid[[#This Row],[ds]]),DAY(m5_crossvalid[[#This Row],[ds]]))</f>
        <v>45894</v>
      </c>
      <c r="C243">
        <v>3838</v>
      </c>
      <c r="D243" s="1">
        <v>45894.333333333336</v>
      </c>
      <c r="E243">
        <v>3530.8437737664835</v>
      </c>
      <c r="F243">
        <v>2018.1943183561177</v>
      </c>
      <c r="G243">
        <v>4938.8972961765467</v>
      </c>
      <c r="H243" s="1">
        <v>45869.333333333336</v>
      </c>
    </row>
    <row r="244" spans="1:8" x14ac:dyDescent="0.25">
      <c r="A244" s="7">
        <f>DATE(YEAR(m5_crossvalid[[#This Row],[cutoff]]),MONTH(m5_crossvalid[[#This Row],[cutoff]]),DAY(m5_crossvalid[[#This Row],[cutoff]]))</f>
        <v>45869</v>
      </c>
      <c r="B244" s="7">
        <f>DATE(YEAR(m5_crossvalid[[#This Row],[ds]]),MONTH(m5_crossvalid[[#This Row],[ds]]),DAY(m5_crossvalid[[#This Row],[ds]]))</f>
        <v>45895</v>
      </c>
      <c r="C244">
        <v>5214</v>
      </c>
      <c r="D244" s="1">
        <v>45895.333333333336</v>
      </c>
      <c r="E244">
        <v>3811.5467387186081</v>
      </c>
      <c r="F244">
        <v>2432.631884350099</v>
      </c>
      <c r="G244">
        <v>5307.1460803124892</v>
      </c>
      <c r="H244" s="1">
        <v>45869.333333333336</v>
      </c>
    </row>
    <row r="245" spans="1:8" x14ac:dyDescent="0.25">
      <c r="A245" s="7">
        <f>DATE(YEAR(m5_crossvalid[[#This Row],[cutoff]]),MONTH(m5_crossvalid[[#This Row],[cutoff]]),DAY(m5_crossvalid[[#This Row],[cutoff]]))</f>
        <v>45869</v>
      </c>
      <c r="B245" s="7">
        <f>DATE(YEAR(m5_crossvalid[[#This Row],[ds]]),MONTH(m5_crossvalid[[#This Row],[ds]]),DAY(m5_crossvalid[[#This Row],[ds]]))</f>
        <v>45896</v>
      </c>
      <c r="C245">
        <v>5989</v>
      </c>
      <c r="D245" s="1">
        <v>45896.333333333336</v>
      </c>
      <c r="E245">
        <v>5235.3137823759644</v>
      </c>
      <c r="F245">
        <v>3842.5693962156656</v>
      </c>
      <c r="G245">
        <v>6604.3143830565095</v>
      </c>
      <c r="H245" s="1">
        <v>45869.333333333336</v>
      </c>
    </row>
    <row r="246" spans="1:8" x14ac:dyDescent="0.25">
      <c r="A246" s="7">
        <f>DATE(YEAR(m5_crossvalid[[#This Row],[cutoff]]),MONTH(m5_crossvalid[[#This Row],[cutoff]]),DAY(m5_crossvalid[[#This Row],[cutoff]]))</f>
        <v>45869</v>
      </c>
      <c r="B246" s="7">
        <f>DATE(YEAR(m5_crossvalid[[#This Row],[ds]]),MONTH(m5_crossvalid[[#This Row],[ds]]),DAY(m5_crossvalid[[#This Row],[ds]]))</f>
        <v>45897</v>
      </c>
      <c r="C246">
        <v>7115</v>
      </c>
      <c r="D246" s="1">
        <v>45897.333333333336</v>
      </c>
      <c r="E246">
        <v>5385.2627302409946</v>
      </c>
      <c r="F246">
        <v>3989.9920136115879</v>
      </c>
      <c r="G246">
        <v>6801.139551219474</v>
      </c>
      <c r="H246" s="1">
        <v>45869.333333333336</v>
      </c>
    </row>
    <row r="247" spans="1:8" x14ac:dyDescent="0.25">
      <c r="A247" s="7">
        <f>DATE(YEAR(m5_crossvalid[[#This Row],[cutoff]]),MONTH(m5_crossvalid[[#This Row],[cutoff]]),DAY(m5_crossvalid[[#This Row],[cutoff]]))</f>
        <v>45869</v>
      </c>
      <c r="B247" s="7">
        <f>DATE(YEAR(m5_crossvalid[[#This Row],[ds]]),MONTH(m5_crossvalid[[#This Row],[ds]]),DAY(m5_crossvalid[[#This Row],[ds]]))</f>
        <v>45898</v>
      </c>
      <c r="C247">
        <v>9571</v>
      </c>
      <c r="D247" s="1">
        <v>45898.333333333336</v>
      </c>
      <c r="E247">
        <v>5464.6439502066542</v>
      </c>
      <c r="F247">
        <v>3933.0080841665463</v>
      </c>
      <c r="G247">
        <v>6935.1181271050446</v>
      </c>
      <c r="H247" s="1">
        <v>45869.333333333336</v>
      </c>
    </row>
    <row r="248" spans="1:8" x14ac:dyDescent="0.25">
      <c r="A248" s="7">
        <f>DATE(YEAR(m5_crossvalid[[#This Row],[cutoff]]),MONTH(m5_crossvalid[[#This Row],[cutoff]]),DAY(m5_crossvalid[[#This Row],[cutoff]]))</f>
        <v>45869</v>
      </c>
      <c r="B248" s="7">
        <f>DATE(YEAR(m5_crossvalid[[#This Row],[ds]]),MONTH(m5_crossvalid[[#This Row],[ds]]),DAY(m5_crossvalid[[#This Row],[ds]]))</f>
        <v>45899</v>
      </c>
      <c r="C248">
        <v>5764</v>
      </c>
      <c r="D248" s="1">
        <v>45899.333333333336</v>
      </c>
      <c r="E248">
        <v>5326.4243789855709</v>
      </c>
      <c r="F248">
        <v>3863.7638812480109</v>
      </c>
      <c r="G248">
        <v>6858.5558221211722</v>
      </c>
      <c r="H248" s="1">
        <v>45869.333333333336</v>
      </c>
    </row>
    <row r="249" spans="1:8" x14ac:dyDescent="0.25">
      <c r="A249" s="7">
        <f>DATE(YEAR(m5_crossvalid[[#This Row],[cutoff]]),MONTH(m5_crossvalid[[#This Row],[cutoff]]),DAY(m5_crossvalid[[#This Row],[cutoff]]))</f>
        <v>45869</v>
      </c>
      <c r="B249" s="7">
        <f>DATE(YEAR(m5_crossvalid[[#This Row],[ds]]),MONTH(m5_crossvalid[[#This Row],[ds]]),DAY(m5_crossvalid[[#This Row],[ds]]))</f>
        <v>45900</v>
      </c>
      <c r="C249">
        <v>386</v>
      </c>
      <c r="D249" s="1">
        <v>45900.333333333336</v>
      </c>
      <c r="E249">
        <v>5192.791736261338</v>
      </c>
      <c r="F249">
        <v>3715.906860382926</v>
      </c>
      <c r="G249">
        <v>6642.1630572952936</v>
      </c>
      <c r="H249" s="1">
        <v>45869.333333333336</v>
      </c>
    </row>
    <row r="250" spans="1:8" x14ac:dyDescent="0.25">
      <c r="A250" s="7">
        <f>DATE(YEAR(m5_crossvalid[[#This Row],[cutoff]]),MONTH(m5_crossvalid[[#This Row],[cutoff]]),DAY(m5_crossvalid[[#This Row],[cutoff]]))</f>
        <v>45900</v>
      </c>
      <c r="B250" s="7">
        <f>DATE(YEAR(m5_crossvalid[[#This Row],[ds]]),MONTH(m5_crossvalid[[#This Row],[ds]]),DAY(m5_crossvalid[[#This Row],[ds]]))</f>
        <v>45901</v>
      </c>
      <c r="C250">
        <v>34</v>
      </c>
      <c r="D250" s="1">
        <v>45901.333333333336</v>
      </c>
      <c r="E250">
        <v>416.64896009437189</v>
      </c>
      <c r="F250">
        <v>-1066.0033283017804</v>
      </c>
      <c r="G250">
        <v>1845.9004080069481</v>
      </c>
      <c r="H250" s="1">
        <v>45900.333333333336</v>
      </c>
    </row>
    <row r="251" spans="1:8" x14ac:dyDescent="0.25">
      <c r="A251" s="7">
        <f>DATE(YEAR(m5_crossvalid[[#This Row],[cutoff]]),MONTH(m5_crossvalid[[#This Row],[cutoff]]),DAY(m5_crossvalid[[#This Row],[cutoff]]))</f>
        <v>45900</v>
      </c>
      <c r="B251" s="7">
        <f>DATE(YEAR(m5_crossvalid[[#This Row],[ds]]),MONTH(m5_crossvalid[[#This Row],[ds]]),DAY(m5_crossvalid[[#This Row],[ds]]))</f>
        <v>45902</v>
      </c>
      <c r="C251">
        <v>463</v>
      </c>
      <c r="D251" s="1">
        <v>45902.333333333336</v>
      </c>
      <c r="E251">
        <v>1832.3981964621039</v>
      </c>
      <c r="F251">
        <v>350.56255529132699</v>
      </c>
      <c r="G251">
        <v>3258.2832003501808</v>
      </c>
      <c r="H251" s="1">
        <v>45900.333333333336</v>
      </c>
    </row>
    <row r="252" spans="1:8" x14ac:dyDescent="0.25">
      <c r="A252" s="7">
        <f>DATE(YEAR(m5_crossvalid[[#This Row],[cutoff]]),MONTH(m5_crossvalid[[#This Row],[cutoff]]),DAY(m5_crossvalid[[#This Row],[cutoff]]))</f>
        <v>45900</v>
      </c>
      <c r="B252" s="7">
        <f>DATE(YEAR(m5_crossvalid[[#This Row],[ds]]),MONTH(m5_crossvalid[[#This Row],[ds]]),DAY(m5_crossvalid[[#This Row],[ds]]))</f>
        <v>45903</v>
      </c>
      <c r="C252">
        <v>734</v>
      </c>
      <c r="D252" s="1">
        <v>45903.333333333336</v>
      </c>
      <c r="E252">
        <v>1742.0391389205556</v>
      </c>
      <c r="F252">
        <v>295.65142842398421</v>
      </c>
      <c r="G252">
        <v>3239.6895165155643</v>
      </c>
      <c r="H252" s="1">
        <v>45900.333333333336</v>
      </c>
    </row>
    <row r="253" spans="1:8" x14ac:dyDescent="0.25">
      <c r="A253" s="7">
        <f>DATE(YEAR(m5_crossvalid[[#This Row],[cutoff]]),MONTH(m5_crossvalid[[#This Row],[cutoff]]),DAY(m5_crossvalid[[#This Row],[cutoff]]))</f>
        <v>45900</v>
      </c>
      <c r="B253" s="7">
        <f>DATE(YEAR(m5_crossvalid[[#This Row],[ds]]),MONTH(m5_crossvalid[[#This Row],[ds]]),DAY(m5_crossvalid[[#This Row],[ds]]))</f>
        <v>45904</v>
      </c>
      <c r="C253">
        <v>973</v>
      </c>
      <c r="D253" s="1">
        <v>45904.333333333336</v>
      </c>
      <c r="E253">
        <v>1733.8707378762724</v>
      </c>
      <c r="F253">
        <v>244.50073065405434</v>
      </c>
      <c r="G253">
        <v>3241.165434096692</v>
      </c>
      <c r="H253" s="1">
        <v>45900.333333333336</v>
      </c>
    </row>
    <row r="254" spans="1:8" x14ac:dyDescent="0.25">
      <c r="A254" s="7">
        <f>DATE(YEAR(m5_crossvalid[[#This Row],[cutoff]]),MONTH(m5_crossvalid[[#This Row],[cutoff]]),DAY(m5_crossvalid[[#This Row],[cutoff]]))</f>
        <v>45900</v>
      </c>
      <c r="B254" s="7">
        <f>DATE(YEAR(m5_crossvalid[[#This Row],[ds]]),MONTH(m5_crossvalid[[#This Row],[ds]]),DAY(m5_crossvalid[[#This Row],[ds]]))</f>
        <v>45905</v>
      </c>
      <c r="C254">
        <v>61</v>
      </c>
      <c r="D254" s="1">
        <v>45905.333333333336</v>
      </c>
      <c r="E254">
        <v>38.205473603269184</v>
      </c>
      <c r="F254">
        <v>-1355.5904043761016</v>
      </c>
      <c r="G254">
        <v>1555.9770856600276</v>
      </c>
      <c r="H254" s="1">
        <v>45900.333333333336</v>
      </c>
    </row>
    <row r="255" spans="1:8" x14ac:dyDescent="0.25">
      <c r="A255" s="7">
        <f>DATE(YEAR(m5_crossvalid[[#This Row],[cutoff]]),MONTH(m5_crossvalid[[#This Row],[cutoff]]),DAY(m5_crossvalid[[#This Row],[cutoff]]))</f>
        <v>45900</v>
      </c>
      <c r="B255" s="7">
        <f>DATE(YEAR(m5_crossvalid[[#This Row],[ds]]),MONTH(m5_crossvalid[[#This Row],[ds]]),DAY(m5_crossvalid[[#This Row],[ds]]))</f>
        <v>45906</v>
      </c>
      <c r="C255">
        <v>107</v>
      </c>
      <c r="D255" s="1">
        <v>45906.333333333336</v>
      </c>
      <c r="E255">
        <v>-416.4569918991383</v>
      </c>
      <c r="F255">
        <v>-1862.6757110486385</v>
      </c>
      <c r="G255">
        <v>1054.7782873805766</v>
      </c>
      <c r="H255" s="1">
        <v>45900.333333333336</v>
      </c>
    </row>
    <row r="256" spans="1:8" x14ac:dyDescent="0.25">
      <c r="A256" s="7">
        <f>DATE(YEAR(m5_crossvalid[[#This Row],[cutoff]]),MONTH(m5_crossvalid[[#This Row],[cutoff]]),DAY(m5_crossvalid[[#This Row],[cutoff]]))</f>
        <v>45900</v>
      </c>
      <c r="B256" s="7">
        <f>DATE(YEAR(m5_crossvalid[[#This Row],[ds]]),MONTH(m5_crossvalid[[#This Row],[ds]]),DAY(m5_crossvalid[[#This Row],[ds]]))</f>
        <v>45907</v>
      </c>
      <c r="C256">
        <v>30</v>
      </c>
      <c r="D256" s="1">
        <v>45907.333333333336</v>
      </c>
      <c r="E256">
        <v>-1081.3687803863149</v>
      </c>
      <c r="F256">
        <v>-2482.6423710593472</v>
      </c>
      <c r="G256">
        <v>370.41588736749748</v>
      </c>
      <c r="H256" s="1">
        <v>45900.333333333336</v>
      </c>
    </row>
    <row r="257" spans="1:8" x14ac:dyDescent="0.25">
      <c r="A257" s="7">
        <f>DATE(YEAR(m5_crossvalid[[#This Row],[cutoff]]),MONTH(m5_crossvalid[[#This Row],[cutoff]]),DAY(m5_crossvalid[[#This Row],[cutoff]]))</f>
        <v>45900</v>
      </c>
      <c r="B257" s="7">
        <f>DATE(YEAR(m5_crossvalid[[#This Row],[ds]]),MONTH(m5_crossvalid[[#This Row],[ds]]),DAY(m5_crossvalid[[#This Row],[ds]]))</f>
        <v>45908</v>
      </c>
      <c r="C257">
        <v>1382</v>
      </c>
      <c r="D257" s="1">
        <v>45908.333333333336</v>
      </c>
      <c r="E257">
        <v>1930.505442563114</v>
      </c>
      <c r="F257">
        <v>405.59061382496083</v>
      </c>
      <c r="G257">
        <v>3348.3307961030314</v>
      </c>
      <c r="H257" s="1">
        <v>45900.333333333336</v>
      </c>
    </row>
    <row r="258" spans="1:8" x14ac:dyDescent="0.25">
      <c r="A258" s="7">
        <f>DATE(YEAR(m5_crossvalid[[#This Row],[cutoff]]),MONTH(m5_crossvalid[[#This Row],[cutoff]]),DAY(m5_crossvalid[[#This Row],[cutoff]]))</f>
        <v>45900</v>
      </c>
      <c r="B258" s="7">
        <f>DATE(YEAR(m5_crossvalid[[#This Row],[ds]]),MONTH(m5_crossvalid[[#This Row],[ds]]),DAY(m5_crossvalid[[#This Row],[ds]]))</f>
        <v>45909</v>
      </c>
      <c r="C258">
        <v>1925</v>
      </c>
      <c r="D258" s="1">
        <v>45909.333333333336</v>
      </c>
      <c r="E258">
        <v>2063.0431889065067</v>
      </c>
      <c r="F258">
        <v>542.48157683476927</v>
      </c>
      <c r="G258">
        <v>3601.0684779337157</v>
      </c>
      <c r="H258" s="1">
        <v>45900.333333333336</v>
      </c>
    </row>
    <row r="259" spans="1:8" x14ac:dyDescent="0.25">
      <c r="A259" s="7">
        <f>DATE(YEAR(m5_crossvalid[[#This Row],[cutoff]]),MONTH(m5_crossvalid[[#This Row],[cutoff]]),DAY(m5_crossvalid[[#This Row],[cutoff]]))</f>
        <v>45900</v>
      </c>
      <c r="B259" s="7">
        <f>DATE(YEAR(m5_crossvalid[[#This Row],[ds]]),MONTH(m5_crossvalid[[#This Row],[ds]]),DAY(m5_crossvalid[[#This Row],[ds]]))</f>
        <v>45910</v>
      </c>
      <c r="C259">
        <v>1988</v>
      </c>
      <c r="D259" s="1">
        <v>45910.333333333336</v>
      </c>
      <c r="E259">
        <v>2136.80644156786</v>
      </c>
      <c r="F259">
        <v>523.22506566437846</v>
      </c>
      <c r="G259">
        <v>3555.7254080299431</v>
      </c>
      <c r="H259" s="1">
        <v>45900.333333333336</v>
      </c>
    </row>
    <row r="260" spans="1:8" x14ac:dyDescent="0.25">
      <c r="A260" s="7">
        <f>DATE(YEAR(m5_crossvalid[[#This Row],[cutoff]]),MONTH(m5_crossvalid[[#This Row],[cutoff]]),DAY(m5_crossvalid[[#This Row],[cutoff]]))</f>
        <v>45900</v>
      </c>
      <c r="B260" s="7">
        <f>DATE(YEAR(m5_crossvalid[[#This Row],[ds]]),MONTH(m5_crossvalid[[#This Row],[ds]]),DAY(m5_crossvalid[[#This Row],[ds]]))</f>
        <v>45911</v>
      </c>
      <c r="C260">
        <v>2414</v>
      </c>
      <c r="D260" s="1">
        <v>45911.333333333336</v>
      </c>
      <c r="E260">
        <v>2241.6847679359239</v>
      </c>
      <c r="F260">
        <v>872.70106609769164</v>
      </c>
      <c r="G260">
        <v>3683.2911139042467</v>
      </c>
      <c r="H260" s="1">
        <v>45900.333333333336</v>
      </c>
    </row>
    <row r="261" spans="1:8" x14ac:dyDescent="0.25">
      <c r="A261" s="7">
        <f>DATE(YEAR(m5_crossvalid[[#This Row],[cutoff]]),MONTH(m5_crossvalid[[#This Row],[cutoff]]),DAY(m5_crossvalid[[#This Row],[cutoff]]))</f>
        <v>45900</v>
      </c>
      <c r="B261" s="7">
        <f>DATE(YEAR(m5_crossvalid[[#This Row],[ds]]),MONTH(m5_crossvalid[[#This Row],[ds]]),DAY(m5_crossvalid[[#This Row],[ds]]))</f>
        <v>45912</v>
      </c>
      <c r="C261">
        <v>2644</v>
      </c>
      <c r="D261" s="1">
        <v>45912.333333333336</v>
      </c>
      <c r="E261">
        <v>2272.9395301049803</v>
      </c>
      <c r="F261">
        <v>900.40314976596983</v>
      </c>
      <c r="G261">
        <v>3648.8188068620234</v>
      </c>
      <c r="H261" s="1">
        <v>45900.333333333336</v>
      </c>
    </row>
    <row r="262" spans="1:8" x14ac:dyDescent="0.25">
      <c r="A262" s="7">
        <f>DATE(YEAR(m5_crossvalid[[#This Row],[cutoff]]),MONTH(m5_crossvalid[[#This Row],[cutoff]]),DAY(m5_crossvalid[[#This Row],[cutoff]]))</f>
        <v>45900</v>
      </c>
      <c r="B262" s="7">
        <f>DATE(YEAR(m5_crossvalid[[#This Row],[ds]]),MONTH(m5_crossvalid[[#This Row],[ds]]),DAY(m5_crossvalid[[#This Row],[ds]]))</f>
        <v>45913</v>
      </c>
      <c r="C262">
        <v>439</v>
      </c>
      <c r="D262" s="1">
        <v>45913.333333333336</v>
      </c>
      <c r="E262">
        <v>56.54445697617939</v>
      </c>
      <c r="F262">
        <v>-1383.1341219708161</v>
      </c>
      <c r="G262">
        <v>1570.0555089101404</v>
      </c>
      <c r="H262" s="1">
        <v>45900.333333333336</v>
      </c>
    </row>
    <row r="263" spans="1:8" x14ac:dyDescent="0.25">
      <c r="A263" s="7">
        <f>DATE(YEAR(m5_crossvalid[[#This Row],[cutoff]]),MONTH(m5_crossvalid[[#This Row],[cutoff]]),DAY(m5_crossvalid[[#This Row],[cutoff]]))</f>
        <v>45900</v>
      </c>
      <c r="B263" s="7">
        <f>DATE(YEAR(m5_crossvalid[[#This Row],[ds]]),MONTH(m5_crossvalid[[#This Row],[ds]]),DAY(m5_crossvalid[[#This Row],[ds]]))</f>
        <v>45914</v>
      </c>
      <c r="C263">
        <v>108</v>
      </c>
      <c r="D263" s="1">
        <v>45914.333333333336</v>
      </c>
      <c r="E263">
        <v>-484.02045315032228</v>
      </c>
      <c r="F263">
        <v>-1991.0656861279567</v>
      </c>
      <c r="G263">
        <v>913.223184917195</v>
      </c>
      <c r="H263" s="1">
        <v>45900.333333333336</v>
      </c>
    </row>
    <row r="264" spans="1:8" x14ac:dyDescent="0.25">
      <c r="A264" s="7">
        <f>DATE(YEAR(m5_crossvalid[[#This Row],[cutoff]]),MONTH(m5_crossvalid[[#This Row],[cutoff]]),DAY(m5_crossvalid[[#This Row],[cutoff]]))</f>
        <v>45900</v>
      </c>
      <c r="B264" s="7">
        <f>DATE(YEAR(m5_crossvalid[[#This Row],[ds]]),MONTH(m5_crossvalid[[#This Row],[ds]]),DAY(m5_crossvalid[[#This Row],[ds]]))</f>
        <v>45915</v>
      </c>
      <c r="C264">
        <v>19</v>
      </c>
      <c r="D264" s="1">
        <v>45915.333333333336</v>
      </c>
      <c r="E264">
        <v>344.60188300879895</v>
      </c>
      <c r="F264">
        <v>-1207.3436005309891</v>
      </c>
      <c r="G264">
        <v>1732.3105759899406</v>
      </c>
      <c r="H264" s="1">
        <v>45900.333333333336</v>
      </c>
    </row>
    <row r="265" spans="1:8" x14ac:dyDescent="0.25">
      <c r="A265" s="7">
        <f>DATE(YEAR(m5_crossvalid[[#This Row],[cutoff]]),MONTH(m5_crossvalid[[#This Row],[cutoff]]),DAY(m5_crossvalid[[#This Row],[cutoff]]))</f>
        <v>45900</v>
      </c>
      <c r="B265" s="7">
        <f>DATE(YEAR(m5_crossvalid[[#This Row],[ds]]),MONTH(m5_crossvalid[[#This Row],[ds]]),DAY(m5_crossvalid[[#This Row],[ds]]))</f>
        <v>45916</v>
      </c>
      <c r="C265">
        <v>5</v>
      </c>
      <c r="D265" s="1">
        <v>45916.333333333336</v>
      </c>
      <c r="E265">
        <v>764.1277911089694</v>
      </c>
      <c r="F265">
        <v>-609.69868755136201</v>
      </c>
      <c r="G265">
        <v>2175.6127043533402</v>
      </c>
      <c r="H265" s="1">
        <v>45900.333333333336</v>
      </c>
    </row>
    <row r="266" spans="1:8" x14ac:dyDescent="0.25">
      <c r="A266" s="7">
        <f>DATE(YEAR(m5_crossvalid[[#This Row],[cutoff]]),MONTH(m5_crossvalid[[#This Row],[cutoff]]),DAY(m5_crossvalid[[#This Row],[cutoff]]))</f>
        <v>45900</v>
      </c>
      <c r="B266" s="7">
        <f>DATE(YEAR(m5_crossvalid[[#This Row],[ds]]),MONTH(m5_crossvalid[[#This Row],[ds]]),DAY(m5_crossvalid[[#This Row],[ds]]))</f>
        <v>45917</v>
      </c>
      <c r="C266">
        <v>2108</v>
      </c>
      <c r="D266" s="1">
        <v>45917.333333333336</v>
      </c>
      <c r="E266">
        <v>2747.716167168297</v>
      </c>
      <c r="F266">
        <v>1339.8322435961447</v>
      </c>
      <c r="G266">
        <v>4271.2052285650843</v>
      </c>
      <c r="H266" s="1">
        <v>45900.333333333336</v>
      </c>
    </row>
    <row r="267" spans="1:8" x14ac:dyDescent="0.25">
      <c r="A267" s="7">
        <f>DATE(YEAR(m5_crossvalid[[#This Row],[cutoff]]),MONTH(m5_crossvalid[[#This Row],[cutoff]]),DAY(m5_crossvalid[[#This Row],[cutoff]]))</f>
        <v>45900</v>
      </c>
      <c r="B267" s="7">
        <f>DATE(YEAR(m5_crossvalid[[#This Row],[ds]]),MONTH(m5_crossvalid[[#This Row],[ds]]),DAY(m5_crossvalid[[#This Row],[ds]]))</f>
        <v>45918</v>
      </c>
      <c r="C267">
        <v>3129</v>
      </c>
      <c r="D267" s="1">
        <v>45918.333333333336</v>
      </c>
      <c r="E267">
        <v>2844.7434595141299</v>
      </c>
      <c r="F267">
        <v>1506.2627662484899</v>
      </c>
      <c r="G267">
        <v>4223.7554554517528</v>
      </c>
      <c r="H267" s="1">
        <v>45900.333333333336</v>
      </c>
    </row>
    <row r="268" spans="1:8" x14ac:dyDescent="0.25">
      <c r="A268" s="7">
        <f>DATE(YEAR(m5_crossvalid[[#This Row],[cutoff]]),MONTH(m5_crossvalid[[#This Row],[cutoff]]),DAY(m5_crossvalid[[#This Row],[cutoff]]))</f>
        <v>45900</v>
      </c>
      <c r="B268" s="7">
        <f>DATE(YEAR(m5_crossvalid[[#This Row],[ds]]),MONTH(m5_crossvalid[[#This Row],[ds]]),DAY(m5_crossvalid[[#This Row],[ds]]))</f>
        <v>45919</v>
      </c>
      <c r="C268">
        <v>3027</v>
      </c>
      <c r="D268" s="1">
        <v>45919.333333333336</v>
      </c>
      <c r="E268">
        <v>2788.2460206612996</v>
      </c>
      <c r="F268">
        <v>1393.1508385727291</v>
      </c>
      <c r="G268">
        <v>4180.51236678035</v>
      </c>
      <c r="H268" s="1">
        <v>45900.333333333336</v>
      </c>
    </row>
    <row r="269" spans="1:8" x14ac:dyDescent="0.25">
      <c r="A269" s="7">
        <f>DATE(YEAR(m5_crossvalid[[#This Row],[cutoff]]),MONTH(m5_crossvalid[[#This Row],[cutoff]]),DAY(m5_crossvalid[[#This Row],[cutoff]]))</f>
        <v>45900</v>
      </c>
      <c r="B269" s="7">
        <f>DATE(YEAR(m5_crossvalid[[#This Row],[ds]]),MONTH(m5_crossvalid[[#This Row],[ds]]),DAY(m5_crossvalid[[#This Row],[ds]]))</f>
        <v>45920</v>
      </c>
      <c r="C269">
        <v>525</v>
      </c>
      <c r="D269" s="1">
        <v>45920.333333333336</v>
      </c>
      <c r="E269">
        <v>538.57357909788038</v>
      </c>
      <c r="F269">
        <v>-854.24280799866949</v>
      </c>
      <c r="G269">
        <v>1935.6650245039862</v>
      </c>
      <c r="H269" s="1">
        <v>45900.333333333336</v>
      </c>
    </row>
    <row r="270" spans="1:8" x14ac:dyDescent="0.25">
      <c r="A270" s="7">
        <f>DATE(YEAR(m5_crossvalid[[#This Row],[cutoff]]),MONTH(m5_crossvalid[[#This Row],[cutoff]]),DAY(m5_crossvalid[[#This Row],[cutoff]]))</f>
        <v>45900</v>
      </c>
      <c r="B270" s="7">
        <f>DATE(YEAR(m5_crossvalid[[#This Row],[ds]]),MONTH(m5_crossvalid[[#This Row],[ds]]),DAY(m5_crossvalid[[#This Row],[ds]]))</f>
        <v>45921</v>
      </c>
      <c r="C270">
        <v>107</v>
      </c>
      <c r="D270" s="1">
        <v>45921.333333333336</v>
      </c>
      <c r="E270">
        <v>77.811692137599039</v>
      </c>
      <c r="F270">
        <v>-1353.675415882296</v>
      </c>
      <c r="G270">
        <v>1530.2286651583472</v>
      </c>
      <c r="H270" s="1">
        <v>45900.333333333336</v>
      </c>
    </row>
    <row r="271" spans="1:8" x14ac:dyDescent="0.25">
      <c r="A271" s="7">
        <f>DATE(YEAR(m5_crossvalid[[#This Row],[cutoff]]),MONTH(m5_crossvalid[[#This Row],[cutoff]]),DAY(m5_crossvalid[[#This Row],[cutoff]]))</f>
        <v>45900</v>
      </c>
      <c r="B271" s="7">
        <f>DATE(YEAR(m5_crossvalid[[#This Row],[ds]]),MONTH(m5_crossvalid[[#This Row],[ds]]),DAY(m5_crossvalid[[#This Row],[ds]]))</f>
        <v>45922</v>
      </c>
      <c r="C271">
        <v>2480</v>
      </c>
      <c r="D271" s="1">
        <v>45922.333333333336</v>
      </c>
      <c r="E271">
        <v>2788.8663884851849</v>
      </c>
      <c r="F271">
        <v>1280.9368910233334</v>
      </c>
      <c r="G271">
        <v>4235.3539416301855</v>
      </c>
      <c r="H271" s="1">
        <v>45900.333333333336</v>
      </c>
    </row>
    <row r="272" spans="1:8" x14ac:dyDescent="0.25">
      <c r="A272" s="7">
        <f>DATE(YEAR(m5_crossvalid[[#This Row],[cutoff]]),MONTH(m5_crossvalid[[#This Row],[cutoff]]),DAY(m5_crossvalid[[#This Row],[cutoff]]))</f>
        <v>45900</v>
      </c>
      <c r="B272" s="7">
        <f>DATE(YEAR(m5_crossvalid[[#This Row],[ds]]),MONTH(m5_crossvalid[[#This Row],[ds]]),DAY(m5_crossvalid[[#This Row],[ds]]))</f>
        <v>45923</v>
      </c>
      <c r="C272">
        <v>2893</v>
      </c>
      <c r="D272" s="1">
        <v>45923.333333333336</v>
      </c>
      <c r="E272">
        <v>3291.3929727124419</v>
      </c>
      <c r="F272">
        <v>1853.4390392982332</v>
      </c>
      <c r="G272">
        <v>4857.3034706235267</v>
      </c>
      <c r="H272" s="1">
        <v>45900.333333333336</v>
      </c>
    </row>
    <row r="273" spans="1:8" x14ac:dyDescent="0.25">
      <c r="A273" s="7">
        <f>DATE(YEAR(m5_crossvalid[[#This Row],[cutoff]]),MONTH(m5_crossvalid[[#This Row],[cutoff]]),DAY(m5_crossvalid[[#This Row],[cutoff]]))</f>
        <v>45900</v>
      </c>
      <c r="B273" s="7">
        <f>DATE(YEAR(m5_crossvalid[[#This Row],[ds]]),MONTH(m5_crossvalid[[#This Row],[ds]]),DAY(m5_crossvalid[[#This Row],[ds]]))</f>
        <v>45924</v>
      </c>
      <c r="C273">
        <v>3143</v>
      </c>
      <c r="D273" s="1">
        <v>45924.333333333336</v>
      </c>
      <c r="E273">
        <v>3518.3268196596468</v>
      </c>
      <c r="F273">
        <v>2005.1330570457258</v>
      </c>
      <c r="G273">
        <v>5058.2665652720452</v>
      </c>
      <c r="H273" s="1">
        <v>45900.333333333336</v>
      </c>
    </row>
    <row r="274" spans="1:8" x14ac:dyDescent="0.25">
      <c r="A274" s="7">
        <f>DATE(YEAR(m5_crossvalid[[#This Row],[cutoff]]),MONTH(m5_crossvalid[[#This Row],[cutoff]]),DAY(m5_crossvalid[[#This Row],[cutoff]]))</f>
        <v>45900</v>
      </c>
      <c r="B274" s="7">
        <f>DATE(YEAR(m5_crossvalid[[#This Row],[ds]]),MONTH(m5_crossvalid[[#This Row],[ds]]),DAY(m5_crossvalid[[#This Row],[ds]]))</f>
        <v>45925</v>
      </c>
      <c r="C274">
        <v>3361</v>
      </c>
      <c r="D274" s="1">
        <v>45925.333333333336</v>
      </c>
      <c r="E274">
        <v>3579.317388698094</v>
      </c>
      <c r="F274">
        <v>2091.8745236711738</v>
      </c>
      <c r="G274">
        <v>5056.4398076509324</v>
      </c>
      <c r="H274" s="1">
        <v>45900.333333333336</v>
      </c>
    </row>
    <row r="275" spans="1:8" x14ac:dyDescent="0.25">
      <c r="A275" s="7">
        <f>DATE(YEAR(m5_crossvalid[[#This Row],[cutoff]]),MONTH(m5_crossvalid[[#This Row],[cutoff]]),DAY(m5_crossvalid[[#This Row],[cutoff]]))</f>
        <v>45900</v>
      </c>
      <c r="B275" s="7">
        <f>DATE(YEAR(m5_crossvalid[[#This Row],[ds]]),MONTH(m5_crossvalid[[#This Row],[ds]]),DAY(m5_crossvalid[[#This Row],[ds]]))</f>
        <v>45926</v>
      </c>
      <c r="C275">
        <v>3885</v>
      </c>
      <c r="D275" s="1">
        <v>45926.333333333336</v>
      </c>
      <c r="E275">
        <v>4906.991260641591</v>
      </c>
      <c r="F275">
        <v>3445.4601811655243</v>
      </c>
      <c r="G275">
        <v>6419.2965665112615</v>
      </c>
      <c r="H275" s="1">
        <v>45900.333333333336</v>
      </c>
    </row>
    <row r="276" spans="1:8" x14ac:dyDescent="0.25">
      <c r="A276" s="7">
        <f>DATE(YEAR(m5_crossvalid[[#This Row],[cutoff]]),MONTH(m5_crossvalid[[#This Row],[cutoff]]),DAY(m5_crossvalid[[#This Row],[cutoff]]))</f>
        <v>45900</v>
      </c>
      <c r="B276" s="7">
        <f>DATE(YEAR(m5_crossvalid[[#This Row],[ds]]),MONTH(m5_crossvalid[[#This Row],[ds]]),DAY(m5_crossvalid[[#This Row],[ds]]))</f>
        <v>45927</v>
      </c>
      <c r="C276">
        <v>1024</v>
      </c>
      <c r="D276" s="1">
        <v>45927.333333333336</v>
      </c>
      <c r="E276">
        <v>2764.0785785951084</v>
      </c>
      <c r="F276">
        <v>1318.731095223638</v>
      </c>
      <c r="G276">
        <v>4106.9908339478106</v>
      </c>
      <c r="H276" s="1">
        <v>45900.333333333336</v>
      </c>
    </row>
    <row r="277" spans="1:8" x14ac:dyDescent="0.25">
      <c r="A277" s="7">
        <f>DATE(YEAR(m5_crossvalid[[#This Row],[cutoff]]),MONTH(m5_crossvalid[[#This Row],[cutoff]]),DAY(m5_crossvalid[[#This Row],[cutoff]]))</f>
        <v>45900</v>
      </c>
      <c r="B277" s="7">
        <f>DATE(YEAR(m5_crossvalid[[#This Row],[ds]]),MONTH(m5_crossvalid[[#This Row],[ds]]),DAY(m5_crossvalid[[#This Row],[ds]]))</f>
        <v>45928</v>
      </c>
      <c r="C277">
        <v>280</v>
      </c>
      <c r="D277" s="1">
        <v>45928.333333333336</v>
      </c>
      <c r="E277">
        <v>2373.4169321989034</v>
      </c>
      <c r="F277">
        <v>958.23212171001103</v>
      </c>
      <c r="G277">
        <v>3831.2408293859939</v>
      </c>
      <c r="H277" s="1">
        <v>45900.333333333336</v>
      </c>
    </row>
    <row r="278" spans="1:8" x14ac:dyDescent="0.25">
      <c r="A278" s="7">
        <f>DATE(YEAR(m5_crossvalid[[#This Row],[cutoff]]),MONTH(m5_crossvalid[[#This Row],[cutoff]]),DAY(m5_crossvalid[[#This Row],[cutoff]]))</f>
        <v>45900</v>
      </c>
      <c r="B278" s="7">
        <f>DATE(YEAR(m5_crossvalid[[#This Row],[ds]]),MONTH(m5_crossvalid[[#This Row],[ds]]),DAY(m5_crossvalid[[#This Row],[ds]]))</f>
        <v>45929</v>
      </c>
      <c r="C278">
        <v>8852</v>
      </c>
      <c r="D278" s="1">
        <v>45929.333333333336</v>
      </c>
      <c r="E278">
        <v>7105.2649697562256</v>
      </c>
      <c r="F278">
        <v>5733.9473903305234</v>
      </c>
      <c r="G278">
        <v>8463.8656242565248</v>
      </c>
      <c r="H278" s="1">
        <v>45900.333333333336</v>
      </c>
    </row>
    <row r="279" spans="1:8" x14ac:dyDescent="0.25">
      <c r="A279" s="7">
        <f>DATE(YEAR(m5_crossvalid[[#This Row],[cutoff]]),MONTH(m5_crossvalid[[#This Row],[cutoff]]),DAY(m5_crossvalid[[#This Row],[cutoff]]))</f>
        <v>45900</v>
      </c>
      <c r="B279" s="7">
        <f>DATE(YEAR(m5_crossvalid[[#This Row],[ds]]),MONTH(m5_crossvalid[[#This Row],[ds]]),DAY(m5_crossvalid[[#This Row],[ds]]))</f>
        <v>45930</v>
      </c>
      <c r="C279">
        <v>14458</v>
      </c>
      <c r="D279" s="1">
        <v>45930.333333333336</v>
      </c>
      <c r="E279">
        <v>9475.7295144531818</v>
      </c>
      <c r="F279">
        <v>7974.6613398557665</v>
      </c>
      <c r="G279">
        <v>10938.890022887445</v>
      </c>
      <c r="H279" s="1">
        <v>45900.333333333336</v>
      </c>
    </row>
    <row r="280" spans="1:8" x14ac:dyDescent="0.25">
      <c r="A280" s="7">
        <f>DATE(YEAR(m5_crossvalid[[#This Row],[cutoff]]),MONTH(m5_crossvalid[[#This Row],[cutoff]]),DAY(m5_crossvalid[[#This Row],[cutoff]]))</f>
        <v>45900</v>
      </c>
      <c r="B280" s="7">
        <f>DATE(YEAR(m5_crossvalid[[#This Row],[ds]]),MONTH(m5_crossvalid[[#This Row],[ds]]),DAY(m5_crossvalid[[#This Row],[ds]]))</f>
        <v>45931</v>
      </c>
      <c r="C280">
        <v>639</v>
      </c>
      <c r="D280" s="1">
        <v>45931.333333333336</v>
      </c>
      <c r="E280">
        <v>2582.2626328151791</v>
      </c>
      <c r="F280">
        <v>1188.4504260828835</v>
      </c>
      <c r="G280">
        <v>4152.5870380166571</v>
      </c>
      <c r="H280" s="1">
        <v>45900.333333333336</v>
      </c>
    </row>
    <row r="281" spans="1:8" x14ac:dyDescent="0.25">
      <c r="A281" s="7">
        <f>DATE(YEAR(m5_crossvalid[[#This Row],[cutoff]]),MONTH(m5_crossvalid[[#This Row],[cutoff]]),DAY(m5_crossvalid[[#This Row],[cutoff]]))</f>
        <v>45930</v>
      </c>
      <c r="B281" s="7">
        <f>DATE(YEAR(m5_crossvalid[[#This Row],[ds]]),MONTH(m5_crossvalid[[#This Row],[ds]]),DAY(m5_crossvalid[[#This Row],[ds]]))</f>
        <v>45931</v>
      </c>
      <c r="C281">
        <v>639</v>
      </c>
      <c r="D281" s="1">
        <v>45931.333333333336</v>
      </c>
      <c r="E281">
        <v>2629.4731904986434</v>
      </c>
      <c r="F281">
        <v>1160.0202664271499</v>
      </c>
      <c r="G281">
        <v>4124.6335341215363</v>
      </c>
      <c r="H281" s="1">
        <v>45930.333333333336</v>
      </c>
    </row>
    <row r="282" spans="1:8" x14ac:dyDescent="0.25">
      <c r="A282" s="7">
        <f>DATE(YEAR(m5_crossvalid[[#This Row],[cutoff]]),MONTH(m5_crossvalid[[#This Row],[cutoff]]),DAY(m5_crossvalid[[#This Row],[cutoff]]))</f>
        <v>45930</v>
      </c>
      <c r="B282" s="7">
        <f>DATE(YEAR(m5_crossvalid[[#This Row],[ds]]),MONTH(m5_crossvalid[[#This Row],[ds]]),DAY(m5_crossvalid[[#This Row],[ds]]))</f>
        <v>45932</v>
      </c>
      <c r="C282">
        <v>823</v>
      </c>
      <c r="D282" s="1">
        <v>45932.333333333336</v>
      </c>
      <c r="E282">
        <v>1973.4019528453916</v>
      </c>
      <c r="F282">
        <v>534.89273160789025</v>
      </c>
      <c r="G282">
        <v>3409.4198520869995</v>
      </c>
      <c r="H282" s="1">
        <v>45930.333333333336</v>
      </c>
    </row>
    <row r="283" spans="1:8" x14ac:dyDescent="0.25">
      <c r="A283" s="7">
        <f>DATE(YEAR(m5_crossvalid[[#This Row],[cutoff]]),MONTH(m5_crossvalid[[#This Row],[cutoff]]),DAY(m5_crossvalid[[#This Row],[cutoff]]))</f>
        <v>45930</v>
      </c>
      <c r="B283" s="7">
        <f>DATE(YEAR(m5_crossvalid[[#This Row],[ds]]),MONTH(m5_crossvalid[[#This Row],[ds]]),DAY(m5_crossvalid[[#This Row],[ds]]))</f>
        <v>45933</v>
      </c>
      <c r="C283">
        <v>996</v>
      </c>
      <c r="D283" s="1">
        <v>45933.333333333336</v>
      </c>
      <c r="E283">
        <v>1569.7815044167601</v>
      </c>
      <c r="F283">
        <v>129.56148145919786</v>
      </c>
      <c r="G283">
        <v>3071.7756608631112</v>
      </c>
      <c r="H283" s="1">
        <v>45930.333333333336</v>
      </c>
    </row>
    <row r="284" spans="1:8" x14ac:dyDescent="0.25">
      <c r="A284" s="7">
        <f>DATE(YEAR(m5_crossvalid[[#This Row],[cutoff]]),MONTH(m5_crossvalid[[#This Row],[cutoff]]),DAY(m5_crossvalid[[#This Row],[cutoff]]))</f>
        <v>45930</v>
      </c>
      <c r="B284" s="7">
        <f>DATE(YEAR(m5_crossvalid[[#This Row],[ds]]),MONTH(m5_crossvalid[[#This Row],[ds]]),DAY(m5_crossvalid[[#This Row],[ds]]))</f>
        <v>45934</v>
      </c>
      <c r="C284">
        <v>141</v>
      </c>
      <c r="D284" s="1">
        <v>45934.333333333336</v>
      </c>
      <c r="E284">
        <v>-777.53064520443377</v>
      </c>
      <c r="F284">
        <v>-2270.3402710232604</v>
      </c>
      <c r="G284">
        <v>792.26390671845024</v>
      </c>
      <c r="H284" s="1">
        <v>45930.333333333336</v>
      </c>
    </row>
    <row r="285" spans="1:8" x14ac:dyDescent="0.25">
      <c r="A285" s="7">
        <f>DATE(YEAR(m5_crossvalid[[#This Row],[cutoff]]),MONTH(m5_crossvalid[[#This Row],[cutoff]]),DAY(m5_crossvalid[[#This Row],[cutoff]]))</f>
        <v>45930</v>
      </c>
      <c r="B285" s="7">
        <f>DATE(YEAR(m5_crossvalid[[#This Row],[ds]]),MONTH(m5_crossvalid[[#This Row],[ds]]),DAY(m5_crossvalid[[#This Row],[ds]]))</f>
        <v>45935</v>
      </c>
      <c r="C285">
        <v>38</v>
      </c>
      <c r="D285" s="1">
        <v>45935.333333333336</v>
      </c>
      <c r="E285">
        <v>-1159.0048726865302</v>
      </c>
      <c r="F285">
        <v>-2566.06447644021</v>
      </c>
      <c r="G285">
        <v>350.85474644520139</v>
      </c>
      <c r="H285" s="1">
        <v>45930.333333333336</v>
      </c>
    </row>
    <row r="286" spans="1:8" x14ac:dyDescent="0.25">
      <c r="A286" s="7">
        <f>DATE(YEAR(m5_crossvalid[[#This Row],[cutoff]]),MONTH(m5_crossvalid[[#This Row],[cutoff]]),DAY(m5_crossvalid[[#This Row],[cutoff]]))</f>
        <v>45930</v>
      </c>
      <c r="B286" s="7">
        <f>DATE(YEAR(m5_crossvalid[[#This Row],[ds]]),MONTH(m5_crossvalid[[#This Row],[ds]]),DAY(m5_crossvalid[[#This Row],[ds]]))</f>
        <v>45936</v>
      </c>
      <c r="C286">
        <v>1044</v>
      </c>
      <c r="D286" s="1">
        <v>45936.333333333336</v>
      </c>
      <c r="E286">
        <v>1552.256895210317</v>
      </c>
      <c r="F286">
        <v>68.200370981957533</v>
      </c>
      <c r="G286">
        <v>3040.9701758478695</v>
      </c>
      <c r="H286" s="1">
        <v>45930.333333333336</v>
      </c>
    </row>
    <row r="287" spans="1:8" x14ac:dyDescent="0.25">
      <c r="A287" s="7">
        <f>DATE(YEAR(m5_crossvalid[[#This Row],[cutoff]]),MONTH(m5_crossvalid[[#This Row],[cutoff]]),DAY(m5_crossvalid[[#This Row],[cutoff]]))</f>
        <v>45930</v>
      </c>
      <c r="B287" s="7">
        <f>DATE(YEAR(m5_crossvalid[[#This Row],[ds]]),MONTH(m5_crossvalid[[#This Row],[ds]]),DAY(m5_crossvalid[[#This Row],[ds]]))</f>
        <v>45937</v>
      </c>
      <c r="C287">
        <v>1351</v>
      </c>
      <c r="D287" s="1">
        <v>45937.333333333336</v>
      </c>
      <c r="E287">
        <v>1862.9371623656741</v>
      </c>
      <c r="F287">
        <v>431.14981886102788</v>
      </c>
      <c r="G287">
        <v>3352.2851043890068</v>
      </c>
      <c r="H287" s="1">
        <v>45930.333333333336</v>
      </c>
    </row>
    <row r="288" spans="1:8" x14ac:dyDescent="0.25">
      <c r="A288" s="7">
        <f>DATE(YEAR(m5_crossvalid[[#This Row],[cutoff]]),MONTH(m5_crossvalid[[#This Row],[cutoff]]),DAY(m5_crossvalid[[#This Row],[cutoff]]))</f>
        <v>45930</v>
      </c>
      <c r="B288" s="7">
        <f>DATE(YEAR(m5_crossvalid[[#This Row],[ds]]),MONTH(m5_crossvalid[[#This Row],[ds]]),DAY(m5_crossvalid[[#This Row],[ds]]))</f>
        <v>45938</v>
      </c>
      <c r="C288">
        <v>1654</v>
      </c>
      <c r="D288" s="1">
        <v>45938.333333333336</v>
      </c>
      <c r="E288">
        <v>2472.1618342450256</v>
      </c>
      <c r="F288">
        <v>950.57680823129886</v>
      </c>
      <c r="G288">
        <v>4000.8319892437648</v>
      </c>
      <c r="H288" s="1">
        <v>45930.333333333336</v>
      </c>
    </row>
    <row r="289" spans="1:8" x14ac:dyDescent="0.25">
      <c r="A289" s="7">
        <f>DATE(YEAR(m5_crossvalid[[#This Row],[cutoff]]),MONTH(m5_crossvalid[[#This Row],[cutoff]]),DAY(m5_crossvalid[[#This Row],[cutoff]]))</f>
        <v>45930</v>
      </c>
      <c r="B289" s="7">
        <f>DATE(YEAR(m5_crossvalid[[#This Row],[ds]]),MONTH(m5_crossvalid[[#This Row],[ds]]),DAY(m5_crossvalid[[#This Row],[ds]]))</f>
        <v>45939</v>
      </c>
      <c r="C289">
        <v>2108</v>
      </c>
      <c r="D289" s="1">
        <v>45939.333333333336</v>
      </c>
      <c r="E289">
        <v>2307.5618719118088</v>
      </c>
      <c r="F289">
        <v>838.921346355879</v>
      </c>
      <c r="G289">
        <v>3732.5296016081979</v>
      </c>
      <c r="H289" s="1">
        <v>45930.333333333336</v>
      </c>
    </row>
    <row r="290" spans="1:8" x14ac:dyDescent="0.25">
      <c r="A290" s="7">
        <f>DATE(YEAR(m5_crossvalid[[#This Row],[cutoff]]),MONTH(m5_crossvalid[[#This Row],[cutoff]]),DAY(m5_crossvalid[[#This Row],[cutoff]]))</f>
        <v>45930</v>
      </c>
      <c r="B290" s="7">
        <f>DATE(YEAR(m5_crossvalid[[#This Row],[ds]]),MONTH(m5_crossvalid[[#This Row],[ds]]),DAY(m5_crossvalid[[#This Row],[ds]]))</f>
        <v>45940</v>
      </c>
      <c r="C290">
        <v>2215</v>
      </c>
      <c r="D290" s="1">
        <v>45940.333333333336</v>
      </c>
      <c r="E290">
        <v>2189.8755996495438</v>
      </c>
      <c r="F290">
        <v>752.37272291008071</v>
      </c>
      <c r="G290">
        <v>3632.3583516623412</v>
      </c>
      <c r="H290" s="1">
        <v>45930.333333333336</v>
      </c>
    </row>
    <row r="291" spans="1:8" x14ac:dyDescent="0.25">
      <c r="A291" s="7">
        <f>DATE(YEAR(m5_crossvalid[[#This Row],[cutoff]]),MONTH(m5_crossvalid[[#This Row],[cutoff]]),DAY(m5_crossvalid[[#This Row],[cutoff]]))</f>
        <v>45930</v>
      </c>
      <c r="B291" s="7">
        <f>DATE(YEAR(m5_crossvalid[[#This Row],[ds]]),MONTH(m5_crossvalid[[#This Row],[ds]]),DAY(m5_crossvalid[[#This Row],[ds]]))</f>
        <v>45941</v>
      </c>
      <c r="C291">
        <v>380</v>
      </c>
      <c r="D291" s="1">
        <v>45941.333333333336</v>
      </c>
      <c r="E291">
        <v>25.388896821463732</v>
      </c>
      <c r="F291">
        <v>-1422.7386491701277</v>
      </c>
      <c r="G291">
        <v>1440.2363786633323</v>
      </c>
      <c r="H291" s="1">
        <v>45930.333333333336</v>
      </c>
    </row>
    <row r="292" spans="1:8" x14ac:dyDescent="0.25">
      <c r="A292" s="7">
        <f>DATE(YEAR(m5_crossvalid[[#This Row],[cutoff]]),MONTH(m5_crossvalid[[#This Row],[cutoff]]),DAY(m5_crossvalid[[#This Row],[cutoff]]))</f>
        <v>45930</v>
      </c>
      <c r="B292" s="7">
        <f>DATE(YEAR(m5_crossvalid[[#This Row],[ds]]),MONTH(m5_crossvalid[[#This Row],[ds]]),DAY(m5_crossvalid[[#This Row],[ds]]))</f>
        <v>45942</v>
      </c>
      <c r="C292">
        <v>120</v>
      </c>
      <c r="D292" s="1">
        <v>45942.333333333336</v>
      </c>
      <c r="E292">
        <v>-373.66557652822257</v>
      </c>
      <c r="F292">
        <v>-1862.4858002382332</v>
      </c>
      <c r="G292">
        <v>1050.3790370417678</v>
      </c>
      <c r="H292" s="1">
        <v>45930.333333333336</v>
      </c>
    </row>
    <row r="293" spans="1:8" x14ac:dyDescent="0.25">
      <c r="A293" s="7">
        <f>DATE(YEAR(m5_crossvalid[[#This Row],[cutoff]]),MONTH(m5_crossvalid[[#This Row],[cutoff]]),DAY(m5_crossvalid[[#This Row],[cutoff]]))</f>
        <v>45930</v>
      </c>
      <c r="B293" s="7">
        <f>DATE(YEAR(m5_crossvalid[[#This Row],[ds]]),MONTH(m5_crossvalid[[#This Row],[ds]]),DAY(m5_crossvalid[[#This Row],[ds]]))</f>
        <v>45943</v>
      </c>
      <c r="C293">
        <v>2406</v>
      </c>
      <c r="D293" s="1">
        <v>45943.333333333336</v>
      </c>
      <c r="E293">
        <v>2244.8187520611173</v>
      </c>
      <c r="F293">
        <v>874.81076396964033</v>
      </c>
      <c r="G293">
        <v>3701.3960969420996</v>
      </c>
      <c r="H293" s="1">
        <v>45930.333333333336</v>
      </c>
    </row>
    <row r="294" spans="1:8" x14ac:dyDescent="0.25">
      <c r="A294" s="7">
        <f>DATE(YEAR(m5_crossvalid[[#This Row],[cutoff]]),MONTH(m5_crossvalid[[#This Row],[cutoff]]),DAY(m5_crossvalid[[#This Row],[cutoff]]))</f>
        <v>45930</v>
      </c>
      <c r="B294" s="7">
        <f>DATE(YEAR(m5_crossvalid[[#This Row],[ds]]),MONTH(m5_crossvalid[[#This Row],[ds]]),DAY(m5_crossvalid[[#This Row],[ds]]))</f>
        <v>45944</v>
      </c>
      <c r="C294">
        <v>2958</v>
      </c>
      <c r="D294" s="1">
        <v>45944.333333333336</v>
      </c>
      <c r="E294">
        <v>2560.9884746279986</v>
      </c>
      <c r="F294">
        <v>1014.400117919812</v>
      </c>
      <c r="G294">
        <v>4085.5417223550826</v>
      </c>
      <c r="H294" s="1">
        <v>45930.333333333336</v>
      </c>
    </row>
    <row r="295" spans="1:8" x14ac:dyDescent="0.25">
      <c r="A295" s="7">
        <f>DATE(YEAR(m5_crossvalid[[#This Row],[cutoff]]),MONTH(m5_crossvalid[[#This Row],[cutoff]]),DAY(m5_crossvalid[[#This Row],[cutoff]]))</f>
        <v>45930</v>
      </c>
      <c r="B295" s="7">
        <f>DATE(YEAR(m5_crossvalid[[#This Row],[ds]]),MONTH(m5_crossvalid[[#This Row],[ds]]),DAY(m5_crossvalid[[#This Row],[ds]]))</f>
        <v>45945</v>
      </c>
      <c r="C295">
        <v>3074</v>
      </c>
      <c r="D295" s="1">
        <v>45945.333333333336</v>
      </c>
      <c r="E295">
        <v>2657.3309650466222</v>
      </c>
      <c r="F295">
        <v>1036.1224656235443</v>
      </c>
      <c r="G295">
        <v>4153.9979827833477</v>
      </c>
      <c r="H295" s="1">
        <v>45930.333333333336</v>
      </c>
    </row>
    <row r="296" spans="1:8" x14ac:dyDescent="0.25">
      <c r="A296" s="7">
        <f>DATE(YEAR(m5_crossvalid[[#This Row],[cutoff]]),MONTH(m5_crossvalid[[#This Row],[cutoff]]),DAY(m5_crossvalid[[#This Row],[cutoff]]))</f>
        <v>45930</v>
      </c>
      <c r="B296" s="7">
        <f>DATE(YEAR(m5_crossvalid[[#This Row],[ds]]),MONTH(m5_crossvalid[[#This Row],[ds]]),DAY(m5_crossvalid[[#This Row],[ds]]))</f>
        <v>45946</v>
      </c>
      <c r="C296">
        <v>3505</v>
      </c>
      <c r="D296" s="1">
        <v>45946.333333333336</v>
      </c>
      <c r="E296">
        <v>2774.739475755594</v>
      </c>
      <c r="F296">
        <v>1363.6401964338775</v>
      </c>
      <c r="G296">
        <v>4259.8019097643619</v>
      </c>
      <c r="H296" s="1">
        <v>45930.333333333336</v>
      </c>
    </row>
    <row r="297" spans="1:8" x14ac:dyDescent="0.25">
      <c r="A297" s="7">
        <f>DATE(YEAR(m5_crossvalid[[#This Row],[cutoff]]),MONTH(m5_crossvalid[[#This Row],[cutoff]]),DAY(m5_crossvalid[[#This Row],[cutoff]]))</f>
        <v>45930</v>
      </c>
      <c r="B297" s="7">
        <f>DATE(YEAR(m5_crossvalid[[#This Row],[ds]]),MONTH(m5_crossvalid[[#This Row],[ds]]),DAY(m5_crossvalid[[#This Row],[ds]]))</f>
        <v>45947</v>
      </c>
      <c r="C297">
        <v>3630</v>
      </c>
      <c r="D297" s="1">
        <v>45947.333333333336</v>
      </c>
      <c r="E297">
        <v>2868.671409675012</v>
      </c>
      <c r="F297">
        <v>1419.9952748697274</v>
      </c>
      <c r="G297">
        <v>4346.3769718010199</v>
      </c>
      <c r="H297" s="1">
        <v>45930.333333333336</v>
      </c>
    </row>
    <row r="298" spans="1:8" x14ac:dyDescent="0.25">
      <c r="A298" s="7">
        <f>DATE(YEAR(m5_crossvalid[[#This Row],[cutoff]]),MONTH(m5_crossvalid[[#This Row],[cutoff]]),DAY(m5_crossvalid[[#This Row],[cutoff]]))</f>
        <v>45930</v>
      </c>
      <c r="B298" s="7">
        <f>DATE(YEAR(m5_crossvalid[[#This Row],[ds]]),MONTH(m5_crossvalid[[#This Row],[ds]]),DAY(m5_crossvalid[[#This Row],[ds]]))</f>
        <v>45948</v>
      </c>
      <c r="C298">
        <v>653</v>
      </c>
      <c r="D298" s="1">
        <v>45948.333333333336</v>
      </c>
      <c r="E298">
        <v>735.52722908949272</v>
      </c>
      <c r="F298">
        <v>-685.85553515445997</v>
      </c>
      <c r="G298">
        <v>2137.5641341949017</v>
      </c>
      <c r="H298" s="1">
        <v>45930.333333333336</v>
      </c>
    </row>
    <row r="299" spans="1:8" x14ac:dyDescent="0.25">
      <c r="A299" s="7">
        <f>DATE(YEAR(m5_crossvalid[[#This Row],[cutoff]]),MONTH(m5_crossvalid[[#This Row],[cutoff]]),DAY(m5_crossvalid[[#This Row],[cutoff]]))</f>
        <v>45930</v>
      </c>
      <c r="B299" s="7">
        <f>DATE(YEAR(m5_crossvalid[[#This Row],[ds]]),MONTH(m5_crossvalid[[#This Row],[ds]]),DAY(m5_crossvalid[[#This Row],[ds]]))</f>
        <v>45949</v>
      </c>
      <c r="C299">
        <v>180</v>
      </c>
      <c r="D299" s="1">
        <v>45949.333333333336</v>
      </c>
      <c r="E299">
        <v>227.32081473108519</v>
      </c>
      <c r="F299">
        <v>-1247.8697367712366</v>
      </c>
      <c r="G299">
        <v>1701.8522877331377</v>
      </c>
      <c r="H299" s="1">
        <v>45930.333333333336</v>
      </c>
    </row>
    <row r="300" spans="1:8" x14ac:dyDescent="0.25">
      <c r="A300" s="7">
        <f>DATE(YEAR(m5_crossvalid[[#This Row],[cutoff]]),MONTH(m5_crossvalid[[#This Row],[cutoff]]),DAY(m5_crossvalid[[#This Row],[cutoff]]))</f>
        <v>45930</v>
      </c>
      <c r="B300" s="7">
        <f>DATE(YEAR(m5_crossvalid[[#This Row],[ds]]),MONTH(m5_crossvalid[[#This Row],[ds]]),DAY(m5_crossvalid[[#This Row],[ds]]))</f>
        <v>45950</v>
      </c>
      <c r="C300">
        <v>250</v>
      </c>
      <c r="D300" s="1">
        <v>45950.333333333336</v>
      </c>
      <c r="E300">
        <v>962.49848883886602</v>
      </c>
      <c r="F300">
        <v>-446.39198287067188</v>
      </c>
      <c r="G300">
        <v>2390.9058568047676</v>
      </c>
      <c r="H300" s="1">
        <v>45930.333333333336</v>
      </c>
    </row>
    <row r="301" spans="1:8" x14ac:dyDescent="0.25">
      <c r="A301" s="7">
        <f>DATE(YEAR(m5_crossvalid[[#This Row],[cutoff]]),MONTH(m5_crossvalid[[#This Row],[cutoff]]),DAY(m5_crossvalid[[#This Row],[cutoff]]))</f>
        <v>45930</v>
      </c>
      <c r="B301" s="7">
        <f>DATE(YEAR(m5_crossvalid[[#This Row],[ds]]),MONTH(m5_crossvalid[[#This Row],[ds]]),DAY(m5_crossvalid[[#This Row],[ds]]))</f>
        <v>45951</v>
      </c>
      <c r="C301">
        <v>2797</v>
      </c>
      <c r="D301" s="1">
        <v>45951.333333333336</v>
      </c>
      <c r="E301">
        <v>3066.4602851516811</v>
      </c>
      <c r="F301">
        <v>1591.7014298836114</v>
      </c>
      <c r="G301">
        <v>4521.0913340500683</v>
      </c>
      <c r="H301" s="1">
        <v>45930.333333333336</v>
      </c>
    </row>
    <row r="302" spans="1:8" x14ac:dyDescent="0.25">
      <c r="A302" s="7">
        <f>DATE(YEAR(m5_crossvalid[[#This Row],[cutoff]]),MONTH(m5_crossvalid[[#This Row],[cutoff]]),DAY(m5_crossvalid[[#This Row],[cutoff]]))</f>
        <v>45930</v>
      </c>
      <c r="B302" s="7">
        <f>DATE(YEAR(m5_crossvalid[[#This Row],[ds]]),MONTH(m5_crossvalid[[#This Row],[ds]]),DAY(m5_crossvalid[[#This Row],[ds]]))</f>
        <v>45952</v>
      </c>
      <c r="C302">
        <v>3644</v>
      </c>
      <c r="D302" s="1">
        <v>45952.333333333336</v>
      </c>
      <c r="E302">
        <v>3273.9712739594816</v>
      </c>
      <c r="F302">
        <v>1821.1048868414421</v>
      </c>
      <c r="G302">
        <v>4681.608796740541</v>
      </c>
      <c r="H302" s="1">
        <v>45930.333333333336</v>
      </c>
    </row>
    <row r="303" spans="1:8" x14ac:dyDescent="0.25">
      <c r="A303" s="7">
        <f>DATE(YEAR(m5_crossvalid[[#This Row],[cutoff]]),MONTH(m5_crossvalid[[#This Row],[cutoff]]),DAY(m5_crossvalid[[#This Row],[cutoff]]))</f>
        <v>45930</v>
      </c>
      <c r="B303" s="7">
        <f>DATE(YEAR(m5_crossvalid[[#This Row],[ds]]),MONTH(m5_crossvalid[[#This Row],[ds]]),DAY(m5_crossvalid[[#This Row],[ds]]))</f>
        <v>45953</v>
      </c>
      <c r="C303">
        <v>4009</v>
      </c>
      <c r="D303" s="1">
        <v>45953.333333333336</v>
      </c>
      <c r="E303">
        <v>3491.1775797258688</v>
      </c>
      <c r="F303">
        <v>2094.31322530443</v>
      </c>
      <c r="G303">
        <v>4946.3919528340548</v>
      </c>
      <c r="H303" s="1">
        <v>45930.333333333336</v>
      </c>
    </row>
    <row r="304" spans="1:8" x14ac:dyDescent="0.25">
      <c r="A304" s="7">
        <f>DATE(YEAR(m5_crossvalid[[#This Row],[cutoff]]),MONTH(m5_crossvalid[[#This Row],[cutoff]]),DAY(m5_crossvalid[[#This Row],[cutoff]]))</f>
        <v>45930</v>
      </c>
      <c r="B304" s="7">
        <f>DATE(YEAR(m5_crossvalid[[#This Row],[ds]]),MONTH(m5_crossvalid[[#This Row],[ds]]),DAY(m5_crossvalid[[#This Row],[ds]]))</f>
        <v>45954</v>
      </c>
      <c r="C304">
        <v>4008</v>
      </c>
      <c r="D304" s="1">
        <v>45954.333333333336</v>
      </c>
      <c r="E304">
        <v>3586.6763526388504</v>
      </c>
      <c r="F304">
        <v>2152.3638038780755</v>
      </c>
      <c r="G304">
        <v>5039.8973275377939</v>
      </c>
      <c r="H304" s="1">
        <v>45930.333333333336</v>
      </c>
    </row>
    <row r="305" spans="1:8" x14ac:dyDescent="0.25">
      <c r="A305" s="7">
        <f>DATE(YEAR(m5_crossvalid[[#This Row],[cutoff]]),MONTH(m5_crossvalid[[#This Row],[cutoff]]),DAY(m5_crossvalid[[#This Row],[cutoff]]))</f>
        <v>45930</v>
      </c>
      <c r="B305" s="7">
        <f>DATE(YEAR(m5_crossvalid[[#This Row],[ds]]),MONTH(m5_crossvalid[[#This Row],[ds]]),DAY(m5_crossvalid[[#This Row],[ds]]))</f>
        <v>45955</v>
      </c>
      <c r="C305">
        <v>971</v>
      </c>
      <c r="D305" s="1">
        <v>45955.333333333336</v>
      </c>
      <c r="E305">
        <v>1386.7312788580607</v>
      </c>
      <c r="F305">
        <v>-64.312257736703415</v>
      </c>
      <c r="G305">
        <v>2827.5843952975752</v>
      </c>
      <c r="H305" s="1">
        <v>45930.333333333336</v>
      </c>
    </row>
    <row r="306" spans="1:8" x14ac:dyDescent="0.25">
      <c r="A306" s="7">
        <f>DATE(YEAR(m5_crossvalid[[#This Row],[cutoff]]),MONTH(m5_crossvalid[[#This Row],[cutoff]]),DAY(m5_crossvalid[[#This Row],[cutoff]]))</f>
        <v>45930</v>
      </c>
      <c r="B306" s="7">
        <f>DATE(YEAR(m5_crossvalid[[#This Row],[ds]]),MONTH(m5_crossvalid[[#This Row],[ds]]),DAY(m5_crossvalid[[#This Row],[ds]]))</f>
        <v>45956</v>
      </c>
      <c r="C306">
        <v>238</v>
      </c>
      <c r="D306" s="1">
        <v>45956.333333333336</v>
      </c>
      <c r="E306">
        <v>857.87888279363938</v>
      </c>
      <c r="F306">
        <v>-632.23478317520994</v>
      </c>
      <c r="G306">
        <v>2335.1864171481948</v>
      </c>
      <c r="H306" s="1">
        <v>45930.333333333336</v>
      </c>
    </row>
    <row r="307" spans="1:8" x14ac:dyDescent="0.25">
      <c r="A307" s="7">
        <f>DATE(YEAR(m5_crossvalid[[#This Row],[cutoff]]),MONTH(m5_crossvalid[[#This Row],[cutoff]]),DAY(m5_crossvalid[[#This Row],[cutoff]]))</f>
        <v>45930</v>
      </c>
      <c r="B307" s="7">
        <f>DATE(YEAR(m5_crossvalid[[#This Row],[ds]]),MONTH(m5_crossvalid[[#This Row],[ds]]),DAY(m5_crossvalid[[#This Row],[ds]]))</f>
        <v>45957</v>
      </c>
      <c r="C307">
        <v>4219</v>
      </c>
      <c r="D307" s="1">
        <v>45957.333333333336</v>
      </c>
      <c r="E307">
        <v>4721.9139310667106</v>
      </c>
      <c r="F307">
        <v>3321.2978429708514</v>
      </c>
      <c r="G307">
        <v>6167.2513603561601</v>
      </c>
      <c r="H307" s="1">
        <v>45930.333333333336</v>
      </c>
    </row>
    <row r="308" spans="1:8" x14ac:dyDescent="0.25">
      <c r="A308" s="7">
        <f>DATE(YEAR(m5_crossvalid[[#This Row],[cutoff]]),MONTH(m5_crossvalid[[#This Row],[cutoff]]),DAY(m5_crossvalid[[#This Row],[cutoff]]))</f>
        <v>45930</v>
      </c>
      <c r="B308" s="7">
        <f>DATE(YEAR(m5_crossvalid[[#This Row],[ds]]),MONTH(m5_crossvalid[[#This Row],[ds]]),DAY(m5_crossvalid[[#This Row],[ds]]))</f>
        <v>45958</v>
      </c>
      <c r="C308">
        <v>5659</v>
      </c>
      <c r="D308" s="1">
        <v>45958.333333333336</v>
      </c>
      <c r="E308">
        <v>5195.517186991603</v>
      </c>
      <c r="F308">
        <v>3787.4961063050127</v>
      </c>
      <c r="G308">
        <v>6682.85655651455</v>
      </c>
      <c r="H308" s="1">
        <v>45930.333333333336</v>
      </c>
    </row>
    <row r="309" spans="1:8" x14ac:dyDescent="0.25">
      <c r="A309" s="7">
        <f>DATE(YEAR(m5_crossvalid[[#This Row],[cutoff]]),MONTH(m5_crossvalid[[#This Row],[cutoff]]),DAY(m5_crossvalid[[#This Row],[cutoff]]))</f>
        <v>45930</v>
      </c>
      <c r="B309" s="7">
        <f>DATE(YEAR(m5_crossvalid[[#This Row],[ds]]),MONTH(m5_crossvalid[[#This Row],[ds]]),DAY(m5_crossvalid[[#This Row],[ds]]))</f>
        <v>45959</v>
      </c>
      <c r="C309">
        <v>6381</v>
      </c>
      <c r="D309" s="1">
        <v>45959.333333333336</v>
      </c>
      <c r="E309">
        <v>5418.4420790032764</v>
      </c>
      <c r="F309">
        <v>3963.5207576327075</v>
      </c>
      <c r="G309">
        <v>6885.3008307330119</v>
      </c>
      <c r="H309" s="1">
        <v>45930.333333333336</v>
      </c>
    </row>
    <row r="310" spans="1:8" x14ac:dyDescent="0.25">
      <c r="A310" s="7">
        <f>DATE(YEAR(m5_crossvalid[[#This Row],[cutoff]]),MONTH(m5_crossvalid[[#This Row],[cutoff]]),DAY(m5_crossvalid[[#This Row],[cutoff]]))</f>
        <v>45930</v>
      </c>
      <c r="B310" s="7">
        <f>DATE(YEAR(m5_crossvalid[[#This Row],[ds]]),MONTH(m5_crossvalid[[#This Row],[ds]]),DAY(m5_crossvalid[[#This Row],[ds]]))</f>
        <v>45960</v>
      </c>
      <c r="C310">
        <v>7936</v>
      </c>
      <c r="D310" s="1">
        <v>45960.333333333336</v>
      </c>
      <c r="E310">
        <v>7612.2683650284225</v>
      </c>
      <c r="F310">
        <v>6074.5118518927229</v>
      </c>
      <c r="G310">
        <v>9064.7189236149898</v>
      </c>
      <c r="H310" s="1">
        <v>45930.333333333336</v>
      </c>
    </row>
    <row r="311" spans="1:8" x14ac:dyDescent="0.25">
      <c r="A311" s="7">
        <f>DATE(YEAR(m5_crossvalid[[#This Row],[cutoff]]),MONTH(m5_crossvalid[[#This Row],[cutoff]]),DAY(m5_crossvalid[[#This Row],[cutoff]]))</f>
        <v>45930</v>
      </c>
      <c r="B311" s="7">
        <f>DATE(YEAR(m5_crossvalid[[#This Row],[ds]]),MONTH(m5_crossvalid[[#This Row],[ds]]),DAY(m5_crossvalid[[#This Row],[ds]]))</f>
        <v>45961</v>
      </c>
      <c r="C311">
        <v>13386</v>
      </c>
      <c r="D311" s="1">
        <v>45961.333333333336</v>
      </c>
      <c r="E311">
        <v>9561.2583831108986</v>
      </c>
      <c r="F311">
        <v>8071.2655434504159</v>
      </c>
      <c r="G311">
        <v>11035.849813648827</v>
      </c>
      <c r="H311" s="1">
        <v>45930.333333333336</v>
      </c>
    </row>
    <row r="312" spans="1:8" x14ac:dyDescent="0.25">
      <c r="A312" s="7">
        <f>DATE(YEAR(m5_crossvalid[[#This Row],[cutoff]]),MONTH(m5_crossvalid[[#This Row],[cutoff]]),DAY(m5_crossvalid[[#This Row],[cutoff]]))</f>
        <v>45961</v>
      </c>
      <c r="B312" s="7">
        <f>DATE(YEAR(m5_crossvalid[[#This Row],[ds]]),MONTH(m5_crossvalid[[#This Row],[ds]]),DAY(m5_crossvalid[[#This Row],[ds]]))</f>
        <v>45962</v>
      </c>
      <c r="C312">
        <v>104</v>
      </c>
      <c r="D312" s="1">
        <v>45962.333333333336</v>
      </c>
      <c r="E312">
        <v>115.69525166688163</v>
      </c>
      <c r="F312">
        <v>-1287.8134773699589</v>
      </c>
      <c r="G312">
        <v>1527.0687920312535</v>
      </c>
      <c r="H312" s="1">
        <v>45961.333333333336</v>
      </c>
    </row>
    <row r="313" spans="1:8" x14ac:dyDescent="0.25">
      <c r="A313" s="7">
        <f>DATE(YEAR(m5_crossvalid[[#This Row],[cutoff]]),MONTH(m5_crossvalid[[#This Row],[cutoff]]),DAY(m5_crossvalid[[#This Row],[cutoff]]))</f>
        <v>45961</v>
      </c>
      <c r="B313" s="7">
        <f>DATE(YEAR(m5_crossvalid[[#This Row],[ds]]),MONTH(m5_crossvalid[[#This Row],[ds]]),DAY(m5_crossvalid[[#This Row],[ds]]))</f>
        <v>45963</v>
      </c>
      <c r="C313">
        <v>32</v>
      </c>
      <c r="D313" s="1">
        <v>45963.333333333336</v>
      </c>
      <c r="E313">
        <v>-1047.6645191843795</v>
      </c>
      <c r="F313">
        <v>-2539.3007663492531</v>
      </c>
      <c r="G313">
        <v>366.38945900589476</v>
      </c>
      <c r="H313" s="1">
        <v>45961.333333333336</v>
      </c>
    </row>
    <row r="314" spans="1:8" x14ac:dyDescent="0.25">
      <c r="A314" s="7">
        <f>DATE(YEAR(m5_crossvalid[[#This Row],[cutoff]]),MONTH(m5_crossvalid[[#This Row],[cutoff]]),DAY(m5_crossvalid[[#This Row],[cutoff]]))</f>
        <v>45961</v>
      </c>
      <c r="B314" s="7">
        <f>DATE(YEAR(m5_crossvalid[[#This Row],[ds]]),MONTH(m5_crossvalid[[#This Row],[ds]]),DAY(m5_crossvalid[[#This Row],[ds]]))</f>
        <v>45964</v>
      </c>
      <c r="C314">
        <v>607</v>
      </c>
      <c r="D314" s="1">
        <v>45964.333333333336</v>
      </c>
      <c r="E314">
        <v>1337.9524130050427</v>
      </c>
      <c r="F314">
        <v>-135.78262738534164</v>
      </c>
      <c r="G314">
        <v>2725.4057607490317</v>
      </c>
      <c r="H314" s="1">
        <v>45961.333333333336</v>
      </c>
    </row>
    <row r="315" spans="1:8" x14ac:dyDescent="0.25">
      <c r="A315" s="7">
        <f>DATE(YEAR(m5_crossvalid[[#This Row],[cutoff]]),MONTH(m5_crossvalid[[#This Row],[cutoff]]),DAY(m5_crossvalid[[#This Row],[cutoff]]))</f>
        <v>45961</v>
      </c>
      <c r="B315" s="7">
        <f>DATE(YEAR(m5_crossvalid[[#This Row],[ds]]),MONTH(m5_crossvalid[[#This Row],[ds]]),DAY(m5_crossvalid[[#This Row],[ds]]))</f>
        <v>45965</v>
      </c>
      <c r="C315">
        <v>821</v>
      </c>
      <c r="D315" s="1">
        <v>45965.333333333336</v>
      </c>
      <c r="E315">
        <v>1703.0248058191082</v>
      </c>
      <c r="F315">
        <v>202.53589288704211</v>
      </c>
      <c r="G315">
        <v>3090.5525770410486</v>
      </c>
      <c r="H315" s="1">
        <v>45961.333333333336</v>
      </c>
    </row>
    <row r="316" spans="1:8" x14ac:dyDescent="0.25">
      <c r="A316" s="7">
        <f>DATE(YEAR(m5_crossvalid[[#This Row],[cutoff]]),MONTH(m5_crossvalid[[#This Row],[cutoff]]),DAY(m5_crossvalid[[#This Row],[cutoff]]))</f>
        <v>45961</v>
      </c>
      <c r="B316" s="7">
        <f>DATE(YEAR(m5_crossvalid[[#This Row],[ds]]),MONTH(m5_crossvalid[[#This Row],[ds]]),DAY(m5_crossvalid[[#This Row],[ds]]))</f>
        <v>45966</v>
      </c>
      <c r="C316">
        <v>1032</v>
      </c>
      <c r="D316" s="1">
        <v>45966.333333333336</v>
      </c>
      <c r="E316">
        <v>1961.9336805072166</v>
      </c>
      <c r="F316">
        <v>485.72763668805459</v>
      </c>
      <c r="G316">
        <v>3309.9091928797257</v>
      </c>
      <c r="H316" s="1">
        <v>45961.333333333336</v>
      </c>
    </row>
    <row r="317" spans="1:8" x14ac:dyDescent="0.25">
      <c r="A317" s="7">
        <f>DATE(YEAR(m5_crossvalid[[#This Row],[cutoff]]),MONTH(m5_crossvalid[[#This Row],[cutoff]]),DAY(m5_crossvalid[[#This Row],[cutoff]]))</f>
        <v>45961</v>
      </c>
      <c r="B317" s="7">
        <f>DATE(YEAR(m5_crossvalid[[#This Row],[ds]]),MONTH(m5_crossvalid[[#This Row],[ds]]),DAY(m5_crossvalid[[#This Row],[ds]]))</f>
        <v>45967</v>
      </c>
      <c r="C317">
        <v>1396</v>
      </c>
      <c r="D317" s="1">
        <v>45967.333333333336</v>
      </c>
      <c r="E317">
        <v>2070.6374163830619</v>
      </c>
      <c r="F317">
        <v>599.0207607906458</v>
      </c>
      <c r="G317">
        <v>3511.9159637443881</v>
      </c>
      <c r="H317" s="1">
        <v>45961.333333333336</v>
      </c>
    </row>
    <row r="318" spans="1:8" x14ac:dyDescent="0.25">
      <c r="A318" s="7">
        <f>DATE(YEAR(m5_crossvalid[[#This Row],[cutoff]]),MONTH(m5_crossvalid[[#This Row],[cutoff]]),DAY(m5_crossvalid[[#This Row],[cutoff]]))</f>
        <v>45961</v>
      </c>
      <c r="B318" s="7">
        <f>DATE(YEAR(m5_crossvalid[[#This Row],[ds]]),MONTH(m5_crossvalid[[#This Row],[ds]]),DAY(m5_crossvalid[[#This Row],[ds]]))</f>
        <v>45968</v>
      </c>
      <c r="C318">
        <v>1612</v>
      </c>
      <c r="D318" s="1">
        <v>45968.333333333336</v>
      </c>
      <c r="E318">
        <v>1933.5314286529406</v>
      </c>
      <c r="F318">
        <v>420.47638064294415</v>
      </c>
      <c r="G318">
        <v>3409.8883777167052</v>
      </c>
      <c r="H318" s="1">
        <v>45961.333333333336</v>
      </c>
    </row>
    <row r="319" spans="1:8" x14ac:dyDescent="0.25">
      <c r="A319" s="7">
        <f>DATE(YEAR(m5_crossvalid[[#This Row],[cutoff]]),MONTH(m5_crossvalid[[#This Row],[cutoff]]),DAY(m5_crossvalid[[#This Row],[cutoff]]))</f>
        <v>45961</v>
      </c>
      <c r="B319" s="7">
        <f>DATE(YEAR(m5_crossvalid[[#This Row],[ds]]),MONTH(m5_crossvalid[[#This Row],[ds]]),DAY(m5_crossvalid[[#This Row],[ds]]))</f>
        <v>45969</v>
      </c>
      <c r="C319">
        <v>206</v>
      </c>
      <c r="D319" s="1">
        <v>45969.333333333336</v>
      </c>
      <c r="E319">
        <v>128.24982594169933</v>
      </c>
      <c r="F319">
        <v>-1253.6953733720009</v>
      </c>
      <c r="G319">
        <v>1573.7151408012057</v>
      </c>
      <c r="H319" s="1">
        <v>45961.333333333336</v>
      </c>
    </row>
    <row r="320" spans="1:8" x14ac:dyDescent="0.25">
      <c r="A320" s="7">
        <f>DATE(YEAR(m5_crossvalid[[#This Row],[cutoff]]),MONTH(m5_crossvalid[[#This Row],[cutoff]]),DAY(m5_crossvalid[[#This Row],[cutoff]]))</f>
        <v>45961</v>
      </c>
      <c r="B320" s="7">
        <f>DATE(YEAR(m5_crossvalid[[#This Row],[ds]]),MONTH(m5_crossvalid[[#This Row],[ds]]),DAY(m5_crossvalid[[#This Row],[ds]]))</f>
        <v>45970</v>
      </c>
      <c r="C320">
        <v>95</v>
      </c>
      <c r="D320" s="1">
        <v>45970.333333333336</v>
      </c>
      <c r="E320">
        <v>-524.29681520759232</v>
      </c>
      <c r="F320">
        <v>-1980.1288532455767</v>
      </c>
      <c r="G320">
        <v>1025.6635975390154</v>
      </c>
      <c r="H320" s="1">
        <v>45961.333333333336</v>
      </c>
    </row>
    <row r="321" spans="1:8" x14ac:dyDescent="0.25">
      <c r="A321" s="7">
        <f>DATE(YEAR(m5_crossvalid[[#This Row],[cutoff]]),MONTH(m5_crossvalid[[#This Row],[cutoff]]),DAY(m5_crossvalid[[#This Row],[cutoff]]))</f>
        <v>45961</v>
      </c>
      <c r="B321" s="7">
        <f>DATE(YEAR(m5_crossvalid[[#This Row],[ds]]),MONTH(m5_crossvalid[[#This Row],[ds]]),DAY(m5_crossvalid[[#This Row],[ds]]))</f>
        <v>45971</v>
      </c>
      <c r="C321">
        <v>1552</v>
      </c>
      <c r="D321" s="1">
        <v>45971.333333333336</v>
      </c>
      <c r="E321">
        <v>2037.3836427566332</v>
      </c>
      <c r="F321">
        <v>662.03288471197448</v>
      </c>
      <c r="G321">
        <v>3480.0324691976621</v>
      </c>
      <c r="H321" s="1">
        <v>45961.333333333336</v>
      </c>
    </row>
    <row r="322" spans="1:8" x14ac:dyDescent="0.25">
      <c r="A322" s="7">
        <f>DATE(YEAR(m5_crossvalid[[#This Row],[cutoff]]),MONTH(m5_crossvalid[[#This Row],[cutoff]]),DAY(m5_crossvalid[[#This Row],[cutoff]]))</f>
        <v>45961</v>
      </c>
      <c r="B322" s="7">
        <f>DATE(YEAR(m5_crossvalid[[#This Row],[ds]]),MONTH(m5_crossvalid[[#This Row],[ds]]),DAY(m5_crossvalid[[#This Row],[ds]]))</f>
        <v>45972</v>
      </c>
      <c r="C322">
        <v>1937</v>
      </c>
      <c r="D322" s="1">
        <v>45972.333333333336</v>
      </c>
      <c r="E322">
        <v>2480.1069654294834</v>
      </c>
      <c r="F322">
        <v>1044.5924402021451</v>
      </c>
      <c r="G322">
        <v>3824.2512802354277</v>
      </c>
      <c r="H322" s="1">
        <v>45961.333333333336</v>
      </c>
    </row>
    <row r="323" spans="1:8" x14ac:dyDescent="0.25">
      <c r="A323" s="7">
        <f>DATE(YEAR(m5_crossvalid[[#This Row],[cutoff]]),MONTH(m5_crossvalid[[#This Row],[cutoff]]),DAY(m5_crossvalid[[#This Row],[cutoff]]))</f>
        <v>45961</v>
      </c>
      <c r="B323" s="7">
        <f>DATE(YEAR(m5_crossvalid[[#This Row],[ds]]),MONTH(m5_crossvalid[[#This Row],[ds]]),DAY(m5_crossvalid[[#This Row],[ds]]))</f>
        <v>45973</v>
      </c>
      <c r="C323">
        <v>2198</v>
      </c>
      <c r="D323" s="1">
        <v>45973.333333333336</v>
      </c>
      <c r="E323">
        <v>2668.5367269151807</v>
      </c>
      <c r="F323">
        <v>1217.0316144300239</v>
      </c>
      <c r="G323">
        <v>4189.024842839819</v>
      </c>
      <c r="H323" s="1">
        <v>45961.333333333336</v>
      </c>
    </row>
    <row r="324" spans="1:8" x14ac:dyDescent="0.25">
      <c r="A324" s="7">
        <f>DATE(YEAR(m5_crossvalid[[#This Row],[cutoff]]),MONTH(m5_crossvalid[[#This Row],[cutoff]]),DAY(m5_crossvalid[[#This Row],[cutoff]]))</f>
        <v>45961</v>
      </c>
      <c r="B324" s="7">
        <f>DATE(YEAR(m5_crossvalid[[#This Row],[ds]]),MONTH(m5_crossvalid[[#This Row],[ds]]),DAY(m5_crossvalid[[#This Row],[ds]]))</f>
        <v>45974</v>
      </c>
      <c r="C324">
        <v>2401</v>
      </c>
      <c r="D324" s="1">
        <v>45974.333333333336</v>
      </c>
      <c r="E324">
        <v>2731.740322163836</v>
      </c>
      <c r="F324">
        <v>1280.4131771600155</v>
      </c>
      <c r="G324">
        <v>4148.6910078068458</v>
      </c>
      <c r="H324" s="1">
        <v>45961.333333333336</v>
      </c>
    </row>
    <row r="325" spans="1:8" x14ac:dyDescent="0.25">
      <c r="A325" s="7">
        <f>DATE(YEAR(m5_crossvalid[[#This Row],[cutoff]]),MONTH(m5_crossvalid[[#This Row],[cutoff]]),DAY(m5_crossvalid[[#This Row],[cutoff]]))</f>
        <v>45961</v>
      </c>
      <c r="B325" s="7">
        <f>DATE(YEAR(m5_crossvalid[[#This Row],[ds]]),MONTH(m5_crossvalid[[#This Row],[ds]]),DAY(m5_crossvalid[[#This Row],[ds]]))</f>
        <v>45975</v>
      </c>
      <c r="C325">
        <v>2547</v>
      </c>
      <c r="D325" s="1">
        <v>45975.333333333336</v>
      </c>
      <c r="E325">
        <v>2707.7697808095818</v>
      </c>
      <c r="F325">
        <v>1328.3490639358836</v>
      </c>
      <c r="G325">
        <v>4210.350676045301</v>
      </c>
      <c r="H325" s="1">
        <v>45961.333333333336</v>
      </c>
    </row>
    <row r="326" spans="1:8" x14ac:dyDescent="0.25">
      <c r="A326" s="7">
        <f>DATE(YEAR(m5_crossvalid[[#This Row],[cutoff]]),MONTH(m5_crossvalid[[#This Row],[cutoff]]),DAY(m5_crossvalid[[#This Row],[cutoff]]))</f>
        <v>45961</v>
      </c>
      <c r="B326" s="7">
        <f>DATE(YEAR(m5_crossvalid[[#This Row],[ds]]),MONTH(m5_crossvalid[[#This Row],[ds]]),DAY(m5_crossvalid[[#This Row],[ds]]))</f>
        <v>45976</v>
      </c>
      <c r="C326">
        <v>773</v>
      </c>
      <c r="D326" s="1">
        <v>45976.333333333336</v>
      </c>
      <c r="E326">
        <v>494.54294025548984</v>
      </c>
      <c r="F326">
        <v>-895.597185948424</v>
      </c>
      <c r="G326">
        <v>1964.6814972117841</v>
      </c>
      <c r="H326" s="1">
        <v>45961.333333333336</v>
      </c>
    </row>
    <row r="327" spans="1:8" x14ac:dyDescent="0.25">
      <c r="A327" s="7">
        <f>DATE(YEAR(m5_crossvalid[[#This Row],[cutoff]]),MONTH(m5_crossvalid[[#This Row],[cutoff]]),DAY(m5_crossvalid[[#This Row],[cutoff]]))</f>
        <v>45961</v>
      </c>
      <c r="B327" s="7">
        <f>DATE(YEAR(m5_crossvalid[[#This Row],[ds]]),MONTH(m5_crossvalid[[#This Row],[ds]]),DAY(m5_crossvalid[[#This Row],[ds]]))</f>
        <v>45977</v>
      </c>
      <c r="C327">
        <v>113</v>
      </c>
      <c r="D327" s="1">
        <v>45977.333333333336</v>
      </c>
      <c r="E327">
        <v>89.011948659204791</v>
      </c>
      <c r="F327">
        <v>-1314.7933289878217</v>
      </c>
      <c r="G327">
        <v>1536.3656766091979</v>
      </c>
      <c r="H327" s="1">
        <v>45961.333333333336</v>
      </c>
    </row>
    <row r="328" spans="1:8" x14ac:dyDescent="0.25">
      <c r="A328" s="7">
        <f>DATE(YEAR(m5_crossvalid[[#This Row],[cutoff]]),MONTH(m5_crossvalid[[#This Row],[cutoff]]),DAY(m5_crossvalid[[#This Row],[cutoff]]))</f>
        <v>45961</v>
      </c>
      <c r="B328" s="7">
        <f>DATE(YEAR(m5_crossvalid[[#This Row],[ds]]),MONTH(m5_crossvalid[[#This Row],[ds]]),DAY(m5_crossvalid[[#This Row],[ds]]))</f>
        <v>45978</v>
      </c>
      <c r="C328">
        <v>2849</v>
      </c>
      <c r="D328" s="1">
        <v>45978.333333333336</v>
      </c>
      <c r="E328">
        <v>2741.5983260836238</v>
      </c>
      <c r="F328">
        <v>1279.1042325485018</v>
      </c>
      <c r="G328">
        <v>4131.3757737602646</v>
      </c>
      <c r="H328" s="1">
        <v>45961.333333333336</v>
      </c>
    </row>
    <row r="329" spans="1:8" x14ac:dyDescent="0.25">
      <c r="A329" s="7">
        <f>DATE(YEAR(m5_crossvalid[[#This Row],[cutoff]]),MONTH(m5_crossvalid[[#This Row],[cutoff]]),DAY(m5_crossvalid[[#This Row],[cutoff]]))</f>
        <v>45961</v>
      </c>
      <c r="B329" s="7">
        <f>DATE(YEAR(m5_crossvalid[[#This Row],[ds]]),MONTH(m5_crossvalid[[#This Row],[ds]]),DAY(m5_crossvalid[[#This Row],[ds]]))</f>
        <v>45979</v>
      </c>
      <c r="C329">
        <v>3351</v>
      </c>
      <c r="D329" s="1">
        <v>45979.333333333336</v>
      </c>
      <c r="E329">
        <v>3100.5113624306382</v>
      </c>
      <c r="F329">
        <v>1659.5522320173272</v>
      </c>
      <c r="G329">
        <v>4467.6230616007724</v>
      </c>
      <c r="H329" s="1">
        <v>45961.333333333336</v>
      </c>
    </row>
    <row r="330" spans="1:8" x14ac:dyDescent="0.25">
      <c r="A330" s="7">
        <f>DATE(YEAR(m5_crossvalid[[#This Row],[cutoff]]),MONTH(m5_crossvalid[[#This Row],[cutoff]]),DAY(m5_crossvalid[[#This Row],[cutoff]]))</f>
        <v>45961</v>
      </c>
      <c r="B330" s="7">
        <f>DATE(YEAR(m5_crossvalid[[#This Row],[ds]]),MONTH(m5_crossvalid[[#This Row],[ds]]),DAY(m5_crossvalid[[#This Row],[ds]]))</f>
        <v>45980</v>
      </c>
      <c r="C330">
        <v>3248</v>
      </c>
      <c r="D330" s="1">
        <v>45980.333333333336</v>
      </c>
      <c r="E330">
        <v>3150.0157735903636</v>
      </c>
      <c r="F330">
        <v>1782.2930031545263</v>
      </c>
      <c r="G330">
        <v>4654.5182997920774</v>
      </c>
      <c r="H330" s="1">
        <v>45961.333333333336</v>
      </c>
    </row>
    <row r="331" spans="1:8" x14ac:dyDescent="0.25">
      <c r="A331" s="7">
        <f>DATE(YEAR(m5_crossvalid[[#This Row],[cutoff]]),MONTH(m5_crossvalid[[#This Row],[cutoff]]),DAY(m5_crossvalid[[#This Row],[cutoff]]))</f>
        <v>45961</v>
      </c>
      <c r="B331" s="7">
        <f>DATE(YEAR(m5_crossvalid[[#This Row],[ds]]),MONTH(m5_crossvalid[[#This Row],[ds]]),DAY(m5_crossvalid[[#This Row],[ds]]))</f>
        <v>45981</v>
      </c>
      <c r="C331">
        <v>3581</v>
      </c>
      <c r="D331" s="1">
        <v>45981.333333333336</v>
      </c>
      <c r="E331">
        <v>3161.8218481056647</v>
      </c>
      <c r="F331">
        <v>1713.3054929332197</v>
      </c>
      <c r="G331">
        <v>4649.250091642205</v>
      </c>
      <c r="H331" s="1">
        <v>45961.333333333336</v>
      </c>
    </row>
    <row r="332" spans="1:8" x14ac:dyDescent="0.25">
      <c r="A332" s="7">
        <f>DATE(YEAR(m5_crossvalid[[#This Row],[cutoff]]),MONTH(m5_crossvalid[[#This Row],[cutoff]]),DAY(m5_crossvalid[[#This Row],[cutoff]]))</f>
        <v>45961</v>
      </c>
      <c r="B332" s="7">
        <f>DATE(YEAR(m5_crossvalid[[#This Row],[ds]]),MONTH(m5_crossvalid[[#This Row],[ds]]),DAY(m5_crossvalid[[#This Row],[ds]]))</f>
        <v>45982</v>
      </c>
      <c r="C332">
        <v>3622</v>
      </c>
      <c r="D332" s="1">
        <v>45982.333333333336</v>
      </c>
      <c r="E332">
        <v>3211.747530739071</v>
      </c>
      <c r="F332">
        <v>1768.5405795809734</v>
      </c>
      <c r="G332">
        <v>4620.1683887713471</v>
      </c>
      <c r="H332" s="1">
        <v>45961.333333333336</v>
      </c>
    </row>
    <row r="333" spans="1:8" x14ac:dyDescent="0.25">
      <c r="A333" s="7">
        <f>DATE(YEAR(m5_crossvalid[[#This Row],[cutoff]]),MONTH(m5_crossvalid[[#This Row],[cutoff]]),DAY(m5_crossvalid[[#This Row],[cutoff]]))</f>
        <v>45961</v>
      </c>
      <c r="B333" s="7">
        <f>DATE(YEAR(m5_crossvalid[[#This Row],[ds]]),MONTH(m5_crossvalid[[#This Row],[ds]]),DAY(m5_crossvalid[[#This Row],[ds]]))</f>
        <v>45983</v>
      </c>
      <c r="C333">
        <v>783</v>
      </c>
      <c r="D333" s="1">
        <v>45983.333333333336</v>
      </c>
      <c r="E333">
        <v>1109.4750738436128</v>
      </c>
      <c r="F333">
        <v>-290.14659535910988</v>
      </c>
      <c r="G333">
        <v>2468.4758757845493</v>
      </c>
      <c r="H333" s="1">
        <v>45961.333333333336</v>
      </c>
    </row>
    <row r="334" spans="1:8" x14ac:dyDescent="0.25">
      <c r="A334" s="7">
        <f>DATE(YEAR(m5_crossvalid[[#This Row],[cutoff]]),MONTH(m5_crossvalid[[#This Row],[cutoff]]),DAY(m5_crossvalid[[#This Row],[cutoff]]))</f>
        <v>45961</v>
      </c>
      <c r="B334" s="7">
        <f>DATE(YEAR(m5_crossvalid[[#This Row],[ds]]),MONTH(m5_crossvalid[[#This Row],[ds]]),DAY(m5_crossvalid[[#This Row],[ds]]))</f>
        <v>45984</v>
      </c>
      <c r="C334">
        <v>188</v>
      </c>
      <c r="D334" s="1">
        <v>45984.333333333336</v>
      </c>
      <c r="E334">
        <v>738.46601726336735</v>
      </c>
      <c r="F334">
        <v>-662.58237759924714</v>
      </c>
      <c r="G334">
        <v>2188.8761640141511</v>
      </c>
      <c r="H334" s="1">
        <v>45961.333333333336</v>
      </c>
    </row>
    <row r="335" spans="1:8" x14ac:dyDescent="0.25">
      <c r="A335" s="7">
        <f>DATE(YEAR(m5_crossvalid[[#This Row],[cutoff]]),MONTH(m5_crossvalid[[#This Row],[cutoff]]),DAY(m5_crossvalid[[#This Row],[cutoff]]))</f>
        <v>45961</v>
      </c>
      <c r="B335" s="7">
        <f>DATE(YEAR(m5_crossvalid[[#This Row],[ds]]),MONTH(m5_crossvalid[[#This Row],[ds]]),DAY(m5_crossvalid[[#This Row],[ds]]))</f>
        <v>45985</v>
      </c>
      <c r="C335">
        <v>3515</v>
      </c>
      <c r="D335" s="1">
        <v>45985.333333333336</v>
      </c>
      <c r="E335">
        <v>3330.7329539655011</v>
      </c>
      <c r="F335">
        <v>1851.8196329127625</v>
      </c>
      <c r="G335">
        <v>4795.1652027986502</v>
      </c>
      <c r="H335" s="1">
        <v>45961.333333333336</v>
      </c>
    </row>
    <row r="336" spans="1:8" x14ac:dyDescent="0.25">
      <c r="A336" s="7">
        <f>DATE(YEAR(m5_crossvalid[[#This Row],[cutoff]]),MONTH(m5_crossvalid[[#This Row],[cutoff]]),DAY(m5_crossvalid[[#This Row],[cutoff]]))</f>
        <v>45961</v>
      </c>
      <c r="B336" s="7">
        <f>DATE(YEAR(m5_crossvalid[[#This Row],[ds]]),MONTH(m5_crossvalid[[#This Row],[ds]]),DAY(m5_crossvalid[[#This Row],[ds]]))</f>
        <v>45986</v>
      </c>
      <c r="C336">
        <v>4824</v>
      </c>
      <c r="D336" s="1">
        <v>45986.333333333336</v>
      </c>
      <c r="E336">
        <v>3630.8005049710596</v>
      </c>
      <c r="F336">
        <v>2087.421995922226</v>
      </c>
      <c r="G336">
        <v>5098.3603122597669</v>
      </c>
      <c r="H336" s="1">
        <v>45961.333333333336</v>
      </c>
    </row>
    <row r="337" spans="1:8" x14ac:dyDescent="0.25">
      <c r="A337" s="7">
        <f>DATE(YEAR(m5_crossvalid[[#This Row],[cutoff]]),MONTH(m5_crossvalid[[#This Row],[cutoff]]),DAY(m5_crossvalid[[#This Row],[cutoff]]))</f>
        <v>45961</v>
      </c>
      <c r="B337" s="7">
        <f>DATE(YEAR(m5_crossvalid[[#This Row],[ds]]),MONTH(m5_crossvalid[[#This Row],[ds]]),DAY(m5_crossvalid[[#This Row],[ds]]))</f>
        <v>45987</v>
      </c>
      <c r="C337">
        <v>5463</v>
      </c>
      <c r="D337" s="1">
        <v>45987.333333333336</v>
      </c>
      <c r="E337">
        <v>4985.1264893459092</v>
      </c>
      <c r="F337">
        <v>3568.6392161428307</v>
      </c>
      <c r="G337">
        <v>6447.2826611907758</v>
      </c>
      <c r="H337" s="1">
        <v>45961.333333333336</v>
      </c>
    </row>
    <row r="338" spans="1:8" x14ac:dyDescent="0.25">
      <c r="A338" s="7">
        <f>DATE(YEAR(m5_crossvalid[[#This Row],[cutoff]]),MONTH(m5_crossvalid[[#This Row],[cutoff]]),DAY(m5_crossvalid[[#This Row],[cutoff]]))</f>
        <v>45961</v>
      </c>
      <c r="B338" s="7">
        <f>DATE(YEAR(m5_crossvalid[[#This Row],[ds]]),MONTH(m5_crossvalid[[#This Row],[ds]]),DAY(m5_crossvalid[[#This Row],[ds]]))</f>
        <v>45988</v>
      </c>
      <c r="C338">
        <v>7236</v>
      </c>
      <c r="D338" s="1">
        <v>45988.333333333336</v>
      </c>
      <c r="E338">
        <v>5149.1741172892598</v>
      </c>
      <c r="F338">
        <v>3725.5056376437724</v>
      </c>
      <c r="G338">
        <v>6537.457272008357</v>
      </c>
      <c r="H338" s="1">
        <v>45961.333333333336</v>
      </c>
    </row>
    <row r="339" spans="1:8" x14ac:dyDescent="0.25">
      <c r="A339" s="7">
        <f>DATE(YEAR(m5_crossvalid[[#This Row],[cutoff]]),MONTH(m5_crossvalid[[#This Row],[cutoff]]),DAY(m5_crossvalid[[#This Row],[cutoff]]))</f>
        <v>45961</v>
      </c>
      <c r="B339" s="7">
        <f>DATE(YEAR(m5_crossvalid[[#This Row],[ds]]),MONTH(m5_crossvalid[[#This Row],[ds]]),DAY(m5_crossvalid[[#This Row],[ds]]))</f>
        <v>45989</v>
      </c>
      <c r="C339">
        <v>10013</v>
      </c>
      <c r="D339" s="1">
        <v>45989.333333333336</v>
      </c>
      <c r="E339">
        <v>5302.580512221617</v>
      </c>
      <c r="F339">
        <v>3859.6825518384599</v>
      </c>
      <c r="G339">
        <v>6714.6331858027406</v>
      </c>
      <c r="H339" s="1">
        <v>45961.333333333336</v>
      </c>
    </row>
    <row r="340" spans="1:8" x14ac:dyDescent="0.25">
      <c r="A340" s="7">
        <f>DATE(YEAR(m5_crossvalid[[#This Row],[cutoff]]),MONTH(m5_crossvalid[[#This Row],[cutoff]]),DAY(m5_crossvalid[[#This Row],[cutoff]]))</f>
        <v>45961</v>
      </c>
      <c r="B340" s="7">
        <f>DATE(YEAR(m5_crossvalid[[#This Row],[ds]]),MONTH(m5_crossvalid[[#This Row],[ds]]),DAY(m5_crossvalid[[#This Row],[ds]]))</f>
        <v>45990</v>
      </c>
      <c r="C340">
        <v>8210</v>
      </c>
      <c r="D340" s="1">
        <v>45990.333333333336</v>
      </c>
      <c r="E340">
        <v>5334.0589637856283</v>
      </c>
      <c r="F340">
        <v>3918.068778528545</v>
      </c>
      <c r="G340">
        <v>6702.7947197444473</v>
      </c>
      <c r="H340" s="1">
        <v>45961.333333333336</v>
      </c>
    </row>
    <row r="341" spans="1:8" x14ac:dyDescent="0.25">
      <c r="A341" s="7">
        <f>DATE(YEAR(m5_crossvalid[[#This Row],[cutoff]]),MONTH(m5_crossvalid[[#This Row],[cutoff]]),DAY(m5_crossvalid[[#This Row],[cutoff]]))</f>
        <v>45961</v>
      </c>
      <c r="B341" s="7">
        <f>DATE(YEAR(m5_crossvalid[[#This Row],[ds]]),MONTH(m5_crossvalid[[#This Row],[ds]]),DAY(m5_crossvalid[[#This Row],[ds]]))</f>
        <v>45991</v>
      </c>
      <c r="C341">
        <v>3567</v>
      </c>
      <c r="D341" s="1">
        <v>45991.333333333336</v>
      </c>
      <c r="E341">
        <v>7035.3591185024852</v>
      </c>
      <c r="F341">
        <v>5614.7775780695447</v>
      </c>
      <c r="G341">
        <v>8399.214936832368</v>
      </c>
      <c r="H341" s="1">
        <v>45961.333333333336</v>
      </c>
    </row>
    <row r="342" spans="1:8" x14ac:dyDescent="0.25">
      <c r="A342" s="7">
        <f>DATE(YEAR(m5_crossvalid[[#This Row],[cutoff]]),MONTH(m5_crossvalid[[#This Row],[cutoff]]),DAY(m5_crossvalid[[#This Row],[cutoff]]))</f>
        <v>45961</v>
      </c>
      <c r="B342" s="7">
        <f>DATE(YEAR(m5_crossvalid[[#This Row],[ds]]),MONTH(m5_crossvalid[[#This Row],[ds]]),DAY(m5_crossvalid[[#This Row],[ds]]))</f>
        <v>45992</v>
      </c>
      <c r="C342">
        <v>659</v>
      </c>
      <c r="D342" s="1">
        <v>45992.333333333336</v>
      </c>
      <c r="E342">
        <v>2243.2320260010611</v>
      </c>
      <c r="F342">
        <v>778.04599562798876</v>
      </c>
      <c r="G342">
        <v>3621.6704257981191</v>
      </c>
      <c r="H342" s="1">
        <v>45961.333333333336</v>
      </c>
    </row>
    <row r="343" spans="1:8" x14ac:dyDescent="0.25">
      <c r="A343" s="7">
        <f>DATE(YEAR(m5_crossvalid[[#This Row],[cutoff]]),MONTH(m5_crossvalid[[#This Row],[cutoff]]),DAY(m5_crossvalid[[#This Row],[cutoff]]))</f>
        <v>45991</v>
      </c>
      <c r="B343" s="7">
        <f>DATE(YEAR(m5_crossvalid[[#This Row],[ds]]),MONTH(m5_crossvalid[[#This Row],[ds]]),DAY(m5_crossvalid[[#This Row],[ds]]))</f>
        <v>45992</v>
      </c>
      <c r="C343">
        <v>659</v>
      </c>
      <c r="D343" s="1">
        <v>45992.333333333336</v>
      </c>
      <c r="E343">
        <v>2355.6673572067702</v>
      </c>
      <c r="F343">
        <v>1016.7865957579526</v>
      </c>
      <c r="G343">
        <v>3809.0198669803872</v>
      </c>
      <c r="H343" s="1">
        <v>45991.333333333336</v>
      </c>
    </row>
    <row r="344" spans="1:8" x14ac:dyDescent="0.25">
      <c r="A344" s="7">
        <f>DATE(YEAR(m5_crossvalid[[#This Row],[cutoff]]),MONTH(m5_crossvalid[[#This Row],[cutoff]]),DAY(m5_crossvalid[[#This Row],[cutoff]]))</f>
        <v>45991</v>
      </c>
      <c r="B344" s="7">
        <f>DATE(YEAR(m5_crossvalid[[#This Row],[ds]]),MONTH(m5_crossvalid[[#This Row],[ds]]),DAY(m5_crossvalid[[#This Row],[ds]]))</f>
        <v>45993</v>
      </c>
      <c r="C344">
        <v>963</v>
      </c>
      <c r="D344" s="1">
        <v>45993.333333333336</v>
      </c>
      <c r="E344">
        <v>1993.1224132635632</v>
      </c>
      <c r="F344">
        <v>522.95765138106015</v>
      </c>
      <c r="G344">
        <v>3465.9508304608789</v>
      </c>
      <c r="H344" s="1">
        <v>45991.333333333336</v>
      </c>
    </row>
    <row r="345" spans="1:8" x14ac:dyDescent="0.25">
      <c r="A345" s="7">
        <f>DATE(YEAR(m5_crossvalid[[#This Row],[cutoff]]),MONTH(m5_crossvalid[[#This Row],[cutoff]]),DAY(m5_crossvalid[[#This Row],[cutoff]]))</f>
        <v>45991</v>
      </c>
      <c r="B345" s="7">
        <f>DATE(YEAR(m5_crossvalid[[#This Row],[ds]]),MONTH(m5_crossvalid[[#This Row],[ds]]),DAY(m5_crossvalid[[#This Row],[ds]]))</f>
        <v>45994</v>
      </c>
      <c r="C345">
        <v>1248</v>
      </c>
      <c r="D345" s="1">
        <v>45994.333333333336</v>
      </c>
      <c r="E345">
        <v>1729.8214027544536</v>
      </c>
      <c r="F345">
        <v>267.85816929716646</v>
      </c>
      <c r="G345">
        <v>3171.5215183986543</v>
      </c>
      <c r="H345" s="1">
        <v>45991.333333333336</v>
      </c>
    </row>
    <row r="346" spans="1:8" x14ac:dyDescent="0.25">
      <c r="A346" s="7">
        <f>DATE(YEAR(m5_crossvalid[[#This Row],[cutoff]]),MONTH(m5_crossvalid[[#This Row],[cutoff]]),DAY(m5_crossvalid[[#This Row],[cutoff]]))</f>
        <v>45991</v>
      </c>
      <c r="B346" s="7">
        <f>DATE(YEAR(m5_crossvalid[[#This Row],[ds]]),MONTH(m5_crossvalid[[#This Row],[ds]]),DAY(m5_crossvalid[[#This Row],[ds]]))</f>
        <v>45995</v>
      </c>
      <c r="C346">
        <v>1462</v>
      </c>
      <c r="D346" s="1">
        <v>45995.333333333336</v>
      </c>
      <c r="E346">
        <v>1705.4334545574693</v>
      </c>
      <c r="F346">
        <v>184.43481886431877</v>
      </c>
      <c r="G346">
        <v>3092.1883037852954</v>
      </c>
      <c r="H346" s="1">
        <v>45991.333333333336</v>
      </c>
    </row>
    <row r="347" spans="1:8" x14ac:dyDescent="0.25">
      <c r="A347" s="7">
        <f>DATE(YEAR(m5_crossvalid[[#This Row],[cutoff]]),MONTH(m5_crossvalid[[#This Row],[cutoff]]),DAY(m5_crossvalid[[#This Row],[cutoff]]))</f>
        <v>45991</v>
      </c>
      <c r="B347" s="7">
        <f>DATE(YEAR(m5_crossvalid[[#This Row],[ds]]),MONTH(m5_crossvalid[[#This Row],[ds]]),DAY(m5_crossvalid[[#This Row],[ds]]))</f>
        <v>45996</v>
      </c>
      <c r="C347">
        <v>1441</v>
      </c>
      <c r="D347" s="1">
        <v>45996.333333333336</v>
      </c>
      <c r="E347">
        <v>1845.9017082491275</v>
      </c>
      <c r="F347">
        <v>371.20991178579607</v>
      </c>
      <c r="G347">
        <v>3233.286911859373</v>
      </c>
      <c r="H347" s="1">
        <v>45991.333333333336</v>
      </c>
    </row>
    <row r="348" spans="1:8" x14ac:dyDescent="0.25">
      <c r="A348" s="7">
        <f>DATE(YEAR(m5_crossvalid[[#This Row],[cutoff]]),MONTH(m5_crossvalid[[#This Row],[cutoff]]),DAY(m5_crossvalid[[#This Row],[cutoff]]))</f>
        <v>45991</v>
      </c>
      <c r="B348" s="7">
        <f>DATE(YEAR(m5_crossvalid[[#This Row],[ds]]),MONTH(m5_crossvalid[[#This Row],[ds]]),DAY(m5_crossvalid[[#This Row],[ds]]))</f>
        <v>45997</v>
      </c>
      <c r="C348">
        <v>380</v>
      </c>
      <c r="D348" s="1">
        <v>45997.333333333336</v>
      </c>
      <c r="E348">
        <v>-259.60988784255551</v>
      </c>
      <c r="F348">
        <v>-1715.2831943617714</v>
      </c>
      <c r="G348">
        <v>1192.2626771564073</v>
      </c>
      <c r="H348" s="1">
        <v>45991.333333333336</v>
      </c>
    </row>
    <row r="349" spans="1:8" x14ac:dyDescent="0.25">
      <c r="A349" s="7">
        <f>DATE(YEAR(m5_crossvalid[[#This Row],[cutoff]]),MONTH(m5_crossvalid[[#This Row],[cutoff]]),DAY(m5_crossvalid[[#This Row],[cutoff]]))</f>
        <v>45991</v>
      </c>
      <c r="B349" s="7">
        <f>DATE(YEAR(m5_crossvalid[[#This Row],[ds]]),MONTH(m5_crossvalid[[#This Row],[ds]]),DAY(m5_crossvalid[[#This Row],[ds]]))</f>
        <v>45998</v>
      </c>
      <c r="C349">
        <v>59</v>
      </c>
      <c r="D349" s="1">
        <v>45998.333333333336</v>
      </c>
      <c r="E349">
        <v>-813.61895223500733</v>
      </c>
      <c r="F349">
        <v>-2339.904367098678</v>
      </c>
      <c r="G349">
        <v>661.52291294378483</v>
      </c>
      <c r="H349" s="1">
        <v>45991.333333333336</v>
      </c>
    </row>
    <row r="350" spans="1:8" x14ac:dyDescent="0.25">
      <c r="A350" s="7">
        <f>DATE(YEAR(m5_crossvalid[[#This Row],[cutoff]]),MONTH(m5_crossvalid[[#This Row],[cutoff]]),DAY(m5_crossvalid[[#This Row],[cutoff]]))</f>
        <v>45991</v>
      </c>
      <c r="B350" s="7">
        <f>DATE(YEAR(m5_crossvalid[[#This Row],[ds]]),MONTH(m5_crossvalid[[#This Row],[ds]]),DAY(m5_crossvalid[[#This Row],[ds]]))</f>
        <v>45999</v>
      </c>
      <c r="C350">
        <v>1698</v>
      </c>
      <c r="D350" s="1">
        <v>45999.333333333336</v>
      </c>
      <c r="E350">
        <v>2256.2756579410698</v>
      </c>
      <c r="F350">
        <v>834.37230085448743</v>
      </c>
      <c r="G350">
        <v>3739.2655675058772</v>
      </c>
      <c r="H350" s="1">
        <v>45991.333333333336</v>
      </c>
    </row>
    <row r="351" spans="1:8" x14ac:dyDescent="0.25">
      <c r="A351" s="7">
        <f>DATE(YEAR(m5_crossvalid[[#This Row],[cutoff]]),MONTH(m5_crossvalid[[#This Row],[cutoff]]),DAY(m5_crossvalid[[#This Row],[cutoff]]))</f>
        <v>45991</v>
      </c>
      <c r="B351" s="7">
        <f>DATE(YEAR(m5_crossvalid[[#This Row],[ds]]),MONTH(m5_crossvalid[[#This Row],[ds]]),DAY(m5_crossvalid[[#This Row],[ds]]))</f>
        <v>46000</v>
      </c>
      <c r="C351">
        <v>1924</v>
      </c>
      <c r="D351" s="1">
        <v>46000.333333333336</v>
      </c>
      <c r="E351">
        <v>2436.7737150548937</v>
      </c>
      <c r="F351">
        <v>893.37577270116788</v>
      </c>
      <c r="G351">
        <v>3794.4680910394663</v>
      </c>
      <c r="H351" s="1">
        <v>45991.333333333336</v>
      </c>
    </row>
    <row r="352" spans="1:8" x14ac:dyDescent="0.25">
      <c r="A352" s="7">
        <f>DATE(YEAR(m5_crossvalid[[#This Row],[cutoff]]),MONTH(m5_crossvalid[[#This Row],[cutoff]]),DAY(m5_crossvalid[[#This Row],[cutoff]]))</f>
        <v>45991</v>
      </c>
      <c r="B352" s="7">
        <f>DATE(YEAR(m5_crossvalid[[#This Row],[ds]]),MONTH(m5_crossvalid[[#This Row],[ds]]),DAY(m5_crossvalid[[#This Row],[ds]]))</f>
        <v>46001</v>
      </c>
      <c r="C352">
        <v>2624</v>
      </c>
      <c r="D352" s="1">
        <v>46001.333333333336</v>
      </c>
      <c r="E352">
        <v>2489.0628120763849</v>
      </c>
      <c r="F352">
        <v>1008.5402136721686</v>
      </c>
      <c r="G352">
        <v>3957.1861461986437</v>
      </c>
      <c r="H352" s="1">
        <v>45991.333333333336</v>
      </c>
    </row>
    <row r="353" spans="1:8" x14ac:dyDescent="0.25">
      <c r="A353" s="7">
        <f>DATE(YEAR(m5_crossvalid[[#This Row],[cutoff]]),MONTH(m5_crossvalid[[#This Row],[cutoff]]),DAY(m5_crossvalid[[#This Row],[cutoff]]))</f>
        <v>45991</v>
      </c>
      <c r="B353" s="7">
        <f>DATE(YEAR(m5_crossvalid[[#This Row],[ds]]),MONTH(m5_crossvalid[[#This Row],[ds]]),DAY(m5_crossvalid[[#This Row],[ds]]))</f>
        <v>46002</v>
      </c>
      <c r="C353">
        <v>1853</v>
      </c>
      <c r="D353" s="1">
        <v>46002.333333333336</v>
      </c>
      <c r="E353">
        <v>2661.5149881452339</v>
      </c>
      <c r="F353">
        <v>1282.4898857043163</v>
      </c>
      <c r="G353">
        <v>4106.5921034737894</v>
      </c>
      <c r="H353" s="1">
        <v>45991.333333333336</v>
      </c>
    </row>
    <row r="354" spans="1:8" x14ac:dyDescent="0.25">
      <c r="A354" s="7">
        <f>DATE(YEAR(m5_crossvalid[[#This Row],[cutoff]]),MONTH(m5_crossvalid[[#This Row],[cutoff]]),DAY(m5_crossvalid[[#This Row],[cutoff]]))</f>
        <v>45991</v>
      </c>
      <c r="B354" s="7">
        <f>DATE(YEAR(m5_crossvalid[[#This Row],[ds]]),MONTH(m5_crossvalid[[#This Row],[ds]]),DAY(m5_crossvalid[[#This Row],[ds]]))</f>
        <v>46003</v>
      </c>
      <c r="C354">
        <v>3010</v>
      </c>
      <c r="D354" s="1">
        <v>46003.333333333336</v>
      </c>
      <c r="E354">
        <v>2808.09993077123</v>
      </c>
      <c r="F354">
        <v>1332.7344176721897</v>
      </c>
      <c r="G354">
        <v>4265.2454320540928</v>
      </c>
      <c r="H354" s="1">
        <v>45991.333333333336</v>
      </c>
    </row>
    <row r="355" spans="1:8" x14ac:dyDescent="0.25">
      <c r="A355" s="7">
        <f>DATE(YEAR(m5_crossvalid[[#This Row],[cutoff]]),MONTH(m5_crossvalid[[#This Row],[cutoff]]),DAY(m5_crossvalid[[#This Row],[cutoff]]))</f>
        <v>45991</v>
      </c>
      <c r="B355" s="7">
        <f>DATE(YEAR(m5_crossvalid[[#This Row],[ds]]),MONTH(m5_crossvalid[[#This Row],[ds]]),DAY(m5_crossvalid[[#This Row],[ds]]))</f>
        <v>46004</v>
      </c>
      <c r="C355">
        <v>552</v>
      </c>
      <c r="D355" s="1">
        <v>46004.333333333336</v>
      </c>
      <c r="E355">
        <v>650.8188070769977</v>
      </c>
      <c r="F355">
        <v>-872.83062432229985</v>
      </c>
      <c r="G355">
        <v>2000.5440020823294</v>
      </c>
      <c r="H355" s="1">
        <v>45991.333333333336</v>
      </c>
    </row>
    <row r="356" spans="1:8" x14ac:dyDescent="0.25">
      <c r="A356" s="7">
        <f>DATE(YEAR(m5_crossvalid[[#This Row],[cutoff]]),MONTH(m5_crossvalid[[#This Row],[cutoff]]),DAY(m5_crossvalid[[#This Row],[cutoff]]))</f>
        <v>45991</v>
      </c>
      <c r="B356" s="7">
        <f>DATE(YEAR(m5_crossvalid[[#This Row],[ds]]),MONTH(m5_crossvalid[[#This Row],[ds]]),DAY(m5_crossvalid[[#This Row],[ds]]))</f>
        <v>46005</v>
      </c>
      <c r="C356">
        <v>162</v>
      </c>
      <c r="D356" s="1">
        <v>46005.333333333336</v>
      </c>
      <c r="E356">
        <v>148.6406483173655</v>
      </c>
      <c r="F356">
        <v>-1325.9528732332278</v>
      </c>
      <c r="G356">
        <v>1598.2612874611509</v>
      </c>
      <c r="H356" s="1">
        <v>45991.333333333336</v>
      </c>
    </row>
    <row r="357" spans="1:8" x14ac:dyDescent="0.25">
      <c r="A357" s="7">
        <f>DATE(YEAR(m5_crossvalid[[#This Row],[cutoff]]),MONTH(m5_crossvalid[[#This Row],[cutoff]]),DAY(m5_crossvalid[[#This Row],[cutoff]]))</f>
        <v>45991</v>
      </c>
      <c r="B357" s="7">
        <f>DATE(YEAR(m5_crossvalid[[#This Row],[ds]]),MONTH(m5_crossvalid[[#This Row],[ds]]),DAY(m5_crossvalid[[#This Row],[ds]]))</f>
        <v>46006</v>
      </c>
      <c r="C357">
        <v>2685</v>
      </c>
      <c r="D357" s="1">
        <v>46006.333333333336</v>
      </c>
      <c r="E357">
        <v>2754.6872060311021</v>
      </c>
      <c r="F357">
        <v>1279.1351599214563</v>
      </c>
      <c r="G357">
        <v>4214.4123919001422</v>
      </c>
      <c r="H357" s="1">
        <v>45991.333333333336</v>
      </c>
    </row>
    <row r="358" spans="1:8" x14ac:dyDescent="0.25">
      <c r="A358" s="7">
        <f>DATE(YEAR(m5_crossvalid[[#This Row],[cutoff]]),MONTH(m5_crossvalid[[#This Row],[cutoff]]),DAY(m5_crossvalid[[#This Row],[cutoff]]))</f>
        <v>45991</v>
      </c>
      <c r="B358" s="7">
        <f>DATE(YEAR(m5_crossvalid[[#This Row],[ds]]),MONTH(m5_crossvalid[[#This Row],[ds]]),DAY(m5_crossvalid[[#This Row],[ds]]))</f>
        <v>46007</v>
      </c>
      <c r="C358">
        <v>3397</v>
      </c>
      <c r="D358" s="1">
        <v>46007.333333333336</v>
      </c>
      <c r="E358">
        <v>3220.1600867909501</v>
      </c>
      <c r="F358">
        <v>1765.400091716539</v>
      </c>
      <c r="G358">
        <v>4612.2349494027767</v>
      </c>
      <c r="H358" s="1">
        <v>45991.333333333336</v>
      </c>
    </row>
    <row r="359" spans="1:8" x14ac:dyDescent="0.25">
      <c r="A359" s="7">
        <f>DATE(YEAR(m5_crossvalid[[#This Row],[cutoff]]),MONTH(m5_crossvalid[[#This Row],[cutoff]]),DAY(m5_crossvalid[[#This Row],[cutoff]]))</f>
        <v>45991</v>
      </c>
      <c r="B359" s="7">
        <f>DATE(YEAR(m5_crossvalid[[#This Row],[ds]]),MONTH(m5_crossvalid[[#This Row],[ds]]),DAY(m5_crossvalid[[#This Row],[ds]]))</f>
        <v>46008</v>
      </c>
      <c r="C359">
        <v>4029</v>
      </c>
      <c r="D359" s="1">
        <v>46008.333333333336</v>
      </c>
      <c r="E359">
        <v>3467.0233515586365</v>
      </c>
      <c r="F359">
        <v>1979.5869362428734</v>
      </c>
      <c r="G359">
        <v>4911.2843814371845</v>
      </c>
      <c r="H359" s="1">
        <v>45991.333333333336</v>
      </c>
    </row>
    <row r="360" spans="1:8" x14ac:dyDescent="0.25">
      <c r="A360" s="7">
        <f>DATE(YEAR(m5_crossvalid[[#This Row],[cutoff]]),MONTH(m5_crossvalid[[#This Row],[cutoff]]),DAY(m5_crossvalid[[#This Row],[cutoff]]))</f>
        <v>45991</v>
      </c>
      <c r="B360" s="7">
        <f>DATE(YEAR(m5_crossvalid[[#This Row],[ds]]),MONTH(m5_crossvalid[[#This Row],[ds]]),DAY(m5_crossvalid[[#This Row],[ds]]))</f>
        <v>46009</v>
      </c>
      <c r="C360">
        <v>3874</v>
      </c>
      <c r="D360" s="1">
        <v>46009.333333333336</v>
      </c>
      <c r="E360">
        <v>3652.0218013970043</v>
      </c>
      <c r="F360">
        <v>2294.6900567832818</v>
      </c>
      <c r="G360">
        <v>5137.2415296307336</v>
      </c>
      <c r="H360" s="1">
        <v>45991.333333333336</v>
      </c>
    </row>
    <row r="361" spans="1:8" x14ac:dyDescent="0.25">
      <c r="A361" s="7">
        <f>DATE(YEAR(m5_crossvalid[[#This Row],[cutoff]]),MONTH(m5_crossvalid[[#This Row],[cutoff]]),DAY(m5_crossvalid[[#This Row],[cutoff]]))</f>
        <v>45991</v>
      </c>
      <c r="B361" s="7">
        <f>DATE(YEAR(m5_crossvalid[[#This Row],[ds]]),MONTH(m5_crossvalid[[#This Row],[ds]]),DAY(m5_crossvalid[[#This Row],[ds]]))</f>
        <v>46010</v>
      </c>
      <c r="C361">
        <v>4261</v>
      </c>
      <c r="D361" s="1">
        <v>46010.333333333336</v>
      </c>
      <c r="E361">
        <v>3679.8511764925706</v>
      </c>
      <c r="F361">
        <v>2198.3305415158225</v>
      </c>
      <c r="G361">
        <v>5126.6438225369548</v>
      </c>
      <c r="H361" s="1">
        <v>45991.333333333336</v>
      </c>
    </row>
    <row r="362" spans="1:8" x14ac:dyDescent="0.25">
      <c r="A362" s="7">
        <f>DATE(YEAR(m5_crossvalid[[#This Row],[cutoff]]),MONTH(m5_crossvalid[[#This Row],[cutoff]]),DAY(m5_crossvalid[[#This Row],[cutoff]]))</f>
        <v>45991</v>
      </c>
      <c r="B362" s="7">
        <f>DATE(YEAR(m5_crossvalid[[#This Row],[ds]]),MONTH(m5_crossvalid[[#This Row],[ds]]),DAY(m5_crossvalid[[#This Row],[ds]]))</f>
        <v>46011</v>
      </c>
      <c r="C362">
        <v>999</v>
      </c>
      <c r="D362" s="1">
        <v>46011.333333333336</v>
      </c>
      <c r="E362">
        <v>1409.765538598692</v>
      </c>
      <c r="F362">
        <v>-43.775510353975776</v>
      </c>
      <c r="G362">
        <v>2801.3021392870364</v>
      </c>
      <c r="H362" s="1">
        <v>45991.333333333336</v>
      </c>
    </row>
    <row r="363" spans="1:8" x14ac:dyDescent="0.25">
      <c r="A363" s="7">
        <f>DATE(YEAR(m5_crossvalid[[#This Row],[cutoff]]),MONTH(m5_crossvalid[[#This Row],[cutoff]]),DAY(m5_crossvalid[[#This Row],[cutoff]]))</f>
        <v>45991</v>
      </c>
      <c r="B363" s="7">
        <f>DATE(YEAR(m5_crossvalid[[#This Row],[ds]]),MONTH(m5_crossvalid[[#This Row],[ds]]),DAY(m5_crossvalid[[#This Row],[ds]]))</f>
        <v>46012</v>
      </c>
      <c r="C363">
        <v>251</v>
      </c>
      <c r="D363" s="1">
        <v>46012.333333333336</v>
      </c>
      <c r="E363">
        <v>896.55014908339695</v>
      </c>
      <c r="F363">
        <v>-568.32605094634914</v>
      </c>
      <c r="G363">
        <v>2363.5044294688983</v>
      </c>
      <c r="H363" s="1">
        <v>45991.333333333336</v>
      </c>
    </row>
    <row r="364" spans="1:8" x14ac:dyDescent="0.25">
      <c r="A364" s="7">
        <f>DATE(YEAR(m5_crossvalid[[#This Row],[cutoff]]),MONTH(m5_crossvalid[[#This Row],[cutoff]]),DAY(m5_crossvalid[[#This Row],[cutoff]]))</f>
        <v>45991</v>
      </c>
      <c r="B364" s="7">
        <f>DATE(YEAR(m5_crossvalid[[#This Row],[ds]]),MONTH(m5_crossvalid[[#This Row],[ds]]),DAY(m5_crossvalid[[#This Row],[ds]]))</f>
        <v>46013</v>
      </c>
      <c r="C364">
        <v>4791</v>
      </c>
      <c r="D364" s="1">
        <v>46013.333333333336</v>
      </c>
      <c r="E364">
        <v>3568.8422558916664</v>
      </c>
      <c r="F364">
        <v>2221.8620834347553</v>
      </c>
      <c r="G364">
        <v>4956.61560235866</v>
      </c>
      <c r="H364" s="1">
        <v>45991.333333333336</v>
      </c>
    </row>
    <row r="365" spans="1:8" x14ac:dyDescent="0.25">
      <c r="A365" s="7">
        <f>DATE(YEAR(m5_crossvalid[[#This Row],[cutoff]]),MONTH(m5_crossvalid[[#This Row],[cutoff]]),DAY(m5_crossvalid[[#This Row],[cutoff]]))</f>
        <v>45991</v>
      </c>
      <c r="B365" s="7">
        <f>DATE(YEAR(m5_crossvalid[[#This Row],[ds]]),MONTH(m5_crossvalid[[#This Row],[ds]]),DAY(m5_crossvalid[[#This Row],[ds]]))</f>
        <v>46014</v>
      </c>
      <c r="C365">
        <v>5802</v>
      </c>
      <c r="D365" s="1">
        <v>46014.333333333336</v>
      </c>
      <c r="E365">
        <v>4074.175237455669</v>
      </c>
      <c r="F365">
        <v>2651.4191526748918</v>
      </c>
      <c r="G365">
        <v>5595.759571299116</v>
      </c>
      <c r="H365" s="1">
        <v>45991.333333333336</v>
      </c>
    </row>
    <row r="366" spans="1:8" x14ac:dyDescent="0.25">
      <c r="A366" s="7">
        <f>DATE(YEAR(m5_crossvalid[[#This Row],[cutoff]]),MONTH(m5_crossvalid[[#This Row],[cutoff]]),DAY(m5_crossvalid[[#This Row],[cutoff]]))</f>
        <v>45991</v>
      </c>
      <c r="B366" s="7">
        <f>DATE(YEAR(m5_crossvalid[[#This Row],[ds]]),MONTH(m5_crossvalid[[#This Row],[ds]]),DAY(m5_crossvalid[[#This Row],[ds]]))</f>
        <v>46015</v>
      </c>
      <c r="C366">
        <v>6117</v>
      </c>
      <c r="D366" s="1">
        <v>46015.333333333336</v>
      </c>
      <c r="E366">
        <v>4267.050274737976</v>
      </c>
      <c r="F366">
        <v>2793.2444268915483</v>
      </c>
      <c r="G366">
        <v>5751.969077858088</v>
      </c>
      <c r="H366" s="1">
        <v>45991.333333333336</v>
      </c>
    </row>
    <row r="367" spans="1:8" x14ac:dyDescent="0.25">
      <c r="A367" s="7">
        <f>DATE(YEAR(m5_crossvalid[[#This Row],[cutoff]]),MONTH(m5_crossvalid[[#This Row],[cutoff]]),DAY(m5_crossvalid[[#This Row],[cutoff]]))</f>
        <v>45991</v>
      </c>
      <c r="B367" s="7">
        <f>DATE(YEAR(m5_crossvalid[[#This Row],[ds]]),MONTH(m5_crossvalid[[#This Row],[ds]]),DAY(m5_crossvalid[[#This Row],[ds]]))</f>
        <v>46016</v>
      </c>
      <c r="C367">
        <v>400</v>
      </c>
      <c r="D367" s="1">
        <v>46016.333333333336</v>
      </c>
      <c r="E367">
        <v>1105.7120940674658</v>
      </c>
      <c r="F367">
        <v>-297.60226937588124</v>
      </c>
      <c r="G367">
        <v>2681.6036578110343</v>
      </c>
      <c r="H367" s="1">
        <v>45991.333333333336</v>
      </c>
    </row>
    <row r="368" spans="1:8" x14ac:dyDescent="0.25">
      <c r="A368" s="7">
        <f>DATE(YEAR(m5_crossvalid[[#This Row],[cutoff]]),MONTH(m5_crossvalid[[#This Row],[cutoff]]),DAY(m5_crossvalid[[#This Row],[cutoff]]))</f>
        <v>45991</v>
      </c>
      <c r="B368" s="7">
        <f>DATE(YEAR(m5_crossvalid[[#This Row],[ds]]),MONTH(m5_crossvalid[[#This Row],[ds]]),DAY(m5_crossvalid[[#This Row],[ds]]))</f>
        <v>46017</v>
      </c>
      <c r="C368">
        <v>6559</v>
      </c>
      <c r="D368" s="1">
        <v>46017.333333333336</v>
      </c>
      <c r="E368">
        <v>4321.8271969837297</v>
      </c>
      <c r="F368">
        <v>2954.5519397294888</v>
      </c>
      <c r="G368">
        <v>5826.996968014023</v>
      </c>
      <c r="H368" s="1">
        <v>45991.333333333336</v>
      </c>
    </row>
    <row r="369" spans="1:8" x14ac:dyDescent="0.25">
      <c r="A369" s="7">
        <f>DATE(YEAR(m5_crossvalid[[#This Row],[cutoff]]),MONTH(m5_crossvalid[[#This Row],[cutoff]]),DAY(m5_crossvalid[[#This Row],[cutoff]]))</f>
        <v>45991</v>
      </c>
      <c r="B369" s="7">
        <f>DATE(YEAR(m5_crossvalid[[#This Row],[ds]]),MONTH(m5_crossvalid[[#This Row],[ds]]),DAY(m5_crossvalid[[#This Row],[ds]]))</f>
        <v>46018</v>
      </c>
      <c r="C369">
        <v>1928</v>
      </c>
      <c r="D369" s="1">
        <v>46018.333333333336</v>
      </c>
      <c r="E369">
        <v>3421.7275676395407</v>
      </c>
      <c r="F369">
        <v>2004.2293968417894</v>
      </c>
      <c r="G369">
        <v>4927.0674652381313</v>
      </c>
      <c r="H369" s="1">
        <v>45991.333333333336</v>
      </c>
    </row>
    <row r="370" spans="1:8" x14ac:dyDescent="0.25">
      <c r="A370" s="7">
        <f>DATE(YEAR(m5_crossvalid[[#This Row],[cutoff]]),MONTH(m5_crossvalid[[#This Row],[cutoff]]),DAY(m5_crossvalid[[#This Row],[cutoff]]))</f>
        <v>45991</v>
      </c>
      <c r="B370" s="7">
        <f>DATE(YEAR(m5_crossvalid[[#This Row],[ds]]),MONTH(m5_crossvalid[[#This Row],[ds]]),DAY(m5_crossvalid[[#This Row],[ds]]))</f>
        <v>46019</v>
      </c>
      <c r="C370">
        <v>428</v>
      </c>
      <c r="D370" s="1">
        <v>46019.333333333336</v>
      </c>
      <c r="E370">
        <v>2982.4232268737878</v>
      </c>
      <c r="F370">
        <v>1520.1199876263465</v>
      </c>
      <c r="G370">
        <v>4396.8124237839784</v>
      </c>
      <c r="H370" s="1">
        <v>45991.333333333336</v>
      </c>
    </row>
    <row r="371" spans="1:8" x14ac:dyDescent="0.25">
      <c r="A371" s="7">
        <f>DATE(YEAR(m5_crossvalid[[#This Row],[cutoff]]),MONTH(m5_crossvalid[[#This Row],[cutoff]]),DAY(m5_crossvalid[[#This Row],[cutoff]]))</f>
        <v>45991</v>
      </c>
      <c r="B371" s="7">
        <f>DATE(YEAR(m5_crossvalid[[#This Row],[ds]]),MONTH(m5_crossvalid[[#This Row],[ds]]),DAY(m5_crossvalid[[#This Row],[ds]]))</f>
        <v>46020</v>
      </c>
      <c r="C371">
        <v>7441</v>
      </c>
      <c r="D371" s="1">
        <v>46020.333333333336</v>
      </c>
      <c r="E371">
        <v>5572.6567814362179</v>
      </c>
      <c r="F371">
        <v>4100.1975491515068</v>
      </c>
      <c r="G371">
        <v>7077.6399425660848</v>
      </c>
      <c r="H371" s="1">
        <v>45991.333333333336</v>
      </c>
    </row>
    <row r="372" spans="1:8" x14ac:dyDescent="0.25">
      <c r="A372" s="7">
        <f>DATE(YEAR(m5_crossvalid[[#This Row],[cutoff]]),MONTH(m5_crossvalid[[#This Row],[cutoff]]),DAY(m5_crossvalid[[#This Row],[cutoff]]))</f>
        <v>45991</v>
      </c>
      <c r="B372" s="7">
        <f>DATE(YEAR(m5_crossvalid[[#This Row],[ds]]),MONTH(m5_crossvalid[[#This Row],[ds]]),DAY(m5_crossvalid[[#This Row],[ds]]))</f>
        <v>46021</v>
      </c>
      <c r="C372">
        <v>10603</v>
      </c>
      <c r="D372" s="1">
        <v>46021.333333333336</v>
      </c>
      <c r="E372">
        <v>8032.7863475871054</v>
      </c>
      <c r="F372">
        <v>6538.3868266076188</v>
      </c>
      <c r="G372">
        <v>9531.768127735595</v>
      </c>
      <c r="H372" s="1">
        <v>45991.333333333336</v>
      </c>
    </row>
    <row r="373" spans="1:8" x14ac:dyDescent="0.25">
      <c r="A373" s="7">
        <f>DATE(YEAR(m5_crossvalid[[#This Row],[cutoff]]),MONTH(m5_crossvalid[[#This Row],[cutoff]]),DAY(m5_crossvalid[[#This Row],[cutoff]]))</f>
        <v>45991</v>
      </c>
      <c r="B373" s="7">
        <f>DATE(YEAR(m5_crossvalid[[#This Row],[ds]]),MONTH(m5_crossvalid[[#This Row],[ds]]),DAY(m5_crossvalid[[#This Row],[ds]]))</f>
        <v>46022</v>
      </c>
      <c r="C373">
        <v>15370</v>
      </c>
      <c r="D373" s="1">
        <v>46022.333333333336</v>
      </c>
      <c r="E373">
        <v>9940.237845192958</v>
      </c>
      <c r="F373">
        <v>8455.7667212991855</v>
      </c>
      <c r="G373">
        <v>11246.136857239544</v>
      </c>
      <c r="H373" s="1">
        <v>45991.333333333336</v>
      </c>
    </row>
    <row r="374" spans="1:8" x14ac:dyDescent="0.25">
      <c r="A374" s="7">
        <f>DATE(YEAR(m5_crossvalid[[#This Row],[cutoff]]),MONTH(m5_crossvalid[[#This Row],[cutoff]]),DAY(m5_crossvalid[[#This Row],[cutoff]]))</f>
        <v>46022</v>
      </c>
      <c r="B374" s="7">
        <f>DATE(YEAR(m5_crossvalid[[#This Row],[ds]]),MONTH(m5_crossvalid[[#This Row],[ds]]),DAY(m5_crossvalid[[#This Row],[ds]]))</f>
        <v>46023</v>
      </c>
      <c r="C374">
        <v>2584</v>
      </c>
      <c r="D374" s="1">
        <v>46023.333333333336</v>
      </c>
      <c r="E374">
        <v>999.67279757856022</v>
      </c>
      <c r="F374">
        <v>-430.27319221099037</v>
      </c>
      <c r="G374">
        <v>2546.6408471010391</v>
      </c>
      <c r="H374" s="1">
        <v>46022.333333333336</v>
      </c>
    </row>
    <row r="375" spans="1:8" x14ac:dyDescent="0.25">
      <c r="A375" s="7">
        <f>DATE(YEAR(m5_crossvalid[[#This Row],[cutoff]]),MONTH(m5_crossvalid[[#This Row],[cutoff]]),DAY(m5_crossvalid[[#This Row],[cutoff]]))</f>
        <v>46022</v>
      </c>
      <c r="B375" s="7">
        <f>DATE(YEAR(m5_crossvalid[[#This Row],[ds]]),MONTH(m5_crossvalid[[#This Row],[ds]]),DAY(m5_crossvalid[[#This Row],[ds]]))</f>
        <v>46024</v>
      </c>
      <c r="C375">
        <v>1536</v>
      </c>
      <c r="D375" s="1">
        <v>46024.333333333336</v>
      </c>
      <c r="E375">
        <v>2114.1331753955301</v>
      </c>
      <c r="F375">
        <v>671.19636551200415</v>
      </c>
      <c r="G375">
        <v>3607.8614587880893</v>
      </c>
      <c r="H375" s="1">
        <v>46022.333333333336</v>
      </c>
    </row>
    <row r="376" spans="1:8" x14ac:dyDescent="0.25">
      <c r="A376" s="7">
        <f>DATE(YEAR(m5_crossvalid[[#This Row],[cutoff]]),MONTH(m5_crossvalid[[#This Row],[cutoff]]),DAY(m5_crossvalid[[#This Row],[cutoff]]))</f>
        <v>46022</v>
      </c>
      <c r="B376" s="7">
        <f>DATE(YEAR(m5_crossvalid[[#This Row],[ds]]),MONTH(m5_crossvalid[[#This Row],[ds]]),DAY(m5_crossvalid[[#This Row],[ds]]))</f>
        <v>46025</v>
      </c>
      <c r="C376">
        <v>80</v>
      </c>
      <c r="D376" s="1">
        <v>46025.333333333336</v>
      </c>
      <c r="E376">
        <v>-439.06506286641979</v>
      </c>
      <c r="F376">
        <v>-1747.4316014928131</v>
      </c>
      <c r="G376">
        <v>870.91294370298351</v>
      </c>
      <c r="H376" s="1">
        <v>46022.333333333336</v>
      </c>
    </row>
    <row r="377" spans="1:8" x14ac:dyDescent="0.25">
      <c r="A377" s="7">
        <f>DATE(YEAR(m5_crossvalid[[#This Row],[cutoff]]),MONTH(m5_crossvalid[[#This Row],[cutoff]]),DAY(m5_crossvalid[[#This Row],[cutoff]]))</f>
        <v>46022</v>
      </c>
      <c r="B377" s="7">
        <f>DATE(YEAR(m5_crossvalid[[#This Row],[ds]]),MONTH(m5_crossvalid[[#This Row],[ds]]),DAY(m5_crossvalid[[#This Row],[ds]]))</f>
        <v>46026</v>
      </c>
      <c r="C377">
        <v>17</v>
      </c>
      <c r="D377" s="1">
        <v>46026.333333333336</v>
      </c>
      <c r="E377">
        <v>-1016.0325308940724</v>
      </c>
      <c r="F377">
        <v>-2462.4830525201592</v>
      </c>
      <c r="G377">
        <v>489.6941473870167</v>
      </c>
      <c r="H377" s="1">
        <v>46022.333333333336</v>
      </c>
    </row>
    <row r="378" spans="1:8" x14ac:dyDescent="0.25">
      <c r="A378" s="7">
        <f>DATE(YEAR(m5_crossvalid[[#This Row],[cutoff]]),MONTH(m5_crossvalid[[#This Row],[cutoff]]),DAY(m5_crossvalid[[#This Row],[cutoff]]))</f>
        <v>46022</v>
      </c>
      <c r="B378" s="7">
        <f>DATE(YEAR(m5_crossvalid[[#This Row],[ds]]),MONTH(m5_crossvalid[[#This Row],[ds]]),DAY(m5_crossvalid[[#This Row],[ds]]))</f>
        <v>46027</v>
      </c>
      <c r="C378">
        <v>340</v>
      </c>
      <c r="D378" s="1">
        <v>46027.333333333336</v>
      </c>
      <c r="E378">
        <v>1641.688158899329</v>
      </c>
      <c r="F378">
        <v>174.49275028425515</v>
      </c>
      <c r="G378">
        <v>3045.7369708237848</v>
      </c>
      <c r="H378" s="1">
        <v>46022.333333333336</v>
      </c>
    </row>
    <row r="379" spans="1:8" x14ac:dyDescent="0.25">
      <c r="A379" s="7">
        <f>DATE(YEAR(m5_crossvalid[[#This Row],[cutoff]]),MONTH(m5_crossvalid[[#This Row],[cutoff]]),DAY(m5_crossvalid[[#This Row],[cutoff]]))</f>
        <v>46022</v>
      </c>
      <c r="B379" s="7">
        <f>DATE(YEAR(m5_crossvalid[[#This Row],[ds]]),MONTH(m5_crossvalid[[#This Row],[ds]]),DAY(m5_crossvalid[[#This Row],[ds]]))</f>
        <v>46028</v>
      </c>
      <c r="C379">
        <v>485</v>
      </c>
      <c r="D379" s="1">
        <v>46028.333333333336</v>
      </c>
      <c r="E379">
        <v>1959.5353795404337</v>
      </c>
      <c r="F379">
        <v>481.84841720544136</v>
      </c>
      <c r="G379">
        <v>3437.6857270113587</v>
      </c>
      <c r="H379" s="1">
        <v>46022.333333333336</v>
      </c>
    </row>
    <row r="380" spans="1:8" x14ac:dyDescent="0.25">
      <c r="A380" s="7">
        <f>DATE(YEAR(m5_crossvalid[[#This Row],[cutoff]]),MONTH(m5_crossvalid[[#This Row],[cutoff]]),DAY(m5_crossvalid[[#This Row],[cutoff]]))</f>
        <v>46022</v>
      </c>
      <c r="B380" s="7">
        <f>DATE(YEAR(m5_crossvalid[[#This Row],[ds]]),MONTH(m5_crossvalid[[#This Row],[ds]]),DAY(m5_crossvalid[[#This Row],[ds]]))</f>
        <v>46029</v>
      </c>
      <c r="C380">
        <v>532</v>
      </c>
      <c r="D380" s="1">
        <v>46029.333333333336</v>
      </c>
      <c r="E380">
        <v>1858.0223763498525</v>
      </c>
      <c r="F380">
        <v>432.422103277411</v>
      </c>
      <c r="G380">
        <v>3278.8224904198833</v>
      </c>
      <c r="H380" s="1">
        <v>46022.333333333336</v>
      </c>
    </row>
    <row r="381" spans="1:8" x14ac:dyDescent="0.25">
      <c r="A381" s="7">
        <f>DATE(YEAR(m5_crossvalid[[#This Row],[cutoff]]),MONTH(m5_crossvalid[[#This Row],[cutoff]]),DAY(m5_crossvalid[[#This Row],[cutoff]]))</f>
        <v>46022</v>
      </c>
      <c r="B381" s="7">
        <f>DATE(YEAR(m5_crossvalid[[#This Row],[ds]]),MONTH(m5_crossvalid[[#This Row],[ds]]),DAY(m5_crossvalid[[#This Row],[ds]]))</f>
        <v>46030</v>
      </c>
      <c r="C381">
        <v>659</v>
      </c>
      <c r="D381" s="1">
        <v>46030.333333333336</v>
      </c>
      <c r="E381">
        <v>2252.1068197730751</v>
      </c>
      <c r="F381">
        <v>791.82312886620309</v>
      </c>
      <c r="G381">
        <v>3619.5176635885382</v>
      </c>
      <c r="H381" s="1">
        <v>46022.333333333336</v>
      </c>
    </row>
    <row r="382" spans="1:8" x14ac:dyDescent="0.25">
      <c r="A382" s="7">
        <f>DATE(YEAR(m5_crossvalid[[#This Row],[cutoff]]),MONTH(m5_crossvalid[[#This Row],[cutoff]]),DAY(m5_crossvalid[[#This Row],[cutoff]]))</f>
        <v>46022</v>
      </c>
      <c r="B382" s="7">
        <f>DATE(YEAR(m5_crossvalid[[#This Row],[ds]]),MONTH(m5_crossvalid[[#This Row],[ds]]),DAY(m5_crossvalid[[#This Row],[ds]]))</f>
        <v>46031</v>
      </c>
      <c r="C382">
        <v>787</v>
      </c>
      <c r="D382" s="1">
        <v>46031.333333333336</v>
      </c>
      <c r="E382">
        <v>2065.3481960122067</v>
      </c>
      <c r="F382">
        <v>630.8883727978631</v>
      </c>
      <c r="G382">
        <v>3572.7115230987069</v>
      </c>
      <c r="H382" s="1">
        <v>46022.333333333336</v>
      </c>
    </row>
    <row r="383" spans="1:8" x14ac:dyDescent="0.25">
      <c r="A383" s="7">
        <f>DATE(YEAR(m5_crossvalid[[#This Row],[cutoff]]),MONTH(m5_crossvalid[[#This Row],[cutoff]]),DAY(m5_crossvalid[[#This Row],[cutoff]]))</f>
        <v>46022</v>
      </c>
      <c r="B383" s="7">
        <f>DATE(YEAR(m5_crossvalid[[#This Row],[ds]]),MONTH(m5_crossvalid[[#This Row],[ds]]),DAY(m5_crossvalid[[#This Row],[ds]]))</f>
        <v>46032</v>
      </c>
      <c r="C383">
        <v>137</v>
      </c>
      <c r="D383" s="1">
        <v>46032.333333333336</v>
      </c>
      <c r="E383">
        <v>-261.09138314207712</v>
      </c>
      <c r="F383">
        <v>-1684.6804538953875</v>
      </c>
      <c r="G383">
        <v>1260.8607936475059</v>
      </c>
      <c r="H383" s="1">
        <v>46022.333333333336</v>
      </c>
    </row>
    <row r="384" spans="1:8" x14ac:dyDescent="0.25">
      <c r="A384" s="7">
        <f>DATE(YEAR(m5_crossvalid[[#This Row],[cutoff]]),MONTH(m5_crossvalid[[#This Row],[cutoff]]),DAY(m5_crossvalid[[#This Row],[cutoff]]))</f>
        <v>46022</v>
      </c>
      <c r="B384" s="7">
        <f>DATE(YEAR(m5_crossvalid[[#This Row],[ds]]),MONTH(m5_crossvalid[[#This Row],[ds]]),DAY(m5_crossvalid[[#This Row],[ds]]))</f>
        <v>46033</v>
      </c>
      <c r="C384">
        <v>44</v>
      </c>
      <c r="D384" s="1">
        <v>46033.333333333336</v>
      </c>
      <c r="E384">
        <v>-755.09823305000918</v>
      </c>
      <c r="F384">
        <v>-2197.7398745271876</v>
      </c>
      <c r="G384">
        <v>744.52457311517594</v>
      </c>
      <c r="H384" s="1">
        <v>46022.333333333336</v>
      </c>
    </row>
    <row r="385" spans="1:8" x14ac:dyDescent="0.25">
      <c r="A385" s="7">
        <f>DATE(YEAR(m5_crossvalid[[#This Row],[cutoff]]),MONTH(m5_crossvalid[[#This Row],[cutoff]]),DAY(m5_crossvalid[[#This Row],[cutoff]]))</f>
        <v>46022</v>
      </c>
      <c r="B385" s="7">
        <f>DATE(YEAR(m5_crossvalid[[#This Row],[ds]]),MONTH(m5_crossvalid[[#This Row],[ds]]),DAY(m5_crossvalid[[#This Row],[ds]]))</f>
        <v>46034</v>
      </c>
      <c r="C385">
        <v>779</v>
      </c>
      <c r="D385" s="1">
        <v>46034.333333333336</v>
      </c>
      <c r="E385">
        <v>1852.4209137435982</v>
      </c>
      <c r="F385">
        <v>426.51833456996218</v>
      </c>
      <c r="G385">
        <v>3329.9846747706983</v>
      </c>
      <c r="H385" s="1">
        <v>46022.333333333336</v>
      </c>
    </row>
    <row r="386" spans="1:8" x14ac:dyDescent="0.25">
      <c r="A386" s="7">
        <f>DATE(YEAR(m5_crossvalid[[#This Row],[cutoff]]),MONTH(m5_crossvalid[[#This Row],[cutoff]]),DAY(m5_crossvalid[[#This Row],[cutoff]]))</f>
        <v>46022</v>
      </c>
      <c r="B386" s="7">
        <f>DATE(YEAR(m5_crossvalid[[#This Row],[ds]]),MONTH(m5_crossvalid[[#This Row],[ds]]),DAY(m5_crossvalid[[#This Row],[ds]]))</f>
        <v>46035</v>
      </c>
      <c r="C386">
        <v>1113</v>
      </c>
      <c r="D386" s="1">
        <v>46035.333333333336</v>
      </c>
      <c r="E386">
        <v>2171.1090591838342</v>
      </c>
      <c r="F386">
        <v>646.49859627716774</v>
      </c>
      <c r="G386">
        <v>3559.9710665908092</v>
      </c>
      <c r="H386" s="1">
        <v>46022.333333333336</v>
      </c>
    </row>
    <row r="387" spans="1:8" x14ac:dyDescent="0.25">
      <c r="A387" s="7">
        <f>DATE(YEAR(m5_crossvalid[[#This Row],[cutoff]]),MONTH(m5_crossvalid[[#This Row],[cutoff]]),DAY(m5_crossvalid[[#This Row],[cutoff]]))</f>
        <v>46022</v>
      </c>
      <c r="B387" s="7">
        <f>DATE(YEAR(m5_crossvalid[[#This Row],[ds]]),MONTH(m5_crossvalid[[#This Row],[ds]]),DAY(m5_crossvalid[[#This Row],[ds]]))</f>
        <v>46036</v>
      </c>
      <c r="C387">
        <v>1419</v>
      </c>
      <c r="D387" s="1">
        <v>46036.333333333336</v>
      </c>
      <c r="E387">
        <v>2252.524151700452</v>
      </c>
      <c r="F387">
        <v>782.66693919670195</v>
      </c>
      <c r="G387">
        <v>3673.1110615738462</v>
      </c>
      <c r="H387" s="1">
        <v>46022.333333333336</v>
      </c>
    </row>
    <row r="388" spans="1:8" x14ac:dyDescent="0.25">
      <c r="A388" s="7">
        <f>DATE(YEAR(m5_crossvalid[[#This Row],[cutoff]]),MONTH(m5_crossvalid[[#This Row],[cutoff]]),DAY(m5_crossvalid[[#This Row],[cutoff]]))</f>
        <v>46022</v>
      </c>
      <c r="B388" s="7">
        <f>DATE(YEAR(m5_crossvalid[[#This Row],[ds]]),MONTH(m5_crossvalid[[#This Row],[ds]]),DAY(m5_crossvalid[[#This Row],[ds]]))</f>
        <v>46037</v>
      </c>
      <c r="C388">
        <v>1874</v>
      </c>
      <c r="D388" s="1">
        <v>46037.333333333336</v>
      </c>
      <c r="E388">
        <v>2309.7053243996015</v>
      </c>
      <c r="F388">
        <v>823.92575599249255</v>
      </c>
      <c r="G388">
        <v>3714.5673321789081</v>
      </c>
      <c r="H388" s="1">
        <v>46022.333333333336</v>
      </c>
    </row>
    <row r="389" spans="1:8" x14ac:dyDescent="0.25">
      <c r="A389" s="7">
        <f>DATE(YEAR(m5_crossvalid[[#This Row],[cutoff]]),MONTH(m5_crossvalid[[#This Row],[cutoff]]),DAY(m5_crossvalid[[#This Row],[cutoff]]))</f>
        <v>46022</v>
      </c>
      <c r="B389" s="7">
        <f>DATE(YEAR(m5_crossvalid[[#This Row],[ds]]),MONTH(m5_crossvalid[[#This Row],[ds]]),DAY(m5_crossvalid[[#This Row],[ds]]))</f>
        <v>46038</v>
      </c>
      <c r="C389">
        <v>2020</v>
      </c>
      <c r="D389" s="1">
        <v>46038.333333333336</v>
      </c>
      <c r="E389">
        <v>2447.2999728493437</v>
      </c>
      <c r="F389">
        <v>970.07469268542036</v>
      </c>
      <c r="G389">
        <v>3951.0426044329524</v>
      </c>
      <c r="H389" s="1">
        <v>46022.333333333336</v>
      </c>
    </row>
    <row r="390" spans="1:8" x14ac:dyDescent="0.25">
      <c r="A390" s="7">
        <f>DATE(YEAR(m5_crossvalid[[#This Row],[cutoff]]),MONTH(m5_crossvalid[[#This Row],[cutoff]]),DAY(m5_crossvalid[[#This Row],[cutoff]]))</f>
        <v>46022</v>
      </c>
      <c r="B390" s="7">
        <f>DATE(YEAR(m5_crossvalid[[#This Row],[ds]]),MONTH(m5_crossvalid[[#This Row],[ds]]),DAY(m5_crossvalid[[#This Row],[ds]]))</f>
        <v>46039</v>
      </c>
      <c r="C390">
        <v>451</v>
      </c>
      <c r="D390" s="1">
        <v>46039.333333333336</v>
      </c>
      <c r="E390">
        <v>282.52470719177336</v>
      </c>
      <c r="F390">
        <v>-1166.8310587768301</v>
      </c>
      <c r="G390">
        <v>1756.3458936145132</v>
      </c>
      <c r="H390" s="1">
        <v>46022.333333333336</v>
      </c>
    </row>
    <row r="391" spans="1:8" x14ac:dyDescent="0.25">
      <c r="A391" s="7">
        <f>DATE(YEAR(m5_crossvalid[[#This Row],[cutoff]]),MONTH(m5_crossvalid[[#This Row],[cutoff]]),DAY(m5_crossvalid[[#This Row],[cutoff]]))</f>
        <v>46022</v>
      </c>
      <c r="B391" s="7">
        <f>DATE(YEAR(m5_crossvalid[[#This Row],[ds]]),MONTH(m5_crossvalid[[#This Row],[ds]]),DAY(m5_crossvalid[[#This Row],[ds]]))</f>
        <v>46040</v>
      </c>
      <c r="C391">
        <v>76</v>
      </c>
      <c r="D391" s="1">
        <v>46040.333333333336</v>
      </c>
      <c r="E391">
        <v>-226.40807011184324</v>
      </c>
      <c r="F391">
        <v>-1613.7630138066465</v>
      </c>
      <c r="G391">
        <v>1269.1942431802656</v>
      </c>
      <c r="H391" s="1">
        <v>46022.333333333336</v>
      </c>
    </row>
    <row r="392" spans="1:8" x14ac:dyDescent="0.25">
      <c r="A392" s="7">
        <f>DATE(YEAR(m5_crossvalid[[#This Row],[cutoff]]),MONTH(m5_crossvalid[[#This Row],[cutoff]]),DAY(m5_crossvalid[[#This Row],[cutoff]]))</f>
        <v>46022</v>
      </c>
      <c r="B392" s="7">
        <f>DATE(YEAR(m5_crossvalid[[#This Row],[ds]]),MONTH(m5_crossvalid[[#This Row],[ds]]),DAY(m5_crossvalid[[#This Row],[ds]]))</f>
        <v>46041</v>
      </c>
      <c r="C392">
        <v>1963</v>
      </c>
      <c r="D392" s="1">
        <v>46041.333333333336</v>
      </c>
      <c r="E392">
        <v>2314.3413469567836</v>
      </c>
      <c r="F392">
        <v>915.12302420661365</v>
      </c>
      <c r="G392">
        <v>3852.9759953551165</v>
      </c>
      <c r="H392" s="1">
        <v>46022.333333333336</v>
      </c>
    </row>
    <row r="393" spans="1:8" x14ac:dyDescent="0.25">
      <c r="A393" s="7">
        <f>DATE(YEAR(m5_crossvalid[[#This Row],[cutoff]]),MONTH(m5_crossvalid[[#This Row],[cutoff]]),DAY(m5_crossvalid[[#This Row],[cutoff]]))</f>
        <v>46022</v>
      </c>
      <c r="B393" s="7">
        <f>DATE(YEAR(m5_crossvalid[[#This Row],[ds]]),MONTH(m5_crossvalid[[#This Row],[ds]]),DAY(m5_crossvalid[[#This Row],[ds]]))</f>
        <v>46042</v>
      </c>
      <c r="C393">
        <v>2481</v>
      </c>
      <c r="D393" s="1">
        <v>46042.333333333336</v>
      </c>
      <c r="E393">
        <v>2655.4389251860703</v>
      </c>
      <c r="F393">
        <v>1245.6333669423132</v>
      </c>
      <c r="G393">
        <v>4152.4450130200921</v>
      </c>
      <c r="H393" s="1">
        <v>46022.333333333336</v>
      </c>
    </row>
    <row r="394" spans="1:8" x14ac:dyDescent="0.25">
      <c r="A394" s="7">
        <f>DATE(YEAR(m5_crossvalid[[#This Row],[cutoff]]),MONTH(m5_crossvalid[[#This Row],[cutoff]]),DAY(m5_crossvalid[[#This Row],[cutoff]]))</f>
        <v>46022</v>
      </c>
      <c r="B394" s="7">
        <f>DATE(YEAR(m5_crossvalid[[#This Row],[ds]]),MONTH(m5_crossvalid[[#This Row],[ds]]),DAY(m5_crossvalid[[#This Row],[ds]]))</f>
        <v>46043</v>
      </c>
      <c r="C394">
        <v>2679</v>
      </c>
      <c r="D394" s="1">
        <v>46043.333333333336</v>
      </c>
      <c r="E394">
        <v>2878.6100323952905</v>
      </c>
      <c r="F394">
        <v>1414.7981940074712</v>
      </c>
      <c r="G394">
        <v>4392.7587285214022</v>
      </c>
      <c r="H394" s="1">
        <v>46022.333333333336</v>
      </c>
    </row>
    <row r="395" spans="1:8" x14ac:dyDescent="0.25">
      <c r="A395" s="7">
        <f>DATE(YEAR(m5_crossvalid[[#This Row],[cutoff]]),MONTH(m5_crossvalid[[#This Row],[cutoff]]),DAY(m5_crossvalid[[#This Row],[cutoff]]))</f>
        <v>46022</v>
      </c>
      <c r="B395" s="7">
        <f>DATE(YEAR(m5_crossvalid[[#This Row],[ds]]),MONTH(m5_crossvalid[[#This Row],[ds]]),DAY(m5_crossvalid[[#This Row],[ds]]))</f>
        <v>46044</v>
      </c>
      <c r="C395">
        <v>2830</v>
      </c>
      <c r="D395" s="1">
        <v>46044.333333333336</v>
      </c>
      <c r="E395">
        <v>3102.665328440657</v>
      </c>
      <c r="F395">
        <v>1724.770682960514</v>
      </c>
      <c r="G395">
        <v>4550.0426697874782</v>
      </c>
      <c r="H395" s="1">
        <v>46022.333333333336</v>
      </c>
    </row>
    <row r="396" spans="1:8" x14ac:dyDescent="0.25">
      <c r="A396" s="7">
        <f>DATE(YEAR(m5_crossvalid[[#This Row],[cutoff]]),MONTH(m5_crossvalid[[#This Row],[cutoff]]),DAY(m5_crossvalid[[#This Row],[cutoff]]))</f>
        <v>46022</v>
      </c>
      <c r="B396" s="7">
        <f>DATE(YEAR(m5_crossvalid[[#This Row],[ds]]),MONTH(m5_crossvalid[[#This Row],[ds]]),DAY(m5_crossvalid[[#This Row],[ds]]))</f>
        <v>46045</v>
      </c>
      <c r="C396">
        <v>3000</v>
      </c>
      <c r="D396" s="1">
        <v>46045.333333333336</v>
      </c>
      <c r="E396">
        <v>3320.7025143163605</v>
      </c>
      <c r="F396">
        <v>1776.2277711498459</v>
      </c>
      <c r="G396">
        <v>4746.1004089244643</v>
      </c>
      <c r="H396" s="1">
        <v>46022.333333333336</v>
      </c>
    </row>
    <row r="397" spans="1:8" x14ac:dyDescent="0.25">
      <c r="A397" s="7">
        <f>DATE(YEAR(m5_crossvalid[[#This Row],[cutoff]]),MONTH(m5_crossvalid[[#This Row],[cutoff]]),DAY(m5_crossvalid[[#This Row],[cutoff]]))</f>
        <v>46022</v>
      </c>
      <c r="B397" s="7">
        <f>DATE(YEAR(m5_crossvalid[[#This Row],[ds]]),MONTH(m5_crossvalid[[#This Row],[ds]]),DAY(m5_crossvalid[[#This Row],[ds]]))</f>
        <v>46046</v>
      </c>
      <c r="C397">
        <v>902</v>
      </c>
      <c r="D397" s="1">
        <v>46046.333333333336</v>
      </c>
      <c r="E397">
        <v>1139.596962501309</v>
      </c>
      <c r="F397">
        <v>-271.48563096223268</v>
      </c>
      <c r="G397">
        <v>2646.4170663787372</v>
      </c>
      <c r="H397" s="1">
        <v>46022.333333333336</v>
      </c>
    </row>
    <row r="398" spans="1:8" x14ac:dyDescent="0.25">
      <c r="A398" s="7">
        <f>DATE(YEAR(m5_crossvalid[[#This Row],[cutoff]]),MONTH(m5_crossvalid[[#This Row],[cutoff]]),DAY(m5_crossvalid[[#This Row],[cutoff]]))</f>
        <v>46022</v>
      </c>
      <c r="B398" s="7">
        <f>DATE(YEAR(m5_crossvalid[[#This Row],[ds]]),MONTH(m5_crossvalid[[#This Row],[ds]]),DAY(m5_crossvalid[[#This Row],[ds]]))</f>
        <v>46047</v>
      </c>
      <c r="C398">
        <v>150</v>
      </c>
      <c r="D398" s="1">
        <v>46047.333333333336</v>
      </c>
      <c r="E398">
        <v>619.2704590535227</v>
      </c>
      <c r="F398">
        <v>-890.71898084935196</v>
      </c>
      <c r="G398">
        <v>1980.3463224819461</v>
      </c>
      <c r="H398" s="1">
        <v>46022.333333333336</v>
      </c>
    </row>
    <row r="399" spans="1:8" x14ac:dyDescent="0.25">
      <c r="A399" s="7">
        <f>DATE(YEAR(m5_crossvalid[[#This Row],[cutoff]]),MONTH(m5_crossvalid[[#This Row],[cutoff]]),DAY(m5_crossvalid[[#This Row],[cutoff]]))</f>
        <v>46022</v>
      </c>
      <c r="B399" s="7">
        <f>DATE(YEAR(m5_crossvalid[[#This Row],[ds]]),MONTH(m5_crossvalid[[#This Row],[ds]]),DAY(m5_crossvalid[[#This Row],[ds]]))</f>
        <v>46048</v>
      </c>
      <c r="C399">
        <v>3603</v>
      </c>
      <c r="D399" s="1">
        <v>46048.333333333336</v>
      </c>
      <c r="E399">
        <v>3256.6915655344865</v>
      </c>
      <c r="F399">
        <v>1866.5475882906128</v>
      </c>
      <c r="G399">
        <v>4807.1992008457137</v>
      </c>
      <c r="H399" s="1">
        <v>46022.333333333336</v>
      </c>
    </row>
    <row r="400" spans="1:8" x14ac:dyDescent="0.25">
      <c r="A400" s="7">
        <f>DATE(YEAR(m5_crossvalid[[#This Row],[cutoff]]),MONTH(m5_crossvalid[[#This Row],[cutoff]]),DAY(m5_crossvalid[[#This Row],[cutoff]]))</f>
        <v>46022</v>
      </c>
      <c r="B400" s="7">
        <f>DATE(YEAR(m5_crossvalid[[#This Row],[ds]]),MONTH(m5_crossvalid[[#This Row],[ds]]),DAY(m5_crossvalid[[#This Row],[ds]]))</f>
        <v>46049</v>
      </c>
      <c r="C400">
        <v>4548</v>
      </c>
      <c r="D400" s="1">
        <v>46049.333333333336</v>
      </c>
      <c r="E400">
        <v>5011.0673911340646</v>
      </c>
      <c r="F400">
        <v>3489.183013401866</v>
      </c>
      <c r="G400">
        <v>6494.2138500632036</v>
      </c>
      <c r="H400" s="1">
        <v>46022.333333333336</v>
      </c>
    </row>
    <row r="401" spans="1:8" x14ac:dyDescent="0.25">
      <c r="A401" s="7">
        <f>DATE(YEAR(m5_crossvalid[[#This Row],[cutoff]]),MONTH(m5_crossvalid[[#This Row],[cutoff]]),DAY(m5_crossvalid[[#This Row],[cutoff]]))</f>
        <v>46022</v>
      </c>
      <c r="B401" s="7">
        <f>DATE(YEAR(m5_crossvalid[[#This Row],[ds]]),MONTH(m5_crossvalid[[#This Row],[ds]]),DAY(m5_crossvalid[[#This Row],[ds]]))</f>
        <v>46050</v>
      </c>
      <c r="C401">
        <v>5313</v>
      </c>
      <c r="D401" s="1">
        <v>46050.333333333336</v>
      </c>
      <c r="E401">
        <v>5339.2225831416717</v>
      </c>
      <c r="F401">
        <v>3961.4097603464738</v>
      </c>
      <c r="G401">
        <v>6775.4138651109197</v>
      </c>
      <c r="H401" s="1">
        <v>46022.333333333336</v>
      </c>
    </row>
    <row r="402" spans="1:8" x14ac:dyDescent="0.25">
      <c r="A402" s="7">
        <f>DATE(YEAR(m5_crossvalid[[#This Row],[cutoff]]),MONTH(m5_crossvalid[[#This Row],[cutoff]]),DAY(m5_crossvalid[[#This Row],[cutoff]]))</f>
        <v>46022</v>
      </c>
      <c r="B402" s="7">
        <f>DATE(YEAR(m5_crossvalid[[#This Row],[ds]]),MONTH(m5_crossvalid[[#This Row],[ds]]),DAY(m5_crossvalid[[#This Row],[ds]]))</f>
        <v>46051</v>
      </c>
      <c r="C402">
        <v>7326</v>
      </c>
      <c r="D402" s="1">
        <v>46051.333333333336</v>
      </c>
      <c r="E402">
        <v>5400.8946484616063</v>
      </c>
      <c r="F402">
        <v>3954.9916152664723</v>
      </c>
      <c r="G402">
        <v>6871.4216063279418</v>
      </c>
      <c r="H402" s="1">
        <v>46022.333333333336</v>
      </c>
    </row>
    <row r="403" spans="1:8" x14ac:dyDescent="0.25">
      <c r="A403" s="7">
        <f>DATE(YEAR(m5_crossvalid[[#This Row],[cutoff]]),MONTH(m5_crossvalid[[#This Row],[cutoff]]),DAY(m5_crossvalid[[#This Row],[cutoff]]))</f>
        <v>46022</v>
      </c>
      <c r="B403" s="7">
        <f>DATE(YEAR(m5_crossvalid[[#This Row],[ds]]),MONTH(m5_crossvalid[[#This Row],[ds]]),DAY(m5_crossvalid[[#This Row],[ds]]))</f>
        <v>46052</v>
      </c>
      <c r="C403">
        <v>10276</v>
      </c>
      <c r="D403" s="1">
        <v>46052.333333333336</v>
      </c>
      <c r="E403">
        <v>7514.3620509366028</v>
      </c>
      <c r="F403">
        <v>5992.2778230616286</v>
      </c>
      <c r="G403">
        <v>8904.8513293792985</v>
      </c>
      <c r="H403" s="1">
        <v>46022.333333333336</v>
      </c>
    </row>
    <row r="404" spans="1:8" x14ac:dyDescent="0.25">
      <c r="A404" s="7">
        <f>DATE(YEAR(m5_crossvalid[[#This Row],[cutoff]]),MONTH(m5_crossvalid[[#This Row],[cutoff]]),DAY(m5_crossvalid[[#This Row],[cutoff]]))</f>
        <v>46022</v>
      </c>
      <c r="B404" s="7">
        <f>DATE(YEAR(m5_crossvalid[[#This Row],[ds]]),MONTH(m5_crossvalid[[#This Row],[ds]]),DAY(m5_crossvalid[[#This Row],[ds]]))</f>
        <v>46053</v>
      </c>
      <c r="C404">
        <v>7991</v>
      </c>
      <c r="D404" s="1">
        <v>46053.333333333336</v>
      </c>
      <c r="E404">
        <v>7093.0275374490766</v>
      </c>
      <c r="F404">
        <v>5596.7389416294845</v>
      </c>
      <c r="G404">
        <v>8473.0910326542507</v>
      </c>
      <c r="H404" s="1">
        <v>46022.333333333336</v>
      </c>
    </row>
    <row r="405" spans="1:8" x14ac:dyDescent="0.25">
      <c r="A405" s="7">
        <f>DATE(YEAR(m5_crossvalid[[#This Row],[cutoff]]),MONTH(m5_crossvalid[[#This Row],[cutoff]]),DAY(m5_crossvalid[[#This Row],[cutoff]]))</f>
        <v>46053</v>
      </c>
      <c r="B405" s="7">
        <f>DATE(YEAR(m5_crossvalid[[#This Row],[ds]]),MONTH(m5_crossvalid[[#This Row],[ds]]),DAY(m5_crossvalid[[#This Row],[ds]]))</f>
        <v>46054</v>
      </c>
      <c r="C405">
        <v>26</v>
      </c>
      <c r="D405" s="1">
        <v>46054.333333333336</v>
      </c>
      <c r="E405">
        <v>-2597.1751278212914</v>
      </c>
      <c r="F405">
        <v>-3980.154887438176</v>
      </c>
      <c r="G405">
        <v>-1078.5319645935372</v>
      </c>
      <c r="H405" s="1">
        <v>46053.333333333336</v>
      </c>
    </row>
    <row r="406" spans="1:8" x14ac:dyDescent="0.25">
      <c r="A406" s="7">
        <f>DATE(YEAR(m5_crossvalid[[#This Row],[cutoff]]),MONTH(m5_crossvalid[[#This Row],[cutoff]]),DAY(m5_crossvalid[[#This Row],[cutoff]]))</f>
        <v>46053</v>
      </c>
      <c r="B406" s="7">
        <f>DATE(YEAR(m5_crossvalid[[#This Row],[ds]]),MONTH(m5_crossvalid[[#This Row],[ds]]),DAY(m5_crossvalid[[#This Row],[ds]]))</f>
        <v>46055</v>
      </c>
      <c r="C406">
        <v>134</v>
      </c>
      <c r="D406" s="1">
        <v>46055.333333333336</v>
      </c>
      <c r="E406">
        <v>-548.79831442426166</v>
      </c>
      <c r="F406">
        <v>-1989.5226452661261</v>
      </c>
      <c r="G406">
        <v>881.56836209756864</v>
      </c>
      <c r="H406" s="1">
        <v>46053.333333333336</v>
      </c>
    </row>
    <row r="407" spans="1:8" x14ac:dyDescent="0.25">
      <c r="A407" s="7">
        <f>DATE(YEAR(m5_crossvalid[[#This Row],[cutoff]]),MONTH(m5_crossvalid[[#This Row],[cutoff]]),DAY(m5_crossvalid[[#This Row],[cutoff]]))</f>
        <v>46053</v>
      </c>
      <c r="B407" s="7">
        <f>DATE(YEAR(m5_crossvalid[[#This Row],[ds]]),MONTH(m5_crossvalid[[#This Row],[ds]]),DAY(m5_crossvalid[[#This Row],[ds]]))</f>
        <v>46056</v>
      </c>
      <c r="C407">
        <v>521</v>
      </c>
      <c r="D407" s="1">
        <v>46056.333333333336</v>
      </c>
      <c r="E407">
        <v>-187.93897205812482</v>
      </c>
      <c r="F407">
        <v>-1558.8208070267926</v>
      </c>
      <c r="G407">
        <v>1241.2084661948811</v>
      </c>
      <c r="H407" s="1">
        <v>46053.333333333336</v>
      </c>
    </row>
    <row r="408" spans="1:8" x14ac:dyDescent="0.25">
      <c r="A408" s="7">
        <f>DATE(YEAR(m5_crossvalid[[#This Row],[cutoff]]),MONTH(m5_crossvalid[[#This Row],[cutoff]]),DAY(m5_crossvalid[[#This Row],[cutoff]]))</f>
        <v>46053</v>
      </c>
      <c r="B408" s="7">
        <f>DATE(YEAR(m5_crossvalid[[#This Row],[ds]]),MONTH(m5_crossvalid[[#This Row],[ds]]),DAY(m5_crossvalid[[#This Row],[ds]]))</f>
        <v>46057</v>
      </c>
      <c r="C408">
        <v>696</v>
      </c>
      <c r="D408" s="1">
        <v>46057.333333333336</v>
      </c>
      <c r="E408">
        <v>1827.7908040606089</v>
      </c>
      <c r="F408">
        <v>359.93939627409736</v>
      </c>
      <c r="G408">
        <v>3263.6321911665846</v>
      </c>
      <c r="H408" s="1">
        <v>46053.333333333336</v>
      </c>
    </row>
    <row r="409" spans="1:8" x14ac:dyDescent="0.25">
      <c r="A409" s="7">
        <f>DATE(YEAR(m5_crossvalid[[#This Row],[cutoff]]),MONTH(m5_crossvalid[[#This Row],[cutoff]]),DAY(m5_crossvalid[[#This Row],[cutoff]]))</f>
        <v>46053</v>
      </c>
      <c r="B409" s="7">
        <f>DATE(YEAR(m5_crossvalid[[#This Row],[ds]]),MONTH(m5_crossvalid[[#This Row],[ds]]),DAY(m5_crossvalid[[#This Row],[ds]]))</f>
        <v>46058</v>
      </c>
      <c r="C409">
        <v>1038</v>
      </c>
      <c r="D409" s="1">
        <v>46058.333333333336</v>
      </c>
      <c r="E409">
        <v>1987.2235904172039</v>
      </c>
      <c r="F409">
        <v>536.57084306660704</v>
      </c>
      <c r="G409">
        <v>3357.0867887776494</v>
      </c>
      <c r="H409" s="1">
        <v>46053.333333333336</v>
      </c>
    </row>
    <row r="410" spans="1:8" x14ac:dyDescent="0.25">
      <c r="A410" s="7">
        <f>DATE(YEAR(m5_crossvalid[[#This Row],[cutoff]]),MONTH(m5_crossvalid[[#This Row],[cutoff]]),DAY(m5_crossvalid[[#This Row],[cutoff]]))</f>
        <v>46053</v>
      </c>
      <c r="B410" s="7">
        <f>DATE(YEAR(m5_crossvalid[[#This Row],[ds]]),MONTH(m5_crossvalid[[#This Row],[ds]]),DAY(m5_crossvalid[[#This Row],[ds]]))</f>
        <v>46059</v>
      </c>
      <c r="C410">
        <v>1414</v>
      </c>
      <c r="D410" s="1">
        <v>46059.333333333336</v>
      </c>
      <c r="E410">
        <v>1950.9796879747569</v>
      </c>
      <c r="F410">
        <v>462.2757432054571</v>
      </c>
      <c r="G410">
        <v>3353.6320739701127</v>
      </c>
      <c r="H410" s="1">
        <v>46053.333333333336</v>
      </c>
    </row>
    <row r="411" spans="1:8" x14ac:dyDescent="0.25">
      <c r="A411" s="7">
        <f>DATE(YEAR(m5_crossvalid[[#This Row],[cutoff]]),MONTH(m5_crossvalid[[#This Row],[cutoff]]),DAY(m5_crossvalid[[#This Row],[cutoff]]))</f>
        <v>46053</v>
      </c>
      <c r="B411" s="7">
        <f>DATE(YEAR(m5_crossvalid[[#This Row],[ds]]),MONTH(m5_crossvalid[[#This Row],[ds]]),DAY(m5_crossvalid[[#This Row],[ds]]))</f>
        <v>46060</v>
      </c>
      <c r="C411">
        <v>286</v>
      </c>
      <c r="D411" s="1">
        <v>46060.333333333336</v>
      </c>
      <c r="E411">
        <v>-521.80699196883825</v>
      </c>
      <c r="F411">
        <v>-1996.7137782580985</v>
      </c>
      <c r="G411">
        <v>909.22978085721866</v>
      </c>
      <c r="H411" s="1">
        <v>46053.333333333336</v>
      </c>
    </row>
    <row r="412" spans="1:8" x14ac:dyDescent="0.25">
      <c r="A412" s="7">
        <f>DATE(YEAR(m5_crossvalid[[#This Row],[cutoff]]),MONTH(m5_crossvalid[[#This Row],[cutoff]]),DAY(m5_crossvalid[[#This Row],[cutoff]]))</f>
        <v>46053</v>
      </c>
      <c r="B412" s="7">
        <f>DATE(YEAR(m5_crossvalid[[#This Row],[ds]]),MONTH(m5_crossvalid[[#This Row],[ds]]),DAY(m5_crossvalid[[#This Row],[ds]]))</f>
        <v>46061</v>
      </c>
      <c r="C412">
        <v>82</v>
      </c>
      <c r="D412" s="1">
        <v>46061.333333333336</v>
      </c>
      <c r="E412">
        <v>-626.49967626165744</v>
      </c>
      <c r="F412">
        <v>-2158.6065546030231</v>
      </c>
      <c r="G412">
        <v>789.57215781800573</v>
      </c>
      <c r="H412" s="1">
        <v>46053.333333333336</v>
      </c>
    </row>
    <row r="413" spans="1:8" x14ac:dyDescent="0.25">
      <c r="A413" s="7">
        <f>DATE(YEAR(m5_crossvalid[[#This Row],[cutoff]]),MONTH(m5_crossvalid[[#This Row],[cutoff]]),DAY(m5_crossvalid[[#This Row],[cutoff]]))</f>
        <v>46053</v>
      </c>
      <c r="B413" s="7">
        <f>DATE(YEAR(m5_crossvalid[[#This Row],[ds]]),MONTH(m5_crossvalid[[#This Row],[ds]]),DAY(m5_crossvalid[[#This Row],[ds]]))</f>
        <v>46062</v>
      </c>
      <c r="C413">
        <v>1902</v>
      </c>
      <c r="D413" s="1">
        <v>46062.333333333336</v>
      </c>
      <c r="E413">
        <v>1869.9434887629411</v>
      </c>
      <c r="F413">
        <v>388.74589490102136</v>
      </c>
      <c r="G413">
        <v>3382.0700621889318</v>
      </c>
      <c r="H413" s="1">
        <v>46053.333333333336</v>
      </c>
    </row>
    <row r="414" spans="1:8" x14ac:dyDescent="0.25">
      <c r="A414" s="7">
        <f>DATE(YEAR(m5_crossvalid[[#This Row],[cutoff]]),MONTH(m5_crossvalid[[#This Row],[cutoff]]),DAY(m5_crossvalid[[#This Row],[cutoff]]))</f>
        <v>46053</v>
      </c>
      <c r="B414" s="7">
        <f>DATE(YEAR(m5_crossvalid[[#This Row],[ds]]),MONTH(m5_crossvalid[[#This Row],[ds]]),DAY(m5_crossvalid[[#This Row],[ds]]))</f>
        <v>46063</v>
      </c>
      <c r="C414">
        <v>2288</v>
      </c>
      <c r="D414" s="1">
        <v>46063.333333333336</v>
      </c>
      <c r="E414">
        <v>2284.2552921094216</v>
      </c>
      <c r="F414">
        <v>851.30473191272063</v>
      </c>
      <c r="G414">
        <v>3758.156773358065</v>
      </c>
      <c r="H414" s="1">
        <v>46053.333333333336</v>
      </c>
    </row>
    <row r="415" spans="1:8" x14ac:dyDescent="0.25">
      <c r="A415" s="7">
        <f>DATE(YEAR(m5_crossvalid[[#This Row],[cutoff]]),MONTH(m5_crossvalid[[#This Row],[cutoff]]),DAY(m5_crossvalid[[#This Row],[cutoff]]))</f>
        <v>46053</v>
      </c>
      <c r="B415" s="7">
        <f>DATE(YEAR(m5_crossvalid[[#This Row],[ds]]),MONTH(m5_crossvalid[[#This Row],[ds]]),DAY(m5_crossvalid[[#This Row],[ds]]))</f>
        <v>46064</v>
      </c>
      <c r="C415">
        <v>2663</v>
      </c>
      <c r="D415" s="1">
        <v>46064.333333333336</v>
      </c>
      <c r="E415">
        <v>2489.4022430752225</v>
      </c>
      <c r="F415">
        <v>1082.7158375533834</v>
      </c>
      <c r="G415">
        <v>3905.2559015983115</v>
      </c>
      <c r="H415" s="1">
        <v>46053.333333333336</v>
      </c>
    </row>
    <row r="416" spans="1:8" x14ac:dyDescent="0.25">
      <c r="A416" s="7">
        <f>DATE(YEAR(m5_crossvalid[[#This Row],[cutoff]]),MONTH(m5_crossvalid[[#This Row],[cutoff]]),DAY(m5_crossvalid[[#This Row],[cutoff]]))</f>
        <v>46053</v>
      </c>
      <c r="B416" s="7">
        <f>DATE(YEAR(m5_crossvalid[[#This Row],[ds]]),MONTH(m5_crossvalid[[#This Row],[ds]]),DAY(m5_crossvalid[[#This Row],[ds]]))</f>
        <v>46065</v>
      </c>
      <c r="C416">
        <v>3108</v>
      </c>
      <c r="D416" s="1">
        <v>46065.333333333336</v>
      </c>
      <c r="E416">
        <v>2542.7178847457958</v>
      </c>
      <c r="F416">
        <v>1114.648657343434</v>
      </c>
      <c r="G416">
        <v>4060.6371824301596</v>
      </c>
      <c r="H416" s="1">
        <v>46053.333333333336</v>
      </c>
    </row>
    <row r="417" spans="1:8" x14ac:dyDescent="0.25">
      <c r="A417" s="7">
        <f>DATE(YEAR(m5_crossvalid[[#This Row],[cutoff]]),MONTH(m5_crossvalid[[#This Row],[cutoff]]),DAY(m5_crossvalid[[#This Row],[cutoff]]))</f>
        <v>46053</v>
      </c>
      <c r="B417" s="7">
        <f>DATE(YEAR(m5_crossvalid[[#This Row],[ds]]),MONTH(m5_crossvalid[[#This Row],[ds]]),DAY(m5_crossvalid[[#This Row],[ds]]))</f>
        <v>46066</v>
      </c>
      <c r="C417">
        <v>3172</v>
      </c>
      <c r="D417" s="1">
        <v>46066.333333333336</v>
      </c>
      <c r="E417">
        <v>2523.7558410194497</v>
      </c>
      <c r="F417">
        <v>1082.0120717331595</v>
      </c>
      <c r="G417">
        <v>3990.5407890752435</v>
      </c>
      <c r="H417" s="1">
        <v>46053.333333333336</v>
      </c>
    </row>
    <row r="418" spans="1:8" x14ac:dyDescent="0.25">
      <c r="A418" s="7">
        <f>DATE(YEAR(m5_crossvalid[[#This Row],[cutoff]]),MONTH(m5_crossvalid[[#This Row],[cutoff]]),DAY(m5_crossvalid[[#This Row],[cutoff]]))</f>
        <v>46053</v>
      </c>
      <c r="B418" s="7">
        <f>DATE(YEAR(m5_crossvalid[[#This Row],[ds]]),MONTH(m5_crossvalid[[#This Row],[ds]]),DAY(m5_crossvalid[[#This Row],[ds]]))</f>
        <v>46067</v>
      </c>
      <c r="C418">
        <v>913</v>
      </c>
      <c r="D418" s="1">
        <v>46067.333333333336</v>
      </c>
      <c r="E418">
        <v>252.99493289477823</v>
      </c>
      <c r="F418">
        <v>-1172.5687430138378</v>
      </c>
      <c r="G418">
        <v>1611.8868239374788</v>
      </c>
      <c r="H418" s="1">
        <v>46053.333333333336</v>
      </c>
    </row>
    <row r="419" spans="1:8" x14ac:dyDescent="0.25">
      <c r="A419" s="7">
        <f>DATE(YEAR(m5_crossvalid[[#This Row],[cutoff]]),MONTH(m5_crossvalid[[#This Row],[cutoff]]),DAY(m5_crossvalid[[#This Row],[cutoff]]))</f>
        <v>46053</v>
      </c>
      <c r="B419" s="7">
        <f>DATE(YEAR(m5_crossvalid[[#This Row],[ds]]),MONTH(m5_crossvalid[[#This Row],[ds]]),DAY(m5_crossvalid[[#This Row],[ds]]))</f>
        <v>46068</v>
      </c>
      <c r="C419">
        <v>208</v>
      </c>
      <c r="D419" s="1">
        <v>46068.333333333336</v>
      </c>
      <c r="E419">
        <v>-205.61490236444979</v>
      </c>
      <c r="F419">
        <v>-1784.2597480618319</v>
      </c>
      <c r="G419">
        <v>1310.4282361115388</v>
      </c>
      <c r="H419" s="1">
        <v>46053.333333333336</v>
      </c>
    </row>
    <row r="420" spans="1:8" x14ac:dyDescent="0.25">
      <c r="A420" s="7">
        <f>DATE(YEAR(m5_crossvalid[[#This Row],[cutoff]]),MONTH(m5_crossvalid[[#This Row],[cutoff]]),DAY(m5_crossvalid[[#This Row],[cutoff]]))</f>
        <v>46053</v>
      </c>
      <c r="B420" s="7">
        <f>DATE(YEAR(m5_crossvalid[[#This Row],[ds]]),MONTH(m5_crossvalid[[#This Row],[ds]]),DAY(m5_crossvalid[[#This Row],[ds]]))</f>
        <v>46069</v>
      </c>
      <c r="C420">
        <v>1728</v>
      </c>
      <c r="D420" s="1">
        <v>46069.333333333336</v>
      </c>
      <c r="E420">
        <v>2470.9136098555318</v>
      </c>
      <c r="F420">
        <v>1014.6797381146041</v>
      </c>
      <c r="G420">
        <v>3968.7641756730045</v>
      </c>
      <c r="H420" s="1">
        <v>46053.333333333336</v>
      </c>
    </row>
    <row r="421" spans="1:8" x14ac:dyDescent="0.25">
      <c r="A421" s="7">
        <f>DATE(YEAR(m5_crossvalid[[#This Row],[cutoff]]),MONTH(m5_crossvalid[[#This Row],[cutoff]]),DAY(m5_crossvalid[[#This Row],[cutoff]]))</f>
        <v>46053</v>
      </c>
      <c r="B421" s="7">
        <f>DATE(YEAR(m5_crossvalid[[#This Row],[ds]]),MONTH(m5_crossvalid[[#This Row],[ds]]),DAY(m5_crossvalid[[#This Row],[ds]]))</f>
        <v>46070</v>
      </c>
      <c r="C421">
        <v>27</v>
      </c>
      <c r="D421" s="1">
        <v>46070.333333333336</v>
      </c>
      <c r="E421">
        <v>658.86079609494482</v>
      </c>
      <c r="F421">
        <v>-812.33017983510456</v>
      </c>
      <c r="G421">
        <v>2073.3969759766514</v>
      </c>
      <c r="H421" s="1">
        <v>46053.333333333336</v>
      </c>
    </row>
    <row r="422" spans="1:8" x14ac:dyDescent="0.25">
      <c r="A422" s="7">
        <f>DATE(YEAR(m5_crossvalid[[#This Row],[cutoff]]),MONTH(m5_crossvalid[[#This Row],[cutoff]]),DAY(m5_crossvalid[[#This Row],[cutoff]]))</f>
        <v>46053</v>
      </c>
      <c r="B422" s="7">
        <f>DATE(YEAR(m5_crossvalid[[#This Row],[ds]]),MONTH(m5_crossvalid[[#This Row],[ds]]),DAY(m5_crossvalid[[#This Row],[ds]]))</f>
        <v>46071</v>
      </c>
      <c r="C422">
        <v>21</v>
      </c>
      <c r="D422" s="1">
        <v>46071.333333333336</v>
      </c>
      <c r="E422">
        <v>746.12921266578746</v>
      </c>
      <c r="F422">
        <v>-795.83933732372191</v>
      </c>
      <c r="G422">
        <v>2149.4539824159551</v>
      </c>
      <c r="H422" s="1">
        <v>46053.333333333336</v>
      </c>
    </row>
    <row r="423" spans="1:8" x14ac:dyDescent="0.25">
      <c r="A423" s="7">
        <f>DATE(YEAR(m5_crossvalid[[#This Row],[cutoff]]),MONTH(m5_crossvalid[[#This Row],[cutoff]]),DAY(m5_crossvalid[[#This Row],[cutoff]]))</f>
        <v>46053</v>
      </c>
      <c r="B423" s="7">
        <f>DATE(YEAR(m5_crossvalid[[#This Row],[ds]]),MONTH(m5_crossvalid[[#This Row],[ds]]),DAY(m5_crossvalid[[#This Row],[ds]]))</f>
        <v>46072</v>
      </c>
      <c r="C423">
        <v>1000</v>
      </c>
      <c r="D423" s="1">
        <v>46072.333333333336</v>
      </c>
      <c r="E423">
        <v>2945.066498440297</v>
      </c>
      <c r="F423">
        <v>1518.0883275653471</v>
      </c>
      <c r="G423">
        <v>4438.1841978517277</v>
      </c>
      <c r="H423" s="1">
        <v>46053.333333333336</v>
      </c>
    </row>
    <row r="424" spans="1:8" x14ac:dyDescent="0.25">
      <c r="A424" s="7">
        <f>DATE(YEAR(m5_crossvalid[[#This Row],[cutoff]]),MONTH(m5_crossvalid[[#This Row],[cutoff]]),DAY(m5_crossvalid[[#This Row],[cutoff]]))</f>
        <v>46053</v>
      </c>
      <c r="B424" s="7">
        <f>DATE(YEAR(m5_crossvalid[[#This Row],[ds]]),MONTH(m5_crossvalid[[#This Row],[ds]]),DAY(m5_crossvalid[[#This Row],[ds]]))</f>
        <v>46073</v>
      </c>
      <c r="C424">
        <v>1555</v>
      </c>
      <c r="D424" s="1">
        <v>46073.333333333336</v>
      </c>
      <c r="E424">
        <v>2984.1521244048499</v>
      </c>
      <c r="F424">
        <v>1625.0136877959492</v>
      </c>
      <c r="G424">
        <v>4438.374656164804</v>
      </c>
      <c r="H424" s="1">
        <v>46053.333333333336</v>
      </c>
    </row>
    <row r="425" spans="1:8" x14ac:dyDescent="0.25">
      <c r="A425" s="7">
        <f>DATE(YEAR(m5_crossvalid[[#This Row],[cutoff]]),MONTH(m5_crossvalid[[#This Row],[cutoff]]),DAY(m5_crossvalid[[#This Row],[cutoff]]))</f>
        <v>46053</v>
      </c>
      <c r="B425" s="7">
        <f>DATE(YEAR(m5_crossvalid[[#This Row],[ds]]),MONTH(m5_crossvalid[[#This Row],[ds]]),DAY(m5_crossvalid[[#This Row],[ds]]))</f>
        <v>46074</v>
      </c>
      <c r="C425">
        <v>492</v>
      </c>
      <c r="D425" s="1">
        <v>46074.333333333336</v>
      </c>
      <c r="E425">
        <v>856.5261353929327</v>
      </c>
      <c r="F425">
        <v>-629.00377623521138</v>
      </c>
      <c r="G425">
        <v>2374.0951563715089</v>
      </c>
      <c r="H425" s="1">
        <v>46053.333333333336</v>
      </c>
    </row>
    <row r="426" spans="1:8" x14ac:dyDescent="0.25">
      <c r="A426" s="7">
        <f>DATE(YEAR(m5_crossvalid[[#This Row],[cutoff]]),MONTH(m5_crossvalid[[#This Row],[cutoff]]),DAY(m5_crossvalid[[#This Row],[cutoff]]))</f>
        <v>46053</v>
      </c>
      <c r="B426" s="7">
        <f>DATE(YEAR(m5_crossvalid[[#This Row],[ds]]),MONTH(m5_crossvalid[[#This Row],[ds]]),DAY(m5_crossvalid[[#This Row],[ds]]))</f>
        <v>46075</v>
      </c>
      <c r="C426">
        <v>159</v>
      </c>
      <c r="D426" s="1">
        <v>46075.333333333336</v>
      </c>
      <c r="E426">
        <v>500.83065792797606</v>
      </c>
      <c r="F426">
        <v>-925.88607026816271</v>
      </c>
      <c r="G426">
        <v>1851.3356148477728</v>
      </c>
      <c r="H426" s="1">
        <v>46053.333333333336</v>
      </c>
    </row>
    <row r="427" spans="1:8" x14ac:dyDescent="0.25">
      <c r="A427" s="7">
        <f>DATE(YEAR(m5_crossvalid[[#This Row],[cutoff]]),MONTH(m5_crossvalid[[#This Row],[cutoff]]),DAY(m5_crossvalid[[#This Row],[cutoff]]))</f>
        <v>46053</v>
      </c>
      <c r="B427" s="7">
        <f>DATE(YEAR(m5_crossvalid[[#This Row],[ds]]),MONTH(m5_crossvalid[[#This Row],[ds]]),DAY(m5_crossvalid[[#This Row],[ds]]))</f>
        <v>46076</v>
      </c>
      <c r="C427">
        <v>2313</v>
      </c>
      <c r="D427" s="1">
        <v>46076.333333333336</v>
      </c>
      <c r="E427">
        <v>3173.6667317531042</v>
      </c>
      <c r="F427">
        <v>1801.906510556144</v>
      </c>
      <c r="G427">
        <v>4508.5748226915712</v>
      </c>
      <c r="H427" s="1">
        <v>46053.333333333336</v>
      </c>
    </row>
    <row r="428" spans="1:8" x14ac:dyDescent="0.25">
      <c r="A428" s="7">
        <f>DATE(YEAR(m5_crossvalid[[#This Row],[cutoff]]),MONTH(m5_crossvalid[[#This Row],[cutoff]]),DAY(m5_crossvalid[[#This Row],[cutoff]]))</f>
        <v>46053</v>
      </c>
      <c r="B428" s="7">
        <f>DATE(YEAR(m5_crossvalid[[#This Row],[ds]]),MONTH(m5_crossvalid[[#This Row],[ds]]),DAY(m5_crossvalid[[#This Row],[ds]]))</f>
        <v>46077</v>
      </c>
      <c r="C428">
        <v>3081</v>
      </c>
      <c r="D428" s="1">
        <v>46077.333333333336</v>
      </c>
      <c r="E428">
        <v>4748.2788267773585</v>
      </c>
      <c r="F428">
        <v>3330.4558776429985</v>
      </c>
      <c r="G428">
        <v>6106.3354413338639</v>
      </c>
      <c r="H428" s="1">
        <v>46053.333333333336</v>
      </c>
    </row>
    <row r="429" spans="1:8" x14ac:dyDescent="0.25">
      <c r="A429" s="7">
        <f>DATE(YEAR(m5_crossvalid[[#This Row],[cutoff]]),MONTH(m5_crossvalid[[#This Row],[cutoff]]),DAY(m5_crossvalid[[#This Row],[cutoff]]))</f>
        <v>46053</v>
      </c>
      <c r="B429" s="7">
        <f>DATE(YEAR(m5_crossvalid[[#This Row],[ds]]),MONTH(m5_crossvalid[[#This Row],[ds]]),DAY(m5_crossvalid[[#This Row],[ds]]))</f>
        <v>46078</v>
      </c>
      <c r="C429">
        <v>4066</v>
      </c>
      <c r="D429" s="1">
        <v>46078.333333333336</v>
      </c>
      <c r="E429">
        <v>4877.0587424589175</v>
      </c>
      <c r="F429">
        <v>3390.8878223604602</v>
      </c>
      <c r="G429">
        <v>6268.3734943109266</v>
      </c>
      <c r="H429" s="1">
        <v>46053.333333333336</v>
      </c>
    </row>
    <row r="430" spans="1:8" x14ac:dyDescent="0.25">
      <c r="A430" s="7">
        <f>DATE(YEAR(m5_crossvalid[[#This Row],[cutoff]]),MONTH(m5_crossvalid[[#This Row],[cutoff]]),DAY(m5_crossvalid[[#This Row],[cutoff]]))</f>
        <v>46053</v>
      </c>
      <c r="B430" s="7">
        <f>DATE(YEAR(m5_crossvalid[[#This Row],[ds]]),MONTH(m5_crossvalid[[#This Row],[ds]]),DAY(m5_crossvalid[[#This Row],[ds]]))</f>
        <v>46079</v>
      </c>
      <c r="C430">
        <v>5569</v>
      </c>
      <c r="D430" s="1">
        <v>46079.333333333336</v>
      </c>
      <c r="E430">
        <v>5034.4202103016569</v>
      </c>
      <c r="F430">
        <v>3614.3522496426885</v>
      </c>
      <c r="G430">
        <v>6575.1203445105402</v>
      </c>
      <c r="H430" s="1">
        <v>46053.333333333336</v>
      </c>
    </row>
    <row r="431" spans="1:8" x14ac:dyDescent="0.25">
      <c r="A431" s="7">
        <f>DATE(YEAR(m5_crossvalid[[#This Row],[cutoff]]),MONTH(m5_crossvalid[[#This Row],[cutoff]]),DAY(m5_crossvalid[[#This Row],[cutoff]]))</f>
        <v>46053</v>
      </c>
      <c r="B431" s="7">
        <f>DATE(YEAR(m5_crossvalid[[#This Row],[ds]]),MONTH(m5_crossvalid[[#This Row],[ds]]),DAY(m5_crossvalid[[#This Row],[ds]]))</f>
        <v>46080</v>
      </c>
      <c r="C431">
        <v>8803</v>
      </c>
      <c r="D431" s="1">
        <v>46080.333333333336</v>
      </c>
      <c r="E431">
        <v>7703.2269340250987</v>
      </c>
      <c r="F431">
        <v>6284.41871420813</v>
      </c>
      <c r="G431">
        <v>9070.8036388984074</v>
      </c>
      <c r="H431" s="1">
        <v>46053.333333333336</v>
      </c>
    </row>
    <row r="432" spans="1:8" x14ac:dyDescent="0.25">
      <c r="A432" s="7">
        <f>DATE(YEAR(m5_crossvalid[[#This Row],[cutoff]]),MONTH(m5_crossvalid[[#This Row],[cutoff]]),DAY(m5_crossvalid[[#This Row],[cutoff]]))</f>
        <v>46053</v>
      </c>
      <c r="B432" s="7">
        <f>DATE(YEAR(m5_crossvalid[[#This Row],[ds]]),MONTH(m5_crossvalid[[#This Row],[ds]]),DAY(m5_crossvalid[[#This Row],[ds]]))</f>
        <v>46081</v>
      </c>
      <c r="C432">
        <v>9425</v>
      </c>
      <c r="D432" s="1">
        <v>46081.333333333336</v>
      </c>
      <c r="E432">
        <v>8030.4627026000826</v>
      </c>
      <c r="F432">
        <v>6584.3646493154065</v>
      </c>
      <c r="G432">
        <v>9501.2137856662175</v>
      </c>
      <c r="H432" s="1">
        <v>46053.333333333336</v>
      </c>
    </row>
    <row r="433" spans="1:8" x14ac:dyDescent="0.25">
      <c r="A433" s="7">
        <f>DATE(YEAR(m5_crossvalid[[#This Row],[cutoff]]),MONTH(m5_crossvalid[[#This Row],[cutoff]]),DAY(m5_crossvalid[[#This Row],[cutoff]]))</f>
        <v>46053</v>
      </c>
      <c r="B433" s="7">
        <f>DATE(YEAR(m5_crossvalid[[#This Row],[ds]]),MONTH(m5_crossvalid[[#This Row],[ds]]),DAY(m5_crossvalid[[#This Row],[ds]]))</f>
        <v>46082</v>
      </c>
      <c r="C433">
        <v>40</v>
      </c>
      <c r="D433" s="1">
        <v>46082.333333333336</v>
      </c>
      <c r="E433">
        <v>603.89986066405822</v>
      </c>
      <c r="F433">
        <v>-804.1220646476238</v>
      </c>
      <c r="G433">
        <v>2073.9698995577305</v>
      </c>
      <c r="H433" s="1">
        <v>46053.333333333336</v>
      </c>
    </row>
    <row r="434" spans="1:8" x14ac:dyDescent="0.25">
      <c r="A434" s="7">
        <f>DATE(YEAR(m5_crossvalid[[#This Row],[cutoff]]),MONTH(m5_crossvalid[[#This Row],[cutoff]]),DAY(m5_crossvalid[[#This Row],[cutoff]]))</f>
        <v>46053</v>
      </c>
      <c r="B434" s="7">
        <f>DATE(YEAR(m5_crossvalid[[#This Row],[ds]]),MONTH(m5_crossvalid[[#This Row],[ds]]),DAY(m5_crossvalid[[#This Row],[ds]]))</f>
        <v>46083</v>
      </c>
      <c r="C434">
        <v>617</v>
      </c>
      <c r="D434" s="1">
        <v>46083.333333333336</v>
      </c>
      <c r="E434">
        <v>2632.6110005498767</v>
      </c>
      <c r="F434">
        <v>1106.2655751120847</v>
      </c>
      <c r="G434">
        <v>4108.7446960720972</v>
      </c>
      <c r="H434" s="1">
        <v>46053.333333333336</v>
      </c>
    </row>
    <row r="435" spans="1:8" x14ac:dyDescent="0.25">
      <c r="A435" s="7">
        <f>DATE(YEAR(m5_crossvalid[[#This Row],[cutoff]]),MONTH(m5_crossvalid[[#This Row],[cutoff]]),DAY(m5_crossvalid[[#This Row],[cutoff]]))</f>
        <v>46053</v>
      </c>
      <c r="B435" s="7">
        <f>DATE(YEAR(m5_crossvalid[[#This Row],[ds]]),MONTH(m5_crossvalid[[#This Row],[ds]]),DAY(m5_crossvalid[[#This Row],[ds]]))</f>
        <v>46084</v>
      </c>
      <c r="C435">
        <v>799</v>
      </c>
      <c r="D435" s="1">
        <v>46084.333333333336</v>
      </c>
      <c r="E435">
        <v>2414.4022450660395</v>
      </c>
      <c r="F435">
        <v>983.62398288943211</v>
      </c>
      <c r="G435">
        <v>3824.5638314382104</v>
      </c>
      <c r="H435" s="1">
        <v>46053.333333333336</v>
      </c>
    </row>
    <row r="436" spans="1:8" x14ac:dyDescent="0.25">
      <c r="A436" s="7">
        <f>DATE(YEAR(m5_crossvalid[[#This Row],[cutoff]]),MONTH(m5_crossvalid[[#This Row],[cutoff]]),DAY(m5_crossvalid[[#This Row],[cutoff]]))</f>
        <v>46081</v>
      </c>
      <c r="B436" s="7">
        <f>DATE(YEAR(m5_crossvalid[[#This Row],[ds]]),MONTH(m5_crossvalid[[#This Row],[ds]]),DAY(m5_crossvalid[[#This Row],[ds]]))</f>
        <v>46082</v>
      </c>
      <c r="C436">
        <v>40</v>
      </c>
      <c r="D436" s="1">
        <v>46082.333333333336</v>
      </c>
      <c r="E436">
        <v>667.21344533975957</v>
      </c>
      <c r="F436">
        <v>-779.97185536986296</v>
      </c>
      <c r="G436">
        <v>2141.8858378866043</v>
      </c>
      <c r="H436" s="1">
        <v>46081.333333333336</v>
      </c>
    </row>
    <row r="437" spans="1:8" x14ac:dyDescent="0.25">
      <c r="A437" s="7">
        <f>DATE(YEAR(m5_crossvalid[[#This Row],[cutoff]]),MONTH(m5_crossvalid[[#This Row],[cutoff]]),DAY(m5_crossvalid[[#This Row],[cutoff]]))</f>
        <v>46081</v>
      </c>
      <c r="B437" s="7">
        <f>DATE(YEAR(m5_crossvalid[[#This Row],[ds]]),MONTH(m5_crossvalid[[#This Row],[ds]]),DAY(m5_crossvalid[[#This Row],[ds]]))</f>
        <v>46083</v>
      </c>
      <c r="C437">
        <v>617</v>
      </c>
      <c r="D437" s="1">
        <v>46083.333333333336</v>
      </c>
      <c r="E437">
        <v>2630.2105168221592</v>
      </c>
      <c r="F437">
        <v>1207.4602062874474</v>
      </c>
      <c r="G437">
        <v>4059.683476530045</v>
      </c>
      <c r="H437" s="1">
        <v>46081.333333333336</v>
      </c>
    </row>
    <row r="438" spans="1:8" x14ac:dyDescent="0.25">
      <c r="A438" s="7">
        <f>DATE(YEAR(m5_crossvalid[[#This Row],[cutoff]]),MONTH(m5_crossvalid[[#This Row],[cutoff]]),DAY(m5_crossvalid[[#This Row],[cutoff]]))</f>
        <v>46081</v>
      </c>
      <c r="B438" s="7">
        <f>DATE(YEAR(m5_crossvalid[[#This Row],[ds]]),MONTH(m5_crossvalid[[#This Row],[ds]]),DAY(m5_crossvalid[[#This Row],[ds]]))</f>
        <v>46084</v>
      </c>
      <c r="C438">
        <v>799</v>
      </c>
      <c r="D438" s="1">
        <v>46084.333333333336</v>
      </c>
      <c r="E438">
        <v>2374.830383274516</v>
      </c>
      <c r="F438">
        <v>1024.3128035554485</v>
      </c>
      <c r="G438">
        <v>3896.1594638979977</v>
      </c>
      <c r="H438" s="1">
        <v>46081.333333333336</v>
      </c>
    </row>
    <row r="439" spans="1:8" x14ac:dyDescent="0.25">
      <c r="A439" s="7">
        <f>DATE(YEAR(m5_crossvalid[[#This Row],[cutoff]]),MONTH(m5_crossvalid[[#This Row],[cutoff]]),DAY(m5_crossvalid[[#This Row],[cutoff]]))</f>
        <v>46081</v>
      </c>
      <c r="B439" s="7">
        <f>DATE(YEAR(m5_crossvalid[[#This Row],[ds]]),MONTH(m5_crossvalid[[#This Row],[ds]]),DAY(m5_crossvalid[[#This Row],[ds]]))</f>
        <v>46085</v>
      </c>
      <c r="C439">
        <v>995</v>
      </c>
      <c r="D439" s="1">
        <v>46085.333333333336</v>
      </c>
      <c r="E439">
        <v>1903.3806463552892</v>
      </c>
      <c r="F439">
        <v>480.67452484757172</v>
      </c>
      <c r="G439">
        <v>3297.8742886208624</v>
      </c>
      <c r="H439" s="1">
        <v>46081.333333333336</v>
      </c>
    </row>
    <row r="440" spans="1:8" x14ac:dyDescent="0.25">
      <c r="A440" s="7">
        <f>DATE(YEAR(m5_crossvalid[[#This Row],[cutoff]]),MONTH(m5_crossvalid[[#This Row],[cutoff]]),DAY(m5_crossvalid[[#This Row],[cutoff]]))</f>
        <v>46081</v>
      </c>
      <c r="B440" s="7">
        <f>DATE(YEAR(m5_crossvalid[[#This Row],[ds]]),MONTH(m5_crossvalid[[#This Row],[ds]]),DAY(m5_crossvalid[[#This Row],[ds]]))</f>
        <v>46086</v>
      </c>
      <c r="C440">
        <v>1314</v>
      </c>
      <c r="D440" s="1">
        <v>46086.333333333336</v>
      </c>
      <c r="E440">
        <v>1692.6301475359737</v>
      </c>
      <c r="F440">
        <v>337.50997085896245</v>
      </c>
      <c r="G440">
        <v>3119.080220982793</v>
      </c>
      <c r="H440" s="1">
        <v>46081.333333333336</v>
      </c>
    </row>
    <row r="441" spans="1:8" x14ac:dyDescent="0.25">
      <c r="A441" s="7">
        <f>DATE(YEAR(m5_crossvalid[[#This Row],[cutoff]]),MONTH(m5_crossvalid[[#This Row],[cutoff]]),DAY(m5_crossvalid[[#This Row],[cutoff]]))</f>
        <v>46081</v>
      </c>
      <c r="B441" s="7">
        <f>DATE(YEAR(m5_crossvalid[[#This Row],[ds]]),MONTH(m5_crossvalid[[#This Row],[ds]]),DAY(m5_crossvalid[[#This Row],[ds]]))</f>
        <v>46087</v>
      </c>
      <c r="C441">
        <v>1617</v>
      </c>
      <c r="D441" s="1">
        <v>46087.333333333336</v>
      </c>
      <c r="E441">
        <v>1795.3415562412624</v>
      </c>
      <c r="F441">
        <v>474.39125579962052</v>
      </c>
      <c r="G441">
        <v>3187.5998181501468</v>
      </c>
      <c r="H441" s="1">
        <v>46081.333333333336</v>
      </c>
    </row>
    <row r="442" spans="1:8" x14ac:dyDescent="0.25">
      <c r="A442" s="7">
        <f>DATE(YEAR(m5_crossvalid[[#This Row],[cutoff]]),MONTH(m5_crossvalid[[#This Row],[cutoff]]),DAY(m5_crossvalid[[#This Row],[cutoff]]))</f>
        <v>46081</v>
      </c>
      <c r="B442" s="7">
        <f>DATE(YEAR(m5_crossvalid[[#This Row],[ds]]),MONTH(m5_crossvalid[[#This Row],[ds]]),DAY(m5_crossvalid[[#This Row],[ds]]))</f>
        <v>46088</v>
      </c>
      <c r="C442">
        <v>220</v>
      </c>
      <c r="D442" s="1">
        <v>46088.333333333336</v>
      </c>
      <c r="E442">
        <v>-1982.8098214358956</v>
      </c>
      <c r="F442">
        <v>-3572.4349794936529</v>
      </c>
      <c r="G442">
        <v>-515.50670399141904</v>
      </c>
      <c r="H442" s="1">
        <v>46081.333333333336</v>
      </c>
    </row>
    <row r="443" spans="1:8" x14ac:dyDescent="0.25">
      <c r="A443" s="7">
        <f>DATE(YEAR(m5_crossvalid[[#This Row],[cutoff]]),MONTH(m5_crossvalid[[#This Row],[cutoff]]),DAY(m5_crossvalid[[#This Row],[cutoff]]))</f>
        <v>46081</v>
      </c>
      <c r="B443" s="7">
        <f>DATE(YEAR(m5_crossvalid[[#This Row],[ds]]),MONTH(m5_crossvalid[[#This Row],[ds]]),DAY(m5_crossvalid[[#This Row],[ds]]))</f>
        <v>46089</v>
      </c>
      <c r="C443">
        <v>43</v>
      </c>
      <c r="D443" s="1">
        <v>46089.333333333336</v>
      </c>
      <c r="E443">
        <v>-118.03630687655232</v>
      </c>
      <c r="F443">
        <v>-1659.0475605463077</v>
      </c>
      <c r="G443">
        <v>1279.1064500526377</v>
      </c>
      <c r="H443" s="1">
        <v>46081.333333333336</v>
      </c>
    </row>
    <row r="444" spans="1:8" x14ac:dyDescent="0.25">
      <c r="A444" s="7">
        <f>DATE(YEAR(m5_crossvalid[[#This Row],[cutoff]]),MONTH(m5_crossvalid[[#This Row],[cutoff]]),DAY(m5_crossvalid[[#This Row],[cutoff]]))</f>
        <v>46081</v>
      </c>
      <c r="B444" s="7">
        <f>DATE(YEAR(m5_crossvalid[[#This Row],[ds]]),MONTH(m5_crossvalid[[#This Row],[ds]]),DAY(m5_crossvalid[[#This Row],[ds]]))</f>
        <v>46090</v>
      </c>
      <c r="C444">
        <v>1766</v>
      </c>
      <c r="D444" s="1">
        <v>46090.333333333336</v>
      </c>
      <c r="E444">
        <v>2319.7777654111537</v>
      </c>
      <c r="F444">
        <v>907.39355839579139</v>
      </c>
      <c r="G444">
        <v>3819.7681031692255</v>
      </c>
      <c r="H444" s="1">
        <v>46081.333333333336</v>
      </c>
    </row>
    <row r="445" spans="1:8" x14ac:dyDescent="0.25">
      <c r="A445" s="7">
        <f>DATE(YEAR(m5_crossvalid[[#This Row],[cutoff]]),MONTH(m5_crossvalid[[#This Row],[cutoff]]),DAY(m5_crossvalid[[#This Row],[cutoff]]))</f>
        <v>46081</v>
      </c>
      <c r="B445" s="7">
        <f>DATE(YEAR(m5_crossvalid[[#This Row],[ds]]),MONTH(m5_crossvalid[[#This Row],[ds]]),DAY(m5_crossvalid[[#This Row],[ds]]))</f>
        <v>46091</v>
      </c>
      <c r="C445">
        <v>2170</v>
      </c>
      <c r="D445" s="1">
        <v>46091.333333333336</v>
      </c>
      <c r="E445">
        <v>2503.7536974359605</v>
      </c>
      <c r="F445">
        <v>1059.8271212277541</v>
      </c>
      <c r="G445">
        <v>4001.0203899977832</v>
      </c>
      <c r="H445" s="1">
        <v>46081.333333333336</v>
      </c>
    </row>
    <row r="446" spans="1:8" x14ac:dyDescent="0.25">
      <c r="A446" s="7">
        <f>DATE(YEAR(m5_crossvalid[[#This Row],[cutoff]]),MONTH(m5_crossvalid[[#This Row],[cutoff]]),DAY(m5_crossvalid[[#This Row],[cutoff]]))</f>
        <v>46081</v>
      </c>
      <c r="B446" s="7">
        <f>DATE(YEAR(m5_crossvalid[[#This Row],[ds]]),MONTH(m5_crossvalid[[#This Row],[ds]]),DAY(m5_crossvalid[[#This Row],[ds]]))</f>
        <v>46092</v>
      </c>
      <c r="C446">
        <v>2907</v>
      </c>
      <c r="D446" s="1">
        <v>46092.333333333336</v>
      </c>
      <c r="E446">
        <v>2548.1086424250907</v>
      </c>
      <c r="F446">
        <v>1094.6280186742308</v>
      </c>
      <c r="G446">
        <v>3987.3574679790249</v>
      </c>
      <c r="H446" s="1">
        <v>46081.333333333336</v>
      </c>
    </row>
    <row r="447" spans="1:8" x14ac:dyDescent="0.25">
      <c r="A447" s="7">
        <f>DATE(YEAR(m5_crossvalid[[#This Row],[cutoff]]),MONTH(m5_crossvalid[[#This Row],[cutoff]]),DAY(m5_crossvalid[[#This Row],[cutoff]]))</f>
        <v>46081</v>
      </c>
      <c r="B447" s="7">
        <f>DATE(YEAR(m5_crossvalid[[#This Row],[ds]]),MONTH(m5_crossvalid[[#This Row],[ds]]),DAY(m5_crossvalid[[#This Row],[ds]]))</f>
        <v>46093</v>
      </c>
      <c r="C447">
        <v>3020</v>
      </c>
      <c r="D447" s="1">
        <v>46093.333333333336</v>
      </c>
      <c r="E447">
        <v>2657.2651206499645</v>
      </c>
      <c r="F447">
        <v>1247.4112784513304</v>
      </c>
      <c r="G447">
        <v>4144.9080784520702</v>
      </c>
      <c r="H447" s="1">
        <v>46081.333333333336</v>
      </c>
    </row>
    <row r="448" spans="1:8" x14ac:dyDescent="0.25">
      <c r="A448" s="7">
        <f>DATE(YEAR(m5_crossvalid[[#This Row],[cutoff]]),MONTH(m5_crossvalid[[#This Row],[cutoff]]),DAY(m5_crossvalid[[#This Row],[cutoff]]))</f>
        <v>46081</v>
      </c>
      <c r="B448" s="7">
        <f>DATE(YEAR(m5_crossvalid[[#This Row],[ds]]),MONTH(m5_crossvalid[[#This Row],[ds]]),DAY(m5_crossvalid[[#This Row],[ds]]))</f>
        <v>46094</v>
      </c>
      <c r="C448">
        <v>3551</v>
      </c>
      <c r="D448" s="1">
        <v>46094.333333333336</v>
      </c>
      <c r="E448">
        <v>2821.0918029799277</v>
      </c>
      <c r="F448">
        <v>1365.0025780886751</v>
      </c>
      <c r="G448">
        <v>4333.3341645043583</v>
      </c>
      <c r="H448" s="1">
        <v>46081.333333333336</v>
      </c>
    </row>
    <row r="449" spans="1:8" x14ac:dyDescent="0.25">
      <c r="A449" s="7">
        <f>DATE(YEAR(m5_crossvalid[[#This Row],[cutoff]]),MONTH(m5_crossvalid[[#This Row],[cutoff]]),DAY(m5_crossvalid[[#This Row],[cutoff]]))</f>
        <v>46081</v>
      </c>
      <c r="B449" s="7">
        <f>DATE(YEAR(m5_crossvalid[[#This Row],[ds]]),MONTH(m5_crossvalid[[#This Row],[ds]]),DAY(m5_crossvalid[[#This Row],[ds]]))</f>
        <v>46095</v>
      </c>
      <c r="C449">
        <v>1088</v>
      </c>
      <c r="D449" s="1">
        <v>46095.333333333336</v>
      </c>
      <c r="E449">
        <v>657.26055511393474</v>
      </c>
      <c r="F449">
        <v>-831.1369557773304</v>
      </c>
      <c r="G449">
        <v>2202.065489899479</v>
      </c>
      <c r="H449" s="1">
        <v>46081.333333333336</v>
      </c>
    </row>
    <row r="450" spans="1:8" x14ac:dyDescent="0.25">
      <c r="A450" s="7">
        <f>DATE(YEAR(m5_crossvalid[[#This Row],[cutoff]]),MONTH(m5_crossvalid[[#This Row],[cutoff]]),DAY(m5_crossvalid[[#This Row],[cutoff]]))</f>
        <v>46081</v>
      </c>
      <c r="B450" s="7">
        <f>DATE(YEAR(m5_crossvalid[[#This Row],[ds]]),MONTH(m5_crossvalid[[#This Row],[ds]]),DAY(m5_crossvalid[[#This Row],[ds]]))</f>
        <v>46096</v>
      </c>
      <c r="C450">
        <v>228</v>
      </c>
      <c r="D450" s="1">
        <v>46096.333333333336</v>
      </c>
      <c r="E450">
        <v>136.30358380327016</v>
      </c>
      <c r="F450">
        <v>-1239.6454350473762</v>
      </c>
      <c r="G450">
        <v>1654.9362641668315</v>
      </c>
      <c r="H450" s="1">
        <v>46081.333333333336</v>
      </c>
    </row>
    <row r="451" spans="1:8" x14ac:dyDescent="0.25">
      <c r="A451" s="7">
        <f>DATE(YEAR(m5_crossvalid[[#This Row],[cutoff]]),MONTH(m5_crossvalid[[#This Row],[cutoff]]),DAY(m5_crossvalid[[#This Row],[cutoff]]))</f>
        <v>46081</v>
      </c>
      <c r="B451" s="7">
        <f>DATE(YEAR(m5_crossvalid[[#This Row],[ds]]),MONTH(m5_crossvalid[[#This Row],[ds]]),DAY(m5_crossvalid[[#This Row],[ds]]))</f>
        <v>46097</v>
      </c>
      <c r="C451">
        <v>3950</v>
      </c>
      <c r="D451" s="1">
        <v>46097.333333333336</v>
      </c>
      <c r="E451">
        <v>2673.6216847179635</v>
      </c>
      <c r="F451">
        <v>1352.1031718264189</v>
      </c>
      <c r="G451">
        <v>4091.1025930522869</v>
      </c>
      <c r="H451" s="1">
        <v>46081.333333333336</v>
      </c>
    </row>
    <row r="452" spans="1:8" x14ac:dyDescent="0.25">
      <c r="A452" s="7">
        <f>DATE(YEAR(m5_crossvalid[[#This Row],[cutoff]]),MONTH(m5_crossvalid[[#This Row],[cutoff]]),DAY(m5_crossvalid[[#This Row],[cutoff]]))</f>
        <v>46081</v>
      </c>
      <c r="B452" s="7">
        <f>DATE(YEAR(m5_crossvalid[[#This Row],[ds]]),MONTH(m5_crossvalid[[#This Row],[ds]]),DAY(m5_crossvalid[[#This Row],[ds]]))</f>
        <v>46098</v>
      </c>
      <c r="C452">
        <v>5807</v>
      </c>
      <c r="D452" s="1">
        <v>46098.333333333336</v>
      </c>
      <c r="E452">
        <v>3083.9214371395874</v>
      </c>
      <c r="F452">
        <v>1551.9027691936728</v>
      </c>
      <c r="G452">
        <v>4449.73188353967</v>
      </c>
      <c r="H452" s="1">
        <v>46081.333333333336</v>
      </c>
    </row>
    <row r="453" spans="1:8" x14ac:dyDescent="0.25">
      <c r="A453" s="7">
        <f>DATE(YEAR(m5_crossvalid[[#This Row],[cutoff]]),MONTH(m5_crossvalid[[#This Row],[cutoff]]),DAY(m5_crossvalid[[#This Row],[cutoff]]))</f>
        <v>46081</v>
      </c>
      <c r="B453" s="7">
        <f>DATE(YEAR(m5_crossvalid[[#This Row],[ds]]),MONTH(m5_crossvalid[[#This Row],[ds]]),DAY(m5_crossvalid[[#This Row],[ds]]))</f>
        <v>46099</v>
      </c>
      <c r="C453">
        <v>5295</v>
      </c>
      <c r="D453" s="1">
        <v>46099.333333333336</v>
      </c>
      <c r="E453">
        <v>3323.8961162502774</v>
      </c>
      <c r="F453">
        <v>1936.4453625895494</v>
      </c>
      <c r="G453">
        <v>4813.1101336575448</v>
      </c>
      <c r="H453" s="1">
        <v>46081.333333333336</v>
      </c>
    </row>
    <row r="454" spans="1:8" x14ac:dyDescent="0.25">
      <c r="A454" s="7">
        <f>DATE(YEAR(m5_crossvalid[[#This Row],[cutoff]]),MONTH(m5_crossvalid[[#This Row],[cutoff]]),DAY(m5_crossvalid[[#This Row],[cutoff]]))</f>
        <v>46081</v>
      </c>
      <c r="B454" s="7">
        <f>DATE(YEAR(m5_crossvalid[[#This Row],[ds]]),MONTH(m5_crossvalid[[#This Row],[ds]]),DAY(m5_crossvalid[[#This Row],[ds]]))</f>
        <v>46100</v>
      </c>
      <c r="C454">
        <v>3557</v>
      </c>
      <c r="D454" s="1">
        <v>46100.333333333336</v>
      </c>
      <c r="E454">
        <v>3463.3868588809364</v>
      </c>
      <c r="F454">
        <v>1983.0150005152161</v>
      </c>
      <c r="G454">
        <v>4832.7580488134836</v>
      </c>
      <c r="H454" s="1">
        <v>46081.333333333336</v>
      </c>
    </row>
    <row r="455" spans="1:8" x14ac:dyDescent="0.25">
      <c r="A455" s="7">
        <f>DATE(YEAR(m5_crossvalid[[#This Row],[cutoff]]),MONTH(m5_crossvalid[[#This Row],[cutoff]]),DAY(m5_crossvalid[[#This Row],[cutoff]]))</f>
        <v>46081</v>
      </c>
      <c r="B455" s="7">
        <f>DATE(YEAR(m5_crossvalid[[#This Row],[ds]]),MONTH(m5_crossvalid[[#This Row],[ds]]),DAY(m5_crossvalid[[#This Row],[ds]]))</f>
        <v>46101</v>
      </c>
      <c r="C455">
        <v>61</v>
      </c>
      <c r="D455" s="1">
        <v>46101.333333333336</v>
      </c>
      <c r="E455">
        <v>-562.06318025505971</v>
      </c>
      <c r="F455">
        <v>-1985.0007694962842</v>
      </c>
      <c r="G455">
        <v>783.54075863028072</v>
      </c>
      <c r="H455" s="1">
        <v>46081.333333333336</v>
      </c>
    </row>
    <row r="456" spans="1:8" x14ac:dyDescent="0.25">
      <c r="A456" s="7">
        <f>DATE(YEAR(m5_crossvalid[[#This Row],[cutoff]]),MONTH(m5_crossvalid[[#This Row],[cutoff]]),DAY(m5_crossvalid[[#This Row],[cutoff]]))</f>
        <v>46081</v>
      </c>
      <c r="B456" s="7">
        <f>DATE(YEAR(m5_crossvalid[[#This Row],[ds]]),MONTH(m5_crossvalid[[#This Row],[ds]]),DAY(m5_crossvalid[[#This Row],[ds]]))</f>
        <v>46102</v>
      </c>
      <c r="C456">
        <v>3</v>
      </c>
      <c r="D456" s="1">
        <v>46102.333333333336</v>
      </c>
      <c r="E456">
        <v>-1649.1114862402819</v>
      </c>
      <c r="F456">
        <v>-3118.986611016011</v>
      </c>
      <c r="G456">
        <v>-295.77961702089283</v>
      </c>
      <c r="H456" s="1">
        <v>46081.333333333336</v>
      </c>
    </row>
    <row r="457" spans="1:8" x14ac:dyDescent="0.25">
      <c r="A457" s="7">
        <f>DATE(YEAR(m5_crossvalid[[#This Row],[cutoff]]),MONTH(m5_crossvalid[[#This Row],[cutoff]]),DAY(m5_crossvalid[[#This Row],[cutoff]]))</f>
        <v>46081</v>
      </c>
      <c r="B457" s="7">
        <f>DATE(YEAR(m5_crossvalid[[#This Row],[ds]]),MONTH(m5_crossvalid[[#This Row],[ds]]),DAY(m5_crossvalid[[#This Row],[ds]]))</f>
        <v>46103</v>
      </c>
      <c r="C457">
        <v>6</v>
      </c>
      <c r="D457" s="1">
        <v>46103.333333333336</v>
      </c>
      <c r="E457">
        <v>-4429.5450230676997</v>
      </c>
      <c r="F457">
        <v>-5906.3014915792983</v>
      </c>
      <c r="G457">
        <v>-2971.765461599522</v>
      </c>
      <c r="H457" s="1">
        <v>46081.333333333336</v>
      </c>
    </row>
    <row r="458" spans="1:8" x14ac:dyDescent="0.25">
      <c r="A458" s="7">
        <f>DATE(YEAR(m5_crossvalid[[#This Row],[cutoff]]),MONTH(m5_crossvalid[[#This Row],[cutoff]]),DAY(m5_crossvalid[[#This Row],[cutoff]]))</f>
        <v>46081</v>
      </c>
      <c r="B458" s="7">
        <f>DATE(YEAR(m5_crossvalid[[#This Row],[ds]]),MONTH(m5_crossvalid[[#This Row],[ds]]),DAY(m5_crossvalid[[#This Row],[ds]]))</f>
        <v>46104</v>
      </c>
      <c r="C458">
        <v>23</v>
      </c>
      <c r="D458" s="1">
        <v>46104.333333333336</v>
      </c>
      <c r="E458">
        <v>-1252.2898277816525</v>
      </c>
      <c r="F458">
        <v>-2584.4676478383262</v>
      </c>
      <c r="G458">
        <v>236.64485238983545</v>
      </c>
      <c r="H458" s="1">
        <v>46081.333333333336</v>
      </c>
    </row>
    <row r="459" spans="1:8" x14ac:dyDescent="0.25">
      <c r="A459" s="7">
        <f>DATE(YEAR(m5_crossvalid[[#This Row],[cutoff]]),MONTH(m5_crossvalid[[#This Row],[cutoff]]),DAY(m5_crossvalid[[#This Row],[cutoff]]))</f>
        <v>46081</v>
      </c>
      <c r="B459" s="7">
        <f>DATE(YEAR(m5_crossvalid[[#This Row],[ds]]),MONTH(m5_crossvalid[[#This Row],[ds]]),DAY(m5_crossvalid[[#This Row],[ds]]))</f>
        <v>46105</v>
      </c>
      <c r="C459">
        <v>974</v>
      </c>
      <c r="D459" s="1">
        <v>46105.333333333336</v>
      </c>
      <c r="E459">
        <v>2163.3189509161316</v>
      </c>
      <c r="F459">
        <v>730.12090169396538</v>
      </c>
      <c r="G459">
        <v>3625.8295903250209</v>
      </c>
      <c r="H459" s="1">
        <v>46081.333333333336</v>
      </c>
    </row>
    <row r="460" spans="1:8" x14ac:dyDescent="0.25">
      <c r="A460" s="7">
        <f>DATE(YEAR(m5_crossvalid[[#This Row],[cutoff]]),MONTH(m5_crossvalid[[#This Row],[cutoff]]),DAY(m5_crossvalid[[#This Row],[cutoff]]))</f>
        <v>46081</v>
      </c>
      <c r="B460" s="7">
        <f>DATE(YEAR(m5_crossvalid[[#This Row],[ds]]),MONTH(m5_crossvalid[[#This Row],[ds]]),DAY(m5_crossvalid[[#This Row],[ds]]))</f>
        <v>46106</v>
      </c>
      <c r="C460">
        <v>1752</v>
      </c>
      <c r="D460" s="1">
        <v>46106.333333333336</v>
      </c>
      <c r="E460">
        <v>2096.5233948185983</v>
      </c>
      <c r="F460">
        <v>666.57897757532805</v>
      </c>
      <c r="G460">
        <v>3540.3532312360417</v>
      </c>
      <c r="H460" s="1">
        <v>46081.333333333336</v>
      </c>
    </row>
    <row r="461" spans="1:8" x14ac:dyDescent="0.25">
      <c r="A461" s="7">
        <f>DATE(YEAR(m5_crossvalid[[#This Row],[cutoff]]),MONTH(m5_crossvalid[[#This Row],[cutoff]]),DAY(m5_crossvalid[[#This Row],[cutoff]]))</f>
        <v>46081</v>
      </c>
      <c r="B461" s="7">
        <f>DATE(YEAR(m5_crossvalid[[#This Row],[ds]]),MONTH(m5_crossvalid[[#This Row],[ds]]),DAY(m5_crossvalid[[#This Row],[ds]]))</f>
        <v>46107</v>
      </c>
      <c r="C461">
        <v>2884</v>
      </c>
      <c r="D461" s="1">
        <v>46107.333333333336</v>
      </c>
      <c r="E461">
        <v>3336.0290798007145</v>
      </c>
      <c r="F461">
        <v>1905.6440314804674</v>
      </c>
      <c r="G461">
        <v>4749.0980763124535</v>
      </c>
      <c r="H461" s="1">
        <v>46081.333333333336</v>
      </c>
    </row>
    <row r="462" spans="1:8" x14ac:dyDescent="0.25">
      <c r="A462" s="7">
        <f>DATE(YEAR(m5_crossvalid[[#This Row],[cutoff]]),MONTH(m5_crossvalid[[#This Row],[cutoff]]),DAY(m5_crossvalid[[#This Row],[cutoff]]))</f>
        <v>46081</v>
      </c>
      <c r="B462" s="7">
        <f>DATE(YEAR(m5_crossvalid[[#This Row],[ds]]),MONTH(m5_crossvalid[[#This Row],[ds]]),DAY(m5_crossvalid[[#This Row],[ds]]))</f>
        <v>46108</v>
      </c>
      <c r="C462">
        <v>3597</v>
      </c>
      <c r="D462" s="1">
        <v>46108.333333333336</v>
      </c>
      <c r="E462">
        <v>2625.7885810940111</v>
      </c>
      <c r="F462">
        <v>1186.6353209182741</v>
      </c>
      <c r="G462">
        <v>4050.6002255824897</v>
      </c>
      <c r="H462" s="1">
        <v>46081.333333333336</v>
      </c>
    </row>
    <row r="463" spans="1:8" x14ac:dyDescent="0.25">
      <c r="A463" s="7">
        <f>DATE(YEAR(m5_crossvalid[[#This Row],[cutoff]]),MONTH(m5_crossvalid[[#This Row],[cutoff]]),DAY(m5_crossvalid[[#This Row],[cutoff]]))</f>
        <v>46081</v>
      </c>
      <c r="B463" s="7">
        <f>DATE(YEAR(m5_crossvalid[[#This Row],[ds]]),MONTH(m5_crossvalid[[#This Row],[ds]]),DAY(m5_crossvalid[[#This Row],[ds]]))</f>
        <v>46109</v>
      </c>
      <c r="C463">
        <v>1207</v>
      </c>
      <c r="D463" s="1">
        <v>46109.333333333336</v>
      </c>
      <c r="E463">
        <v>1545.7878208395118</v>
      </c>
      <c r="F463">
        <v>190.53417662454544</v>
      </c>
      <c r="G463">
        <v>2968.6093089477631</v>
      </c>
      <c r="H463" s="1">
        <v>46081.333333333336</v>
      </c>
    </row>
    <row r="464" spans="1:8" x14ac:dyDescent="0.25">
      <c r="A464" s="7">
        <f>DATE(YEAR(m5_crossvalid[[#This Row],[cutoff]]),MONTH(m5_crossvalid[[#This Row],[cutoff]]),DAY(m5_crossvalid[[#This Row],[cutoff]]))</f>
        <v>46081</v>
      </c>
      <c r="B464" s="7">
        <f>DATE(YEAR(m5_crossvalid[[#This Row],[ds]]),MONTH(m5_crossvalid[[#This Row],[ds]]),DAY(m5_crossvalid[[#This Row],[ds]]))</f>
        <v>46110</v>
      </c>
      <c r="C464">
        <v>183</v>
      </c>
      <c r="D464" s="1">
        <v>46110.333333333336</v>
      </c>
      <c r="E464">
        <v>242.07780331218078</v>
      </c>
      <c r="F464">
        <v>-1244.4356248078677</v>
      </c>
      <c r="G464">
        <v>1756.1424701493306</v>
      </c>
      <c r="H464" s="1">
        <v>46081.333333333336</v>
      </c>
    </row>
    <row r="465" spans="1:8" x14ac:dyDescent="0.25">
      <c r="A465" s="7">
        <f>DATE(YEAR(m5_crossvalid[[#This Row],[cutoff]]),MONTH(m5_crossvalid[[#This Row],[cutoff]]),DAY(m5_crossvalid[[#This Row],[cutoff]]))</f>
        <v>46081</v>
      </c>
      <c r="B465" s="7">
        <f>DATE(YEAR(m5_crossvalid[[#This Row],[ds]]),MONTH(m5_crossvalid[[#This Row],[ds]]),DAY(m5_crossvalid[[#This Row],[ds]]))</f>
        <v>46111</v>
      </c>
      <c r="C465">
        <v>4959</v>
      </c>
      <c r="D465" s="1">
        <v>46111.333333333336</v>
      </c>
      <c r="E465">
        <v>6477.4893004139512</v>
      </c>
      <c r="F465">
        <v>5041.3228397246639</v>
      </c>
      <c r="G465">
        <v>7962.452959320085</v>
      </c>
      <c r="H465" s="1">
        <v>46081.333333333336</v>
      </c>
    </row>
    <row r="466" spans="1:8" x14ac:dyDescent="0.25">
      <c r="A466" s="7">
        <f>DATE(YEAR(m5_crossvalid[[#This Row],[cutoff]]),MONTH(m5_crossvalid[[#This Row],[cutoff]]),DAY(m5_crossvalid[[#This Row],[cutoff]]))</f>
        <v>46081</v>
      </c>
      <c r="B466" s="7">
        <f>DATE(YEAR(m5_crossvalid[[#This Row],[ds]]),MONTH(m5_crossvalid[[#This Row],[ds]]),DAY(m5_crossvalid[[#This Row],[ds]]))</f>
        <v>46112</v>
      </c>
      <c r="C466">
        <v>13213</v>
      </c>
      <c r="D466" s="1">
        <v>46112.333333333336</v>
      </c>
      <c r="E466">
        <v>10540.792959940713</v>
      </c>
      <c r="F466">
        <v>9060.2116641664979</v>
      </c>
      <c r="G466">
        <v>11983.474493568192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4555-BB26-425F-840E-3F25AAD3D695}">
  <dimension ref="A1:H466"/>
  <sheetViews>
    <sheetView topLeftCell="A424" workbookViewId="0">
      <selection activeCell="B2" sqref="A2:B46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DATE(YEAR(m6_crossvalid[[#This Row],[cutoff]]),MONTH(m6_crossvalid[[#This Row],[cutoff]]),DAY(m6_crossvalid[[#This Row],[cutoff]]))</f>
        <v>45657</v>
      </c>
      <c r="B2" s="7">
        <f>DATE(YEAR(m6_crossvalid[[#This Row],[ds]]),MONTH(m6_crossvalid[[#This Row],[ds]]),DAY(m6_crossvalid[[#This Row],[ds]]))</f>
        <v>45658</v>
      </c>
      <c r="C2">
        <v>89.999999999999972</v>
      </c>
      <c r="D2" s="1">
        <v>45658.333333333336</v>
      </c>
      <c r="E2">
        <v>93.474985260670323</v>
      </c>
      <c r="F2">
        <v>46.926996974891985</v>
      </c>
      <c r="G2">
        <v>174.98064352492727</v>
      </c>
      <c r="H2" s="1">
        <v>45657.333333333336</v>
      </c>
    </row>
    <row r="3" spans="1:8" x14ac:dyDescent="0.25">
      <c r="A3" s="7">
        <f>DATE(YEAR(m6_crossvalid[[#This Row],[cutoff]]),MONTH(m6_crossvalid[[#This Row],[cutoff]]),DAY(m6_crossvalid[[#This Row],[cutoff]]))</f>
        <v>45657</v>
      </c>
      <c r="B3" s="7">
        <f>DATE(YEAR(m6_crossvalid[[#This Row],[ds]]),MONTH(m6_crossvalid[[#This Row],[ds]]),DAY(m6_crossvalid[[#This Row],[ds]]))</f>
        <v>45659</v>
      </c>
      <c r="C3">
        <v>541.00000000000011</v>
      </c>
      <c r="D3" s="1">
        <v>45659.333333333336</v>
      </c>
      <c r="E3">
        <v>556.47621786901982</v>
      </c>
      <c r="F3">
        <v>302.4911137931</v>
      </c>
      <c r="G3">
        <v>1049.2594661002022</v>
      </c>
      <c r="H3" s="1">
        <v>45657.333333333336</v>
      </c>
    </row>
    <row r="4" spans="1:8" x14ac:dyDescent="0.25">
      <c r="A4" s="7">
        <f>DATE(YEAR(m6_crossvalid[[#This Row],[cutoff]]),MONTH(m6_crossvalid[[#This Row],[cutoff]]),DAY(m6_crossvalid[[#This Row],[cutoff]]))</f>
        <v>45657</v>
      </c>
      <c r="B4" s="7">
        <f>DATE(YEAR(m6_crossvalid[[#This Row],[ds]]),MONTH(m6_crossvalid[[#This Row],[ds]]),DAY(m6_crossvalid[[#This Row],[ds]]))</f>
        <v>45660</v>
      </c>
      <c r="C4">
        <v>563.00000000000023</v>
      </c>
      <c r="D4" s="1">
        <v>45660.333333333336</v>
      </c>
      <c r="E4">
        <v>639.65262709473984</v>
      </c>
      <c r="F4">
        <v>346.0528749768315</v>
      </c>
      <c r="G4">
        <v>1277.5321009154941</v>
      </c>
      <c r="H4" s="1">
        <v>45657.333333333336</v>
      </c>
    </row>
    <row r="5" spans="1:8" x14ac:dyDescent="0.25">
      <c r="A5" s="7">
        <f>DATE(YEAR(m6_crossvalid[[#This Row],[cutoff]]),MONTH(m6_crossvalid[[#This Row],[cutoff]]),DAY(m6_crossvalid[[#This Row],[cutoff]]))</f>
        <v>45657</v>
      </c>
      <c r="B5" s="7">
        <f>DATE(YEAR(m6_crossvalid[[#This Row],[ds]]),MONTH(m6_crossvalid[[#This Row],[ds]]),DAY(m6_crossvalid[[#This Row],[ds]]))</f>
        <v>45661</v>
      </c>
      <c r="C5">
        <v>42</v>
      </c>
      <c r="D5" s="1">
        <v>45661.333333333336</v>
      </c>
      <c r="E5">
        <v>107.85484050868574</v>
      </c>
      <c r="F5">
        <v>57.954832087883716</v>
      </c>
      <c r="G5">
        <v>212.17558135666434</v>
      </c>
      <c r="H5" s="1">
        <v>45657.333333333336</v>
      </c>
    </row>
    <row r="6" spans="1:8" x14ac:dyDescent="0.25">
      <c r="A6" s="7">
        <f>DATE(YEAR(m6_crossvalid[[#This Row],[cutoff]]),MONTH(m6_crossvalid[[#This Row],[cutoff]]),DAY(m6_crossvalid[[#This Row],[cutoff]]))</f>
        <v>45657</v>
      </c>
      <c r="B6" s="7">
        <f>DATE(YEAR(m6_crossvalid[[#This Row],[ds]]),MONTH(m6_crossvalid[[#This Row],[ds]]),DAY(m6_crossvalid[[#This Row],[ds]]))</f>
        <v>45662</v>
      </c>
      <c r="C6">
        <v>22</v>
      </c>
      <c r="D6" s="1">
        <v>45662.333333333336</v>
      </c>
      <c r="E6">
        <v>47.828338226135045</v>
      </c>
      <c r="F6">
        <v>24.214471224498876</v>
      </c>
      <c r="G6">
        <v>90.584037006499571</v>
      </c>
      <c r="H6" s="1">
        <v>45657.333333333336</v>
      </c>
    </row>
    <row r="7" spans="1:8" x14ac:dyDescent="0.25">
      <c r="A7" s="7">
        <f>DATE(YEAR(m6_crossvalid[[#This Row],[cutoff]]),MONTH(m6_crossvalid[[#This Row],[cutoff]]),DAY(m6_crossvalid[[#This Row],[cutoff]]))</f>
        <v>45657</v>
      </c>
      <c r="B7" s="7">
        <f>DATE(YEAR(m6_crossvalid[[#This Row],[ds]]),MONTH(m6_crossvalid[[#This Row],[ds]]),DAY(m6_crossvalid[[#This Row],[ds]]))</f>
        <v>45663</v>
      </c>
      <c r="C7">
        <v>533.00000000000011</v>
      </c>
      <c r="D7" s="1">
        <v>45663.333333333336</v>
      </c>
      <c r="E7">
        <v>603.76154474960822</v>
      </c>
      <c r="F7">
        <v>317.13857050340624</v>
      </c>
      <c r="G7">
        <v>1146.8148494182378</v>
      </c>
      <c r="H7" s="1">
        <v>45657.333333333336</v>
      </c>
    </row>
    <row r="8" spans="1:8" x14ac:dyDescent="0.25">
      <c r="A8" s="7">
        <f>DATE(YEAR(m6_crossvalid[[#This Row],[cutoff]]),MONTH(m6_crossvalid[[#This Row],[cutoff]]),DAY(m6_crossvalid[[#This Row],[cutoff]]))</f>
        <v>45657</v>
      </c>
      <c r="B8" s="7">
        <f>DATE(YEAR(m6_crossvalid[[#This Row],[ds]]),MONTH(m6_crossvalid[[#This Row],[ds]]),DAY(m6_crossvalid[[#This Row],[ds]]))</f>
        <v>45664</v>
      </c>
      <c r="C8">
        <v>712</v>
      </c>
      <c r="D8" s="1">
        <v>45664.333333333336</v>
      </c>
      <c r="E8">
        <v>717.30209847319077</v>
      </c>
      <c r="F8">
        <v>377.14274894993832</v>
      </c>
      <c r="G8">
        <v>1328.3131728365227</v>
      </c>
      <c r="H8" s="1">
        <v>45657.333333333336</v>
      </c>
    </row>
    <row r="9" spans="1:8" x14ac:dyDescent="0.25">
      <c r="A9" s="7">
        <f>DATE(YEAR(m6_crossvalid[[#This Row],[cutoff]]),MONTH(m6_crossvalid[[#This Row],[cutoff]]),DAY(m6_crossvalid[[#This Row],[cutoff]]))</f>
        <v>45657</v>
      </c>
      <c r="B9" s="7">
        <f>DATE(YEAR(m6_crossvalid[[#This Row],[ds]]),MONTH(m6_crossvalid[[#This Row],[ds]]),DAY(m6_crossvalid[[#This Row],[ds]]))</f>
        <v>45665</v>
      </c>
      <c r="C9">
        <v>903.99999999999966</v>
      </c>
      <c r="D9" s="1">
        <v>45665.333333333336</v>
      </c>
      <c r="E9">
        <v>1304.3121847519208</v>
      </c>
      <c r="F9">
        <v>708.74112609416284</v>
      </c>
      <c r="G9">
        <v>2481.8756547487415</v>
      </c>
      <c r="H9" s="1">
        <v>45657.333333333336</v>
      </c>
    </row>
    <row r="10" spans="1:8" x14ac:dyDescent="0.25">
      <c r="A10" s="7">
        <f>DATE(YEAR(m6_crossvalid[[#This Row],[cutoff]]),MONTH(m6_crossvalid[[#This Row],[cutoff]]),DAY(m6_crossvalid[[#This Row],[cutoff]]))</f>
        <v>45657</v>
      </c>
      <c r="B10" s="7">
        <f>DATE(YEAR(m6_crossvalid[[#This Row],[ds]]),MONTH(m6_crossvalid[[#This Row],[ds]]),DAY(m6_crossvalid[[#This Row],[ds]]))</f>
        <v>45666</v>
      </c>
      <c r="C10">
        <v>1135.0000000000005</v>
      </c>
      <c r="D10" s="1">
        <v>45666.333333333336</v>
      </c>
      <c r="E10">
        <v>1291.9981782851305</v>
      </c>
      <c r="F10">
        <v>653.67551537467023</v>
      </c>
      <c r="G10">
        <v>2405.5790740651228</v>
      </c>
      <c r="H10" s="1">
        <v>45657.333333333336</v>
      </c>
    </row>
    <row r="11" spans="1:8" x14ac:dyDescent="0.25">
      <c r="A11" s="7">
        <f>DATE(YEAR(m6_crossvalid[[#This Row],[cutoff]]),MONTH(m6_crossvalid[[#This Row],[cutoff]]),DAY(m6_crossvalid[[#This Row],[cutoff]]))</f>
        <v>45657</v>
      </c>
      <c r="B11" s="7">
        <f>DATE(YEAR(m6_crossvalid[[#This Row],[ds]]),MONTH(m6_crossvalid[[#This Row],[ds]]),DAY(m6_crossvalid[[#This Row],[ds]]))</f>
        <v>45667</v>
      </c>
      <c r="C11">
        <v>1270.0000000000002</v>
      </c>
      <c r="D11" s="1">
        <v>45667.333333333336</v>
      </c>
      <c r="E11">
        <v>1181.7294038178281</v>
      </c>
      <c r="F11">
        <v>617.63821672493873</v>
      </c>
      <c r="G11">
        <v>2275.2070064784093</v>
      </c>
      <c r="H11" s="1">
        <v>45657.333333333336</v>
      </c>
    </row>
    <row r="12" spans="1:8" x14ac:dyDescent="0.25">
      <c r="A12" s="7">
        <f>DATE(YEAR(m6_crossvalid[[#This Row],[cutoff]]),MONTH(m6_crossvalid[[#This Row],[cutoff]]),DAY(m6_crossvalid[[#This Row],[cutoff]]))</f>
        <v>45657</v>
      </c>
      <c r="B12" s="7">
        <f>DATE(YEAR(m6_crossvalid[[#This Row],[ds]]),MONTH(m6_crossvalid[[#This Row],[ds]]),DAY(m6_crossvalid[[#This Row],[ds]]))</f>
        <v>45668</v>
      </c>
      <c r="C12">
        <v>202.99999999999994</v>
      </c>
      <c r="D12" s="1">
        <v>45668.333333333336</v>
      </c>
      <c r="E12">
        <v>224.14458060974331</v>
      </c>
      <c r="F12">
        <v>117.28678442855755</v>
      </c>
      <c r="G12">
        <v>444.76250186142403</v>
      </c>
      <c r="H12" s="1">
        <v>45657.333333333336</v>
      </c>
    </row>
    <row r="13" spans="1:8" x14ac:dyDescent="0.25">
      <c r="A13" s="7">
        <f>DATE(YEAR(m6_crossvalid[[#This Row],[cutoff]]),MONTH(m6_crossvalid[[#This Row],[cutoff]]),DAY(m6_crossvalid[[#This Row],[cutoff]]))</f>
        <v>45657</v>
      </c>
      <c r="B13" s="7">
        <f>DATE(YEAR(m6_crossvalid[[#This Row],[ds]]),MONTH(m6_crossvalid[[#This Row],[ds]]),DAY(m6_crossvalid[[#This Row],[ds]]))</f>
        <v>45669</v>
      </c>
      <c r="C13">
        <v>41.000000000000007</v>
      </c>
      <c r="D13" s="1">
        <v>45669.333333333336</v>
      </c>
      <c r="E13">
        <v>106.07104445092038</v>
      </c>
      <c r="F13">
        <v>53.193243050986013</v>
      </c>
      <c r="G13">
        <v>210.74284863471397</v>
      </c>
      <c r="H13" s="1">
        <v>45657.333333333336</v>
      </c>
    </row>
    <row r="14" spans="1:8" x14ac:dyDescent="0.25">
      <c r="A14" s="7">
        <f>DATE(YEAR(m6_crossvalid[[#This Row],[cutoff]]),MONTH(m6_crossvalid[[#This Row],[cutoff]]),DAY(m6_crossvalid[[#This Row],[cutoff]]))</f>
        <v>45657</v>
      </c>
      <c r="B14" s="7">
        <f>DATE(YEAR(m6_crossvalid[[#This Row],[ds]]),MONTH(m6_crossvalid[[#This Row],[ds]]),DAY(m6_crossvalid[[#This Row],[ds]]))</f>
        <v>45670</v>
      </c>
      <c r="C14">
        <v>1312.9999999999995</v>
      </c>
      <c r="D14" s="1">
        <v>45670.333333333336</v>
      </c>
      <c r="E14">
        <v>1385.8513124900917</v>
      </c>
      <c r="F14">
        <v>739.81587893472522</v>
      </c>
      <c r="G14">
        <v>2729.3271705725697</v>
      </c>
      <c r="H14" s="1">
        <v>45657.333333333336</v>
      </c>
    </row>
    <row r="15" spans="1:8" x14ac:dyDescent="0.25">
      <c r="A15" s="7">
        <f>DATE(YEAR(m6_crossvalid[[#This Row],[cutoff]]),MONTH(m6_crossvalid[[#This Row],[cutoff]]),DAY(m6_crossvalid[[#This Row],[cutoff]]))</f>
        <v>45657</v>
      </c>
      <c r="B15" s="7">
        <f>DATE(YEAR(m6_crossvalid[[#This Row],[ds]]),MONTH(m6_crossvalid[[#This Row],[ds]]),DAY(m6_crossvalid[[#This Row],[ds]]))</f>
        <v>45671</v>
      </c>
      <c r="C15">
        <v>1609.0000000000005</v>
      </c>
      <c r="D15" s="1">
        <v>45671.333333333336</v>
      </c>
      <c r="E15">
        <v>1795.7962503052479</v>
      </c>
      <c r="F15">
        <v>919.41701881197037</v>
      </c>
      <c r="G15">
        <v>3340.3544939594149</v>
      </c>
      <c r="H15" s="1">
        <v>45657.333333333336</v>
      </c>
    </row>
    <row r="16" spans="1:8" x14ac:dyDescent="0.25">
      <c r="A16" s="7">
        <f>DATE(YEAR(m6_crossvalid[[#This Row],[cutoff]]),MONTH(m6_crossvalid[[#This Row],[cutoff]]),DAY(m6_crossvalid[[#This Row],[cutoff]]))</f>
        <v>45657</v>
      </c>
      <c r="B16" s="7">
        <f>DATE(YEAR(m6_crossvalid[[#This Row],[ds]]),MONTH(m6_crossvalid[[#This Row],[ds]]),DAY(m6_crossvalid[[#This Row],[ds]]))</f>
        <v>45672</v>
      </c>
      <c r="C16">
        <v>2010.0000000000002</v>
      </c>
      <c r="D16" s="1">
        <v>45672.333333333336</v>
      </c>
      <c r="E16">
        <v>1969.4898763365072</v>
      </c>
      <c r="F16">
        <v>1063.6121178312217</v>
      </c>
      <c r="G16">
        <v>3934.5384132941081</v>
      </c>
      <c r="H16" s="1">
        <v>45657.333333333336</v>
      </c>
    </row>
    <row r="17" spans="1:8" x14ac:dyDescent="0.25">
      <c r="A17" s="7">
        <f>DATE(YEAR(m6_crossvalid[[#This Row],[cutoff]]),MONTH(m6_crossvalid[[#This Row],[cutoff]]),DAY(m6_crossvalid[[#This Row],[cutoff]]))</f>
        <v>45657</v>
      </c>
      <c r="B17" s="7">
        <f>DATE(YEAR(m6_crossvalid[[#This Row],[ds]]),MONTH(m6_crossvalid[[#This Row],[ds]]),DAY(m6_crossvalid[[#This Row],[ds]]))</f>
        <v>45673</v>
      </c>
      <c r="C17">
        <v>2206.0000000000009</v>
      </c>
      <c r="D17" s="1">
        <v>45673.333333333336</v>
      </c>
      <c r="E17">
        <v>2274.6146026177576</v>
      </c>
      <c r="F17">
        <v>1199.8000077147283</v>
      </c>
      <c r="G17">
        <v>4387.5471155564082</v>
      </c>
      <c r="H17" s="1">
        <v>45657.333333333336</v>
      </c>
    </row>
    <row r="18" spans="1:8" x14ac:dyDescent="0.25">
      <c r="A18" s="7">
        <f>DATE(YEAR(m6_crossvalid[[#This Row],[cutoff]]),MONTH(m6_crossvalid[[#This Row],[cutoff]]),DAY(m6_crossvalid[[#This Row],[cutoff]]))</f>
        <v>45657</v>
      </c>
      <c r="B18" s="7">
        <f>DATE(YEAR(m6_crossvalid[[#This Row],[ds]]),MONTH(m6_crossvalid[[#This Row],[ds]]),DAY(m6_crossvalid[[#This Row],[ds]]))</f>
        <v>45674</v>
      </c>
      <c r="C18">
        <v>2290.9999999999991</v>
      </c>
      <c r="D18" s="1">
        <v>45674.333333333336</v>
      </c>
      <c r="E18">
        <v>2275.759044435265</v>
      </c>
      <c r="F18">
        <v>1167.9030462687365</v>
      </c>
      <c r="G18">
        <v>4533.4074874809767</v>
      </c>
      <c r="H18" s="1">
        <v>45657.333333333336</v>
      </c>
    </row>
    <row r="19" spans="1:8" x14ac:dyDescent="0.25">
      <c r="A19" s="7">
        <f>DATE(YEAR(m6_crossvalid[[#This Row],[cutoff]]),MONTH(m6_crossvalid[[#This Row],[cutoff]]),DAY(m6_crossvalid[[#This Row],[cutoff]]))</f>
        <v>45657</v>
      </c>
      <c r="B19" s="7">
        <f>DATE(YEAR(m6_crossvalid[[#This Row],[ds]]),MONTH(m6_crossvalid[[#This Row],[ds]]),DAY(m6_crossvalid[[#This Row],[ds]]))</f>
        <v>45675</v>
      </c>
      <c r="C19">
        <v>401</v>
      </c>
      <c r="D19" s="1">
        <v>45675.333333333336</v>
      </c>
      <c r="E19">
        <v>429.20678335092686</v>
      </c>
      <c r="F19">
        <v>223.34921282504425</v>
      </c>
      <c r="G19">
        <v>815.32385288265459</v>
      </c>
      <c r="H19" s="1">
        <v>45657.333333333336</v>
      </c>
    </row>
    <row r="20" spans="1:8" x14ac:dyDescent="0.25">
      <c r="A20" s="7">
        <f>DATE(YEAR(m6_crossvalid[[#This Row],[cutoff]]),MONTH(m6_crossvalid[[#This Row],[cutoff]]),DAY(m6_crossvalid[[#This Row],[cutoff]]))</f>
        <v>45657</v>
      </c>
      <c r="B20" s="7">
        <f>DATE(YEAR(m6_crossvalid[[#This Row],[ds]]),MONTH(m6_crossvalid[[#This Row],[ds]]),DAY(m6_crossvalid[[#This Row],[ds]]))</f>
        <v>45676</v>
      </c>
      <c r="C20">
        <v>128.99999999999997</v>
      </c>
      <c r="D20" s="1">
        <v>45676.333333333336</v>
      </c>
      <c r="E20">
        <v>190.75221272414859</v>
      </c>
      <c r="F20">
        <v>102.13413641174677</v>
      </c>
      <c r="G20">
        <v>356.76820618487</v>
      </c>
      <c r="H20" s="1">
        <v>45657.333333333336</v>
      </c>
    </row>
    <row r="21" spans="1:8" x14ac:dyDescent="0.25">
      <c r="A21" s="7">
        <f>DATE(YEAR(m6_crossvalid[[#This Row],[cutoff]]),MONTH(m6_crossvalid[[#This Row],[cutoff]]),DAY(m6_crossvalid[[#This Row],[cutoff]]))</f>
        <v>45657</v>
      </c>
      <c r="B21" s="7">
        <f>DATE(YEAR(m6_crossvalid[[#This Row],[ds]]),MONTH(m6_crossvalid[[#This Row],[ds]]),DAY(m6_crossvalid[[#This Row],[ds]]))</f>
        <v>45677</v>
      </c>
      <c r="C21">
        <v>2384.9999999999995</v>
      </c>
      <c r="D21" s="1">
        <v>45677.333333333336</v>
      </c>
      <c r="E21">
        <v>2380.4753950731879</v>
      </c>
      <c r="F21">
        <v>1182.1719321915098</v>
      </c>
      <c r="G21">
        <v>4452.7099261448775</v>
      </c>
      <c r="H21" s="1">
        <v>45657.333333333336</v>
      </c>
    </row>
    <row r="22" spans="1:8" x14ac:dyDescent="0.25">
      <c r="A22" s="7">
        <f>DATE(YEAR(m6_crossvalid[[#This Row],[cutoff]]),MONTH(m6_crossvalid[[#This Row],[cutoff]]),DAY(m6_crossvalid[[#This Row],[cutoff]]))</f>
        <v>45657</v>
      </c>
      <c r="B22" s="7">
        <f>DATE(YEAR(m6_crossvalid[[#This Row],[ds]]),MONTH(m6_crossvalid[[#This Row],[ds]]),DAY(m6_crossvalid[[#This Row],[ds]]))</f>
        <v>45678</v>
      </c>
      <c r="C22">
        <v>3051.0000000000005</v>
      </c>
      <c r="D22" s="1">
        <v>45678.333333333336</v>
      </c>
      <c r="E22">
        <v>3183.682156326372</v>
      </c>
      <c r="F22">
        <v>1736.414353532231</v>
      </c>
      <c r="G22">
        <v>6343.7973084801815</v>
      </c>
      <c r="H22" s="1">
        <v>45657.333333333336</v>
      </c>
    </row>
    <row r="23" spans="1:8" x14ac:dyDescent="0.25">
      <c r="A23" s="7">
        <f>DATE(YEAR(m6_crossvalid[[#This Row],[cutoff]]),MONTH(m6_crossvalid[[#This Row],[cutoff]]),DAY(m6_crossvalid[[#This Row],[cutoff]]))</f>
        <v>45657</v>
      </c>
      <c r="B23" s="7">
        <f>DATE(YEAR(m6_crossvalid[[#This Row],[ds]]),MONTH(m6_crossvalid[[#This Row],[ds]]),DAY(m6_crossvalid[[#This Row],[ds]]))</f>
        <v>45679</v>
      </c>
      <c r="C23">
        <v>2878.0000000000005</v>
      </c>
      <c r="D23" s="1">
        <v>45679.333333333336</v>
      </c>
      <c r="E23">
        <v>3793.919045538215</v>
      </c>
      <c r="F23">
        <v>1928.3461259474902</v>
      </c>
      <c r="G23">
        <v>7322.030703416498</v>
      </c>
      <c r="H23" s="1">
        <v>45657.333333333336</v>
      </c>
    </row>
    <row r="24" spans="1:8" x14ac:dyDescent="0.25">
      <c r="A24" s="7">
        <f>DATE(YEAR(m6_crossvalid[[#This Row],[cutoff]]),MONTH(m6_crossvalid[[#This Row],[cutoff]]),DAY(m6_crossvalid[[#This Row],[cutoff]]))</f>
        <v>45657</v>
      </c>
      <c r="B24" s="7">
        <f>DATE(YEAR(m6_crossvalid[[#This Row],[ds]]),MONTH(m6_crossvalid[[#This Row],[ds]]),DAY(m6_crossvalid[[#This Row],[ds]]))</f>
        <v>45680</v>
      </c>
      <c r="C24">
        <v>4853.0000000000045</v>
      </c>
      <c r="D24" s="1">
        <v>45680.333333333336</v>
      </c>
      <c r="E24">
        <v>4654.9578394092814</v>
      </c>
      <c r="F24">
        <v>2471.6901495784291</v>
      </c>
      <c r="G24">
        <v>9167.2674515945728</v>
      </c>
      <c r="H24" s="1">
        <v>45657.333333333336</v>
      </c>
    </row>
    <row r="25" spans="1:8" x14ac:dyDescent="0.25">
      <c r="A25" s="7">
        <f>DATE(YEAR(m6_crossvalid[[#This Row],[cutoff]]),MONTH(m6_crossvalid[[#This Row],[cutoff]]),DAY(m6_crossvalid[[#This Row],[cutoff]]))</f>
        <v>45657</v>
      </c>
      <c r="B25" s="7">
        <f>DATE(YEAR(m6_crossvalid[[#This Row],[ds]]),MONTH(m6_crossvalid[[#This Row],[ds]]),DAY(m6_crossvalid[[#This Row],[ds]]))</f>
        <v>45681</v>
      </c>
      <c r="C25">
        <v>5201.9999999999991</v>
      </c>
      <c r="D25" s="1">
        <v>45681.333333333336</v>
      </c>
      <c r="E25">
        <v>4557.5350041830116</v>
      </c>
      <c r="F25">
        <v>2356.0336799702759</v>
      </c>
      <c r="G25">
        <v>8647.032505020954</v>
      </c>
      <c r="H25" s="1">
        <v>45657.333333333336</v>
      </c>
    </row>
    <row r="26" spans="1:8" x14ac:dyDescent="0.25">
      <c r="A26" s="7">
        <f>DATE(YEAR(m6_crossvalid[[#This Row],[cutoff]]),MONTH(m6_crossvalid[[#This Row],[cutoff]]),DAY(m6_crossvalid[[#This Row],[cutoff]]))</f>
        <v>45657</v>
      </c>
      <c r="B26" s="7">
        <f>DATE(YEAR(m6_crossvalid[[#This Row],[ds]]),MONTH(m6_crossvalid[[#This Row],[ds]]),DAY(m6_crossvalid[[#This Row],[ds]]))</f>
        <v>45682</v>
      </c>
      <c r="C26">
        <v>1624</v>
      </c>
      <c r="D26" s="1">
        <v>45682.333333333336</v>
      </c>
      <c r="E26">
        <v>777.36639253651629</v>
      </c>
      <c r="F26">
        <v>402.82663849541643</v>
      </c>
      <c r="G26">
        <v>1443.4059703598059</v>
      </c>
      <c r="H26" s="1">
        <v>45657.333333333336</v>
      </c>
    </row>
    <row r="27" spans="1:8" x14ac:dyDescent="0.25">
      <c r="A27" s="7">
        <f>DATE(YEAR(m6_crossvalid[[#This Row],[cutoff]]),MONTH(m6_crossvalid[[#This Row],[cutoff]]),DAY(m6_crossvalid[[#This Row],[cutoff]]))</f>
        <v>45657</v>
      </c>
      <c r="B27" s="7">
        <f>DATE(YEAR(m6_crossvalid[[#This Row],[ds]]),MONTH(m6_crossvalid[[#This Row],[ds]]),DAY(m6_crossvalid[[#This Row],[ds]]))</f>
        <v>45683</v>
      </c>
      <c r="C27">
        <v>453.99999999999994</v>
      </c>
      <c r="D27" s="1">
        <v>45683.333333333336</v>
      </c>
      <c r="E27">
        <v>303.67630136248238</v>
      </c>
      <c r="F27">
        <v>155.43056256096318</v>
      </c>
      <c r="G27">
        <v>608.04911344992911</v>
      </c>
      <c r="H27" s="1">
        <v>45657.333333333336</v>
      </c>
    </row>
    <row r="28" spans="1:8" x14ac:dyDescent="0.25">
      <c r="A28" s="7">
        <f>DATE(YEAR(m6_crossvalid[[#This Row],[cutoff]]),MONTH(m6_crossvalid[[#This Row],[cutoff]]),DAY(m6_crossvalid[[#This Row],[cutoff]]))</f>
        <v>45657</v>
      </c>
      <c r="B28" s="7">
        <f>DATE(YEAR(m6_crossvalid[[#This Row],[ds]]),MONTH(m6_crossvalid[[#This Row],[ds]]),DAY(m6_crossvalid[[#This Row],[ds]]))</f>
        <v>45684</v>
      </c>
      <c r="C28">
        <v>5597.9999999999991</v>
      </c>
      <c r="D28" s="1">
        <v>45684.333333333336</v>
      </c>
      <c r="E28">
        <v>6569.0478575773614</v>
      </c>
      <c r="F28">
        <v>3423.403027436339</v>
      </c>
      <c r="G28">
        <v>13130.803335026711</v>
      </c>
      <c r="H28" s="1">
        <v>45657.333333333336</v>
      </c>
    </row>
    <row r="29" spans="1:8" x14ac:dyDescent="0.25">
      <c r="A29" s="7">
        <f>DATE(YEAR(m6_crossvalid[[#This Row],[cutoff]]),MONTH(m6_crossvalid[[#This Row],[cutoff]]),DAY(m6_crossvalid[[#This Row],[cutoff]]))</f>
        <v>45657</v>
      </c>
      <c r="B29" s="7">
        <f>DATE(YEAR(m6_crossvalid[[#This Row],[ds]]),MONTH(m6_crossvalid[[#This Row],[ds]]),DAY(m6_crossvalid[[#This Row],[ds]]))</f>
        <v>45685</v>
      </c>
      <c r="C29">
        <v>5264</v>
      </c>
      <c r="D29" s="1">
        <v>45685.333333333336</v>
      </c>
      <c r="E29">
        <v>7796.2475053518465</v>
      </c>
      <c r="F29">
        <v>4158.0251989819353</v>
      </c>
      <c r="G29">
        <v>15033.850765901791</v>
      </c>
      <c r="H29" s="1">
        <v>45657.333333333336</v>
      </c>
    </row>
    <row r="30" spans="1:8" x14ac:dyDescent="0.25">
      <c r="A30" s="7">
        <f>DATE(YEAR(m6_crossvalid[[#This Row],[cutoff]]),MONTH(m6_crossvalid[[#This Row],[cutoff]]),DAY(m6_crossvalid[[#This Row],[cutoff]]))</f>
        <v>45657</v>
      </c>
      <c r="B30" s="7">
        <f>DATE(YEAR(m6_crossvalid[[#This Row],[ds]]),MONTH(m6_crossvalid[[#This Row],[ds]]),DAY(m6_crossvalid[[#This Row],[ds]]))</f>
        <v>45686</v>
      </c>
      <c r="C30">
        <v>309.99999999999994</v>
      </c>
      <c r="D30" s="1">
        <v>45686.333333333336</v>
      </c>
      <c r="E30">
        <v>109.91719654326428</v>
      </c>
      <c r="F30">
        <v>59.130271412726124</v>
      </c>
      <c r="G30">
        <v>217.17264786344188</v>
      </c>
      <c r="H30" s="1">
        <v>45657.333333333336</v>
      </c>
    </row>
    <row r="31" spans="1:8" x14ac:dyDescent="0.25">
      <c r="A31" s="7">
        <f>DATE(YEAR(m6_crossvalid[[#This Row],[cutoff]]),MONTH(m6_crossvalid[[#This Row],[cutoff]]),DAY(m6_crossvalid[[#This Row],[cutoff]]))</f>
        <v>45657</v>
      </c>
      <c r="B31" s="7">
        <f>DATE(YEAR(m6_crossvalid[[#This Row],[ds]]),MONTH(m6_crossvalid[[#This Row],[ds]]),DAY(m6_crossvalid[[#This Row],[ds]]))</f>
        <v>45687</v>
      </c>
      <c r="C31">
        <v>254.99999999999994</v>
      </c>
      <c r="D31" s="1">
        <v>45687.333333333336</v>
      </c>
      <c r="E31">
        <v>207.10897718422325</v>
      </c>
      <c r="F31">
        <v>108.68025651042701</v>
      </c>
      <c r="G31">
        <v>403.11435505215258</v>
      </c>
      <c r="H31" s="1">
        <v>45657.333333333336</v>
      </c>
    </row>
    <row r="32" spans="1:8" x14ac:dyDescent="0.25">
      <c r="A32" s="7">
        <f>DATE(YEAR(m6_crossvalid[[#This Row],[cutoff]]),MONTH(m6_crossvalid[[#This Row],[cutoff]]),DAY(m6_crossvalid[[#This Row],[cutoff]]))</f>
        <v>45657</v>
      </c>
      <c r="B32" s="7">
        <f>DATE(YEAR(m6_crossvalid[[#This Row],[ds]]),MONTH(m6_crossvalid[[#This Row],[ds]]),DAY(m6_crossvalid[[#This Row],[ds]]))</f>
        <v>45688</v>
      </c>
      <c r="C32">
        <v>6040.9999999999991</v>
      </c>
      <c r="D32" s="1">
        <v>45688.333333333336</v>
      </c>
      <c r="E32">
        <v>15564.616410023513</v>
      </c>
      <c r="F32">
        <v>8188.8387570326622</v>
      </c>
      <c r="G32">
        <v>31094.301660005411</v>
      </c>
      <c r="H32" s="1">
        <v>45657.333333333336</v>
      </c>
    </row>
    <row r="33" spans="1:8" x14ac:dyDescent="0.25">
      <c r="A33" s="7">
        <f>DATE(YEAR(m6_crossvalid[[#This Row],[cutoff]]),MONTH(m6_crossvalid[[#This Row],[cutoff]]),DAY(m6_crossvalid[[#This Row],[cutoff]]))</f>
        <v>45688</v>
      </c>
      <c r="B33" s="7">
        <f>DATE(YEAR(m6_crossvalid[[#This Row],[ds]]),MONTH(m6_crossvalid[[#This Row],[ds]]),DAY(m6_crossvalid[[#This Row],[ds]]))</f>
        <v>45689</v>
      </c>
      <c r="C33">
        <v>47.000000000000007</v>
      </c>
      <c r="D33" s="1">
        <v>45689.333333333336</v>
      </c>
      <c r="E33">
        <v>16.132919076314675</v>
      </c>
      <c r="F33">
        <v>7.8398369334848574</v>
      </c>
      <c r="G33">
        <v>31.859076891663683</v>
      </c>
      <c r="H33" s="1">
        <v>45688.333333333336</v>
      </c>
    </row>
    <row r="34" spans="1:8" x14ac:dyDescent="0.25">
      <c r="A34" s="7">
        <f>DATE(YEAR(m6_crossvalid[[#This Row],[cutoff]]),MONTH(m6_crossvalid[[#This Row],[cutoff]]),DAY(m6_crossvalid[[#This Row],[cutoff]]))</f>
        <v>45688</v>
      </c>
      <c r="B34" s="7">
        <f>DATE(YEAR(m6_crossvalid[[#This Row],[ds]]),MONTH(m6_crossvalid[[#This Row],[ds]]),DAY(m6_crossvalid[[#This Row],[ds]]))</f>
        <v>45690</v>
      </c>
      <c r="C34">
        <v>14</v>
      </c>
      <c r="D34" s="1">
        <v>45690.333333333336</v>
      </c>
      <c r="E34">
        <v>40.334033574613237</v>
      </c>
      <c r="F34">
        <v>21.098811079416311</v>
      </c>
      <c r="G34">
        <v>79.013969549080571</v>
      </c>
      <c r="H34" s="1">
        <v>45688.333333333336</v>
      </c>
    </row>
    <row r="35" spans="1:8" x14ac:dyDescent="0.25">
      <c r="A35" s="7">
        <f>DATE(YEAR(m6_crossvalid[[#This Row],[cutoff]]),MONTH(m6_crossvalid[[#This Row],[cutoff]]),DAY(m6_crossvalid[[#This Row],[cutoff]]))</f>
        <v>45688</v>
      </c>
      <c r="B35" s="7">
        <f>DATE(YEAR(m6_crossvalid[[#This Row],[ds]]),MONTH(m6_crossvalid[[#This Row],[ds]]),DAY(m6_crossvalid[[#This Row],[ds]]))</f>
        <v>45691</v>
      </c>
      <c r="C35">
        <v>453.99999999999994</v>
      </c>
      <c r="D35" s="1">
        <v>45691.333333333336</v>
      </c>
      <c r="E35">
        <v>695.58082997699807</v>
      </c>
      <c r="F35">
        <v>375.56264689916429</v>
      </c>
      <c r="G35">
        <v>1369.5695461644279</v>
      </c>
      <c r="H35" s="1">
        <v>45688.333333333336</v>
      </c>
    </row>
    <row r="36" spans="1:8" x14ac:dyDescent="0.25">
      <c r="A36" s="7">
        <f>DATE(YEAR(m6_crossvalid[[#This Row],[cutoff]]),MONTH(m6_crossvalid[[#This Row],[cutoff]]),DAY(m6_crossvalid[[#This Row],[cutoff]]))</f>
        <v>45688</v>
      </c>
      <c r="B36" s="7">
        <f>DATE(YEAR(m6_crossvalid[[#This Row],[ds]]),MONTH(m6_crossvalid[[#This Row],[ds]]),DAY(m6_crossvalid[[#This Row],[ds]]))</f>
        <v>45692</v>
      </c>
      <c r="C36">
        <v>626.00000000000011</v>
      </c>
      <c r="D36" s="1">
        <v>45692.333333333336</v>
      </c>
      <c r="E36">
        <v>929.44793692653218</v>
      </c>
      <c r="F36">
        <v>506.60855978025131</v>
      </c>
      <c r="G36">
        <v>1752.9141881056998</v>
      </c>
      <c r="H36" s="1">
        <v>45688.333333333336</v>
      </c>
    </row>
    <row r="37" spans="1:8" x14ac:dyDescent="0.25">
      <c r="A37" s="7">
        <f>DATE(YEAR(m6_crossvalid[[#This Row],[cutoff]]),MONTH(m6_crossvalid[[#This Row],[cutoff]]),DAY(m6_crossvalid[[#This Row],[cutoff]]))</f>
        <v>45688</v>
      </c>
      <c r="B37" s="7">
        <f>DATE(YEAR(m6_crossvalid[[#This Row],[ds]]),MONTH(m6_crossvalid[[#This Row],[ds]]),DAY(m6_crossvalid[[#This Row],[ds]]))</f>
        <v>45693</v>
      </c>
      <c r="C37">
        <v>885.99999999999977</v>
      </c>
      <c r="D37" s="1">
        <v>45693.333333333336</v>
      </c>
      <c r="E37">
        <v>1085.9520509236011</v>
      </c>
      <c r="F37">
        <v>534.76067787180352</v>
      </c>
      <c r="G37">
        <v>2002.4511911838508</v>
      </c>
      <c r="H37" s="1">
        <v>45688.333333333336</v>
      </c>
    </row>
    <row r="38" spans="1:8" x14ac:dyDescent="0.25">
      <c r="A38" s="7">
        <f>DATE(YEAR(m6_crossvalid[[#This Row],[cutoff]]),MONTH(m6_crossvalid[[#This Row],[cutoff]]),DAY(m6_crossvalid[[#This Row],[cutoff]]))</f>
        <v>45688</v>
      </c>
      <c r="B38" s="7">
        <f>DATE(YEAR(m6_crossvalid[[#This Row],[ds]]),MONTH(m6_crossvalid[[#This Row],[ds]]),DAY(m6_crossvalid[[#This Row],[ds]]))</f>
        <v>45694</v>
      </c>
      <c r="C38">
        <v>1159</v>
      </c>
      <c r="D38" s="1">
        <v>45694.333333333336</v>
      </c>
      <c r="E38">
        <v>1168.5005242867844</v>
      </c>
      <c r="F38">
        <v>618.01425823599152</v>
      </c>
      <c r="G38">
        <v>2265.481929477698</v>
      </c>
      <c r="H38" s="1">
        <v>45688.333333333336</v>
      </c>
    </row>
    <row r="39" spans="1:8" x14ac:dyDescent="0.25">
      <c r="A39" s="7">
        <f>DATE(YEAR(m6_crossvalid[[#This Row],[cutoff]]),MONTH(m6_crossvalid[[#This Row],[cutoff]]),DAY(m6_crossvalid[[#This Row],[cutoff]]))</f>
        <v>45688</v>
      </c>
      <c r="B39" s="7">
        <f>DATE(YEAR(m6_crossvalid[[#This Row],[ds]]),MONTH(m6_crossvalid[[#This Row],[ds]]),DAY(m6_crossvalid[[#This Row],[ds]]))</f>
        <v>45695</v>
      </c>
      <c r="C39">
        <v>1342.0000000000002</v>
      </c>
      <c r="D39" s="1">
        <v>45695.333333333336</v>
      </c>
      <c r="E39">
        <v>936.52953169265288</v>
      </c>
      <c r="F39">
        <v>468.25435703138817</v>
      </c>
      <c r="G39">
        <v>1860.4482574705091</v>
      </c>
      <c r="H39" s="1">
        <v>45688.333333333336</v>
      </c>
    </row>
    <row r="40" spans="1:8" x14ac:dyDescent="0.25">
      <c r="A40" s="7">
        <f>DATE(YEAR(m6_crossvalid[[#This Row],[cutoff]]),MONTH(m6_crossvalid[[#This Row],[cutoff]]),DAY(m6_crossvalid[[#This Row],[cutoff]]))</f>
        <v>45688</v>
      </c>
      <c r="B40" s="7">
        <f>DATE(YEAR(m6_crossvalid[[#This Row],[ds]]),MONTH(m6_crossvalid[[#This Row],[ds]]),DAY(m6_crossvalid[[#This Row],[ds]]))</f>
        <v>45696</v>
      </c>
      <c r="C40">
        <v>301</v>
      </c>
      <c r="D40" s="1">
        <v>45696.333333333336</v>
      </c>
      <c r="E40">
        <v>261.96216502804265</v>
      </c>
      <c r="F40">
        <v>138.42383694237316</v>
      </c>
      <c r="G40">
        <v>487.01461203676394</v>
      </c>
      <c r="H40" s="1">
        <v>45688.333333333336</v>
      </c>
    </row>
    <row r="41" spans="1:8" x14ac:dyDescent="0.25">
      <c r="A41" s="7">
        <f>DATE(YEAR(m6_crossvalid[[#This Row],[cutoff]]),MONTH(m6_crossvalid[[#This Row],[cutoff]]),DAY(m6_crossvalid[[#This Row],[cutoff]]))</f>
        <v>45688</v>
      </c>
      <c r="B41" s="7">
        <f>DATE(YEAR(m6_crossvalid[[#This Row],[ds]]),MONTH(m6_crossvalid[[#This Row],[ds]]),DAY(m6_crossvalid[[#This Row],[ds]]))</f>
        <v>45697</v>
      </c>
      <c r="C41">
        <v>54.000000000000014</v>
      </c>
      <c r="D41" s="1">
        <v>45697.333333333336</v>
      </c>
      <c r="E41">
        <v>100.21527218624738</v>
      </c>
      <c r="F41">
        <v>51.596361999852874</v>
      </c>
      <c r="G41">
        <v>185.49445942647827</v>
      </c>
      <c r="H41" s="1">
        <v>45688.333333333336</v>
      </c>
    </row>
    <row r="42" spans="1:8" x14ac:dyDescent="0.25">
      <c r="A42" s="7">
        <f>DATE(YEAR(m6_crossvalid[[#This Row],[cutoff]]),MONTH(m6_crossvalid[[#This Row],[cutoff]]),DAY(m6_crossvalid[[#This Row],[cutoff]]))</f>
        <v>45688</v>
      </c>
      <c r="B42" s="7">
        <f>DATE(YEAR(m6_crossvalid[[#This Row],[ds]]),MONTH(m6_crossvalid[[#This Row],[ds]]),DAY(m6_crossvalid[[#This Row],[ds]]))</f>
        <v>45698</v>
      </c>
      <c r="C42">
        <v>1576.9999999999995</v>
      </c>
      <c r="D42" s="1">
        <v>45698.333333333336</v>
      </c>
      <c r="E42">
        <v>1262.8692561335158</v>
      </c>
      <c r="F42">
        <v>682.59888904415345</v>
      </c>
      <c r="G42">
        <v>2371.2054729315678</v>
      </c>
      <c r="H42" s="1">
        <v>45688.333333333336</v>
      </c>
    </row>
    <row r="43" spans="1:8" x14ac:dyDescent="0.25">
      <c r="A43" s="7">
        <f>DATE(YEAR(m6_crossvalid[[#This Row],[cutoff]]),MONTH(m6_crossvalid[[#This Row],[cutoff]]),DAY(m6_crossvalid[[#This Row],[cutoff]]))</f>
        <v>45688</v>
      </c>
      <c r="B43" s="7">
        <f>DATE(YEAR(m6_crossvalid[[#This Row],[ds]]),MONTH(m6_crossvalid[[#This Row],[ds]]),DAY(m6_crossvalid[[#This Row],[ds]]))</f>
        <v>45699</v>
      </c>
      <c r="C43">
        <v>555</v>
      </c>
      <c r="D43" s="1">
        <v>45699.333333333336</v>
      </c>
      <c r="E43">
        <v>201.51041921944241</v>
      </c>
      <c r="F43">
        <v>111.30107007315577</v>
      </c>
      <c r="G43">
        <v>375.5205100220881</v>
      </c>
      <c r="H43" s="1">
        <v>45688.333333333336</v>
      </c>
    </row>
    <row r="44" spans="1:8" x14ac:dyDescent="0.25">
      <c r="A44" s="7">
        <f>DATE(YEAR(m6_crossvalid[[#This Row],[cutoff]]),MONTH(m6_crossvalid[[#This Row],[cutoff]]),DAY(m6_crossvalid[[#This Row],[cutoff]]))</f>
        <v>45688</v>
      </c>
      <c r="B44" s="7">
        <f>DATE(YEAR(m6_crossvalid[[#This Row],[ds]]),MONTH(m6_crossvalid[[#This Row],[ds]]),DAY(m6_crossvalid[[#This Row],[ds]]))</f>
        <v>45700</v>
      </c>
      <c r="C44">
        <v>1822.9999999999993</v>
      </c>
      <c r="D44" s="1">
        <v>45700.333333333336</v>
      </c>
      <c r="E44">
        <v>2057.1653307517963</v>
      </c>
      <c r="F44">
        <v>1059.3417293629047</v>
      </c>
      <c r="G44">
        <v>3939.4716093776751</v>
      </c>
      <c r="H44" s="1">
        <v>45688.333333333336</v>
      </c>
    </row>
    <row r="45" spans="1:8" x14ac:dyDescent="0.25">
      <c r="A45" s="7">
        <f>DATE(YEAR(m6_crossvalid[[#This Row],[cutoff]]),MONTH(m6_crossvalid[[#This Row],[cutoff]]),DAY(m6_crossvalid[[#This Row],[cutoff]]))</f>
        <v>45688</v>
      </c>
      <c r="B45" s="7">
        <f>DATE(YEAR(m6_crossvalid[[#This Row],[ds]]),MONTH(m6_crossvalid[[#This Row],[ds]]),DAY(m6_crossvalid[[#This Row],[ds]]))</f>
        <v>45701</v>
      </c>
      <c r="C45">
        <v>2210</v>
      </c>
      <c r="D45" s="1">
        <v>45701.333333333336</v>
      </c>
      <c r="E45">
        <v>2258.7536666962774</v>
      </c>
      <c r="F45">
        <v>1199.2210368615115</v>
      </c>
      <c r="G45">
        <v>4413.7767738857601</v>
      </c>
      <c r="H45" s="1">
        <v>45688.333333333336</v>
      </c>
    </row>
    <row r="46" spans="1:8" x14ac:dyDescent="0.25">
      <c r="A46" s="7">
        <f>DATE(YEAR(m6_crossvalid[[#This Row],[cutoff]]),MONTH(m6_crossvalid[[#This Row],[cutoff]]),DAY(m6_crossvalid[[#This Row],[cutoff]]))</f>
        <v>45688</v>
      </c>
      <c r="B46" s="7">
        <f>DATE(YEAR(m6_crossvalid[[#This Row],[ds]]),MONTH(m6_crossvalid[[#This Row],[ds]]),DAY(m6_crossvalid[[#This Row],[ds]]))</f>
        <v>45702</v>
      </c>
      <c r="C46">
        <v>2308.0000000000009</v>
      </c>
      <c r="D46" s="1">
        <v>45702.333333333336</v>
      </c>
      <c r="E46">
        <v>1972.9959387664555</v>
      </c>
      <c r="F46">
        <v>1021.7263403554222</v>
      </c>
      <c r="G46">
        <v>3714.1520179235381</v>
      </c>
      <c r="H46" s="1">
        <v>45688.333333333336</v>
      </c>
    </row>
    <row r="47" spans="1:8" x14ac:dyDescent="0.25">
      <c r="A47" s="7">
        <f>DATE(YEAR(m6_crossvalid[[#This Row],[cutoff]]),MONTH(m6_crossvalid[[#This Row],[cutoff]]),DAY(m6_crossvalid[[#This Row],[cutoff]]))</f>
        <v>45688</v>
      </c>
      <c r="B47" s="7">
        <f>DATE(YEAR(m6_crossvalid[[#This Row],[ds]]),MONTH(m6_crossvalid[[#This Row],[ds]]),DAY(m6_crossvalid[[#This Row],[ds]]))</f>
        <v>45703</v>
      </c>
      <c r="C47">
        <v>484.99999999999994</v>
      </c>
      <c r="D47" s="1">
        <v>45703.333333333336</v>
      </c>
      <c r="E47">
        <v>334.53510237750436</v>
      </c>
      <c r="F47">
        <v>181.62806887682291</v>
      </c>
      <c r="G47">
        <v>638.20107056041456</v>
      </c>
      <c r="H47" s="1">
        <v>45688.333333333336</v>
      </c>
    </row>
    <row r="48" spans="1:8" x14ac:dyDescent="0.25">
      <c r="A48" s="7">
        <f>DATE(YEAR(m6_crossvalid[[#This Row],[cutoff]]),MONTH(m6_crossvalid[[#This Row],[cutoff]]),DAY(m6_crossvalid[[#This Row],[cutoff]]))</f>
        <v>45688</v>
      </c>
      <c r="B48" s="7">
        <f>DATE(YEAR(m6_crossvalid[[#This Row],[ds]]),MONTH(m6_crossvalid[[#This Row],[ds]]),DAY(m6_crossvalid[[#This Row],[ds]]))</f>
        <v>45704</v>
      </c>
      <c r="C48">
        <v>118.00000000000003</v>
      </c>
      <c r="D48" s="1">
        <v>45704.333333333336</v>
      </c>
      <c r="E48">
        <v>144.58274136102773</v>
      </c>
      <c r="F48">
        <v>73.143792028191044</v>
      </c>
      <c r="G48">
        <v>284.71233886110031</v>
      </c>
      <c r="H48" s="1">
        <v>45688.333333333336</v>
      </c>
    </row>
    <row r="49" spans="1:8" x14ac:dyDescent="0.25">
      <c r="A49" s="7">
        <f>DATE(YEAR(m6_crossvalid[[#This Row],[cutoff]]),MONTH(m6_crossvalid[[#This Row],[cutoff]]),DAY(m6_crossvalid[[#This Row],[cutoff]]))</f>
        <v>45688</v>
      </c>
      <c r="B49" s="7">
        <f>DATE(YEAR(m6_crossvalid[[#This Row],[ds]]),MONTH(m6_crossvalid[[#This Row],[ds]]),DAY(m6_crossvalid[[#This Row],[ds]]))</f>
        <v>45705</v>
      </c>
      <c r="C49">
        <v>2481.9999999999991</v>
      </c>
      <c r="D49" s="1">
        <v>45705.333333333336</v>
      </c>
      <c r="E49">
        <v>1888.3159352484499</v>
      </c>
      <c r="F49">
        <v>996.5215465953861</v>
      </c>
      <c r="G49">
        <v>3828.2121576854702</v>
      </c>
      <c r="H49" s="1">
        <v>45688.333333333336</v>
      </c>
    </row>
    <row r="50" spans="1:8" x14ac:dyDescent="0.25">
      <c r="A50" s="7">
        <f>DATE(YEAR(m6_crossvalid[[#This Row],[cutoff]]),MONTH(m6_crossvalid[[#This Row],[cutoff]]),DAY(m6_crossvalid[[#This Row],[cutoff]]))</f>
        <v>45688</v>
      </c>
      <c r="B50" s="7">
        <f>DATE(YEAR(m6_crossvalid[[#This Row],[ds]]),MONTH(m6_crossvalid[[#This Row],[ds]]),DAY(m6_crossvalid[[#This Row],[ds]]))</f>
        <v>45706</v>
      </c>
      <c r="C50">
        <v>2913</v>
      </c>
      <c r="D50" s="1">
        <v>45706.333333333336</v>
      </c>
      <c r="E50">
        <v>2519.3064146519446</v>
      </c>
      <c r="F50">
        <v>1329.7481923414609</v>
      </c>
      <c r="G50">
        <v>4875.4831224847858</v>
      </c>
      <c r="H50" s="1">
        <v>45688.333333333336</v>
      </c>
    </row>
    <row r="51" spans="1:8" x14ac:dyDescent="0.25">
      <c r="A51" s="7">
        <f>DATE(YEAR(m6_crossvalid[[#This Row],[cutoff]]),MONTH(m6_crossvalid[[#This Row],[cutoff]]),DAY(m6_crossvalid[[#This Row],[cutoff]]))</f>
        <v>45688</v>
      </c>
      <c r="B51" s="7">
        <f>DATE(YEAR(m6_crossvalid[[#This Row],[ds]]),MONTH(m6_crossvalid[[#This Row],[ds]]),DAY(m6_crossvalid[[#This Row],[ds]]))</f>
        <v>45707</v>
      </c>
      <c r="C51">
        <v>3105.9999999999995</v>
      </c>
      <c r="D51" s="1">
        <v>45707.333333333336</v>
      </c>
      <c r="E51">
        <v>2779.445246714321</v>
      </c>
      <c r="F51">
        <v>1475.2147205120693</v>
      </c>
      <c r="G51">
        <v>5618.9869909382751</v>
      </c>
      <c r="H51" s="1">
        <v>45688.333333333336</v>
      </c>
    </row>
    <row r="52" spans="1:8" x14ac:dyDescent="0.25">
      <c r="A52" s="7">
        <f>DATE(YEAR(m6_crossvalid[[#This Row],[cutoff]]),MONTH(m6_crossvalid[[#This Row],[cutoff]]),DAY(m6_crossvalid[[#This Row],[cutoff]]))</f>
        <v>45688</v>
      </c>
      <c r="B52" s="7">
        <f>DATE(YEAR(m6_crossvalid[[#This Row],[ds]]),MONTH(m6_crossvalid[[#This Row],[ds]]),DAY(m6_crossvalid[[#This Row],[ds]]))</f>
        <v>45708</v>
      </c>
      <c r="C52">
        <v>3103.9999999999977</v>
      </c>
      <c r="D52" s="1">
        <v>45708.333333333336</v>
      </c>
      <c r="E52">
        <v>3059.1616006798677</v>
      </c>
      <c r="F52">
        <v>1565.125260727538</v>
      </c>
      <c r="G52">
        <v>5799.6805046774334</v>
      </c>
      <c r="H52" s="1">
        <v>45688.333333333336</v>
      </c>
    </row>
    <row r="53" spans="1:8" x14ac:dyDescent="0.25">
      <c r="A53" s="7">
        <f>DATE(YEAR(m6_crossvalid[[#This Row],[cutoff]]),MONTH(m6_crossvalid[[#This Row],[cutoff]]),DAY(m6_crossvalid[[#This Row],[cutoff]]))</f>
        <v>45688</v>
      </c>
      <c r="B53" s="7">
        <f>DATE(YEAR(m6_crossvalid[[#This Row],[ds]]),MONTH(m6_crossvalid[[#This Row],[ds]]),DAY(m6_crossvalid[[#This Row],[ds]]))</f>
        <v>45709</v>
      </c>
      <c r="C53">
        <v>3308.9999999999977</v>
      </c>
      <c r="D53" s="1">
        <v>45709.333333333336</v>
      </c>
      <c r="E53">
        <v>2900.2668756422568</v>
      </c>
      <c r="F53">
        <v>1471.2847641269443</v>
      </c>
      <c r="G53">
        <v>5412.5108397533377</v>
      </c>
      <c r="H53" s="1">
        <v>45688.333333333336</v>
      </c>
    </row>
    <row r="54" spans="1:8" x14ac:dyDescent="0.25">
      <c r="A54" s="7">
        <f>DATE(YEAR(m6_crossvalid[[#This Row],[cutoff]]),MONTH(m6_crossvalid[[#This Row],[cutoff]]),DAY(m6_crossvalid[[#This Row],[cutoff]]))</f>
        <v>45688</v>
      </c>
      <c r="B54" s="7">
        <f>DATE(YEAR(m6_crossvalid[[#This Row],[ds]]),MONTH(m6_crossvalid[[#This Row],[ds]]),DAY(m6_crossvalid[[#This Row],[ds]]))</f>
        <v>45710</v>
      </c>
      <c r="C54">
        <v>731.99999999999989</v>
      </c>
      <c r="D54" s="1">
        <v>45710.333333333336</v>
      </c>
      <c r="E54">
        <v>548.52518309594689</v>
      </c>
      <c r="F54">
        <v>284.77951769376136</v>
      </c>
      <c r="G54">
        <v>1071.8504212073883</v>
      </c>
      <c r="H54" s="1">
        <v>45688.333333333336</v>
      </c>
    </row>
    <row r="55" spans="1:8" x14ac:dyDescent="0.25">
      <c r="A55" s="7">
        <f>DATE(YEAR(m6_crossvalid[[#This Row],[cutoff]]),MONTH(m6_crossvalid[[#This Row],[cutoff]]),DAY(m6_crossvalid[[#This Row],[cutoff]]))</f>
        <v>45688</v>
      </c>
      <c r="B55" s="7">
        <f>DATE(YEAR(m6_crossvalid[[#This Row],[ds]]),MONTH(m6_crossvalid[[#This Row],[ds]]),DAY(m6_crossvalid[[#This Row],[ds]]))</f>
        <v>45711</v>
      </c>
      <c r="C55">
        <v>201.99999999999997</v>
      </c>
      <c r="D55" s="1">
        <v>45711.333333333336</v>
      </c>
      <c r="E55">
        <v>251.76631009924475</v>
      </c>
      <c r="F55">
        <v>142.97119357765237</v>
      </c>
      <c r="G55">
        <v>490.16741986518446</v>
      </c>
      <c r="H55" s="1">
        <v>45688.333333333336</v>
      </c>
    </row>
    <row r="56" spans="1:8" x14ac:dyDescent="0.25">
      <c r="A56" s="7">
        <f>DATE(YEAR(m6_crossvalid[[#This Row],[cutoff]]),MONTH(m6_crossvalid[[#This Row],[cutoff]]),DAY(m6_crossvalid[[#This Row],[cutoff]]))</f>
        <v>45688</v>
      </c>
      <c r="B56" s="7">
        <f>DATE(YEAR(m6_crossvalid[[#This Row],[ds]]),MONTH(m6_crossvalid[[#This Row],[ds]]),DAY(m6_crossvalid[[#This Row],[ds]]))</f>
        <v>45712</v>
      </c>
      <c r="C56">
        <v>3544.9999999999995</v>
      </c>
      <c r="D56" s="1">
        <v>45712.333333333336</v>
      </c>
      <c r="E56">
        <v>6123.9139122095339</v>
      </c>
      <c r="F56">
        <v>3421.6330933627828</v>
      </c>
      <c r="G56">
        <v>10885.217401415823</v>
      </c>
      <c r="H56" s="1">
        <v>45688.333333333336</v>
      </c>
    </row>
    <row r="57" spans="1:8" x14ac:dyDescent="0.25">
      <c r="A57" s="7">
        <f>DATE(YEAR(m6_crossvalid[[#This Row],[cutoff]]),MONTH(m6_crossvalid[[#This Row],[cutoff]]),DAY(m6_crossvalid[[#This Row],[cutoff]]))</f>
        <v>45688</v>
      </c>
      <c r="B57" s="7">
        <f>DATE(YEAR(m6_crossvalid[[#This Row],[ds]]),MONTH(m6_crossvalid[[#This Row],[ds]]),DAY(m6_crossvalid[[#This Row],[ds]]))</f>
        <v>45713</v>
      </c>
      <c r="C57">
        <v>4867.9999999999964</v>
      </c>
      <c r="D57" s="1">
        <v>45713.333333333336</v>
      </c>
      <c r="E57">
        <v>7549.9466563292053</v>
      </c>
      <c r="F57">
        <v>3963.0815450994746</v>
      </c>
      <c r="G57">
        <v>14384.913512131079</v>
      </c>
      <c r="H57" s="1">
        <v>45688.333333333336</v>
      </c>
    </row>
    <row r="58" spans="1:8" x14ac:dyDescent="0.25">
      <c r="A58" s="7">
        <f>DATE(YEAR(m6_crossvalid[[#This Row],[cutoff]]),MONTH(m6_crossvalid[[#This Row],[cutoff]]),DAY(m6_crossvalid[[#This Row],[cutoff]]))</f>
        <v>45688</v>
      </c>
      <c r="B58" s="7">
        <f>DATE(YEAR(m6_crossvalid[[#This Row],[ds]]),MONTH(m6_crossvalid[[#This Row],[ds]]),DAY(m6_crossvalid[[#This Row],[ds]]))</f>
        <v>45714</v>
      </c>
      <c r="C58">
        <v>6187.0000000000055</v>
      </c>
      <c r="D58" s="1">
        <v>45714.333333333336</v>
      </c>
      <c r="E58">
        <v>7687.1814284981056</v>
      </c>
      <c r="F58">
        <v>4186.2020613668547</v>
      </c>
      <c r="G58">
        <v>15260.33456277243</v>
      </c>
      <c r="H58" s="1">
        <v>45688.333333333336</v>
      </c>
    </row>
    <row r="59" spans="1:8" x14ac:dyDescent="0.25">
      <c r="A59" s="7">
        <f>DATE(YEAR(m6_crossvalid[[#This Row],[cutoff]]),MONTH(m6_crossvalid[[#This Row],[cutoff]]),DAY(m6_crossvalid[[#This Row],[cutoff]]))</f>
        <v>45688</v>
      </c>
      <c r="B59" s="7">
        <f>DATE(YEAR(m6_crossvalid[[#This Row],[ds]]),MONTH(m6_crossvalid[[#This Row],[ds]]),DAY(m6_crossvalid[[#This Row],[ds]]))</f>
        <v>45715</v>
      </c>
      <c r="C59">
        <v>8082.0000000000036</v>
      </c>
      <c r="D59" s="1">
        <v>45715.333333333336</v>
      </c>
      <c r="E59">
        <v>15578.189965711932</v>
      </c>
      <c r="F59">
        <v>8295.4845542295898</v>
      </c>
      <c r="G59">
        <v>29951.306142476602</v>
      </c>
      <c r="H59" s="1">
        <v>45688.333333333336</v>
      </c>
    </row>
    <row r="60" spans="1:8" x14ac:dyDescent="0.25">
      <c r="A60" s="7">
        <f>DATE(YEAR(m6_crossvalid[[#This Row],[cutoff]]),MONTH(m6_crossvalid[[#This Row],[cutoff]]),DAY(m6_crossvalid[[#This Row],[cutoff]]))</f>
        <v>45688</v>
      </c>
      <c r="B60" s="7">
        <f>DATE(YEAR(m6_crossvalid[[#This Row],[ds]]),MONTH(m6_crossvalid[[#This Row],[ds]]),DAY(m6_crossvalid[[#This Row],[ds]]))</f>
        <v>45716</v>
      </c>
      <c r="C60">
        <v>14838.000000000013</v>
      </c>
      <c r="D60" s="1">
        <v>45716.333333333336</v>
      </c>
      <c r="E60">
        <v>19414.44489185165</v>
      </c>
      <c r="F60">
        <v>9862.8699059017472</v>
      </c>
      <c r="G60">
        <v>36451.630309052205</v>
      </c>
      <c r="H60" s="1">
        <v>45688.333333333336</v>
      </c>
    </row>
    <row r="61" spans="1:8" x14ac:dyDescent="0.25">
      <c r="A61" s="7">
        <f>DATE(YEAR(m6_crossvalid[[#This Row],[cutoff]]),MONTH(m6_crossvalid[[#This Row],[cutoff]]),DAY(m6_crossvalid[[#This Row],[cutoff]]))</f>
        <v>45688</v>
      </c>
      <c r="B61" s="7">
        <f>DATE(YEAR(m6_crossvalid[[#This Row],[ds]]),MONTH(m6_crossvalid[[#This Row],[ds]]),DAY(m6_crossvalid[[#This Row],[ds]]))</f>
        <v>45717</v>
      </c>
      <c r="C61">
        <v>73.999999999999972</v>
      </c>
      <c r="D61" s="1">
        <v>45717.333333333336</v>
      </c>
      <c r="E61">
        <v>238.57241034441398</v>
      </c>
      <c r="F61">
        <v>126.20247394563332</v>
      </c>
      <c r="G61">
        <v>466.87339792982181</v>
      </c>
      <c r="H61" s="1">
        <v>45688.333333333336</v>
      </c>
    </row>
    <row r="62" spans="1:8" x14ac:dyDescent="0.25">
      <c r="A62" s="7">
        <f>DATE(YEAR(m6_crossvalid[[#This Row],[cutoff]]),MONTH(m6_crossvalid[[#This Row],[cutoff]]),DAY(m6_crossvalid[[#This Row],[cutoff]]))</f>
        <v>45688</v>
      </c>
      <c r="B62" s="7">
        <f>DATE(YEAR(m6_crossvalid[[#This Row],[ds]]),MONTH(m6_crossvalid[[#This Row],[ds]]),DAY(m6_crossvalid[[#This Row],[ds]]))</f>
        <v>45718</v>
      </c>
      <c r="C62">
        <v>26.999999999999996</v>
      </c>
      <c r="D62" s="1">
        <v>45718.333333333336</v>
      </c>
      <c r="E62">
        <v>68.733985858721994</v>
      </c>
      <c r="F62">
        <v>35.276466186667776</v>
      </c>
      <c r="G62">
        <v>129.55589319604672</v>
      </c>
      <c r="H62" s="1">
        <v>45688.333333333336</v>
      </c>
    </row>
    <row r="63" spans="1:8" x14ac:dyDescent="0.25">
      <c r="A63" s="7">
        <f>DATE(YEAR(m6_crossvalid[[#This Row],[cutoff]]),MONTH(m6_crossvalid[[#This Row],[cutoff]]),DAY(m6_crossvalid[[#This Row],[cutoff]]))</f>
        <v>45688</v>
      </c>
      <c r="B63" s="7">
        <f>DATE(YEAR(m6_crossvalid[[#This Row],[ds]]),MONTH(m6_crossvalid[[#This Row],[ds]]),DAY(m6_crossvalid[[#This Row],[ds]]))</f>
        <v>45719</v>
      </c>
      <c r="C63">
        <v>378</v>
      </c>
      <c r="D63" s="1">
        <v>45719.333333333336</v>
      </c>
      <c r="E63">
        <v>991.26912612831563</v>
      </c>
      <c r="F63">
        <v>523.3436690387897</v>
      </c>
      <c r="G63">
        <v>1948.5143025432676</v>
      </c>
      <c r="H63" s="1">
        <v>45688.333333333336</v>
      </c>
    </row>
    <row r="64" spans="1:8" x14ac:dyDescent="0.25">
      <c r="A64" s="7">
        <f>DATE(YEAR(m6_crossvalid[[#This Row],[cutoff]]),MONTH(m6_crossvalid[[#This Row],[cutoff]]),DAY(m6_crossvalid[[#This Row],[cutoff]]))</f>
        <v>45716</v>
      </c>
      <c r="B64" s="7">
        <f>DATE(YEAR(m6_crossvalid[[#This Row],[ds]]),MONTH(m6_crossvalid[[#This Row],[ds]]),DAY(m6_crossvalid[[#This Row],[ds]]))</f>
        <v>45717</v>
      </c>
      <c r="C64">
        <v>73.999999999999972</v>
      </c>
      <c r="D64" s="1">
        <v>45717.333333333336</v>
      </c>
      <c r="E64">
        <v>241.99396304546039</v>
      </c>
      <c r="F64">
        <v>129.99980737431062</v>
      </c>
      <c r="G64">
        <v>464.88859808783087</v>
      </c>
      <c r="H64" s="1">
        <v>45716.333333333336</v>
      </c>
    </row>
    <row r="65" spans="1:8" x14ac:dyDescent="0.25">
      <c r="A65" s="7">
        <f>DATE(YEAR(m6_crossvalid[[#This Row],[cutoff]]),MONTH(m6_crossvalid[[#This Row],[cutoff]]),DAY(m6_crossvalid[[#This Row],[cutoff]]))</f>
        <v>45716</v>
      </c>
      <c r="B65" s="7">
        <f>DATE(YEAR(m6_crossvalid[[#This Row],[ds]]),MONTH(m6_crossvalid[[#This Row],[ds]]),DAY(m6_crossvalid[[#This Row],[ds]]))</f>
        <v>45718</v>
      </c>
      <c r="C65">
        <v>26.999999999999996</v>
      </c>
      <c r="D65" s="1">
        <v>45718.333333333336</v>
      </c>
      <c r="E65">
        <v>66.257032115261865</v>
      </c>
      <c r="F65">
        <v>31.393477878449723</v>
      </c>
      <c r="G65">
        <v>123.5040216905783</v>
      </c>
      <c r="H65" s="1">
        <v>45716.333333333336</v>
      </c>
    </row>
    <row r="66" spans="1:8" x14ac:dyDescent="0.25">
      <c r="A66" s="7">
        <f>DATE(YEAR(m6_crossvalid[[#This Row],[cutoff]]),MONTH(m6_crossvalid[[#This Row],[cutoff]]),DAY(m6_crossvalid[[#This Row],[cutoff]]))</f>
        <v>45716</v>
      </c>
      <c r="B66" s="7">
        <f>DATE(YEAR(m6_crossvalid[[#This Row],[ds]]),MONTH(m6_crossvalid[[#This Row],[ds]]),DAY(m6_crossvalid[[#This Row],[ds]]))</f>
        <v>45719</v>
      </c>
      <c r="C66">
        <v>378</v>
      </c>
      <c r="D66" s="1">
        <v>45719.333333333336</v>
      </c>
      <c r="E66">
        <v>996.33577410157238</v>
      </c>
      <c r="F66">
        <v>508.06132465093731</v>
      </c>
      <c r="G66">
        <v>1862.8426918064749</v>
      </c>
      <c r="H66" s="1">
        <v>45716.333333333336</v>
      </c>
    </row>
    <row r="67" spans="1:8" x14ac:dyDescent="0.25">
      <c r="A67" s="7">
        <f>DATE(YEAR(m6_crossvalid[[#This Row],[cutoff]]),MONTH(m6_crossvalid[[#This Row],[cutoff]]),DAY(m6_crossvalid[[#This Row],[cutoff]]))</f>
        <v>45716</v>
      </c>
      <c r="B67" s="7">
        <f>DATE(YEAR(m6_crossvalid[[#This Row],[ds]]),MONTH(m6_crossvalid[[#This Row],[ds]]),DAY(m6_crossvalid[[#This Row],[ds]]))</f>
        <v>45720</v>
      </c>
      <c r="C67">
        <v>665.99999999999977</v>
      </c>
      <c r="D67" s="1">
        <v>45720.333333333336</v>
      </c>
      <c r="E67">
        <v>994.07403100980184</v>
      </c>
      <c r="F67">
        <v>491.9886563436603</v>
      </c>
      <c r="G67">
        <v>1887.5971985242682</v>
      </c>
      <c r="H67" s="1">
        <v>45716.333333333336</v>
      </c>
    </row>
    <row r="68" spans="1:8" x14ac:dyDescent="0.25">
      <c r="A68" s="7">
        <f>DATE(YEAR(m6_crossvalid[[#This Row],[cutoff]]),MONTH(m6_crossvalid[[#This Row],[cutoff]]),DAY(m6_crossvalid[[#This Row],[cutoff]]))</f>
        <v>45716</v>
      </c>
      <c r="B68" s="7">
        <f>DATE(YEAR(m6_crossvalid[[#This Row],[ds]]),MONTH(m6_crossvalid[[#This Row],[ds]]),DAY(m6_crossvalid[[#This Row],[ds]]))</f>
        <v>45721</v>
      </c>
      <c r="C68">
        <v>793.00000000000034</v>
      </c>
      <c r="D68" s="1">
        <v>45721.333333333336</v>
      </c>
      <c r="E68">
        <v>940.98145971465726</v>
      </c>
      <c r="F68">
        <v>504.29221377808756</v>
      </c>
      <c r="G68">
        <v>1861.595156598657</v>
      </c>
      <c r="H68" s="1">
        <v>45716.333333333336</v>
      </c>
    </row>
    <row r="69" spans="1:8" x14ac:dyDescent="0.25">
      <c r="A69" s="7">
        <f>DATE(YEAR(m6_crossvalid[[#This Row],[cutoff]]),MONTH(m6_crossvalid[[#This Row],[cutoff]]),DAY(m6_crossvalid[[#This Row],[cutoff]]))</f>
        <v>45716</v>
      </c>
      <c r="B69" s="7">
        <f>DATE(YEAR(m6_crossvalid[[#This Row],[ds]]),MONTH(m6_crossvalid[[#This Row],[ds]]),DAY(m6_crossvalid[[#This Row],[ds]]))</f>
        <v>45722</v>
      </c>
      <c r="C69">
        <v>1426</v>
      </c>
      <c r="D69" s="1">
        <v>45722.333333333336</v>
      </c>
      <c r="E69">
        <v>1046.5278243486212</v>
      </c>
      <c r="F69">
        <v>549.1312165070816</v>
      </c>
      <c r="G69">
        <v>1930.9452230251363</v>
      </c>
      <c r="H69" s="1">
        <v>45716.333333333336</v>
      </c>
    </row>
    <row r="70" spans="1:8" x14ac:dyDescent="0.25">
      <c r="A70" s="7">
        <f>DATE(YEAR(m6_crossvalid[[#This Row],[cutoff]]),MONTH(m6_crossvalid[[#This Row],[cutoff]]),DAY(m6_crossvalid[[#This Row],[cutoff]]))</f>
        <v>45716</v>
      </c>
      <c r="B70" s="7">
        <f>DATE(YEAR(m6_crossvalid[[#This Row],[ds]]),MONTH(m6_crossvalid[[#This Row],[ds]]),DAY(m6_crossvalid[[#This Row],[ds]]))</f>
        <v>45723</v>
      </c>
      <c r="C70">
        <v>1673.9999999999998</v>
      </c>
      <c r="D70" s="1">
        <v>45723.333333333336</v>
      </c>
      <c r="E70">
        <v>1057.1179238768441</v>
      </c>
      <c r="F70">
        <v>550.67208178968281</v>
      </c>
      <c r="G70">
        <v>2041.1706321953793</v>
      </c>
      <c r="H70" s="1">
        <v>45716.333333333336</v>
      </c>
    </row>
    <row r="71" spans="1:8" x14ac:dyDescent="0.25">
      <c r="A71" s="7">
        <f>DATE(YEAR(m6_crossvalid[[#This Row],[cutoff]]),MONTH(m6_crossvalid[[#This Row],[cutoff]]),DAY(m6_crossvalid[[#This Row],[cutoff]]))</f>
        <v>45716</v>
      </c>
      <c r="B71" s="7">
        <f>DATE(YEAR(m6_crossvalid[[#This Row],[ds]]),MONTH(m6_crossvalid[[#This Row],[ds]]),DAY(m6_crossvalid[[#This Row],[ds]]))</f>
        <v>45724</v>
      </c>
      <c r="C71">
        <v>309.99999999999994</v>
      </c>
      <c r="D71" s="1">
        <v>45724.333333333336</v>
      </c>
      <c r="E71">
        <v>372.93247458214512</v>
      </c>
      <c r="F71">
        <v>191.10666846182977</v>
      </c>
      <c r="G71">
        <v>715.83218986141594</v>
      </c>
      <c r="H71" s="1">
        <v>45716.333333333336</v>
      </c>
    </row>
    <row r="72" spans="1:8" x14ac:dyDescent="0.25">
      <c r="A72" s="7">
        <f>DATE(YEAR(m6_crossvalid[[#This Row],[cutoff]]),MONTH(m6_crossvalid[[#This Row],[cutoff]]),DAY(m6_crossvalid[[#This Row],[cutoff]]))</f>
        <v>45716</v>
      </c>
      <c r="B72" s="7">
        <f>DATE(YEAR(m6_crossvalid[[#This Row],[ds]]),MONTH(m6_crossvalid[[#This Row],[ds]]),DAY(m6_crossvalid[[#This Row],[ds]]))</f>
        <v>45725</v>
      </c>
      <c r="C72">
        <v>109.00000000000004</v>
      </c>
      <c r="D72" s="1">
        <v>45725.333333333336</v>
      </c>
      <c r="E72">
        <v>145.43794022926923</v>
      </c>
      <c r="F72">
        <v>76.644925276227795</v>
      </c>
      <c r="G72">
        <v>277.96948528175631</v>
      </c>
      <c r="H72" s="1">
        <v>45716.333333333336</v>
      </c>
    </row>
    <row r="73" spans="1:8" x14ac:dyDescent="0.25">
      <c r="A73" s="7">
        <f>DATE(YEAR(m6_crossvalid[[#This Row],[cutoff]]),MONTH(m6_crossvalid[[#This Row],[cutoff]]),DAY(m6_crossvalid[[#This Row],[cutoff]]))</f>
        <v>45716</v>
      </c>
      <c r="B73" s="7">
        <f>DATE(YEAR(m6_crossvalid[[#This Row],[ds]]),MONTH(m6_crossvalid[[#This Row],[ds]]),DAY(m6_crossvalid[[#This Row],[ds]]))</f>
        <v>45726</v>
      </c>
      <c r="C73">
        <v>1899.9999999999993</v>
      </c>
      <c r="D73" s="1">
        <v>45726.333333333336</v>
      </c>
      <c r="E73">
        <v>1592.3513553521277</v>
      </c>
      <c r="F73">
        <v>847.28805735450305</v>
      </c>
      <c r="G73">
        <v>3015.399559595523</v>
      </c>
      <c r="H73" s="1">
        <v>45716.333333333336</v>
      </c>
    </row>
    <row r="74" spans="1:8" x14ac:dyDescent="0.25">
      <c r="A74" s="7">
        <f>DATE(YEAR(m6_crossvalid[[#This Row],[cutoff]]),MONTH(m6_crossvalid[[#This Row],[cutoff]]),DAY(m6_crossvalid[[#This Row],[cutoff]]))</f>
        <v>45716</v>
      </c>
      <c r="B74" s="7">
        <f>DATE(YEAR(m6_crossvalid[[#This Row],[ds]]),MONTH(m6_crossvalid[[#This Row],[ds]]),DAY(m6_crossvalid[[#This Row],[ds]]))</f>
        <v>45727</v>
      </c>
      <c r="C74">
        <v>2294.0000000000005</v>
      </c>
      <c r="D74" s="1">
        <v>45727.333333333336</v>
      </c>
      <c r="E74">
        <v>1851.5400060296347</v>
      </c>
      <c r="F74">
        <v>932.66181558971323</v>
      </c>
      <c r="G74">
        <v>3644.6018173442867</v>
      </c>
      <c r="H74" s="1">
        <v>45716.333333333336</v>
      </c>
    </row>
    <row r="75" spans="1:8" x14ac:dyDescent="0.25">
      <c r="A75" s="7">
        <f>DATE(YEAR(m6_crossvalid[[#This Row],[cutoff]]),MONTH(m6_crossvalid[[#This Row],[cutoff]]),DAY(m6_crossvalid[[#This Row],[cutoff]]))</f>
        <v>45716</v>
      </c>
      <c r="B75" s="7">
        <f>DATE(YEAR(m6_crossvalid[[#This Row],[ds]]),MONTH(m6_crossvalid[[#This Row],[ds]]),DAY(m6_crossvalid[[#This Row],[ds]]))</f>
        <v>45728</v>
      </c>
      <c r="C75">
        <v>2575.9999999999995</v>
      </c>
      <c r="D75" s="1">
        <v>45728.333333333336</v>
      </c>
      <c r="E75">
        <v>2001.6112928741863</v>
      </c>
      <c r="F75">
        <v>1087.6069426762208</v>
      </c>
      <c r="G75">
        <v>3921.6245544437543</v>
      </c>
      <c r="H75" s="1">
        <v>45716.333333333336</v>
      </c>
    </row>
    <row r="76" spans="1:8" x14ac:dyDescent="0.25">
      <c r="A76" s="7">
        <f>DATE(YEAR(m6_crossvalid[[#This Row],[cutoff]]),MONTH(m6_crossvalid[[#This Row],[cutoff]]),DAY(m6_crossvalid[[#This Row],[cutoff]]))</f>
        <v>45716</v>
      </c>
      <c r="B76" s="7">
        <f>DATE(YEAR(m6_crossvalid[[#This Row],[ds]]),MONTH(m6_crossvalid[[#This Row],[ds]]),DAY(m6_crossvalid[[#This Row],[ds]]))</f>
        <v>45729</v>
      </c>
      <c r="C76">
        <v>2235.0000000000005</v>
      </c>
      <c r="D76" s="1">
        <v>45729.333333333336</v>
      </c>
      <c r="E76">
        <v>2382.8723038398725</v>
      </c>
      <c r="F76">
        <v>1323.9107744112746</v>
      </c>
      <c r="G76">
        <v>4429.4248695225078</v>
      </c>
      <c r="H76" s="1">
        <v>45716.333333333336</v>
      </c>
    </row>
    <row r="77" spans="1:8" x14ac:dyDescent="0.25">
      <c r="A77" s="7">
        <f>DATE(YEAR(m6_crossvalid[[#This Row],[cutoff]]),MONTH(m6_crossvalid[[#This Row],[cutoff]]),DAY(m6_crossvalid[[#This Row],[cutoff]]))</f>
        <v>45716</v>
      </c>
      <c r="B77" s="7">
        <f>DATE(YEAR(m6_crossvalid[[#This Row],[ds]]),MONTH(m6_crossvalid[[#This Row],[ds]]),DAY(m6_crossvalid[[#This Row],[ds]]))</f>
        <v>45730</v>
      </c>
      <c r="C77">
        <v>3817.9999999999991</v>
      </c>
      <c r="D77" s="1">
        <v>45730.333333333336</v>
      </c>
      <c r="E77">
        <v>2397.2317455700272</v>
      </c>
      <c r="F77">
        <v>1243.3262523001104</v>
      </c>
      <c r="G77">
        <v>4576.1328074287831</v>
      </c>
      <c r="H77" s="1">
        <v>45716.333333333336</v>
      </c>
    </row>
    <row r="78" spans="1:8" x14ac:dyDescent="0.25">
      <c r="A78" s="7">
        <f>DATE(YEAR(m6_crossvalid[[#This Row],[cutoff]]),MONTH(m6_crossvalid[[#This Row],[cutoff]]),DAY(m6_crossvalid[[#This Row],[cutoff]]))</f>
        <v>45716</v>
      </c>
      <c r="B78" s="7">
        <f>DATE(YEAR(m6_crossvalid[[#This Row],[ds]]),MONTH(m6_crossvalid[[#This Row],[ds]]),DAY(m6_crossvalid[[#This Row],[ds]]))</f>
        <v>45731</v>
      </c>
      <c r="C78">
        <v>927.00000000000011</v>
      </c>
      <c r="D78" s="1">
        <v>45731.333333333336</v>
      </c>
      <c r="E78">
        <v>432.93152286393928</v>
      </c>
      <c r="F78">
        <v>223.87989785558401</v>
      </c>
      <c r="G78">
        <v>837.9900714159304</v>
      </c>
      <c r="H78" s="1">
        <v>45716.333333333336</v>
      </c>
    </row>
    <row r="79" spans="1:8" x14ac:dyDescent="0.25">
      <c r="A79" s="7">
        <f>DATE(YEAR(m6_crossvalid[[#This Row],[cutoff]]),MONTH(m6_crossvalid[[#This Row],[cutoff]]),DAY(m6_crossvalid[[#This Row],[cutoff]]))</f>
        <v>45716</v>
      </c>
      <c r="B79" s="7">
        <f>DATE(YEAR(m6_crossvalid[[#This Row],[ds]]),MONTH(m6_crossvalid[[#This Row],[ds]]),DAY(m6_crossvalid[[#This Row],[ds]]))</f>
        <v>45732</v>
      </c>
      <c r="C79">
        <v>262.99999999999994</v>
      </c>
      <c r="D79" s="1">
        <v>45732.333333333336</v>
      </c>
      <c r="E79">
        <v>171.62087009720162</v>
      </c>
      <c r="F79">
        <v>90.383492731012581</v>
      </c>
      <c r="G79">
        <v>327.08448141165024</v>
      </c>
      <c r="H79" s="1">
        <v>45716.333333333336</v>
      </c>
    </row>
    <row r="80" spans="1:8" x14ac:dyDescent="0.25">
      <c r="A80" s="7">
        <f>DATE(YEAR(m6_crossvalid[[#This Row],[cutoff]]),MONTH(m6_crossvalid[[#This Row],[cutoff]]),DAY(m6_crossvalid[[#This Row],[cutoff]]))</f>
        <v>45716</v>
      </c>
      <c r="B80" s="7">
        <f>DATE(YEAR(m6_crossvalid[[#This Row],[ds]]),MONTH(m6_crossvalid[[#This Row],[ds]]),DAY(m6_crossvalid[[#This Row],[ds]]))</f>
        <v>45733</v>
      </c>
      <c r="C80">
        <v>4812</v>
      </c>
      <c r="D80" s="1">
        <v>45733.333333333336</v>
      </c>
      <c r="E80">
        <v>2041.9411009578673</v>
      </c>
      <c r="F80">
        <v>1043.8842886600798</v>
      </c>
      <c r="G80">
        <v>3791.9388691567801</v>
      </c>
      <c r="H80" s="1">
        <v>45716.333333333336</v>
      </c>
    </row>
    <row r="81" spans="1:8" x14ac:dyDescent="0.25">
      <c r="A81" s="7">
        <f>DATE(YEAR(m6_crossvalid[[#This Row],[cutoff]]),MONTH(m6_crossvalid[[#This Row],[cutoff]]),DAY(m6_crossvalid[[#This Row],[cutoff]]))</f>
        <v>45716</v>
      </c>
      <c r="B81" s="7">
        <f>DATE(YEAR(m6_crossvalid[[#This Row],[ds]]),MONTH(m6_crossvalid[[#This Row],[ds]]),DAY(m6_crossvalid[[#This Row],[ds]]))</f>
        <v>45734</v>
      </c>
      <c r="C81">
        <v>1459.0000000000002</v>
      </c>
      <c r="D81" s="1">
        <v>45734.333333333336</v>
      </c>
      <c r="E81">
        <v>319.79870586312558</v>
      </c>
      <c r="F81">
        <v>166.20809837997879</v>
      </c>
      <c r="G81">
        <v>603.39108727658981</v>
      </c>
      <c r="H81" s="1">
        <v>45716.333333333336</v>
      </c>
    </row>
    <row r="82" spans="1:8" x14ac:dyDescent="0.25">
      <c r="A82" s="7">
        <f>DATE(YEAR(m6_crossvalid[[#This Row],[cutoff]]),MONTH(m6_crossvalid[[#This Row],[cutoff]]),DAY(m6_crossvalid[[#This Row],[cutoff]]))</f>
        <v>45716</v>
      </c>
      <c r="B82" s="7">
        <f>DATE(YEAR(m6_crossvalid[[#This Row],[ds]]),MONTH(m6_crossvalid[[#This Row],[ds]]),DAY(m6_crossvalid[[#This Row],[ds]]))</f>
        <v>45735</v>
      </c>
      <c r="C82">
        <v>3508.0000000000027</v>
      </c>
      <c r="D82" s="1">
        <v>45735.333333333336</v>
      </c>
      <c r="E82">
        <v>3019.0052272802227</v>
      </c>
      <c r="F82">
        <v>1570.1789896472776</v>
      </c>
      <c r="G82">
        <v>5913.7551289254843</v>
      </c>
      <c r="H82" s="1">
        <v>45716.333333333336</v>
      </c>
    </row>
    <row r="83" spans="1:8" x14ac:dyDescent="0.25">
      <c r="A83" s="7">
        <f>DATE(YEAR(m6_crossvalid[[#This Row],[cutoff]]),MONTH(m6_crossvalid[[#This Row],[cutoff]]),DAY(m6_crossvalid[[#This Row],[cutoff]]))</f>
        <v>45716</v>
      </c>
      <c r="B83" s="7">
        <f>DATE(YEAR(m6_crossvalid[[#This Row],[ds]]),MONTH(m6_crossvalid[[#This Row],[ds]]),DAY(m6_crossvalid[[#This Row],[ds]]))</f>
        <v>45736</v>
      </c>
      <c r="C83">
        <v>3947.0000000000018</v>
      </c>
      <c r="D83" s="1">
        <v>45736.333333333336</v>
      </c>
      <c r="E83">
        <v>3462.0791859954079</v>
      </c>
      <c r="F83">
        <v>1887.3041933144973</v>
      </c>
      <c r="G83">
        <v>6849.5989576709262</v>
      </c>
      <c r="H83" s="1">
        <v>45716.333333333336</v>
      </c>
    </row>
    <row r="84" spans="1:8" x14ac:dyDescent="0.25">
      <c r="A84" s="7">
        <f>DATE(YEAR(m6_crossvalid[[#This Row],[cutoff]]),MONTH(m6_crossvalid[[#This Row],[cutoff]]),DAY(m6_crossvalid[[#This Row],[cutoff]]))</f>
        <v>45716</v>
      </c>
      <c r="B84" s="7">
        <f>DATE(YEAR(m6_crossvalid[[#This Row],[ds]]),MONTH(m6_crossvalid[[#This Row],[ds]]),DAY(m6_crossvalid[[#This Row],[ds]]))</f>
        <v>45737</v>
      </c>
      <c r="C84">
        <v>4279.9999999999982</v>
      </c>
      <c r="D84" s="1">
        <v>45737.333333333336</v>
      </c>
      <c r="E84">
        <v>3178.2915423399577</v>
      </c>
      <c r="F84">
        <v>1669.0048789855095</v>
      </c>
      <c r="G84">
        <v>5938.7844503012384</v>
      </c>
      <c r="H84" s="1">
        <v>45716.333333333336</v>
      </c>
    </row>
    <row r="85" spans="1:8" x14ac:dyDescent="0.25">
      <c r="A85" s="7">
        <f>DATE(YEAR(m6_crossvalid[[#This Row],[cutoff]]),MONTH(m6_crossvalid[[#This Row],[cutoff]]),DAY(m6_crossvalid[[#This Row],[cutoff]]))</f>
        <v>45716</v>
      </c>
      <c r="B85" s="7">
        <f>DATE(YEAR(m6_crossvalid[[#This Row],[ds]]),MONTH(m6_crossvalid[[#This Row],[ds]]),DAY(m6_crossvalid[[#This Row],[ds]]))</f>
        <v>45738</v>
      </c>
      <c r="C85">
        <v>1076</v>
      </c>
      <c r="D85" s="1">
        <v>45738.333333333336</v>
      </c>
      <c r="E85">
        <v>539.50142883370131</v>
      </c>
      <c r="F85">
        <v>277.03125625475764</v>
      </c>
      <c r="G85">
        <v>1066.9882370702137</v>
      </c>
      <c r="H85" s="1">
        <v>45716.333333333336</v>
      </c>
    </row>
    <row r="86" spans="1:8" x14ac:dyDescent="0.25">
      <c r="A86" s="7">
        <f>DATE(YEAR(m6_crossvalid[[#This Row],[cutoff]]),MONTH(m6_crossvalid[[#This Row],[cutoff]]),DAY(m6_crossvalid[[#This Row],[cutoff]]))</f>
        <v>45716</v>
      </c>
      <c r="B86" s="7">
        <f>DATE(YEAR(m6_crossvalid[[#This Row],[ds]]),MONTH(m6_crossvalid[[#This Row],[ds]]),DAY(m6_crossvalid[[#This Row],[ds]]))</f>
        <v>45739</v>
      </c>
      <c r="C86">
        <v>301</v>
      </c>
      <c r="D86" s="1">
        <v>45739.333333333336</v>
      </c>
      <c r="E86">
        <v>218.93150366041837</v>
      </c>
      <c r="F86">
        <v>110.35376213710683</v>
      </c>
      <c r="G86">
        <v>413.75563364750343</v>
      </c>
      <c r="H86" s="1">
        <v>45716.333333333336</v>
      </c>
    </row>
    <row r="87" spans="1:8" x14ac:dyDescent="0.25">
      <c r="A87" s="7">
        <f>DATE(YEAR(m6_crossvalid[[#This Row],[cutoff]]),MONTH(m6_crossvalid[[#This Row],[cutoff]]),DAY(m6_crossvalid[[#This Row],[cutoff]]))</f>
        <v>45716</v>
      </c>
      <c r="B87" s="7">
        <f>DATE(YEAR(m6_crossvalid[[#This Row],[ds]]),MONTH(m6_crossvalid[[#This Row],[ds]]),DAY(m6_crossvalid[[#This Row],[ds]]))</f>
        <v>45740</v>
      </c>
      <c r="C87">
        <v>4292</v>
      </c>
      <c r="D87" s="1">
        <v>45740.333333333336</v>
      </c>
      <c r="E87">
        <v>2839.3553049858283</v>
      </c>
      <c r="F87">
        <v>1469.4971067018544</v>
      </c>
      <c r="G87">
        <v>5463.6310394707816</v>
      </c>
      <c r="H87" s="1">
        <v>45716.333333333336</v>
      </c>
    </row>
    <row r="88" spans="1:8" x14ac:dyDescent="0.25">
      <c r="A88" s="7">
        <f>DATE(YEAR(m6_crossvalid[[#This Row],[cutoff]]),MONTH(m6_crossvalid[[#This Row],[cutoff]]),DAY(m6_crossvalid[[#This Row],[cutoff]]))</f>
        <v>45716</v>
      </c>
      <c r="B88" s="7">
        <f>DATE(YEAR(m6_crossvalid[[#This Row],[ds]]),MONTH(m6_crossvalid[[#This Row],[ds]]),DAY(m6_crossvalid[[#This Row],[ds]]))</f>
        <v>45741</v>
      </c>
      <c r="C88">
        <v>5571.0000000000009</v>
      </c>
      <c r="D88" s="1">
        <v>45741.333333333336</v>
      </c>
      <c r="E88">
        <v>3968.7003309552106</v>
      </c>
      <c r="F88">
        <v>2053.8131736041323</v>
      </c>
      <c r="G88">
        <v>7748.9507707711091</v>
      </c>
      <c r="H88" s="1">
        <v>45716.333333333336</v>
      </c>
    </row>
    <row r="89" spans="1:8" x14ac:dyDescent="0.25">
      <c r="A89" s="7">
        <f>DATE(YEAR(m6_crossvalid[[#This Row],[cutoff]]),MONTH(m6_crossvalid[[#This Row],[cutoff]]),DAY(m6_crossvalid[[#This Row],[cutoff]]))</f>
        <v>45716</v>
      </c>
      <c r="B89" s="7">
        <f>DATE(YEAR(m6_crossvalid[[#This Row],[ds]]),MONTH(m6_crossvalid[[#This Row],[ds]]),DAY(m6_crossvalid[[#This Row],[ds]]))</f>
        <v>45742</v>
      </c>
      <c r="C89">
        <v>6351.9999999999945</v>
      </c>
      <c r="D89" s="1">
        <v>45742.333333333336</v>
      </c>
      <c r="E89">
        <v>4543.7832497112122</v>
      </c>
      <c r="F89">
        <v>2277.2129324256562</v>
      </c>
      <c r="G89">
        <v>8482.4861595778584</v>
      </c>
      <c r="H89" s="1">
        <v>45716.333333333336</v>
      </c>
    </row>
    <row r="90" spans="1:8" x14ac:dyDescent="0.25">
      <c r="A90" s="7">
        <f>DATE(YEAR(m6_crossvalid[[#This Row],[cutoff]]),MONTH(m6_crossvalid[[#This Row],[cutoff]]),DAY(m6_crossvalid[[#This Row],[cutoff]]))</f>
        <v>45716</v>
      </c>
      <c r="B90" s="7">
        <f>DATE(YEAR(m6_crossvalid[[#This Row],[ds]]),MONTH(m6_crossvalid[[#This Row],[ds]]),DAY(m6_crossvalid[[#This Row],[ds]]))</f>
        <v>45743</v>
      </c>
      <c r="C90">
        <v>8835.9999999999982</v>
      </c>
      <c r="D90" s="1">
        <v>45743.333333333336</v>
      </c>
      <c r="E90">
        <v>9028.6740603645812</v>
      </c>
      <c r="F90">
        <v>4740.8197218728919</v>
      </c>
      <c r="G90">
        <v>17372.880375736688</v>
      </c>
      <c r="H90" s="1">
        <v>45716.333333333336</v>
      </c>
    </row>
    <row r="91" spans="1:8" x14ac:dyDescent="0.25">
      <c r="A91" s="7">
        <f>DATE(YEAR(m6_crossvalid[[#This Row],[cutoff]]),MONTH(m6_crossvalid[[#This Row],[cutoff]]),DAY(m6_crossvalid[[#This Row],[cutoff]]))</f>
        <v>45716</v>
      </c>
      <c r="B91" s="7">
        <f>DATE(YEAR(m6_crossvalid[[#This Row],[ds]]),MONTH(m6_crossvalid[[#This Row],[ds]]),DAY(m6_crossvalid[[#This Row],[ds]]))</f>
        <v>45744</v>
      </c>
      <c r="C91">
        <v>9716.9999999999982</v>
      </c>
      <c r="D91" s="1">
        <v>45744.333333333336</v>
      </c>
      <c r="E91">
        <v>7617.8508588742297</v>
      </c>
      <c r="F91">
        <v>4125.21091305967</v>
      </c>
      <c r="G91">
        <v>14240.617385746986</v>
      </c>
      <c r="H91" s="1">
        <v>45716.333333333336</v>
      </c>
    </row>
    <row r="92" spans="1:8" x14ac:dyDescent="0.25">
      <c r="A92" s="7">
        <f>DATE(YEAR(m6_crossvalid[[#This Row],[cutoff]]),MONTH(m6_crossvalid[[#This Row],[cutoff]]),DAY(m6_crossvalid[[#This Row],[cutoff]]))</f>
        <v>45716</v>
      </c>
      <c r="B92" s="7">
        <f>DATE(YEAR(m6_crossvalid[[#This Row],[ds]]),MONTH(m6_crossvalid[[#This Row],[ds]]),DAY(m6_crossvalid[[#This Row],[ds]]))</f>
        <v>45745</v>
      </c>
      <c r="C92">
        <v>3248.9999999999973</v>
      </c>
      <c r="D92" s="1">
        <v>45745.333333333336</v>
      </c>
      <c r="E92">
        <v>1221.95239111825</v>
      </c>
      <c r="F92">
        <v>664.14362517376617</v>
      </c>
      <c r="G92">
        <v>2288.9446372366465</v>
      </c>
      <c r="H92" s="1">
        <v>45716.333333333336</v>
      </c>
    </row>
    <row r="93" spans="1:8" x14ac:dyDescent="0.25">
      <c r="A93" s="7">
        <f>DATE(YEAR(m6_crossvalid[[#This Row],[cutoff]]),MONTH(m6_crossvalid[[#This Row],[cutoff]]),DAY(m6_crossvalid[[#This Row],[cutoff]]))</f>
        <v>45716</v>
      </c>
      <c r="B93" s="7">
        <f>DATE(YEAR(m6_crossvalid[[#This Row],[ds]]),MONTH(m6_crossvalid[[#This Row],[ds]]),DAY(m6_crossvalid[[#This Row],[ds]]))</f>
        <v>45746</v>
      </c>
      <c r="C93">
        <v>197.99999999999997</v>
      </c>
      <c r="D93" s="1">
        <v>45746.333333333336</v>
      </c>
      <c r="E93">
        <v>903.21125394242824</v>
      </c>
      <c r="F93">
        <v>486.12307012005613</v>
      </c>
      <c r="G93">
        <v>1743.1621242095607</v>
      </c>
      <c r="H93" s="1">
        <v>45716.333333333336</v>
      </c>
    </row>
    <row r="94" spans="1:8" x14ac:dyDescent="0.25">
      <c r="A94" s="7">
        <f>DATE(YEAR(m6_crossvalid[[#This Row],[cutoff]]),MONTH(m6_crossvalid[[#This Row],[cutoff]]),DAY(m6_crossvalid[[#This Row],[cutoff]]))</f>
        <v>45716</v>
      </c>
      <c r="B94" s="7">
        <f>DATE(YEAR(m6_crossvalid[[#This Row],[ds]]),MONTH(m6_crossvalid[[#This Row],[ds]]),DAY(m6_crossvalid[[#This Row],[ds]]))</f>
        <v>45747</v>
      </c>
      <c r="C94">
        <v>53.000000000000007</v>
      </c>
      <c r="D94" s="1">
        <v>45747.333333333336</v>
      </c>
      <c r="E94">
        <v>151.97291696658016</v>
      </c>
      <c r="F94">
        <v>78.267779190255411</v>
      </c>
      <c r="G94">
        <v>286.88445969425237</v>
      </c>
      <c r="H94" s="1">
        <v>45716.333333333336</v>
      </c>
    </row>
    <row r="95" spans="1:8" x14ac:dyDescent="0.25">
      <c r="A95" s="7">
        <f>DATE(YEAR(m6_crossvalid[[#This Row],[cutoff]]),MONTH(m6_crossvalid[[#This Row],[cutoff]]),DAY(m6_crossvalid[[#This Row],[cutoff]]))</f>
        <v>45747</v>
      </c>
      <c r="B95" s="7">
        <f>DATE(YEAR(m6_crossvalid[[#This Row],[ds]]),MONTH(m6_crossvalid[[#This Row],[ds]]),DAY(m6_crossvalid[[#This Row],[ds]]))</f>
        <v>45748</v>
      </c>
      <c r="C95">
        <v>2.0000000000000004</v>
      </c>
      <c r="D95" s="1">
        <v>45748.333333333336</v>
      </c>
      <c r="E95">
        <v>1.6946141447963106</v>
      </c>
      <c r="F95">
        <v>0.40932086194583844</v>
      </c>
      <c r="G95">
        <v>4.1477846009506347</v>
      </c>
      <c r="H95" s="1">
        <v>45747.333333333336</v>
      </c>
    </row>
    <row r="96" spans="1:8" x14ac:dyDescent="0.25">
      <c r="A96" s="7">
        <f>DATE(YEAR(m6_crossvalid[[#This Row],[cutoff]]),MONTH(m6_crossvalid[[#This Row],[cutoff]]),DAY(m6_crossvalid[[#This Row],[cutoff]]))</f>
        <v>45747</v>
      </c>
      <c r="B96" s="7">
        <f>DATE(YEAR(m6_crossvalid[[#This Row],[ds]]),MONTH(m6_crossvalid[[#This Row],[ds]]),DAY(m6_crossvalid[[#This Row],[ds]]))</f>
        <v>45749</v>
      </c>
      <c r="C96">
        <v>104.99999999999997</v>
      </c>
      <c r="D96" s="1">
        <v>45749.333333333336</v>
      </c>
      <c r="E96">
        <v>131.30627404825759</v>
      </c>
      <c r="F96">
        <v>68.986444298046109</v>
      </c>
      <c r="G96">
        <v>244.52103607367323</v>
      </c>
      <c r="H96" s="1">
        <v>45747.333333333336</v>
      </c>
    </row>
    <row r="97" spans="1:8" x14ac:dyDescent="0.25">
      <c r="A97" s="7">
        <f>DATE(YEAR(m6_crossvalid[[#This Row],[cutoff]]),MONTH(m6_crossvalid[[#This Row],[cutoff]]),DAY(m6_crossvalid[[#This Row],[cutoff]]))</f>
        <v>45747</v>
      </c>
      <c r="B97" s="7">
        <f>DATE(YEAR(m6_crossvalid[[#This Row],[ds]]),MONTH(m6_crossvalid[[#This Row],[ds]]),DAY(m6_crossvalid[[#This Row],[ds]]))</f>
        <v>45750</v>
      </c>
      <c r="C97">
        <v>284.00000000000006</v>
      </c>
      <c r="D97" s="1">
        <v>45750.333333333336</v>
      </c>
      <c r="E97">
        <v>419.82968326073478</v>
      </c>
      <c r="F97">
        <v>218.02066146292995</v>
      </c>
      <c r="G97">
        <v>750.563327076071</v>
      </c>
      <c r="H97" s="1">
        <v>45747.333333333336</v>
      </c>
    </row>
    <row r="98" spans="1:8" x14ac:dyDescent="0.25">
      <c r="A98" s="7">
        <f>DATE(YEAR(m6_crossvalid[[#This Row],[cutoff]]),MONTH(m6_crossvalid[[#This Row],[cutoff]]),DAY(m6_crossvalid[[#This Row],[cutoff]]))</f>
        <v>45747</v>
      </c>
      <c r="B98" s="7">
        <f>DATE(YEAR(m6_crossvalid[[#This Row],[ds]]),MONTH(m6_crossvalid[[#This Row],[ds]]),DAY(m6_crossvalid[[#This Row],[ds]]))</f>
        <v>45751</v>
      </c>
      <c r="C98">
        <v>403.00000000000017</v>
      </c>
      <c r="D98" s="1">
        <v>45751.333333333336</v>
      </c>
      <c r="E98">
        <v>419.34354076843056</v>
      </c>
      <c r="F98">
        <v>225.42643990331629</v>
      </c>
      <c r="G98">
        <v>809.12122325736573</v>
      </c>
      <c r="H98" s="1">
        <v>45747.333333333336</v>
      </c>
    </row>
    <row r="99" spans="1:8" x14ac:dyDescent="0.25">
      <c r="A99" s="7">
        <f>DATE(YEAR(m6_crossvalid[[#This Row],[cutoff]]),MONTH(m6_crossvalid[[#This Row],[cutoff]]),DAY(m6_crossvalid[[#This Row],[cutoff]]))</f>
        <v>45747</v>
      </c>
      <c r="B99" s="7">
        <f>DATE(YEAR(m6_crossvalid[[#This Row],[ds]]),MONTH(m6_crossvalid[[#This Row],[ds]]),DAY(m6_crossvalid[[#This Row],[ds]]))</f>
        <v>45752</v>
      </c>
      <c r="C99">
        <v>47.000000000000007</v>
      </c>
      <c r="D99" s="1">
        <v>45752.333333333336</v>
      </c>
      <c r="E99">
        <v>65.450745254767185</v>
      </c>
      <c r="F99">
        <v>33.499972426353409</v>
      </c>
      <c r="G99">
        <v>128.2203147418503</v>
      </c>
      <c r="H99" s="1">
        <v>45747.333333333336</v>
      </c>
    </row>
    <row r="100" spans="1:8" x14ac:dyDescent="0.25">
      <c r="A100" s="7">
        <f>DATE(YEAR(m6_crossvalid[[#This Row],[cutoff]]),MONTH(m6_crossvalid[[#This Row],[cutoff]]),DAY(m6_crossvalid[[#This Row],[cutoff]]))</f>
        <v>45747</v>
      </c>
      <c r="B100" s="7">
        <f>DATE(YEAR(m6_crossvalid[[#This Row],[ds]]),MONTH(m6_crossvalid[[#This Row],[ds]]),DAY(m6_crossvalid[[#This Row],[ds]]))</f>
        <v>45753</v>
      </c>
      <c r="C100">
        <v>11</v>
      </c>
      <c r="D100" s="1">
        <v>45753.333333333336</v>
      </c>
      <c r="E100">
        <v>42.712100666998552</v>
      </c>
      <c r="F100">
        <v>21.882586477848914</v>
      </c>
      <c r="G100">
        <v>83.917754535889969</v>
      </c>
      <c r="H100" s="1">
        <v>45747.333333333336</v>
      </c>
    </row>
    <row r="101" spans="1:8" x14ac:dyDescent="0.25">
      <c r="A101" s="7">
        <f>DATE(YEAR(m6_crossvalid[[#This Row],[cutoff]]),MONTH(m6_crossvalid[[#This Row],[cutoff]]),DAY(m6_crossvalid[[#This Row],[cutoff]]))</f>
        <v>45747</v>
      </c>
      <c r="B101" s="7">
        <f>DATE(YEAR(m6_crossvalid[[#This Row],[ds]]),MONTH(m6_crossvalid[[#This Row],[ds]]),DAY(m6_crossvalid[[#This Row],[ds]]))</f>
        <v>45754</v>
      </c>
      <c r="C101">
        <v>477.00000000000023</v>
      </c>
      <c r="D101" s="1">
        <v>45754.333333333336</v>
      </c>
      <c r="E101">
        <v>739.41436998670315</v>
      </c>
      <c r="F101">
        <v>393.16328227674131</v>
      </c>
      <c r="G101">
        <v>1387.2489665315281</v>
      </c>
      <c r="H101" s="1">
        <v>45747.333333333336</v>
      </c>
    </row>
    <row r="102" spans="1:8" x14ac:dyDescent="0.25">
      <c r="A102" s="7">
        <f>DATE(YEAR(m6_crossvalid[[#This Row],[cutoff]]),MONTH(m6_crossvalid[[#This Row],[cutoff]]),DAY(m6_crossvalid[[#This Row],[cutoff]]))</f>
        <v>45747</v>
      </c>
      <c r="B102" s="7">
        <f>DATE(YEAR(m6_crossvalid[[#This Row],[ds]]),MONTH(m6_crossvalid[[#This Row],[ds]]),DAY(m6_crossvalid[[#This Row],[ds]]))</f>
        <v>45755</v>
      </c>
      <c r="C102">
        <v>775.00000000000023</v>
      </c>
      <c r="D102" s="1">
        <v>45755.333333333336</v>
      </c>
      <c r="E102">
        <v>1782.6037835218685</v>
      </c>
      <c r="F102">
        <v>937.84103431009146</v>
      </c>
      <c r="G102">
        <v>3588.3443892977334</v>
      </c>
      <c r="H102" s="1">
        <v>45747.333333333336</v>
      </c>
    </row>
    <row r="103" spans="1:8" x14ac:dyDescent="0.25">
      <c r="A103" s="7">
        <f>DATE(YEAR(m6_crossvalid[[#This Row],[cutoff]]),MONTH(m6_crossvalid[[#This Row],[cutoff]]),DAY(m6_crossvalid[[#This Row],[cutoff]]))</f>
        <v>45747</v>
      </c>
      <c r="B103" s="7">
        <f>DATE(YEAR(m6_crossvalid[[#This Row],[ds]]),MONTH(m6_crossvalid[[#This Row],[ds]]),DAY(m6_crossvalid[[#This Row],[ds]]))</f>
        <v>45756</v>
      </c>
      <c r="C103">
        <v>1016</v>
      </c>
      <c r="D103" s="1">
        <v>45756.333333333336</v>
      </c>
      <c r="E103">
        <v>2409.145563893363</v>
      </c>
      <c r="F103">
        <v>1236.3356176624548</v>
      </c>
      <c r="G103">
        <v>4702.782139678704</v>
      </c>
      <c r="H103" s="1">
        <v>45747.333333333336</v>
      </c>
    </row>
    <row r="104" spans="1:8" x14ac:dyDescent="0.25">
      <c r="A104" s="7">
        <f>DATE(YEAR(m6_crossvalid[[#This Row],[cutoff]]),MONTH(m6_crossvalid[[#This Row],[cutoff]]),DAY(m6_crossvalid[[#This Row],[cutoff]]))</f>
        <v>45747</v>
      </c>
      <c r="B104" s="7">
        <f>DATE(YEAR(m6_crossvalid[[#This Row],[ds]]),MONTH(m6_crossvalid[[#This Row],[ds]]),DAY(m6_crossvalid[[#This Row],[ds]]))</f>
        <v>45757</v>
      </c>
      <c r="C104">
        <v>1421.9999999999998</v>
      </c>
      <c r="D104" s="1">
        <v>45757.333333333336</v>
      </c>
      <c r="E104">
        <v>2331.9724079412445</v>
      </c>
      <c r="F104">
        <v>1229.5467263980495</v>
      </c>
      <c r="G104">
        <v>4385.259726291385</v>
      </c>
      <c r="H104" s="1">
        <v>45747.333333333336</v>
      </c>
    </row>
    <row r="105" spans="1:8" x14ac:dyDescent="0.25">
      <c r="A105" s="7">
        <f>DATE(YEAR(m6_crossvalid[[#This Row],[cutoff]]),MONTH(m6_crossvalid[[#This Row],[cutoff]]),DAY(m6_crossvalid[[#This Row],[cutoff]]))</f>
        <v>45747</v>
      </c>
      <c r="B105" s="7">
        <f>DATE(YEAR(m6_crossvalid[[#This Row],[ds]]),MONTH(m6_crossvalid[[#This Row],[ds]]),DAY(m6_crossvalid[[#This Row],[ds]]))</f>
        <v>45758</v>
      </c>
      <c r="C105">
        <v>1564.9999999999998</v>
      </c>
      <c r="D105" s="1">
        <v>45758.333333333336</v>
      </c>
      <c r="E105">
        <v>2022.3564537283999</v>
      </c>
      <c r="F105">
        <v>1092.5251120345242</v>
      </c>
      <c r="G105">
        <v>3850.1265846093156</v>
      </c>
      <c r="H105" s="1">
        <v>45747.333333333336</v>
      </c>
    </row>
    <row r="106" spans="1:8" x14ac:dyDescent="0.25">
      <c r="A106" s="7">
        <f>DATE(YEAR(m6_crossvalid[[#This Row],[cutoff]]),MONTH(m6_crossvalid[[#This Row],[cutoff]]),DAY(m6_crossvalid[[#This Row],[cutoff]]))</f>
        <v>45747</v>
      </c>
      <c r="B106" s="7">
        <f>DATE(YEAR(m6_crossvalid[[#This Row],[ds]]),MONTH(m6_crossvalid[[#This Row],[ds]]),DAY(m6_crossvalid[[#This Row],[ds]]))</f>
        <v>45759</v>
      </c>
      <c r="C106">
        <v>276</v>
      </c>
      <c r="D106" s="1">
        <v>45759.333333333336</v>
      </c>
      <c r="E106">
        <v>367.14203060720729</v>
      </c>
      <c r="F106">
        <v>186.18400726883675</v>
      </c>
      <c r="G106">
        <v>684.17725021213505</v>
      </c>
      <c r="H106" s="1">
        <v>45747.333333333336</v>
      </c>
    </row>
    <row r="107" spans="1:8" x14ac:dyDescent="0.25">
      <c r="A107" s="7">
        <f>DATE(YEAR(m6_crossvalid[[#This Row],[cutoff]]),MONTH(m6_crossvalid[[#This Row],[cutoff]]),DAY(m6_crossvalid[[#This Row],[cutoff]]))</f>
        <v>45747</v>
      </c>
      <c r="B107" s="7">
        <f>DATE(YEAR(m6_crossvalid[[#This Row],[ds]]),MONTH(m6_crossvalid[[#This Row],[ds]]),DAY(m6_crossvalid[[#This Row],[ds]]))</f>
        <v>45760</v>
      </c>
      <c r="C107">
        <v>55.000000000000021</v>
      </c>
      <c r="D107" s="1">
        <v>45760.333333333336</v>
      </c>
      <c r="E107">
        <v>164.08340521626093</v>
      </c>
      <c r="F107">
        <v>91.341523958361705</v>
      </c>
      <c r="G107">
        <v>329.83785414601448</v>
      </c>
      <c r="H107" s="1">
        <v>45747.333333333336</v>
      </c>
    </row>
    <row r="108" spans="1:8" x14ac:dyDescent="0.25">
      <c r="A108" s="7">
        <f>DATE(YEAR(m6_crossvalid[[#This Row],[cutoff]]),MONTH(m6_crossvalid[[#This Row],[cutoff]]),DAY(m6_crossvalid[[#This Row],[cutoff]]))</f>
        <v>45747</v>
      </c>
      <c r="B108" s="7">
        <f>DATE(YEAR(m6_crossvalid[[#This Row],[ds]]),MONTH(m6_crossvalid[[#This Row],[ds]]),DAY(m6_crossvalid[[#This Row],[ds]]))</f>
        <v>45761</v>
      </c>
      <c r="C108">
        <v>1634.0000000000002</v>
      </c>
      <c r="D108" s="1">
        <v>45761.333333333336</v>
      </c>
      <c r="E108">
        <v>2241.2354884667452</v>
      </c>
      <c r="F108">
        <v>1207.5928104210243</v>
      </c>
      <c r="G108">
        <v>4326.9665457702577</v>
      </c>
      <c r="H108" s="1">
        <v>45747.333333333336</v>
      </c>
    </row>
    <row r="109" spans="1:8" x14ac:dyDescent="0.25">
      <c r="A109" s="7">
        <f>DATE(YEAR(m6_crossvalid[[#This Row],[cutoff]]),MONTH(m6_crossvalid[[#This Row],[cutoff]]),DAY(m6_crossvalid[[#This Row],[cutoff]]))</f>
        <v>45747</v>
      </c>
      <c r="B109" s="7">
        <f>DATE(YEAR(m6_crossvalid[[#This Row],[ds]]),MONTH(m6_crossvalid[[#This Row],[ds]]),DAY(m6_crossvalid[[#This Row],[ds]]))</f>
        <v>45762</v>
      </c>
      <c r="C109">
        <v>1965</v>
      </c>
      <c r="D109" s="1">
        <v>45762.333333333336</v>
      </c>
      <c r="E109">
        <v>2977.6818008383648</v>
      </c>
      <c r="F109">
        <v>1606.8530990935449</v>
      </c>
      <c r="G109">
        <v>5489.1340128511911</v>
      </c>
      <c r="H109" s="1">
        <v>45747.333333333336</v>
      </c>
    </row>
    <row r="110" spans="1:8" x14ac:dyDescent="0.25">
      <c r="A110" s="7">
        <f>DATE(YEAR(m6_crossvalid[[#This Row],[cutoff]]),MONTH(m6_crossvalid[[#This Row],[cutoff]]),DAY(m6_crossvalid[[#This Row],[cutoff]]))</f>
        <v>45747</v>
      </c>
      <c r="B110" s="7">
        <f>DATE(YEAR(m6_crossvalid[[#This Row],[ds]]),MONTH(m6_crossvalid[[#This Row],[ds]]),DAY(m6_crossvalid[[#This Row],[ds]]))</f>
        <v>45763</v>
      </c>
      <c r="C110">
        <v>2361</v>
      </c>
      <c r="D110" s="1">
        <v>45763.333333333336</v>
      </c>
      <c r="E110">
        <v>3118.9409667227419</v>
      </c>
      <c r="F110">
        <v>1653.4122856062847</v>
      </c>
      <c r="G110">
        <v>5944.8966703323877</v>
      </c>
      <c r="H110" s="1">
        <v>45747.333333333336</v>
      </c>
    </row>
    <row r="111" spans="1:8" x14ac:dyDescent="0.25">
      <c r="A111" s="7">
        <f>DATE(YEAR(m6_crossvalid[[#This Row],[cutoff]]),MONTH(m6_crossvalid[[#This Row],[cutoff]]),DAY(m6_crossvalid[[#This Row],[cutoff]]))</f>
        <v>45747</v>
      </c>
      <c r="B111" s="7">
        <f>DATE(YEAR(m6_crossvalid[[#This Row],[ds]]),MONTH(m6_crossvalid[[#This Row],[ds]]),DAY(m6_crossvalid[[#This Row],[ds]]))</f>
        <v>45764</v>
      </c>
      <c r="C111">
        <v>2761.0000000000014</v>
      </c>
      <c r="D111" s="1">
        <v>45764.333333333336</v>
      </c>
      <c r="E111">
        <v>3336.5153701556796</v>
      </c>
      <c r="F111">
        <v>1746.1805822825743</v>
      </c>
      <c r="G111">
        <v>6555.8395195502353</v>
      </c>
      <c r="H111" s="1">
        <v>45747.333333333336</v>
      </c>
    </row>
    <row r="112" spans="1:8" x14ac:dyDescent="0.25">
      <c r="A112" s="7">
        <f>DATE(YEAR(m6_crossvalid[[#This Row],[cutoff]]),MONTH(m6_crossvalid[[#This Row],[cutoff]]),DAY(m6_crossvalid[[#This Row],[cutoff]]))</f>
        <v>45747</v>
      </c>
      <c r="B112" s="7">
        <f>DATE(YEAR(m6_crossvalid[[#This Row],[ds]]),MONTH(m6_crossvalid[[#This Row],[ds]]),DAY(m6_crossvalid[[#This Row],[ds]]))</f>
        <v>45765</v>
      </c>
      <c r="C112">
        <v>2721</v>
      </c>
      <c r="D112" s="1">
        <v>45765.333333333336</v>
      </c>
      <c r="E112">
        <v>3123.5409672078549</v>
      </c>
      <c r="F112">
        <v>1725.5784088917474</v>
      </c>
      <c r="G112">
        <v>6147.2647973388639</v>
      </c>
      <c r="H112" s="1">
        <v>45747.333333333336</v>
      </c>
    </row>
    <row r="113" spans="1:8" x14ac:dyDescent="0.25">
      <c r="A113" s="7">
        <f>DATE(YEAR(m6_crossvalid[[#This Row],[cutoff]]),MONTH(m6_crossvalid[[#This Row],[cutoff]]),DAY(m6_crossvalid[[#This Row],[cutoff]]))</f>
        <v>45747</v>
      </c>
      <c r="B113" s="7">
        <f>DATE(YEAR(m6_crossvalid[[#This Row],[ds]]),MONTH(m6_crossvalid[[#This Row],[ds]]),DAY(m6_crossvalid[[#This Row],[ds]]))</f>
        <v>45766</v>
      </c>
      <c r="C113">
        <v>419.99999999999989</v>
      </c>
      <c r="D113" s="1">
        <v>45766.333333333336</v>
      </c>
      <c r="E113">
        <v>560.82637124715347</v>
      </c>
      <c r="F113">
        <v>294.7711961594427</v>
      </c>
      <c r="G113">
        <v>1129.611114110219</v>
      </c>
      <c r="H113" s="1">
        <v>45747.333333333336</v>
      </c>
    </row>
    <row r="114" spans="1:8" x14ac:dyDescent="0.25">
      <c r="A114" s="7">
        <f>DATE(YEAR(m6_crossvalid[[#This Row],[cutoff]]),MONTH(m6_crossvalid[[#This Row],[cutoff]]),DAY(m6_crossvalid[[#This Row],[cutoff]]))</f>
        <v>45747</v>
      </c>
      <c r="B114" s="7">
        <f>DATE(YEAR(m6_crossvalid[[#This Row],[ds]]),MONTH(m6_crossvalid[[#This Row],[ds]]),DAY(m6_crossvalid[[#This Row],[ds]]))</f>
        <v>45767</v>
      </c>
      <c r="C114">
        <v>166.00000000000006</v>
      </c>
      <c r="D114" s="1">
        <v>45767.333333333336</v>
      </c>
      <c r="E114">
        <v>226.87512047362395</v>
      </c>
      <c r="F114">
        <v>119.13639365591249</v>
      </c>
      <c r="G114">
        <v>434.72205699898404</v>
      </c>
      <c r="H114" s="1">
        <v>45747.333333333336</v>
      </c>
    </row>
    <row r="115" spans="1:8" x14ac:dyDescent="0.25">
      <c r="A115" s="7">
        <f>DATE(YEAR(m6_crossvalid[[#This Row],[cutoff]]),MONTH(m6_crossvalid[[#This Row],[cutoff]]),DAY(m6_crossvalid[[#This Row],[cutoff]]))</f>
        <v>45747</v>
      </c>
      <c r="B115" s="7">
        <f>DATE(YEAR(m6_crossvalid[[#This Row],[ds]]),MONTH(m6_crossvalid[[#This Row],[ds]]),DAY(m6_crossvalid[[#This Row],[ds]]))</f>
        <v>45768</v>
      </c>
      <c r="C115">
        <v>2715.0000000000009</v>
      </c>
      <c r="D115" s="1">
        <v>45768.333333333336</v>
      </c>
      <c r="E115">
        <v>2747.6831577030475</v>
      </c>
      <c r="F115">
        <v>1464.2517054408445</v>
      </c>
      <c r="G115">
        <v>5365.8532365552992</v>
      </c>
      <c r="H115" s="1">
        <v>45747.333333333336</v>
      </c>
    </row>
    <row r="116" spans="1:8" x14ac:dyDescent="0.25">
      <c r="A116" s="7">
        <f>DATE(YEAR(m6_crossvalid[[#This Row],[cutoff]]),MONTH(m6_crossvalid[[#This Row],[cutoff]]),DAY(m6_crossvalid[[#This Row],[cutoff]]))</f>
        <v>45747</v>
      </c>
      <c r="B116" s="7">
        <f>DATE(YEAR(m6_crossvalid[[#This Row],[ds]]),MONTH(m6_crossvalid[[#This Row],[ds]]),DAY(m6_crossvalid[[#This Row],[ds]]))</f>
        <v>45769</v>
      </c>
      <c r="C116">
        <v>3161.9999999999982</v>
      </c>
      <c r="D116" s="1">
        <v>45769.333333333336</v>
      </c>
      <c r="E116">
        <v>3456.95569329826</v>
      </c>
      <c r="F116">
        <v>1764.252037329318</v>
      </c>
      <c r="G116">
        <v>6562.0832054363154</v>
      </c>
      <c r="H116" s="1">
        <v>45747.333333333336</v>
      </c>
    </row>
    <row r="117" spans="1:8" x14ac:dyDescent="0.25">
      <c r="A117" s="7">
        <f>DATE(YEAR(m6_crossvalid[[#This Row],[cutoff]]),MONTH(m6_crossvalid[[#This Row],[cutoff]]),DAY(m6_crossvalid[[#This Row],[cutoff]]))</f>
        <v>45747</v>
      </c>
      <c r="B117" s="7">
        <f>DATE(YEAR(m6_crossvalid[[#This Row],[ds]]),MONTH(m6_crossvalid[[#This Row],[ds]]),DAY(m6_crossvalid[[#This Row],[ds]]))</f>
        <v>45770</v>
      </c>
      <c r="C117">
        <v>3603.9999999999982</v>
      </c>
      <c r="D117" s="1">
        <v>45770.333333333336</v>
      </c>
      <c r="E117">
        <v>3744.909552493963</v>
      </c>
      <c r="F117">
        <v>1865.779537183718</v>
      </c>
      <c r="G117">
        <v>6865.7054244536794</v>
      </c>
      <c r="H117" s="1">
        <v>45747.333333333336</v>
      </c>
    </row>
    <row r="118" spans="1:8" x14ac:dyDescent="0.25">
      <c r="A118" s="7">
        <f>DATE(YEAR(m6_crossvalid[[#This Row],[cutoff]]),MONTH(m6_crossvalid[[#This Row],[cutoff]]),DAY(m6_crossvalid[[#This Row],[cutoff]]))</f>
        <v>45747</v>
      </c>
      <c r="B118" s="7">
        <f>DATE(YEAR(m6_crossvalid[[#This Row],[ds]]),MONTH(m6_crossvalid[[#This Row],[ds]]),DAY(m6_crossvalid[[#This Row],[ds]]))</f>
        <v>45771</v>
      </c>
      <c r="C118">
        <v>3831</v>
      </c>
      <c r="D118" s="1">
        <v>45771.333333333336</v>
      </c>
      <c r="E118">
        <v>4286.5142483343616</v>
      </c>
      <c r="F118">
        <v>2310.3294032945096</v>
      </c>
      <c r="G118">
        <v>8145.1400785545848</v>
      </c>
      <c r="H118" s="1">
        <v>45747.333333333336</v>
      </c>
    </row>
    <row r="119" spans="1:8" x14ac:dyDescent="0.25">
      <c r="A119" s="7">
        <f>DATE(YEAR(m6_crossvalid[[#This Row],[cutoff]]),MONTH(m6_crossvalid[[#This Row],[cutoff]]),DAY(m6_crossvalid[[#This Row],[cutoff]]))</f>
        <v>45747</v>
      </c>
      <c r="B119" s="7">
        <f>DATE(YEAR(m6_crossvalid[[#This Row],[ds]]),MONTH(m6_crossvalid[[#This Row],[ds]]),DAY(m6_crossvalid[[#This Row],[ds]]))</f>
        <v>45772</v>
      </c>
      <c r="C119">
        <v>4600</v>
      </c>
      <c r="D119" s="1">
        <v>45772.333333333336</v>
      </c>
      <c r="E119">
        <v>4089.2992300435976</v>
      </c>
      <c r="F119">
        <v>2097.8087074857435</v>
      </c>
      <c r="G119">
        <v>7524.9969608891824</v>
      </c>
      <c r="H119" s="1">
        <v>45747.333333333336</v>
      </c>
    </row>
    <row r="120" spans="1:8" x14ac:dyDescent="0.25">
      <c r="A120" s="7">
        <f>DATE(YEAR(m6_crossvalid[[#This Row],[cutoff]]),MONTH(m6_crossvalid[[#This Row],[cutoff]]),DAY(m6_crossvalid[[#This Row],[cutoff]]))</f>
        <v>45747</v>
      </c>
      <c r="B120" s="7">
        <f>DATE(YEAR(m6_crossvalid[[#This Row],[ds]]),MONTH(m6_crossvalid[[#This Row],[ds]]),DAY(m6_crossvalid[[#This Row],[ds]]))</f>
        <v>45773</v>
      </c>
      <c r="C120">
        <v>1014</v>
      </c>
      <c r="D120" s="1">
        <v>45773.333333333336</v>
      </c>
      <c r="E120">
        <v>1372.2421617789237</v>
      </c>
      <c r="F120">
        <v>752.94490668431399</v>
      </c>
      <c r="G120">
        <v>2593.1530390591165</v>
      </c>
      <c r="H120" s="1">
        <v>45747.333333333336</v>
      </c>
    </row>
    <row r="121" spans="1:8" x14ac:dyDescent="0.25">
      <c r="A121" s="7">
        <f>DATE(YEAR(m6_crossvalid[[#This Row],[cutoff]]),MONTH(m6_crossvalid[[#This Row],[cutoff]]),DAY(m6_crossvalid[[#This Row],[cutoff]]))</f>
        <v>45747</v>
      </c>
      <c r="B121" s="7">
        <f>DATE(YEAR(m6_crossvalid[[#This Row],[ds]]),MONTH(m6_crossvalid[[#This Row],[ds]]),DAY(m6_crossvalid[[#This Row],[ds]]))</f>
        <v>45774</v>
      </c>
      <c r="C121">
        <v>197.99999999999997</v>
      </c>
      <c r="D121" s="1">
        <v>45774.333333333336</v>
      </c>
      <c r="E121">
        <v>488.92577068862931</v>
      </c>
      <c r="F121">
        <v>260.64251271963485</v>
      </c>
      <c r="G121">
        <v>966.05249270620516</v>
      </c>
      <c r="H121" s="1">
        <v>45747.333333333336</v>
      </c>
    </row>
    <row r="122" spans="1:8" x14ac:dyDescent="0.25">
      <c r="A122" s="7">
        <f>DATE(YEAR(m6_crossvalid[[#This Row],[cutoff]]),MONTH(m6_crossvalid[[#This Row],[cutoff]]),DAY(m6_crossvalid[[#This Row],[cutoff]]))</f>
        <v>45747</v>
      </c>
      <c r="B122" s="7">
        <f>DATE(YEAR(m6_crossvalid[[#This Row],[ds]]),MONTH(m6_crossvalid[[#This Row],[ds]]),DAY(m6_crossvalid[[#This Row],[ds]]))</f>
        <v>45775</v>
      </c>
      <c r="C122">
        <v>5133.0000000000009</v>
      </c>
      <c r="D122" s="1">
        <v>45775.333333333336</v>
      </c>
      <c r="E122">
        <v>5213.2271057646749</v>
      </c>
      <c r="F122">
        <v>2786.0827821117937</v>
      </c>
      <c r="G122">
        <v>9928.2833318715275</v>
      </c>
      <c r="H122" s="1">
        <v>45747.333333333336</v>
      </c>
    </row>
    <row r="123" spans="1:8" x14ac:dyDescent="0.25">
      <c r="A123" s="7">
        <f>DATE(YEAR(m6_crossvalid[[#This Row],[cutoff]]),MONTH(m6_crossvalid[[#This Row],[cutoff]]),DAY(m6_crossvalid[[#This Row],[cutoff]]))</f>
        <v>45747</v>
      </c>
      <c r="B123" s="7">
        <f>DATE(YEAR(m6_crossvalid[[#This Row],[ds]]),MONTH(m6_crossvalid[[#This Row],[ds]]),DAY(m6_crossvalid[[#This Row],[ds]]))</f>
        <v>45776</v>
      </c>
      <c r="C123">
        <v>7913.0000000000027</v>
      </c>
      <c r="D123" s="1">
        <v>45776.333333333336</v>
      </c>
      <c r="E123">
        <v>10893.642022429371</v>
      </c>
      <c r="F123">
        <v>5683.0255038500309</v>
      </c>
      <c r="G123">
        <v>22109.660608960756</v>
      </c>
      <c r="H123" s="1">
        <v>45747.333333333336</v>
      </c>
    </row>
    <row r="124" spans="1:8" x14ac:dyDescent="0.25">
      <c r="A124" s="7">
        <f>DATE(YEAR(m6_crossvalid[[#This Row],[cutoff]]),MONTH(m6_crossvalid[[#This Row],[cutoff]]),DAY(m6_crossvalid[[#This Row],[cutoff]]))</f>
        <v>45747</v>
      </c>
      <c r="B124" s="7">
        <f>DATE(YEAR(m6_crossvalid[[#This Row],[ds]]),MONTH(m6_crossvalid[[#This Row],[ds]]),DAY(m6_crossvalid[[#This Row],[ds]]))</f>
        <v>45777</v>
      </c>
      <c r="C124">
        <v>14564.000000000011</v>
      </c>
      <c r="D124" s="1">
        <v>45777.333333333336</v>
      </c>
      <c r="E124">
        <v>15496.689370714166</v>
      </c>
      <c r="F124">
        <v>8008.7486837380102</v>
      </c>
      <c r="G124">
        <v>29875.410333386495</v>
      </c>
      <c r="H124" s="1">
        <v>45747.333333333336</v>
      </c>
    </row>
    <row r="125" spans="1:8" x14ac:dyDescent="0.25">
      <c r="A125" s="7">
        <f>DATE(YEAR(m6_crossvalid[[#This Row],[cutoff]]),MONTH(m6_crossvalid[[#This Row],[cutoff]]),DAY(m6_crossvalid[[#This Row],[cutoff]]))</f>
        <v>45747</v>
      </c>
      <c r="B125" s="7">
        <f>DATE(YEAR(m6_crossvalid[[#This Row],[ds]]),MONTH(m6_crossvalid[[#This Row],[ds]]),DAY(m6_crossvalid[[#This Row],[ds]]))</f>
        <v>45778</v>
      </c>
      <c r="C125">
        <v>23.999999999999996</v>
      </c>
      <c r="D125" s="1">
        <v>45778.333333333336</v>
      </c>
      <c r="E125">
        <v>144.99354210828605</v>
      </c>
      <c r="F125">
        <v>77.017214657723954</v>
      </c>
      <c r="G125">
        <v>281.9892302542172</v>
      </c>
      <c r="H125" s="1">
        <v>45747.333333333336</v>
      </c>
    </row>
    <row r="126" spans="1:8" x14ac:dyDescent="0.25">
      <c r="A126" s="7">
        <f>DATE(YEAR(m6_crossvalid[[#This Row],[cutoff]]),MONTH(m6_crossvalid[[#This Row],[cutoff]]),DAY(m6_crossvalid[[#This Row],[cutoff]]))</f>
        <v>45777</v>
      </c>
      <c r="B126" s="7">
        <f>DATE(YEAR(m6_crossvalid[[#This Row],[ds]]),MONTH(m6_crossvalid[[#This Row],[ds]]),DAY(m6_crossvalid[[#This Row],[ds]]))</f>
        <v>45778</v>
      </c>
      <c r="C126">
        <v>23.999999999999996</v>
      </c>
      <c r="D126" s="1">
        <v>45778.333333333336</v>
      </c>
      <c r="E126">
        <v>141.11466985604523</v>
      </c>
      <c r="F126">
        <v>71.857164243428642</v>
      </c>
      <c r="G126">
        <v>269.18217860316332</v>
      </c>
      <c r="H126" s="1">
        <v>45777.333333333336</v>
      </c>
    </row>
    <row r="127" spans="1:8" x14ac:dyDescent="0.25">
      <c r="A127" s="7">
        <f>DATE(YEAR(m6_crossvalid[[#This Row],[cutoff]]),MONTH(m6_crossvalid[[#This Row],[cutoff]]),DAY(m6_crossvalid[[#This Row],[cutoff]]))</f>
        <v>45777</v>
      </c>
      <c r="B127" s="7">
        <f>DATE(YEAR(m6_crossvalid[[#This Row],[ds]]),MONTH(m6_crossvalid[[#This Row],[ds]]),DAY(m6_crossvalid[[#This Row],[ds]]))</f>
        <v>45779</v>
      </c>
      <c r="C127">
        <v>749.99999999999977</v>
      </c>
      <c r="D127" s="1">
        <v>45779.333333333336</v>
      </c>
      <c r="E127">
        <v>691.67629351753601</v>
      </c>
      <c r="F127">
        <v>369.54246647753524</v>
      </c>
      <c r="G127">
        <v>1245.9420065840357</v>
      </c>
      <c r="H127" s="1">
        <v>45777.333333333336</v>
      </c>
    </row>
    <row r="128" spans="1:8" x14ac:dyDescent="0.25">
      <c r="A128" s="7">
        <f>DATE(YEAR(m6_crossvalid[[#This Row],[cutoff]]),MONTH(m6_crossvalid[[#This Row],[cutoff]]),DAY(m6_crossvalid[[#This Row],[cutoff]]))</f>
        <v>45777</v>
      </c>
      <c r="B128" s="7">
        <f>DATE(YEAR(m6_crossvalid[[#This Row],[ds]]),MONTH(m6_crossvalid[[#This Row],[ds]]),DAY(m6_crossvalid[[#This Row],[ds]]))</f>
        <v>45780</v>
      </c>
      <c r="C128">
        <v>70</v>
      </c>
      <c r="D128" s="1">
        <v>45780.333333333336</v>
      </c>
      <c r="E128">
        <v>141.92979394023425</v>
      </c>
      <c r="F128">
        <v>74.432260333582221</v>
      </c>
      <c r="G128">
        <v>283.07357402364153</v>
      </c>
      <c r="H128" s="1">
        <v>45777.333333333336</v>
      </c>
    </row>
    <row r="129" spans="1:8" x14ac:dyDescent="0.25">
      <c r="A129" s="7">
        <f>DATE(YEAR(m6_crossvalid[[#This Row],[cutoff]]),MONTH(m6_crossvalid[[#This Row],[cutoff]]),DAY(m6_crossvalid[[#This Row],[cutoff]]))</f>
        <v>45777</v>
      </c>
      <c r="B129" s="7">
        <f>DATE(YEAR(m6_crossvalid[[#This Row],[ds]]),MONTH(m6_crossvalid[[#This Row],[ds]]),DAY(m6_crossvalid[[#This Row],[ds]]))</f>
        <v>45781</v>
      </c>
      <c r="C129">
        <v>31</v>
      </c>
      <c r="D129" s="1">
        <v>45781.333333333336</v>
      </c>
      <c r="E129">
        <v>42.348666356856484</v>
      </c>
      <c r="F129">
        <v>20.736924777612838</v>
      </c>
      <c r="G129">
        <v>78.571927000741042</v>
      </c>
      <c r="H129" s="1">
        <v>45777.333333333336</v>
      </c>
    </row>
    <row r="130" spans="1:8" x14ac:dyDescent="0.25">
      <c r="A130" s="7">
        <f>DATE(YEAR(m6_crossvalid[[#This Row],[cutoff]]),MONTH(m6_crossvalid[[#This Row],[cutoff]]),DAY(m6_crossvalid[[#This Row],[cutoff]]))</f>
        <v>45777</v>
      </c>
      <c r="B130" s="7">
        <f>DATE(YEAR(m6_crossvalid[[#This Row],[ds]]),MONTH(m6_crossvalid[[#This Row],[ds]]),DAY(m6_crossvalid[[#This Row],[ds]]))</f>
        <v>45782</v>
      </c>
      <c r="C130">
        <v>1025.9999999999995</v>
      </c>
      <c r="D130" s="1">
        <v>45782.333333333336</v>
      </c>
      <c r="E130">
        <v>466.60153981611251</v>
      </c>
      <c r="F130">
        <v>240.62535561131503</v>
      </c>
      <c r="G130">
        <v>863.96223158338398</v>
      </c>
      <c r="H130" s="1">
        <v>45777.333333333336</v>
      </c>
    </row>
    <row r="131" spans="1:8" x14ac:dyDescent="0.25">
      <c r="A131" s="7">
        <f>DATE(YEAR(m6_crossvalid[[#This Row],[cutoff]]),MONTH(m6_crossvalid[[#This Row],[cutoff]]),DAY(m6_crossvalid[[#This Row],[cutoff]]))</f>
        <v>45777</v>
      </c>
      <c r="B131" s="7">
        <f>DATE(YEAR(m6_crossvalid[[#This Row],[ds]]),MONTH(m6_crossvalid[[#This Row],[ds]]),DAY(m6_crossvalid[[#This Row],[ds]]))</f>
        <v>45783</v>
      </c>
      <c r="C131">
        <v>939.99999999999966</v>
      </c>
      <c r="D131" s="1">
        <v>45783.333333333336</v>
      </c>
      <c r="E131">
        <v>601.78644972642417</v>
      </c>
      <c r="F131">
        <v>329.29759411304389</v>
      </c>
      <c r="G131">
        <v>1150.1089652496632</v>
      </c>
      <c r="H131" s="1">
        <v>45777.333333333336</v>
      </c>
    </row>
    <row r="132" spans="1:8" x14ac:dyDescent="0.25">
      <c r="A132" s="7">
        <f>DATE(YEAR(m6_crossvalid[[#This Row],[cutoff]]),MONTH(m6_crossvalid[[#This Row],[cutoff]]),DAY(m6_crossvalid[[#This Row],[cutoff]]))</f>
        <v>45777</v>
      </c>
      <c r="B132" s="7">
        <f>DATE(YEAR(m6_crossvalid[[#This Row],[ds]]),MONTH(m6_crossvalid[[#This Row],[ds]]),DAY(m6_crossvalid[[#This Row],[ds]]))</f>
        <v>45784</v>
      </c>
      <c r="C132">
        <v>1225.0000000000005</v>
      </c>
      <c r="D132" s="1">
        <v>45784.333333333336</v>
      </c>
      <c r="E132">
        <v>705.68555018260099</v>
      </c>
      <c r="F132">
        <v>360.67294186027351</v>
      </c>
      <c r="G132">
        <v>1280.6538756474031</v>
      </c>
      <c r="H132" s="1">
        <v>45777.333333333336</v>
      </c>
    </row>
    <row r="133" spans="1:8" x14ac:dyDescent="0.25">
      <c r="A133" s="7">
        <f>DATE(YEAR(m6_crossvalid[[#This Row],[cutoff]]),MONTH(m6_crossvalid[[#This Row],[cutoff]]),DAY(m6_crossvalid[[#This Row],[cutoff]]))</f>
        <v>45777</v>
      </c>
      <c r="B133" s="7">
        <f>DATE(YEAR(m6_crossvalid[[#This Row],[ds]]),MONTH(m6_crossvalid[[#This Row],[ds]]),DAY(m6_crossvalid[[#This Row],[ds]]))</f>
        <v>45785</v>
      </c>
      <c r="C133">
        <v>1538.0000000000002</v>
      </c>
      <c r="D133" s="1">
        <v>45785.333333333336</v>
      </c>
      <c r="E133">
        <v>1565.1402511505942</v>
      </c>
      <c r="F133">
        <v>819.03557863741935</v>
      </c>
      <c r="G133">
        <v>2991.5598786690125</v>
      </c>
      <c r="H133" s="1">
        <v>45777.333333333336</v>
      </c>
    </row>
    <row r="134" spans="1:8" x14ac:dyDescent="0.25">
      <c r="A134" s="7">
        <f>DATE(YEAR(m6_crossvalid[[#This Row],[cutoff]]),MONTH(m6_crossvalid[[#This Row],[cutoff]]),DAY(m6_crossvalid[[#This Row],[cutoff]]))</f>
        <v>45777</v>
      </c>
      <c r="B134" s="7">
        <f>DATE(YEAR(m6_crossvalid[[#This Row],[ds]]),MONTH(m6_crossvalid[[#This Row],[ds]]),DAY(m6_crossvalid[[#This Row],[ds]]))</f>
        <v>45786</v>
      </c>
      <c r="C134">
        <v>1799.0000000000005</v>
      </c>
      <c r="D134" s="1">
        <v>45786.333333333336</v>
      </c>
      <c r="E134">
        <v>1388.4358034880315</v>
      </c>
      <c r="F134">
        <v>720.41837814056419</v>
      </c>
      <c r="G134">
        <v>2540.6722178872901</v>
      </c>
      <c r="H134" s="1">
        <v>45777.333333333336</v>
      </c>
    </row>
    <row r="135" spans="1:8" x14ac:dyDescent="0.25">
      <c r="A135" s="7">
        <f>DATE(YEAR(m6_crossvalid[[#This Row],[cutoff]]),MONTH(m6_crossvalid[[#This Row],[cutoff]]),DAY(m6_crossvalid[[#This Row],[cutoff]]))</f>
        <v>45777</v>
      </c>
      <c r="B135" s="7">
        <f>DATE(YEAR(m6_crossvalid[[#This Row],[ds]]),MONTH(m6_crossvalid[[#This Row],[ds]]),DAY(m6_crossvalid[[#This Row],[ds]]))</f>
        <v>45787</v>
      </c>
      <c r="C135">
        <v>415</v>
      </c>
      <c r="D135" s="1">
        <v>45787.333333333336</v>
      </c>
      <c r="E135">
        <v>213.33438184954451</v>
      </c>
      <c r="F135">
        <v>111.92508617896277</v>
      </c>
      <c r="G135">
        <v>433.56244942756689</v>
      </c>
      <c r="H135" s="1">
        <v>45777.333333333336</v>
      </c>
    </row>
    <row r="136" spans="1:8" x14ac:dyDescent="0.25">
      <c r="A136" s="7">
        <f>DATE(YEAR(m6_crossvalid[[#This Row],[cutoff]]),MONTH(m6_crossvalid[[#This Row],[cutoff]]),DAY(m6_crossvalid[[#This Row],[cutoff]]))</f>
        <v>45777</v>
      </c>
      <c r="B136" s="7">
        <f>DATE(YEAR(m6_crossvalid[[#This Row],[ds]]),MONTH(m6_crossvalid[[#This Row],[ds]]),DAY(m6_crossvalid[[#This Row],[ds]]))</f>
        <v>45788</v>
      </c>
      <c r="C136">
        <v>169.00000000000006</v>
      </c>
      <c r="D136" s="1">
        <v>45788.333333333336</v>
      </c>
      <c r="E136">
        <v>76.190130997053558</v>
      </c>
      <c r="F136">
        <v>40.075962420655749</v>
      </c>
      <c r="G136">
        <v>144.49254713061799</v>
      </c>
      <c r="H136" s="1">
        <v>45777.333333333336</v>
      </c>
    </row>
    <row r="137" spans="1:8" x14ac:dyDescent="0.25">
      <c r="A137" s="7">
        <f>DATE(YEAR(m6_crossvalid[[#This Row],[cutoff]]),MONTH(m6_crossvalid[[#This Row],[cutoff]]),DAY(m6_crossvalid[[#This Row],[cutoff]]))</f>
        <v>45777</v>
      </c>
      <c r="B137" s="7">
        <f>DATE(YEAR(m6_crossvalid[[#This Row],[ds]]),MONTH(m6_crossvalid[[#This Row],[ds]]),DAY(m6_crossvalid[[#This Row],[ds]]))</f>
        <v>45789</v>
      </c>
      <c r="C137">
        <v>185.00000000000009</v>
      </c>
      <c r="D137" s="1">
        <v>45789.333333333336</v>
      </c>
      <c r="E137">
        <v>121.02521890861135</v>
      </c>
      <c r="F137">
        <v>65.4352656660311</v>
      </c>
      <c r="G137">
        <v>236.1736612126856</v>
      </c>
      <c r="H137" s="1">
        <v>45777.333333333336</v>
      </c>
    </row>
    <row r="138" spans="1:8" x14ac:dyDescent="0.25">
      <c r="A138" s="7">
        <f>DATE(YEAR(m6_crossvalid[[#This Row],[cutoff]]),MONTH(m6_crossvalid[[#This Row],[cutoff]]),DAY(m6_crossvalid[[#This Row],[cutoff]]))</f>
        <v>45777</v>
      </c>
      <c r="B138" s="7">
        <f>DATE(YEAR(m6_crossvalid[[#This Row],[ds]]),MONTH(m6_crossvalid[[#This Row],[ds]]),DAY(m6_crossvalid[[#This Row],[ds]]))</f>
        <v>45790</v>
      </c>
      <c r="C138">
        <v>2011.0000000000005</v>
      </c>
      <c r="D138" s="1">
        <v>45790.333333333336</v>
      </c>
      <c r="E138">
        <v>1393.2125437729512</v>
      </c>
      <c r="F138">
        <v>760.14003463369511</v>
      </c>
      <c r="G138">
        <v>2564.869691608013</v>
      </c>
      <c r="H138" s="1">
        <v>45777.333333333336</v>
      </c>
    </row>
    <row r="139" spans="1:8" x14ac:dyDescent="0.25">
      <c r="A139" s="7">
        <f>DATE(YEAR(m6_crossvalid[[#This Row],[cutoff]]),MONTH(m6_crossvalid[[#This Row],[cutoff]]),DAY(m6_crossvalid[[#This Row],[cutoff]]))</f>
        <v>45777</v>
      </c>
      <c r="B139" s="7">
        <f>DATE(YEAR(m6_crossvalid[[#This Row],[ds]]),MONTH(m6_crossvalid[[#This Row],[ds]]),DAY(m6_crossvalid[[#This Row],[ds]]))</f>
        <v>45791</v>
      </c>
      <c r="C139">
        <v>2630.0000000000009</v>
      </c>
      <c r="D139" s="1">
        <v>45791.333333333336</v>
      </c>
      <c r="E139">
        <v>1701.3808098678066</v>
      </c>
      <c r="F139">
        <v>896.95631340827242</v>
      </c>
      <c r="G139">
        <v>3207.037032508963</v>
      </c>
      <c r="H139" s="1">
        <v>45777.333333333336</v>
      </c>
    </row>
    <row r="140" spans="1:8" x14ac:dyDescent="0.25">
      <c r="A140" s="7">
        <f>DATE(YEAR(m6_crossvalid[[#This Row],[cutoff]]),MONTH(m6_crossvalid[[#This Row],[cutoff]]),DAY(m6_crossvalid[[#This Row],[cutoff]]))</f>
        <v>45777</v>
      </c>
      <c r="B140" s="7">
        <f>DATE(YEAR(m6_crossvalid[[#This Row],[ds]]),MONTH(m6_crossvalid[[#This Row],[ds]]),DAY(m6_crossvalid[[#This Row],[ds]]))</f>
        <v>45792</v>
      </c>
      <c r="C140">
        <v>2984.9999999999973</v>
      </c>
      <c r="D140" s="1">
        <v>45792.333333333336</v>
      </c>
      <c r="E140">
        <v>2008.4681067234683</v>
      </c>
      <c r="F140">
        <v>1093.015885443561</v>
      </c>
      <c r="G140">
        <v>3689.6447151359334</v>
      </c>
      <c r="H140" s="1">
        <v>45777.333333333336</v>
      </c>
    </row>
    <row r="141" spans="1:8" x14ac:dyDescent="0.25">
      <c r="A141" s="7">
        <f>DATE(YEAR(m6_crossvalid[[#This Row],[cutoff]]),MONTH(m6_crossvalid[[#This Row],[cutoff]]),DAY(m6_crossvalid[[#This Row],[cutoff]]))</f>
        <v>45777</v>
      </c>
      <c r="B141" s="7">
        <f>DATE(YEAR(m6_crossvalid[[#This Row],[ds]]),MONTH(m6_crossvalid[[#This Row],[ds]]),DAY(m6_crossvalid[[#This Row],[ds]]))</f>
        <v>45793</v>
      </c>
      <c r="C141">
        <v>3081.0000000000018</v>
      </c>
      <c r="D141" s="1">
        <v>45793.333333333336</v>
      </c>
      <c r="E141">
        <v>1875.1832028485367</v>
      </c>
      <c r="F141">
        <v>999.61120243857488</v>
      </c>
      <c r="G141">
        <v>3525.0364604043766</v>
      </c>
      <c r="H141" s="1">
        <v>45777.333333333336</v>
      </c>
    </row>
    <row r="142" spans="1:8" x14ac:dyDescent="0.25">
      <c r="A142" s="7">
        <f>DATE(YEAR(m6_crossvalid[[#This Row],[cutoff]]),MONTH(m6_crossvalid[[#This Row],[cutoff]]),DAY(m6_crossvalid[[#This Row],[cutoff]]))</f>
        <v>45777</v>
      </c>
      <c r="B142" s="7">
        <f>DATE(YEAR(m6_crossvalid[[#This Row],[ds]]),MONTH(m6_crossvalid[[#This Row],[ds]]),DAY(m6_crossvalid[[#This Row],[ds]]))</f>
        <v>45794</v>
      </c>
      <c r="C142">
        <v>609.00000000000023</v>
      </c>
      <c r="D142" s="1">
        <v>45794.333333333336</v>
      </c>
      <c r="E142">
        <v>320.35505474406165</v>
      </c>
      <c r="F142">
        <v>172.22783289330542</v>
      </c>
      <c r="G142">
        <v>597.15137643136313</v>
      </c>
      <c r="H142" s="1">
        <v>45777.333333333336</v>
      </c>
    </row>
    <row r="143" spans="1:8" x14ac:dyDescent="0.25">
      <c r="A143" s="7">
        <f>DATE(YEAR(m6_crossvalid[[#This Row],[cutoff]]),MONTH(m6_crossvalid[[#This Row],[cutoff]]),DAY(m6_crossvalid[[#This Row],[cutoff]]))</f>
        <v>45777</v>
      </c>
      <c r="B143" s="7">
        <f>DATE(YEAR(m6_crossvalid[[#This Row],[ds]]),MONTH(m6_crossvalid[[#This Row],[ds]]),DAY(m6_crossvalid[[#This Row],[ds]]))</f>
        <v>45795</v>
      </c>
      <c r="C143">
        <v>185.00000000000009</v>
      </c>
      <c r="D143" s="1">
        <v>45795.333333333336</v>
      </c>
      <c r="E143">
        <v>128.91300987986455</v>
      </c>
      <c r="F143">
        <v>68.194792862479488</v>
      </c>
      <c r="G143">
        <v>248.06992420023624</v>
      </c>
      <c r="H143" s="1">
        <v>45777.333333333336</v>
      </c>
    </row>
    <row r="144" spans="1:8" x14ac:dyDescent="0.25">
      <c r="A144" s="7">
        <f>DATE(YEAR(m6_crossvalid[[#This Row],[cutoff]]),MONTH(m6_crossvalid[[#This Row],[cutoff]]),DAY(m6_crossvalid[[#This Row],[cutoff]]))</f>
        <v>45777</v>
      </c>
      <c r="B144" s="7">
        <f>DATE(YEAR(m6_crossvalid[[#This Row],[ds]]),MONTH(m6_crossvalid[[#This Row],[ds]]),DAY(m6_crossvalid[[#This Row],[ds]]))</f>
        <v>45796</v>
      </c>
      <c r="C144">
        <v>2925.9999999999991</v>
      </c>
      <c r="D144" s="1">
        <v>45796.333333333336</v>
      </c>
      <c r="E144">
        <v>1733.0139636789997</v>
      </c>
      <c r="F144">
        <v>869.02619793247641</v>
      </c>
      <c r="G144">
        <v>3385.6349446753311</v>
      </c>
      <c r="H144" s="1">
        <v>45777.333333333336</v>
      </c>
    </row>
    <row r="145" spans="1:8" x14ac:dyDescent="0.25">
      <c r="A145" s="7">
        <f>DATE(YEAR(m6_crossvalid[[#This Row],[cutoff]]),MONTH(m6_crossvalid[[#This Row],[cutoff]]),DAY(m6_crossvalid[[#This Row],[cutoff]]))</f>
        <v>45777</v>
      </c>
      <c r="B145" s="7">
        <f>DATE(YEAR(m6_crossvalid[[#This Row],[ds]]),MONTH(m6_crossvalid[[#This Row],[ds]]),DAY(m6_crossvalid[[#This Row],[ds]]))</f>
        <v>45797</v>
      </c>
      <c r="C145">
        <v>3212.9999999999995</v>
      </c>
      <c r="D145" s="1">
        <v>45797.333333333336</v>
      </c>
      <c r="E145">
        <v>2381.9778409656715</v>
      </c>
      <c r="F145">
        <v>1264.6511009168328</v>
      </c>
      <c r="G145">
        <v>4807.9470824472928</v>
      </c>
      <c r="H145" s="1">
        <v>45777.333333333336</v>
      </c>
    </row>
    <row r="146" spans="1:8" x14ac:dyDescent="0.25">
      <c r="A146" s="7">
        <f>DATE(YEAR(m6_crossvalid[[#This Row],[cutoff]]),MONTH(m6_crossvalid[[#This Row],[cutoff]]),DAY(m6_crossvalid[[#This Row],[cutoff]]))</f>
        <v>45777</v>
      </c>
      <c r="B146" s="7">
        <f>DATE(YEAR(m6_crossvalid[[#This Row],[ds]]),MONTH(m6_crossvalid[[#This Row],[ds]]),DAY(m6_crossvalid[[#This Row],[ds]]))</f>
        <v>45798</v>
      </c>
      <c r="C146">
        <v>3565.9999999999973</v>
      </c>
      <c r="D146" s="1">
        <v>45798.333333333336</v>
      </c>
      <c r="E146">
        <v>2637.0021250967093</v>
      </c>
      <c r="F146">
        <v>1425.0755604679744</v>
      </c>
      <c r="G146">
        <v>5123.5914562531871</v>
      </c>
      <c r="H146" s="1">
        <v>45777.333333333336</v>
      </c>
    </row>
    <row r="147" spans="1:8" x14ac:dyDescent="0.25">
      <c r="A147" s="7">
        <f>DATE(YEAR(m6_crossvalid[[#This Row],[cutoff]]),MONTH(m6_crossvalid[[#This Row],[cutoff]]),DAY(m6_crossvalid[[#This Row],[cutoff]]))</f>
        <v>45777</v>
      </c>
      <c r="B147" s="7">
        <f>DATE(YEAR(m6_crossvalid[[#This Row],[ds]]),MONTH(m6_crossvalid[[#This Row],[ds]]),DAY(m6_crossvalid[[#This Row],[ds]]))</f>
        <v>45799</v>
      </c>
      <c r="C147">
        <v>3706</v>
      </c>
      <c r="D147" s="1">
        <v>45799.333333333336</v>
      </c>
      <c r="E147">
        <v>2886.3489222291278</v>
      </c>
      <c r="F147">
        <v>1528.0784387076055</v>
      </c>
      <c r="G147">
        <v>5688.3142433326093</v>
      </c>
      <c r="H147" s="1">
        <v>45777.333333333336</v>
      </c>
    </row>
    <row r="148" spans="1:8" x14ac:dyDescent="0.25">
      <c r="A148" s="7">
        <f>DATE(YEAR(m6_crossvalid[[#This Row],[cutoff]]),MONTH(m6_crossvalid[[#This Row],[cutoff]]),DAY(m6_crossvalid[[#This Row],[cutoff]]))</f>
        <v>45777</v>
      </c>
      <c r="B148" s="7">
        <f>DATE(YEAR(m6_crossvalid[[#This Row],[ds]]),MONTH(m6_crossvalid[[#This Row],[ds]]),DAY(m6_crossvalid[[#This Row],[ds]]))</f>
        <v>45800</v>
      </c>
      <c r="C148">
        <v>3919.9999999999968</v>
      </c>
      <c r="D148" s="1">
        <v>45800.333333333336</v>
      </c>
      <c r="E148">
        <v>2700.9729936354161</v>
      </c>
      <c r="F148">
        <v>1364.136871847189</v>
      </c>
      <c r="G148">
        <v>5168.762786672718</v>
      </c>
      <c r="H148" s="1">
        <v>45777.333333333336</v>
      </c>
    </row>
    <row r="149" spans="1:8" x14ac:dyDescent="0.25">
      <c r="A149" s="7">
        <f>DATE(YEAR(m6_crossvalid[[#This Row],[cutoff]]),MONTH(m6_crossvalid[[#This Row],[cutoff]]),DAY(m6_crossvalid[[#This Row],[cutoff]]))</f>
        <v>45777</v>
      </c>
      <c r="B149" s="7">
        <f>DATE(YEAR(m6_crossvalid[[#This Row],[ds]]),MONTH(m6_crossvalid[[#This Row],[ds]]),DAY(m6_crossvalid[[#This Row],[ds]]))</f>
        <v>45801</v>
      </c>
      <c r="C149">
        <v>857.00000000000011</v>
      </c>
      <c r="D149" s="1">
        <v>45801.333333333336</v>
      </c>
      <c r="E149">
        <v>491.8505122607661</v>
      </c>
      <c r="F149">
        <v>270.44379187416479</v>
      </c>
      <c r="G149">
        <v>921.30757762774965</v>
      </c>
      <c r="H149" s="1">
        <v>45777.333333333336</v>
      </c>
    </row>
    <row r="150" spans="1:8" x14ac:dyDescent="0.25">
      <c r="A150" s="7">
        <f>DATE(YEAR(m6_crossvalid[[#This Row],[cutoff]]),MONTH(m6_crossvalid[[#This Row],[cutoff]]),DAY(m6_crossvalid[[#This Row],[cutoff]]))</f>
        <v>45777</v>
      </c>
      <c r="B150" s="7">
        <f>DATE(YEAR(m6_crossvalid[[#This Row],[ds]]),MONTH(m6_crossvalid[[#This Row],[ds]]),DAY(m6_crossvalid[[#This Row],[ds]]))</f>
        <v>45802</v>
      </c>
      <c r="C150">
        <v>215.00000000000006</v>
      </c>
      <c r="D150" s="1">
        <v>45802.333333333336</v>
      </c>
      <c r="E150">
        <v>208.69392109089</v>
      </c>
      <c r="F150">
        <v>107.99932983620106</v>
      </c>
      <c r="G150">
        <v>395.4042329252444</v>
      </c>
      <c r="H150" s="1">
        <v>45777.333333333336</v>
      </c>
    </row>
    <row r="151" spans="1:8" x14ac:dyDescent="0.25">
      <c r="A151" s="7">
        <f>DATE(YEAR(m6_crossvalid[[#This Row],[cutoff]]),MONTH(m6_crossvalid[[#This Row],[cutoff]]),DAY(m6_crossvalid[[#This Row],[cutoff]]))</f>
        <v>45777</v>
      </c>
      <c r="B151" s="7">
        <f>DATE(YEAR(m6_crossvalid[[#This Row],[ds]]),MONTH(m6_crossvalid[[#This Row],[ds]]),DAY(m6_crossvalid[[#This Row],[ds]]))</f>
        <v>45803</v>
      </c>
      <c r="C151">
        <v>4297</v>
      </c>
      <c r="D151" s="1">
        <v>45803.333333333336</v>
      </c>
      <c r="E151">
        <v>2731.7276605921352</v>
      </c>
      <c r="F151">
        <v>1461.7498272589539</v>
      </c>
      <c r="G151">
        <v>5189.4170706869463</v>
      </c>
      <c r="H151" s="1">
        <v>45777.333333333336</v>
      </c>
    </row>
    <row r="152" spans="1:8" x14ac:dyDescent="0.25">
      <c r="A152" s="7">
        <f>DATE(YEAR(m6_crossvalid[[#This Row],[cutoff]]),MONTH(m6_crossvalid[[#This Row],[cutoff]]),DAY(m6_crossvalid[[#This Row],[cutoff]]))</f>
        <v>45777</v>
      </c>
      <c r="B152" s="7">
        <f>DATE(YEAR(m6_crossvalid[[#This Row],[ds]]),MONTH(m6_crossvalid[[#This Row],[ds]]),DAY(m6_crossvalid[[#This Row],[ds]]))</f>
        <v>45804</v>
      </c>
      <c r="C152">
        <v>5188.0000000000036</v>
      </c>
      <c r="D152" s="1">
        <v>45804.333333333336</v>
      </c>
      <c r="E152">
        <v>6692.7935418920715</v>
      </c>
      <c r="F152">
        <v>3544.5178362052893</v>
      </c>
      <c r="G152">
        <v>13236.208045191615</v>
      </c>
      <c r="H152" s="1">
        <v>45777.333333333336</v>
      </c>
    </row>
    <row r="153" spans="1:8" x14ac:dyDescent="0.25">
      <c r="A153" s="7">
        <f>DATE(YEAR(m6_crossvalid[[#This Row],[cutoff]]),MONTH(m6_crossvalid[[#This Row],[cutoff]]),DAY(m6_crossvalid[[#This Row],[cutoff]]))</f>
        <v>45777</v>
      </c>
      <c r="B153" s="7">
        <f>DATE(YEAR(m6_crossvalid[[#This Row],[ds]]),MONTH(m6_crossvalid[[#This Row],[ds]]),DAY(m6_crossvalid[[#This Row],[ds]]))</f>
        <v>45805</v>
      </c>
      <c r="C153">
        <v>5701.0000000000045</v>
      </c>
      <c r="D153" s="1">
        <v>45805.333333333336</v>
      </c>
      <c r="E153">
        <v>6509.893364891499</v>
      </c>
      <c r="F153">
        <v>3381.3438804010389</v>
      </c>
      <c r="G153">
        <v>12258.629568101645</v>
      </c>
      <c r="H153" s="1">
        <v>45777.333333333336</v>
      </c>
    </row>
    <row r="154" spans="1:8" x14ac:dyDescent="0.25">
      <c r="A154" s="7">
        <f>DATE(YEAR(m6_crossvalid[[#This Row],[cutoff]]),MONTH(m6_crossvalid[[#This Row],[cutoff]]),DAY(m6_crossvalid[[#This Row],[cutoff]]))</f>
        <v>45777</v>
      </c>
      <c r="B154" s="7">
        <f>DATE(YEAR(m6_crossvalid[[#This Row],[ds]]),MONTH(m6_crossvalid[[#This Row],[ds]]),DAY(m6_crossvalid[[#This Row],[ds]]))</f>
        <v>45806</v>
      </c>
      <c r="C154">
        <v>8102.9999999999936</v>
      </c>
      <c r="D154" s="1">
        <v>45806.333333333336</v>
      </c>
      <c r="E154">
        <v>6374.9673202480635</v>
      </c>
      <c r="F154">
        <v>3271.6185112391959</v>
      </c>
      <c r="G154">
        <v>12008.837426424343</v>
      </c>
      <c r="H154" s="1">
        <v>45777.333333333336</v>
      </c>
    </row>
    <row r="155" spans="1:8" x14ac:dyDescent="0.25">
      <c r="A155" s="7">
        <f>DATE(YEAR(m6_crossvalid[[#This Row],[cutoff]]),MONTH(m6_crossvalid[[#This Row],[cutoff]]),DAY(m6_crossvalid[[#This Row],[cutoff]]))</f>
        <v>45777</v>
      </c>
      <c r="B155" s="7">
        <f>DATE(YEAR(m6_crossvalid[[#This Row],[ds]]),MONTH(m6_crossvalid[[#This Row],[ds]]),DAY(m6_crossvalid[[#This Row],[ds]]))</f>
        <v>45807</v>
      </c>
      <c r="C155">
        <v>8920.0000000000036</v>
      </c>
      <c r="D155" s="1">
        <v>45807.333333333336</v>
      </c>
      <c r="E155">
        <v>9975.4584402264991</v>
      </c>
      <c r="F155">
        <v>5342.9396025789674</v>
      </c>
      <c r="G155">
        <v>20376.832240244777</v>
      </c>
      <c r="H155" s="1">
        <v>45777.333333333336</v>
      </c>
    </row>
    <row r="156" spans="1:8" x14ac:dyDescent="0.25">
      <c r="A156" s="7">
        <f>DATE(YEAR(m6_crossvalid[[#This Row],[cutoff]]),MONTH(m6_crossvalid[[#This Row],[cutoff]]),DAY(m6_crossvalid[[#This Row],[cutoff]]))</f>
        <v>45777</v>
      </c>
      <c r="B156" s="7">
        <f>DATE(YEAR(m6_crossvalid[[#This Row],[ds]]),MONTH(m6_crossvalid[[#This Row],[ds]]),DAY(m6_crossvalid[[#This Row],[ds]]))</f>
        <v>45808</v>
      </c>
      <c r="C156">
        <v>4108.0000000000018</v>
      </c>
      <c r="D156" s="1">
        <v>45808.333333333336</v>
      </c>
      <c r="E156">
        <v>2317.4221427445946</v>
      </c>
      <c r="F156">
        <v>1182.6135023497591</v>
      </c>
      <c r="G156">
        <v>4204.6994045178308</v>
      </c>
      <c r="H156" s="1">
        <v>45777.333333333336</v>
      </c>
    </row>
    <row r="157" spans="1:8" x14ac:dyDescent="0.25">
      <c r="A157" s="7">
        <f>DATE(YEAR(m6_crossvalid[[#This Row],[cutoff]]),MONTH(m6_crossvalid[[#This Row],[cutoff]]),DAY(m6_crossvalid[[#This Row],[cutoff]]))</f>
        <v>45808</v>
      </c>
      <c r="B157" s="7">
        <f>DATE(YEAR(m6_crossvalid[[#This Row],[ds]]),MONTH(m6_crossvalid[[#This Row],[ds]]),DAY(m6_crossvalid[[#This Row],[ds]]))</f>
        <v>45809</v>
      </c>
      <c r="C157">
        <v>75</v>
      </c>
      <c r="D157" s="1">
        <v>45809.333333333336</v>
      </c>
      <c r="E157">
        <v>60.677761999384543</v>
      </c>
      <c r="F157">
        <v>31.444130186605776</v>
      </c>
      <c r="G157">
        <v>115.23544491917525</v>
      </c>
      <c r="H157" s="1">
        <v>45808.333333333336</v>
      </c>
    </row>
    <row r="158" spans="1:8" x14ac:dyDescent="0.25">
      <c r="A158" s="7">
        <f>DATE(YEAR(m6_crossvalid[[#This Row],[cutoff]]),MONTH(m6_crossvalid[[#This Row],[cutoff]]),DAY(m6_crossvalid[[#This Row],[cutoff]]))</f>
        <v>45808</v>
      </c>
      <c r="B158" s="7">
        <f>DATE(YEAR(m6_crossvalid[[#This Row],[ds]]),MONTH(m6_crossvalid[[#This Row],[ds]]),DAY(m6_crossvalid[[#This Row],[ds]]))</f>
        <v>45810</v>
      </c>
      <c r="C158">
        <v>3</v>
      </c>
      <c r="D158" s="1">
        <v>45810.333333333336</v>
      </c>
      <c r="E158">
        <v>61.089889766892291</v>
      </c>
      <c r="F158">
        <v>31.990495945711295</v>
      </c>
      <c r="G158">
        <v>116.07950562589605</v>
      </c>
      <c r="H158" s="1">
        <v>45808.333333333336</v>
      </c>
    </row>
    <row r="159" spans="1:8" x14ac:dyDescent="0.25">
      <c r="A159" s="7">
        <f>DATE(YEAR(m6_crossvalid[[#This Row],[cutoff]]),MONTH(m6_crossvalid[[#This Row],[cutoff]]),DAY(m6_crossvalid[[#This Row],[cutoff]]))</f>
        <v>45808</v>
      </c>
      <c r="B159" s="7">
        <f>DATE(YEAR(m6_crossvalid[[#This Row],[ds]]),MONTH(m6_crossvalid[[#This Row],[ds]]),DAY(m6_crossvalid[[#This Row],[ds]]))</f>
        <v>45811</v>
      </c>
      <c r="C159">
        <v>578.00000000000023</v>
      </c>
      <c r="D159" s="1">
        <v>45811.333333333336</v>
      </c>
      <c r="E159">
        <v>791.68060185086802</v>
      </c>
      <c r="F159">
        <v>424.20003806282227</v>
      </c>
      <c r="G159">
        <v>1531.8321459293377</v>
      </c>
      <c r="H159" s="1">
        <v>45808.333333333336</v>
      </c>
    </row>
    <row r="160" spans="1:8" x14ac:dyDescent="0.25">
      <c r="A160" s="7">
        <f>DATE(YEAR(m6_crossvalid[[#This Row],[cutoff]]),MONTH(m6_crossvalid[[#This Row],[cutoff]]),DAY(m6_crossvalid[[#This Row],[cutoff]]))</f>
        <v>45808</v>
      </c>
      <c r="B160" s="7">
        <f>DATE(YEAR(m6_crossvalid[[#This Row],[ds]]),MONTH(m6_crossvalid[[#This Row],[ds]]),DAY(m6_crossvalid[[#This Row],[ds]]))</f>
        <v>45812</v>
      </c>
      <c r="C160">
        <v>842</v>
      </c>
      <c r="D160" s="1">
        <v>45812.333333333336</v>
      </c>
      <c r="E160">
        <v>708.67207722846899</v>
      </c>
      <c r="F160">
        <v>368.7395600529332</v>
      </c>
      <c r="G160">
        <v>1371.2531113156506</v>
      </c>
      <c r="H160" s="1">
        <v>45808.333333333336</v>
      </c>
    </row>
    <row r="161" spans="1:8" x14ac:dyDescent="0.25">
      <c r="A161" s="7">
        <f>DATE(YEAR(m6_crossvalid[[#This Row],[cutoff]]),MONTH(m6_crossvalid[[#This Row],[cutoff]]),DAY(m6_crossvalid[[#This Row],[cutoff]]))</f>
        <v>45808</v>
      </c>
      <c r="B161" s="7">
        <f>DATE(YEAR(m6_crossvalid[[#This Row],[ds]]),MONTH(m6_crossvalid[[#This Row],[ds]]),DAY(m6_crossvalid[[#This Row],[ds]]))</f>
        <v>45813</v>
      </c>
      <c r="C161">
        <v>1102.0000000000005</v>
      </c>
      <c r="D161" s="1">
        <v>45813.333333333336</v>
      </c>
      <c r="E161">
        <v>720.99452876418241</v>
      </c>
      <c r="F161">
        <v>378.60638863830422</v>
      </c>
      <c r="G161">
        <v>1337.4392609837096</v>
      </c>
      <c r="H161" s="1">
        <v>45808.333333333336</v>
      </c>
    </row>
    <row r="162" spans="1:8" x14ac:dyDescent="0.25">
      <c r="A162" s="7">
        <f>DATE(YEAR(m6_crossvalid[[#This Row],[cutoff]]),MONTH(m6_crossvalid[[#This Row],[cutoff]]),DAY(m6_crossvalid[[#This Row],[cutoff]]))</f>
        <v>45808</v>
      </c>
      <c r="B162" s="7">
        <f>DATE(YEAR(m6_crossvalid[[#This Row],[ds]]),MONTH(m6_crossvalid[[#This Row],[ds]]),DAY(m6_crossvalid[[#This Row],[ds]]))</f>
        <v>45814</v>
      </c>
      <c r="C162">
        <v>1097.9999999999998</v>
      </c>
      <c r="D162" s="1">
        <v>45814.333333333336</v>
      </c>
      <c r="E162">
        <v>4.859163163601564</v>
      </c>
      <c r="F162">
        <v>2.1401194036226427</v>
      </c>
      <c r="G162">
        <v>10.176917068900776</v>
      </c>
      <c r="H162" s="1">
        <v>45808.333333333336</v>
      </c>
    </row>
    <row r="163" spans="1:8" x14ac:dyDescent="0.25">
      <c r="A163" s="7">
        <f>DATE(YEAR(m6_crossvalid[[#This Row],[cutoff]]),MONTH(m6_crossvalid[[#This Row],[cutoff]]),DAY(m6_crossvalid[[#This Row],[cutoff]]))</f>
        <v>45808</v>
      </c>
      <c r="B163" s="7">
        <f>DATE(YEAR(m6_crossvalid[[#This Row],[ds]]),MONTH(m6_crossvalid[[#This Row],[ds]]),DAY(m6_crossvalid[[#This Row],[ds]]))</f>
        <v>45815</v>
      </c>
      <c r="C163">
        <v>16.999999999999996</v>
      </c>
      <c r="D163" s="1">
        <v>45815.333333333336</v>
      </c>
      <c r="E163">
        <v>107.29298412512668</v>
      </c>
      <c r="F163">
        <v>55.300402157185523</v>
      </c>
      <c r="G163">
        <v>196.20794265355809</v>
      </c>
      <c r="H163" s="1">
        <v>45808.333333333336</v>
      </c>
    </row>
    <row r="164" spans="1:8" x14ac:dyDescent="0.25">
      <c r="A164" s="7">
        <f>DATE(YEAR(m6_crossvalid[[#This Row],[cutoff]]),MONTH(m6_crossvalid[[#This Row],[cutoff]]),DAY(m6_crossvalid[[#This Row],[cutoff]]))</f>
        <v>45808</v>
      </c>
      <c r="B164" s="7">
        <f>DATE(YEAR(m6_crossvalid[[#This Row],[ds]]),MONTH(m6_crossvalid[[#This Row],[ds]]),DAY(m6_crossvalid[[#This Row],[ds]]))</f>
        <v>45816</v>
      </c>
      <c r="C164">
        <v>2.0000000000000004</v>
      </c>
      <c r="D164" s="1">
        <v>45816.333333333336</v>
      </c>
      <c r="E164">
        <v>72.31658125713362</v>
      </c>
      <c r="F164">
        <v>36.228880264109165</v>
      </c>
      <c r="G164">
        <v>133.40891511433</v>
      </c>
      <c r="H164" s="1">
        <v>45808.333333333336</v>
      </c>
    </row>
    <row r="165" spans="1:8" x14ac:dyDescent="0.25">
      <c r="A165" s="7">
        <f>DATE(YEAR(m6_crossvalid[[#This Row],[cutoff]]),MONTH(m6_crossvalid[[#This Row],[cutoff]]),DAY(m6_crossvalid[[#This Row],[cutoff]]))</f>
        <v>45808</v>
      </c>
      <c r="B165" s="7">
        <f>DATE(YEAR(m6_crossvalid[[#This Row],[ds]]),MONTH(m6_crossvalid[[#This Row],[ds]]),DAY(m6_crossvalid[[#This Row],[ds]]))</f>
        <v>45817</v>
      </c>
      <c r="C165">
        <v>715.99999999999989</v>
      </c>
      <c r="D165" s="1">
        <v>45817.333333333336</v>
      </c>
      <c r="E165">
        <v>1057.7966759345577</v>
      </c>
      <c r="F165">
        <v>544.85963171189735</v>
      </c>
      <c r="G165">
        <v>1974.8628985497714</v>
      </c>
      <c r="H165" s="1">
        <v>45808.333333333336</v>
      </c>
    </row>
    <row r="166" spans="1:8" x14ac:dyDescent="0.25">
      <c r="A166" s="7">
        <f>DATE(YEAR(m6_crossvalid[[#This Row],[cutoff]]),MONTH(m6_crossvalid[[#This Row],[cutoff]]),DAY(m6_crossvalid[[#This Row],[cutoff]]))</f>
        <v>45808</v>
      </c>
      <c r="B166" s="7">
        <f>DATE(YEAR(m6_crossvalid[[#This Row],[ds]]),MONTH(m6_crossvalid[[#This Row],[ds]]),DAY(m6_crossvalid[[#This Row],[ds]]))</f>
        <v>45818</v>
      </c>
      <c r="C166">
        <v>1128.9999999999995</v>
      </c>
      <c r="D166" s="1">
        <v>45818.333333333336</v>
      </c>
      <c r="E166">
        <v>1182.8749047277499</v>
      </c>
      <c r="F166">
        <v>619.77705374174911</v>
      </c>
      <c r="G166">
        <v>2240.5874086077665</v>
      </c>
      <c r="H166" s="1">
        <v>45808.333333333336</v>
      </c>
    </row>
    <row r="167" spans="1:8" x14ac:dyDescent="0.25">
      <c r="A167" s="7">
        <f>DATE(YEAR(m6_crossvalid[[#This Row],[cutoff]]),MONTH(m6_crossvalid[[#This Row],[cutoff]]),DAY(m6_crossvalid[[#This Row],[cutoff]]))</f>
        <v>45808</v>
      </c>
      <c r="B167" s="7">
        <f>DATE(YEAR(m6_crossvalid[[#This Row],[ds]]),MONTH(m6_crossvalid[[#This Row],[ds]]),DAY(m6_crossvalid[[#This Row],[ds]]))</f>
        <v>45819</v>
      </c>
      <c r="C167">
        <v>1387.0000000000005</v>
      </c>
      <c r="D167" s="1">
        <v>45819.333333333336</v>
      </c>
      <c r="E167">
        <v>1186.6013931058294</v>
      </c>
      <c r="F167">
        <v>656.71401843103081</v>
      </c>
      <c r="G167">
        <v>2296.3562723379782</v>
      </c>
      <c r="H167" s="1">
        <v>45808.333333333336</v>
      </c>
    </row>
    <row r="168" spans="1:8" x14ac:dyDescent="0.25">
      <c r="A168" s="7">
        <f>DATE(YEAR(m6_crossvalid[[#This Row],[cutoff]]),MONTH(m6_crossvalid[[#This Row],[cutoff]]),DAY(m6_crossvalid[[#This Row],[cutoff]]))</f>
        <v>45808</v>
      </c>
      <c r="B168" s="7">
        <f>DATE(YEAR(m6_crossvalid[[#This Row],[ds]]),MONTH(m6_crossvalid[[#This Row],[ds]]),DAY(m6_crossvalid[[#This Row],[ds]]))</f>
        <v>45820</v>
      </c>
      <c r="C168">
        <v>1689.0000000000005</v>
      </c>
      <c r="D168" s="1">
        <v>45820.333333333336</v>
      </c>
      <c r="E168">
        <v>1499.3517835536868</v>
      </c>
      <c r="F168">
        <v>788.31637105867844</v>
      </c>
      <c r="G168">
        <v>2915.0282984849732</v>
      </c>
      <c r="H168" s="1">
        <v>45808.333333333336</v>
      </c>
    </row>
    <row r="169" spans="1:8" x14ac:dyDescent="0.25">
      <c r="A169" s="7">
        <f>DATE(YEAR(m6_crossvalid[[#This Row],[cutoff]]),MONTH(m6_crossvalid[[#This Row],[cutoff]]),DAY(m6_crossvalid[[#This Row],[cutoff]]))</f>
        <v>45808</v>
      </c>
      <c r="B169" s="7">
        <f>DATE(YEAR(m6_crossvalid[[#This Row],[ds]]),MONTH(m6_crossvalid[[#This Row],[ds]]),DAY(m6_crossvalid[[#This Row],[ds]]))</f>
        <v>45821</v>
      </c>
      <c r="C169">
        <v>1883.0000000000002</v>
      </c>
      <c r="D169" s="1">
        <v>45821.333333333336</v>
      </c>
      <c r="E169">
        <v>1600.6508936275281</v>
      </c>
      <c r="F169">
        <v>860.85238103217512</v>
      </c>
      <c r="G169">
        <v>3085.7740288039572</v>
      </c>
      <c r="H169" s="1">
        <v>45808.333333333336</v>
      </c>
    </row>
    <row r="170" spans="1:8" x14ac:dyDescent="0.25">
      <c r="A170" s="7">
        <f>DATE(YEAR(m6_crossvalid[[#This Row],[cutoff]]),MONTH(m6_crossvalid[[#This Row],[cutoff]]),DAY(m6_crossvalid[[#This Row],[cutoff]]))</f>
        <v>45808</v>
      </c>
      <c r="B170" s="7">
        <f>DATE(YEAR(m6_crossvalid[[#This Row],[ds]]),MONTH(m6_crossvalid[[#This Row],[ds]]),DAY(m6_crossvalid[[#This Row],[ds]]))</f>
        <v>45822</v>
      </c>
      <c r="C170">
        <v>279.99999999999989</v>
      </c>
      <c r="D170" s="1">
        <v>45822.333333333336</v>
      </c>
      <c r="E170">
        <v>323.02327535275907</v>
      </c>
      <c r="F170">
        <v>170.30089725658078</v>
      </c>
      <c r="G170">
        <v>593.72491579149096</v>
      </c>
      <c r="H170" s="1">
        <v>45808.333333333336</v>
      </c>
    </row>
    <row r="171" spans="1:8" x14ac:dyDescent="0.25">
      <c r="A171" s="7">
        <f>DATE(YEAR(m6_crossvalid[[#This Row],[cutoff]]),MONTH(m6_crossvalid[[#This Row],[cutoff]]),DAY(m6_crossvalid[[#This Row],[cutoff]]))</f>
        <v>45808</v>
      </c>
      <c r="B171" s="7">
        <f>DATE(YEAR(m6_crossvalid[[#This Row],[ds]]),MONTH(m6_crossvalid[[#This Row],[ds]]),DAY(m6_crossvalid[[#This Row],[ds]]))</f>
        <v>45823</v>
      </c>
      <c r="C171">
        <v>71</v>
      </c>
      <c r="D171" s="1">
        <v>45823.333333333336</v>
      </c>
      <c r="E171">
        <v>132.34753350079868</v>
      </c>
      <c r="F171">
        <v>67.129069124059598</v>
      </c>
      <c r="G171">
        <v>246.89916334264419</v>
      </c>
      <c r="H171" s="1">
        <v>45808.333333333336</v>
      </c>
    </row>
    <row r="172" spans="1:8" x14ac:dyDescent="0.25">
      <c r="A172" s="7">
        <f>DATE(YEAR(m6_crossvalid[[#This Row],[cutoff]]),MONTH(m6_crossvalid[[#This Row],[cutoff]]),DAY(m6_crossvalid[[#This Row],[cutoff]]))</f>
        <v>45808</v>
      </c>
      <c r="B172" s="7">
        <f>DATE(YEAR(m6_crossvalid[[#This Row],[ds]]),MONTH(m6_crossvalid[[#This Row],[ds]]),DAY(m6_crossvalid[[#This Row],[ds]]))</f>
        <v>45824</v>
      </c>
      <c r="C172">
        <v>1851.9999999999998</v>
      </c>
      <c r="D172" s="1">
        <v>45824.333333333336</v>
      </c>
      <c r="E172">
        <v>1702.7868656637863</v>
      </c>
      <c r="F172">
        <v>867.11978690998865</v>
      </c>
      <c r="G172">
        <v>3199.0036813131487</v>
      </c>
      <c r="H172" s="1">
        <v>45808.333333333336</v>
      </c>
    </row>
    <row r="173" spans="1:8" x14ac:dyDescent="0.25">
      <c r="A173" s="7">
        <f>DATE(YEAR(m6_crossvalid[[#This Row],[cutoff]]),MONTH(m6_crossvalid[[#This Row],[cutoff]]),DAY(m6_crossvalid[[#This Row],[cutoff]]))</f>
        <v>45808</v>
      </c>
      <c r="B173" s="7">
        <f>DATE(YEAR(m6_crossvalid[[#This Row],[ds]]),MONTH(m6_crossvalid[[#This Row],[ds]]),DAY(m6_crossvalid[[#This Row],[ds]]))</f>
        <v>45825</v>
      </c>
      <c r="C173">
        <v>2251.0000000000009</v>
      </c>
      <c r="D173" s="1">
        <v>45825.333333333336</v>
      </c>
      <c r="E173">
        <v>2217.123275896472</v>
      </c>
      <c r="F173">
        <v>1171.4309045601938</v>
      </c>
      <c r="G173">
        <v>4090.3439189557134</v>
      </c>
      <c r="H173" s="1">
        <v>45808.333333333336</v>
      </c>
    </row>
    <row r="174" spans="1:8" x14ac:dyDescent="0.25">
      <c r="A174" s="7">
        <f>DATE(YEAR(m6_crossvalid[[#This Row],[cutoff]]),MONTH(m6_crossvalid[[#This Row],[cutoff]]),DAY(m6_crossvalid[[#This Row],[cutoff]]))</f>
        <v>45808</v>
      </c>
      <c r="B174" s="7">
        <f>DATE(YEAR(m6_crossvalid[[#This Row],[ds]]),MONTH(m6_crossvalid[[#This Row],[ds]]),DAY(m6_crossvalid[[#This Row],[ds]]))</f>
        <v>45826</v>
      </c>
      <c r="C174">
        <v>2551.9999999999995</v>
      </c>
      <c r="D174" s="1">
        <v>45826.333333333336</v>
      </c>
      <c r="E174">
        <v>2522.9905513625731</v>
      </c>
      <c r="F174">
        <v>1423.3715433625287</v>
      </c>
      <c r="G174">
        <v>4899.9031792299247</v>
      </c>
      <c r="H174" s="1">
        <v>45808.333333333336</v>
      </c>
    </row>
    <row r="175" spans="1:8" x14ac:dyDescent="0.25">
      <c r="A175" s="7">
        <f>DATE(YEAR(m6_crossvalid[[#This Row],[cutoff]]),MONTH(m6_crossvalid[[#This Row],[cutoff]]),DAY(m6_crossvalid[[#This Row],[cutoff]]))</f>
        <v>45808</v>
      </c>
      <c r="B175" s="7">
        <f>DATE(YEAR(m6_crossvalid[[#This Row],[ds]]),MONTH(m6_crossvalid[[#This Row],[ds]]),DAY(m6_crossvalid[[#This Row],[ds]]))</f>
        <v>45827</v>
      </c>
      <c r="C175">
        <v>2813.0000000000005</v>
      </c>
      <c r="D175" s="1">
        <v>45827.333333333336</v>
      </c>
      <c r="E175">
        <v>2922.5957465344954</v>
      </c>
      <c r="F175">
        <v>1488.765411680718</v>
      </c>
      <c r="G175">
        <v>5363.0225815231943</v>
      </c>
      <c r="H175" s="1">
        <v>45808.333333333336</v>
      </c>
    </row>
    <row r="176" spans="1:8" x14ac:dyDescent="0.25">
      <c r="A176" s="7">
        <f>DATE(YEAR(m6_crossvalid[[#This Row],[cutoff]]),MONTH(m6_crossvalid[[#This Row],[cutoff]]),DAY(m6_crossvalid[[#This Row],[cutoff]]))</f>
        <v>45808</v>
      </c>
      <c r="B176" s="7">
        <f>DATE(YEAR(m6_crossvalid[[#This Row],[ds]]),MONTH(m6_crossvalid[[#This Row],[ds]]),DAY(m6_crossvalid[[#This Row],[ds]]))</f>
        <v>45828</v>
      </c>
      <c r="C176">
        <v>3023.0000000000018</v>
      </c>
      <c r="D176" s="1">
        <v>45828.333333333336</v>
      </c>
      <c r="E176">
        <v>2857.517611384862</v>
      </c>
      <c r="F176">
        <v>1574.8130565916304</v>
      </c>
      <c r="G176">
        <v>5354.3191641710091</v>
      </c>
      <c r="H176" s="1">
        <v>45808.333333333336</v>
      </c>
    </row>
    <row r="177" spans="1:8" x14ac:dyDescent="0.25">
      <c r="A177" s="7">
        <f>DATE(YEAR(m6_crossvalid[[#This Row],[cutoff]]),MONTH(m6_crossvalid[[#This Row],[cutoff]]),DAY(m6_crossvalid[[#This Row],[cutoff]]))</f>
        <v>45808</v>
      </c>
      <c r="B177" s="7">
        <f>DATE(YEAR(m6_crossvalid[[#This Row],[ds]]),MONTH(m6_crossvalid[[#This Row],[ds]]),DAY(m6_crossvalid[[#This Row],[ds]]))</f>
        <v>45829</v>
      </c>
      <c r="C177">
        <v>359.99999999999983</v>
      </c>
      <c r="D177" s="1">
        <v>45829.333333333336</v>
      </c>
      <c r="E177">
        <v>501.85187437181168</v>
      </c>
      <c r="F177">
        <v>263.939947757048</v>
      </c>
      <c r="G177">
        <v>940.12152758361799</v>
      </c>
      <c r="H177" s="1">
        <v>45808.333333333336</v>
      </c>
    </row>
    <row r="178" spans="1:8" x14ac:dyDescent="0.25">
      <c r="A178" s="7">
        <f>DATE(YEAR(m6_crossvalid[[#This Row],[cutoff]]),MONTH(m6_crossvalid[[#This Row],[cutoff]]),DAY(m6_crossvalid[[#This Row],[cutoff]]))</f>
        <v>45808</v>
      </c>
      <c r="B178" s="7">
        <f>DATE(YEAR(m6_crossvalid[[#This Row],[ds]]),MONTH(m6_crossvalid[[#This Row],[ds]]),DAY(m6_crossvalid[[#This Row],[ds]]))</f>
        <v>45830</v>
      </c>
      <c r="C178">
        <v>128.99999999999997</v>
      </c>
      <c r="D178" s="1">
        <v>45830.333333333336</v>
      </c>
      <c r="E178">
        <v>198.51477400535228</v>
      </c>
      <c r="F178">
        <v>105.50003856920105</v>
      </c>
      <c r="G178">
        <v>376.60357056564487</v>
      </c>
      <c r="H178" s="1">
        <v>45808.333333333336</v>
      </c>
    </row>
    <row r="179" spans="1:8" x14ac:dyDescent="0.25">
      <c r="A179" s="7">
        <f>DATE(YEAR(m6_crossvalid[[#This Row],[cutoff]]),MONTH(m6_crossvalid[[#This Row],[cutoff]]),DAY(m6_crossvalid[[#This Row],[cutoff]]))</f>
        <v>45808</v>
      </c>
      <c r="B179" s="7">
        <f>DATE(YEAR(m6_crossvalid[[#This Row],[ds]]),MONTH(m6_crossvalid[[#This Row],[ds]]),DAY(m6_crossvalid[[#This Row],[ds]]))</f>
        <v>45831</v>
      </c>
      <c r="C179">
        <v>3291.0000000000005</v>
      </c>
      <c r="D179" s="1">
        <v>45831.333333333336</v>
      </c>
      <c r="E179">
        <v>2646.2244129025762</v>
      </c>
      <c r="F179">
        <v>1343.0007523623506</v>
      </c>
      <c r="G179">
        <v>4686.0501004618563</v>
      </c>
      <c r="H179" s="1">
        <v>45808.333333333336</v>
      </c>
    </row>
    <row r="180" spans="1:8" x14ac:dyDescent="0.25">
      <c r="A180" s="7">
        <f>DATE(YEAR(m6_crossvalid[[#This Row],[cutoff]]),MONTH(m6_crossvalid[[#This Row],[cutoff]]),DAY(m6_crossvalid[[#This Row],[cutoff]]))</f>
        <v>45808</v>
      </c>
      <c r="B180" s="7">
        <f>DATE(YEAR(m6_crossvalid[[#This Row],[ds]]),MONTH(m6_crossvalid[[#This Row],[ds]]),DAY(m6_crossvalid[[#This Row],[ds]]))</f>
        <v>45832</v>
      </c>
      <c r="C180">
        <v>3743.0000000000023</v>
      </c>
      <c r="D180" s="1">
        <v>45832.333333333336</v>
      </c>
      <c r="E180">
        <v>3672.7811815549708</v>
      </c>
      <c r="F180">
        <v>1841.3127181151051</v>
      </c>
      <c r="G180">
        <v>7066.1182521155106</v>
      </c>
      <c r="H180" s="1">
        <v>45808.333333333336</v>
      </c>
    </row>
    <row r="181" spans="1:8" x14ac:dyDescent="0.25">
      <c r="A181" s="7">
        <f>DATE(YEAR(m6_crossvalid[[#This Row],[cutoff]]),MONTH(m6_crossvalid[[#This Row],[cutoff]]),DAY(m6_crossvalid[[#This Row],[cutoff]]))</f>
        <v>45808</v>
      </c>
      <c r="B181" s="7">
        <f>DATE(YEAR(m6_crossvalid[[#This Row],[ds]]),MONTH(m6_crossvalid[[#This Row],[ds]]),DAY(m6_crossvalid[[#This Row],[ds]]))</f>
        <v>45833</v>
      </c>
      <c r="C181">
        <v>4575.9999999999991</v>
      </c>
      <c r="D181" s="1">
        <v>45833.333333333336</v>
      </c>
      <c r="E181">
        <v>4249.2147685654991</v>
      </c>
      <c r="F181">
        <v>2278.7318165761071</v>
      </c>
      <c r="G181">
        <v>8201.6607670991889</v>
      </c>
      <c r="H181" s="1">
        <v>45808.333333333336</v>
      </c>
    </row>
    <row r="182" spans="1:8" x14ac:dyDescent="0.25">
      <c r="A182" s="7">
        <f>DATE(YEAR(m6_crossvalid[[#This Row],[cutoff]]),MONTH(m6_crossvalid[[#This Row],[cutoff]]),DAY(m6_crossvalid[[#This Row],[cutoff]]))</f>
        <v>45808</v>
      </c>
      <c r="B182" s="7">
        <f>DATE(YEAR(m6_crossvalid[[#This Row],[ds]]),MONTH(m6_crossvalid[[#This Row],[ds]]),DAY(m6_crossvalid[[#This Row],[ds]]))</f>
        <v>45834</v>
      </c>
      <c r="C182">
        <v>6204.9999999999964</v>
      </c>
      <c r="D182" s="1">
        <v>45834.333333333336</v>
      </c>
      <c r="E182">
        <v>9242.7657434213343</v>
      </c>
      <c r="F182">
        <v>4910.6285174026179</v>
      </c>
      <c r="G182">
        <v>17562.859262370159</v>
      </c>
      <c r="H182" s="1">
        <v>45808.333333333336</v>
      </c>
    </row>
    <row r="183" spans="1:8" x14ac:dyDescent="0.25">
      <c r="A183" s="7">
        <f>DATE(YEAR(m6_crossvalid[[#This Row],[cutoff]]),MONTH(m6_crossvalid[[#This Row],[cutoff]]),DAY(m6_crossvalid[[#This Row],[cutoff]]))</f>
        <v>45808</v>
      </c>
      <c r="B183" s="7">
        <f>DATE(YEAR(m6_crossvalid[[#This Row],[ds]]),MONTH(m6_crossvalid[[#This Row],[ds]]),DAY(m6_crossvalid[[#This Row],[ds]]))</f>
        <v>45835</v>
      </c>
      <c r="C183">
        <v>814.00000000000011</v>
      </c>
      <c r="D183" s="1">
        <v>45835.333333333336</v>
      </c>
      <c r="E183">
        <v>961.7181638183032</v>
      </c>
      <c r="F183">
        <v>520.03502736973712</v>
      </c>
      <c r="G183">
        <v>1849.1804550385234</v>
      </c>
      <c r="H183" s="1">
        <v>45808.333333333336</v>
      </c>
    </row>
    <row r="184" spans="1:8" x14ac:dyDescent="0.25">
      <c r="A184" s="7">
        <f>DATE(YEAR(m6_crossvalid[[#This Row],[cutoff]]),MONTH(m6_crossvalid[[#This Row],[cutoff]]),DAY(m6_crossvalid[[#This Row],[cutoff]]))</f>
        <v>45808</v>
      </c>
      <c r="B184" s="7">
        <f>DATE(YEAR(m6_crossvalid[[#This Row],[ds]]),MONTH(m6_crossvalid[[#This Row],[ds]]),DAY(m6_crossvalid[[#This Row],[ds]]))</f>
        <v>45836</v>
      </c>
      <c r="C184">
        <v>2326.0000000000009</v>
      </c>
      <c r="D184" s="1">
        <v>45836.333333333336</v>
      </c>
      <c r="E184">
        <v>1224.4661603435047</v>
      </c>
      <c r="F184">
        <v>616.03055704210271</v>
      </c>
      <c r="G184">
        <v>2270.0039594738778</v>
      </c>
      <c r="H184" s="1">
        <v>45808.333333333336</v>
      </c>
    </row>
    <row r="185" spans="1:8" x14ac:dyDescent="0.25">
      <c r="A185" s="7">
        <f>DATE(YEAR(m6_crossvalid[[#This Row],[cutoff]]),MONTH(m6_crossvalid[[#This Row],[cutoff]]),DAY(m6_crossvalid[[#This Row],[cutoff]]))</f>
        <v>45808</v>
      </c>
      <c r="B185" s="7">
        <f>DATE(YEAR(m6_crossvalid[[#This Row],[ds]]),MONTH(m6_crossvalid[[#This Row],[ds]]),DAY(m6_crossvalid[[#This Row],[ds]]))</f>
        <v>45837</v>
      </c>
      <c r="C185">
        <v>426.99999999999989</v>
      </c>
      <c r="D185" s="1">
        <v>45837.333333333336</v>
      </c>
      <c r="E185">
        <v>804.05635402846349</v>
      </c>
      <c r="F185">
        <v>424.15491791494509</v>
      </c>
      <c r="G185">
        <v>1505.2993353194338</v>
      </c>
      <c r="H185" s="1">
        <v>45808.333333333336</v>
      </c>
    </row>
    <row r="186" spans="1:8" x14ac:dyDescent="0.25">
      <c r="A186" s="7">
        <f>DATE(YEAR(m6_crossvalid[[#This Row],[cutoff]]),MONTH(m6_crossvalid[[#This Row],[cutoff]]),DAY(m6_crossvalid[[#This Row],[cutoff]]))</f>
        <v>45808</v>
      </c>
      <c r="B186" s="7">
        <f>DATE(YEAR(m6_crossvalid[[#This Row],[ds]]),MONTH(m6_crossvalid[[#This Row],[ds]]),DAY(m6_crossvalid[[#This Row],[ds]]))</f>
        <v>45838</v>
      </c>
      <c r="C186">
        <v>13623.999999999989</v>
      </c>
      <c r="D186" s="1">
        <v>45838.333333333336</v>
      </c>
      <c r="E186">
        <v>13939.652440186748</v>
      </c>
      <c r="F186">
        <v>7453.9378878898815</v>
      </c>
      <c r="G186">
        <v>26102.633885748513</v>
      </c>
      <c r="H186" s="1">
        <v>45808.333333333336</v>
      </c>
    </row>
    <row r="187" spans="1:8" x14ac:dyDescent="0.25">
      <c r="A187" s="7">
        <f>DATE(YEAR(m6_crossvalid[[#This Row],[cutoff]]),MONTH(m6_crossvalid[[#This Row],[cutoff]]),DAY(m6_crossvalid[[#This Row],[cutoff]]))</f>
        <v>45808</v>
      </c>
      <c r="B187" s="7">
        <f>DATE(YEAR(m6_crossvalid[[#This Row],[ds]]),MONTH(m6_crossvalid[[#This Row],[ds]]),DAY(m6_crossvalid[[#This Row],[ds]]))</f>
        <v>45839</v>
      </c>
      <c r="C187">
        <v>623.99999999999977</v>
      </c>
      <c r="D187" s="1">
        <v>45839.333333333336</v>
      </c>
      <c r="E187">
        <v>1170.1421644747184</v>
      </c>
      <c r="F187">
        <v>606.61774188152503</v>
      </c>
      <c r="G187">
        <v>2225.4068513328316</v>
      </c>
      <c r="H187" s="1">
        <v>45808.333333333336</v>
      </c>
    </row>
    <row r="188" spans="1:8" x14ac:dyDescent="0.25">
      <c r="A188" s="7">
        <f>DATE(YEAR(m6_crossvalid[[#This Row],[cutoff]]),MONTH(m6_crossvalid[[#This Row],[cutoff]]),DAY(m6_crossvalid[[#This Row],[cutoff]]))</f>
        <v>45838</v>
      </c>
      <c r="B188" s="7">
        <f>DATE(YEAR(m6_crossvalid[[#This Row],[ds]]),MONTH(m6_crossvalid[[#This Row],[ds]]),DAY(m6_crossvalid[[#This Row],[ds]]))</f>
        <v>45839</v>
      </c>
      <c r="C188">
        <v>623.99999999999977</v>
      </c>
      <c r="D188" s="1">
        <v>45839.333333333336</v>
      </c>
      <c r="E188">
        <v>1168.7282520674064</v>
      </c>
      <c r="F188">
        <v>633.12189476883771</v>
      </c>
      <c r="G188">
        <v>2192.7262261405713</v>
      </c>
      <c r="H188" s="1">
        <v>45838.333333333336</v>
      </c>
    </row>
    <row r="189" spans="1:8" x14ac:dyDescent="0.25">
      <c r="A189" s="7">
        <f>DATE(YEAR(m6_crossvalid[[#This Row],[cutoff]]),MONTH(m6_crossvalid[[#This Row],[cutoff]]),DAY(m6_crossvalid[[#This Row],[cutoff]]))</f>
        <v>45838</v>
      </c>
      <c r="B189" s="7">
        <f>DATE(YEAR(m6_crossvalid[[#This Row],[ds]]),MONTH(m6_crossvalid[[#This Row],[ds]]),DAY(m6_crossvalid[[#This Row],[ds]]))</f>
        <v>45840</v>
      </c>
      <c r="C189">
        <v>732.99999999999966</v>
      </c>
      <c r="D189" s="1">
        <v>45840.333333333336</v>
      </c>
      <c r="E189">
        <v>776.14303026696268</v>
      </c>
      <c r="F189">
        <v>402.57347644605716</v>
      </c>
      <c r="G189">
        <v>1527.1533791881766</v>
      </c>
      <c r="H189" s="1">
        <v>45838.333333333336</v>
      </c>
    </row>
    <row r="190" spans="1:8" x14ac:dyDescent="0.25">
      <c r="A190" s="7">
        <f>DATE(YEAR(m6_crossvalid[[#This Row],[cutoff]]),MONTH(m6_crossvalid[[#This Row],[cutoff]]),DAY(m6_crossvalid[[#This Row],[cutoff]]))</f>
        <v>45838</v>
      </c>
      <c r="B190" s="7">
        <f>DATE(YEAR(m6_crossvalid[[#This Row],[ds]]),MONTH(m6_crossvalid[[#This Row],[ds]]),DAY(m6_crossvalid[[#This Row],[ds]]))</f>
        <v>45841</v>
      </c>
      <c r="C190">
        <v>1036.0000000000002</v>
      </c>
      <c r="D190" s="1">
        <v>45841.333333333336</v>
      </c>
      <c r="E190">
        <v>1107.190718699015</v>
      </c>
      <c r="F190">
        <v>550.18313807814934</v>
      </c>
      <c r="G190">
        <v>2312.2717784790325</v>
      </c>
      <c r="H190" s="1">
        <v>45838.333333333336</v>
      </c>
    </row>
    <row r="191" spans="1:8" x14ac:dyDescent="0.25">
      <c r="A191" s="7">
        <f>DATE(YEAR(m6_crossvalid[[#This Row],[cutoff]]),MONTH(m6_crossvalid[[#This Row],[cutoff]]),DAY(m6_crossvalid[[#This Row],[cutoff]]))</f>
        <v>45838</v>
      </c>
      <c r="B191" s="7">
        <f>DATE(YEAR(m6_crossvalid[[#This Row],[ds]]),MONTH(m6_crossvalid[[#This Row],[ds]]),DAY(m6_crossvalid[[#This Row],[ds]]))</f>
        <v>45842</v>
      </c>
      <c r="C191">
        <v>1188.9999999999995</v>
      </c>
      <c r="D191" s="1">
        <v>45842.333333333336</v>
      </c>
      <c r="E191">
        <v>866.29695540150362</v>
      </c>
      <c r="F191">
        <v>438.70192332130529</v>
      </c>
      <c r="G191">
        <v>1769.2775358597944</v>
      </c>
      <c r="H191" s="1">
        <v>45838.333333333336</v>
      </c>
    </row>
    <row r="192" spans="1:8" x14ac:dyDescent="0.25">
      <c r="A192" s="7">
        <f>DATE(YEAR(m6_crossvalid[[#This Row],[cutoff]]),MONTH(m6_crossvalid[[#This Row],[cutoff]]),DAY(m6_crossvalid[[#This Row],[cutoff]]))</f>
        <v>45838</v>
      </c>
      <c r="B192" s="7">
        <f>DATE(YEAR(m6_crossvalid[[#This Row],[ds]]),MONTH(m6_crossvalid[[#This Row],[ds]]),DAY(m6_crossvalid[[#This Row],[ds]]))</f>
        <v>45843</v>
      </c>
      <c r="C192">
        <v>170.00000000000009</v>
      </c>
      <c r="D192" s="1">
        <v>45843.333333333336</v>
      </c>
      <c r="E192">
        <v>129.27029671786804</v>
      </c>
      <c r="F192">
        <v>64.656229439459793</v>
      </c>
      <c r="G192">
        <v>255.45067001735509</v>
      </c>
      <c r="H192" s="1">
        <v>45838.333333333336</v>
      </c>
    </row>
    <row r="193" spans="1:8" x14ac:dyDescent="0.25">
      <c r="A193" s="7">
        <f>DATE(YEAR(m6_crossvalid[[#This Row],[cutoff]]),MONTH(m6_crossvalid[[#This Row],[cutoff]]),DAY(m6_crossvalid[[#This Row],[cutoff]]))</f>
        <v>45838</v>
      </c>
      <c r="B193" s="7">
        <f>DATE(YEAR(m6_crossvalid[[#This Row],[ds]]),MONTH(m6_crossvalid[[#This Row],[ds]]),DAY(m6_crossvalid[[#This Row],[ds]]))</f>
        <v>45844</v>
      </c>
      <c r="C193">
        <v>30</v>
      </c>
      <c r="D193" s="1">
        <v>45844.333333333336</v>
      </c>
      <c r="E193">
        <v>48.983566230348742</v>
      </c>
      <c r="F193">
        <v>25.319349595778728</v>
      </c>
      <c r="G193">
        <v>101.09657654607564</v>
      </c>
      <c r="H193" s="1">
        <v>45838.333333333336</v>
      </c>
    </row>
    <row r="194" spans="1:8" x14ac:dyDescent="0.25">
      <c r="A194" s="7">
        <f>DATE(YEAR(m6_crossvalid[[#This Row],[cutoff]]),MONTH(m6_crossvalid[[#This Row],[cutoff]]),DAY(m6_crossvalid[[#This Row],[cutoff]]))</f>
        <v>45838</v>
      </c>
      <c r="B194" s="7">
        <f>DATE(YEAR(m6_crossvalid[[#This Row],[ds]]),MONTH(m6_crossvalid[[#This Row],[ds]]),DAY(m6_crossvalid[[#This Row],[ds]]))</f>
        <v>45845</v>
      </c>
      <c r="C194">
        <v>1217.9999999999995</v>
      </c>
      <c r="D194" s="1">
        <v>45845.333333333336</v>
      </c>
      <c r="E194">
        <v>664.87200364413968</v>
      </c>
      <c r="F194">
        <v>345.77209221071621</v>
      </c>
      <c r="G194">
        <v>1322.5173763676798</v>
      </c>
      <c r="H194" s="1">
        <v>45838.333333333336</v>
      </c>
    </row>
    <row r="195" spans="1:8" x14ac:dyDescent="0.25">
      <c r="A195" s="7">
        <f>DATE(YEAR(m6_crossvalid[[#This Row],[cutoff]]),MONTH(m6_crossvalid[[#This Row],[cutoff]]),DAY(m6_crossvalid[[#This Row],[cutoff]]))</f>
        <v>45838</v>
      </c>
      <c r="B195" s="7">
        <f>DATE(YEAR(m6_crossvalid[[#This Row],[ds]]),MONTH(m6_crossvalid[[#This Row],[ds]]),DAY(m6_crossvalid[[#This Row],[ds]]))</f>
        <v>45846</v>
      </c>
      <c r="C195">
        <v>1543.0000000000005</v>
      </c>
      <c r="D195" s="1">
        <v>45846.333333333336</v>
      </c>
      <c r="E195">
        <v>1697.114782457475</v>
      </c>
      <c r="F195">
        <v>805.53155887990886</v>
      </c>
      <c r="G195">
        <v>3231.4323650159645</v>
      </c>
      <c r="H195" s="1">
        <v>45838.333333333336</v>
      </c>
    </row>
    <row r="196" spans="1:8" x14ac:dyDescent="0.25">
      <c r="A196" s="7">
        <f>DATE(YEAR(m6_crossvalid[[#This Row],[cutoff]]),MONTH(m6_crossvalid[[#This Row],[cutoff]]),DAY(m6_crossvalid[[#This Row],[cutoff]]))</f>
        <v>45838</v>
      </c>
      <c r="B196" s="7">
        <f>DATE(YEAR(m6_crossvalid[[#This Row],[ds]]),MONTH(m6_crossvalid[[#This Row],[ds]]),DAY(m6_crossvalid[[#This Row],[ds]]))</f>
        <v>45847</v>
      </c>
      <c r="C196">
        <v>2119.9999999999995</v>
      </c>
      <c r="D196" s="1">
        <v>45847.333333333336</v>
      </c>
      <c r="E196">
        <v>1740.9268367668178</v>
      </c>
      <c r="F196">
        <v>877.75595085131647</v>
      </c>
      <c r="G196">
        <v>3368.6212551713902</v>
      </c>
      <c r="H196" s="1">
        <v>45838.333333333336</v>
      </c>
    </row>
    <row r="197" spans="1:8" x14ac:dyDescent="0.25">
      <c r="A197" s="7">
        <f>DATE(YEAR(m6_crossvalid[[#This Row],[cutoff]]),MONTH(m6_crossvalid[[#This Row],[cutoff]]),DAY(m6_crossvalid[[#This Row],[cutoff]]))</f>
        <v>45838</v>
      </c>
      <c r="B197" s="7">
        <f>DATE(YEAR(m6_crossvalid[[#This Row],[ds]]),MONTH(m6_crossvalid[[#This Row],[ds]]),DAY(m6_crossvalid[[#This Row],[ds]]))</f>
        <v>45848</v>
      </c>
      <c r="C197">
        <v>2298</v>
      </c>
      <c r="D197" s="1">
        <v>45848.333333333336</v>
      </c>
      <c r="E197">
        <v>1670.7935319598421</v>
      </c>
      <c r="F197">
        <v>873.3082544272819</v>
      </c>
      <c r="G197">
        <v>3219.439974809748</v>
      </c>
      <c r="H197" s="1">
        <v>45838.333333333336</v>
      </c>
    </row>
    <row r="198" spans="1:8" x14ac:dyDescent="0.25">
      <c r="A198" s="7">
        <f>DATE(YEAR(m6_crossvalid[[#This Row],[cutoff]]),MONTH(m6_crossvalid[[#This Row],[cutoff]]),DAY(m6_crossvalid[[#This Row],[cutoff]]))</f>
        <v>45838</v>
      </c>
      <c r="B198" s="7">
        <f>DATE(YEAR(m6_crossvalid[[#This Row],[ds]]),MONTH(m6_crossvalid[[#This Row],[ds]]),DAY(m6_crossvalid[[#This Row],[ds]]))</f>
        <v>45849</v>
      </c>
      <c r="C198">
        <v>2183.0000000000005</v>
      </c>
      <c r="D198" s="1">
        <v>45849.333333333336</v>
      </c>
      <c r="E198">
        <v>1491.863730492551</v>
      </c>
      <c r="F198">
        <v>757.35456349674064</v>
      </c>
      <c r="G198">
        <v>2831.4051840663583</v>
      </c>
      <c r="H198" s="1">
        <v>45838.333333333336</v>
      </c>
    </row>
    <row r="199" spans="1:8" x14ac:dyDescent="0.25">
      <c r="A199" s="7">
        <f>DATE(YEAR(m6_crossvalid[[#This Row],[cutoff]]),MONTH(m6_crossvalid[[#This Row],[cutoff]]),DAY(m6_crossvalid[[#This Row],[cutoff]]))</f>
        <v>45838</v>
      </c>
      <c r="B199" s="7">
        <f>DATE(YEAR(m6_crossvalid[[#This Row],[ds]]),MONTH(m6_crossvalid[[#This Row],[ds]]),DAY(m6_crossvalid[[#This Row],[ds]]))</f>
        <v>45850</v>
      </c>
      <c r="C199">
        <v>462</v>
      </c>
      <c r="D199" s="1">
        <v>45850.333333333336</v>
      </c>
      <c r="E199">
        <v>253.76070353799514</v>
      </c>
      <c r="F199">
        <v>128.63462921953001</v>
      </c>
      <c r="G199">
        <v>491.46907215403428</v>
      </c>
      <c r="H199" s="1">
        <v>45838.333333333336</v>
      </c>
    </row>
    <row r="200" spans="1:8" x14ac:dyDescent="0.25">
      <c r="A200" s="7">
        <f>DATE(YEAR(m6_crossvalid[[#This Row],[cutoff]]),MONTH(m6_crossvalid[[#This Row],[cutoff]]),DAY(m6_crossvalid[[#This Row],[cutoff]]))</f>
        <v>45838</v>
      </c>
      <c r="B200" s="7">
        <f>DATE(YEAR(m6_crossvalid[[#This Row],[ds]]),MONTH(m6_crossvalid[[#This Row],[ds]]),DAY(m6_crossvalid[[#This Row],[ds]]))</f>
        <v>45851</v>
      </c>
      <c r="C200">
        <v>114.00000000000001</v>
      </c>
      <c r="D200" s="1">
        <v>45851.333333333336</v>
      </c>
      <c r="E200">
        <v>106.30873086282647</v>
      </c>
      <c r="F200">
        <v>51.491747650483624</v>
      </c>
      <c r="G200">
        <v>202.40664221072757</v>
      </c>
      <c r="H200" s="1">
        <v>45838.333333333336</v>
      </c>
    </row>
    <row r="201" spans="1:8" x14ac:dyDescent="0.25">
      <c r="A201" s="7">
        <f>DATE(YEAR(m6_crossvalid[[#This Row],[cutoff]]),MONTH(m6_crossvalid[[#This Row],[cutoff]]),DAY(m6_crossvalid[[#This Row],[cutoff]]))</f>
        <v>45838</v>
      </c>
      <c r="B201" s="7">
        <f>DATE(YEAR(m6_crossvalid[[#This Row],[ds]]),MONTH(m6_crossvalid[[#This Row],[ds]]),DAY(m6_crossvalid[[#This Row],[ds]]))</f>
        <v>45852</v>
      </c>
      <c r="C201">
        <v>2356.0000000000009</v>
      </c>
      <c r="D201" s="1">
        <v>45852.333333333336</v>
      </c>
      <c r="E201">
        <v>1503.8969443898934</v>
      </c>
      <c r="F201">
        <v>738.78920745487994</v>
      </c>
      <c r="G201">
        <v>2980.0705182470683</v>
      </c>
      <c r="H201" s="1">
        <v>45838.333333333336</v>
      </c>
    </row>
    <row r="202" spans="1:8" x14ac:dyDescent="0.25">
      <c r="A202" s="7">
        <f>DATE(YEAR(m6_crossvalid[[#This Row],[cutoff]]),MONTH(m6_crossvalid[[#This Row],[cutoff]]),DAY(m6_crossvalid[[#This Row],[cutoff]]))</f>
        <v>45838</v>
      </c>
      <c r="B202" s="7">
        <f>DATE(YEAR(m6_crossvalid[[#This Row],[ds]]),MONTH(m6_crossvalid[[#This Row],[ds]]),DAY(m6_crossvalid[[#This Row],[ds]]))</f>
        <v>45853</v>
      </c>
      <c r="C202">
        <v>2693.9999999999991</v>
      </c>
      <c r="D202" s="1">
        <v>45853.333333333336</v>
      </c>
      <c r="E202">
        <v>2115.2683492362089</v>
      </c>
      <c r="F202">
        <v>1076.8598488836203</v>
      </c>
      <c r="G202">
        <v>4220.2303187106627</v>
      </c>
      <c r="H202" s="1">
        <v>45838.333333333336</v>
      </c>
    </row>
    <row r="203" spans="1:8" x14ac:dyDescent="0.25">
      <c r="A203" s="7">
        <f>DATE(YEAR(m6_crossvalid[[#This Row],[cutoff]]),MONTH(m6_crossvalid[[#This Row],[cutoff]]),DAY(m6_crossvalid[[#This Row],[cutoff]]))</f>
        <v>45838</v>
      </c>
      <c r="B203" s="7">
        <f>DATE(YEAR(m6_crossvalid[[#This Row],[ds]]),MONTH(m6_crossvalid[[#This Row],[ds]]),DAY(m6_crossvalid[[#This Row],[ds]]))</f>
        <v>45854</v>
      </c>
      <c r="C203">
        <v>2795.9999999999991</v>
      </c>
      <c r="D203" s="1">
        <v>45854.333333333336</v>
      </c>
      <c r="E203">
        <v>2316.8958253779797</v>
      </c>
      <c r="F203">
        <v>1183.2199627501998</v>
      </c>
      <c r="G203">
        <v>4509.6157538884763</v>
      </c>
      <c r="H203" s="1">
        <v>45838.333333333336</v>
      </c>
    </row>
    <row r="204" spans="1:8" x14ac:dyDescent="0.25">
      <c r="A204" s="7">
        <f>DATE(YEAR(m6_crossvalid[[#This Row],[cutoff]]),MONTH(m6_crossvalid[[#This Row],[cutoff]]),DAY(m6_crossvalid[[#This Row],[cutoff]]))</f>
        <v>45838</v>
      </c>
      <c r="B204" s="7">
        <f>DATE(YEAR(m6_crossvalid[[#This Row],[ds]]),MONTH(m6_crossvalid[[#This Row],[ds]]),DAY(m6_crossvalid[[#This Row],[ds]]))</f>
        <v>45855</v>
      </c>
      <c r="C204">
        <v>2971.9999999999991</v>
      </c>
      <c r="D204" s="1">
        <v>45855.333333333336</v>
      </c>
      <c r="E204">
        <v>2461.144762349506</v>
      </c>
      <c r="F204">
        <v>1247.3506086054692</v>
      </c>
      <c r="G204">
        <v>4669.8356517582597</v>
      </c>
      <c r="H204" s="1">
        <v>45838.333333333336</v>
      </c>
    </row>
    <row r="205" spans="1:8" x14ac:dyDescent="0.25">
      <c r="A205" s="7">
        <f>DATE(YEAR(m6_crossvalid[[#This Row],[cutoff]]),MONTH(m6_crossvalid[[#This Row],[cutoff]]),DAY(m6_crossvalid[[#This Row],[cutoff]]))</f>
        <v>45838</v>
      </c>
      <c r="B205" s="7">
        <f>DATE(YEAR(m6_crossvalid[[#This Row],[ds]]),MONTH(m6_crossvalid[[#This Row],[ds]]),DAY(m6_crossvalid[[#This Row],[ds]]))</f>
        <v>45856</v>
      </c>
      <c r="C205">
        <v>2891.0000000000009</v>
      </c>
      <c r="D205" s="1">
        <v>45856.333333333336</v>
      </c>
      <c r="E205">
        <v>2427.1098899480321</v>
      </c>
      <c r="F205">
        <v>1249.2652093349568</v>
      </c>
      <c r="G205">
        <v>4887.5222608276154</v>
      </c>
      <c r="H205" s="1">
        <v>45838.333333333336</v>
      </c>
    </row>
    <row r="206" spans="1:8" x14ac:dyDescent="0.25">
      <c r="A206" s="7">
        <f>DATE(YEAR(m6_crossvalid[[#This Row],[cutoff]]),MONTH(m6_crossvalid[[#This Row],[cutoff]]),DAY(m6_crossvalid[[#This Row],[cutoff]]))</f>
        <v>45838</v>
      </c>
      <c r="B206" s="7">
        <f>DATE(YEAR(m6_crossvalid[[#This Row],[ds]]),MONTH(m6_crossvalid[[#This Row],[ds]]),DAY(m6_crossvalid[[#This Row],[ds]]))</f>
        <v>45857</v>
      </c>
      <c r="C206">
        <v>521.00000000000023</v>
      </c>
      <c r="D206" s="1">
        <v>45857.333333333336</v>
      </c>
      <c r="E206">
        <v>431.23196851500342</v>
      </c>
      <c r="F206">
        <v>211.23876756401174</v>
      </c>
      <c r="G206">
        <v>823.65618037405829</v>
      </c>
      <c r="H206" s="1">
        <v>45838.333333333336</v>
      </c>
    </row>
    <row r="207" spans="1:8" x14ac:dyDescent="0.25">
      <c r="A207" s="7">
        <f>DATE(YEAR(m6_crossvalid[[#This Row],[cutoff]]),MONTH(m6_crossvalid[[#This Row],[cutoff]]),DAY(m6_crossvalid[[#This Row],[cutoff]]))</f>
        <v>45838</v>
      </c>
      <c r="B207" s="7">
        <f>DATE(YEAR(m6_crossvalid[[#This Row],[ds]]),MONTH(m6_crossvalid[[#This Row],[ds]]),DAY(m6_crossvalid[[#This Row],[ds]]))</f>
        <v>45858</v>
      </c>
      <c r="C207">
        <v>189</v>
      </c>
      <c r="D207" s="1">
        <v>45858.333333333336</v>
      </c>
      <c r="E207">
        <v>174.72232254517692</v>
      </c>
      <c r="F207">
        <v>88.656090837454798</v>
      </c>
      <c r="G207">
        <v>354.30140950361641</v>
      </c>
      <c r="H207" s="1">
        <v>45838.333333333336</v>
      </c>
    </row>
    <row r="208" spans="1:8" x14ac:dyDescent="0.25">
      <c r="A208" s="7">
        <f>DATE(YEAR(m6_crossvalid[[#This Row],[cutoff]]),MONTH(m6_crossvalid[[#This Row],[cutoff]]),DAY(m6_crossvalid[[#This Row],[cutoff]]))</f>
        <v>45838</v>
      </c>
      <c r="B208" s="7">
        <f>DATE(YEAR(m6_crossvalid[[#This Row],[ds]]),MONTH(m6_crossvalid[[#This Row],[ds]]),DAY(m6_crossvalid[[#This Row],[ds]]))</f>
        <v>45859</v>
      </c>
      <c r="C208">
        <v>2798.0000000000014</v>
      </c>
      <c r="D208" s="1">
        <v>45859.333333333336</v>
      </c>
      <c r="E208">
        <v>2284.0826236210869</v>
      </c>
      <c r="F208">
        <v>1163.0712265617885</v>
      </c>
      <c r="G208">
        <v>4344.990880162256</v>
      </c>
      <c r="H208" s="1">
        <v>45838.333333333336</v>
      </c>
    </row>
    <row r="209" spans="1:8" x14ac:dyDescent="0.25">
      <c r="A209" s="7">
        <f>DATE(YEAR(m6_crossvalid[[#This Row],[cutoff]]),MONTH(m6_crossvalid[[#This Row],[cutoff]]),DAY(m6_crossvalid[[#This Row],[cutoff]]))</f>
        <v>45838</v>
      </c>
      <c r="B209" s="7">
        <f>DATE(YEAR(m6_crossvalid[[#This Row],[ds]]),MONTH(m6_crossvalid[[#This Row],[ds]]),DAY(m6_crossvalid[[#This Row],[ds]]))</f>
        <v>45860</v>
      </c>
      <c r="C209">
        <v>2893.9999999999986</v>
      </c>
      <c r="D209" s="1">
        <v>45860.333333333336</v>
      </c>
      <c r="E209">
        <v>3062.0237311764768</v>
      </c>
      <c r="F209">
        <v>1494.6674418826294</v>
      </c>
      <c r="G209">
        <v>5946.5933237911977</v>
      </c>
      <c r="H209" s="1">
        <v>45838.333333333336</v>
      </c>
    </row>
    <row r="210" spans="1:8" x14ac:dyDescent="0.25">
      <c r="A210" s="7">
        <f>DATE(YEAR(m6_crossvalid[[#This Row],[cutoff]]),MONTH(m6_crossvalid[[#This Row],[cutoff]]),DAY(m6_crossvalid[[#This Row],[cutoff]]))</f>
        <v>45838</v>
      </c>
      <c r="B210" s="7">
        <f>DATE(YEAR(m6_crossvalid[[#This Row],[ds]]),MONTH(m6_crossvalid[[#This Row],[ds]]),DAY(m6_crossvalid[[#This Row],[ds]]))</f>
        <v>45861</v>
      </c>
      <c r="C210">
        <v>3299</v>
      </c>
      <c r="D210" s="1">
        <v>45861.333333333336</v>
      </c>
      <c r="E210">
        <v>3423.0460233450881</v>
      </c>
      <c r="F210">
        <v>1665.9943110493762</v>
      </c>
      <c r="G210">
        <v>6723.3219628997758</v>
      </c>
      <c r="H210" s="1">
        <v>45838.333333333336</v>
      </c>
    </row>
    <row r="211" spans="1:8" x14ac:dyDescent="0.25">
      <c r="A211" s="7">
        <f>DATE(YEAR(m6_crossvalid[[#This Row],[cutoff]]),MONTH(m6_crossvalid[[#This Row],[cutoff]]),DAY(m6_crossvalid[[#This Row],[cutoff]]))</f>
        <v>45838</v>
      </c>
      <c r="B211" s="7">
        <f>DATE(YEAR(m6_crossvalid[[#This Row],[ds]]),MONTH(m6_crossvalid[[#This Row],[ds]]),DAY(m6_crossvalid[[#This Row],[ds]]))</f>
        <v>45862</v>
      </c>
      <c r="C211">
        <v>3785</v>
      </c>
      <c r="D211" s="1">
        <v>45862.333333333336</v>
      </c>
      <c r="E211">
        <v>3890.8827014528888</v>
      </c>
      <c r="F211">
        <v>2028.5270736700243</v>
      </c>
      <c r="G211">
        <v>7649.6201366393925</v>
      </c>
      <c r="H211" s="1">
        <v>45838.333333333336</v>
      </c>
    </row>
    <row r="212" spans="1:8" x14ac:dyDescent="0.25">
      <c r="A212" s="7">
        <f>DATE(YEAR(m6_crossvalid[[#This Row],[cutoff]]),MONTH(m6_crossvalid[[#This Row],[cutoff]]),DAY(m6_crossvalid[[#This Row],[cutoff]]))</f>
        <v>45838</v>
      </c>
      <c r="B212" s="7">
        <f>DATE(YEAR(m6_crossvalid[[#This Row],[ds]]),MONTH(m6_crossvalid[[#This Row],[ds]]),DAY(m6_crossvalid[[#This Row],[ds]]))</f>
        <v>45863</v>
      </c>
      <c r="C212">
        <v>3662.9999999999991</v>
      </c>
      <c r="D212" s="1">
        <v>45863.333333333336</v>
      </c>
      <c r="E212">
        <v>4036.2539352982694</v>
      </c>
      <c r="F212">
        <v>2040.5426316120793</v>
      </c>
      <c r="G212">
        <v>7624.5592081196392</v>
      </c>
      <c r="H212" s="1">
        <v>45838.333333333336</v>
      </c>
    </row>
    <row r="213" spans="1:8" x14ac:dyDescent="0.25">
      <c r="A213" s="7">
        <f>DATE(YEAR(m6_crossvalid[[#This Row],[cutoff]]),MONTH(m6_crossvalid[[#This Row],[cutoff]]),DAY(m6_crossvalid[[#This Row],[cutoff]]))</f>
        <v>45838</v>
      </c>
      <c r="B213" s="7">
        <f>DATE(YEAR(m6_crossvalid[[#This Row],[ds]]),MONTH(m6_crossvalid[[#This Row],[ds]]),DAY(m6_crossvalid[[#This Row],[ds]]))</f>
        <v>45864</v>
      </c>
      <c r="C213">
        <v>901.00000000000034</v>
      </c>
      <c r="D213" s="1">
        <v>45864.333333333336</v>
      </c>
      <c r="E213">
        <v>703.47034724339403</v>
      </c>
      <c r="F213">
        <v>357.9556910098467</v>
      </c>
      <c r="G213">
        <v>1411.2003723477478</v>
      </c>
      <c r="H213" s="1">
        <v>45838.333333333336</v>
      </c>
    </row>
    <row r="214" spans="1:8" x14ac:dyDescent="0.25">
      <c r="A214" s="7">
        <f>DATE(YEAR(m6_crossvalid[[#This Row],[cutoff]]),MONTH(m6_crossvalid[[#This Row],[cutoff]]),DAY(m6_crossvalid[[#This Row],[cutoff]]))</f>
        <v>45838</v>
      </c>
      <c r="B214" s="7">
        <f>DATE(YEAR(m6_crossvalid[[#This Row],[ds]]),MONTH(m6_crossvalid[[#This Row],[ds]]),DAY(m6_crossvalid[[#This Row],[ds]]))</f>
        <v>45865</v>
      </c>
      <c r="C214">
        <v>262.00000000000006</v>
      </c>
      <c r="D214" s="1">
        <v>45865.333333333336</v>
      </c>
      <c r="E214">
        <v>538.91236153601938</v>
      </c>
      <c r="F214">
        <v>266.47966053028051</v>
      </c>
      <c r="G214">
        <v>1089.8040045037631</v>
      </c>
      <c r="H214" s="1">
        <v>45838.333333333336</v>
      </c>
    </row>
    <row r="215" spans="1:8" x14ac:dyDescent="0.25">
      <c r="A215" s="7">
        <f>DATE(YEAR(m6_crossvalid[[#This Row],[cutoff]]),MONTH(m6_crossvalid[[#This Row],[cutoff]]),DAY(m6_crossvalid[[#This Row],[cutoff]]))</f>
        <v>45838</v>
      </c>
      <c r="B215" s="7">
        <f>DATE(YEAR(m6_crossvalid[[#This Row],[ds]]),MONTH(m6_crossvalid[[#This Row],[ds]]),DAY(m6_crossvalid[[#This Row],[ds]]))</f>
        <v>45866</v>
      </c>
      <c r="C215">
        <v>4323.9999999999991</v>
      </c>
      <c r="D215" s="1">
        <v>45866.333333333336</v>
      </c>
      <c r="E215">
        <v>6187.7008357786472</v>
      </c>
      <c r="F215">
        <v>3108.9030509782378</v>
      </c>
      <c r="G215">
        <v>11630.112000785513</v>
      </c>
      <c r="H215" s="1">
        <v>45838.333333333336</v>
      </c>
    </row>
    <row r="216" spans="1:8" x14ac:dyDescent="0.25">
      <c r="A216" s="7">
        <f>DATE(YEAR(m6_crossvalid[[#This Row],[cutoff]]),MONTH(m6_crossvalid[[#This Row],[cutoff]]),DAY(m6_crossvalid[[#This Row],[cutoff]]))</f>
        <v>45838</v>
      </c>
      <c r="B216" s="7">
        <f>DATE(YEAR(m6_crossvalid[[#This Row],[ds]]),MONTH(m6_crossvalid[[#This Row],[ds]]),DAY(m6_crossvalid[[#This Row],[ds]]))</f>
        <v>45867</v>
      </c>
      <c r="C216">
        <v>5335.9999999999955</v>
      </c>
      <c r="D216" s="1">
        <v>45867.333333333336</v>
      </c>
      <c r="E216">
        <v>7329.639917449078</v>
      </c>
      <c r="F216">
        <v>3538.8081544205438</v>
      </c>
      <c r="G216">
        <v>14217.615456629819</v>
      </c>
      <c r="H216" s="1">
        <v>45838.333333333336</v>
      </c>
    </row>
    <row r="217" spans="1:8" x14ac:dyDescent="0.25">
      <c r="A217" s="7">
        <f>DATE(YEAR(m6_crossvalid[[#This Row],[cutoff]]),MONTH(m6_crossvalid[[#This Row],[cutoff]]),DAY(m6_crossvalid[[#This Row],[cutoff]]))</f>
        <v>45838</v>
      </c>
      <c r="B217" s="7">
        <f>DATE(YEAR(m6_crossvalid[[#This Row],[ds]]),MONTH(m6_crossvalid[[#This Row],[ds]]),DAY(m6_crossvalid[[#This Row],[ds]]))</f>
        <v>45868</v>
      </c>
      <c r="C217">
        <v>8372.9999999999982</v>
      </c>
      <c r="D217" s="1">
        <v>45868.333333333336</v>
      </c>
      <c r="E217">
        <v>13111.402037163902</v>
      </c>
      <c r="F217">
        <v>6513.3985865156374</v>
      </c>
      <c r="G217">
        <v>25993.061188816468</v>
      </c>
      <c r="H217" s="1">
        <v>45838.333333333336</v>
      </c>
    </row>
    <row r="218" spans="1:8" x14ac:dyDescent="0.25">
      <c r="A218" s="7">
        <f>DATE(YEAR(m6_crossvalid[[#This Row],[cutoff]]),MONTH(m6_crossvalid[[#This Row],[cutoff]]),DAY(m6_crossvalid[[#This Row],[cutoff]]))</f>
        <v>45838</v>
      </c>
      <c r="B218" s="7">
        <f>DATE(YEAR(m6_crossvalid[[#This Row],[ds]]),MONTH(m6_crossvalid[[#This Row],[ds]]),DAY(m6_crossvalid[[#This Row],[ds]]))</f>
        <v>45869</v>
      </c>
      <c r="C218">
        <v>11888.999999999989</v>
      </c>
      <c r="D218" s="1">
        <v>45869.333333333336</v>
      </c>
      <c r="E218">
        <v>20233.334183276704</v>
      </c>
      <c r="F218">
        <v>10087.7163379186</v>
      </c>
      <c r="G218">
        <v>39509.100396689711</v>
      </c>
      <c r="H218" s="1">
        <v>45838.333333333336</v>
      </c>
    </row>
    <row r="219" spans="1:8" x14ac:dyDescent="0.25">
      <c r="A219" s="7">
        <f>DATE(YEAR(m6_crossvalid[[#This Row],[cutoff]]),MONTH(m6_crossvalid[[#This Row],[cutoff]]),DAY(m6_crossvalid[[#This Row],[cutoff]]))</f>
        <v>45869</v>
      </c>
      <c r="B219" s="7">
        <f>DATE(YEAR(m6_crossvalid[[#This Row],[ds]]),MONTH(m6_crossvalid[[#This Row],[ds]]),DAY(m6_crossvalid[[#This Row],[ds]]))</f>
        <v>45870</v>
      </c>
      <c r="C219">
        <v>761.00000000000023</v>
      </c>
      <c r="D219" s="1">
        <v>45870.333333333336</v>
      </c>
      <c r="E219">
        <v>1169.8014355059797</v>
      </c>
      <c r="F219">
        <v>579.54741787071248</v>
      </c>
      <c r="G219">
        <v>2401.5469175498829</v>
      </c>
      <c r="H219" s="1">
        <v>45869.333333333336</v>
      </c>
    </row>
    <row r="220" spans="1:8" x14ac:dyDescent="0.25">
      <c r="A220" s="7">
        <f>DATE(YEAR(m6_crossvalid[[#This Row],[cutoff]]),MONTH(m6_crossvalid[[#This Row],[cutoff]]),DAY(m6_crossvalid[[#This Row],[cutoff]]))</f>
        <v>45869</v>
      </c>
      <c r="B220" s="7">
        <f>DATE(YEAR(m6_crossvalid[[#This Row],[ds]]),MONTH(m6_crossvalid[[#This Row],[ds]]),DAY(m6_crossvalid[[#This Row],[ds]]))</f>
        <v>45871</v>
      </c>
      <c r="C220">
        <v>73.999999999999972</v>
      </c>
      <c r="D220" s="1">
        <v>45871.333333333336</v>
      </c>
      <c r="E220">
        <v>119.49219745183652</v>
      </c>
      <c r="F220">
        <v>58.954631749223239</v>
      </c>
      <c r="G220">
        <v>233.09136305775237</v>
      </c>
      <c r="H220" s="1">
        <v>45869.333333333336</v>
      </c>
    </row>
    <row r="221" spans="1:8" x14ac:dyDescent="0.25">
      <c r="A221" s="7">
        <f>DATE(YEAR(m6_crossvalid[[#This Row],[cutoff]]),MONTH(m6_crossvalid[[#This Row],[cutoff]]),DAY(m6_crossvalid[[#This Row],[cutoff]]))</f>
        <v>45869</v>
      </c>
      <c r="B221" s="7">
        <f>DATE(YEAR(m6_crossvalid[[#This Row],[ds]]),MONTH(m6_crossvalid[[#This Row],[ds]]),DAY(m6_crossvalid[[#This Row],[ds]]))</f>
        <v>45872</v>
      </c>
      <c r="C221">
        <v>28.000000000000004</v>
      </c>
      <c r="D221" s="1">
        <v>45872.333333333336</v>
      </c>
      <c r="E221">
        <v>61.639380219945778</v>
      </c>
      <c r="F221">
        <v>30.680251542207436</v>
      </c>
      <c r="G221">
        <v>119.56879912551274</v>
      </c>
      <c r="H221" s="1">
        <v>45869.333333333336</v>
      </c>
    </row>
    <row r="222" spans="1:8" x14ac:dyDescent="0.25">
      <c r="A222" s="7">
        <f>DATE(YEAR(m6_crossvalid[[#This Row],[cutoff]]),MONTH(m6_crossvalid[[#This Row],[cutoff]]),DAY(m6_crossvalid[[#This Row],[cutoff]]))</f>
        <v>45869</v>
      </c>
      <c r="B222" s="7">
        <f>DATE(YEAR(m6_crossvalid[[#This Row],[ds]]),MONTH(m6_crossvalid[[#This Row],[ds]]),DAY(m6_crossvalid[[#This Row],[ds]]))</f>
        <v>45873</v>
      </c>
      <c r="C222">
        <v>911.99999999999966</v>
      </c>
      <c r="D222" s="1">
        <v>45873.333333333336</v>
      </c>
      <c r="E222">
        <v>680.1709802982964</v>
      </c>
      <c r="F222">
        <v>350.01958292448467</v>
      </c>
      <c r="G222">
        <v>1349.3520567149333</v>
      </c>
      <c r="H222" s="1">
        <v>45869.333333333336</v>
      </c>
    </row>
    <row r="223" spans="1:8" x14ac:dyDescent="0.25">
      <c r="A223" s="7">
        <f>DATE(YEAR(m6_crossvalid[[#This Row],[cutoff]]),MONTH(m6_crossvalid[[#This Row],[cutoff]]),DAY(m6_crossvalid[[#This Row],[cutoff]]))</f>
        <v>45869</v>
      </c>
      <c r="B223" s="7">
        <f>DATE(YEAR(m6_crossvalid[[#This Row],[ds]]),MONTH(m6_crossvalid[[#This Row],[ds]]),DAY(m6_crossvalid[[#This Row],[ds]]))</f>
        <v>45874</v>
      </c>
      <c r="C223">
        <v>2022.0000000000007</v>
      </c>
      <c r="D223" s="1">
        <v>45874.333333333336</v>
      </c>
      <c r="E223">
        <v>847.36583597878246</v>
      </c>
      <c r="F223">
        <v>429.32833811941941</v>
      </c>
      <c r="G223">
        <v>1675.1939729710873</v>
      </c>
      <c r="H223" s="1">
        <v>45869.333333333336</v>
      </c>
    </row>
    <row r="224" spans="1:8" x14ac:dyDescent="0.25">
      <c r="A224" s="7">
        <f>DATE(YEAR(m6_crossvalid[[#This Row],[cutoff]]),MONTH(m6_crossvalid[[#This Row],[cutoff]]),DAY(m6_crossvalid[[#This Row],[cutoff]]))</f>
        <v>45869</v>
      </c>
      <c r="B224" s="7">
        <f>DATE(YEAR(m6_crossvalid[[#This Row],[ds]]),MONTH(m6_crossvalid[[#This Row],[ds]]),DAY(m6_crossvalid[[#This Row],[ds]]))</f>
        <v>45875</v>
      </c>
      <c r="C224">
        <v>1344.0000000000002</v>
      </c>
      <c r="D224" s="1">
        <v>45875.333333333336</v>
      </c>
      <c r="E224">
        <v>959.28642233719916</v>
      </c>
      <c r="F224">
        <v>516.12118788198075</v>
      </c>
      <c r="G224">
        <v>1891.2317129257153</v>
      </c>
      <c r="H224" s="1">
        <v>45869.333333333336</v>
      </c>
    </row>
    <row r="225" spans="1:8" x14ac:dyDescent="0.25">
      <c r="A225" s="7">
        <f>DATE(YEAR(m6_crossvalid[[#This Row],[cutoff]]),MONTH(m6_crossvalid[[#This Row],[cutoff]]),DAY(m6_crossvalid[[#This Row],[cutoff]]))</f>
        <v>45869</v>
      </c>
      <c r="B225" s="7">
        <f>DATE(YEAR(m6_crossvalid[[#This Row],[ds]]),MONTH(m6_crossvalid[[#This Row],[ds]]),DAY(m6_crossvalid[[#This Row],[ds]]))</f>
        <v>45876</v>
      </c>
      <c r="C225">
        <v>1584.9999999999995</v>
      </c>
      <c r="D225" s="1">
        <v>45876.333333333336</v>
      </c>
      <c r="E225">
        <v>1076.1469391141002</v>
      </c>
      <c r="F225">
        <v>578.4147791738618</v>
      </c>
      <c r="G225">
        <v>2160.8668452271722</v>
      </c>
      <c r="H225" s="1">
        <v>45869.333333333336</v>
      </c>
    </row>
    <row r="226" spans="1:8" x14ac:dyDescent="0.25">
      <c r="A226" s="7">
        <f>DATE(YEAR(m6_crossvalid[[#This Row],[cutoff]]),MONTH(m6_crossvalid[[#This Row],[cutoff]]),DAY(m6_crossvalid[[#This Row],[cutoff]]))</f>
        <v>45869</v>
      </c>
      <c r="B226" s="7">
        <f>DATE(YEAR(m6_crossvalid[[#This Row],[ds]]),MONTH(m6_crossvalid[[#This Row],[ds]]),DAY(m6_crossvalid[[#This Row],[ds]]))</f>
        <v>45877</v>
      </c>
      <c r="C226">
        <v>2032.0000000000007</v>
      </c>
      <c r="D226" s="1">
        <v>45877.333333333336</v>
      </c>
      <c r="E226">
        <v>1966.9484895439177</v>
      </c>
      <c r="F226">
        <v>984.53491468302263</v>
      </c>
      <c r="G226">
        <v>3777.8757510410924</v>
      </c>
      <c r="H226" s="1">
        <v>45869.333333333336</v>
      </c>
    </row>
    <row r="227" spans="1:8" x14ac:dyDescent="0.25">
      <c r="A227" s="7">
        <f>DATE(YEAR(m6_crossvalid[[#This Row],[cutoff]]),MONTH(m6_crossvalid[[#This Row],[cutoff]]),DAY(m6_crossvalid[[#This Row],[cutoff]]))</f>
        <v>45869</v>
      </c>
      <c r="B227" s="7">
        <f>DATE(YEAR(m6_crossvalid[[#This Row],[ds]]),MONTH(m6_crossvalid[[#This Row],[ds]]),DAY(m6_crossvalid[[#This Row],[ds]]))</f>
        <v>45878</v>
      </c>
      <c r="C227">
        <v>327.00000000000011</v>
      </c>
      <c r="D227" s="1">
        <v>45878.333333333336</v>
      </c>
      <c r="E227">
        <v>304.36725987944851</v>
      </c>
      <c r="F227">
        <v>156.90984952476964</v>
      </c>
      <c r="G227">
        <v>606.91211667074845</v>
      </c>
      <c r="H227" s="1">
        <v>45869.333333333336</v>
      </c>
    </row>
    <row r="228" spans="1:8" x14ac:dyDescent="0.25">
      <c r="A228" s="7">
        <f>DATE(YEAR(m6_crossvalid[[#This Row],[cutoff]]),MONTH(m6_crossvalid[[#This Row],[cutoff]]),DAY(m6_crossvalid[[#This Row],[cutoff]]))</f>
        <v>45869</v>
      </c>
      <c r="B228" s="7">
        <f>DATE(YEAR(m6_crossvalid[[#This Row],[ds]]),MONTH(m6_crossvalid[[#This Row],[ds]]),DAY(m6_crossvalid[[#This Row],[ds]]))</f>
        <v>45879</v>
      </c>
      <c r="C228">
        <v>78</v>
      </c>
      <c r="D228" s="1">
        <v>45879.333333333336</v>
      </c>
      <c r="E228">
        <v>104.49802886672174</v>
      </c>
      <c r="F228">
        <v>55.311499070544095</v>
      </c>
      <c r="G228">
        <v>196.9392563299906</v>
      </c>
      <c r="H228" s="1">
        <v>45869.333333333336</v>
      </c>
    </row>
    <row r="229" spans="1:8" x14ac:dyDescent="0.25">
      <c r="A229" s="7">
        <f>DATE(YEAR(m6_crossvalid[[#This Row],[cutoff]]),MONTH(m6_crossvalid[[#This Row],[cutoff]]),DAY(m6_crossvalid[[#This Row],[cutoff]]))</f>
        <v>45869</v>
      </c>
      <c r="B229" s="7">
        <f>DATE(YEAR(m6_crossvalid[[#This Row],[ds]]),MONTH(m6_crossvalid[[#This Row],[ds]]),DAY(m6_crossvalid[[#This Row],[ds]]))</f>
        <v>45880</v>
      </c>
      <c r="C229">
        <v>2043.0000000000002</v>
      </c>
      <c r="D229" s="1">
        <v>45880.333333333336</v>
      </c>
      <c r="E229">
        <v>1306.5652916510699</v>
      </c>
      <c r="F229">
        <v>612.03891456350652</v>
      </c>
      <c r="G229">
        <v>2574.3273082761889</v>
      </c>
      <c r="H229" s="1">
        <v>45869.333333333336</v>
      </c>
    </row>
    <row r="230" spans="1:8" x14ac:dyDescent="0.25">
      <c r="A230" s="7">
        <f>DATE(YEAR(m6_crossvalid[[#This Row],[cutoff]]),MONTH(m6_crossvalid[[#This Row],[cutoff]]),DAY(m6_crossvalid[[#This Row],[cutoff]]))</f>
        <v>45869</v>
      </c>
      <c r="B230" s="7">
        <f>DATE(YEAR(m6_crossvalid[[#This Row],[ds]]),MONTH(m6_crossvalid[[#This Row],[ds]]),DAY(m6_crossvalid[[#This Row],[ds]]))</f>
        <v>45881</v>
      </c>
      <c r="C230">
        <v>2431.0000000000009</v>
      </c>
      <c r="D230" s="1">
        <v>45881.333333333336</v>
      </c>
      <c r="E230">
        <v>1821.4567798262403</v>
      </c>
      <c r="F230">
        <v>957.1108292640015</v>
      </c>
      <c r="G230">
        <v>3422.2616193650401</v>
      </c>
      <c r="H230" s="1">
        <v>45869.333333333336</v>
      </c>
    </row>
    <row r="231" spans="1:8" x14ac:dyDescent="0.25">
      <c r="A231" s="7">
        <f>DATE(YEAR(m6_crossvalid[[#This Row],[cutoff]]),MONTH(m6_crossvalid[[#This Row],[cutoff]]),DAY(m6_crossvalid[[#This Row],[cutoff]]))</f>
        <v>45869</v>
      </c>
      <c r="B231" s="7">
        <f>DATE(YEAR(m6_crossvalid[[#This Row],[ds]]),MONTH(m6_crossvalid[[#This Row],[ds]]),DAY(m6_crossvalid[[#This Row],[ds]]))</f>
        <v>45882</v>
      </c>
      <c r="C231">
        <v>2484.0000000000009</v>
      </c>
      <c r="D231" s="1">
        <v>45882.333333333336</v>
      </c>
      <c r="E231">
        <v>2208.4463264538149</v>
      </c>
      <c r="F231">
        <v>1156.5181758818212</v>
      </c>
      <c r="G231">
        <v>4273.4515471417526</v>
      </c>
      <c r="H231" s="1">
        <v>45869.333333333336</v>
      </c>
    </row>
    <row r="232" spans="1:8" x14ac:dyDescent="0.25">
      <c r="A232" s="7">
        <f>DATE(YEAR(m6_crossvalid[[#This Row],[cutoff]]),MONTH(m6_crossvalid[[#This Row],[cutoff]]),DAY(m6_crossvalid[[#This Row],[cutoff]]))</f>
        <v>45869</v>
      </c>
      <c r="B232" s="7">
        <f>DATE(YEAR(m6_crossvalid[[#This Row],[ds]]),MONTH(m6_crossvalid[[#This Row],[ds]]),DAY(m6_crossvalid[[#This Row],[ds]]))</f>
        <v>45883</v>
      </c>
      <c r="C232">
        <v>2669.0000000000009</v>
      </c>
      <c r="D232" s="1">
        <v>45883.333333333336</v>
      </c>
      <c r="E232">
        <v>2563.7639097834731</v>
      </c>
      <c r="F232">
        <v>1292.4036243572307</v>
      </c>
      <c r="G232">
        <v>5090.8646237303292</v>
      </c>
      <c r="H232" s="1">
        <v>45869.333333333336</v>
      </c>
    </row>
    <row r="233" spans="1:8" x14ac:dyDescent="0.25">
      <c r="A233" s="7">
        <f>DATE(YEAR(m6_crossvalid[[#This Row],[cutoff]]),MONTH(m6_crossvalid[[#This Row],[cutoff]]),DAY(m6_crossvalid[[#This Row],[cutoff]]))</f>
        <v>45869</v>
      </c>
      <c r="B233" s="7">
        <f>DATE(YEAR(m6_crossvalid[[#This Row],[ds]]),MONTH(m6_crossvalid[[#This Row],[ds]]),DAY(m6_crossvalid[[#This Row],[ds]]))</f>
        <v>45884</v>
      </c>
      <c r="C233">
        <v>3160.0000000000009</v>
      </c>
      <c r="D233" s="1">
        <v>45884.333333333336</v>
      </c>
      <c r="E233">
        <v>2548.2395245422363</v>
      </c>
      <c r="F233">
        <v>1298.1376178886596</v>
      </c>
      <c r="G233">
        <v>5030.6443734908071</v>
      </c>
      <c r="H233" s="1">
        <v>45869.333333333336</v>
      </c>
    </row>
    <row r="234" spans="1:8" x14ac:dyDescent="0.25">
      <c r="A234" s="7">
        <f>DATE(YEAR(m6_crossvalid[[#This Row],[cutoff]]),MONTH(m6_crossvalid[[#This Row],[cutoff]]),DAY(m6_crossvalid[[#This Row],[cutoff]]))</f>
        <v>45869</v>
      </c>
      <c r="B234" s="7">
        <f>DATE(YEAR(m6_crossvalid[[#This Row],[ds]]),MONTH(m6_crossvalid[[#This Row],[ds]]),DAY(m6_crossvalid[[#This Row],[ds]]))</f>
        <v>45885</v>
      </c>
      <c r="C234">
        <v>559.99999999999977</v>
      </c>
      <c r="D234" s="1">
        <v>45885.333333333336</v>
      </c>
      <c r="E234">
        <v>425.84060996941787</v>
      </c>
      <c r="F234">
        <v>212.53341949809271</v>
      </c>
      <c r="G234">
        <v>820.78326477668952</v>
      </c>
      <c r="H234" s="1">
        <v>45869.333333333336</v>
      </c>
    </row>
    <row r="235" spans="1:8" x14ac:dyDescent="0.25">
      <c r="A235" s="7">
        <f>DATE(YEAR(m6_crossvalid[[#This Row],[cutoff]]),MONTH(m6_crossvalid[[#This Row],[cutoff]]),DAY(m6_crossvalid[[#This Row],[cutoff]]))</f>
        <v>45869</v>
      </c>
      <c r="B235" s="7">
        <f>DATE(YEAR(m6_crossvalid[[#This Row],[ds]]),MONTH(m6_crossvalid[[#This Row],[ds]]),DAY(m6_crossvalid[[#This Row],[ds]]))</f>
        <v>45886</v>
      </c>
      <c r="C235">
        <v>166.00000000000006</v>
      </c>
      <c r="D235" s="1">
        <v>45886.333333333336</v>
      </c>
      <c r="E235">
        <v>161.75095276413114</v>
      </c>
      <c r="F235">
        <v>83.441512159964475</v>
      </c>
      <c r="G235">
        <v>318.78320351716576</v>
      </c>
      <c r="H235" s="1">
        <v>45869.333333333336</v>
      </c>
    </row>
    <row r="236" spans="1:8" x14ac:dyDescent="0.25">
      <c r="A236" s="7">
        <f>DATE(YEAR(m6_crossvalid[[#This Row],[cutoff]]),MONTH(m6_crossvalid[[#This Row],[cutoff]]),DAY(m6_crossvalid[[#This Row],[cutoff]]))</f>
        <v>45869</v>
      </c>
      <c r="B236" s="7">
        <f>DATE(YEAR(m6_crossvalid[[#This Row],[ds]]),MONTH(m6_crossvalid[[#This Row],[ds]]),DAY(m6_crossvalid[[#This Row],[ds]]))</f>
        <v>45887</v>
      </c>
      <c r="C236">
        <v>3003.0000000000023</v>
      </c>
      <c r="D236" s="1">
        <v>45887.333333333336</v>
      </c>
      <c r="E236">
        <v>2160.1021006536007</v>
      </c>
      <c r="F236">
        <v>1124.7255725293237</v>
      </c>
      <c r="G236">
        <v>4114.0232569417485</v>
      </c>
      <c r="H236" s="1">
        <v>45869.333333333336</v>
      </c>
    </row>
    <row r="237" spans="1:8" x14ac:dyDescent="0.25">
      <c r="A237" s="7">
        <f>DATE(YEAR(m6_crossvalid[[#This Row],[cutoff]]),MONTH(m6_crossvalid[[#This Row],[cutoff]]),DAY(m6_crossvalid[[#This Row],[cutoff]]))</f>
        <v>45869</v>
      </c>
      <c r="B237" s="7">
        <f>DATE(YEAR(m6_crossvalid[[#This Row],[ds]]),MONTH(m6_crossvalid[[#This Row],[ds]]),DAY(m6_crossvalid[[#This Row],[ds]]))</f>
        <v>45888</v>
      </c>
      <c r="C237">
        <v>3181.9999999999973</v>
      </c>
      <c r="D237" s="1">
        <v>45888.333333333336</v>
      </c>
      <c r="E237">
        <v>2994.9615018120649</v>
      </c>
      <c r="F237">
        <v>1556.3338777369645</v>
      </c>
      <c r="G237">
        <v>5642.5625560136441</v>
      </c>
      <c r="H237" s="1">
        <v>45869.333333333336</v>
      </c>
    </row>
    <row r="238" spans="1:8" x14ac:dyDescent="0.25">
      <c r="A238" s="7">
        <f>DATE(YEAR(m6_crossvalid[[#This Row],[cutoff]]),MONTH(m6_crossvalid[[#This Row],[cutoff]]),DAY(m6_crossvalid[[#This Row],[cutoff]]))</f>
        <v>45869</v>
      </c>
      <c r="B238" s="7">
        <f>DATE(YEAR(m6_crossvalid[[#This Row],[ds]]),MONTH(m6_crossvalid[[#This Row],[ds]]),DAY(m6_crossvalid[[#This Row],[ds]]))</f>
        <v>45889</v>
      </c>
      <c r="C238">
        <v>3744.9999999999968</v>
      </c>
      <c r="D238" s="1">
        <v>45889.333333333336</v>
      </c>
      <c r="E238">
        <v>3378.1630392793095</v>
      </c>
      <c r="F238">
        <v>1704.9648446118986</v>
      </c>
      <c r="G238">
        <v>6775.0410932862569</v>
      </c>
      <c r="H238" s="1">
        <v>45869.333333333336</v>
      </c>
    </row>
    <row r="239" spans="1:8" x14ac:dyDescent="0.25">
      <c r="A239" s="7">
        <f>DATE(YEAR(m6_crossvalid[[#This Row],[cutoff]]),MONTH(m6_crossvalid[[#This Row],[cutoff]]),DAY(m6_crossvalid[[#This Row],[cutoff]]))</f>
        <v>45869</v>
      </c>
      <c r="B239" s="7">
        <f>DATE(YEAR(m6_crossvalid[[#This Row],[ds]]),MONTH(m6_crossvalid[[#This Row],[ds]]),DAY(m6_crossvalid[[#This Row],[ds]]))</f>
        <v>45890</v>
      </c>
      <c r="C239">
        <v>3753.9999999999991</v>
      </c>
      <c r="D239" s="1">
        <v>45890.333333333336</v>
      </c>
      <c r="E239">
        <v>3619.8167203852522</v>
      </c>
      <c r="F239">
        <v>1904.8867538908994</v>
      </c>
      <c r="G239">
        <v>6954.5680686659916</v>
      </c>
      <c r="H239" s="1">
        <v>45869.333333333336</v>
      </c>
    </row>
    <row r="240" spans="1:8" x14ac:dyDescent="0.25">
      <c r="A240" s="7">
        <f>DATE(YEAR(m6_crossvalid[[#This Row],[cutoff]]),MONTH(m6_crossvalid[[#This Row],[cutoff]]),DAY(m6_crossvalid[[#This Row],[cutoff]]))</f>
        <v>45869</v>
      </c>
      <c r="B240" s="7">
        <f>DATE(YEAR(m6_crossvalid[[#This Row],[ds]]),MONTH(m6_crossvalid[[#This Row],[ds]]),DAY(m6_crossvalid[[#This Row],[ds]]))</f>
        <v>45891</v>
      </c>
      <c r="C240">
        <v>3740.9999999999991</v>
      </c>
      <c r="D240" s="1">
        <v>45891.333333333336</v>
      </c>
      <c r="E240">
        <v>3507.1644524517983</v>
      </c>
      <c r="F240">
        <v>1654.9460523573746</v>
      </c>
      <c r="G240">
        <v>6968.5492688035429</v>
      </c>
      <c r="H240" s="1">
        <v>45869.333333333336</v>
      </c>
    </row>
    <row r="241" spans="1:8" x14ac:dyDescent="0.25">
      <c r="A241" s="7">
        <f>DATE(YEAR(m6_crossvalid[[#This Row],[cutoff]]),MONTH(m6_crossvalid[[#This Row],[cutoff]]),DAY(m6_crossvalid[[#This Row],[cutoff]]))</f>
        <v>45869</v>
      </c>
      <c r="B241" s="7">
        <f>DATE(YEAR(m6_crossvalid[[#This Row],[ds]]),MONTH(m6_crossvalid[[#This Row],[ds]]),DAY(m6_crossvalid[[#This Row],[ds]]))</f>
        <v>45892</v>
      </c>
      <c r="C241">
        <v>761.00000000000023</v>
      </c>
      <c r="D241" s="1">
        <v>45892.333333333336</v>
      </c>
      <c r="E241">
        <v>611.21249338446989</v>
      </c>
      <c r="F241">
        <v>307.47742797300083</v>
      </c>
      <c r="G241">
        <v>1225.4341544898864</v>
      </c>
      <c r="H241" s="1">
        <v>45869.333333333336</v>
      </c>
    </row>
    <row r="242" spans="1:8" x14ac:dyDescent="0.25">
      <c r="A242" s="7">
        <f>DATE(YEAR(m6_crossvalid[[#This Row],[cutoff]]),MONTH(m6_crossvalid[[#This Row],[cutoff]]),DAY(m6_crossvalid[[#This Row],[cutoff]]))</f>
        <v>45869</v>
      </c>
      <c r="B242" s="7">
        <f>DATE(YEAR(m6_crossvalid[[#This Row],[ds]]),MONTH(m6_crossvalid[[#This Row],[ds]]),DAY(m6_crossvalid[[#This Row],[ds]]))</f>
        <v>45893</v>
      </c>
      <c r="C242">
        <v>238.99999999999997</v>
      </c>
      <c r="D242" s="1">
        <v>45893.333333333336</v>
      </c>
      <c r="E242">
        <v>246.90937186265188</v>
      </c>
      <c r="F242">
        <v>133.17239195157882</v>
      </c>
      <c r="G242">
        <v>503.46877443081149</v>
      </c>
      <c r="H242" s="1">
        <v>45869.333333333336</v>
      </c>
    </row>
    <row r="243" spans="1:8" x14ac:dyDescent="0.25">
      <c r="A243" s="7">
        <f>DATE(YEAR(m6_crossvalid[[#This Row],[cutoff]]),MONTH(m6_crossvalid[[#This Row],[cutoff]]),DAY(m6_crossvalid[[#This Row],[cutoff]]))</f>
        <v>45869</v>
      </c>
      <c r="B243" s="7">
        <f>DATE(YEAR(m6_crossvalid[[#This Row],[ds]]),MONTH(m6_crossvalid[[#This Row],[ds]]),DAY(m6_crossvalid[[#This Row],[ds]]))</f>
        <v>45894</v>
      </c>
      <c r="C243">
        <v>3838</v>
      </c>
      <c r="D243" s="1">
        <v>45894.333333333336</v>
      </c>
      <c r="E243">
        <v>3330.2423213742391</v>
      </c>
      <c r="F243">
        <v>1632.8759156136975</v>
      </c>
      <c r="G243">
        <v>6440.649594151706</v>
      </c>
      <c r="H243" s="1">
        <v>45869.333333333336</v>
      </c>
    </row>
    <row r="244" spans="1:8" x14ac:dyDescent="0.25">
      <c r="A244" s="7">
        <f>DATE(YEAR(m6_crossvalid[[#This Row],[cutoff]]),MONTH(m6_crossvalid[[#This Row],[cutoff]]),DAY(m6_crossvalid[[#This Row],[cutoff]]))</f>
        <v>45869</v>
      </c>
      <c r="B244" s="7">
        <f>DATE(YEAR(m6_crossvalid[[#This Row],[ds]]),MONTH(m6_crossvalid[[#This Row],[ds]]),DAY(m6_crossvalid[[#This Row],[ds]]))</f>
        <v>45895</v>
      </c>
      <c r="C244">
        <v>5214.0000000000018</v>
      </c>
      <c r="D244" s="1">
        <v>45895.333333333336</v>
      </c>
      <c r="E244">
        <v>4315.657364283571</v>
      </c>
      <c r="F244">
        <v>2204.6043246199038</v>
      </c>
      <c r="G244">
        <v>8432.390449668912</v>
      </c>
      <c r="H244" s="1">
        <v>45869.333333333336</v>
      </c>
    </row>
    <row r="245" spans="1:8" x14ac:dyDescent="0.25">
      <c r="A245" s="7">
        <f>DATE(YEAR(m6_crossvalid[[#This Row],[cutoff]]),MONTH(m6_crossvalid[[#This Row],[cutoff]]),DAY(m6_crossvalid[[#This Row],[cutoff]]))</f>
        <v>45869</v>
      </c>
      <c r="B245" s="7">
        <f>DATE(YEAR(m6_crossvalid[[#This Row],[ds]]),MONTH(m6_crossvalid[[#This Row],[ds]]),DAY(m6_crossvalid[[#This Row],[ds]]))</f>
        <v>45896</v>
      </c>
      <c r="C245">
        <v>5989.0000000000009</v>
      </c>
      <c r="D245" s="1">
        <v>45896.333333333336</v>
      </c>
      <c r="E245">
        <v>8824.7084209559671</v>
      </c>
      <c r="F245">
        <v>4665.4082719374437</v>
      </c>
      <c r="G245">
        <v>17225.808098110989</v>
      </c>
      <c r="H245" s="1">
        <v>45869.333333333336</v>
      </c>
    </row>
    <row r="246" spans="1:8" x14ac:dyDescent="0.25">
      <c r="A246" s="7">
        <f>DATE(YEAR(m6_crossvalid[[#This Row],[cutoff]]),MONTH(m6_crossvalid[[#This Row],[cutoff]]),DAY(m6_crossvalid[[#This Row],[cutoff]]))</f>
        <v>45869</v>
      </c>
      <c r="B246" s="7">
        <f>DATE(YEAR(m6_crossvalid[[#This Row],[ds]]),MONTH(m6_crossvalid[[#This Row],[ds]]),DAY(m6_crossvalid[[#This Row],[ds]]))</f>
        <v>45897</v>
      </c>
      <c r="C246">
        <v>7114.9999999999991</v>
      </c>
      <c r="D246" s="1">
        <v>45897.333333333336</v>
      </c>
      <c r="E246">
        <v>8278.1043449565004</v>
      </c>
      <c r="F246">
        <v>4356.3748578309287</v>
      </c>
      <c r="G246">
        <v>15777.43085547322</v>
      </c>
      <c r="H246" s="1">
        <v>45869.333333333336</v>
      </c>
    </row>
    <row r="247" spans="1:8" x14ac:dyDescent="0.25">
      <c r="A247" s="7">
        <f>DATE(YEAR(m6_crossvalid[[#This Row],[cutoff]]),MONTH(m6_crossvalid[[#This Row],[cutoff]]),DAY(m6_crossvalid[[#This Row],[cutoff]]))</f>
        <v>45869</v>
      </c>
      <c r="B247" s="7">
        <f>DATE(YEAR(m6_crossvalid[[#This Row],[ds]]),MONTH(m6_crossvalid[[#This Row],[ds]]),DAY(m6_crossvalid[[#This Row],[ds]]))</f>
        <v>45898</v>
      </c>
      <c r="C247">
        <v>9571.0000000000073</v>
      </c>
      <c r="D247" s="1">
        <v>45898.333333333336</v>
      </c>
      <c r="E247">
        <v>7096.4714951412916</v>
      </c>
      <c r="F247">
        <v>3674.0558512050466</v>
      </c>
      <c r="G247">
        <v>14386.65425268229</v>
      </c>
      <c r="H247" s="1">
        <v>45869.333333333336</v>
      </c>
    </row>
    <row r="248" spans="1:8" x14ac:dyDescent="0.25">
      <c r="A248" s="7">
        <f>DATE(YEAR(m6_crossvalid[[#This Row],[cutoff]]),MONTH(m6_crossvalid[[#This Row],[cutoff]]),DAY(m6_crossvalid[[#This Row],[cutoff]]))</f>
        <v>45869</v>
      </c>
      <c r="B248" s="7">
        <f>DATE(YEAR(m6_crossvalid[[#This Row],[ds]]),MONTH(m6_crossvalid[[#This Row],[ds]]),DAY(m6_crossvalid[[#This Row],[ds]]))</f>
        <v>45899</v>
      </c>
      <c r="C248">
        <v>5764</v>
      </c>
      <c r="D248" s="1">
        <v>45899.333333333336</v>
      </c>
      <c r="E248">
        <v>1938.7133080709036</v>
      </c>
      <c r="F248">
        <v>1025.5329124135255</v>
      </c>
      <c r="G248">
        <v>3759.8955259954118</v>
      </c>
      <c r="H248" s="1">
        <v>45869.333333333336</v>
      </c>
    </row>
    <row r="249" spans="1:8" x14ac:dyDescent="0.25">
      <c r="A249" s="7">
        <f>DATE(YEAR(m6_crossvalid[[#This Row],[cutoff]]),MONTH(m6_crossvalid[[#This Row],[cutoff]]),DAY(m6_crossvalid[[#This Row],[cutoff]]))</f>
        <v>45869</v>
      </c>
      <c r="B249" s="7">
        <f>DATE(YEAR(m6_crossvalid[[#This Row],[ds]]),MONTH(m6_crossvalid[[#This Row],[ds]]),DAY(m6_crossvalid[[#This Row],[ds]]))</f>
        <v>45900</v>
      </c>
      <c r="C249">
        <v>386.00000000000006</v>
      </c>
      <c r="D249" s="1">
        <v>45900.333333333336</v>
      </c>
      <c r="E249">
        <v>116.46187350508872</v>
      </c>
      <c r="F249">
        <v>59.46671603998341</v>
      </c>
      <c r="G249">
        <v>231.10798511660957</v>
      </c>
      <c r="H249" s="1">
        <v>45869.333333333336</v>
      </c>
    </row>
    <row r="250" spans="1:8" x14ac:dyDescent="0.25">
      <c r="A250" s="7">
        <f>DATE(YEAR(m6_crossvalid[[#This Row],[cutoff]]),MONTH(m6_crossvalid[[#This Row],[cutoff]]),DAY(m6_crossvalid[[#This Row],[cutoff]]))</f>
        <v>45900</v>
      </c>
      <c r="B250" s="7">
        <f>DATE(YEAR(m6_crossvalid[[#This Row],[ds]]),MONTH(m6_crossvalid[[#This Row],[ds]]),DAY(m6_crossvalid[[#This Row],[ds]]))</f>
        <v>45901</v>
      </c>
      <c r="C250">
        <v>33.999999999999993</v>
      </c>
      <c r="D250" s="1">
        <v>45901.333333333336</v>
      </c>
      <c r="E250">
        <v>95.678548613346976</v>
      </c>
      <c r="F250">
        <v>47.629306348987051</v>
      </c>
      <c r="G250">
        <v>190.28369051176713</v>
      </c>
      <c r="H250" s="1">
        <v>45900.333333333336</v>
      </c>
    </row>
    <row r="251" spans="1:8" x14ac:dyDescent="0.25">
      <c r="A251" s="7">
        <f>DATE(YEAR(m6_crossvalid[[#This Row],[cutoff]]),MONTH(m6_crossvalid[[#This Row],[cutoff]]),DAY(m6_crossvalid[[#This Row],[cutoff]]))</f>
        <v>45900</v>
      </c>
      <c r="B251" s="7">
        <f>DATE(YEAR(m6_crossvalid[[#This Row],[ds]]),MONTH(m6_crossvalid[[#This Row],[ds]]),DAY(m6_crossvalid[[#This Row],[ds]]))</f>
        <v>45902</v>
      </c>
      <c r="C251">
        <v>463</v>
      </c>
      <c r="D251" s="1">
        <v>45902.333333333336</v>
      </c>
      <c r="E251">
        <v>640.47782566189971</v>
      </c>
      <c r="F251">
        <v>327.87207306899757</v>
      </c>
      <c r="G251">
        <v>1309.2617726171013</v>
      </c>
      <c r="H251" s="1">
        <v>45900.333333333336</v>
      </c>
    </row>
    <row r="252" spans="1:8" x14ac:dyDescent="0.25">
      <c r="A252" s="7">
        <f>DATE(YEAR(m6_crossvalid[[#This Row],[cutoff]]),MONTH(m6_crossvalid[[#This Row],[cutoff]]),DAY(m6_crossvalid[[#This Row],[cutoff]]))</f>
        <v>45900</v>
      </c>
      <c r="B252" s="7">
        <f>DATE(YEAR(m6_crossvalid[[#This Row],[ds]]),MONTH(m6_crossvalid[[#This Row],[ds]]),DAY(m6_crossvalid[[#This Row],[ds]]))</f>
        <v>45903</v>
      </c>
      <c r="C252">
        <v>733.99999999999989</v>
      </c>
      <c r="D252" s="1">
        <v>45903.333333333336</v>
      </c>
      <c r="E252">
        <v>954.89590424354685</v>
      </c>
      <c r="F252">
        <v>486.70752085519882</v>
      </c>
      <c r="G252">
        <v>1982.2228683459375</v>
      </c>
      <c r="H252" s="1">
        <v>45900.333333333336</v>
      </c>
    </row>
    <row r="253" spans="1:8" x14ac:dyDescent="0.25">
      <c r="A253" s="7">
        <f>DATE(YEAR(m6_crossvalid[[#This Row],[cutoff]]),MONTH(m6_crossvalid[[#This Row],[cutoff]]),DAY(m6_crossvalid[[#This Row],[cutoff]]))</f>
        <v>45900</v>
      </c>
      <c r="B253" s="7">
        <f>DATE(YEAR(m6_crossvalid[[#This Row],[ds]]),MONTH(m6_crossvalid[[#This Row],[ds]]),DAY(m6_crossvalid[[#This Row],[ds]]))</f>
        <v>45904</v>
      </c>
      <c r="C253">
        <v>973</v>
      </c>
      <c r="D253" s="1">
        <v>45904.333333333336</v>
      </c>
      <c r="E253">
        <v>912.44852571853983</v>
      </c>
      <c r="F253">
        <v>467.31815782675221</v>
      </c>
      <c r="G253">
        <v>1854.3020667221083</v>
      </c>
      <c r="H253" s="1">
        <v>45900.333333333336</v>
      </c>
    </row>
    <row r="254" spans="1:8" x14ac:dyDescent="0.25">
      <c r="A254" s="7">
        <f>DATE(YEAR(m6_crossvalid[[#This Row],[cutoff]]),MONTH(m6_crossvalid[[#This Row],[cutoff]]),DAY(m6_crossvalid[[#This Row],[cutoff]]))</f>
        <v>45900</v>
      </c>
      <c r="B254" s="7">
        <f>DATE(YEAR(m6_crossvalid[[#This Row],[ds]]),MONTH(m6_crossvalid[[#This Row],[ds]]),DAY(m6_crossvalid[[#This Row],[ds]]))</f>
        <v>45905</v>
      </c>
      <c r="C254">
        <v>61.000000000000007</v>
      </c>
      <c r="D254" s="1">
        <v>45905.333333333336</v>
      </c>
      <c r="E254">
        <v>100.56652870944696</v>
      </c>
      <c r="F254">
        <v>51.732333354023666</v>
      </c>
      <c r="G254">
        <v>192.86914238642157</v>
      </c>
      <c r="H254" s="1">
        <v>45900.333333333336</v>
      </c>
    </row>
    <row r="255" spans="1:8" x14ac:dyDescent="0.25">
      <c r="A255" s="7">
        <f>DATE(YEAR(m6_crossvalid[[#This Row],[cutoff]]),MONTH(m6_crossvalid[[#This Row],[cutoff]]),DAY(m6_crossvalid[[#This Row],[cutoff]]))</f>
        <v>45900</v>
      </c>
      <c r="B255" s="7">
        <f>DATE(YEAR(m6_crossvalid[[#This Row],[ds]]),MONTH(m6_crossvalid[[#This Row],[ds]]),DAY(m6_crossvalid[[#This Row],[ds]]))</f>
        <v>45906</v>
      </c>
      <c r="C255">
        <v>107.00000000000003</v>
      </c>
      <c r="D255" s="1">
        <v>45906.333333333336</v>
      </c>
      <c r="E255">
        <v>152.54226511469449</v>
      </c>
      <c r="F255">
        <v>77.534395642774868</v>
      </c>
      <c r="G255">
        <v>310.98375393408486</v>
      </c>
      <c r="H255" s="1">
        <v>45900.333333333336</v>
      </c>
    </row>
    <row r="256" spans="1:8" x14ac:dyDescent="0.25">
      <c r="A256" s="7">
        <f>DATE(YEAR(m6_crossvalid[[#This Row],[cutoff]]),MONTH(m6_crossvalid[[#This Row],[cutoff]]),DAY(m6_crossvalid[[#This Row],[cutoff]]))</f>
        <v>45900</v>
      </c>
      <c r="B256" s="7">
        <f>DATE(YEAR(m6_crossvalid[[#This Row],[ds]]),MONTH(m6_crossvalid[[#This Row],[ds]]),DAY(m6_crossvalid[[#This Row],[ds]]))</f>
        <v>45907</v>
      </c>
      <c r="C256">
        <v>30</v>
      </c>
      <c r="D256" s="1">
        <v>45907.333333333336</v>
      </c>
      <c r="E256">
        <v>56.69142363481523</v>
      </c>
      <c r="F256">
        <v>26.903595771443065</v>
      </c>
      <c r="G256">
        <v>104.91779464814481</v>
      </c>
      <c r="H256" s="1">
        <v>45900.333333333336</v>
      </c>
    </row>
    <row r="257" spans="1:8" x14ac:dyDescent="0.25">
      <c r="A257" s="7">
        <f>DATE(YEAR(m6_crossvalid[[#This Row],[cutoff]]),MONTH(m6_crossvalid[[#This Row],[cutoff]]),DAY(m6_crossvalid[[#This Row],[cutoff]]))</f>
        <v>45900</v>
      </c>
      <c r="B257" s="7">
        <f>DATE(YEAR(m6_crossvalid[[#This Row],[ds]]),MONTH(m6_crossvalid[[#This Row],[ds]]),DAY(m6_crossvalid[[#This Row],[ds]]))</f>
        <v>45908</v>
      </c>
      <c r="C257">
        <v>1382.0000000000005</v>
      </c>
      <c r="D257" s="1">
        <v>45908.333333333336</v>
      </c>
      <c r="E257">
        <v>1313.9087011018194</v>
      </c>
      <c r="F257">
        <v>662.97839355599706</v>
      </c>
      <c r="G257">
        <v>2579.3042770647971</v>
      </c>
      <c r="H257" s="1">
        <v>45900.333333333336</v>
      </c>
    </row>
    <row r="258" spans="1:8" x14ac:dyDescent="0.25">
      <c r="A258" s="7">
        <f>DATE(YEAR(m6_crossvalid[[#This Row],[cutoff]]),MONTH(m6_crossvalid[[#This Row],[cutoff]]),DAY(m6_crossvalid[[#This Row],[cutoff]]))</f>
        <v>45900</v>
      </c>
      <c r="B258" s="7">
        <f>DATE(YEAR(m6_crossvalid[[#This Row],[ds]]),MONTH(m6_crossvalid[[#This Row],[ds]]),DAY(m6_crossvalid[[#This Row],[ds]]))</f>
        <v>45909</v>
      </c>
      <c r="C258">
        <v>1925.0000000000007</v>
      </c>
      <c r="D258" s="1">
        <v>45909.333333333336</v>
      </c>
      <c r="E258">
        <v>1533.6239626889299</v>
      </c>
      <c r="F258">
        <v>770.85107091594909</v>
      </c>
      <c r="G258">
        <v>3005.5538632658645</v>
      </c>
      <c r="H258" s="1">
        <v>45900.333333333336</v>
      </c>
    </row>
    <row r="259" spans="1:8" x14ac:dyDescent="0.25">
      <c r="A259" s="7">
        <f>DATE(YEAR(m6_crossvalid[[#This Row],[cutoff]]),MONTH(m6_crossvalid[[#This Row],[cutoff]]),DAY(m6_crossvalid[[#This Row],[cutoff]]))</f>
        <v>45900</v>
      </c>
      <c r="B259" s="7">
        <f>DATE(YEAR(m6_crossvalid[[#This Row],[ds]]),MONTH(m6_crossvalid[[#This Row],[ds]]),DAY(m6_crossvalid[[#This Row],[ds]]))</f>
        <v>45910</v>
      </c>
      <c r="C259">
        <v>1988.0000000000005</v>
      </c>
      <c r="D259" s="1">
        <v>45910.333333333336</v>
      </c>
      <c r="E259">
        <v>1523.2098852544166</v>
      </c>
      <c r="F259">
        <v>799.18310521001808</v>
      </c>
      <c r="G259">
        <v>2990.4685407016536</v>
      </c>
      <c r="H259" s="1">
        <v>45900.333333333336</v>
      </c>
    </row>
    <row r="260" spans="1:8" x14ac:dyDescent="0.25">
      <c r="A260" s="7">
        <f>DATE(YEAR(m6_crossvalid[[#This Row],[cutoff]]),MONTH(m6_crossvalid[[#This Row],[cutoff]]),DAY(m6_crossvalid[[#This Row],[cutoff]]))</f>
        <v>45900</v>
      </c>
      <c r="B260" s="7">
        <f>DATE(YEAR(m6_crossvalid[[#This Row],[ds]]),MONTH(m6_crossvalid[[#This Row],[ds]]),DAY(m6_crossvalid[[#This Row],[ds]]))</f>
        <v>45911</v>
      </c>
      <c r="C260">
        <v>2413.9999999999991</v>
      </c>
      <c r="D260" s="1">
        <v>45911.333333333336</v>
      </c>
      <c r="E260">
        <v>1627.9938196734772</v>
      </c>
      <c r="F260">
        <v>854.58573107541656</v>
      </c>
      <c r="G260">
        <v>3201.0528095275981</v>
      </c>
      <c r="H260" s="1">
        <v>45900.333333333336</v>
      </c>
    </row>
    <row r="261" spans="1:8" x14ac:dyDescent="0.25">
      <c r="A261" s="7">
        <f>DATE(YEAR(m6_crossvalid[[#This Row],[cutoff]]),MONTH(m6_crossvalid[[#This Row],[cutoff]]),DAY(m6_crossvalid[[#This Row],[cutoff]]))</f>
        <v>45900</v>
      </c>
      <c r="B261" s="7">
        <f>DATE(YEAR(m6_crossvalid[[#This Row],[ds]]),MONTH(m6_crossvalid[[#This Row],[ds]]),DAY(m6_crossvalid[[#This Row],[ds]]))</f>
        <v>45912</v>
      </c>
      <c r="C261">
        <v>2644.0000000000005</v>
      </c>
      <c r="D261" s="1">
        <v>45912.333333333336</v>
      </c>
      <c r="E261">
        <v>1690.4947258490813</v>
      </c>
      <c r="F261">
        <v>924.05908073215323</v>
      </c>
      <c r="G261">
        <v>3257.8210703606906</v>
      </c>
      <c r="H261" s="1">
        <v>45900.333333333336</v>
      </c>
    </row>
    <row r="262" spans="1:8" x14ac:dyDescent="0.25">
      <c r="A262" s="7">
        <f>DATE(YEAR(m6_crossvalid[[#This Row],[cutoff]]),MONTH(m6_crossvalid[[#This Row],[cutoff]]),DAY(m6_crossvalid[[#This Row],[cutoff]]))</f>
        <v>45900</v>
      </c>
      <c r="B262" s="7">
        <f>DATE(YEAR(m6_crossvalid[[#This Row],[ds]]),MONTH(m6_crossvalid[[#This Row],[ds]]),DAY(m6_crossvalid[[#This Row],[ds]]))</f>
        <v>45913</v>
      </c>
      <c r="C262">
        <v>438.99999999999983</v>
      </c>
      <c r="D262" s="1">
        <v>45913.333333333336</v>
      </c>
      <c r="E262">
        <v>310.55566969595731</v>
      </c>
      <c r="F262">
        <v>163.60560394315166</v>
      </c>
      <c r="G262">
        <v>645.59632387984857</v>
      </c>
      <c r="H262" s="1">
        <v>45900.333333333336</v>
      </c>
    </row>
    <row r="263" spans="1:8" x14ac:dyDescent="0.25">
      <c r="A263" s="7">
        <f>DATE(YEAR(m6_crossvalid[[#This Row],[cutoff]]),MONTH(m6_crossvalid[[#This Row],[cutoff]]),DAY(m6_crossvalid[[#This Row],[cutoff]]))</f>
        <v>45900</v>
      </c>
      <c r="B263" s="7">
        <f>DATE(YEAR(m6_crossvalid[[#This Row],[ds]]),MONTH(m6_crossvalid[[#This Row],[ds]]),DAY(m6_crossvalid[[#This Row],[ds]]))</f>
        <v>45914</v>
      </c>
      <c r="C263">
        <v>107.99999999999997</v>
      </c>
      <c r="D263" s="1">
        <v>45914.333333333336</v>
      </c>
      <c r="E263">
        <v>121.39025502274839</v>
      </c>
      <c r="F263">
        <v>64.894858870982958</v>
      </c>
      <c r="G263">
        <v>241.04884700873561</v>
      </c>
      <c r="H263" s="1">
        <v>45900.333333333336</v>
      </c>
    </row>
    <row r="264" spans="1:8" x14ac:dyDescent="0.25">
      <c r="A264" s="7">
        <f>DATE(YEAR(m6_crossvalid[[#This Row],[cutoff]]),MONTH(m6_crossvalid[[#This Row],[cutoff]]),DAY(m6_crossvalid[[#This Row],[cutoff]]))</f>
        <v>45900</v>
      </c>
      <c r="B264" s="7">
        <f>DATE(YEAR(m6_crossvalid[[#This Row],[ds]]),MONTH(m6_crossvalid[[#This Row],[ds]]),DAY(m6_crossvalid[[#This Row],[ds]]))</f>
        <v>45915</v>
      </c>
      <c r="C264">
        <v>18.999999999999996</v>
      </c>
      <c r="D264" s="1">
        <v>45915.333333333336</v>
      </c>
      <c r="E264">
        <v>180.26131143078851</v>
      </c>
      <c r="F264">
        <v>89.178901045411678</v>
      </c>
      <c r="G264">
        <v>329.29086892026612</v>
      </c>
      <c r="H264" s="1">
        <v>45900.333333333336</v>
      </c>
    </row>
    <row r="265" spans="1:8" x14ac:dyDescent="0.25">
      <c r="A265" s="7">
        <f>DATE(YEAR(m6_crossvalid[[#This Row],[cutoff]]),MONTH(m6_crossvalid[[#This Row],[cutoff]]),DAY(m6_crossvalid[[#This Row],[cutoff]]))</f>
        <v>45900</v>
      </c>
      <c r="B265" s="7">
        <f>DATE(YEAR(m6_crossvalid[[#This Row],[ds]]),MONTH(m6_crossvalid[[#This Row],[ds]]),DAY(m6_crossvalid[[#This Row],[ds]]))</f>
        <v>45916</v>
      </c>
      <c r="C265">
        <v>5</v>
      </c>
      <c r="D265" s="1">
        <v>45916.333333333336</v>
      </c>
      <c r="E265">
        <v>234.60593544655717</v>
      </c>
      <c r="F265">
        <v>117.94171762730078</v>
      </c>
      <c r="G265">
        <v>479.80573984759741</v>
      </c>
      <c r="H265" s="1">
        <v>45900.333333333336</v>
      </c>
    </row>
    <row r="266" spans="1:8" x14ac:dyDescent="0.25">
      <c r="A266" s="7">
        <f>DATE(YEAR(m6_crossvalid[[#This Row],[cutoff]]),MONTH(m6_crossvalid[[#This Row],[cutoff]]),DAY(m6_crossvalid[[#This Row],[cutoff]]))</f>
        <v>45900</v>
      </c>
      <c r="B266" s="7">
        <f>DATE(YEAR(m6_crossvalid[[#This Row],[ds]]),MONTH(m6_crossvalid[[#This Row],[ds]]),DAY(m6_crossvalid[[#This Row],[ds]]))</f>
        <v>45917</v>
      </c>
      <c r="C266">
        <v>2107.9999999999991</v>
      </c>
      <c r="D266" s="1">
        <v>45917.333333333336</v>
      </c>
      <c r="E266">
        <v>2224.2477868063115</v>
      </c>
      <c r="F266">
        <v>1185.4105106725624</v>
      </c>
      <c r="G266">
        <v>4647.7530244623622</v>
      </c>
      <c r="H266" s="1">
        <v>45900.333333333336</v>
      </c>
    </row>
    <row r="267" spans="1:8" x14ac:dyDescent="0.25">
      <c r="A267" s="7">
        <f>DATE(YEAR(m6_crossvalid[[#This Row],[cutoff]]),MONTH(m6_crossvalid[[#This Row],[cutoff]]),DAY(m6_crossvalid[[#This Row],[cutoff]]))</f>
        <v>45900</v>
      </c>
      <c r="B267" s="7">
        <f>DATE(YEAR(m6_crossvalid[[#This Row],[ds]]),MONTH(m6_crossvalid[[#This Row],[ds]]),DAY(m6_crossvalid[[#This Row],[ds]]))</f>
        <v>45918</v>
      </c>
      <c r="C267">
        <v>3129</v>
      </c>
      <c r="D267" s="1">
        <v>45918.333333333336</v>
      </c>
      <c r="E267">
        <v>2473.0055067493604</v>
      </c>
      <c r="F267">
        <v>1244.3448627181401</v>
      </c>
      <c r="G267">
        <v>4785.5173039369138</v>
      </c>
      <c r="H267" s="1">
        <v>45900.333333333336</v>
      </c>
    </row>
    <row r="268" spans="1:8" x14ac:dyDescent="0.25">
      <c r="A268" s="7">
        <f>DATE(YEAR(m6_crossvalid[[#This Row],[cutoff]]),MONTH(m6_crossvalid[[#This Row],[cutoff]]),DAY(m6_crossvalid[[#This Row],[cutoff]]))</f>
        <v>45900</v>
      </c>
      <c r="B268" s="7">
        <f>DATE(YEAR(m6_crossvalid[[#This Row],[ds]]),MONTH(m6_crossvalid[[#This Row],[ds]]),DAY(m6_crossvalid[[#This Row],[ds]]))</f>
        <v>45919</v>
      </c>
      <c r="C268">
        <v>3026.9999999999995</v>
      </c>
      <c r="D268" s="1">
        <v>45919.333333333336</v>
      </c>
      <c r="E268">
        <v>2481.553488701285</v>
      </c>
      <c r="F268">
        <v>1238.1637524218511</v>
      </c>
      <c r="G268">
        <v>4783.3614603626174</v>
      </c>
      <c r="H268" s="1">
        <v>45900.333333333336</v>
      </c>
    </row>
    <row r="269" spans="1:8" x14ac:dyDescent="0.25">
      <c r="A269" s="7">
        <f>DATE(YEAR(m6_crossvalid[[#This Row],[cutoff]]),MONTH(m6_crossvalid[[#This Row],[cutoff]]),DAY(m6_crossvalid[[#This Row],[cutoff]]))</f>
        <v>45900</v>
      </c>
      <c r="B269" s="7">
        <f>DATE(YEAR(m6_crossvalid[[#This Row],[ds]]),MONTH(m6_crossvalid[[#This Row],[ds]]),DAY(m6_crossvalid[[#This Row],[ds]]))</f>
        <v>45920</v>
      </c>
      <c r="C269">
        <v>525.00000000000011</v>
      </c>
      <c r="D269" s="1">
        <v>45920.333333333336</v>
      </c>
      <c r="E269">
        <v>426.62889435353406</v>
      </c>
      <c r="F269">
        <v>219.95342054985883</v>
      </c>
      <c r="G269">
        <v>863.08249574404999</v>
      </c>
      <c r="H269" s="1">
        <v>45900.333333333336</v>
      </c>
    </row>
    <row r="270" spans="1:8" x14ac:dyDescent="0.25">
      <c r="A270" s="7">
        <f>DATE(YEAR(m6_crossvalid[[#This Row],[cutoff]]),MONTH(m6_crossvalid[[#This Row],[cutoff]]),DAY(m6_crossvalid[[#This Row],[cutoff]]))</f>
        <v>45900</v>
      </c>
      <c r="B270" s="7">
        <f>DATE(YEAR(m6_crossvalid[[#This Row],[ds]]),MONTH(m6_crossvalid[[#This Row],[ds]]),DAY(m6_crossvalid[[#This Row],[ds]]))</f>
        <v>45921</v>
      </c>
      <c r="C270">
        <v>107.00000000000003</v>
      </c>
      <c r="D270" s="1">
        <v>45921.333333333336</v>
      </c>
      <c r="E270">
        <v>161.22412518808903</v>
      </c>
      <c r="F270">
        <v>83.84147033823433</v>
      </c>
      <c r="G270">
        <v>316.08350549225185</v>
      </c>
      <c r="H270" s="1">
        <v>45900.333333333336</v>
      </c>
    </row>
    <row r="271" spans="1:8" x14ac:dyDescent="0.25">
      <c r="A271" s="7">
        <f>DATE(YEAR(m6_crossvalid[[#This Row],[cutoff]]),MONTH(m6_crossvalid[[#This Row],[cutoff]]),DAY(m6_crossvalid[[#This Row],[cutoff]]))</f>
        <v>45900</v>
      </c>
      <c r="B271" s="7">
        <f>DATE(YEAR(m6_crossvalid[[#This Row],[ds]]),MONTH(m6_crossvalid[[#This Row],[ds]]),DAY(m6_crossvalid[[#This Row],[ds]]))</f>
        <v>45922</v>
      </c>
      <c r="C271">
        <v>2480.0000000000005</v>
      </c>
      <c r="D271" s="1">
        <v>45922.333333333336</v>
      </c>
      <c r="E271">
        <v>2135.5829350382878</v>
      </c>
      <c r="F271">
        <v>1137.170267289782</v>
      </c>
      <c r="G271">
        <v>4272.1282170766208</v>
      </c>
      <c r="H271" s="1">
        <v>45900.333333333336</v>
      </c>
    </row>
    <row r="272" spans="1:8" x14ac:dyDescent="0.25">
      <c r="A272" s="7">
        <f>DATE(YEAR(m6_crossvalid[[#This Row],[cutoff]]),MONTH(m6_crossvalid[[#This Row],[cutoff]]),DAY(m6_crossvalid[[#This Row],[cutoff]]))</f>
        <v>45900</v>
      </c>
      <c r="B272" s="7">
        <f>DATE(YEAR(m6_crossvalid[[#This Row],[ds]]),MONTH(m6_crossvalid[[#This Row],[ds]]),DAY(m6_crossvalid[[#This Row],[ds]]))</f>
        <v>45923</v>
      </c>
      <c r="C272">
        <v>2893.0000000000005</v>
      </c>
      <c r="D272" s="1">
        <v>45923.333333333336</v>
      </c>
      <c r="E272">
        <v>2993.1936674343842</v>
      </c>
      <c r="F272">
        <v>1575.3512353309918</v>
      </c>
      <c r="G272">
        <v>6223.2854471010151</v>
      </c>
      <c r="H272" s="1">
        <v>45900.333333333336</v>
      </c>
    </row>
    <row r="273" spans="1:8" x14ac:dyDescent="0.25">
      <c r="A273" s="7">
        <f>DATE(YEAR(m6_crossvalid[[#This Row],[cutoff]]),MONTH(m6_crossvalid[[#This Row],[cutoff]]),DAY(m6_crossvalid[[#This Row],[cutoff]]))</f>
        <v>45900</v>
      </c>
      <c r="B273" s="7">
        <f>DATE(YEAR(m6_crossvalid[[#This Row],[ds]]),MONTH(m6_crossvalid[[#This Row],[ds]]),DAY(m6_crossvalid[[#This Row],[ds]]))</f>
        <v>45924</v>
      </c>
      <c r="C273">
        <v>3142.9999999999977</v>
      </c>
      <c r="D273" s="1">
        <v>45924.333333333336</v>
      </c>
      <c r="E273">
        <v>3475.4437217520685</v>
      </c>
      <c r="F273">
        <v>1745.0699404492007</v>
      </c>
      <c r="G273">
        <v>7127.9302069838641</v>
      </c>
      <c r="H273" s="1">
        <v>45900.333333333336</v>
      </c>
    </row>
    <row r="274" spans="1:8" x14ac:dyDescent="0.25">
      <c r="A274" s="7">
        <f>DATE(YEAR(m6_crossvalid[[#This Row],[cutoff]]),MONTH(m6_crossvalid[[#This Row],[cutoff]]),DAY(m6_crossvalid[[#This Row],[cutoff]]))</f>
        <v>45900</v>
      </c>
      <c r="B274" s="7">
        <f>DATE(YEAR(m6_crossvalid[[#This Row],[ds]]),MONTH(m6_crossvalid[[#This Row],[ds]]),DAY(m6_crossvalid[[#This Row],[ds]]))</f>
        <v>45925</v>
      </c>
      <c r="C274">
        <v>3361.0000000000014</v>
      </c>
      <c r="D274" s="1">
        <v>45925.333333333336</v>
      </c>
      <c r="E274">
        <v>3831.05179970875</v>
      </c>
      <c r="F274">
        <v>1909.9037566483958</v>
      </c>
      <c r="G274">
        <v>7549.4070201101031</v>
      </c>
      <c r="H274" s="1">
        <v>45900.333333333336</v>
      </c>
    </row>
    <row r="275" spans="1:8" x14ac:dyDescent="0.25">
      <c r="A275" s="7">
        <f>DATE(YEAR(m6_crossvalid[[#This Row],[cutoff]]),MONTH(m6_crossvalid[[#This Row],[cutoff]]),DAY(m6_crossvalid[[#This Row],[cutoff]]))</f>
        <v>45900</v>
      </c>
      <c r="B275" s="7">
        <f>DATE(YEAR(m6_crossvalid[[#This Row],[ds]]),MONTH(m6_crossvalid[[#This Row],[ds]]),DAY(m6_crossvalid[[#This Row],[ds]]))</f>
        <v>45926</v>
      </c>
      <c r="C275">
        <v>3884.9999999999977</v>
      </c>
      <c r="D275" s="1">
        <v>45926.333333333336</v>
      </c>
      <c r="E275">
        <v>7209.0007465889057</v>
      </c>
      <c r="F275">
        <v>3716.1212846598864</v>
      </c>
      <c r="G275">
        <v>14662.144588534431</v>
      </c>
      <c r="H275" s="1">
        <v>45900.333333333336</v>
      </c>
    </row>
    <row r="276" spans="1:8" x14ac:dyDescent="0.25">
      <c r="A276" s="7">
        <f>DATE(YEAR(m6_crossvalid[[#This Row],[cutoff]]),MONTH(m6_crossvalid[[#This Row],[cutoff]]),DAY(m6_crossvalid[[#This Row],[cutoff]]))</f>
        <v>45900</v>
      </c>
      <c r="B276" s="7">
        <f>DATE(YEAR(m6_crossvalid[[#This Row],[ds]]),MONTH(m6_crossvalid[[#This Row],[ds]]),DAY(m6_crossvalid[[#This Row],[ds]]))</f>
        <v>45927</v>
      </c>
      <c r="C276">
        <v>1024.0000000000005</v>
      </c>
      <c r="D276" s="1">
        <v>45927.333333333336</v>
      </c>
      <c r="E276">
        <v>1121.3154091360561</v>
      </c>
      <c r="F276">
        <v>583.11327280735406</v>
      </c>
      <c r="G276">
        <v>2215.6213322674043</v>
      </c>
      <c r="H276" s="1">
        <v>45900.333333333336</v>
      </c>
    </row>
    <row r="277" spans="1:8" x14ac:dyDescent="0.25">
      <c r="A277" s="7">
        <f>DATE(YEAR(m6_crossvalid[[#This Row],[cutoff]]),MONTH(m6_crossvalid[[#This Row],[cutoff]]),DAY(m6_crossvalid[[#This Row],[cutoff]]))</f>
        <v>45900</v>
      </c>
      <c r="B277" s="7">
        <f>DATE(YEAR(m6_crossvalid[[#This Row],[ds]]),MONTH(m6_crossvalid[[#This Row],[ds]]),DAY(m6_crossvalid[[#This Row],[ds]]))</f>
        <v>45928</v>
      </c>
      <c r="C277">
        <v>279.99999999999989</v>
      </c>
      <c r="D277" s="1">
        <v>45928.333333333336</v>
      </c>
      <c r="E277">
        <v>384.03470125363731</v>
      </c>
      <c r="F277">
        <v>206.18444394015646</v>
      </c>
      <c r="G277">
        <v>763.42989010719043</v>
      </c>
      <c r="H277" s="1">
        <v>45900.333333333336</v>
      </c>
    </row>
    <row r="278" spans="1:8" x14ac:dyDescent="0.25">
      <c r="A278" s="7">
        <f>DATE(YEAR(m6_crossvalid[[#This Row],[cutoff]]),MONTH(m6_crossvalid[[#This Row],[cutoff]]),DAY(m6_crossvalid[[#This Row],[cutoff]]))</f>
        <v>45900</v>
      </c>
      <c r="B278" s="7">
        <f>DATE(YEAR(m6_crossvalid[[#This Row],[ds]]),MONTH(m6_crossvalid[[#This Row],[ds]]),DAY(m6_crossvalid[[#This Row],[ds]]))</f>
        <v>45929</v>
      </c>
      <c r="C278">
        <v>8852.0000000000018</v>
      </c>
      <c r="D278" s="1">
        <v>45929.333333333336</v>
      </c>
      <c r="E278">
        <v>8489.3756054039713</v>
      </c>
      <c r="F278">
        <v>4140.0557013818679</v>
      </c>
      <c r="G278">
        <v>17550.775970600713</v>
      </c>
      <c r="H278" s="1">
        <v>45900.333333333336</v>
      </c>
    </row>
    <row r="279" spans="1:8" x14ac:dyDescent="0.25">
      <c r="A279" s="7">
        <f>DATE(YEAR(m6_crossvalid[[#This Row],[cutoff]]),MONTH(m6_crossvalid[[#This Row],[cutoff]]),DAY(m6_crossvalid[[#This Row],[cutoff]]))</f>
        <v>45900</v>
      </c>
      <c r="B279" s="7">
        <f>DATE(YEAR(m6_crossvalid[[#This Row],[ds]]),MONTH(m6_crossvalid[[#This Row],[ds]]),DAY(m6_crossvalid[[#This Row],[ds]]))</f>
        <v>45930</v>
      </c>
      <c r="C279">
        <v>14458</v>
      </c>
      <c r="D279" s="1">
        <v>45930.333333333336</v>
      </c>
      <c r="E279">
        <v>16259.781387147226</v>
      </c>
      <c r="F279">
        <v>8400.7504961672093</v>
      </c>
      <c r="G279">
        <v>30866.524760076962</v>
      </c>
      <c r="H279" s="1">
        <v>45900.333333333336</v>
      </c>
    </row>
    <row r="280" spans="1:8" x14ac:dyDescent="0.25">
      <c r="A280" s="7">
        <f>DATE(YEAR(m6_crossvalid[[#This Row],[cutoff]]),MONTH(m6_crossvalid[[#This Row],[cutoff]]),DAY(m6_crossvalid[[#This Row],[cutoff]]))</f>
        <v>45900</v>
      </c>
      <c r="B280" s="7">
        <f>DATE(YEAR(m6_crossvalid[[#This Row],[ds]]),MONTH(m6_crossvalid[[#This Row],[ds]]),DAY(m6_crossvalid[[#This Row],[ds]]))</f>
        <v>45931</v>
      </c>
      <c r="C280">
        <v>638.99999999999989</v>
      </c>
      <c r="D280" s="1">
        <v>45931.333333333336</v>
      </c>
      <c r="E280">
        <v>1074.7532198046379</v>
      </c>
      <c r="F280">
        <v>546.60652602434595</v>
      </c>
      <c r="G280">
        <v>2058.0214789926094</v>
      </c>
      <c r="H280" s="1">
        <v>45900.333333333336</v>
      </c>
    </row>
    <row r="281" spans="1:8" x14ac:dyDescent="0.25">
      <c r="A281" s="7">
        <f>DATE(YEAR(m6_crossvalid[[#This Row],[cutoff]]),MONTH(m6_crossvalid[[#This Row],[cutoff]]),DAY(m6_crossvalid[[#This Row],[cutoff]]))</f>
        <v>45930</v>
      </c>
      <c r="B281" s="7">
        <f>DATE(YEAR(m6_crossvalid[[#This Row],[ds]]),MONTH(m6_crossvalid[[#This Row],[ds]]),DAY(m6_crossvalid[[#This Row],[ds]]))</f>
        <v>45931</v>
      </c>
      <c r="C281">
        <v>638.99999999999989</v>
      </c>
      <c r="D281" s="1">
        <v>45931.333333333336</v>
      </c>
      <c r="E281">
        <v>1033.8628550948611</v>
      </c>
      <c r="F281">
        <v>547.99994136298358</v>
      </c>
      <c r="G281">
        <v>2058.3938738224797</v>
      </c>
      <c r="H281" s="1">
        <v>45930.333333333336</v>
      </c>
    </row>
    <row r="282" spans="1:8" x14ac:dyDescent="0.25">
      <c r="A282" s="7">
        <f>DATE(YEAR(m6_crossvalid[[#This Row],[cutoff]]),MONTH(m6_crossvalid[[#This Row],[cutoff]]),DAY(m6_crossvalid[[#This Row],[cutoff]]))</f>
        <v>45930</v>
      </c>
      <c r="B282" s="7">
        <f>DATE(YEAR(m6_crossvalid[[#This Row],[ds]]),MONTH(m6_crossvalid[[#This Row],[ds]]),DAY(m6_crossvalid[[#This Row],[ds]]))</f>
        <v>45932</v>
      </c>
      <c r="C282">
        <v>823.00000000000034</v>
      </c>
      <c r="D282" s="1">
        <v>45932.333333333336</v>
      </c>
      <c r="E282">
        <v>665.82427479059902</v>
      </c>
      <c r="F282">
        <v>339.93371576049384</v>
      </c>
      <c r="G282">
        <v>1332.9463566002082</v>
      </c>
      <c r="H282" s="1">
        <v>45930.333333333336</v>
      </c>
    </row>
    <row r="283" spans="1:8" x14ac:dyDescent="0.25">
      <c r="A283" s="7">
        <f>DATE(YEAR(m6_crossvalid[[#This Row],[cutoff]]),MONTH(m6_crossvalid[[#This Row],[cutoff]]),DAY(m6_crossvalid[[#This Row],[cutoff]]))</f>
        <v>45930</v>
      </c>
      <c r="B283" s="7">
        <f>DATE(YEAR(m6_crossvalid[[#This Row],[ds]]),MONTH(m6_crossvalid[[#This Row],[ds]]),DAY(m6_crossvalid[[#This Row],[ds]]))</f>
        <v>45933</v>
      </c>
      <c r="C283">
        <v>995.99999999999989</v>
      </c>
      <c r="D283" s="1">
        <v>45933.333333333336</v>
      </c>
      <c r="E283">
        <v>888.79199639111187</v>
      </c>
      <c r="F283">
        <v>425.33384206487932</v>
      </c>
      <c r="G283">
        <v>1778.081331523432</v>
      </c>
      <c r="H283" s="1">
        <v>45930.333333333336</v>
      </c>
    </row>
    <row r="284" spans="1:8" x14ac:dyDescent="0.25">
      <c r="A284" s="7">
        <f>DATE(YEAR(m6_crossvalid[[#This Row],[cutoff]]),MONTH(m6_crossvalid[[#This Row],[cutoff]]),DAY(m6_crossvalid[[#This Row],[cutoff]]))</f>
        <v>45930</v>
      </c>
      <c r="B284" s="7">
        <f>DATE(YEAR(m6_crossvalid[[#This Row],[ds]]),MONTH(m6_crossvalid[[#This Row],[ds]]),DAY(m6_crossvalid[[#This Row],[ds]]))</f>
        <v>45934</v>
      </c>
      <c r="C284">
        <v>141.00000000000003</v>
      </c>
      <c r="D284" s="1">
        <v>45934.333333333336</v>
      </c>
      <c r="E284">
        <v>133.19297751558059</v>
      </c>
      <c r="F284">
        <v>66.261830790496944</v>
      </c>
      <c r="G284">
        <v>262.1908029592243</v>
      </c>
      <c r="H284" s="1">
        <v>45930.333333333336</v>
      </c>
    </row>
    <row r="285" spans="1:8" x14ac:dyDescent="0.25">
      <c r="A285" s="7">
        <f>DATE(YEAR(m6_crossvalid[[#This Row],[cutoff]]),MONTH(m6_crossvalid[[#This Row],[cutoff]]),DAY(m6_crossvalid[[#This Row],[cutoff]]))</f>
        <v>45930</v>
      </c>
      <c r="B285" s="7">
        <f>DATE(YEAR(m6_crossvalid[[#This Row],[ds]]),MONTH(m6_crossvalid[[#This Row],[ds]]),DAY(m6_crossvalid[[#This Row],[ds]]))</f>
        <v>45935</v>
      </c>
      <c r="C285">
        <v>37.999999999999993</v>
      </c>
      <c r="D285" s="1">
        <v>45935.333333333336</v>
      </c>
      <c r="E285">
        <v>48.692498818638882</v>
      </c>
      <c r="F285">
        <v>22.824589366200652</v>
      </c>
      <c r="G285">
        <v>95.856376990628291</v>
      </c>
      <c r="H285" s="1">
        <v>45930.333333333336</v>
      </c>
    </row>
    <row r="286" spans="1:8" x14ac:dyDescent="0.25">
      <c r="A286" s="7">
        <f>DATE(YEAR(m6_crossvalid[[#This Row],[cutoff]]),MONTH(m6_crossvalid[[#This Row],[cutoff]]),DAY(m6_crossvalid[[#This Row],[cutoff]]))</f>
        <v>45930</v>
      </c>
      <c r="B286" s="7">
        <f>DATE(YEAR(m6_crossvalid[[#This Row],[ds]]),MONTH(m6_crossvalid[[#This Row],[ds]]),DAY(m6_crossvalid[[#This Row],[ds]]))</f>
        <v>45936</v>
      </c>
      <c r="C286">
        <v>1044</v>
      </c>
      <c r="D286" s="1">
        <v>45936.333333333336</v>
      </c>
      <c r="E286">
        <v>675.78029909798124</v>
      </c>
      <c r="F286">
        <v>338.17473801958283</v>
      </c>
      <c r="G286">
        <v>1379.5716871452025</v>
      </c>
      <c r="H286" s="1">
        <v>45930.333333333336</v>
      </c>
    </row>
    <row r="287" spans="1:8" x14ac:dyDescent="0.25">
      <c r="A287" s="7">
        <f>DATE(YEAR(m6_crossvalid[[#This Row],[cutoff]]),MONTH(m6_crossvalid[[#This Row],[cutoff]]),DAY(m6_crossvalid[[#This Row],[cutoff]]))</f>
        <v>45930</v>
      </c>
      <c r="B287" s="7">
        <f>DATE(YEAR(m6_crossvalid[[#This Row],[ds]]),MONTH(m6_crossvalid[[#This Row],[ds]]),DAY(m6_crossvalid[[#This Row],[ds]]))</f>
        <v>45937</v>
      </c>
      <c r="C287">
        <v>1351.0000000000005</v>
      </c>
      <c r="D287" s="1">
        <v>45937.333333333336</v>
      </c>
      <c r="E287">
        <v>923.30557907886805</v>
      </c>
      <c r="F287">
        <v>476.47214767733652</v>
      </c>
      <c r="G287">
        <v>1839.5012465075956</v>
      </c>
      <c r="H287" s="1">
        <v>45930.333333333336</v>
      </c>
    </row>
    <row r="288" spans="1:8" x14ac:dyDescent="0.25">
      <c r="A288" s="7">
        <f>DATE(YEAR(m6_crossvalid[[#This Row],[cutoff]]),MONTH(m6_crossvalid[[#This Row],[cutoff]]),DAY(m6_crossvalid[[#This Row],[cutoff]]))</f>
        <v>45930</v>
      </c>
      <c r="B288" s="7">
        <f>DATE(YEAR(m6_crossvalid[[#This Row],[ds]]),MONTH(m6_crossvalid[[#This Row],[ds]]),DAY(m6_crossvalid[[#This Row],[ds]]))</f>
        <v>45938</v>
      </c>
      <c r="C288">
        <v>1654.0000000000002</v>
      </c>
      <c r="D288" s="1">
        <v>45938.333333333336</v>
      </c>
      <c r="E288">
        <v>1959.9725050190411</v>
      </c>
      <c r="F288">
        <v>1011.1537805986051</v>
      </c>
      <c r="G288">
        <v>3796.3472696325071</v>
      </c>
      <c r="H288" s="1">
        <v>45930.333333333336</v>
      </c>
    </row>
    <row r="289" spans="1:8" x14ac:dyDescent="0.25">
      <c r="A289" s="7">
        <f>DATE(YEAR(m6_crossvalid[[#This Row],[cutoff]]),MONTH(m6_crossvalid[[#This Row],[cutoff]]),DAY(m6_crossvalid[[#This Row],[cutoff]]))</f>
        <v>45930</v>
      </c>
      <c r="B289" s="7">
        <f>DATE(YEAR(m6_crossvalid[[#This Row],[ds]]),MONTH(m6_crossvalid[[#This Row],[ds]]),DAY(m6_crossvalid[[#This Row],[ds]]))</f>
        <v>45939</v>
      </c>
      <c r="C289">
        <v>2107.9999999999991</v>
      </c>
      <c r="D289" s="1">
        <v>45939.333333333336</v>
      </c>
      <c r="E289">
        <v>1924.601330387449</v>
      </c>
      <c r="F289">
        <v>959.64479039462378</v>
      </c>
      <c r="G289">
        <v>3858.9835491083736</v>
      </c>
      <c r="H289" s="1">
        <v>45930.333333333336</v>
      </c>
    </row>
    <row r="290" spans="1:8" x14ac:dyDescent="0.25">
      <c r="A290" s="7">
        <f>DATE(YEAR(m6_crossvalid[[#This Row],[cutoff]]),MONTH(m6_crossvalid[[#This Row],[cutoff]]),DAY(m6_crossvalid[[#This Row],[cutoff]]))</f>
        <v>45930</v>
      </c>
      <c r="B290" s="7">
        <f>DATE(YEAR(m6_crossvalid[[#This Row],[ds]]),MONTH(m6_crossvalid[[#This Row],[ds]]),DAY(m6_crossvalid[[#This Row],[ds]]))</f>
        <v>45940</v>
      </c>
      <c r="C290">
        <v>2215.0000000000005</v>
      </c>
      <c r="D290" s="1">
        <v>45940.333333333336</v>
      </c>
      <c r="E290">
        <v>1698.1246200861813</v>
      </c>
      <c r="F290">
        <v>852.7057145606318</v>
      </c>
      <c r="G290">
        <v>3444.3540856590603</v>
      </c>
      <c r="H290" s="1">
        <v>45930.333333333336</v>
      </c>
    </row>
    <row r="291" spans="1:8" x14ac:dyDescent="0.25">
      <c r="A291" s="7">
        <f>DATE(YEAR(m6_crossvalid[[#This Row],[cutoff]]),MONTH(m6_crossvalid[[#This Row],[cutoff]]),DAY(m6_crossvalid[[#This Row],[cutoff]]))</f>
        <v>45930</v>
      </c>
      <c r="B291" s="7">
        <f>DATE(YEAR(m6_crossvalid[[#This Row],[ds]]),MONTH(m6_crossvalid[[#This Row],[ds]]),DAY(m6_crossvalid[[#This Row],[ds]]))</f>
        <v>45941</v>
      </c>
      <c r="C291">
        <v>380.00000000000011</v>
      </c>
      <c r="D291" s="1">
        <v>45941.333333333336</v>
      </c>
      <c r="E291">
        <v>284.88242103068984</v>
      </c>
      <c r="F291">
        <v>141.58755450234304</v>
      </c>
      <c r="G291">
        <v>540.12631477792388</v>
      </c>
      <c r="H291" s="1">
        <v>45930.333333333336</v>
      </c>
    </row>
    <row r="292" spans="1:8" x14ac:dyDescent="0.25">
      <c r="A292" s="7">
        <f>DATE(YEAR(m6_crossvalid[[#This Row],[cutoff]]),MONTH(m6_crossvalid[[#This Row],[cutoff]]),DAY(m6_crossvalid[[#This Row],[cutoff]]))</f>
        <v>45930</v>
      </c>
      <c r="B292" s="7">
        <f>DATE(YEAR(m6_crossvalid[[#This Row],[ds]]),MONTH(m6_crossvalid[[#This Row],[ds]]),DAY(m6_crossvalid[[#This Row],[ds]]))</f>
        <v>45942</v>
      </c>
      <c r="C292">
        <v>120.00000000000003</v>
      </c>
      <c r="D292" s="1">
        <v>45942.333333333336</v>
      </c>
      <c r="E292">
        <v>113.96573380789611</v>
      </c>
      <c r="F292">
        <v>59.441893633687258</v>
      </c>
      <c r="G292">
        <v>228.61930586973438</v>
      </c>
      <c r="H292" s="1">
        <v>45930.333333333336</v>
      </c>
    </row>
    <row r="293" spans="1:8" x14ac:dyDescent="0.25">
      <c r="A293" s="7">
        <f>DATE(YEAR(m6_crossvalid[[#This Row],[cutoff]]),MONTH(m6_crossvalid[[#This Row],[cutoff]]),DAY(m6_crossvalid[[#This Row],[cutoff]]))</f>
        <v>45930</v>
      </c>
      <c r="B293" s="7">
        <f>DATE(YEAR(m6_crossvalid[[#This Row],[ds]]),MONTH(m6_crossvalid[[#This Row],[ds]]),DAY(m6_crossvalid[[#This Row],[ds]]))</f>
        <v>45943</v>
      </c>
      <c r="C293">
        <v>2406</v>
      </c>
      <c r="D293" s="1">
        <v>45943.333333333336</v>
      </c>
      <c r="E293">
        <v>1621.2107129686672</v>
      </c>
      <c r="F293">
        <v>830.34830563059859</v>
      </c>
      <c r="G293">
        <v>3114.3882183373662</v>
      </c>
      <c r="H293" s="1">
        <v>45930.333333333336</v>
      </c>
    </row>
    <row r="294" spans="1:8" x14ac:dyDescent="0.25">
      <c r="A294" s="7">
        <f>DATE(YEAR(m6_crossvalid[[#This Row],[cutoff]]),MONTH(m6_crossvalid[[#This Row],[cutoff]]),DAY(m6_crossvalid[[#This Row],[cutoff]]))</f>
        <v>45930</v>
      </c>
      <c r="B294" s="7">
        <f>DATE(YEAR(m6_crossvalid[[#This Row],[ds]]),MONTH(m6_crossvalid[[#This Row],[ds]]),DAY(m6_crossvalid[[#This Row],[ds]]))</f>
        <v>45944</v>
      </c>
      <c r="C294">
        <v>2958.0000000000005</v>
      </c>
      <c r="D294" s="1">
        <v>45944.333333333336</v>
      </c>
      <c r="E294">
        <v>2229.3910168295224</v>
      </c>
      <c r="F294">
        <v>1099.9970872106626</v>
      </c>
      <c r="G294">
        <v>4462.5746023047705</v>
      </c>
      <c r="H294" s="1">
        <v>45930.333333333336</v>
      </c>
    </row>
    <row r="295" spans="1:8" x14ac:dyDescent="0.25">
      <c r="A295" s="7">
        <f>DATE(YEAR(m6_crossvalid[[#This Row],[cutoff]]),MONTH(m6_crossvalid[[#This Row],[cutoff]]),DAY(m6_crossvalid[[#This Row],[cutoff]]))</f>
        <v>45930</v>
      </c>
      <c r="B295" s="7">
        <f>DATE(YEAR(m6_crossvalid[[#This Row],[ds]]),MONTH(m6_crossvalid[[#This Row],[ds]]),DAY(m6_crossvalid[[#This Row],[ds]]))</f>
        <v>45945</v>
      </c>
      <c r="C295">
        <v>3074.0000000000023</v>
      </c>
      <c r="D295" s="1">
        <v>45945.333333333336</v>
      </c>
      <c r="E295">
        <v>2466.8236568658967</v>
      </c>
      <c r="F295">
        <v>1265.7047011948875</v>
      </c>
      <c r="G295">
        <v>4959.4325985149226</v>
      </c>
      <c r="H295" s="1">
        <v>45930.333333333336</v>
      </c>
    </row>
    <row r="296" spans="1:8" x14ac:dyDescent="0.25">
      <c r="A296" s="7">
        <f>DATE(YEAR(m6_crossvalid[[#This Row],[cutoff]]),MONTH(m6_crossvalid[[#This Row],[cutoff]]),DAY(m6_crossvalid[[#This Row],[cutoff]]))</f>
        <v>45930</v>
      </c>
      <c r="B296" s="7">
        <f>DATE(YEAR(m6_crossvalid[[#This Row],[ds]]),MONTH(m6_crossvalid[[#This Row],[ds]]),DAY(m6_crossvalid[[#This Row],[ds]]))</f>
        <v>45946</v>
      </c>
      <c r="C296">
        <v>3505</v>
      </c>
      <c r="D296" s="1">
        <v>45946.333333333336</v>
      </c>
      <c r="E296">
        <v>2590.6501372759853</v>
      </c>
      <c r="F296">
        <v>1283.4449379735274</v>
      </c>
      <c r="G296">
        <v>5180.3507010191852</v>
      </c>
      <c r="H296" s="1">
        <v>45930.333333333336</v>
      </c>
    </row>
    <row r="297" spans="1:8" x14ac:dyDescent="0.25">
      <c r="A297" s="7">
        <f>DATE(YEAR(m6_crossvalid[[#This Row],[cutoff]]),MONTH(m6_crossvalid[[#This Row],[cutoff]]),DAY(m6_crossvalid[[#This Row],[cutoff]]))</f>
        <v>45930</v>
      </c>
      <c r="B297" s="7">
        <f>DATE(YEAR(m6_crossvalid[[#This Row],[ds]]),MONTH(m6_crossvalid[[#This Row],[ds]]),DAY(m6_crossvalid[[#This Row],[ds]]))</f>
        <v>45947</v>
      </c>
      <c r="C297">
        <v>3629.9999999999982</v>
      </c>
      <c r="D297" s="1">
        <v>45947.333333333336</v>
      </c>
      <c r="E297">
        <v>2506.7482090204344</v>
      </c>
      <c r="F297">
        <v>1262.5751885471004</v>
      </c>
      <c r="G297">
        <v>4897.2347073300234</v>
      </c>
      <c r="H297" s="1">
        <v>45930.333333333336</v>
      </c>
    </row>
    <row r="298" spans="1:8" x14ac:dyDescent="0.25">
      <c r="A298" s="7">
        <f>DATE(YEAR(m6_crossvalid[[#This Row],[cutoff]]),MONTH(m6_crossvalid[[#This Row],[cutoff]]),DAY(m6_crossvalid[[#This Row],[cutoff]]))</f>
        <v>45930</v>
      </c>
      <c r="B298" s="7">
        <f>DATE(YEAR(m6_crossvalid[[#This Row],[ds]]),MONTH(m6_crossvalid[[#This Row],[ds]]),DAY(m6_crossvalid[[#This Row],[ds]]))</f>
        <v>45948</v>
      </c>
      <c r="C298">
        <v>653.00000000000011</v>
      </c>
      <c r="D298" s="1">
        <v>45948.333333333336</v>
      </c>
      <c r="E298">
        <v>448.39128162336834</v>
      </c>
      <c r="F298">
        <v>229.62463374570186</v>
      </c>
      <c r="G298">
        <v>909.65689833200452</v>
      </c>
      <c r="H298" s="1">
        <v>45930.333333333336</v>
      </c>
    </row>
    <row r="299" spans="1:8" x14ac:dyDescent="0.25">
      <c r="A299" s="7">
        <f>DATE(YEAR(m6_crossvalid[[#This Row],[cutoff]]),MONTH(m6_crossvalid[[#This Row],[cutoff]]),DAY(m6_crossvalid[[#This Row],[cutoff]]))</f>
        <v>45930</v>
      </c>
      <c r="B299" s="7">
        <f>DATE(YEAR(m6_crossvalid[[#This Row],[ds]]),MONTH(m6_crossvalid[[#This Row],[ds]]),DAY(m6_crossvalid[[#This Row],[ds]]))</f>
        <v>45949</v>
      </c>
      <c r="C299">
        <v>180.00000000000006</v>
      </c>
      <c r="D299" s="1">
        <v>45949.333333333336</v>
      </c>
      <c r="E299">
        <v>178.54178106808868</v>
      </c>
      <c r="F299">
        <v>83.520528132236805</v>
      </c>
      <c r="G299">
        <v>348.04710252909257</v>
      </c>
      <c r="H299" s="1">
        <v>45930.333333333336</v>
      </c>
    </row>
    <row r="300" spans="1:8" x14ac:dyDescent="0.25">
      <c r="A300" s="7">
        <f>DATE(YEAR(m6_crossvalid[[#This Row],[cutoff]]),MONTH(m6_crossvalid[[#This Row],[cutoff]]),DAY(m6_crossvalid[[#This Row],[cutoff]]))</f>
        <v>45930</v>
      </c>
      <c r="B300" s="7">
        <f>DATE(YEAR(m6_crossvalid[[#This Row],[ds]]),MONTH(m6_crossvalid[[#This Row],[ds]]),DAY(m6_crossvalid[[#This Row],[ds]]))</f>
        <v>45950</v>
      </c>
      <c r="C300">
        <v>249.99999999999989</v>
      </c>
      <c r="D300" s="1">
        <v>45950.333333333336</v>
      </c>
      <c r="E300">
        <v>239.68165042341656</v>
      </c>
      <c r="F300">
        <v>130.82141915571086</v>
      </c>
      <c r="G300">
        <v>454.40984359243225</v>
      </c>
      <c r="H300" s="1">
        <v>45930.333333333336</v>
      </c>
    </row>
    <row r="301" spans="1:8" x14ac:dyDescent="0.25">
      <c r="A301" s="7">
        <f>DATE(YEAR(m6_crossvalid[[#This Row],[cutoff]]),MONTH(m6_crossvalid[[#This Row],[cutoff]]),DAY(m6_crossvalid[[#This Row],[cutoff]]))</f>
        <v>45930</v>
      </c>
      <c r="B301" s="7">
        <f>DATE(YEAR(m6_crossvalid[[#This Row],[ds]]),MONTH(m6_crossvalid[[#This Row],[ds]]),DAY(m6_crossvalid[[#This Row],[ds]]))</f>
        <v>45951</v>
      </c>
      <c r="C301">
        <v>2796.9999999999991</v>
      </c>
      <c r="D301" s="1">
        <v>45951.333333333336</v>
      </c>
      <c r="E301">
        <v>3070.9837950433898</v>
      </c>
      <c r="F301">
        <v>1639.3394135828214</v>
      </c>
      <c r="G301">
        <v>6148.066830097081</v>
      </c>
      <c r="H301" s="1">
        <v>45930.333333333336</v>
      </c>
    </row>
    <row r="302" spans="1:8" x14ac:dyDescent="0.25">
      <c r="A302" s="7">
        <f>DATE(YEAR(m6_crossvalid[[#This Row],[cutoff]]),MONTH(m6_crossvalid[[#This Row],[cutoff]]),DAY(m6_crossvalid[[#This Row],[cutoff]]))</f>
        <v>45930</v>
      </c>
      <c r="B302" s="7">
        <f>DATE(YEAR(m6_crossvalid[[#This Row],[ds]]),MONTH(m6_crossvalid[[#This Row],[ds]]),DAY(m6_crossvalid[[#This Row],[ds]]))</f>
        <v>45952</v>
      </c>
      <c r="C302">
        <v>3643.9999999999977</v>
      </c>
      <c r="D302" s="1">
        <v>45952.333333333336</v>
      </c>
      <c r="E302">
        <v>3368.998191894535</v>
      </c>
      <c r="F302">
        <v>1726.0206585433468</v>
      </c>
      <c r="G302">
        <v>6510.6235693982417</v>
      </c>
      <c r="H302" s="1">
        <v>45930.333333333336</v>
      </c>
    </row>
    <row r="303" spans="1:8" x14ac:dyDescent="0.25">
      <c r="A303" s="7">
        <f>DATE(YEAR(m6_crossvalid[[#This Row],[cutoff]]),MONTH(m6_crossvalid[[#This Row],[cutoff]]),DAY(m6_crossvalid[[#This Row],[cutoff]]))</f>
        <v>45930</v>
      </c>
      <c r="B303" s="7">
        <f>DATE(YEAR(m6_crossvalid[[#This Row],[ds]]),MONTH(m6_crossvalid[[#This Row],[ds]]),DAY(m6_crossvalid[[#This Row],[ds]]))</f>
        <v>45953</v>
      </c>
      <c r="C303">
        <v>4008.9999999999977</v>
      </c>
      <c r="D303" s="1">
        <v>45953.333333333336</v>
      </c>
      <c r="E303">
        <v>3705.3973172004744</v>
      </c>
      <c r="F303">
        <v>1952.5864737810241</v>
      </c>
      <c r="G303">
        <v>7489.5213029207689</v>
      </c>
      <c r="H303" s="1">
        <v>45930.333333333336</v>
      </c>
    </row>
    <row r="304" spans="1:8" x14ac:dyDescent="0.25">
      <c r="A304" s="7">
        <f>DATE(YEAR(m6_crossvalid[[#This Row],[cutoff]]),MONTH(m6_crossvalid[[#This Row],[cutoff]]),DAY(m6_crossvalid[[#This Row],[cutoff]]))</f>
        <v>45930</v>
      </c>
      <c r="B304" s="7">
        <f>DATE(YEAR(m6_crossvalid[[#This Row],[ds]]),MONTH(m6_crossvalid[[#This Row],[ds]]),DAY(m6_crossvalid[[#This Row],[ds]]))</f>
        <v>45954</v>
      </c>
      <c r="C304">
        <v>4008.0000000000032</v>
      </c>
      <c r="D304" s="1">
        <v>45954.333333333336</v>
      </c>
      <c r="E304">
        <v>3769.1108295812305</v>
      </c>
      <c r="F304">
        <v>1980.4413050182145</v>
      </c>
      <c r="G304">
        <v>7065.4729447063628</v>
      </c>
      <c r="H304" s="1">
        <v>45930.333333333336</v>
      </c>
    </row>
    <row r="305" spans="1:8" x14ac:dyDescent="0.25">
      <c r="A305" s="7">
        <f>DATE(YEAR(m6_crossvalid[[#This Row],[cutoff]]),MONTH(m6_crossvalid[[#This Row],[cutoff]]),DAY(m6_crossvalid[[#This Row],[cutoff]]))</f>
        <v>45930</v>
      </c>
      <c r="B305" s="7">
        <f>DATE(YEAR(m6_crossvalid[[#This Row],[ds]]),MONTH(m6_crossvalid[[#This Row],[ds]]),DAY(m6_crossvalid[[#This Row],[ds]]))</f>
        <v>45955</v>
      </c>
      <c r="C305">
        <v>971</v>
      </c>
      <c r="D305" s="1">
        <v>45955.333333333336</v>
      </c>
      <c r="E305">
        <v>672.01301149643848</v>
      </c>
      <c r="F305">
        <v>339.52603603984267</v>
      </c>
      <c r="G305">
        <v>1357.1052624365475</v>
      </c>
      <c r="H305" s="1">
        <v>45930.333333333336</v>
      </c>
    </row>
    <row r="306" spans="1:8" x14ac:dyDescent="0.25">
      <c r="A306" s="7">
        <f>DATE(YEAR(m6_crossvalid[[#This Row],[cutoff]]),MONTH(m6_crossvalid[[#This Row],[cutoff]]),DAY(m6_crossvalid[[#This Row],[cutoff]]))</f>
        <v>45930</v>
      </c>
      <c r="B306" s="7">
        <f>DATE(YEAR(m6_crossvalid[[#This Row],[ds]]),MONTH(m6_crossvalid[[#This Row],[ds]]),DAY(m6_crossvalid[[#This Row],[ds]]))</f>
        <v>45956</v>
      </c>
      <c r="C306">
        <v>238.00000000000009</v>
      </c>
      <c r="D306" s="1">
        <v>45956.333333333336</v>
      </c>
      <c r="E306">
        <v>248.81154639812598</v>
      </c>
      <c r="F306">
        <v>125.0366739517054</v>
      </c>
      <c r="G306">
        <v>480.11322183625447</v>
      </c>
      <c r="H306" s="1">
        <v>45930.333333333336</v>
      </c>
    </row>
    <row r="307" spans="1:8" x14ac:dyDescent="0.25">
      <c r="A307" s="7">
        <f>DATE(YEAR(m6_crossvalid[[#This Row],[cutoff]]),MONTH(m6_crossvalid[[#This Row],[cutoff]]),DAY(m6_crossvalid[[#This Row],[cutoff]]))</f>
        <v>45930</v>
      </c>
      <c r="B307" s="7">
        <f>DATE(YEAR(m6_crossvalid[[#This Row],[ds]]),MONTH(m6_crossvalid[[#This Row],[ds]]),DAY(m6_crossvalid[[#This Row],[ds]]))</f>
        <v>45957</v>
      </c>
      <c r="C307">
        <v>4219.0000000000018</v>
      </c>
      <c r="D307" s="1">
        <v>45957.333333333336</v>
      </c>
      <c r="E307">
        <v>5967.0805043337596</v>
      </c>
      <c r="F307">
        <v>3078.6274713777143</v>
      </c>
      <c r="G307">
        <v>12233.287762540729</v>
      </c>
      <c r="H307" s="1">
        <v>45930.333333333336</v>
      </c>
    </row>
    <row r="308" spans="1:8" x14ac:dyDescent="0.25">
      <c r="A308" s="7">
        <f>DATE(YEAR(m6_crossvalid[[#This Row],[cutoff]]),MONTH(m6_crossvalid[[#This Row],[cutoff]]),DAY(m6_crossvalid[[#This Row],[cutoff]]))</f>
        <v>45930</v>
      </c>
      <c r="B308" s="7">
        <f>DATE(YEAR(m6_crossvalid[[#This Row],[ds]]),MONTH(m6_crossvalid[[#This Row],[ds]]),DAY(m6_crossvalid[[#This Row],[ds]]))</f>
        <v>45958</v>
      </c>
      <c r="C308">
        <v>5658.9999999999973</v>
      </c>
      <c r="D308" s="1">
        <v>45958.333333333336</v>
      </c>
      <c r="E308">
        <v>6923.9642123167869</v>
      </c>
      <c r="F308">
        <v>3453.3529348889797</v>
      </c>
      <c r="G308">
        <v>13926.97147505947</v>
      </c>
      <c r="H308" s="1">
        <v>45930.333333333336</v>
      </c>
    </row>
    <row r="309" spans="1:8" x14ac:dyDescent="0.25">
      <c r="A309" s="7">
        <f>DATE(YEAR(m6_crossvalid[[#This Row],[cutoff]]),MONTH(m6_crossvalid[[#This Row],[cutoff]]),DAY(m6_crossvalid[[#This Row],[cutoff]]))</f>
        <v>45930</v>
      </c>
      <c r="B309" s="7">
        <f>DATE(YEAR(m6_crossvalid[[#This Row],[ds]]),MONTH(m6_crossvalid[[#This Row],[ds]]),DAY(m6_crossvalid[[#This Row],[ds]]))</f>
        <v>45959</v>
      </c>
      <c r="C309">
        <v>6381.0000000000036</v>
      </c>
      <c r="D309" s="1">
        <v>45959.333333333336</v>
      </c>
      <c r="E309">
        <v>6890.7866671245856</v>
      </c>
      <c r="F309">
        <v>3746.1933178474387</v>
      </c>
      <c r="G309">
        <v>13050.240159922027</v>
      </c>
      <c r="H309" s="1">
        <v>45930.333333333336</v>
      </c>
    </row>
    <row r="310" spans="1:8" x14ac:dyDescent="0.25">
      <c r="A310" s="7">
        <f>DATE(YEAR(m6_crossvalid[[#This Row],[cutoff]]),MONTH(m6_crossvalid[[#This Row],[cutoff]]),DAY(m6_crossvalid[[#This Row],[cutoff]]))</f>
        <v>45930</v>
      </c>
      <c r="B310" s="7">
        <f>DATE(YEAR(m6_crossvalid[[#This Row],[ds]]),MONTH(m6_crossvalid[[#This Row],[ds]]),DAY(m6_crossvalid[[#This Row],[ds]]))</f>
        <v>45960</v>
      </c>
      <c r="C310">
        <v>7936.0000000000027</v>
      </c>
      <c r="D310" s="1">
        <v>45960.333333333336</v>
      </c>
      <c r="E310">
        <v>12589.099101119511</v>
      </c>
      <c r="F310">
        <v>6418.9223973631579</v>
      </c>
      <c r="G310">
        <v>25652.864497435723</v>
      </c>
      <c r="H310" s="1">
        <v>45930.333333333336</v>
      </c>
    </row>
    <row r="311" spans="1:8" x14ac:dyDescent="0.25">
      <c r="A311" s="7">
        <f>DATE(YEAR(m6_crossvalid[[#This Row],[cutoff]]),MONTH(m6_crossvalid[[#This Row],[cutoff]]),DAY(m6_crossvalid[[#This Row],[cutoff]]))</f>
        <v>45930</v>
      </c>
      <c r="B311" s="7">
        <f>DATE(YEAR(m6_crossvalid[[#This Row],[ds]]),MONTH(m6_crossvalid[[#This Row],[ds]]),DAY(m6_crossvalid[[#This Row],[ds]]))</f>
        <v>45961</v>
      </c>
      <c r="C311">
        <v>13385.999999999996</v>
      </c>
      <c r="D311" s="1">
        <v>45961.333333333336</v>
      </c>
      <c r="E311">
        <v>17196.973163713399</v>
      </c>
      <c r="F311">
        <v>9114.4944418285068</v>
      </c>
      <c r="G311">
        <v>32637.833331488997</v>
      </c>
      <c r="H311" s="1">
        <v>45930.333333333336</v>
      </c>
    </row>
    <row r="312" spans="1:8" x14ac:dyDescent="0.25">
      <c r="A312" s="7">
        <f>DATE(YEAR(m6_crossvalid[[#This Row],[cutoff]]),MONTH(m6_crossvalid[[#This Row],[cutoff]]),DAY(m6_crossvalid[[#This Row],[cutoff]]))</f>
        <v>45961</v>
      </c>
      <c r="B312" s="7">
        <f>DATE(YEAR(m6_crossvalid[[#This Row],[ds]]),MONTH(m6_crossvalid[[#This Row],[ds]]),DAY(m6_crossvalid[[#This Row],[ds]]))</f>
        <v>45962</v>
      </c>
      <c r="C312">
        <v>103.99999999999997</v>
      </c>
      <c r="D312" s="1">
        <v>45962.333333333336</v>
      </c>
      <c r="E312">
        <v>167.02770986574691</v>
      </c>
      <c r="F312">
        <v>82.094010112593054</v>
      </c>
      <c r="G312">
        <v>317.26571051014088</v>
      </c>
      <c r="H312" s="1">
        <v>45961.333333333336</v>
      </c>
    </row>
    <row r="313" spans="1:8" x14ac:dyDescent="0.25">
      <c r="A313" s="7">
        <f>DATE(YEAR(m6_crossvalid[[#This Row],[cutoff]]),MONTH(m6_crossvalid[[#This Row],[cutoff]]),DAY(m6_crossvalid[[#This Row],[cutoff]]))</f>
        <v>45961</v>
      </c>
      <c r="B313" s="7">
        <f>DATE(YEAR(m6_crossvalid[[#This Row],[ds]]),MONTH(m6_crossvalid[[#This Row],[ds]]),DAY(m6_crossvalid[[#This Row],[ds]]))</f>
        <v>45963</v>
      </c>
      <c r="C313">
        <v>32</v>
      </c>
      <c r="D313" s="1">
        <v>45963.333333333336</v>
      </c>
      <c r="E313">
        <v>36.111312743344257</v>
      </c>
      <c r="F313">
        <v>17.879658045541994</v>
      </c>
      <c r="G313">
        <v>71.596705720374956</v>
      </c>
      <c r="H313" s="1">
        <v>45961.333333333336</v>
      </c>
    </row>
    <row r="314" spans="1:8" x14ac:dyDescent="0.25">
      <c r="A314" s="7">
        <f>DATE(YEAR(m6_crossvalid[[#This Row],[cutoff]]),MONTH(m6_crossvalid[[#This Row],[cutoff]]),DAY(m6_crossvalid[[#This Row],[cutoff]]))</f>
        <v>45961</v>
      </c>
      <c r="B314" s="7">
        <f>DATE(YEAR(m6_crossvalid[[#This Row],[ds]]),MONTH(m6_crossvalid[[#This Row],[ds]]),DAY(m6_crossvalid[[#This Row],[ds]]))</f>
        <v>45964</v>
      </c>
      <c r="C314">
        <v>607.00000000000011</v>
      </c>
      <c r="D314" s="1">
        <v>45964.333333333336</v>
      </c>
      <c r="E314">
        <v>672.75393492919966</v>
      </c>
      <c r="F314">
        <v>345.03776573433339</v>
      </c>
      <c r="G314">
        <v>1349.4470445813777</v>
      </c>
      <c r="H314" s="1">
        <v>45961.333333333336</v>
      </c>
    </row>
    <row r="315" spans="1:8" x14ac:dyDescent="0.25">
      <c r="A315" s="7">
        <f>DATE(YEAR(m6_crossvalid[[#This Row],[cutoff]]),MONTH(m6_crossvalid[[#This Row],[cutoff]]),DAY(m6_crossvalid[[#This Row],[cutoff]]))</f>
        <v>45961</v>
      </c>
      <c r="B315" s="7">
        <f>DATE(YEAR(m6_crossvalid[[#This Row],[ds]]),MONTH(m6_crossvalid[[#This Row],[ds]]),DAY(m6_crossvalid[[#This Row],[ds]]))</f>
        <v>45965</v>
      </c>
      <c r="C315">
        <v>820.99999999999977</v>
      </c>
      <c r="D315" s="1">
        <v>45965.333333333336</v>
      </c>
      <c r="E315">
        <v>803.76222300277914</v>
      </c>
      <c r="F315">
        <v>402.40296364358812</v>
      </c>
      <c r="G315">
        <v>1669.6558169899179</v>
      </c>
      <c r="H315" s="1">
        <v>45961.333333333336</v>
      </c>
    </row>
    <row r="316" spans="1:8" x14ac:dyDescent="0.25">
      <c r="A316" s="7">
        <f>DATE(YEAR(m6_crossvalid[[#This Row],[cutoff]]),MONTH(m6_crossvalid[[#This Row],[cutoff]]),DAY(m6_crossvalid[[#This Row],[cutoff]]))</f>
        <v>45961</v>
      </c>
      <c r="B316" s="7">
        <f>DATE(YEAR(m6_crossvalid[[#This Row],[ds]]),MONTH(m6_crossvalid[[#This Row],[ds]]),DAY(m6_crossvalid[[#This Row],[ds]]))</f>
        <v>45966</v>
      </c>
      <c r="C316">
        <v>1032</v>
      </c>
      <c r="D316" s="1">
        <v>45966.333333333336</v>
      </c>
      <c r="E316">
        <v>900.15031308300001</v>
      </c>
      <c r="F316">
        <v>458.9147389569406</v>
      </c>
      <c r="G316">
        <v>1705.8897556545642</v>
      </c>
      <c r="H316" s="1">
        <v>45961.333333333336</v>
      </c>
    </row>
    <row r="317" spans="1:8" x14ac:dyDescent="0.25">
      <c r="A317" s="7">
        <f>DATE(YEAR(m6_crossvalid[[#This Row],[cutoff]]),MONTH(m6_crossvalid[[#This Row],[cutoff]]),DAY(m6_crossvalid[[#This Row],[cutoff]]))</f>
        <v>45961</v>
      </c>
      <c r="B317" s="7">
        <f>DATE(YEAR(m6_crossvalid[[#This Row],[ds]]),MONTH(m6_crossvalid[[#This Row],[ds]]),DAY(m6_crossvalid[[#This Row],[ds]]))</f>
        <v>45967</v>
      </c>
      <c r="C317">
        <v>1396</v>
      </c>
      <c r="D317" s="1">
        <v>45967.333333333336</v>
      </c>
      <c r="E317">
        <v>1019.3598670500048</v>
      </c>
      <c r="F317">
        <v>499.41196007711079</v>
      </c>
      <c r="G317">
        <v>1972.1615888917802</v>
      </c>
      <c r="H317" s="1">
        <v>45961.333333333336</v>
      </c>
    </row>
    <row r="318" spans="1:8" x14ac:dyDescent="0.25">
      <c r="A318" s="7">
        <f>DATE(YEAR(m6_crossvalid[[#This Row],[cutoff]]),MONTH(m6_crossvalid[[#This Row],[cutoff]]),DAY(m6_crossvalid[[#This Row],[cutoff]]))</f>
        <v>45961</v>
      </c>
      <c r="B318" s="7">
        <f>DATE(YEAR(m6_crossvalid[[#This Row],[ds]]),MONTH(m6_crossvalid[[#This Row],[ds]]),DAY(m6_crossvalid[[#This Row],[ds]]))</f>
        <v>45968</v>
      </c>
      <c r="C318">
        <v>1612.0000000000005</v>
      </c>
      <c r="D318" s="1">
        <v>45968.333333333336</v>
      </c>
      <c r="E318">
        <v>985.27887731879389</v>
      </c>
      <c r="F318">
        <v>493.87430519616089</v>
      </c>
      <c r="G318">
        <v>2009.4528457303679</v>
      </c>
      <c r="H318" s="1">
        <v>45961.333333333336</v>
      </c>
    </row>
    <row r="319" spans="1:8" x14ac:dyDescent="0.25">
      <c r="A319" s="7">
        <f>DATE(YEAR(m6_crossvalid[[#This Row],[cutoff]]),MONTH(m6_crossvalid[[#This Row],[cutoff]]),DAY(m6_crossvalid[[#This Row],[cutoff]]))</f>
        <v>45961</v>
      </c>
      <c r="B319" s="7">
        <f>DATE(YEAR(m6_crossvalid[[#This Row],[ds]]),MONTH(m6_crossvalid[[#This Row],[ds]]),DAY(m6_crossvalid[[#This Row],[ds]]))</f>
        <v>45969</v>
      </c>
      <c r="C319">
        <v>205.99999999999994</v>
      </c>
      <c r="D319" s="1">
        <v>45969.333333333336</v>
      </c>
      <c r="E319">
        <v>307.91626544989572</v>
      </c>
      <c r="F319">
        <v>147.74016125194876</v>
      </c>
      <c r="G319">
        <v>656.46391015494748</v>
      </c>
      <c r="H319" s="1">
        <v>45961.333333333336</v>
      </c>
    </row>
    <row r="320" spans="1:8" x14ac:dyDescent="0.25">
      <c r="A320" s="7">
        <f>DATE(YEAR(m6_crossvalid[[#This Row],[cutoff]]),MONTH(m6_crossvalid[[#This Row],[cutoff]]),DAY(m6_crossvalid[[#This Row],[cutoff]]))</f>
        <v>45961</v>
      </c>
      <c r="B320" s="7">
        <f>DATE(YEAR(m6_crossvalid[[#This Row],[ds]]),MONTH(m6_crossvalid[[#This Row],[ds]]),DAY(m6_crossvalid[[#This Row],[ds]]))</f>
        <v>45970</v>
      </c>
      <c r="C320">
        <v>94.999999999999986</v>
      </c>
      <c r="D320" s="1">
        <v>45970.333333333336</v>
      </c>
      <c r="E320">
        <v>103.10859317965537</v>
      </c>
      <c r="F320">
        <v>53.477881605661395</v>
      </c>
      <c r="G320">
        <v>203.33626634158699</v>
      </c>
      <c r="H320" s="1">
        <v>45961.333333333336</v>
      </c>
    </row>
    <row r="321" spans="1:8" x14ac:dyDescent="0.25">
      <c r="A321" s="7">
        <f>DATE(YEAR(m6_crossvalid[[#This Row],[cutoff]]),MONTH(m6_crossvalid[[#This Row],[cutoff]]),DAY(m6_crossvalid[[#This Row],[cutoff]]))</f>
        <v>45961</v>
      </c>
      <c r="B321" s="7">
        <f>DATE(YEAR(m6_crossvalid[[#This Row],[ds]]),MONTH(m6_crossvalid[[#This Row],[ds]]),DAY(m6_crossvalid[[#This Row],[ds]]))</f>
        <v>45971</v>
      </c>
      <c r="C321">
        <v>1551.9999999999998</v>
      </c>
      <c r="D321" s="1">
        <v>45971.333333333336</v>
      </c>
      <c r="E321">
        <v>1263.6930561527222</v>
      </c>
      <c r="F321">
        <v>633.81269574334226</v>
      </c>
      <c r="G321">
        <v>2594.32058107904</v>
      </c>
      <c r="H321" s="1">
        <v>45961.333333333336</v>
      </c>
    </row>
    <row r="322" spans="1:8" x14ac:dyDescent="0.25">
      <c r="A322" s="7">
        <f>DATE(YEAR(m6_crossvalid[[#This Row],[cutoff]]),MONTH(m6_crossvalid[[#This Row],[cutoff]]),DAY(m6_crossvalid[[#This Row],[cutoff]]))</f>
        <v>45961</v>
      </c>
      <c r="B322" s="7">
        <f>DATE(YEAR(m6_crossvalid[[#This Row],[ds]]),MONTH(m6_crossvalid[[#This Row],[ds]]),DAY(m6_crossvalid[[#This Row],[ds]]))</f>
        <v>45972</v>
      </c>
      <c r="C322">
        <v>1937.0000000000005</v>
      </c>
      <c r="D322" s="1">
        <v>45972.333333333336</v>
      </c>
      <c r="E322">
        <v>1684.0248620979626</v>
      </c>
      <c r="F322">
        <v>898.92444659915225</v>
      </c>
      <c r="G322">
        <v>3541.8701635782754</v>
      </c>
      <c r="H322" s="1">
        <v>45961.333333333336</v>
      </c>
    </row>
    <row r="323" spans="1:8" x14ac:dyDescent="0.25">
      <c r="A323" s="7">
        <f>DATE(YEAR(m6_crossvalid[[#This Row],[cutoff]]),MONTH(m6_crossvalid[[#This Row],[cutoff]]),DAY(m6_crossvalid[[#This Row],[cutoff]]))</f>
        <v>45961</v>
      </c>
      <c r="B323" s="7">
        <f>DATE(YEAR(m6_crossvalid[[#This Row],[ds]]),MONTH(m6_crossvalid[[#This Row],[ds]]),DAY(m6_crossvalid[[#This Row],[ds]]))</f>
        <v>45973</v>
      </c>
      <c r="C323">
        <v>2198</v>
      </c>
      <c r="D323" s="1">
        <v>45973.333333333336</v>
      </c>
      <c r="E323">
        <v>2017.5766748313106</v>
      </c>
      <c r="F323">
        <v>1073.2323074196254</v>
      </c>
      <c r="G323">
        <v>3924.0748383605219</v>
      </c>
      <c r="H323" s="1">
        <v>45961.333333333336</v>
      </c>
    </row>
    <row r="324" spans="1:8" x14ac:dyDescent="0.25">
      <c r="A324" s="7">
        <f>DATE(YEAR(m6_crossvalid[[#This Row],[cutoff]]),MONTH(m6_crossvalid[[#This Row],[cutoff]]),DAY(m6_crossvalid[[#This Row],[cutoff]]))</f>
        <v>45961</v>
      </c>
      <c r="B324" s="7">
        <f>DATE(YEAR(m6_crossvalid[[#This Row],[ds]]),MONTH(m6_crossvalid[[#This Row],[ds]]),DAY(m6_crossvalid[[#This Row],[ds]]))</f>
        <v>45974</v>
      </c>
      <c r="C324">
        <v>2401.0000000000005</v>
      </c>
      <c r="D324" s="1">
        <v>45974.333333333336</v>
      </c>
      <c r="E324">
        <v>2337.95745797379</v>
      </c>
      <c r="F324">
        <v>1203.4951658650887</v>
      </c>
      <c r="G324">
        <v>4570.6883866032367</v>
      </c>
      <c r="H324" s="1">
        <v>45961.333333333336</v>
      </c>
    </row>
    <row r="325" spans="1:8" x14ac:dyDescent="0.25">
      <c r="A325" s="7">
        <f>DATE(YEAR(m6_crossvalid[[#This Row],[cutoff]]),MONTH(m6_crossvalid[[#This Row],[cutoff]]),DAY(m6_crossvalid[[#This Row],[cutoff]]))</f>
        <v>45961</v>
      </c>
      <c r="B325" s="7">
        <f>DATE(YEAR(m6_crossvalid[[#This Row],[ds]]),MONTH(m6_crossvalid[[#This Row],[ds]]),DAY(m6_crossvalid[[#This Row],[ds]]))</f>
        <v>45975</v>
      </c>
      <c r="C325">
        <v>2547</v>
      </c>
      <c r="D325" s="1">
        <v>45975.333333333336</v>
      </c>
      <c r="E325">
        <v>2292.6818315826381</v>
      </c>
      <c r="F325">
        <v>1144.9515136460107</v>
      </c>
      <c r="G325">
        <v>4506.0192070018029</v>
      </c>
      <c r="H325" s="1">
        <v>45961.333333333336</v>
      </c>
    </row>
    <row r="326" spans="1:8" x14ac:dyDescent="0.25">
      <c r="A326" s="7">
        <f>DATE(YEAR(m6_crossvalid[[#This Row],[cutoff]]),MONTH(m6_crossvalid[[#This Row],[cutoff]]),DAY(m6_crossvalid[[#This Row],[cutoff]]))</f>
        <v>45961</v>
      </c>
      <c r="B326" s="7">
        <f>DATE(YEAR(m6_crossvalid[[#This Row],[ds]]),MONTH(m6_crossvalid[[#This Row],[ds]]),DAY(m6_crossvalid[[#This Row],[ds]]))</f>
        <v>45976</v>
      </c>
      <c r="C326">
        <v>773.00000000000023</v>
      </c>
      <c r="D326" s="1">
        <v>45976.333333333336</v>
      </c>
      <c r="E326">
        <v>382.20877682486076</v>
      </c>
      <c r="F326">
        <v>198.45155012481626</v>
      </c>
      <c r="G326">
        <v>742.51579758331025</v>
      </c>
      <c r="H326" s="1">
        <v>45961.333333333336</v>
      </c>
    </row>
    <row r="327" spans="1:8" x14ac:dyDescent="0.25">
      <c r="A327" s="7">
        <f>DATE(YEAR(m6_crossvalid[[#This Row],[cutoff]]),MONTH(m6_crossvalid[[#This Row],[cutoff]]),DAY(m6_crossvalid[[#This Row],[cutoff]]))</f>
        <v>45961</v>
      </c>
      <c r="B327" s="7">
        <f>DATE(YEAR(m6_crossvalid[[#This Row],[ds]]),MONTH(m6_crossvalid[[#This Row],[ds]]),DAY(m6_crossvalid[[#This Row],[ds]]))</f>
        <v>45977</v>
      </c>
      <c r="C327">
        <v>113.00000000000003</v>
      </c>
      <c r="D327" s="1">
        <v>45977.333333333336</v>
      </c>
      <c r="E327">
        <v>139.92131583544577</v>
      </c>
      <c r="F327">
        <v>70.921939661145856</v>
      </c>
      <c r="G327">
        <v>280.18799415284332</v>
      </c>
      <c r="H327" s="1">
        <v>45961.333333333336</v>
      </c>
    </row>
    <row r="328" spans="1:8" x14ac:dyDescent="0.25">
      <c r="A328" s="7">
        <f>DATE(YEAR(m6_crossvalid[[#This Row],[cutoff]]),MONTH(m6_crossvalid[[#This Row],[cutoff]]),DAY(m6_crossvalid[[#This Row],[cutoff]]))</f>
        <v>45961</v>
      </c>
      <c r="B328" s="7">
        <f>DATE(YEAR(m6_crossvalid[[#This Row],[ds]]),MONTH(m6_crossvalid[[#This Row],[ds]]),DAY(m6_crossvalid[[#This Row],[ds]]))</f>
        <v>45978</v>
      </c>
      <c r="C328">
        <v>2848.9999999999986</v>
      </c>
      <c r="D328" s="1">
        <v>45978.333333333336</v>
      </c>
      <c r="E328">
        <v>1861.4959355957249</v>
      </c>
      <c r="F328">
        <v>964.59944903614189</v>
      </c>
      <c r="G328">
        <v>3647.1379735625719</v>
      </c>
      <c r="H328" s="1">
        <v>45961.333333333336</v>
      </c>
    </row>
    <row r="329" spans="1:8" x14ac:dyDescent="0.25">
      <c r="A329" s="7">
        <f>DATE(YEAR(m6_crossvalid[[#This Row],[cutoff]]),MONTH(m6_crossvalid[[#This Row],[cutoff]]),DAY(m6_crossvalid[[#This Row],[cutoff]]))</f>
        <v>45961</v>
      </c>
      <c r="B329" s="7">
        <f>DATE(YEAR(m6_crossvalid[[#This Row],[ds]]),MONTH(m6_crossvalid[[#This Row],[ds]]),DAY(m6_crossvalid[[#This Row],[ds]]))</f>
        <v>45979</v>
      </c>
      <c r="C329">
        <v>3351.0000000000027</v>
      </c>
      <c r="D329" s="1">
        <v>45979.333333333336</v>
      </c>
      <c r="E329">
        <v>2549.2039823434816</v>
      </c>
      <c r="F329">
        <v>1287.5863418440365</v>
      </c>
      <c r="G329">
        <v>4710.7682588547896</v>
      </c>
      <c r="H329" s="1">
        <v>45961.333333333336</v>
      </c>
    </row>
    <row r="330" spans="1:8" x14ac:dyDescent="0.25">
      <c r="A330" s="7">
        <f>DATE(YEAR(m6_crossvalid[[#This Row],[cutoff]]),MONTH(m6_crossvalid[[#This Row],[cutoff]]),DAY(m6_crossvalid[[#This Row],[cutoff]]))</f>
        <v>45961</v>
      </c>
      <c r="B330" s="7">
        <f>DATE(YEAR(m6_crossvalid[[#This Row],[ds]]),MONTH(m6_crossvalid[[#This Row],[ds]]),DAY(m6_crossvalid[[#This Row],[ds]]))</f>
        <v>45980</v>
      </c>
      <c r="C330">
        <v>3248.0000000000009</v>
      </c>
      <c r="D330" s="1">
        <v>45980.333333333336</v>
      </c>
      <c r="E330">
        <v>2919.8273845878666</v>
      </c>
      <c r="F330">
        <v>1496.6830483511051</v>
      </c>
      <c r="G330">
        <v>5440.5458796884031</v>
      </c>
      <c r="H330" s="1">
        <v>45961.333333333336</v>
      </c>
    </row>
    <row r="331" spans="1:8" x14ac:dyDescent="0.25">
      <c r="A331" s="7">
        <f>DATE(YEAR(m6_crossvalid[[#This Row],[cutoff]]),MONTH(m6_crossvalid[[#This Row],[cutoff]]),DAY(m6_crossvalid[[#This Row],[cutoff]]))</f>
        <v>45961</v>
      </c>
      <c r="B331" s="7">
        <f>DATE(YEAR(m6_crossvalid[[#This Row],[ds]]),MONTH(m6_crossvalid[[#This Row],[ds]]),DAY(m6_crossvalid[[#This Row],[ds]]))</f>
        <v>45981</v>
      </c>
      <c r="C331">
        <v>3581.0000000000023</v>
      </c>
      <c r="D331" s="1">
        <v>45981.333333333336</v>
      </c>
      <c r="E331">
        <v>3136.6482941276768</v>
      </c>
      <c r="F331">
        <v>1546.5274045908511</v>
      </c>
      <c r="G331">
        <v>6207.6247849489182</v>
      </c>
      <c r="H331" s="1">
        <v>45961.333333333336</v>
      </c>
    </row>
    <row r="332" spans="1:8" x14ac:dyDescent="0.25">
      <c r="A332" s="7">
        <f>DATE(YEAR(m6_crossvalid[[#This Row],[cutoff]]),MONTH(m6_crossvalid[[#This Row],[cutoff]]),DAY(m6_crossvalid[[#This Row],[cutoff]]))</f>
        <v>45961</v>
      </c>
      <c r="B332" s="7">
        <f>DATE(YEAR(m6_crossvalid[[#This Row],[ds]]),MONTH(m6_crossvalid[[#This Row],[ds]]),DAY(m6_crossvalid[[#This Row],[ds]]))</f>
        <v>45982</v>
      </c>
      <c r="C332">
        <v>3621.9999999999973</v>
      </c>
      <c r="D332" s="1">
        <v>45982.333333333336</v>
      </c>
      <c r="E332">
        <v>2948.2240176489472</v>
      </c>
      <c r="F332">
        <v>1490.7482998453552</v>
      </c>
      <c r="G332">
        <v>5603.716615210792</v>
      </c>
      <c r="H332" s="1">
        <v>45961.333333333336</v>
      </c>
    </row>
    <row r="333" spans="1:8" x14ac:dyDescent="0.25">
      <c r="A333" s="7">
        <f>DATE(YEAR(m6_crossvalid[[#This Row],[cutoff]]),MONTH(m6_crossvalid[[#This Row],[cutoff]]),DAY(m6_crossvalid[[#This Row],[cutoff]]))</f>
        <v>45961</v>
      </c>
      <c r="B333" s="7">
        <f>DATE(YEAR(m6_crossvalid[[#This Row],[ds]]),MONTH(m6_crossvalid[[#This Row],[ds]]),DAY(m6_crossvalid[[#This Row],[ds]]))</f>
        <v>45983</v>
      </c>
      <c r="C333">
        <v>782.99999999999977</v>
      </c>
      <c r="D333" s="1">
        <v>45983.333333333336</v>
      </c>
      <c r="E333">
        <v>502.61279828375399</v>
      </c>
      <c r="F333">
        <v>254.79979057892061</v>
      </c>
      <c r="G333">
        <v>1003.4876505975977</v>
      </c>
      <c r="H333" s="1">
        <v>45961.333333333336</v>
      </c>
    </row>
    <row r="334" spans="1:8" x14ac:dyDescent="0.25">
      <c r="A334" s="7">
        <f>DATE(YEAR(m6_crossvalid[[#This Row],[cutoff]]),MONTH(m6_crossvalid[[#This Row],[cutoff]]),DAY(m6_crossvalid[[#This Row],[cutoff]]))</f>
        <v>45961</v>
      </c>
      <c r="B334" s="7">
        <f>DATE(YEAR(m6_crossvalid[[#This Row],[ds]]),MONTH(m6_crossvalid[[#This Row],[ds]]),DAY(m6_crossvalid[[#This Row],[ds]]))</f>
        <v>45984</v>
      </c>
      <c r="C334">
        <v>188.00000000000003</v>
      </c>
      <c r="D334" s="1">
        <v>45984.333333333336</v>
      </c>
      <c r="E334">
        <v>195.06997573481166</v>
      </c>
      <c r="F334">
        <v>101.90718592058555</v>
      </c>
      <c r="G334">
        <v>368.34204317145731</v>
      </c>
      <c r="H334" s="1">
        <v>45961.333333333336</v>
      </c>
    </row>
    <row r="335" spans="1:8" x14ac:dyDescent="0.25">
      <c r="A335" s="7">
        <f>DATE(YEAR(m6_crossvalid[[#This Row],[cutoff]]),MONTH(m6_crossvalid[[#This Row],[cutoff]]),DAY(m6_crossvalid[[#This Row],[cutoff]]))</f>
        <v>45961</v>
      </c>
      <c r="B335" s="7">
        <f>DATE(YEAR(m6_crossvalid[[#This Row],[ds]]),MONTH(m6_crossvalid[[#This Row],[ds]]),DAY(m6_crossvalid[[#This Row],[ds]]))</f>
        <v>45985</v>
      </c>
      <c r="C335">
        <v>3515.0000000000032</v>
      </c>
      <c r="D335" s="1">
        <v>45985.333333333336</v>
      </c>
      <c r="E335">
        <v>2668.8987225321362</v>
      </c>
      <c r="F335">
        <v>1304.3281934058914</v>
      </c>
      <c r="G335">
        <v>5122.5648513435272</v>
      </c>
      <c r="H335" s="1">
        <v>45961.333333333336</v>
      </c>
    </row>
    <row r="336" spans="1:8" x14ac:dyDescent="0.25">
      <c r="A336" s="7">
        <f>DATE(YEAR(m6_crossvalid[[#This Row],[cutoff]]),MONTH(m6_crossvalid[[#This Row],[cutoff]]),DAY(m6_crossvalid[[#This Row],[cutoff]]))</f>
        <v>45961</v>
      </c>
      <c r="B336" s="7">
        <f>DATE(YEAR(m6_crossvalid[[#This Row],[ds]]),MONTH(m6_crossvalid[[#This Row],[ds]]),DAY(m6_crossvalid[[#This Row],[ds]]))</f>
        <v>45986</v>
      </c>
      <c r="C336">
        <v>4824.0000000000018</v>
      </c>
      <c r="D336" s="1">
        <v>45986.333333333336</v>
      </c>
      <c r="E336">
        <v>3515.9352797430902</v>
      </c>
      <c r="F336">
        <v>1866.4447871369837</v>
      </c>
      <c r="G336">
        <v>6918.1588599172692</v>
      </c>
      <c r="H336" s="1">
        <v>45961.333333333336</v>
      </c>
    </row>
    <row r="337" spans="1:8" x14ac:dyDescent="0.25">
      <c r="A337" s="7">
        <f>DATE(YEAR(m6_crossvalid[[#This Row],[cutoff]]),MONTH(m6_crossvalid[[#This Row],[cutoff]]),DAY(m6_crossvalid[[#This Row],[cutoff]]))</f>
        <v>45961</v>
      </c>
      <c r="B337" s="7">
        <f>DATE(YEAR(m6_crossvalid[[#This Row],[ds]]),MONTH(m6_crossvalid[[#This Row],[ds]]),DAY(m6_crossvalid[[#This Row],[ds]]))</f>
        <v>45987</v>
      </c>
      <c r="C337">
        <v>5462.9999999999973</v>
      </c>
      <c r="D337" s="1">
        <v>45987.333333333336</v>
      </c>
      <c r="E337">
        <v>7370.3498754555885</v>
      </c>
      <c r="F337">
        <v>3768.9767798792636</v>
      </c>
      <c r="G337">
        <v>14105.266410633756</v>
      </c>
      <c r="H337" s="1">
        <v>45961.333333333336</v>
      </c>
    </row>
    <row r="338" spans="1:8" x14ac:dyDescent="0.25">
      <c r="A338" s="7">
        <f>DATE(YEAR(m6_crossvalid[[#This Row],[cutoff]]),MONTH(m6_crossvalid[[#This Row],[cutoff]]),DAY(m6_crossvalid[[#This Row],[cutoff]]))</f>
        <v>45961</v>
      </c>
      <c r="B338" s="7">
        <f>DATE(YEAR(m6_crossvalid[[#This Row],[ds]]),MONTH(m6_crossvalid[[#This Row],[ds]]),DAY(m6_crossvalid[[#This Row],[ds]]))</f>
        <v>45988</v>
      </c>
      <c r="C338">
        <v>7236.0000000000036</v>
      </c>
      <c r="D338" s="1">
        <v>45988.333333333336</v>
      </c>
      <c r="E338">
        <v>7094.9743770380937</v>
      </c>
      <c r="F338">
        <v>3530.6835664346454</v>
      </c>
      <c r="G338">
        <v>13317.235630612517</v>
      </c>
      <c r="H338" s="1">
        <v>45961.333333333336</v>
      </c>
    </row>
    <row r="339" spans="1:8" x14ac:dyDescent="0.25">
      <c r="A339" s="7">
        <f>DATE(YEAR(m6_crossvalid[[#This Row],[cutoff]]),MONTH(m6_crossvalid[[#This Row],[cutoff]]),DAY(m6_crossvalid[[#This Row],[cutoff]]))</f>
        <v>45961</v>
      </c>
      <c r="B339" s="7">
        <f>DATE(YEAR(m6_crossvalid[[#This Row],[ds]]),MONTH(m6_crossvalid[[#This Row],[ds]]),DAY(m6_crossvalid[[#This Row],[ds]]))</f>
        <v>45989</v>
      </c>
      <c r="C339">
        <v>10013.000000000009</v>
      </c>
      <c r="D339" s="1">
        <v>45989.333333333336</v>
      </c>
      <c r="E339">
        <v>6067.4264215161775</v>
      </c>
      <c r="F339">
        <v>3168.2789059797005</v>
      </c>
      <c r="G339">
        <v>12181.418764334107</v>
      </c>
      <c r="H339" s="1">
        <v>45961.333333333336</v>
      </c>
    </row>
    <row r="340" spans="1:8" x14ac:dyDescent="0.25">
      <c r="A340" s="7">
        <f>DATE(YEAR(m6_crossvalid[[#This Row],[cutoff]]),MONTH(m6_crossvalid[[#This Row],[cutoff]]),DAY(m6_crossvalid[[#This Row],[cutoff]]))</f>
        <v>45961</v>
      </c>
      <c r="B340" s="7">
        <f>DATE(YEAR(m6_crossvalid[[#This Row],[ds]]),MONTH(m6_crossvalid[[#This Row],[ds]]),DAY(m6_crossvalid[[#This Row],[ds]]))</f>
        <v>45990</v>
      </c>
      <c r="C340">
        <v>8210.0000000000036</v>
      </c>
      <c r="D340" s="1">
        <v>45990.333333333336</v>
      </c>
      <c r="E340">
        <v>1752.5062056788076</v>
      </c>
      <c r="F340">
        <v>893.95039501061797</v>
      </c>
      <c r="G340">
        <v>3464.4027217354246</v>
      </c>
      <c r="H340" s="1">
        <v>45961.333333333336</v>
      </c>
    </row>
    <row r="341" spans="1:8" x14ac:dyDescent="0.25">
      <c r="A341" s="7">
        <f>DATE(YEAR(m6_crossvalid[[#This Row],[cutoff]]),MONTH(m6_crossvalid[[#This Row],[cutoff]]),DAY(m6_crossvalid[[#This Row],[cutoff]]))</f>
        <v>45961</v>
      </c>
      <c r="B341" s="7">
        <f>DATE(YEAR(m6_crossvalid[[#This Row],[ds]]),MONTH(m6_crossvalid[[#This Row],[ds]]),DAY(m6_crossvalid[[#This Row],[ds]]))</f>
        <v>45991</v>
      </c>
      <c r="C341">
        <v>3567.0000000000014</v>
      </c>
      <c r="D341" s="1">
        <v>45991.333333333336</v>
      </c>
      <c r="E341">
        <v>954.74082213391159</v>
      </c>
      <c r="F341">
        <v>491.18167670344036</v>
      </c>
      <c r="G341">
        <v>1856.6687916259571</v>
      </c>
      <c r="H341" s="1">
        <v>45961.333333333336</v>
      </c>
    </row>
    <row r="342" spans="1:8" x14ac:dyDescent="0.25">
      <c r="A342" s="7">
        <f>DATE(YEAR(m6_crossvalid[[#This Row],[cutoff]]),MONTH(m6_crossvalid[[#This Row],[cutoff]]),DAY(m6_crossvalid[[#This Row],[cutoff]]))</f>
        <v>45961</v>
      </c>
      <c r="B342" s="7">
        <f>DATE(YEAR(m6_crossvalid[[#This Row],[ds]]),MONTH(m6_crossvalid[[#This Row],[ds]]),DAY(m6_crossvalid[[#This Row],[ds]]))</f>
        <v>45992</v>
      </c>
      <c r="C342">
        <v>658.99999999999989</v>
      </c>
      <c r="D342" s="1">
        <v>45992.333333333336</v>
      </c>
      <c r="E342">
        <v>743.22299802654948</v>
      </c>
      <c r="F342">
        <v>374.62162481816233</v>
      </c>
      <c r="G342">
        <v>1501.1746494343731</v>
      </c>
      <c r="H342" s="1">
        <v>45961.333333333336</v>
      </c>
    </row>
    <row r="343" spans="1:8" x14ac:dyDescent="0.25">
      <c r="A343" s="7">
        <f>DATE(YEAR(m6_crossvalid[[#This Row],[cutoff]]),MONTH(m6_crossvalid[[#This Row],[cutoff]]),DAY(m6_crossvalid[[#This Row],[cutoff]]))</f>
        <v>45991</v>
      </c>
      <c r="B343" s="7">
        <f>DATE(YEAR(m6_crossvalid[[#This Row],[ds]]),MONTH(m6_crossvalid[[#This Row],[ds]]),DAY(m6_crossvalid[[#This Row],[ds]]))</f>
        <v>45992</v>
      </c>
      <c r="C343">
        <v>658.99999999999989</v>
      </c>
      <c r="D343" s="1">
        <v>45992.333333333336</v>
      </c>
      <c r="E343">
        <v>810.95098360540749</v>
      </c>
      <c r="F343">
        <v>407.00848627409164</v>
      </c>
      <c r="G343">
        <v>1600.7833692516294</v>
      </c>
      <c r="H343" s="1">
        <v>45991.333333333336</v>
      </c>
    </row>
    <row r="344" spans="1:8" x14ac:dyDescent="0.25">
      <c r="A344" s="7">
        <f>DATE(YEAR(m6_crossvalid[[#This Row],[cutoff]]),MONTH(m6_crossvalid[[#This Row],[cutoff]]),DAY(m6_crossvalid[[#This Row],[cutoff]]))</f>
        <v>45991</v>
      </c>
      <c r="B344" s="7">
        <f>DATE(YEAR(m6_crossvalid[[#This Row],[ds]]),MONTH(m6_crossvalid[[#This Row],[ds]]),DAY(m6_crossvalid[[#This Row],[ds]]))</f>
        <v>45993</v>
      </c>
      <c r="C344">
        <v>963</v>
      </c>
      <c r="D344" s="1">
        <v>45993.333333333336</v>
      </c>
      <c r="E344">
        <v>632.5724323845451</v>
      </c>
      <c r="F344">
        <v>309.61355117005019</v>
      </c>
      <c r="G344">
        <v>1292.692174548135</v>
      </c>
      <c r="H344" s="1">
        <v>45991.333333333336</v>
      </c>
    </row>
    <row r="345" spans="1:8" x14ac:dyDescent="0.25">
      <c r="A345" s="7">
        <f>DATE(YEAR(m6_crossvalid[[#This Row],[cutoff]]),MONTH(m6_crossvalid[[#This Row],[cutoff]]),DAY(m6_crossvalid[[#This Row],[cutoff]]))</f>
        <v>45991</v>
      </c>
      <c r="B345" s="7">
        <f>DATE(YEAR(m6_crossvalid[[#This Row],[ds]]),MONTH(m6_crossvalid[[#This Row],[ds]]),DAY(m6_crossvalid[[#This Row],[ds]]))</f>
        <v>45994</v>
      </c>
      <c r="C345">
        <v>1248</v>
      </c>
      <c r="D345" s="1">
        <v>45994.333333333336</v>
      </c>
      <c r="E345">
        <v>952.93023273063784</v>
      </c>
      <c r="F345">
        <v>510.72483446381733</v>
      </c>
      <c r="G345">
        <v>1923.9148807519468</v>
      </c>
      <c r="H345" s="1">
        <v>45991.333333333336</v>
      </c>
    </row>
    <row r="346" spans="1:8" x14ac:dyDescent="0.25">
      <c r="A346" s="7">
        <f>DATE(YEAR(m6_crossvalid[[#This Row],[cutoff]]),MONTH(m6_crossvalid[[#This Row],[cutoff]]),DAY(m6_crossvalid[[#This Row],[cutoff]]))</f>
        <v>45991</v>
      </c>
      <c r="B346" s="7">
        <f>DATE(YEAR(m6_crossvalid[[#This Row],[ds]]),MONTH(m6_crossvalid[[#This Row],[ds]]),DAY(m6_crossvalid[[#This Row],[ds]]))</f>
        <v>45995</v>
      </c>
      <c r="C346">
        <v>1462</v>
      </c>
      <c r="D346" s="1">
        <v>45995.333333333336</v>
      </c>
      <c r="E346">
        <v>915.88846841299085</v>
      </c>
      <c r="F346">
        <v>484.62646895675499</v>
      </c>
      <c r="G346">
        <v>1812.8248879688365</v>
      </c>
      <c r="H346" s="1">
        <v>45991.333333333336</v>
      </c>
    </row>
    <row r="347" spans="1:8" x14ac:dyDescent="0.25">
      <c r="A347" s="7">
        <f>DATE(YEAR(m6_crossvalid[[#This Row],[cutoff]]),MONTH(m6_crossvalid[[#This Row],[cutoff]]),DAY(m6_crossvalid[[#This Row],[cutoff]]))</f>
        <v>45991</v>
      </c>
      <c r="B347" s="7">
        <f>DATE(YEAR(m6_crossvalid[[#This Row],[ds]]),MONTH(m6_crossvalid[[#This Row],[ds]]),DAY(m6_crossvalid[[#This Row],[ds]]))</f>
        <v>45996</v>
      </c>
      <c r="C347">
        <v>1441.0000000000005</v>
      </c>
      <c r="D347" s="1">
        <v>45996.333333333336</v>
      </c>
      <c r="E347">
        <v>880.86499175967049</v>
      </c>
      <c r="F347">
        <v>448.09596806771998</v>
      </c>
      <c r="G347">
        <v>1715.1543349972756</v>
      </c>
      <c r="H347" s="1">
        <v>45991.333333333336</v>
      </c>
    </row>
    <row r="348" spans="1:8" x14ac:dyDescent="0.25">
      <c r="A348" s="7">
        <f>DATE(YEAR(m6_crossvalid[[#This Row],[cutoff]]),MONTH(m6_crossvalid[[#This Row],[cutoff]]),DAY(m6_crossvalid[[#This Row],[cutoff]]))</f>
        <v>45991</v>
      </c>
      <c r="B348" s="7">
        <f>DATE(YEAR(m6_crossvalid[[#This Row],[ds]]),MONTH(m6_crossvalid[[#This Row],[ds]]),DAY(m6_crossvalid[[#This Row],[ds]]))</f>
        <v>45997</v>
      </c>
      <c r="C348">
        <v>380.00000000000011</v>
      </c>
      <c r="D348" s="1">
        <v>45997.333333333336</v>
      </c>
      <c r="E348">
        <v>160.3241696840081</v>
      </c>
      <c r="F348">
        <v>82.008072497612176</v>
      </c>
      <c r="G348">
        <v>320.57778522081225</v>
      </c>
      <c r="H348" s="1">
        <v>45991.333333333336</v>
      </c>
    </row>
    <row r="349" spans="1:8" x14ac:dyDescent="0.25">
      <c r="A349" s="7">
        <f>DATE(YEAR(m6_crossvalid[[#This Row],[cutoff]]),MONTH(m6_crossvalid[[#This Row],[cutoff]]),DAY(m6_crossvalid[[#This Row],[cutoff]]))</f>
        <v>45991</v>
      </c>
      <c r="B349" s="7">
        <f>DATE(YEAR(m6_crossvalid[[#This Row],[ds]]),MONTH(m6_crossvalid[[#This Row],[ds]]),DAY(m6_crossvalid[[#This Row],[ds]]))</f>
        <v>45998</v>
      </c>
      <c r="C349">
        <v>58.999999999999986</v>
      </c>
      <c r="D349" s="1">
        <v>45998.333333333336</v>
      </c>
      <c r="E349">
        <v>62.354276852862519</v>
      </c>
      <c r="F349">
        <v>32.171821780456746</v>
      </c>
      <c r="G349">
        <v>123.18397959253946</v>
      </c>
      <c r="H349" s="1">
        <v>45991.333333333336</v>
      </c>
    </row>
    <row r="350" spans="1:8" x14ac:dyDescent="0.25">
      <c r="A350" s="7">
        <f>DATE(YEAR(m6_crossvalid[[#This Row],[cutoff]]),MONTH(m6_crossvalid[[#This Row],[cutoff]]),DAY(m6_crossvalid[[#This Row],[cutoff]]))</f>
        <v>45991</v>
      </c>
      <c r="B350" s="7">
        <f>DATE(YEAR(m6_crossvalid[[#This Row],[ds]]),MONTH(m6_crossvalid[[#This Row],[ds]]),DAY(m6_crossvalid[[#This Row],[ds]]))</f>
        <v>45999</v>
      </c>
      <c r="C350">
        <v>1698.0000000000007</v>
      </c>
      <c r="D350" s="1">
        <v>45999.333333333336</v>
      </c>
      <c r="E350">
        <v>1554.7578914729365</v>
      </c>
      <c r="F350">
        <v>767.1481488400093</v>
      </c>
      <c r="G350">
        <v>3104.4668101261504</v>
      </c>
      <c r="H350" s="1">
        <v>45991.333333333336</v>
      </c>
    </row>
    <row r="351" spans="1:8" x14ac:dyDescent="0.25">
      <c r="A351" s="7">
        <f>DATE(YEAR(m6_crossvalid[[#This Row],[cutoff]]),MONTH(m6_crossvalid[[#This Row],[cutoff]]),DAY(m6_crossvalid[[#This Row],[cutoff]]))</f>
        <v>45991</v>
      </c>
      <c r="B351" s="7">
        <f>DATE(YEAR(m6_crossvalid[[#This Row],[ds]]),MONTH(m6_crossvalid[[#This Row],[ds]]),DAY(m6_crossvalid[[#This Row],[ds]]))</f>
        <v>46000</v>
      </c>
      <c r="C351">
        <v>1923.9999999999993</v>
      </c>
      <c r="D351" s="1">
        <v>46000.333333333336</v>
      </c>
      <c r="E351">
        <v>1885.0704310841902</v>
      </c>
      <c r="F351">
        <v>979.75508807922017</v>
      </c>
      <c r="G351">
        <v>3732.8600259110463</v>
      </c>
      <c r="H351" s="1">
        <v>45991.333333333336</v>
      </c>
    </row>
    <row r="352" spans="1:8" x14ac:dyDescent="0.25">
      <c r="A352" s="7">
        <f>DATE(YEAR(m6_crossvalid[[#This Row],[cutoff]]),MONTH(m6_crossvalid[[#This Row],[cutoff]]),DAY(m6_crossvalid[[#This Row],[cutoff]]))</f>
        <v>45991</v>
      </c>
      <c r="B352" s="7">
        <f>DATE(YEAR(m6_crossvalid[[#This Row],[ds]]),MONTH(m6_crossvalid[[#This Row],[ds]]),DAY(m6_crossvalid[[#This Row],[ds]]))</f>
        <v>46001</v>
      </c>
      <c r="C352">
        <v>2624</v>
      </c>
      <c r="D352" s="1">
        <v>46001.333333333336</v>
      </c>
      <c r="E352">
        <v>1952.7798480777278</v>
      </c>
      <c r="F352">
        <v>1036.0321972081565</v>
      </c>
      <c r="G352">
        <v>3732.8578704204238</v>
      </c>
      <c r="H352" s="1">
        <v>45991.333333333336</v>
      </c>
    </row>
    <row r="353" spans="1:8" x14ac:dyDescent="0.25">
      <c r="A353" s="7">
        <f>DATE(YEAR(m6_crossvalid[[#This Row],[cutoff]]),MONTH(m6_crossvalid[[#This Row],[cutoff]]),DAY(m6_crossvalid[[#This Row],[cutoff]]))</f>
        <v>45991</v>
      </c>
      <c r="B353" s="7">
        <f>DATE(YEAR(m6_crossvalid[[#This Row],[ds]]),MONTH(m6_crossvalid[[#This Row],[ds]]),DAY(m6_crossvalid[[#This Row],[ds]]))</f>
        <v>46002</v>
      </c>
      <c r="C353">
        <v>1852.9999999999998</v>
      </c>
      <c r="D353" s="1">
        <v>46002.333333333336</v>
      </c>
      <c r="E353">
        <v>2132.5664266099188</v>
      </c>
      <c r="F353">
        <v>1069.1396960204593</v>
      </c>
      <c r="G353">
        <v>4035.3224858425997</v>
      </c>
      <c r="H353" s="1">
        <v>45991.333333333336</v>
      </c>
    </row>
    <row r="354" spans="1:8" x14ac:dyDescent="0.25">
      <c r="A354" s="7">
        <f>DATE(YEAR(m6_crossvalid[[#This Row],[cutoff]]),MONTH(m6_crossvalid[[#This Row],[cutoff]]),DAY(m6_crossvalid[[#This Row],[cutoff]]))</f>
        <v>45991</v>
      </c>
      <c r="B354" s="7">
        <f>DATE(YEAR(m6_crossvalid[[#This Row],[ds]]),MONTH(m6_crossvalid[[#This Row],[ds]]),DAY(m6_crossvalid[[#This Row],[ds]]))</f>
        <v>46003</v>
      </c>
      <c r="C354">
        <v>3010.0000000000005</v>
      </c>
      <c r="D354" s="1">
        <v>46003.333333333336</v>
      </c>
      <c r="E354">
        <v>2248.6196516152909</v>
      </c>
      <c r="F354">
        <v>1159.7060467987417</v>
      </c>
      <c r="G354">
        <v>4495.2827455415336</v>
      </c>
      <c r="H354" s="1">
        <v>45991.333333333336</v>
      </c>
    </row>
    <row r="355" spans="1:8" x14ac:dyDescent="0.25">
      <c r="A355" s="7">
        <f>DATE(YEAR(m6_crossvalid[[#This Row],[cutoff]]),MONTH(m6_crossvalid[[#This Row],[cutoff]]),DAY(m6_crossvalid[[#This Row],[cutoff]]))</f>
        <v>45991</v>
      </c>
      <c r="B355" s="7">
        <f>DATE(YEAR(m6_crossvalid[[#This Row],[ds]]),MONTH(m6_crossvalid[[#This Row],[ds]]),DAY(m6_crossvalid[[#This Row],[ds]]))</f>
        <v>46004</v>
      </c>
      <c r="C355">
        <v>552.00000000000011</v>
      </c>
      <c r="D355" s="1">
        <v>46004.333333333336</v>
      </c>
      <c r="E355">
        <v>428.93596389344918</v>
      </c>
      <c r="F355">
        <v>227.54349800735986</v>
      </c>
      <c r="G355">
        <v>848.47622540691532</v>
      </c>
      <c r="H355" s="1">
        <v>45991.333333333336</v>
      </c>
    </row>
    <row r="356" spans="1:8" x14ac:dyDescent="0.25">
      <c r="A356" s="7">
        <f>DATE(YEAR(m6_crossvalid[[#This Row],[cutoff]]),MONTH(m6_crossvalid[[#This Row],[cutoff]]),DAY(m6_crossvalid[[#This Row],[cutoff]]))</f>
        <v>45991</v>
      </c>
      <c r="B356" s="7">
        <f>DATE(YEAR(m6_crossvalid[[#This Row],[ds]]),MONTH(m6_crossvalid[[#This Row],[ds]]),DAY(m6_crossvalid[[#This Row],[ds]]))</f>
        <v>46005</v>
      </c>
      <c r="C356">
        <v>162</v>
      </c>
      <c r="D356" s="1">
        <v>46005.333333333336</v>
      </c>
      <c r="E356">
        <v>170.84105052075066</v>
      </c>
      <c r="F356">
        <v>90.130014038084127</v>
      </c>
      <c r="G356">
        <v>322.32102841827395</v>
      </c>
      <c r="H356" s="1">
        <v>45991.333333333336</v>
      </c>
    </row>
    <row r="357" spans="1:8" x14ac:dyDescent="0.25">
      <c r="A357" s="7">
        <f>DATE(YEAR(m6_crossvalid[[#This Row],[cutoff]]),MONTH(m6_crossvalid[[#This Row],[cutoff]]),DAY(m6_crossvalid[[#This Row],[cutoff]]))</f>
        <v>45991</v>
      </c>
      <c r="B357" s="7">
        <f>DATE(YEAR(m6_crossvalid[[#This Row],[ds]]),MONTH(m6_crossvalid[[#This Row],[ds]]),DAY(m6_crossvalid[[#This Row],[ds]]))</f>
        <v>46006</v>
      </c>
      <c r="C357">
        <v>2685.0000000000005</v>
      </c>
      <c r="D357" s="1">
        <v>46006.333333333336</v>
      </c>
      <c r="E357">
        <v>2260.2244023377111</v>
      </c>
      <c r="F357">
        <v>1094.9389902107196</v>
      </c>
      <c r="G357">
        <v>4481.0352898297706</v>
      </c>
      <c r="H357" s="1">
        <v>45991.333333333336</v>
      </c>
    </row>
    <row r="358" spans="1:8" x14ac:dyDescent="0.25">
      <c r="A358" s="7">
        <f>DATE(YEAR(m6_crossvalid[[#This Row],[cutoff]]),MONTH(m6_crossvalid[[#This Row],[cutoff]]),DAY(m6_crossvalid[[#This Row],[cutoff]]))</f>
        <v>45991</v>
      </c>
      <c r="B358" s="7">
        <f>DATE(YEAR(m6_crossvalid[[#This Row],[ds]]),MONTH(m6_crossvalid[[#This Row],[ds]]),DAY(m6_crossvalid[[#This Row],[ds]]))</f>
        <v>46007</v>
      </c>
      <c r="C358">
        <v>3397.0000000000018</v>
      </c>
      <c r="D358" s="1">
        <v>46007.333333333336</v>
      </c>
      <c r="E358">
        <v>2933.2247032743408</v>
      </c>
      <c r="F358">
        <v>1468.0439017684798</v>
      </c>
      <c r="G358">
        <v>5847.6266544561104</v>
      </c>
      <c r="H358" s="1">
        <v>45991.333333333336</v>
      </c>
    </row>
    <row r="359" spans="1:8" x14ac:dyDescent="0.25">
      <c r="A359" s="7">
        <f>DATE(YEAR(m6_crossvalid[[#This Row],[cutoff]]),MONTH(m6_crossvalid[[#This Row],[cutoff]]),DAY(m6_crossvalid[[#This Row],[cutoff]]))</f>
        <v>45991</v>
      </c>
      <c r="B359" s="7">
        <f>DATE(YEAR(m6_crossvalid[[#This Row],[ds]]),MONTH(m6_crossvalid[[#This Row],[ds]]),DAY(m6_crossvalid[[#This Row],[ds]]))</f>
        <v>46008</v>
      </c>
      <c r="C359">
        <v>4028.9999999999991</v>
      </c>
      <c r="D359" s="1">
        <v>46008.333333333336</v>
      </c>
      <c r="E359">
        <v>3290.3053299505796</v>
      </c>
      <c r="F359">
        <v>1672.3833433155453</v>
      </c>
      <c r="G359">
        <v>6508.2318893921465</v>
      </c>
      <c r="H359" s="1">
        <v>45991.333333333336</v>
      </c>
    </row>
    <row r="360" spans="1:8" x14ac:dyDescent="0.25">
      <c r="A360" s="7">
        <f>DATE(YEAR(m6_crossvalid[[#This Row],[cutoff]]),MONTH(m6_crossvalid[[#This Row],[cutoff]]),DAY(m6_crossvalid[[#This Row],[cutoff]]))</f>
        <v>45991</v>
      </c>
      <c r="B360" s="7">
        <f>DATE(YEAR(m6_crossvalid[[#This Row],[ds]]),MONTH(m6_crossvalid[[#This Row],[ds]]),DAY(m6_crossvalid[[#This Row],[ds]]))</f>
        <v>46009</v>
      </c>
      <c r="C360">
        <v>3874.0000000000018</v>
      </c>
      <c r="D360" s="1">
        <v>46009.333333333336</v>
      </c>
      <c r="E360">
        <v>3738.6281138910658</v>
      </c>
      <c r="F360">
        <v>2007.2290540491474</v>
      </c>
      <c r="G360">
        <v>7433.3174239208902</v>
      </c>
      <c r="H360" s="1">
        <v>45991.333333333336</v>
      </c>
    </row>
    <row r="361" spans="1:8" x14ac:dyDescent="0.25">
      <c r="A361" s="7">
        <f>DATE(YEAR(m6_crossvalid[[#This Row],[cutoff]]),MONTH(m6_crossvalid[[#This Row],[cutoff]]),DAY(m6_crossvalid[[#This Row],[cutoff]]))</f>
        <v>45991</v>
      </c>
      <c r="B361" s="7">
        <f>DATE(YEAR(m6_crossvalid[[#This Row],[ds]]),MONTH(m6_crossvalid[[#This Row],[ds]]),DAY(m6_crossvalid[[#This Row],[ds]]))</f>
        <v>46010</v>
      </c>
      <c r="C361">
        <v>4261</v>
      </c>
      <c r="D361" s="1">
        <v>46010.333333333336</v>
      </c>
      <c r="E361">
        <v>3813.3614355317873</v>
      </c>
      <c r="F361">
        <v>1864.2181663339838</v>
      </c>
      <c r="G361">
        <v>7439.035488351582</v>
      </c>
      <c r="H361" s="1">
        <v>45991.333333333336</v>
      </c>
    </row>
    <row r="362" spans="1:8" x14ac:dyDescent="0.25">
      <c r="A362" s="7">
        <f>DATE(YEAR(m6_crossvalid[[#This Row],[cutoff]]),MONTH(m6_crossvalid[[#This Row],[cutoff]]),DAY(m6_crossvalid[[#This Row],[cutoff]]))</f>
        <v>45991</v>
      </c>
      <c r="B362" s="7">
        <f>DATE(YEAR(m6_crossvalid[[#This Row],[ds]]),MONTH(m6_crossvalid[[#This Row],[ds]]),DAY(m6_crossvalid[[#This Row],[ds]]))</f>
        <v>46011</v>
      </c>
      <c r="C362">
        <v>998.99999999999977</v>
      </c>
      <c r="D362" s="1">
        <v>46011.333333333336</v>
      </c>
      <c r="E362">
        <v>666.620232585238</v>
      </c>
      <c r="F362">
        <v>340.79887088141754</v>
      </c>
      <c r="G362">
        <v>1337.3522595600773</v>
      </c>
      <c r="H362" s="1">
        <v>45991.333333333336</v>
      </c>
    </row>
    <row r="363" spans="1:8" x14ac:dyDescent="0.25">
      <c r="A363" s="7">
        <f>DATE(YEAR(m6_crossvalid[[#This Row],[cutoff]]),MONTH(m6_crossvalid[[#This Row],[cutoff]]),DAY(m6_crossvalid[[#This Row],[cutoff]]))</f>
        <v>45991</v>
      </c>
      <c r="B363" s="7">
        <f>DATE(YEAR(m6_crossvalid[[#This Row],[ds]]),MONTH(m6_crossvalid[[#This Row],[ds]]),DAY(m6_crossvalid[[#This Row],[ds]]))</f>
        <v>46012</v>
      </c>
      <c r="C363">
        <v>251.00000000000003</v>
      </c>
      <c r="D363" s="1">
        <v>46012.333333333336</v>
      </c>
      <c r="E363">
        <v>243.81410340409778</v>
      </c>
      <c r="F363">
        <v>126.86624515627265</v>
      </c>
      <c r="G363">
        <v>490.66816235106859</v>
      </c>
      <c r="H363" s="1">
        <v>45991.333333333336</v>
      </c>
    </row>
    <row r="364" spans="1:8" x14ac:dyDescent="0.25">
      <c r="A364" s="7">
        <f>DATE(YEAR(m6_crossvalid[[#This Row],[cutoff]]),MONTH(m6_crossvalid[[#This Row],[cutoff]]),DAY(m6_crossvalid[[#This Row],[cutoff]]))</f>
        <v>45991</v>
      </c>
      <c r="B364" s="7">
        <f>DATE(YEAR(m6_crossvalid[[#This Row],[ds]]),MONTH(m6_crossvalid[[#This Row],[ds]]),DAY(m6_crossvalid[[#This Row],[ds]]))</f>
        <v>46013</v>
      </c>
      <c r="C364">
        <v>4790.9999999999964</v>
      </c>
      <c r="D364" s="1">
        <v>46013.333333333336</v>
      </c>
      <c r="E364">
        <v>3102.2073699837074</v>
      </c>
      <c r="F364">
        <v>1570.1927901845399</v>
      </c>
      <c r="G364">
        <v>6101.9984707920657</v>
      </c>
      <c r="H364" s="1">
        <v>45991.333333333336</v>
      </c>
    </row>
    <row r="365" spans="1:8" x14ac:dyDescent="0.25">
      <c r="A365" s="7">
        <f>DATE(YEAR(m6_crossvalid[[#This Row],[cutoff]]),MONTH(m6_crossvalid[[#This Row],[cutoff]]),DAY(m6_crossvalid[[#This Row],[cutoff]]))</f>
        <v>45991</v>
      </c>
      <c r="B365" s="7">
        <f>DATE(YEAR(m6_crossvalid[[#This Row],[ds]]),MONTH(m6_crossvalid[[#This Row],[ds]]),DAY(m6_crossvalid[[#This Row],[ds]]))</f>
        <v>46014</v>
      </c>
      <c r="C365">
        <v>5801.9999999999964</v>
      </c>
      <c r="D365" s="1">
        <v>46014.333333333336</v>
      </c>
      <c r="E365">
        <v>4061.1993151124261</v>
      </c>
      <c r="F365">
        <v>2061.7016675252817</v>
      </c>
      <c r="G365">
        <v>8043.45777241616</v>
      </c>
      <c r="H365" s="1">
        <v>45991.333333333336</v>
      </c>
    </row>
    <row r="366" spans="1:8" x14ac:dyDescent="0.25">
      <c r="A366" s="7">
        <f>DATE(YEAR(m6_crossvalid[[#This Row],[cutoff]]),MONTH(m6_crossvalid[[#This Row],[cutoff]]),DAY(m6_crossvalid[[#This Row],[cutoff]]))</f>
        <v>45991</v>
      </c>
      <c r="B366" s="7">
        <f>DATE(YEAR(m6_crossvalid[[#This Row],[ds]]),MONTH(m6_crossvalid[[#This Row],[ds]]),DAY(m6_crossvalid[[#This Row],[ds]]))</f>
        <v>46015</v>
      </c>
      <c r="C366">
        <v>6117</v>
      </c>
      <c r="D366" s="1">
        <v>46015.333333333336</v>
      </c>
      <c r="E366">
        <v>4587.1036482791969</v>
      </c>
      <c r="F366">
        <v>2337.8135867542273</v>
      </c>
      <c r="G366">
        <v>9026.4766961301921</v>
      </c>
      <c r="H366" s="1">
        <v>45991.333333333336</v>
      </c>
    </row>
    <row r="367" spans="1:8" x14ac:dyDescent="0.25">
      <c r="A367" s="7">
        <f>DATE(YEAR(m6_crossvalid[[#This Row],[cutoff]]),MONTH(m6_crossvalid[[#This Row],[cutoff]]),DAY(m6_crossvalid[[#This Row],[cutoff]]))</f>
        <v>45991</v>
      </c>
      <c r="B367" s="7">
        <f>DATE(YEAR(m6_crossvalid[[#This Row],[ds]]),MONTH(m6_crossvalid[[#This Row],[ds]]),DAY(m6_crossvalid[[#This Row],[ds]]))</f>
        <v>46016</v>
      </c>
      <c r="C367">
        <v>400.00000000000006</v>
      </c>
      <c r="D367" s="1">
        <v>46016.333333333336</v>
      </c>
      <c r="E367">
        <v>353.51109354068689</v>
      </c>
      <c r="F367">
        <v>179.92146471744337</v>
      </c>
      <c r="G367">
        <v>692.6810808742465</v>
      </c>
      <c r="H367" s="1">
        <v>45991.333333333336</v>
      </c>
    </row>
    <row r="368" spans="1:8" x14ac:dyDescent="0.25">
      <c r="A368" s="7">
        <f>DATE(YEAR(m6_crossvalid[[#This Row],[cutoff]]),MONTH(m6_crossvalid[[#This Row],[cutoff]]),DAY(m6_crossvalid[[#This Row],[cutoff]]))</f>
        <v>45991</v>
      </c>
      <c r="B368" s="7">
        <f>DATE(YEAR(m6_crossvalid[[#This Row],[ds]]),MONTH(m6_crossvalid[[#This Row],[ds]]),DAY(m6_crossvalid[[#This Row],[ds]]))</f>
        <v>46017</v>
      </c>
      <c r="C368">
        <v>6559.0000000000045</v>
      </c>
      <c r="D368" s="1">
        <v>46017.333333333336</v>
      </c>
      <c r="E368">
        <v>4567.986769856263</v>
      </c>
      <c r="F368">
        <v>2182.9516462454417</v>
      </c>
      <c r="G368">
        <v>8984.3596675028784</v>
      </c>
      <c r="H368" s="1">
        <v>45991.333333333336</v>
      </c>
    </row>
    <row r="369" spans="1:8" x14ac:dyDescent="0.25">
      <c r="A369" s="7">
        <f>DATE(YEAR(m6_crossvalid[[#This Row],[cutoff]]),MONTH(m6_crossvalid[[#This Row],[cutoff]]),DAY(m6_crossvalid[[#This Row],[cutoff]]))</f>
        <v>45991</v>
      </c>
      <c r="B369" s="7">
        <f>DATE(YEAR(m6_crossvalid[[#This Row],[ds]]),MONTH(m6_crossvalid[[#This Row],[ds]]),DAY(m6_crossvalid[[#This Row],[ds]]))</f>
        <v>46018</v>
      </c>
      <c r="C369">
        <v>1928</v>
      </c>
      <c r="D369" s="1">
        <v>46018.333333333336</v>
      </c>
      <c r="E369">
        <v>1380.621344565898</v>
      </c>
      <c r="F369">
        <v>678.78171692919989</v>
      </c>
      <c r="G369">
        <v>2682.9865803935904</v>
      </c>
      <c r="H369" s="1">
        <v>45991.333333333336</v>
      </c>
    </row>
    <row r="370" spans="1:8" x14ac:dyDescent="0.25">
      <c r="A370" s="7">
        <f>DATE(YEAR(m6_crossvalid[[#This Row],[cutoff]]),MONTH(m6_crossvalid[[#This Row],[cutoff]]),DAY(m6_crossvalid[[#This Row],[cutoff]]))</f>
        <v>45991</v>
      </c>
      <c r="B370" s="7">
        <f>DATE(YEAR(m6_crossvalid[[#This Row],[ds]]),MONTH(m6_crossvalid[[#This Row],[ds]]),DAY(m6_crossvalid[[#This Row],[ds]]))</f>
        <v>46019</v>
      </c>
      <c r="C370">
        <v>428</v>
      </c>
      <c r="D370" s="1">
        <v>46019.333333333336</v>
      </c>
      <c r="E370">
        <v>441.72026398663218</v>
      </c>
      <c r="F370">
        <v>228.27851308612435</v>
      </c>
      <c r="G370">
        <v>866.43607679487809</v>
      </c>
      <c r="H370" s="1">
        <v>45991.333333333336</v>
      </c>
    </row>
    <row r="371" spans="1:8" x14ac:dyDescent="0.25">
      <c r="A371" s="7">
        <f>DATE(YEAR(m6_crossvalid[[#This Row],[cutoff]]),MONTH(m6_crossvalid[[#This Row],[cutoff]]),DAY(m6_crossvalid[[#This Row],[cutoff]]))</f>
        <v>45991</v>
      </c>
      <c r="B371" s="7">
        <f>DATE(YEAR(m6_crossvalid[[#This Row],[ds]]),MONTH(m6_crossvalid[[#This Row],[ds]]),DAY(m6_crossvalid[[#This Row],[ds]]))</f>
        <v>46020</v>
      </c>
      <c r="C371">
        <v>7441.0000000000018</v>
      </c>
      <c r="D371" s="1">
        <v>46020.333333333336</v>
      </c>
      <c r="E371">
        <v>4919.1846058395195</v>
      </c>
      <c r="F371">
        <v>2444.1895543023543</v>
      </c>
      <c r="G371">
        <v>9415.3961821283428</v>
      </c>
      <c r="H371" s="1">
        <v>45991.333333333336</v>
      </c>
    </row>
    <row r="372" spans="1:8" x14ac:dyDescent="0.25">
      <c r="A372" s="7">
        <f>DATE(YEAR(m6_crossvalid[[#This Row],[cutoff]]),MONTH(m6_crossvalid[[#This Row],[cutoff]]),DAY(m6_crossvalid[[#This Row],[cutoff]]))</f>
        <v>45991</v>
      </c>
      <c r="B372" s="7">
        <f>DATE(YEAR(m6_crossvalid[[#This Row],[ds]]),MONTH(m6_crossvalid[[#This Row],[ds]]),DAY(m6_crossvalid[[#This Row],[ds]]))</f>
        <v>46021</v>
      </c>
      <c r="C372">
        <v>10603</v>
      </c>
      <c r="D372" s="1">
        <v>46021.333333333336</v>
      </c>
      <c r="E372">
        <v>10669.519573957965</v>
      </c>
      <c r="F372">
        <v>5642.4294565146865</v>
      </c>
      <c r="G372">
        <v>20927.217245297994</v>
      </c>
      <c r="H372" s="1">
        <v>45991.333333333336</v>
      </c>
    </row>
    <row r="373" spans="1:8" x14ac:dyDescent="0.25">
      <c r="A373" s="7">
        <f>DATE(YEAR(m6_crossvalid[[#This Row],[cutoff]]),MONTH(m6_crossvalid[[#This Row],[cutoff]]),DAY(m6_crossvalid[[#This Row],[cutoff]]))</f>
        <v>45991</v>
      </c>
      <c r="B373" s="7">
        <f>DATE(YEAR(m6_crossvalid[[#This Row],[ds]]),MONTH(m6_crossvalid[[#This Row],[ds]]),DAY(m6_crossvalid[[#This Row],[ds]]))</f>
        <v>46022</v>
      </c>
      <c r="C373">
        <v>15369.999999999991</v>
      </c>
      <c r="D373" s="1">
        <v>46022.333333333336</v>
      </c>
      <c r="E373">
        <v>15836.163849906296</v>
      </c>
      <c r="F373">
        <v>8129.0585906810111</v>
      </c>
      <c r="G373">
        <v>31835.11374986689</v>
      </c>
      <c r="H373" s="1">
        <v>45991.333333333336</v>
      </c>
    </row>
    <row r="374" spans="1:8" x14ac:dyDescent="0.25">
      <c r="A374" s="7">
        <f>DATE(YEAR(m6_crossvalid[[#This Row],[cutoff]]),MONTH(m6_crossvalid[[#This Row],[cutoff]]),DAY(m6_crossvalid[[#This Row],[cutoff]]))</f>
        <v>46022</v>
      </c>
      <c r="B374" s="7">
        <f>DATE(YEAR(m6_crossvalid[[#This Row],[ds]]),MONTH(m6_crossvalid[[#This Row],[ds]]),DAY(m6_crossvalid[[#This Row],[ds]]))</f>
        <v>46023</v>
      </c>
      <c r="C374">
        <v>2584.0000000000005</v>
      </c>
      <c r="D374" s="1">
        <v>46023.333333333336</v>
      </c>
      <c r="E374">
        <v>93.355388633146035</v>
      </c>
      <c r="F374">
        <v>45.760942417387383</v>
      </c>
      <c r="G374">
        <v>175.49059683693858</v>
      </c>
      <c r="H374" s="1">
        <v>46022.333333333336</v>
      </c>
    </row>
    <row r="375" spans="1:8" x14ac:dyDescent="0.25">
      <c r="A375" s="7">
        <f>DATE(YEAR(m6_crossvalid[[#This Row],[cutoff]]),MONTH(m6_crossvalid[[#This Row],[cutoff]]),DAY(m6_crossvalid[[#This Row],[cutoff]]))</f>
        <v>46022</v>
      </c>
      <c r="B375" s="7">
        <f>DATE(YEAR(m6_crossvalid[[#This Row],[ds]]),MONTH(m6_crossvalid[[#This Row],[ds]]),DAY(m6_crossvalid[[#This Row],[ds]]))</f>
        <v>46024</v>
      </c>
      <c r="C375">
        <v>1536.0000000000005</v>
      </c>
      <c r="D375" s="1">
        <v>46024.333333333336</v>
      </c>
      <c r="E375">
        <v>519.16719082569011</v>
      </c>
      <c r="F375">
        <v>264.24734041246444</v>
      </c>
      <c r="G375">
        <v>994.78591403816677</v>
      </c>
      <c r="H375" s="1">
        <v>46022.333333333336</v>
      </c>
    </row>
    <row r="376" spans="1:8" x14ac:dyDescent="0.25">
      <c r="A376" s="7">
        <f>DATE(YEAR(m6_crossvalid[[#This Row],[cutoff]]),MONTH(m6_crossvalid[[#This Row],[cutoff]]),DAY(m6_crossvalid[[#This Row],[cutoff]]))</f>
        <v>46022</v>
      </c>
      <c r="B376" s="7">
        <f>DATE(YEAR(m6_crossvalid[[#This Row],[ds]]),MONTH(m6_crossvalid[[#This Row],[ds]]),DAY(m6_crossvalid[[#This Row],[ds]]))</f>
        <v>46025</v>
      </c>
      <c r="C376">
        <v>80.000000000000028</v>
      </c>
      <c r="D376" s="1">
        <v>46025.333333333336</v>
      </c>
      <c r="E376">
        <v>119.4031988845006</v>
      </c>
      <c r="F376">
        <v>64.132074859248604</v>
      </c>
      <c r="G376">
        <v>240.248438390643</v>
      </c>
      <c r="H376" s="1">
        <v>46022.333333333336</v>
      </c>
    </row>
    <row r="377" spans="1:8" x14ac:dyDescent="0.25">
      <c r="A377" s="7">
        <f>DATE(YEAR(m6_crossvalid[[#This Row],[cutoff]]),MONTH(m6_crossvalid[[#This Row],[cutoff]]),DAY(m6_crossvalid[[#This Row],[cutoff]]))</f>
        <v>46022</v>
      </c>
      <c r="B377" s="7">
        <f>DATE(YEAR(m6_crossvalid[[#This Row],[ds]]),MONTH(m6_crossvalid[[#This Row],[ds]]),DAY(m6_crossvalid[[#This Row],[ds]]))</f>
        <v>46026</v>
      </c>
      <c r="C377">
        <v>16.999999999999996</v>
      </c>
      <c r="D377" s="1">
        <v>46026.333333333336</v>
      </c>
      <c r="E377">
        <v>38.375232996031663</v>
      </c>
      <c r="F377">
        <v>19.088556187079355</v>
      </c>
      <c r="G377">
        <v>73.889286497921191</v>
      </c>
      <c r="H377" s="1">
        <v>46022.333333333336</v>
      </c>
    </row>
    <row r="378" spans="1:8" x14ac:dyDescent="0.25">
      <c r="A378" s="7">
        <f>DATE(YEAR(m6_crossvalid[[#This Row],[cutoff]]),MONTH(m6_crossvalid[[#This Row],[cutoff]]),DAY(m6_crossvalid[[#This Row],[cutoff]]))</f>
        <v>46022</v>
      </c>
      <c r="B378" s="7">
        <f>DATE(YEAR(m6_crossvalid[[#This Row],[ds]]),MONTH(m6_crossvalid[[#This Row],[ds]]),DAY(m6_crossvalid[[#This Row],[ds]]))</f>
        <v>46027</v>
      </c>
      <c r="C378">
        <v>340.00000000000006</v>
      </c>
      <c r="D378" s="1">
        <v>46027.333333333336</v>
      </c>
      <c r="E378">
        <v>499.90909232060272</v>
      </c>
      <c r="F378">
        <v>254.20635172761891</v>
      </c>
      <c r="G378">
        <v>975.87753246100294</v>
      </c>
      <c r="H378" s="1">
        <v>46022.333333333336</v>
      </c>
    </row>
    <row r="379" spans="1:8" x14ac:dyDescent="0.25">
      <c r="A379" s="7">
        <f>DATE(YEAR(m6_crossvalid[[#This Row],[cutoff]]),MONTH(m6_crossvalid[[#This Row],[cutoff]]),DAY(m6_crossvalid[[#This Row],[cutoff]]))</f>
        <v>46022</v>
      </c>
      <c r="B379" s="7">
        <f>DATE(YEAR(m6_crossvalid[[#This Row],[ds]]),MONTH(m6_crossvalid[[#This Row],[ds]]),DAY(m6_crossvalid[[#This Row],[ds]]))</f>
        <v>46028</v>
      </c>
      <c r="C379">
        <v>484.99999999999994</v>
      </c>
      <c r="D379" s="1">
        <v>46028.333333333336</v>
      </c>
      <c r="E379">
        <v>658.81379620801897</v>
      </c>
      <c r="F379">
        <v>343.49580118832336</v>
      </c>
      <c r="G379">
        <v>1377.161664273282</v>
      </c>
      <c r="H379" s="1">
        <v>46022.333333333336</v>
      </c>
    </row>
    <row r="380" spans="1:8" x14ac:dyDescent="0.25">
      <c r="A380" s="7">
        <f>DATE(YEAR(m6_crossvalid[[#This Row],[cutoff]]),MONTH(m6_crossvalid[[#This Row],[cutoff]]),DAY(m6_crossvalid[[#This Row],[cutoff]]))</f>
        <v>46022</v>
      </c>
      <c r="B380" s="7">
        <f>DATE(YEAR(m6_crossvalid[[#This Row],[ds]]),MONTH(m6_crossvalid[[#This Row],[ds]]),DAY(m6_crossvalid[[#This Row],[ds]]))</f>
        <v>46029</v>
      </c>
      <c r="C380">
        <v>531.99999999999989</v>
      </c>
      <c r="D380" s="1">
        <v>46029.333333333336</v>
      </c>
      <c r="E380">
        <v>705.26513523444692</v>
      </c>
      <c r="F380">
        <v>370.75181111578723</v>
      </c>
      <c r="G380">
        <v>1305.1998606782097</v>
      </c>
      <c r="H380" s="1">
        <v>46022.333333333336</v>
      </c>
    </row>
    <row r="381" spans="1:8" x14ac:dyDescent="0.25">
      <c r="A381" s="7">
        <f>DATE(YEAR(m6_crossvalid[[#This Row],[cutoff]]),MONTH(m6_crossvalid[[#This Row],[cutoff]]),DAY(m6_crossvalid[[#This Row],[cutoff]]))</f>
        <v>46022</v>
      </c>
      <c r="B381" s="7">
        <f>DATE(YEAR(m6_crossvalid[[#This Row],[ds]]),MONTH(m6_crossvalid[[#This Row],[ds]]),DAY(m6_crossvalid[[#This Row],[ds]]))</f>
        <v>46030</v>
      </c>
      <c r="C381">
        <v>658.99999999999989</v>
      </c>
      <c r="D381" s="1">
        <v>46030.333333333336</v>
      </c>
      <c r="E381">
        <v>1329.2910346841029</v>
      </c>
      <c r="F381">
        <v>663.34650156192913</v>
      </c>
      <c r="G381">
        <v>2501.9179831690644</v>
      </c>
      <c r="H381" s="1">
        <v>46022.333333333336</v>
      </c>
    </row>
    <row r="382" spans="1:8" x14ac:dyDescent="0.25">
      <c r="A382" s="7">
        <f>DATE(YEAR(m6_crossvalid[[#This Row],[cutoff]]),MONTH(m6_crossvalid[[#This Row],[cutoff]]),DAY(m6_crossvalid[[#This Row],[cutoff]]))</f>
        <v>46022</v>
      </c>
      <c r="B382" s="7">
        <f>DATE(YEAR(m6_crossvalid[[#This Row],[ds]]),MONTH(m6_crossvalid[[#This Row],[ds]]),DAY(m6_crossvalid[[#This Row],[ds]]))</f>
        <v>46031</v>
      </c>
      <c r="C382">
        <v>787.00000000000011</v>
      </c>
      <c r="D382" s="1">
        <v>46031.333333333336</v>
      </c>
      <c r="E382">
        <v>1156.8725194500623</v>
      </c>
      <c r="F382">
        <v>614.05141985274759</v>
      </c>
      <c r="G382">
        <v>2321.6744308963525</v>
      </c>
      <c r="H382" s="1">
        <v>46022.333333333336</v>
      </c>
    </row>
    <row r="383" spans="1:8" x14ac:dyDescent="0.25">
      <c r="A383" s="7">
        <f>DATE(YEAR(m6_crossvalid[[#This Row],[cutoff]]),MONTH(m6_crossvalid[[#This Row],[cutoff]]),DAY(m6_crossvalid[[#This Row],[cutoff]]))</f>
        <v>46022</v>
      </c>
      <c r="B383" s="7">
        <f>DATE(YEAR(m6_crossvalid[[#This Row],[ds]]),MONTH(m6_crossvalid[[#This Row],[ds]]),DAY(m6_crossvalid[[#This Row],[ds]]))</f>
        <v>46032</v>
      </c>
      <c r="C383">
        <v>137.00000000000006</v>
      </c>
      <c r="D383" s="1">
        <v>46032.333333333336</v>
      </c>
      <c r="E383">
        <v>187.33911433587178</v>
      </c>
      <c r="F383">
        <v>94.567956895697165</v>
      </c>
      <c r="G383">
        <v>349.13661778302429</v>
      </c>
      <c r="H383" s="1">
        <v>46022.333333333336</v>
      </c>
    </row>
    <row r="384" spans="1:8" x14ac:dyDescent="0.25">
      <c r="A384" s="7">
        <f>DATE(YEAR(m6_crossvalid[[#This Row],[cutoff]]),MONTH(m6_crossvalid[[#This Row],[cutoff]]),DAY(m6_crossvalid[[#This Row],[cutoff]]))</f>
        <v>46022</v>
      </c>
      <c r="B384" s="7">
        <f>DATE(YEAR(m6_crossvalid[[#This Row],[ds]]),MONTH(m6_crossvalid[[#This Row],[ds]]),DAY(m6_crossvalid[[#This Row],[ds]]))</f>
        <v>46033</v>
      </c>
      <c r="C384">
        <v>43.999999999999993</v>
      </c>
      <c r="D384" s="1">
        <v>46033.333333333336</v>
      </c>
      <c r="E384">
        <v>70.752939198740577</v>
      </c>
      <c r="F384">
        <v>36.263440709200211</v>
      </c>
      <c r="G384">
        <v>140.67834416504365</v>
      </c>
      <c r="H384" s="1">
        <v>46022.333333333336</v>
      </c>
    </row>
    <row r="385" spans="1:8" x14ac:dyDescent="0.25">
      <c r="A385" s="7">
        <f>DATE(YEAR(m6_crossvalid[[#This Row],[cutoff]]),MONTH(m6_crossvalid[[#This Row],[cutoff]]),DAY(m6_crossvalid[[#This Row],[cutoff]]))</f>
        <v>46022</v>
      </c>
      <c r="B385" s="7">
        <f>DATE(YEAR(m6_crossvalid[[#This Row],[ds]]),MONTH(m6_crossvalid[[#This Row],[ds]]),DAY(m6_crossvalid[[#This Row],[ds]]))</f>
        <v>46034</v>
      </c>
      <c r="C385">
        <v>779.00000000000011</v>
      </c>
      <c r="D385" s="1">
        <v>46034.333333333336</v>
      </c>
      <c r="E385">
        <v>1022.8148347729639</v>
      </c>
      <c r="F385">
        <v>524.28829319283375</v>
      </c>
      <c r="G385">
        <v>1969.7537185658509</v>
      </c>
      <c r="H385" s="1">
        <v>46022.333333333336</v>
      </c>
    </row>
    <row r="386" spans="1:8" x14ac:dyDescent="0.25">
      <c r="A386" s="7">
        <f>DATE(YEAR(m6_crossvalid[[#This Row],[cutoff]]),MONTH(m6_crossvalid[[#This Row],[cutoff]]),DAY(m6_crossvalid[[#This Row],[cutoff]]))</f>
        <v>46022</v>
      </c>
      <c r="B386" s="7">
        <f>DATE(YEAR(m6_crossvalid[[#This Row],[ds]]),MONTH(m6_crossvalid[[#This Row],[ds]]),DAY(m6_crossvalid[[#This Row],[ds]]))</f>
        <v>46035</v>
      </c>
      <c r="C386">
        <v>1113.0000000000005</v>
      </c>
      <c r="D386" s="1">
        <v>46035.333333333336</v>
      </c>
      <c r="E386">
        <v>1457.9863115451369</v>
      </c>
      <c r="F386">
        <v>739.13808098058439</v>
      </c>
      <c r="G386">
        <v>2846.305358142672</v>
      </c>
      <c r="H386" s="1">
        <v>46022.333333333336</v>
      </c>
    </row>
    <row r="387" spans="1:8" x14ac:dyDescent="0.25">
      <c r="A387" s="7">
        <f>DATE(YEAR(m6_crossvalid[[#This Row],[cutoff]]),MONTH(m6_crossvalid[[#This Row],[cutoff]]),DAY(m6_crossvalid[[#This Row],[cutoff]]))</f>
        <v>46022</v>
      </c>
      <c r="B387" s="7">
        <f>DATE(YEAR(m6_crossvalid[[#This Row],[ds]]),MONTH(m6_crossvalid[[#This Row],[ds]]),DAY(m6_crossvalid[[#This Row],[ds]]))</f>
        <v>46036</v>
      </c>
      <c r="C387">
        <v>1419.0000000000005</v>
      </c>
      <c r="D387" s="1">
        <v>46036.333333333336</v>
      </c>
      <c r="E387">
        <v>1683.3226860491907</v>
      </c>
      <c r="F387">
        <v>816.28670194975427</v>
      </c>
      <c r="G387">
        <v>3420.2642149902758</v>
      </c>
      <c r="H387" s="1">
        <v>46022.333333333336</v>
      </c>
    </row>
    <row r="388" spans="1:8" x14ac:dyDescent="0.25">
      <c r="A388" s="7">
        <f>DATE(YEAR(m6_crossvalid[[#This Row],[cutoff]]),MONTH(m6_crossvalid[[#This Row],[cutoff]]),DAY(m6_crossvalid[[#This Row],[cutoff]]))</f>
        <v>46022</v>
      </c>
      <c r="B388" s="7">
        <f>DATE(YEAR(m6_crossvalid[[#This Row],[ds]]),MONTH(m6_crossvalid[[#This Row],[ds]]),DAY(m6_crossvalid[[#This Row],[ds]]))</f>
        <v>46037</v>
      </c>
      <c r="C388">
        <v>1874</v>
      </c>
      <c r="D388" s="1">
        <v>46037.333333333336</v>
      </c>
      <c r="E388">
        <v>1840.8183760484671</v>
      </c>
      <c r="F388">
        <v>936.40044199733893</v>
      </c>
      <c r="G388">
        <v>3528.9157451025012</v>
      </c>
      <c r="H388" s="1">
        <v>46022.333333333336</v>
      </c>
    </row>
    <row r="389" spans="1:8" x14ac:dyDescent="0.25">
      <c r="A389" s="7">
        <f>DATE(YEAR(m6_crossvalid[[#This Row],[cutoff]]),MONTH(m6_crossvalid[[#This Row],[cutoff]]),DAY(m6_crossvalid[[#This Row],[cutoff]]))</f>
        <v>46022</v>
      </c>
      <c r="B389" s="7">
        <f>DATE(YEAR(m6_crossvalid[[#This Row],[ds]]),MONTH(m6_crossvalid[[#This Row],[ds]]),DAY(m6_crossvalid[[#This Row],[ds]]))</f>
        <v>46038</v>
      </c>
      <c r="C389">
        <v>2020.0000000000005</v>
      </c>
      <c r="D389" s="1">
        <v>46038.333333333336</v>
      </c>
      <c r="E389">
        <v>1836.537008092673</v>
      </c>
      <c r="F389">
        <v>913.35814723332737</v>
      </c>
      <c r="G389">
        <v>3466.9926732754052</v>
      </c>
      <c r="H389" s="1">
        <v>46022.333333333336</v>
      </c>
    </row>
    <row r="390" spans="1:8" x14ac:dyDescent="0.25">
      <c r="A390" s="7">
        <f>DATE(YEAR(m6_crossvalid[[#This Row],[cutoff]]),MONTH(m6_crossvalid[[#This Row],[cutoff]]),DAY(m6_crossvalid[[#This Row],[cutoff]]))</f>
        <v>46022</v>
      </c>
      <c r="B390" s="7">
        <f>DATE(YEAR(m6_crossvalid[[#This Row],[ds]]),MONTH(m6_crossvalid[[#This Row],[ds]]),DAY(m6_crossvalid[[#This Row],[ds]]))</f>
        <v>46039</v>
      </c>
      <c r="C390">
        <v>451.00000000000017</v>
      </c>
      <c r="D390" s="1">
        <v>46039.333333333336</v>
      </c>
      <c r="E390">
        <v>337.52932109194751</v>
      </c>
      <c r="F390">
        <v>172.6304812632433</v>
      </c>
      <c r="G390">
        <v>684.27311796948493</v>
      </c>
      <c r="H390" s="1">
        <v>46022.333333333336</v>
      </c>
    </row>
    <row r="391" spans="1:8" x14ac:dyDescent="0.25">
      <c r="A391" s="7">
        <f>DATE(YEAR(m6_crossvalid[[#This Row],[cutoff]]),MONTH(m6_crossvalid[[#This Row],[cutoff]]),DAY(m6_crossvalid[[#This Row],[cutoff]]))</f>
        <v>46022</v>
      </c>
      <c r="B391" s="7">
        <f>DATE(YEAR(m6_crossvalid[[#This Row],[ds]]),MONTH(m6_crossvalid[[#This Row],[ds]]),DAY(m6_crossvalid[[#This Row],[ds]]))</f>
        <v>46040</v>
      </c>
      <c r="C391">
        <v>76.000000000000014</v>
      </c>
      <c r="D391" s="1">
        <v>46040.333333333336</v>
      </c>
      <c r="E391">
        <v>136.57835595718956</v>
      </c>
      <c r="F391">
        <v>71.023969633139117</v>
      </c>
      <c r="G391">
        <v>270.86612039691698</v>
      </c>
      <c r="H391" s="1">
        <v>46022.333333333336</v>
      </c>
    </row>
    <row r="392" spans="1:8" x14ac:dyDescent="0.25">
      <c r="A392" s="7">
        <f>DATE(YEAR(m6_crossvalid[[#This Row],[cutoff]]),MONTH(m6_crossvalid[[#This Row],[cutoff]]),DAY(m6_crossvalid[[#This Row],[cutoff]]))</f>
        <v>46022</v>
      </c>
      <c r="B392" s="7">
        <f>DATE(YEAR(m6_crossvalid[[#This Row],[ds]]),MONTH(m6_crossvalid[[#This Row],[ds]]),DAY(m6_crossvalid[[#This Row],[ds]]))</f>
        <v>46041</v>
      </c>
      <c r="C392">
        <v>1963</v>
      </c>
      <c r="D392" s="1">
        <v>46041.333333333336</v>
      </c>
      <c r="E392">
        <v>1951.5254459281098</v>
      </c>
      <c r="F392">
        <v>1016.3901253732419</v>
      </c>
      <c r="G392">
        <v>3808.3273019136059</v>
      </c>
      <c r="H392" s="1">
        <v>46022.333333333336</v>
      </c>
    </row>
    <row r="393" spans="1:8" x14ac:dyDescent="0.25">
      <c r="A393" s="7">
        <f>DATE(YEAR(m6_crossvalid[[#This Row],[cutoff]]),MONTH(m6_crossvalid[[#This Row],[cutoff]]),DAY(m6_crossvalid[[#This Row],[cutoff]]))</f>
        <v>46022</v>
      </c>
      <c r="B393" s="7">
        <f>DATE(YEAR(m6_crossvalid[[#This Row],[ds]]),MONTH(m6_crossvalid[[#This Row],[ds]]),DAY(m6_crossvalid[[#This Row],[ds]]))</f>
        <v>46042</v>
      </c>
      <c r="C393">
        <v>2481</v>
      </c>
      <c r="D393" s="1">
        <v>46042.333333333336</v>
      </c>
      <c r="E393">
        <v>2684.0598625962512</v>
      </c>
      <c r="F393">
        <v>1389.8715242418295</v>
      </c>
      <c r="G393">
        <v>5064.7251757099766</v>
      </c>
      <c r="H393" s="1">
        <v>46022.333333333336</v>
      </c>
    </row>
    <row r="394" spans="1:8" x14ac:dyDescent="0.25">
      <c r="A394" s="7">
        <f>DATE(YEAR(m6_crossvalid[[#This Row],[cutoff]]),MONTH(m6_crossvalid[[#This Row],[cutoff]]),DAY(m6_crossvalid[[#This Row],[cutoff]]))</f>
        <v>46022</v>
      </c>
      <c r="B394" s="7">
        <f>DATE(YEAR(m6_crossvalid[[#This Row],[ds]]),MONTH(m6_crossvalid[[#This Row],[ds]]),DAY(m6_crossvalid[[#This Row],[ds]]))</f>
        <v>46043</v>
      </c>
      <c r="C394">
        <v>2679</v>
      </c>
      <c r="D394" s="1">
        <v>46043.333333333336</v>
      </c>
      <c r="E394">
        <v>3068.8275070200361</v>
      </c>
      <c r="F394">
        <v>1598.7339470713503</v>
      </c>
      <c r="G394">
        <v>5731.6267814064549</v>
      </c>
      <c r="H394" s="1">
        <v>46022.333333333336</v>
      </c>
    </row>
    <row r="395" spans="1:8" x14ac:dyDescent="0.25">
      <c r="A395" s="7">
        <f>DATE(YEAR(m6_crossvalid[[#This Row],[cutoff]]),MONTH(m6_crossvalid[[#This Row],[cutoff]]),DAY(m6_crossvalid[[#This Row],[cutoff]]))</f>
        <v>46022</v>
      </c>
      <c r="B395" s="7">
        <f>DATE(YEAR(m6_crossvalid[[#This Row],[ds]]),MONTH(m6_crossvalid[[#This Row],[ds]]),DAY(m6_crossvalid[[#This Row],[ds]]))</f>
        <v>46044</v>
      </c>
      <c r="C395">
        <v>2829.9999999999995</v>
      </c>
      <c r="D395" s="1">
        <v>46044.333333333336</v>
      </c>
      <c r="E395">
        <v>3491.6806531036814</v>
      </c>
      <c r="F395">
        <v>1816.8269593073353</v>
      </c>
      <c r="G395">
        <v>7056.2315035455322</v>
      </c>
      <c r="H395" s="1">
        <v>46022.333333333336</v>
      </c>
    </row>
    <row r="396" spans="1:8" x14ac:dyDescent="0.25">
      <c r="A396" s="7">
        <f>DATE(YEAR(m6_crossvalid[[#This Row],[cutoff]]),MONTH(m6_crossvalid[[#This Row],[cutoff]]),DAY(m6_crossvalid[[#This Row],[cutoff]]))</f>
        <v>46022</v>
      </c>
      <c r="B396" s="7">
        <f>DATE(YEAR(m6_crossvalid[[#This Row],[ds]]),MONTH(m6_crossvalid[[#This Row],[ds]]),DAY(m6_crossvalid[[#This Row],[ds]]))</f>
        <v>46045</v>
      </c>
      <c r="C396">
        <v>2999.9999999999995</v>
      </c>
      <c r="D396" s="1">
        <v>46045.333333333336</v>
      </c>
      <c r="E396">
        <v>3696.9410329101402</v>
      </c>
      <c r="F396">
        <v>1907.5262273877722</v>
      </c>
      <c r="G396">
        <v>7087.9311722972961</v>
      </c>
      <c r="H396" s="1">
        <v>46022.333333333336</v>
      </c>
    </row>
    <row r="397" spans="1:8" x14ac:dyDescent="0.25">
      <c r="A397" s="7">
        <f>DATE(YEAR(m6_crossvalid[[#This Row],[cutoff]]),MONTH(m6_crossvalid[[#This Row],[cutoff]]),DAY(m6_crossvalid[[#This Row],[cutoff]]))</f>
        <v>46022</v>
      </c>
      <c r="B397" s="7">
        <f>DATE(YEAR(m6_crossvalid[[#This Row],[ds]]),MONTH(m6_crossvalid[[#This Row],[ds]]),DAY(m6_crossvalid[[#This Row],[ds]]))</f>
        <v>46046</v>
      </c>
      <c r="C397">
        <v>902</v>
      </c>
      <c r="D397" s="1">
        <v>46046.333333333336</v>
      </c>
      <c r="E397">
        <v>696.31774247900842</v>
      </c>
      <c r="F397">
        <v>348.52722790708418</v>
      </c>
      <c r="G397">
        <v>1356.255668635346</v>
      </c>
      <c r="H397" s="1">
        <v>46022.333333333336</v>
      </c>
    </row>
    <row r="398" spans="1:8" x14ac:dyDescent="0.25">
      <c r="A398" s="7">
        <f>DATE(YEAR(m6_crossvalid[[#This Row],[cutoff]]),MONTH(m6_crossvalid[[#This Row],[cutoff]]),DAY(m6_crossvalid[[#This Row],[cutoff]]))</f>
        <v>46022</v>
      </c>
      <c r="B398" s="7">
        <f>DATE(YEAR(m6_crossvalid[[#This Row],[ds]]),MONTH(m6_crossvalid[[#This Row],[ds]]),DAY(m6_crossvalid[[#This Row],[ds]]))</f>
        <v>46047</v>
      </c>
      <c r="C398">
        <v>150</v>
      </c>
      <c r="D398" s="1">
        <v>46047.333333333336</v>
      </c>
      <c r="E398">
        <v>269.33779750210624</v>
      </c>
      <c r="F398">
        <v>134.36972929318233</v>
      </c>
      <c r="G398">
        <v>524.25874012787494</v>
      </c>
      <c r="H398" s="1">
        <v>46022.333333333336</v>
      </c>
    </row>
    <row r="399" spans="1:8" x14ac:dyDescent="0.25">
      <c r="A399" s="7">
        <f>DATE(YEAR(m6_crossvalid[[#This Row],[cutoff]]),MONTH(m6_crossvalid[[#This Row],[cutoff]]),DAY(m6_crossvalid[[#This Row],[cutoff]]))</f>
        <v>46022</v>
      </c>
      <c r="B399" s="7">
        <f>DATE(YEAR(m6_crossvalid[[#This Row],[ds]]),MONTH(m6_crossvalid[[#This Row],[ds]]),DAY(m6_crossvalid[[#This Row],[ds]]))</f>
        <v>46048</v>
      </c>
      <c r="C399">
        <v>3603</v>
      </c>
      <c r="D399" s="1">
        <v>46048.333333333336</v>
      </c>
      <c r="E399">
        <v>3450.6398158051002</v>
      </c>
      <c r="F399">
        <v>1831.2438368424473</v>
      </c>
      <c r="G399">
        <v>6781.1032568697528</v>
      </c>
      <c r="H399" s="1">
        <v>46022.333333333336</v>
      </c>
    </row>
    <row r="400" spans="1:8" x14ac:dyDescent="0.25">
      <c r="A400" s="7">
        <f>DATE(YEAR(m6_crossvalid[[#This Row],[cutoff]]),MONTH(m6_crossvalid[[#This Row],[cutoff]]),DAY(m6_crossvalid[[#This Row],[cutoff]]))</f>
        <v>46022</v>
      </c>
      <c r="B400" s="7">
        <f>DATE(YEAR(m6_crossvalid[[#This Row],[ds]]),MONTH(m6_crossvalid[[#This Row],[ds]]),DAY(m6_crossvalid[[#This Row],[ds]]))</f>
        <v>46049</v>
      </c>
      <c r="C400">
        <v>4547.9999999999964</v>
      </c>
      <c r="D400" s="1">
        <v>46049.333333333336</v>
      </c>
      <c r="E400">
        <v>8291.1559375890556</v>
      </c>
      <c r="F400">
        <v>4404.9754323440729</v>
      </c>
      <c r="G400">
        <v>15952.819786881524</v>
      </c>
      <c r="H400" s="1">
        <v>46022.333333333336</v>
      </c>
    </row>
    <row r="401" spans="1:8" x14ac:dyDescent="0.25">
      <c r="A401" s="7">
        <f>DATE(YEAR(m6_crossvalid[[#This Row],[cutoff]]),MONTH(m6_crossvalid[[#This Row],[cutoff]]),DAY(m6_crossvalid[[#This Row],[cutoff]]))</f>
        <v>46022</v>
      </c>
      <c r="B401" s="7">
        <f>DATE(YEAR(m6_crossvalid[[#This Row],[ds]]),MONTH(m6_crossvalid[[#This Row],[ds]]),DAY(m6_crossvalid[[#This Row],[ds]]))</f>
        <v>46050</v>
      </c>
      <c r="C401">
        <v>5313.0000000000018</v>
      </c>
      <c r="D401" s="1">
        <v>46050.333333333336</v>
      </c>
      <c r="E401">
        <v>8346.4168769648422</v>
      </c>
      <c r="F401">
        <v>4365.9788408536569</v>
      </c>
      <c r="G401">
        <v>16526.742483993083</v>
      </c>
      <c r="H401" s="1">
        <v>46022.333333333336</v>
      </c>
    </row>
    <row r="402" spans="1:8" x14ac:dyDescent="0.25">
      <c r="A402" s="7">
        <f>DATE(YEAR(m6_crossvalid[[#This Row],[cutoff]]),MONTH(m6_crossvalid[[#This Row],[cutoff]]),DAY(m6_crossvalid[[#This Row],[cutoff]]))</f>
        <v>46022</v>
      </c>
      <c r="B402" s="7">
        <f>DATE(YEAR(m6_crossvalid[[#This Row],[ds]]),MONTH(m6_crossvalid[[#This Row],[ds]]),DAY(m6_crossvalid[[#This Row],[ds]]))</f>
        <v>46051</v>
      </c>
      <c r="C402">
        <v>7325.9999999999982</v>
      </c>
      <c r="D402" s="1">
        <v>46051.333333333336</v>
      </c>
      <c r="E402">
        <v>8206.6027162080445</v>
      </c>
      <c r="F402">
        <v>4036.7854887889866</v>
      </c>
      <c r="G402">
        <v>16122.430982630183</v>
      </c>
      <c r="H402" s="1">
        <v>46022.333333333336</v>
      </c>
    </row>
    <row r="403" spans="1:8" x14ac:dyDescent="0.25">
      <c r="A403" s="7">
        <f>DATE(YEAR(m6_crossvalid[[#This Row],[cutoff]]),MONTH(m6_crossvalid[[#This Row],[cutoff]]),DAY(m6_crossvalid[[#This Row],[cutoff]]))</f>
        <v>46022</v>
      </c>
      <c r="B403" s="7">
        <f>DATE(YEAR(m6_crossvalid[[#This Row],[ds]]),MONTH(m6_crossvalid[[#This Row],[ds]]),DAY(m6_crossvalid[[#This Row],[ds]]))</f>
        <v>46052</v>
      </c>
      <c r="C403">
        <v>10275.999999999998</v>
      </c>
      <c r="D403" s="1">
        <v>46052.333333333336</v>
      </c>
      <c r="E403">
        <v>13815.933118554725</v>
      </c>
      <c r="F403">
        <v>6787.0757059090856</v>
      </c>
      <c r="G403">
        <v>26570.495840633339</v>
      </c>
      <c r="H403" s="1">
        <v>46022.333333333336</v>
      </c>
    </row>
    <row r="404" spans="1:8" x14ac:dyDescent="0.25">
      <c r="A404" s="7">
        <f>DATE(YEAR(m6_crossvalid[[#This Row],[cutoff]]),MONTH(m6_crossvalid[[#This Row],[cutoff]]),DAY(m6_crossvalid[[#This Row],[cutoff]]))</f>
        <v>46022</v>
      </c>
      <c r="B404" s="7">
        <f>DATE(YEAR(m6_crossvalid[[#This Row],[ds]]),MONTH(m6_crossvalid[[#This Row],[ds]]),DAY(m6_crossvalid[[#This Row],[ds]]))</f>
        <v>46053</v>
      </c>
      <c r="C404">
        <v>7990.9999999999982</v>
      </c>
      <c r="D404" s="1">
        <v>46053.333333333336</v>
      </c>
      <c r="E404">
        <v>3283.3141314947984</v>
      </c>
      <c r="F404">
        <v>1770.9528180575282</v>
      </c>
      <c r="G404">
        <v>6370.3191389724634</v>
      </c>
      <c r="H404" s="1">
        <v>46022.333333333336</v>
      </c>
    </row>
    <row r="405" spans="1:8" x14ac:dyDescent="0.25">
      <c r="A405" s="7">
        <f>DATE(YEAR(m6_crossvalid[[#This Row],[cutoff]]),MONTH(m6_crossvalid[[#This Row],[cutoff]]),DAY(m6_crossvalid[[#This Row],[cutoff]]))</f>
        <v>46053</v>
      </c>
      <c r="B405" s="7">
        <f>DATE(YEAR(m6_crossvalid[[#This Row],[ds]]),MONTH(m6_crossvalid[[#This Row],[ds]]),DAY(m6_crossvalid[[#This Row],[ds]]))</f>
        <v>46054</v>
      </c>
      <c r="C405">
        <v>26</v>
      </c>
      <c r="D405" s="1">
        <v>46054.333333333336</v>
      </c>
      <c r="E405">
        <v>6.0554246927844151</v>
      </c>
      <c r="F405">
        <v>2.59374501546684</v>
      </c>
      <c r="G405">
        <v>12.304791546905097</v>
      </c>
      <c r="H405" s="1">
        <v>46053.333333333336</v>
      </c>
    </row>
    <row r="406" spans="1:8" x14ac:dyDescent="0.25">
      <c r="A406" s="7">
        <f>DATE(YEAR(m6_crossvalid[[#This Row],[cutoff]]),MONTH(m6_crossvalid[[#This Row],[cutoff]]),DAY(m6_crossvalid[[#This Row],[cutoff]]))</f>
        <v>46053</v>
      </c>
      <c r="B406" s="7">
        <f>DATE(YEAR(m6_crossvalid[[#This Row],[ds]]),MONTH(m6_crossvalid[[#This Row],[ds]]),DAY(m6_crossvalid[[#This Row],[ds]]))</f>
        <v>46055</v>
      </c>
      <c r="C406">
        <v>134.00000000000003</v>
      </c>
      <c r="D406" s="1">
        <v>46055.333333333336</v>
      </c>
      <c r="E406">
        <v>52.518483811839097</v>
      </c>
      <c r="F406">
        <v>26.125796602612446</v>
      </c>
      <c r="G406">
        <v>104.54616066784885</v>
      </c>
      <c r="H406" s="1">
        <v>46053.333333333336</v>
      </c>
    </row>
    <row r="407" spans="1:8" x14ac:dyDescent="0.25">
      <c r="A407" s="7">
        <f>DATE(YEAR(m6_crossvalid[[#This Row],[cutoff]]),MONTH(m6_crossvalid[[#This Row],[cutoff]]),DAY(m6_crossvalid[[#This Row],[cutoff]]))</f>
        <v>46053</v>
      </c>
      <c r="B407" s="7">
        <f>DATE(YEAR(m6_crossvalid[[#This Row],[ds]]),MONTH(m6_crossvalid[[#This Row],[ds]]),DAY(m6_crossvalid[[#This Row],[ds]]))</f>
        <v>46056</v>
      </c>
      <c r="C407">
        <v>521.00000000000023</v>
      </c>
      <c r="D407" s="1">
        <v>46056.333333333336</v>
      </c>
      <c r="E407">
        <v>96.412875355932968</v>
      </c>
      <c r="F407">
        <v>49.011956048488926</v>
      </c>
      <c r="G407">
        <v>186.71602370575405</v>
      </c>
      <c r="H407" s="1">
        <v>46053.333333333336</v>
      </c>
    </row>
    <row r="408" spans="1:8" x14ac:dyDescent="0.25">
      <c r="A408" s="7">
        <f>DATE(YEAR(m6_crossvalid[[#This Row],[cutoff]]),MONTH(m6_crossvalid[[#This Row],[cutoff]]),DAY(m6_crossvalid[[#This Row],[cutoff]]))</f>
        <v>46053</v>
      </c>
      <c r="B408" s="7">
        <f>DATE(YEAR(m6_crossvalid[[#This Row],[ds]]),MONTH(m6_crossvalid[[#This Row],[ds]]),DAY(m6_crossvalid[[#This Row],[ds]]))</f>
        <v>46057</v>
      </c>
      <c r="C408">
        <v>696.00000000000011</v>
      </c>
      <c r="D408" s="1">
        <v>46057.333333333336</v>
      </c>
      <c r="E408">
        <v>955.45885182466418</v>
      </c>
      <c r="F408">
        <v>515.26974237263835</v>
      </c>
      <c r="G408">
        <v>1954.5497879238733</v>
      </c>
      <c r="H408" s="1">
        <v>46053.333333333336</v>
      </c>
    </row>
    <row r="409" spans="1:8" x14ac:dyDescent="0.25">
      <c r="A409" s="7">
        <f>DATE(YEAR(m6_crossvalid[[#This Row],[cutoff]]),MONTH(m6_crossvalid[[#This Row],[cutoff]]),DAY(m6_crossvalid[[#This Row],[cutoff]]))</f>
        <v>46053</v>
      </c>
      <c r="B409" s="7">
        <f>DATE(YEAR(m6_crossvalid[[#This Row],[ds]]),MONTH(m6_crossvalid[[#This Row],[ds]]),DAY(m6_crossvalid[[#This Row],[ds]]))</f>
        <v>46058</v>
      </c>
      <c r="C409">
        <v>1038</v>
      </c>
      <c r="D409" s="1">
        <v>46058.333333333336</v>
      </c>
      <c r="E409">
        <v>1070.7712693430778</v>
      </c>
      <c r="F409">
        <v>543.46548893732506</v>
      </c>
      <c r="G409">
        <v>2110.4113851441898</v>
      </c>
      <c r="H409" s="1">
        <v>46053.333333333336</v>
      </c>
    </row>
    <row r="410" spans="1:8" x14ac:dyDescent="0.25">
      <c r="A410" s="7">
        <f>DATE(YEAR(m6_crossvalid[[#This Row],[cutoff]]),MONTH(m6_crossvalid[[#This Row],[cutoff]]),DAY(m6_crossvalid[[#This Row],[cutoff]]))</f>
        <v>46053</v>
      </c>
      <c r="B410" s="7">
        <f>DATE(YEAR(m6_crossvalid[[#This Row],[ds]]),MONTH(m6_crossvalid[[#This Row],[ds]]),DAY(m6_crossvalid[[#This Row],[ds]]))</f>
        <v>46059</v>
      </c>
      <c r="C410">
        <v>1414.0000000000002</v>
      </c>
      <c r="D410" s="1">
        <v>46059.333333333336</v>
      </c>
      <c r="E410">
        <v>1044.2414246035635</v>
      </c>
      <c r="F410">
        <v>506.78222272694074</v>
      </c>
      <c r="G410">
        <v>2074.4562326824835</v>
      </c>
      <c r="H410" s="1">
        <v>46053.333333333336</v>
      </c>
    </row>
    <row r="411" spans="1:8" x14ac:dyDescent="0.25">
      <c r="A411" s="7">
        <f>DATE(YEAR(m6_crossvalid[[#This Row],[cutoff]]),MONTH(m6_crossvalid[[#This Row],[cutoff]]),DAY(m6_crossvalid[[#This Row],[cutoff]]))</f>
        <v>46053</v>
      </c>
      <c r="B411" s="7">
        <f>DATE(YEAR(m6_crossvalid[[#This Row],[ds]]),MONTH(m6_crossvalid[[#This Row],[ds]]),DAY(m6_crossvalid[[#This Row],[ds]]))</f>
        <v>46060</v>
      </c>
      <c r="C411">
        <v>286.00000000000006</v>
      </c>
      <c r="D411" s="1">
        <v>46060.333333333336</v>
      </c>
      <c r="E411">
        <v>168.77517796368829</v>
      </c>
      <c r="F411">
        <v>85.389273863926221</v>
      </c>
      <c r="G411">
        <v>338.18048809222898</v>
      </c>
      <c r="H411" s="1">
        <v>46053.333333333336</v>
      </c>
    </row>
    <row r="412" spans="1:8" x14ac:dyDescent="0.25">
      <c r="A412" s="7">
        <f>DATE(YEAR(m6_crossvalid[[#This Row],[cutoff]]),MONTH(m6_crossvalid[[#This Row],[cutoff]]),DAY(m6_crossvalid[[#This Row],[cutoff]]))</f>
        <v>46053</v>
      </c>
      <c r="B412" s="7">
        <f>DATE(YEAR(m6_crossvalid[[#This Row],[ds]]),MONTH(m6_crossvalid[[#This Row],[ds]]),DAY(m6_crossvalid[[#This Row],[ds]]))</f>
        <v>46061</v>
      </c>
      <c r="C412">
        <v>82.000000000000028</v>
      </c>
      <c r="D412" s="1">
        <v>46061.333333333336</v>
      </c>
      <c r="E412">
        <v>102.02065223122338</v>
      </c>
      <c r="F412">
        <v>51.64142656672049</v>
      </c>
      <c r="G412">
        <v>209.79643534367307</v>
      </c>
      <c r="H412" s="1">
        <v>46053.333333333336</v>
      </c>
    </row>
    <row r="413" spans="1:8" x14ac:dyDescent="0.25">
      <c r="A413" s="7">
        <f>DATE(YEAR(m6_crossvalid[[#This Row],[cutoff]]),MONTH(m6_crossvalid[[#This Row],[cutoff]]),DAY(m6_crossvalid[[#This Row],[cutoff]]))</f>
        <v>46053</v>
      </c>
      <c r="B413" s="7">
        <f>DATE(YEAR(m6_crossvalid[[#This Row],[ds]]),MONTH(m6_crossvalid[[#This Row],[ds]]),DAY(m6_crossvalid[[#This Row],[ds]]))</f>
        <v>46062</v>
      </c>
      <c r="C413">
        <v>1901.9999999999993</v>
      </c>
      <c r="D413" s="1">
        <v>46062.333333333336</v>
      </c>
      <c r="E413">
        <v>1202.7839250603674</v>
      </c>
      <c r="F413">
        <v>653.16392605397539</v>
      </c>
      <c r="G413">
        <v>2257.0239473106185</v>
      </c>
      <c r="H413" s="1">
        <v>46053.333333333336</v>
      </c>
    </row>
    <row r="414" spans="1:8" x14ac:dyDescent="0.25">
      <c r="A414" s="7">
        <f>DATE(YEAR(m6_crossvalid[[#This Row],[cutoff]]),MONTH(m6_crossvalid[[#This Row],[cutoff]]),DAY(m6_crossvalid[[#This Row],[cutoff]]))</f>
        <v>46053</v>
      </c>
      <c r="B414" s="7">
        <f>DATE(YEAR(m6_crossvalid[[#This Row],[ds]]),MONTH(m6_crossvalid[[#This Row],[ds]]),DAY(m6_crossvalid[[#This Row],[ds]]))</f>
        <v>46063</v>
      </c>
      <c r="C414">
        <v>2288.0000000000005</v>
      </c>
      <c r="D414" s="1">
        <v>46063.333333333336</v>
      </c>
      <c r="E414">
        <v>1502.8170676957911</v>
      </c>
      <c r="F414">
        <v>755.14987232001965</v>
      </c>
      <c r="G414">
        <v>2929.5490265623885</v>
      </c>
      <c r="H414" s="1">
        <v>46053.333333333336</v>
      </c>
    </row>
    <row r="415" spans="1:8" x14ac:dyDescent="0.25">
      <c r="A415" s="7">
        <f>DATE(YEAR(m6_crossvalid[[#This Row],[cutoff]]),MONTH(m6_crossvalid[[#This Row],[cutoff]]),DAY(m6_crossvalid[[#This Row],[cutoff]]))</f>
        <v>46053</v>
      </c>
      <c r="B415" s="7">
        <f>DATE(YEAR(m6_crossvalid[[#This Row],[ds]]),MONTH(m6_crossvalid[[#This Row],[ds]]),DAY(m6_crossvalid[[#This Row],[ds]]))</f>
        <v>46064</v>
      </c>
      <c r="C415">
        <v>2663.0000000000009</v>
      </c>
      <c r="D415" s="1">
        <v>46064.333333333336</v>
      </c>
      <c r="E415">
        <v>1718.8187046467253</v>
      </c>
      <c r="F415">
        <v>888.28708215295057</v>
      </c>
      <c r="G415">
        <v>3391.2946723947607</v>
      </c>
      <c r="H415" s="1">
        <v>46053.333333333336</v>
      </c>
    </row>
    <row r="416" spans="1:8" x14ac:dyDescent="0.25">
      <c r="A416" s="7">
        <f>DATE(YEAR(m6_crossvalid[[#This Row],[cutoff]]),MONTH(m6_crossvalid[[#This Row],[cutoff]]),DAY(m6_crossvalid[[#This Row],[cutoff]]))</f>
        <v>46053</v>
      </c>
      <c r="B416" s="7">
        <f>DATE(YEAR(m6_crossvalid[[#This Row],[ds]]),MONTH(m6_crossvalid[[#This Row],[ds]]),DAY(m6_crossvalid[[#This Row],[ds]]))</f>
        <v>46065</v>
      </c>
      <c r="C416">
        <v>3107.9999999999995</v>
      </c>
      <c r="D416" s="1">
        <v>46065.333333333336</v>
      </c>
      <c r="E416">
        <v>2003.6470367955194</v>
      </c>
      <c r="F416">
        <v>1029.6743032742872</v>
      </c>
      <c r="G416">
        <v>3816.4635235325027</v>
      </c>
      <c r="H416" s="1">
        <v>46053.333333333336</v>
      </c>
    </row>
    <row r="417" spans="1:8" x14ac:dyDescent="0.25">
      <c r="A417" s="7">
        <f>DATE(YEAR(m6_crossvalid[[#This Row],[cutoff]]),MONTH(m6_crossvalid[[#This Row],[cutoff]]),DAY(m6_crossvalid[[#This Row],[cutoff]]))</f>
        <v>46053</v>
      </c>
      <c r="B417" s="7">
        <f>DATE(YEAR(m6_crossvalid[[#This Row],[ds]]),MONTH(m6_crossvalid[[#This Row],[ds]]),DAY(m6_crossvalid[[#This Row],[ds]]))</f>
        <v>46066</v>
      </c>
      <c r="C417">
        <v>3171.9999999999977</v>
      </c>
      <c r="D417" s="1">
        <v>46066.333333333336</v>
      </c>
      <c r="E417">
        <v>1982.8398072007956</v>
      </c>
      <c r="F417">
        <v>982.45748025489956</v>
      </c>
      <c r="G417">
        <v>3984.1084597541067</v>
      </c>
      <c r="H417" s="1">
        <v>46053.333333333336</v>
      </c>
    </row>
    <row r="418" spans="1:8" x14ac:dyDescent="0.25">
      <c r="A418" s="7">
        <f>DATE(YEAR(m6_crossvalid[[#This Row],[cutoff]]),MONTH(m6_crossvalid[[#This Row],[cutoff]]),DAY(m6_crossvalid[[#This Row],[cutoff]]))</f>
        <v>46053</v>
      </c>
      <c r="B418" s="7">
        <f>DATE(YEAR(m6_crossvalid[[#This Row],[ds]]),MONTH(m6_crossvalid[[#This Row],[ds]]),DAY(m6_crossvalid[[#This Row],[ds]]))</f>
        <v>46067</v>
      </c>
      <c r="C418">
        <v>912.99999999999966</v>
      </c>
      <c r="D418" s="1">
        <v>46067.333333333336</v>
      </c>
      <c r="E418">
        <v>333.57027579388205</v>
      </c>
      <c r="F418">
        <v>170.62621450423225</v>
      </c>
      <c r="G418">
        <v>647.64301246616276</v>
      </c>
      <c r="H418" s="1">
        <v>46053.333333333336</v>
      </c>
    </row>
    <row r="419" spans="1:8" x14ac:dyDescent="0.25">
      <c r="A419" s="7">
        <f>DATE(YEAR(m6_crossvalid[[#This Row],[cutoff]]),MONTH(m6_crossvalid[[#This Row],[cutoff]]),DAY(m6_crossvalid[[#This Row],[cutoff]]))</f>
        <v>46053</v>
      </c>
      <c r="B419" s="7">
        <f>DATE(YEAR(m6_crossvalid[[#This Row],[ds]]),MONTH(m6_crossvalid[[#This Row],[ds]]),DAY(m6_crossvalid[[#This Row],[ds]]))</f>
        <v>46068</v>
      </c>
      <c r="C419">
        <v>207.99999999999997</v>
      </c>
      <c r="D419" s="1">
        <v>46068.333333333336</v>
      </c>
      <c r="E419">
        <v>116.25212626198905</v>
      </c>
      <c r="F419">
        <v>59.924680863010558</v>
      </c>
      <c r="G419">
        <v>224.46197442967792</v>
      </c>
      <c r="H419" s="1">
        <v>46053.333333333336</v>
      </c>
    </row>
    <row r="420" spans="1:8" x14ac:dyDescent="0.25">
      <c r="A420" s="7">
        <f>DATE(YEAR(m6_crossvalid[[#This Row],[cutoff]]),MONTH(m6_crossvalid[[#This Row],[cutoff]]),DAY(m6_crossvalid[[#This Row],[cutoff]]))</f>
        <v>46053</v>
      </c>
      <c r="B420" s="7">
        <f>DATE(YEAR(m6_crossvalid[[#This Row],[ds]]),MONTH(m6_crossvalid[[#This Row],[ds]]),DAY(m6_crossvalid[[#This Row],[ds]]))</f>
        <v>46069</v>
      </c>
      <c r="C420">
        <v>1728.0000000000007</v>
      </c>
      <c r="D420" s="1">
        <v>46069.333333333336</v>
      </c>
      <c r="E420">
        <v>1528.7458129630318</v>
      </c>
      <c r="F420">
        <v>769.58217650550819</v>
      </c>
      <c r="G420">
        <v>2865.5933669872693</v>
      </c>
      <c r="H420" s="1">
        <v>46053.333333333336</v>
      </c>
    </row>
    <row r="421" spans="1:8" x14ac:dyDescent="0.25">
      <c r="A421" s="7">
        <f>DATE(YEAR(m6_crossvalid[[#This Row],[cutoff]]),MONTH(m6_crossvalid[[#This Row],[cutoff]]),DAY(m6_crossvalid[[#This Row],[cutoff]]))</f>
        <v>46053</v>
      </c>
      <c r="B421" s="7">
        <f>DATE(YEAR(m6_crossvalid[[#This Row],[ds]]),MONTH(m6_crossvalid[[#This Row],[ds]]),DAY(m6_crossvalid[[#This Row],[ds]]))</f>
        <v>46070</v>
      </c>
      <c r="C421">
        <v>26.999999999999996</v>
      </c>
      <c r="D421" s="1">
        <v>46070.333333333336</v>
      </c>
      <c r="E421">
        <v>34.540407739854103</v>
      </c>
      <c r="F421">
        <v>17.015385136114361</v>
      </c>
      <c r="G421">
        <v>68.028399607654421</v>
      </c>
      <c r="H421" s="1">
        <v>46053.333333333336</v>
      </c>
    </row>
    <row r="422" spans="1:8" x14ac:dyDescent="0.25">
      <c r="A422" s="7">
        <f>DATE(YEAR(m6_crossvalid[[#This Row],[cutoff]]),MONTH(m6_crossvalid[[#This Row],[cutoff]]),DAY(m6_crossvalid[[#This Row],[cutoff]]))</f>
        <v>46053</v>
      </c>
      <c r="B422" s="7">
        <f>DATE(YEAR(m6_crossvalid[[#This Row],[ds]]),MONTH(m6_crossvalid[[#This Row],[ds]]),DAY(m6_crossvalid[[#This Row],[ds]]))</f>
        <v>46071</v>
      </c>
      <c r="C422">
        <v>21.000000000000004</v>
      </c>
      <c r="D422" s="1">
        <v>46071.333333333336</v>
      </c>
      <c r="E422">
        <v>40.126370716295888</v>
      </c>
      <c r="F422">
        <v>20.691177855091411</v>
      </c>
      <c r="G422">
        <v>79.284090272264891</v>
      </c>
      <c r="H422" s="1">
        <v>46053.333333333336</v>
      </c>
    </row>
    <row r="423" spans="1:8" x14ac:dyDescent="0.25">
      <c r="A423" s="7">
        <f>DATE(YEAR(m6_crossvalid[[#This Row],[cutoff]]),MONTH(m6_crossvalid[[#This Row],[cutoff]]),DAY(m6_crossvalid[[#This Row],[cutoff]]))</f>
        <v>46053</v>
      </c>
      <c r="B423" s="7">
        <f>DATE(YEAR(m6_crossvalid[[#This Row],[ds]]),MONTH(m6_crossvalid[[#This Row],[ds]]),DAY(m6_crossvalid[[#This Row],[ds]]))</f>
        <v>46072</v>
      </c>
      <c r="C423">
        <v>999.99999999999989</v>
      </c>
      <c r="D423" s="1">
        <v>46072.333333333336</v>
      </c>
      <c r="E423">
        <v>2686.1930779170684</v>
      </c>
      <c r="F423">
        <v>1413.2073492492132</v>
      </c>
      <c r="G423">
        <v>5199.4782504296436</v>
      </c>
      <c r="H423" s="1">
        <v>46053.333333333336</v>
      </c>
    </row>
    <row r="424" spans="1:8" x14ac:dyDescent="0.25">
      <c r="A424" s="7">
        <f>DATE(YEAR(m6_crossvalid[[#This Row],[cutoff]]),MONTH(m6_crossvalid[[#This Row],[cutoff]]),DAY(m6_crossvalid[[#This Row],[cutoff]]))</f>
        <v>46053</v>
      </c>
      <c r="B424" s="7">
        <f>DATE(YEAR(m6_crossvalid[[#This Row],[ds]]),MONTH(m6_crossvalid[[#This Row],[ds]]),DAY(m6_crossvalid[[#This Row],[ds]]))</f>
        <v>46073</v>
      </c>
      <c r="C424">
        <v>1554.9999999999995</v>
      </c>
      <c r="D424" s="1">
        <v>46073.333333333336</v>
      </c>
      <c r="E424">
        <v>2584.9409399689571</v>
      </c>
      <c r="F424">
        <v>1311.7672675644144</v>
      </c>
      <c r="G424">
        <v>5247.7810668449692</v>
      </c>
      <c r="H424" s="1">
        <v>46053.333333333336</v>
      </c>
    </row>
    <row r="425" spans="1:8" x14ac:dyDescent="0.25">
      <c r="A425" s="7">
        <f>DATE(YEAR(m6_crossvalid[[#This Row],[cutoff]]),MONTH(m6_crossvalid[[#This Row],[cutoff]]),DAY(m6_crossvalid[[#This Row],[cutoff]]))</f>
        <v>46053</v>
      </c>
      <c r="B425" s="7">
        <f>DATE(YEAR(m6_crossvalid[[#This Row],[ds]]),MONTH(m6_crossvalid[[#This Row],[ds]]),DAY(m6_crossvalid[[#This Row],[ds]]))</f>
        <v>46074</v>
      </c>
      <c r="C425">
        <v>491.99999999999989</v>
      </c>
      <c r="D425" s="1">
        <v>46074.333333333336</v>
      </c>
      <c r="E425">
        <v>448.16330205241201</v>
      </c>
      <c r="F425">
        <v>221.09976996822829</v>
      </c>
      <c r="G425">
        <v>882.25695275040141</v>
      </c>
      <c r="H425" s="1">
        <v>46053.333333333336</v>
      </c>
    </row>
    <row r="426" spans="1:8" x14ac:dyDescent="0.25">
      <c r="A426" s="7">
        <f>DATE(YEAR(m6_crossvalid[[#This Row],[cutoff]]),MONTH(m6_crossvalid[[#This Row],[cutoff]]),DAY(m6_crossvalid[[#This Row],[cutoff]]))</f>
        <v>46053</v>
      </c>
      <c r="B426" s="7">
        <f>DATE(YEAR(m6_crossvalid[[#This Row],[ds]]),MONTH(m6_crossvalid[[#This Row],[ds]]),DAY(m6_crossvalid[[#This Row],[ds]]))</f>
        <v>46075</v>
      </c>
      <c r="C426">
        <v>158.99999999999994</v>
      </c>
      <c r="D426" s="1">
        <v>46075.333333333336</v>
      </c>
      <c r="E426">
        <v>169.75134454827719</v>
      </c>
      <c r="F426">
        <v>84.84036508292786</v>
      </c>
      <c r="G426">
        <v>332.58594661907426</v>
      </c>
      <c r="H426" s="1">
        <v>46053.333333333336</v>
      </c>
    </row>
    <row r="427" spans="1:8" x14ac:dyDescent="0.25">
      <c r="A427" s="7">
        <f>DATE(YEAR(m6_crossvalid[[#This Row],[cutoff]]),MONTH(m6_crossvalid[[#This Row],[cutoff]]),DAY(m6_crossvalid[[#This Row],[cutoff]]))</f>
        <v>46053</v>
      </c>
      <c r="B427" s="7">
        <f>DATE(YEAR(m6_crossvalid[[#This Row],[ds]]),MONTH(m6_crossvalid[[#This Row],[ds]]),DAY(m6_crossvalid[[#This Row],[ds]]))</f>
        <v>46076</v>
      </c>
      <c r="C427">
        <v>2313.0000000000009</v>
      </c>
      <c r="D427" s="1">
        <v>46076.333333333336</v>
      </c>
      <c r="E427">
        <v>2411.1541567054205</v>
      </c>
      <c r="F427">
        <v>1178.590398995095</v>
      </c>
      <c r="G427">
        <v>4705.9830890729036</v>
      </c>
      <c r="H427" s="1">
        <v>46053.333333333336</v>
      </c>
    </row>
    <row r="428" spans="1:8" x14ac:dyDescent="0.25">
      <c r="A428" s="7">
        <f>DATE(YEAR(m6_crossvalid[[#This Row],[cutoff]]),MONTH(m6_crossvalid[[#This Row],[cutoff]]),DAY(m6_crossvalid[[#This Row],[cutoff]]))</f>
        <v>46053</v>
      </c>
      <c r="B428" s="7">
        <f>DATE(YEAR(m6_crossvalid[[#This Row],[ds]]),MONTH(m6_crossvalid[[#This Row],[ds]]),DAY(m6_crossvalid[[#This Row],[ds]]))</f>
        <v>46077</v>
      </c>
      <c r="C428">
        <v>3081.0000000000018</v>
      </c>
      <c r="D428" s="1">
        <v>46077.333333333336</v>
      </c>
      <c r="E428">
        <v>6433.4089417468986</v>
      </c>
      <c r="F428">
        <v>3205.9482687711725</v>
      </c>
      <c r="G428">
        <v>12417.658391939414</v>
      </c>
      <c r="H428" s="1">
        <v>46053.333333333336</v>
      </c>
    </row>
    <row r="429" spans="1:8" x14ac:dyDescent="0.25">
      <c r="A429" s="7">
        <f>DATE(YEAR(m6_crossvalid[[#This Row],[cutoff]]),MONTH(m6_crossvalid[[#This Row],[cutoff]]),DAY(m6_crossvalid[[#This Row],[cutoff]]))</f>
        <v>46053</v>
      </c>
      <c r="B429" s="7">
        <f>DATE(YEAR(m6_crossvalid[[#This Row],[ds]]),MONTH(m6_crossvalid[[#This Row],[ds]]),DAY(m6_crossvalid[[#This Row],[ds]]))</f>
        <v>46078</v>
      </c>
      <c r="C429">
        <v>4066.0000000000027</v>
      </c>
      <c r="D429" s="1">
        <v>46078.333333333336</v>
      </c>
      <c r="E429">
        <v>7133.907594216641</v>
      </c>
      <c r="F429">
        <v>3752.8175141195652</v>
      </c>
      <c r="G429">
        <v>13380.643526468975</v>
      </c>
      <c r="H429" s="1">
        <v>46053.333333333336</v>
      </c>
    </row>
    <row r="430" spans="1:8" x14ac:dyDescent="0.25">
      <c r="A430" s="7">
        <f>DATE(YEAR(m6_crossvalid[[#This Row],[cutoff]]),MONTH(m6_crossvalid[[#This Row],[cutoff]]),DAY(m6_crossvalid[[#This Row],[cutoff]]))</f>
        <v>46053</v>
      </c>
      <c r="B430" s="7">
        <f>DATE(YEAR(m6_crossvalid[[#This Row],[ds]]),MONTH(m6_crossvalid[[#This Row],[ds]]),DAY(m6_crossvalid[[#This Row],[ds]]))</f>
        <v>46079</v>
      </c>
      <c r="C430">
        <v>5568.9999999999973</v>
      </c>
      <c r="D430" s="1">
        <v>46079.333333333336</v>
      </c>
      <c r="E430">
        <v>7432.4155503861257</v>
      </c>
      <c r="F430">
        <v>3622.1247861739284</v>
      </c>
      <c r="G430">
        <v>15019.568134997769</v>
      </c>
      <c r="H430" s="1">
        <v>46053.333333333336</v>
      </c>
    </row>
    <row r="431" spans="1:8" x14ac:dyDescent="0.25">
      <c r="A431" s="7">
        <f>DATE(YEAR(m6_crossvalid[[#This Row],[cutoff]]),MONTH(m6_crossvalid[[#This Row],[cutoff]]),DAY(m6_crossvalid[[#This Row],[cutoff]]))</f>
        <v>46053</v>
      </c>
      <c r="B431" s="7">
        <f>DATE(YEAR(m6_crossvalid[[#This Row],[ds]]),MONTH(m6_crossvalid[[#This Row],[ds]]),DAY(m6_crossvalid[[#This Row],[ds]]))</f>
        <v>46080</v>
      </c>
      <c r="C431">
        <v>8803.0000000000018</v>
      </c>
      <c r="D431" s="1">
        <v>46080.333333333336</v>
      </c>
      <c r="E431">
        <v>12736.323379695899</v>
      </c>
      <c r="F431">
        <v>6322.0063133690182</v>
      </c>
      <c r="G431">
        <v>25740.755532688047</v>
      </c>
      <c r="H431" s="1">
        <v>46053.333333333336</v>
      </c>
    </row>
    <row r="432" spans="1:8" x14ac:dyDescent="0.25">
      <c r="A432" s="7">
        <f>DATE(YEAR(m6_crossvalid[[#This Row],[cutoff]]),MONTH(m6_crossvalid[[#This Row],[cutoff]]),DAY(m6_crossvalid[[#This Row],[cutoff]]))</f>
        <v>46053</v>
      </c>
      <c r="B432" s="7">
        <f>DATE(YEAR(m6_crossvalid[[#This Row],[ds]]),MONTH(m6_crossvalid[[#This Row],[ds]]),DAY(m6_crossvalid[[#This Row],[ds]]))</f>
        <v>46081</v>
      </c>
      <c r="C432">
        <v>9424.9999999999964</v>
      </c>
      <c r="D432" s="1">
        <v>46081.333333333336</v>
      </c>
      <c r="E432">
        <v>3447.5406906339222</v>
      </c>
      <c r="F432">
        <v>1750.5530734105282</v>
      </c>
      <c r="G432">
        <v>6911.7078009456473</v>
      </c>
      <c r="H432" s="1">
        <v>46053.333333333336</v>
      </c>
    </row>
    <row r="433" spans="1:8" x14ac:dyDescent="0.25">
      <c r="A433" s="7">
        <f>DATE(YEAR(m6_crossvalid[[#This Row],[cutoff]]),MONTH(m6_crossvalid[[#This Row],[cutoff]]),DAY(m6_crossvalid[[#This Row],[cutoff]]))</f>
        <v>46053</v>
      </c>
      <c r="B433" s="7">
        <f>DATE(YEAR(m6_crossvalid[[#This Row],[ds]]),MONTH(m6_crossvalid[[#This Row],[ds]]),DAY(m6_crossvalid[[#This Row],[ds]]))</f>
        <v>46082</v>
      </c>
      <c r="C433">
        <v>40.000000000000007</v>
      </c>
      <c r="D433" s="1">
        <v>46082.333333333336</v>
      </c>
      <c r="E433">
        <v>82.201837050033149</v>
      </c>
      <c r="F433">
        <v>41.765664598036636</v>
      </c>
      <c r="G433">
        <v>167.91598314885746</v>
      </c>
      <c r="H433" s="1">
        <v>46053.333333333336</v>
      </c>
    </row>
    <row r="434" spans="1:8" x14ac:dyDescent="0.25">
      <c r="A434" s="7">
        <f>DATE(YEAR(m6_crossvalid[[#This Row],[cutoff]]),MONTH(m6_crossvalid[[#This Row],[cutoff]]),DAY(m6_crossvalid[[#This Row],[cutoff]]))</f>
        <v>46053</v>
      </c>
      <c r="B434" s="7">
        <f>DATE(YEAR(m6_crossvalid[[#This Row],[ds]]),MONTH(m6_crossvalid[[#This Row],[ds]]),DAY(m6_crossvalid[[#This Row],[ds]]))</f>
        <v>46083</v>
      </c>
      <c r="C434">
        <v>616.99999999999977</v>
      </c>
      <c r="D434" s="1">
        <v>46083.333333333336</v>
      </c>
      <c r="E434">
        <v>721.50307805632713</v>
      </c>
      <c r="F434">
        <v>359.37548629149666</v>
      </c>
      <c r="G434">
        <v>1417.6764098488807</v>
      </c>
      <c r="H434" s="1">
        <v>46053.333333333336</v>
      </c>
    </row>
    <row r="435" spans="1:8" x14ac:dyDescent="0.25">
      <c r="A435" s="7">
        <f>DATE(YEAR(m6_crossvalid[[#This Row],[cutoff]]),MONTH(m6_crossvalid[[#This Row],[cutoff]]),DAY(m6_crossvalid[[#This Row],[cutoff]]))</f>
        <v>46053</v>
      </c>
      <c r="B435" s="7">
        <f>DATE(YEAR(m6_crossvalid[[#This Row],[ds]]),MONTH(m6_crossvalid[[#This Row],[ds]]),DAY(m6_crossvalid[[#This Row],[ds]]))</f>
        <v>46084</v>
      </c>
      <c r="C435">
        <v>798.99999999999989</v>
      </c>
      <c r="D435" s="1">
        <v>46084.333333333336</v>
      </c>
      <c r="E435">
        <v>1301.0539368449295</v>
      </c>
      <c r="F435">
        <v>681.46678966321872</v>
      </c>
      <c r="G435">
        <v>2518.9368356126924</v>
      </c>
      <c r="H435" s="1">
        <v>46053.333333333336</v>
      </c>
    </row>
    <row r="436" spans="1:8" x14ac:dyDescent="0.25">
      <c r="A436" s="7">
        <f>DATE(YEAR(m6_crossvalid[[#This Row],[cutoff]]),MONTH(m6_crossvalid[[#This Row],[cutoff]]),DAY(m6_crossvalid[[#This Row],[cutoff]]))</f>
        <v>46081</v>
      </c>
      <c r="B436" s="7">
        <f>DATE(YEAR(m6_crossvalid[[#This Row],[ds]]),MONTH(m6_crossvalid[[#This Row],[ds]]),DAY(m6_crossvalid[[#This Row],[ds]]))</f>
        <v>46082</v>
      </c>
      <c r="C436">
        <v>40.000000000000007</v>
      </c>
      <c r="D436" s="1">
        <v>46082.333333333336</v>
      </c>
      <c r="E436">
        <v>87.361973832767646</v>
      </c>
      <c r="F436">
        <v>43.689413820646685</v>
      </c>
      <c r="G436">
        <v>173.47465249890482</v>
      </c>
      <c r="H436" s="1">
        <v>46081.333333333336</v>
      </c>
    </row>
    <row r="437" spans="1:8" x14ac:dyDescent="0.25">
      <c r="A437" s="7">
        <f>DATE(YEAR(m6_crossvalid[[#This Row],[cutoff]]),MONTH(m6_crossvalid[[#This Row],[cutoff]]),DAY(m6_crossvalid[[#This Row],[cutoff]]))</f>
        <v>46081</v>
      </c>
      <c r="B437" s="7">
        <f>DATE(YEAR(m6_crossvalid[[#This Row],[ds]]),MONTH(m6_crossvalid[[#This Row],[ds]]),DAY(m6_crossvalid[[#This Row],[ds]]))</f>
        <v>46083</v>
      </c>
      <c r="C437">
        <v>616.99999999999977</v>
      </c>
      <c r="D437" s="1">
        <v>46083.333333333336</v>
      </c>
      <c r="E437">
        <v>765.86485655511513</v>
      </c>
      <c r="F437">
        <v>389.5694908596958</v>
      </c>
      <c r="G437">
        <v>1501.9670549858595</v>
      </c>
      <c r="H437" s="1">
        <v>46081.333333333336</v>
      </c>
    </row>
    <row r="438" spans="1:8" x14ac:dyDescent="0.25">
      <c r="A438" s="7">
        <f>DATE(YEAR(m6_crossvalid[[#This Row],[cutoff]]),MONTH(m6_crossvalid[[#This Row],[cutoff]]),DAY(m6_crossvalid[[#This Row],[cutoff]]))</f>
        <v>46081</v>
      </c>
      <c r="B438" s="7">
        <f>DATE(YEAR(m6_crossvalid[[#This Row],[ds]]),MONTH(m6_crossvalid[[#This Row],[ds]]),DAY(m6_crossvalid[[#This Row],[ds]]))</f>
        <v>46084</v>
      </c>
      <c r="C438">
        <v>798.99999999999989</v>
      </c>
      <c r="D438" s="1">
        <v>46084.333333333336</v>
      </c>
      <c r="E438">
        <v>1370.8661554979578</v>
      </c>
      <c r="F438">
        <v>729.749145331215</v>
      </c>
      <c r="G438">
        <v>2658.1441409645831</v>
      </c>
      <c r="H438" s="1">
        <v>46081.333333333336</v>
      </c>
    </row>
    <row r="439" spans="1:8" x14ac:dyDescent="0.25">
      <c r="A439" s="7">
        <f>DATE(YEAR(m6_crossvalid[[#This Row],[cutoff]]),MONTH(m6_crossvalid[[#This Row],[cutoff]]),DAY(m6_crossvalid[[#This Row],[cutoff]]))</f>
        <v>46081</v>
      </c>
      <c r="B439" s="7">
        <f>DATE(YEAR(m6_crossvalid[[#This Row],[ds]]),MONTH(m6_crossvalid[[#This Row],[ds]]),DAY(m6_crossvalid[[#This Row],[ds]]))</f>
        <v>46085</v>
      </c>
      <c r="C439">
        <v>994.99999999999989</v>
      </c>
      <c r="D439" s="1">
        <v>46085.333333333336</v>
      </c>
      <c r="E439">
        <v>1193.2319142720307</v>
      </c>
      <c r="F439">
        <v>607.27391035546862</v>
      </c>
      <c r="G439">
        <v>2272.7859949984413</v>
      </c>
      <c r="H439" s="1">
        <v>46081.333333333336</v>
      </c>
    </row>
    <row r="440" spans="1:8" x14ac:dyDescent="0.25">
      <c r="A440" s="7">
        <f>DATE(YEAR(m6_crossvalid[[#This Row],[cutoff]]),MONTH(m6_crossvalid[[#This Row],[cutoff]]),DAY(m6_crossvalid[[#This Row],[cutoff]]))</f>
        <v>46081</v>
      </c>
      <c r="B440" s="7">
        <f>DATE(YEAR(m6_crossvalid[[#This Row],[ds]]),MONTH(m6_crossvalid[[#This Row],[ds]]),DAY(m6_crossvalid[[#This Row],[ds]]))</f>
        <v>46086</v>
      </c>
      <c r="C440">
        <v>1314.0000000000005</v>
      </c>
      <c r="D440" s="1">
        <v>46086.333333333336</v>
      </c>
      <c r="E440">
        <v>1087.8878175116558</v>
      </c>
      <c r="F440">
        <v>540.4547106166093</v>
      </c>
      <c r="G440">
        <v>2050.487838877028</v>
      </c>
      <c r="H440" s="1">
        <v>46081.333333333336</v>
      </c>
    </row>
    <row r="441" spans="1:8" x14ac:dyDescent="0.25">
      <c r="A441" s="7">
        <f>DATE(YEAR(m6_crossvalid[[#This Row],[cutoff]]),MONTH(m6_crossvalid[[#This Row],[cutoff]]),DAY(m6_crossvalid[[#This Row],[cutoff]]))</f>
        <v>46081</v>
      </c>
      <c r="B441" s="7">
        <f>DATE(YEAR(m6_crossvalid[[#This Row],[ds]]),MONTH(m6_crossvalid[[#This Row],[ds]]),DAY(m6_crossvalid[[#This Row],[ds]]))</f>
        <v>46087</v>
      </c>
      <c r="C441">
        <v>1616.9999999999995</v>
      </c>
      <c r="D441" s="1">
        <v>46087.333333333336</v>
      </c>
      <c r="E441">
        <v>977.30409606451497</v>
      </c>
      <c r="F441">
        <v>512.47167834512925</v>
      </c>
      <c r="G441">
        <v>1862.1701127900346</v>
      </c>
      <c r="H441" s="1">
        <v>46081.333333333336</v>
      </c>
    </row>
    <row r="442" spans="1:8" x14ac:dyDescent="0.25">
      <c r="A442" s="7">
        <f>DATE(YEAR(m6_crossvalid[[#This Row],[cutoff]]),MONTH(m6_crossvalid[[#This Row],[cutoff]]),DAY(m6_crossvalid[[#This Row],[cutoff]]))</f>
        <v>46081</v>
      </c>
      <c r="B442" s="7">
        <f>DATE(YEAR(m6_crossvalid[[#This Row],[ds]]),MONTH(m6_crossvalid[[#This Row],[ds]]),DAY(m6_crossvalid[[#This Row],[ds]]))</f>
        <v>46088</v>
      </c>
      <c r="C442">
        <v>219.99999999999991</v>
      </c>
      <c r="D442" s="1">
        <v>46088.333333333336</v>
      </c>
      <c r="E442">
        <v>18.898098354417922</v>
      </c>
      <c r="F442">
        <v>9.0999368213281162</v>
      </c>
      <c r="G442">
        <v>39.309763097182142</v>
      </c>
      <c r="H442" s="1">
        <v>46081.333333333336</v>
      </c>
    </row>
    <row r="443" spans="1:8" x14ac:dyDescent="0.25">
      <c r="A443" s="7">
        <f>DATE(YEAR(m6_crossvalid[[#This Row],[cutoff]]),MONTH(m6_crossvalid[[#This Row],[cutoff]]),DAY(m6_crossvalid[[#This Row],[cutoff]]))</f>
        <v>46081</v>
      </c>
      <c r="B443" s="7">
        <f>DATE(YEAR(m6_crossvalid[[#This Row],[ds]]),MONTH(m6_crossvalid[[#This Row],[ds]]),DAY(m6_crossvalid[[#This Row],[ds]]))</f>
        <v>46089</v>
      </c>
      <c r="C443">
        <v>42.999999999999993</v>
      </c>
      <c r="D443" s="1">
        <v>46089.333333333336</v>
      </c>
      <c r="E443">
        <v>126.91076031979355</v>
      </c>
      <c r="F443">
        <v>66.335313341622424</v>
      </c>
      <c r="G443">
        <v>254.0404397753376</v>
      </c>
      <c r="H443" s="1">
        <v>46081.333333333336</v>
      </c>
    </row>
    <row r="444" spans="1:8" x14ac:dyDescent="0.25">
      <c r="A444" s="7">
        <f>DATE(YEAR(m6_crossvalid[[#This Row],[cutoff]]),MONTH(m6_crossvalid[[#This Row],[cutoff]]),DAY(m6_crossvalid[[#This Row],[cutoff]]))</f>
        <v>46081</v>
      </c>
      <c r="B444" s="7">
        <f>DATE(YEAR(m6_crossvalid[[#This Row],[ds]]),MONTH(m6_crossvalid[[#This Row],[ds]]),DAY(m6_crossvalid[[#This Row],[ds]]))</f>
        <v>46090</v>
      </c>
      <c r="C444">
        <v>1766.0000000000002</v>
      </c>
      <c r="D444" s="1">
        <v>46090.333333333336</v>
      </c>
      <c r="E444">
        <v>1711.0895817567668</v>
      </c>
      <c r="F444">
        <v>908.20816771330431</v>
      </c>
      <c r="G444">
        <v>3365.1098126593643</v>
      </c>
      <c r="H444" s="1">
        <v>46081.333333333336</v>
      </c>
    </row>
    <row r="445" spans="1:8" x14ac:dyDescent="0.25">
      <c r="A445" s="7">
        <f>DATE(YEAR(m6_crossvalid[[#This Row],[cutoff]]),MONTH(m6_crossvalid[[#This Row],[cutoff]]),DAY(m6_crossvalid[[#This Row],[cutoff]]))</f>
        <v>46081</v>
      </c>
      <c r="B445" s="7">
        <f>DATE(YEAR(m6_crossvalid[[#This Row],[ds]]),MONTH(m6_crossvalid[[#This Row],[ds]]),DAY(m6_crossvalid[[#This Row],[ds]]))</f>
        <v>46091</v>
      </c>
      <c r="C445">
        <v>2169.9999999999995</v>
      </c>
      <c r="D445" s="1">
        <v>46091.333333333336</v>
      </c>
      <c r="E445">
        <v>2129.5507532147662</v>
      </c>
      <c r="F445">
        <v>1137.9566771985417</v>
      </c>
      <c r="G445">
        <v>4160.0998794655025</v>
      </c>
      <c r="H445" s="1">
        <v>46081.333333333336</v>
      </c>
    </row>
    <row r="446" spans="1:8" x14ac:dyDescent="0.25">
      <c r="A446" s="7">
        <f>DATE(YEAR(m6_crossvalid[[#This Row],[cutoff]]),MONTH(m6_crossvalid[[#This Row],[cutoff]]),DAY(m6_crossvalid[[#This Row],[cutoff]]))</f>
        <v>46081</v>
      </c>
      <c r="B446" s="7">
        <f>DATE(YEAR(m6_crossvalid[[#This Row],[ds]]),MONTH(m6_crossvalid[[#This Row],[ds]]),DAY(m6_crossvalid[[#This Row],[ds]]))</f>
        <v>46092</v>
      </c>
      <c r="C446">
        <v>2907</v>
      </c>
      <c r="D446" s="1">
        <v>46092.333333333336</v>
      </c>
      <c r="E446">
        <v>2147.4243749463399</v>
      </c>
      <c r="F446">
        <v>1125.9764408433266</v>
      </c>
      <c r="G446">
        <v>4221.017110840151</v>
      </c>
      <c r="H446" s="1">
        <v>46081.333333333336</v>
      </c>
    </row>
    <row r="447" spans="1:8" x14ac:dyDescent="0.25">
      <c r="A447" s="7">
        <f>DATE(YEAR(m6_crossvalid[[#This Row],[cutoff]]),MONTH(m6_crossvalid[[#This Row],[cutoff]]),DAY(m6_crossvalid[[#This Row],[cutoff]]))</f>
        <v>46081</v>
      </c>
      <c r="B447" s="7">
        <f>DATE(YEAR(m6_crossvalid[[#This Row],[ds]]),MONTH(m6_crossvalid[[#This Row],[ds]]),DAY(m6_crossvalid[[#This Row],[ds]]))</f>
        <v>46093</v>
      </c>
      <c r="C447">
        <v>3019.9999999999995</v>
      </c>
      <c r="D447" s="1">
        <v>46093.333333333336</v>
      </c>
      <c r="E447">
        <v>2258.1006907878577</v>
      </c>
      <c r="F447">
        <v>1136.9188189375548</v>
      </c>
      <c r="G447">
        <v>4451.9821297146691</v>
      </c>
      <c r="H447" s="1">
        <v>46081.333333333336</v>
      </c>
    </row>
    <row r="448" spans="1:8" x14ac:dyDescent="0.25">
      <c r="A448" s="7">
        <f>DATE(YEAR(m6_crossvalid[[#This Row],[cutoff]]),MONTH(m6_crossvalid[[#This Row],[cutoff]]),DAY(m6_crossvalid[[#This Row],[cutoff]]))</f>
        <v>46081</v>
      </c>
      <c r="B448" s="7">
        <f>DATE(YEAR(m6_crossvalid[[#This Row],[ds]]),MONTH(m6_crossvalid[[#This Row],[ds]]),DAY(m6_crossvalid[[#This Row],[ds]]))</f>
        <v>46094</v>
      </c>
      <c r="C448">
        <v>3550.9999999999977</v>
      </c>
      <c r="D448" s="1">
        <v>46094.333333333336</v>
      </c>
      <c r="E448">
        <v>2267.868348275621</v>
      </c>
      <c r="F448">
        <v>1132.5244529114543</v>
      </c>
      <c r="G448">
        <v>4359.407825635928</v>
      </c>
      <c r="H448" s="1">
        <v>46081.333333333336</v>
      </c>
    </row>
    <row r="449" spans="1:8" x14ac:dyDescent="0.25">
      <c r="A449" s="7">
        <f>DATE(YEAR(m6_crossvalid[[#This Row],[cutoff]]),MONTH(m6_crossvalid[[#This Row],[cutoff]]),DAY(m6_crossvalid[[#This Row],[cutoff]]))</f>
        <v>46081</v>
      </c>
      <c r="B449" s="7">
        <f>DATE(YEAR(m6_crossvalid[[#This Row],[ds]]),MONTH(m6_crossvalid[[#This Row],[ds]]),DAY(m6_crossvalid[[#This Row],[ds]]))</f>
        <v>46095</v>
      </c>
      <c r="C449">
        <v>1088</v>
      </c>
      <c r="D449" s="1">
        <v>46095.333333333336</v>
      </c>
      <c r="E449">
        <v>431.9211330112858</v>
      </c>
      <c r="F449">
        <v>223.11322727308988</v>
      </c>
      <c r="G449">
        <v>884.23945405304369</v>
      </c>
      <c r="H449" s="1">
        <v>46081.333333333336</v>
      </c>
    </row>
    <row r="450" spans="1:8" x14ac:dyDescent="0.25">
      <c r="A450" s="7">
        <f>DATE(YEAR(m6_crossvalid[[#This Row],[cutoff]]),MONTH(m6_crossvalid[[#This Row],[cutoff]]),DAY(m6_crossvalid[[#This Row],[cutoff]]))</f>
        <v>46081</v>
      </c>
      <c r="B450" s="7">
        <f>DATE(YEAR(m6_crossvalid[[#This Row],[ds]]),MONTH(m6_crossvalid[[#This Row],[ds]]),DAY(m6_crossvalid[[#This Row],[ds]]))</f>
        <v>46096</v>
      </c>
      <c r="C450">
        <v>228.00000000000006</v>
      </c>
      <c r="D450" s="1">
        <v>46096.333333333336</v>
      </c>
      <c r="E450">
        <v>168.27903538215369</v>
      </c>
      <c r="F450">
        <v>83.358727165895615</v>
      </c>
      <c r="G450">
        <v>330.72153290162066</v>
      </c>
      <c r="H450" s="1">
        <v>46081.333333333336</v>
      </c>
    </row>
    <row r="451" spans="1:8" x14ac:dyDescent="0.25">
      <c r="A451" s="7">
        <f>DATE(YEAR(m6_crossvalid[[#This Row],[cutoff]]),MONTH(m6_crossvalid[[#This Row],[cutoff]]),DAY(m6_crossvalid[[#This Row],[cutoff]]))</f>
        <v>46081</v>
      </c>
      <c r="B451" s="7">
        <f>DATE(YEAR(m6_crossvalid[[#This Row],[ds]]),MONTH(m6_crossvalid[[#This Row],[ds]]),DAY(m6_crossvalid[[#This Row],[ds]]))</f>
        <v>46097</v>
      </c>
      <c r="C451">
        <v>3950.0000000000032</v>
      </c>
      <c r="D451" s="1">
        <v>46097.333333333336</v>
      </c>
      <c r="E451">
        <v>2265.3913521877471</v>
      </c>
      <c r="F451">
        <v>1140.8402282898253</v>
      </c>
      <c r="G451">
        <v>4659.9234678555113</v>
      </c>
      <c r="H451" s="1">
        <v>46081.333333333336</v>
      </c>
    </row>
    <row r="452" spans="1:8" x14ac:dyDescent="0.25">
      <c r="A452" s="7">
        <f>DATE(YEAR(m6_crossvalid[[#This Row],[cutoff]]),MONTH(m6_crossvalid[[#This Row],[cutoff]]),DAY(m6_crossvalid[[#This Row],[cutoff]]))</f>
        <v>46081</v>
      </c>
      <c r="B452" s="7">
        <f>DATE(YEAR(m6_crossvalid[[#This Row],[ds]]),MONTH(m6_crossvalid[[#This Row],[ds]]),DAY(m6_crossvalid[[#This Row],[ds]]))</f>
        <v>46098</v>
      </c>
      <c r="C452">
        <v>5807</v>
      </c>
      <c r="D452" s="1">
        <v>46098.333333333336</v>
      </c>
      <c r="E452">
        <v>2898.7969172089524</v>
      </c>
      <c r="F452">
        <v>1488.9103853902946</v>
      </c>
      <c r="G452">
        <v>5864.5518351581268</v>
      </c>
      <c r="H452" s="1">
        <v>46081.333333333336</v>
      </c>
    </row>
    <row r="453" spans="1:8" x14ac:dyDescent="0.25">
      <c r="A453" s="7">
        <f>DATE(YEAR(m6_crossvalid[[#This Row],[cutoff]]),MONTH(m6_crossvalid[[#This Row],[cutoff]]),DAY(m6_crossvalid[[#This Row],[cutoff]]))</f>
        <v>46081</v>
      </c>
      <c r="B453" s="7">
        <f>DATE(YEAR(m6_crossvalid[[#This Row],[ds]]),MONTH(m6_crossvalid[[#This Row],[ds]]),DAY(m6_crossvalid[[#This Row],[ds]]))</f>
        <v>46099</v>
      </c>
      <c r="C453">
        <v>5295.0000000000018</v>
      </c>
      <c r="D453" s="1">
        <v>46099.333333333336</v>
      </c>
      <c r="E453">
        <v>3092.6295460892698</v>
      </c>
      <c r="F453">
        <v>1507.9147372284854</v>
      </c>
      <c r="G453">
        <v>5953.9782974808804</v>
      </c>
      <c r="H453" s="1">
        <v>46081.333333333336</v>
      </c>
    </row>
    <row r="454" spans="1:8" x14ac:dyDescent="0.25">
      <c r="A454" s="7">
        <f>DATE(YEAR(m6_crossvalid[[#This Row],[cutoff]]),MONTH(m6_crossvalid[[#This Row],[cutoff]]),DAY(m6_crossvalid[[#This Row],[cutoff]]))</f>
        <v>46081</v>
      </c>
      <c r="B454" s="7">
        <f>DATE(YEAR(m6_crossvalid[[#This Row],[ds]]),MONTH(m6_crossvalid[[#This Row],[ds]]),DAY(m6_crossvalid[[#This Row],[ds]]))</f>
        <v>46100</v>
      </c>
      <c r="C454">
        <v>3556.9999999999995</v>
      </c>
      <c r="D454" s="1">
        <v>46100.333333333336</v>
      </c>
      <c r="E454">
        <v>3407.7279952649214</v>
      </c>
      <c r="F454">
        <v>1711.7404710050773</v>
      </c>
      <c r="G454">
        <v>6912.275935747547</v>
      </c>
      <c r="H454" s="1">
        <v>46081.333333333336</v>
      </c>
    </row>
    <row r="455" spans="1:8" x14ac:dyDescent="0.25">
      <c r="A455" s="7">
        <f>DATE(YEAR(m6_crossvalid[[#This Row],[cutoff]]),MONTH(m6_crossvalid[[#This Row],[cutoff]]),DAY(m6_crossvalid[[#This Row],[cutoff]]))</f>
        <v>46081</v>
      </c>
      <c r="B455" s="7">
        <f>DATE(YEAR(m6_crossvalid[[#This Row],[ds]]),MONTH(m6_crossvalid[[#This Row],[ds]]),DAY(m6_crossvalid[[#This Row],[ds]]))</f>
        <v>46101</v>
      </c>
      <c r="C455">
        <v>61.000000000000007</v>
      </c>
      <c r="D455" s="1">
        <v>46101.333333333336</v>
      </c>
      <c r="E455">
        <v>24.785724796767507</v>
      </c>
      <c r="F455">
        <v>12.625205887978183</v>
      </c>
      <c r="G455">
        <v>48.706232257231093</v>
      </c>
      <c r="H455" s="1">
        <v>46081.333333333336</v>
      </c>
    </row>
    <row r="456" spans="1:8" x14ac:dyDescent="0.25">
      <c r="A456" s="7">
        <f>DATE(YEAR(m6_crossvalid[[#This Row],[cutoff]]),MONTH(m6_crossvalid[[#This Row],[cutoff]]),DAY(m6_crossvalid[[#This Row],[cutoff]]))</f>
        <v>46081</v>
      </c>
      <c r="B456" s="7">
        <f>DATE(YEAR(m6_crossvalid[[#This Row],[ds]]),MONTH(m6_crossvalid[[#This Row],[ds]]),DAY(m6_crossvalid[[#This Row],[ds]]))</f>
        <v>46102</v>
      </c>
      <c r="C456">
        <v>3</v>
      </c>
      <c r="D456" s="1">
        <v>46102.333333333336</v>
      </c>
      <c r="E456">
        <v>0.43948802209468923</v>
      </c>
      <c r="F456">
        <v>-0.28520213247415444</v>
      </c>
      <c r="G456">
        <v>1.8671212034826081</v>
      </c>
      <c r="H456" s="1">
        <v>46081.333333333336</v>
      </c>
    </row>
    <row r="457" spans="1:8" x14ac:dyDescent="0.25">
      <c r="A457" s="7">
        <f>DATE(YEAR(m6_crossvalid[[#This Row],[cutoff]]),MONTH(m6_crossvalid[[#This Row],[cutoff]]),DAY(m6_crossvalid[[#This Row],[cutoff]]))</f>
        <v>46081</v>
      </c>
      <c r="B457" s="7">
        <f>DATE(YEAR(m6_crossvalid[[#This Row],[ds]]),MONTH(m6_crossvalid[[#This Row],[ds]]),DAY(m6_crossvalid[[#This Row],[ds]]))</f>
        <v>46103</v>
      </c>
      <c r="C457">
        <v>5.9999999999999991</v>
      </c>
      <c r="D457" s="1">
        <v>46103.333333333336</v>
      </c>
      <c r="E457">
        <v>-0.76648928722115306</v>
      </c>
      <c r="F457">
        <v>-0.87874213947479429</v>
      </c>
      <c r="G457">
        <v>-0.52861518009953889</v>
      </c>
      <c r="H457" s="1">
        <v>46081.333333333336</v>
      </c>
    </row>
    <row r="458" spans="1:8" x14ac:dyDescent="0.25">
      <c r="A458" s="7">
        <f>DATE(YEAR(m6_crossvalid[[#This Row],[cutoff]]),MONTH(m6_crossvalid[[#This Row],[cutoff]]),DAY(m6_crossvalid[[#This Row],[cutoff]]))</f>
        <v>46081</v>
      </c>
      <c r="B458" s="7">
        <f>DATE(YEAR(m6_crossvalid[[#This Row],[ds]]),MONTH(m6_crossvalid[[#This Row],[ds]]),DAY(m6_crossvalid[[#This Row],[ds]]))</f>
        <v>46104</v>
      </c>
      <c r="C458">
        <v>23.000000000000004</v>
      </c>
      <c r="D458" s="1">
        <v>46104.333333333336</v>
      </c>
      <c r="E458">
        <v>1.0931627764828828</v>
      </c>
      <c r="F458">
        <v>0.1192021496764348</v>
      </c>
      <c r="G458">
        <v>3.1251409010023625</v>
      </c>
      <c r="H458" s="1">
        <v>46081.333333333336</v>
      </c>
    </row>
    <row r="459" spans="1:8" x14ac:dyDescent="0.25">
      <c r="A459" s="7">
        <f>DATE(YEAR(m6_crossvalid[[#This Row],[cutoff]]),MONTH(m6_crossvalid[[#This Row],[cutoff]]),DAY(m6_crossvalid[[#This Row],[cutoff]]))</f>
        <v>46081</v>
      </c>
      <c r="B459" s="7">
        <f>DATE(YEAR(m6_crossvalid[[#This Row],[ds]]),MONTH(m6_crossvalid[[#This Row],[ds]]),DAY(m6_crossvalid[[#This Row],[ds]]))</f>
        <v>46105</v>
      </c>
      <c r="C459">
        <v>974.00000000000011</v>
      </c>
      <c r="D459" s="1">
        <v>46105.333333333336</v>
      </c>
      <c r="E459">
        <v>257.36494928628809</v>
      </c>
      <c r="F459">
        <v>129.19262330274648</v>
      </c>
      <c r="G459">
        <v>513.31680907693283</v>
      </c>
      <c r="H459" s="1">
        <v>46081.333333333336</v>
      </c>
    </row>
    <row r="460" spans="1:8" x14ac:dyDescent="0.25">
      <c r="A460" s="7">
        <f>DATE(YEAR(m6_crossvalid[[#This Row],[cutoff]]),MONTH(m6_crossvalid[[#This Row],[cutoff]]),DAY(m6_crossvalid[[#This Row],[cutoff]]))</f>
        <v>46081</v>
      </c>
      <c r="B460" s="7">
        <f>DATE(YEAR(m6_crossvalid[[#This Row],[ds]]),MONTH(m6_crossvalid[[#This Row],[ds]]),DAY(m6_crossvalid[[#This Row],[ds]]))</f>
        <v>46106</v>
      </c>
      <c r="C460">
        <v>1751.9999999999998</v>
      </c>
      <c r="D460" s="1">
        <v>46106.333333333336</v>
      </c>
      <c r="E460">
        <v>525.87690447181137</v>
      </c>
      <c r="F460">
        <v>264.43660756392597</v>
      </c>
      <c r="G460">
        <v>1025.5423045796119</v>
      </c>
      <c r="H460" s="1">
        <v>46081.333333333336</v>
      </c>
    </row>
    <row r="461" spans="1:8" x14ac:dyDescent="0.25">
      <c r="A461" s="7">
        <f>DATE(YEAR(m6_crossvalid[[#This Row],[cutoff]]),MONTH(m6_crossvalid[[#This Row],[cutoff]]),DAY(m6_crossvalid[[#This Row],[cutoff]]))</f>
        <v>46081</v>
      </c>
      <c r="B461" s="7">
        <f>DATE(YEAR(m6_crossvalid[[#This Row],[ds]]),MONTH(m6_crossvalid[[#This Row],[ds]]),DAY(m6_crossvalid[[#This Row],[ds]]))</f>
        <v>46107</v>
      </c>
      <c r="C461">
        <v>2884.0000000000009</v>
      </c>
      <c r="D461" s="1">
        <v>46107.333333333336</v>
      </c>
      <c r="E461">
        <v>1307.713159679414</v>
      </c>
      <c r="F461">
        <v>675.00925544258894</v>
      </c>
      <c r="G461">
        <v>2537.7826842910949</v>
      </c>
      <c r="H461" s="1">
        <v>46081.333333333336</v>
      </c>
    </row>
    <row r="462" spans="1:8" x14ac:dyDescent="0.25">
      <c r="A462" s="7">
        <f>DATE(YEAR(m6_crossvalid[[#This Row],[cutoff]]),MONTH(m6_crossvalid[[#This Row],[cutoff]]),DAY(m6_crossvalid[[#This Row],[cutoff]]))</f>
        <v>46081</v>
      </c>
      <c r="B462" s="7">
        <f>DATE(YEAR(m6_crossvalid[[#This Row],[ds]]),MONTH(m6_crossvalid[[#This Row],[ds]]),DAY(m6_crossvalid[[#This Row],[ds]]))</f>
        <v>46108</v>
      </c>
      <c r="C462">
        <v>3596.9999999999986</v>
      </c>
      <c r="D462" s="1">
        <v>46108.333333333336</v>
      </c>
      <c r="E462">
        <v>2364.8134504895893</v>
      </c>
      <c r="F462">
        <v>1163.1914487403164</v>
      </c>
      <c r="G462">
        <v>4602.1597887065727</v>
      </c>
      <c r="H462" s="1">
        <v>46081.333333333336</v>
      </c>
    </row>
    <row r="463" spans="1:8" x14ac:dyDescent="0.25">
      <c r="A463" s="7">
        <f>DATE(YEAR(m6_crossvalid[[#This Row],[cutoff]]),MONTH(m6_crossvalid[[#This Row],[cutoff]]),DAY(m6_crossvalid[[#This Row],[cutoff]]))</f>
        <v>46081</v>
      </c>
      <c r="B463" s="7">
        <f>DATE(YEAR(m6_crossvalid[[#This Row],[ds]]),MONTH(m6_crossvalid[[#This Row],[ds]]),DAY(m6_crossvalid[[#This Row],[ds]]))</f>
        <v>46109</v>
      </c>
      <c r="C463">
        <v>1207.0000000000002</v>
      </c>
      <c r="D463" s="1">
        <v>46109.333333333336</v>
      </c>
      <c r="E463">
        <v>554.94525546297018</v>
      </c>
      <c r="F463">
        <v>283.84189953264467</v>
      </c>
      <c r="G463">
        <v>1062.4401487217081</v>
      </c>
      <c r="H463" s="1">
        <v>46081.333333333336</v>
      </c>
    </row>
    <row r="464" spans="1:8" x14ac:dyDescent="0.25">
      <c r="A464" s="7">
        <f>DATE(YEAR(m6_crossvalid[[#This Row],[cutoff]]),MONTH(m6_crossvalid[[#This Row],[cutoff]]),DAY(m6_crossvalid[[#This Row],[cutoff]]))</f>
        <v>46081</v>
      </c>
      <c r="B464" s="7">
        <f>DATE(YEAR(m6_crossvalid[[#This Row],[ds]]),MONTH(m6_crossvalid[[#This Row],[ds]]),DAY(m6_crossvalid[[#This Row],[ds]]))</f>
        <v>46110</v>
      </c>
      <c r="C464">
        <v>183.00000000000006</v>
      </c>
      <c r="D464" s="1">
        <v>46110.333333333336</v>
      </c>
      <c r="E464">
        <v>330.15304860291729</v>
      </c>
      <c r="F464">
        <v>171.35240232698831</v>
      </c>
      <c r="G464">
        <v>619.92179454482834</v>
      </c>
      <c r="H464" s="1">
        <v>46081.333333333336</v>
      </c>
    </row>
    <row r="465" spans="1:8" x14ac:dyDescent="0.25">
      <c r="A465" s="7">
        <f>DATE(YEAR(m6_crossvalid[[#This Row],[cutoff]]),MONTH(m6_crossvalid[[#This Row],[cutoff]]),DAY(m6_crossvalid[[#This Row],[cutoff]]))</f>
        <v>46081</v>
      </c>
      <c r="B465" s="7">
        <f>DATE(YEAR(m6_crossvalid[[#This Row],[ds]]),MONTH(m6_crossvalid[[#This Row],[ds]]),DAY(m6_crossvalid[[#This Row],[ds]]))</f>
        <v>46111</v>
      </c>
      <c r="C465">
        <v>4959.0000000000027</v>
      </c>
      <c r="D465" s="1">
        <v>46111.333333333336</v>
      </c>
      <c r="E465">
        <v>7779.5526923024381</v>
      </c>
      <c r="F465">
        <v>3952.34332797773</v>
      </c>
      <c r="G465">
        <v>14654.130455099519</v>
      </c>
      <c r="H465" s="1">
        <v>46081.333333333336</v>
      </c>
    </row>
    <row r="466" spans="1:8" x14ac:dyDescent="0.25">
      <c r="A466" s="7">
        <f>DATE(YEAR(m6_crossvalid[[#This Row],[cutoff]]),MONTH(m6_crossvalid[[#This Row],[cutoff]]),DAY(m6_crossvalid[[#This Row],[cutoff]]))</f>
        <v>46081</v>
      </c>
      <c r="B466" s="7">
        <f>DATE(YEAR(m6_crossvalid[[#This Row],[ds]]),MONTH(m6_crossvalid[[#This Row],[ds]]),DAY(m6_crossvalid[[#This Row],[ds]]))</f>
        <v>46112</v>
      </c>
      <c r="C466">
        <v>13212.999999999993</v>
      </c>
      <c r="D466" s="1">
        <v>46112.333333333336</v>
      </c>
      <c r="E466">
        <v>22677.783191035564</v>
      </c>
      <c r="F466">
        <v>11725.504062391197</v>
      </c>
      <c r="G466">
        <v>44939.554612442967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7C00-2D63-477F-BE2F-C0806856D27F}">
  <dimension ref="A1:H466"/>
  <sheetViews>
    <sheetView topLeftCell="A414" workbookViewId="0">
      <selection activeCell="A414" sqref="A1:B1048576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DATE(YEAR(m7_crossvalid[[#This Row],[cutoff]]),MONTH(m7_crossvalid[[#This Row],[cutoff]]),DAY(m7_crossvalid[[#This Row],[cutoff]]))</f>
        <v>45657</v>
      </c>
      <c r="B2" s="7">
        <f>DATE(YEAR(m7_crossvalid[[#This Row],[ds]]),MONTH(m7_crossvalid[[#This Row],[ds]]),DAY(m7_crossvalid[[#This Row],[ds]]))</f>
        <v>45658</v>
      </c>
      <c r="C2">
        <v>90</v>
      </c>
      <c r="D2" s="1">
        <v>45658.333333333336</v>
      </c>
      <c r="E2">
        <v>489.90839505581448</v>
      </c>
      <c r="F2">
        <v>-947.65645792291161</v>
      </c>
      <c r="G2">
        <v>1934.8288678934327</v>
      </c>
      <c r="H2" s="1">
        <v>45657.333333333336</v>
      </c>
    </row>
    <row r="3" spans="1:8" x14ac:dyDescent="0.25">
      <c r="A3" s="7">
        <f>DATE(YEAR(m7_crossvalid[[#This Row],[cutoff]]),MONTH(m7_crossvalid[[#This Row],[cutoff]]),DAY(m7_crossvalid[[#This Row],[cutoff]]))</f>
        <v>45657</v>
      </c>
      <c r="B3" s="7">
        <f>DATE(YEAR(m7_crossvalid[[#This Row],[ds]]),MONTH(m7_crossvalid[[#This Row],[ds]]),DAY(m7_crossvalid[[#This Row],[ds]]))</f>
        <v>45659</v>
      </c>
      <c r="C3">
        <v>541</v>
      </c>
      <c r="D3" s="1">
        <v>45659.333333333336</v>
      </c>
      <c r="E3">
        <v>1781.9309043814992</v>
      </c>
      <c r="F3">
        <v>344.52220261658545</v>
      </c>
      <c r="G3">
        <v>3062.1395242127674</v>
      </c>
      <c r="H3" s="1">
        <v>45657.333333333336</v>
      </c>
    </row>
    <row r="4" spans="1:8" x14ac:dyDescent="0.25">
      <c r="A4" s="7">
        <f>DATE(YEAR(m7_crossvalid[[#This Row],[cutoff]]),MONTH(m7_crossvalid[[#This Row],[cutoff]]),DAY(m7_crossvalid[[#This Row],[cutoff]]))</f>
        <v>45657</v>
      </c>
      <c r="B4" s="7">
        <f>DATE(YEAR(m7_crossvalid[[#This Row],[ds]]),MONTH(m7_crossvalid[[#This Row],[ds]]),DAY(m7_crossvalid[[#This Row],[ds]]))</f>
        <v>45660</v>
      </c>
      <c r="C4">
        <v>563</v>
      </c>
      <c r="D4" s="1">
        <v>45660.333333333336</v>
      </c>
      <c r="E4">
        <v>1824.3363614929262</v>
      </c>
      <c r="F4">
        <v>546.6397881151554</v>
      </c>
      <c r="G4">
        <v>3209.5814088407337</v>
      </c>
      <c r="H4" s="1">
        <v>45657.333333333336</v>
      </c>
    </row>
    <row r="5" spans="1:8" x14ac:dyDescent="0.25">
      <c r="A5" s="7">
        <f>DATE(YEAR(m7_crossvalid[[#This Row],[cutoff]]),MONTH(m7_crossvalid[[#This Row],[cutoff]]),DAY(m7_crossvalid[[#This Row],[cutoff]]))</f>
        <v>45657</v>
      </c>
      <c r="B5" s="7">
        <f>DATE(YEAR(m7_crossvalid[[#This Row],[ds]]),MONTH(m7_crossvalid[[#This Row],[ds]]),DAY(m7_crossvalid[[#This Row],[ds]]))</f>
        <v>45661</v>
      </c>
      <c r="C5">
        <v>42</v>
      </c>
      <c r="D5" s="1">
        <v>45661.333333333336</v>
      </c>
      <c r="E5">
        <v>-553.25354720374207</v>
      </c>
      <c r="F5">
        <v>-1840.7118785647235</v>
      </c>
      <c r="G5">
        <v>862.07434037219707</v>
      </c>
      <c r="H5" s="1">
        <v>45657.333333333336</v>
      </c>
    </row>
    <row r="6" spans="1:8" x14ac:dyDescent="0.25">
      <c r="A6" s="7">
        <f>DATE(YEAR(m7_crossvalid[[#This Row],[cutoff]]),MONTH(m7_crossvalid[[#This Row],[cutoff]]),DAY(m7_crossvalid[[#This Row],[cutoff]]))</f>
        <v>45657</v>
      </c>
      <c r="B6" s="7">
        <f>DATE(YEAR(m7_crossvalid[[#This Row],[ds]]),MONTH(m7_crossvalid[[#This Row],[ds]]),DAY(m7_crossvalid[[#This Row],[ds]]))</f>
        <v>45662</v>
      </c>
      <c r="C6">
        <v>22</v>
      </c>
      <c r="D6" s="1">
        <v>45662.333333333336</v>
      </c>
      <c r="E6">
        <v>-1122.7540737535069</v>
      </c>
      <c r="F6">
        <v>-2520.2249960849881</v>
      </c>
      <c r="G6">
        <v>310.88750560773633</v>
      </c>
      <c r="H6" s="1">
        <v>45657.333333333336</v>
      </c>
    </row>
    <row r="7" spans="1:8" x14ac:dyDescent="0.25">
      <c r="A7" s="7">
        <f>DATE(YEAR(m7_crossvalid[[#This Row],[cutoff]]),MONTH(m7_crossvalid[[#This Row],[cutoff]]),DAY(m7_crossvalid[[#This Row],[cutoff]]))</f>
        <v>45657</v>
      </c>
      <c r="B7" s="7">
        <f>DATE(YEAR(m7_crossvalid[[#This Row],[ds]]),MONTH(m7_crossvalid[[#This Row],[ds]]),DAY(m7_crossvalid[[#This Row],[ds]]))</f>
        <v>45663</v>
      </c>
      <c r="C7">
        <v>533</v>
      </c>
      <c r="D7" s="1">
        <v>45663.333333333336</v>
      </c>
      <c r="E7">
        <v>1409.5221167157506</v>
      </c>
      <c r="F7">
        <v>95.083121229661472</v>
      </c>
      <c r="G7">
        <v>2857.3711751263268</v>
      </c>
      <c r="H7" s="1">
        <v>45657.333333333336</v>
      </c>
    </row>
    <row r="8" spans="1:8" x14ac:dyDescent="0.25">
      <c r="A8" s="7">
        <f>DATE(YEAR(m7_crossvalid[[#This Row],[cutoff]]),MONTH(m7_crossvalid[[#This Row],[cutoff]]),DAY(m7_crossvalid[[#This Row],[cutoff]]))</f>
        <v>45657</v>
      </c>
      <c r="B8" s="7">
        <f>DATE(YEAR(m7_crossvalid[[#This Row],[ds]]),MONTH(m7_crossvalid[[#This Row],[ds]]),DAY(m7_crossvalid[[#This Row],[ds]]))</f>
        <v>45664</v>
      </c>
      <c r="C8">
        <v>712</v>
      </c>
      <c r="D8" s="1">
        <v>45664.333333333336</v>
      </c>
      <c r="E8">
        <v>1643.589608110153</v>
      </c>
      <c r="F8">
        <v>248.3378313988606</v>
      </c>
      <c r="G8">
        <v>3110.2626786356273</v>
      </c>
      <c r="H8" s="1">
        <v>45657.333333333336</v>
      </c>
    </row>
    <row r="9" spans="1:8" x14ac:dyDescent="0.25">
      <c r="A9" s="7">
        <f>DATE(YEAR(m7_crossvalid[[#This Row],[cutoff]]),MONTH(m7_crossvalid[[#This Row],[cutoff]]),DAY(m7_crossvalid[[#This Row],[cutoff]]))</f>
        <v>45657</v>
      </c>
      <c r="B9" s="7">
        <f>DATE(YEAR(m7_crossvalid[[#This Row],[ds]]),MONTH(m7_crossvalid[[#This Row],[ds]]),DAY(m7_crossvalid[[#This Row],[ds]]))</f>
        <v>45665</v>
      </c>
      <c r="C9">
        <v>904</v>
      </c>
      <c r="D9" s="1">
        <v>45665.333333333336</v>
      </c>
      <c r="E9">
        <v>2144.4587270856782</v>
      </c>
      <c r="F9">
        <v>759.61739452307563</v>
      </c>
      <c r="G9">
        <v>3571.7630569353164</v>
      </c>
      <c r="H9" s="1">
        <v>45657.333333333336</v>
      </c>
    </row>
    <row r="10" spans="1:8" x14ac:dyDescent="0.25">
      <c r="A10" s="7">
        <f>DATE(YEAR(m7_crossvalid[[#This Row],[cutoff]]),MONTH(m7_crossvalid[[#This Row],[cutoff]]),DAY(m7_crossvalid[[#This Row],[cutoff]]))</f>
        <v>45657</v>
      </c>
      <c r="B10" s="7">
        <f>DATE(YEAR(m7_crossvalid[[#This Row],[ds]]),MONTH(m7_crossvalid[[#This Row],[ds]]),DAY(m7_crossvalid[[#This Row],[ds]]))</f>
        <v>45666</v>
      </c>
      <c r="C10">
        <v>1135</v>
      </c>
      <c r="D10" s="1">
        <v>45666.333333333336</v>
      </c>
      <c r="E10">
        <v>1968.4052996320306</v>
      </c>
      <c r="F10">
        <v>542.41175914752148</v>
      </c>
      <c r="G10">
        <v>3279.9073533195815</v>
      </c>
      <c r="H10" s="1">
        <v>45657.333333333336</v>
      </c>
    </row>
    <row r="11" spans="1:8" x14ac:dyDescent="0.25">
      <c r="A11" s="7">
        <f>DATE(YEAR(m7_crossvalid[[#This Row],[cutoff]]),MONTH(m7_crossvalid[[#This Row],[cutoff]]),DAY(m7_crossvalid[[#This Row],[cutoff]]))</f>
        <v>45657</v>
      </c>
      <c r="B11" s="7">
        <f>DATE(YEAR(m7_crossvalid[[#This Row],[ds]]),MONTH(m7_crossvalid[[#This Row],[ds]]),DAY(m7_crossvalid[[#This Row],[ds]]))</f>
        <v>45667</v>
      </c>
      <c r="C11">
        <v>1270</v>
      </c>
      <c r="D11" s="1">
        <v>45667.333333333336</v>
      </c>
      <c r="E11">
        <v>1907.4379748793635</v>
      </c>
      <c r="F11">
        <v>563.15199124419576</v>
      </c>
      <c r="G11">
        <v>3300.7173663727235</v>
      </c>
      <c r="H11" s="1">
        <v>45657.333333333336</v>
      </c>
    </row>
    <row r="12" spans="1:8" x14ac:dyDescent="0.25">
      <c r="A12" s="7">
        <f>DATE(YEAR(m7_crossvalid[[#This Row],[cutoff]]),MONTH(m7_crossvalid[[#This Row],[cutoff]]),DAY(m7_crossvalid[[#This Row],[cutoff]]))</f>
        <v>45657</v>
      </c>
      <c r="B12" s="7">
        <f>DATE(YEAR(m7_crossvalid[[#This Row],[ds]]),MONTH(m7_crossvalid[[#This Row],[ds]]),DAY(m7_crossvalid[[#This Row],[ds]]))</f>
        <v>45668</v>
      </c>
      <c r="C12">
        <v>203</v>
      </c>
      <c r="D12" s="1">
        <v>45668.333333333336</v>
      </c>
      <c r="E12">
        <v>-192.5700541584697</v>
      </c>
      <c r="F12">
        <v>-1566.4812546213452</v>
      </c>
      <c r="G12">
        <v>1157.2825526600884</v>
      </c>
      <c r="H12" s="1">
        <v>45657.333333333336</v>
      </c>
    </row>
    <row r="13" spans="1:8" x14ac:dyDescent="0.25">
      <c r="A13" s="7">
        <f>DATE(YEAR(m7_crossvalid[[#This Row],[cutoff]]),MONTH(m7_crossvalid[[#This Row],[cutoff]]),DAY(m7_crossvalid[[#This Row],[cutoff]]))</f>
        <v>45657</v>
      </c>
      <c r="B13" s="7">
        <f>DATE(YEAR(m7_crossvalid[[#This Row],[ds]]),MONTH(m7_crossvalid[[#This Row],[ds]]),DAY(m7_crossvalid[[#This Row],[ds]]))</f>
        <v>45669</v>
      </c>
      <c r="C13">
        <v>41</v>
      </c>
      <c r="D13" s="1">
        <v>45669.333333333336</v>
      </c>
      <c r="E13">
        <v>-683.37473810816846</v>
      </c>
      <c r="F13">
        <v>-2028.8769117052525</v>
      </c>
      <c r="G13">
        <v>667.75317338748926</v>
      </c>
      <c r="H13" s="1">
        <v>45657.333333333336</v>
      </c>
    </row>
    <row r="14" spans="1:8" x14ac:dyDescent="0.25">
      <c r="A14" s="7">
        <f>DATE(YEAR(m7_crossvalid[[#This Row],[cutoff]]),MONTH(m7_crossvalid[[#This Row],[cutoff]]),DAY(m7_crossvalid[[#This Row],[cutoff]]))</f>
        <v>45657</v>
      </c>
      <c r="B14" s="7">
        <f>DATE(YEAR(m7_crossvalid[[#This Row],[ds]]),MONTH(m7_crossvalid[[#This Row],[ds]]),DAY(m7_crossvalid[[#This Row],[ds]]))</f>
        <v>45670</v>
      </c>
      <c r="C14">
        <v>1313</v>
      </c>
      <c r="D14" s="1">
        <v>45670.333333333336</v>
      </c>
      <c r="E14">
        <v>1793.6151195435605</v>
      </c>
      <c r="F14">
        <v>330.29508556416135</v>
      </c>
      <c r="G14">
        <v>3078.6624327793288</v>
      </c>
      <c r="H14" s="1">
        <v>45657.333333333336</v>
      </c>
    </row>
    <row r="15" spans="1:8" x14ac:dyDescent="0.25">
      <c r="A15" s="7">
        <f>DATE(YEAR(m7_crossvalid[[#This Row],[cutoff]]),MONTH(m7_crossvalid[[#This Row],[cutoff]]),DAY(m7_crossvalid[[#This Row],[cutoff]]))</f>
        <v>45657</v>
      </c>
      <c r="B15" s="7">
        <f>DATE(YEAR(m7_crossvalid[[#This Row],[ds]]),MONTH(m7_crossvalid[[#This Row],[ds]]),DAY(m7_crossvalid[[#This Row],[ds]]))</f>
        <v>45671</v>
      </c>
      <c r="C15">
        <v>1609</v>
      </c>
      <c r="D15" s="1">
        <v>45671.333333333336</v>
      </c>
      <c r="E15">
        <v>2186.8039212791241</v>
      </c>
      <c r="F15">
        <v>706.75979606541387</v>
      </c>
      <c r="G15">
        <v>3557.4519871458824</v>
      </c>
      <c r="H15" s="1">
        <v>45657.333333333336</v>
      </c>
    </row>
    <row r="16" spans="1:8" x14ac:dyDescent="0.25">
      <c r="A16" s="7">
        <f>DATE(YEAR(m7_crossvalid[[#This Row],[cutoff]]),MONTH(m7_crossvalid[[#This Row],[cutoff]]),DAY(m7_crossvalid[[#This Row],[cutoff]]))</f>
        <v>45657</v>
      </c>
      <c r="B16" s="7">
        <f>DATE(YEAR(m7_crossvalid[[#This Row],[ds]]),MONTH(m7_crossvalid[[#This Row],[ds]]),DAY(m7_crossvalid[[#This Row],[ds]]))</f>
        <v>45672</v>
      </c>
      <c r="C16">
        <v>2010</v>
      </c>
      <c r="D16" s="1">
        <v>45672.333333333336</v>
      </c>
      <c r="E16">
        <v>2411.1613516577295</v>
      </c>
      <c r="F16">
        <v>1001.4815068739455</v>
      </c>
      <c r="G16">
        <v>3915.4422647540005</v>
      </c>
      <c r="H16" s="1">
        <v>45657.333333333336</v>
      </c>
    </row>
    <row r="17" spans="1:8" x14ac:dyDescent="0.25">
      <c r="A17" s="7">
        <f>DATE(YEAR(m7_crossvalid[[#This Row],[cutoff]]),MONTH(m7_crossvalid[[#This Row],[cutoff]]),DAY(m7_crossvalid[[#This Row],[cutoff]]))</f>
        <v>45657</v>
      </c>
      <c r="B17" s="7">
        <f>DATE(YEAR(m7_crossvalid[[#This Row],[ds]]),MONTH(m7_crossvalid[[#This Row],[ds]]),DAY(m7_crossvalid[[#This Row],[ds]]))</f>
        <v>45673</v>
      </c>
      <c r="C17">
        <v>2206</v>
      </c>
      <c r="D17" s="1">
        <v>45673.333333333336</v>
      </c>
      <c r="E17">
        <v>2560.0249149650563</v>
      </c>
      <c r="F17">
        <v>1194.1978628759684</v>
      </c>
      <c r="G17">
        <v>3859.2860010918207</v>
      </c>
      <c r="H17" s="1">
        <v>45657.333333333336</v>
      </c>
    </row>
    <row r="18" spans="1:8" x14ac:dyDescent="0.25">
      <c r="A18" s="7">
        <f>DATE(YEAR(m7_crossvalid[[#This Row],[cutoff]]),MONTH(m7_crossvalid[[#This Row],[cutoff]]),DAY(m7_crossvalid[[#This Row],[cutoff]]))</f>
        <v>45657</v>
      </c>
      <c r="B18" s="7">
        <f>DATE(YEAR(m7_crossvalid[[#This Row],[ds]]),MONTH(m7_crossvalid[[#This Row],[ds]]),DAY(m7_crossvalid[[#This Row],[ds]]))</f>
        <v>45674</v>
      </c>
      <c r="C18">
        <v>2291</v>
      </c>
      <c r="D18" s="1">
        <v>45674.333333333336</v>
      </c>
      <c r="E18">
        <v>2453.1352297488193</v>
      </c>
      <c r="F18">
        <v>1105.8743891307281</v>
      </c>
      <c r="G18">
        <v>3836.0783712667453</v>
      </c>
      <c r="H18" s="1">
        <v>45657.333333333336</v>
      </c>
    </row>
    <row r="19" spans="1:8" x14ac:dyDescent="0.25">
      <c r="A19" s="7">
        <f>DATE(YEAR(m7_crossvalid[[#This Row],[cutoff]]),MONTH(m7_crossvalid[[#This Row],[cutoff]]),DAY(m7_crossvalid[[#This Row],[cutoff]]))</f>
        <v>45657</v>
      </c>
      <c r="B19" s="7">
        <f>DATE(YEAR(m7_crossvalid[[#This Row],[ds]]),MONTH(m7_crossvalid[[#This Row],[ds]]),DAY(m7_crossvalid[[#This Row],[ds]]))</f>
        <v>45675</v>
      </c>
      <c r="C19">
        <v>401</v>
      </c>
      <c r="D19" s="1">
        <v>45675.333333333336</v>
      </c>
      <c r="E19">
        <v>292.96689820278357</v>
      </c>
      <c r="F19">
        <v>-1069.5489214527988</v>
      </c>
      <c r="G19">
        <v>1690.3413878840381</v>
      </c>
      <c r="H19" s="1">
        <v>45657.333333333336</v>
      </c>
    </row>
    <row r="20" spans="1:8" x14ac:dyDescent="0.25">
      <c r="A20" s="7">
        <f>DATE(YEAR(m7_crossvalid[[#This Row],[cutoff]]),MONTH(m7_crossvalid[[#This Row],[cutoff]]),DAY(m7_crossvalid[[#This Row],[cutoff]]))</f>
        <v>45657</v>
      </c>
      <c r="B20" s="7">
        <f>DATE(YEAR(m7_crossvalid[[#This Row],[ds]]),MONTH(m7_crossvalid[[#This Row],[ds]]),DAY(m7_crossvalid[[#This Row],[ds]]))</f>
        <v>45676</v>
      </c>
      <c r="C20">
        <v>129</v>
      </c>
      <c r="D20" s="1">
        <v>45676.333333333336</v>
      </c>
      <c r="E20">
        <v>-123.70816705180641</v>
      </c>
      <c r="F20">
        <v>-1527.9402460465908</v>
      </c>
      <c r="G20">
        <v>1176.2807591426299</v>
      </c>
      <c r="H20" s="1">
        <v>45657.333333333336</v>
      </c>
    </row>
    <row r="21" spans="1:8" x14ac:dyDescent="0.25">
      <c r="A21" s="7">
        <f>DATE(YEAR(m7_crossvalid[[#This Row],[cutoff]]),MONTH(m7_crossvalid[[#This Row],[cutoff]]),DAY(m7_crossvalid[[#This Row],[cutoff]]))</f>
        <v>45657</v>
      </c>
      <c r="B21" s="7">
        <f>DATE(YEAR(m7_crossvalid[[#This Row],[ds]]),MONTH(m7_crossvalid[[#This Row],[ds]]),DAY(m7_crossvalid[[#This Row],[ds]]))</f>
        <v>45677</v>
      </c>
      <c r="C21">
        <v>2385</v>
      </c>
      <c r="D21" s="1">
        <v>45677.333333333336</v>
      </c>
      <c r="E21">
        <v>2388.8494801340962</v>
      </c>
      <c r="F21">
        <v>959.36630216930303</v>
      </c>
      <c r="G21">
        <v>3702.7159005174772</v>
      </c>
      <c r="H21" s="1">
        <v>45657.333333333336</v>
      </c>
    </row>
    <row r="22" spans="1:8" x14ac:dyDescent="0.25">
      <c r="A22" s="7">
        <f>DATE(YEAR(m7_crossvalid[[#This Row],[cutoff]]),MONTH(m7_crossvalid[[#This Row],[cutoff]]),DAY(m7_crossvalid[[#This Row],[cutoff]]))</f>
        <v>45657</v>
      </c>
      <c r="B22" s="7">
        <f>DATE(YEAR(m7_crossvalid[[#This Row],[ds]]),MONTH(m7_crossvalid[[#This Row],[ds]]),DAY(m7_crossvalid[[#This Row],[ds]]))</f>
        <v>45678</v>
      </c>
      <c r="C22">
        <v>3051</v>
      </c>
      <c r="D22" s="1">
        <v>45678.333333333336</v>
      </c>
      <c r="E22">
        <v>2849.6056878697846</v>
      </c>
      <c r="F22">
        <v>1470.133513917805</v>
      </c>
      <c r="G22">
        <v>4163.271762589322</v>
      </c>
      <c r="H22" s="1">
        <v>45657.333333333336</v>
      </c>
    </row>
    <row r="23" spans="1:8" x14ac:dyDescent="0.25">
      <c r="A23" s="7">
        <f>DATE(YEAR(m7_crossvalid[[#This Row],[cutoff]]),MONTH(m7_crossvalid[[#This Row],[cutoff]]),DAY(m7_crossvalid[[#This Row],[cutoff]]))</f>
        <v>45657</v>
      </c>
      <c r="B23" s="7">
        <f>DATE(YEAR(m7_crossvalid[[#This Row],[ds]]),MONTH(m7_crossvalid[[#This Row],[ds]]),DAY(m7_crossvalid[[#This Row],[ds]]))</f>
        <v>45679</v>
      </c>
      <c r="C23">
        <v>2878</v>
      </c>
      <c r="D23" s="1">
        <v>45679.333333333336</v>
      </c>
      <c r="E23">
        <v>3172.5428016303067</v>
      </c>
      <c r="F23">
        <v>1770.9614267015404</v>
      </c>
      <c r="G23">
        <v>4508.9228234586972</v>
      </c>
      <c r="H23" s="1">
        <v>45657.333333333336</v>
      </c>
    </row>
    <row r="24" spans="1:8" x14ac:dyDescent="0.25">
      <c r="A24" s="7">
        <f>DATE(YEAR(m7_crossvalid[[#This Row],[cutoff]]),MONTH(m7_crossvalid[[#This Row],[cutoff]]),DAY(m7_crossvalid[[#This Row],[cutoff]]))</f>
        <v>45657</v>
      </c>
      <c r="B24" s="7">
        <f>DATE(YEAR(m7_crossvalid[[#This Row],[ds]]),MONTH(m7_crossvalid[[#This Row],[ds]]),DAY(m7_crossvalid[[#This Row],[ds]]))</f>
        <v>45680</v>
      </c>
      <c r="C24">
        <v>4853</v>
      </c>
      <c r="D24" s="1">
        <v>45680.333333333336</v>
      </c>
      <c r="E24">
        <v>3318.3186362504148</v>
      </c>
      <c r="F24">
        <v>2060.6848906821897</v>
      </c>
      <c r="G24">
        <v>4576.5190881385297</v>
      </c>
      <c r="H24" s="1">
        <v>45657.333333333336</v>
      </c>
    </row>
    <row r="25" spans="1:8" x14ac:dyDescent="0.25">
      <c r="A25" s="7">
        <f>DATE(YEAR(m7_crossvalid[[#This Row],[cutoff]]),MONTH(m7_crossvalid[[#This Row],[cutoff]]),DAY(m7_crossvalid[[#This Row],[cutoff]]))</f>
        <v>45657</v>
      </c>
      <c r="B25" s="7">
        <f>DATE(YEAR(m7_crossvalid[[#This Row],[ds]]),MONTH(m7_crossvalid[[#This Row],[ds]]),DAY(m7_crossvalid[[#This Row],[ds]]))</f>
        <v>45681</v>
      </c>
      <c r="C25">
        <v>5202</v>
      </c>
      <c r="D25" s="1">
        <v>45681.333333333336</v>
      </c>
      <c r="E25">
        <v>3270.1825964670697</v>
      </c>
      <c r="F25">
        <v>1868.1247870918196</v>
      </c>
      <c r="G25">
        <v>4698.2072346529903</v>
      </c>
      <c r="H25" s="1">
        <v>45657.333333333336</v>
      </c>
    </row>
    <row r="26" spans="1:8" x14ac:dyDescent="0.25">
      <c r="A26" s="7">
        <f>DATE(YEAR(m7_crossvalid[[#This Row],[cutoff]]),MONTH(m7_crossvalid[[#This Row],[cutoff]]),DAY(m7_crossvalid[[#This Row],[cutoff]]))</f>
        <v>45657</v>
      </c>
      <c r="B26" s="7">
        <f>DATE(YEAR(m7_crossvalid[[#This Row],[ds]]),MONTH(m7_crossvalid[[#This Row],[ds]]),DAY(m7_crossvalid[[#This Row],[ds]]))</f>
        <v>45682</v>
      </c>
      <c r="C26">
        <v>1624</v>
      </c>
      <c r="D26" s="1">
        <v>45682.333333333336</v>
      </c>
      <c r="E26">
        <v>1208.6172458576402</v>
      </c>
      <c r="F26">
        <v>-118.81676733689659</v>
      </c>
      <c r="G26">
        <v>2703.9914184250192</v>
      </c>
      <c r="H26" s="1">
        <v>45657.333333333336</v>
      </c>
    </row>
    <row r="27" spans="1:8" x14ac:dyDescent="0.25">
      <c r="A27" s="7">
        <f>DATE(YEAR(m7_crossvalid[[#This Row],[cutoff]]),MONTH(m7_crossvalid[[#This Row],[cutoff]]),DAY(m7_crossvalid[[#This Row],[cutoff]]))</f>
        <v>45657</v>
      </c>
      <c r="B27" s="7">
        <f>DATE(YEAR(m7_crossvalid[[#This Row],[ds]]),MONTH(m7_crossvalid[[#This Row],[ds]]),DAY(m7_crossvalid[[#This Row],[ds]]))</f>
        <v>45683</v>
      </c>
      <c r="C27">
        <v>454</v>
      </c>
      <c r="D27" s="1">
        <v>45683.333333333336</v>
      </c>
      <c r="E27">
        <v>683.78468214479517</v>
      </c>
      <c r="F27">
        <v>-627.25436815519674</v>
      </c>
      <c r="G27">
        <v>1987.9136175095168</v>
      </c>
      <c r="H27" s="1">
        <v>45657.333333333336</v>
      </c>
    </row>
    <row r="28" spans="1:8" x14ac:dyDescent="0.25">
      <c r="A28" s="7">
        <f>DATE(YEAR(m7_crossvalid[[#This Row],[cutoff]]),MONTH(m7_crossvalid[[#This Row],[cutoff]]),DAY(m7_crossvalid[[#This Row],[cutoff]]))</f>
        <v>45657</v>
      </c>
      <c r="B28" s="7">
        <f>DATE(YEAR(m7_crossvalid[[#This Row],[ds]]),MONTH(m7_crossvalid[[#This Row],[ds]]),DAY(m7_crossvalid[[#This Row],[ds]]))</f>
        <v>45684</v>
      </c>
      <c r="C28">
        <v>5598</v>
      </c>
      <c r="D28" s="1">
        <v>45684.333333333336</v>
      </c>
      <c r="E28">
        <v>4451.5414884410129</v>
      </c>
      <c r="F28">
        <v>3026.9637501565257</v>
      </c>
      <c r="G28">
        <v>5743.4317756843802</v>
      </c>
      <c r="H28" s="1">
        <v>45657.333333333336</v>
      </c>
    </row>
    <row r="29" spans="1:8" x14ac:dyDescent="0.25">
      <c r="A29" s="7">
        <f>DATE(YEAR(m7_crossvalid[[#This Row],[cutoff]]),MONTH(m7_crossvalid[[#This Row],[cutoff]]),DAY(m7_crossvalid[[#This Row],[cutoff]]))</f>
        <v>45657</v>
      </c>
      <c r="B29" s="7">
        <f>DATE(YEAR(m7_crossvalid[[#This Row],[ds]]),MONTH(m7_crossvalid[[#This Row],[ds]]),DAY(m7_crossvalid[[#This Row],[ds]]))</f>
        <v>45685</v>
      </c>
      <c r="C29">
        <v>5264</v>
      </c>
      <c r="D29" s="1">
        <v>45685.333333333336</v>
      </c>
      <c r="E29">
        <v>5222.9484892520031</v>
      </c>
      <c r="F29">
        <v>3778.01974852683</v>
      </c>
      <c r="G29">
        <v>6565.0730093109305</v>
      </c>
      <c r="H29" s="1">
        <v>45657.333333333336</v>
      </c>
    </row>
    <row r="30" spans="1:8" x14ac:dyDescent="0.25">
      <c r="A30" s="7">
        <f>DATE(YEAR(m7_crossvalid[[#This Row],[cutoff]]),MONTH(m7_crossvalid[[#This Row],[cutoff]]),DAY(m7_crossvalid[[#This Row],[cutoff]]))</f>
        <v>45657</v>
      </c>
      <c r="B30" s="7">
        <f>DATE(YEAR(m7_crossvalid[[#This Row],[ds]]),MONTH(m7_crossvalid[[#This Row],[ds]]),DAY(m7_crossvalid[[#This Row],[ds]]))</f>
        <v>45686</v>
      </c>
      <c r="C30">
        <v>310</v>
      </c>
      <c r="D30" s="1">
        <v>45686.333333333336</v>
      </c>
      <c r="E30">
        <v>4407.9389291365078</v>
      </c>
      <c r="F30">
        <v>2948.9042203613571</v>
      </c>
      <c r="G30">
        <v>5750.0443161253625</v>
      </c>
      <c r="H30" s="1">
        <v>45657.333333333336</v>
      </c>
    </row>
    <row r="31" spans="1:8" x14ac:dyDescent="0.25">
      <c r="A31" s="7">
        <f>DATE(YEAR(m7_crossvalid[[#This Row],[cutoff]]),MONTH(m7_crossvalid[[#This Row],[cutoff]]),DAY(m7_crossvalid[[#This Row],[cutoff]]))</f>
        <v>45657</v>
      </c>
      <c r="B31" s="7">
        <f>DATE(YEAR(m7_crossvalid[[#This Row],[ds]]),MONTH(m7_crossvalid[[#This Row],[ds]]),DAY(m7_crossvalid[[#This Row],[ds]]))</f>
        <v>45687</v>
      </c>
      <c r="C31">
        <v>255</v>
      </c>
      <c r="D31" s="1">
        <v>45687.333333333336</v>
      </c>
      <c r="E31">
        <v>5918.6054759699082</v>
      </c>
      <c r="F31">
        <v>4444.246724131066</v>
      </c>
      <c r="G31">
        <v>7269.1496803128975</v>
      </c>
      <c r="H31" s="1">
        <v>45657.333333333336</v>
      </c>
    </row>
    <row r="32" spans="1:8" x14ac:dyDescent="0.25">
      <c r="A32" s="7">
        <f>DATE(YEAR(m7_crossvalid[[#This Row],[cutoff]]),MONTH(m7_crossvalid[[#This Row],[cutoff]]),DAY(m7_crossvalid[[#This Row],[cutoff]]))</f>
        <v>45657</v>
      </c>
      <c r="B32" s="7">
        <f>DATE(YEAR(m7_crossvalid[[#This Row],[ds]]),MONTH(m7_crossvalid[[#This Row],[ds]]),DAY(m7_crossvalid[[#This Row],[ds]]))</f>
        <v>45688</v>
      </c>
      <c r="C32">
        <v>6041</v>
      </c>
      <c r="D32" s="1">
        <v>45688.333333333336</v>
      </c>
      <c r="E32">
        <v>8150.2463605024923</v>
      </c>
      <c r="F32">
        <v>6725.0175819665374</v>
      </c>
      <c r="G32">
        <v>9580.5155728455284</v>
      </c>
      <c r="H32" s="1">
        <v>45657.333333333336</v>
      </c>
    </row>
    <row r="33" spans="1:8" x14ac:dyDescent="0.25">
      <c r="A33" s="7">
        <f>DATE(YEAR(m7_crossvalid[[#This Row],[cutoff]]),MONTH(m7_crossvalid[[#This Row],[cutoff]]),DAY(m7_crossvalid[[#This Row],[cutoff]]))</f>
        <v>45688</v>
      </c>
      <c r="B33" s="7">
        <f>DATE(YEAR(m7_crossvalid[[#This Row],[ds]]),MONTH(m7_crossvalid[[#This Row],[ds]]),DAY(m7_crossvalid[[#This Row],[ds]]))</f>
        <v>45689</v>
      </c>
      <c r="C33">
        <v>47</v>
      </c>
      <c r="D33" s="1">
        <v>45689.333333333336</v>
      </c>
      <c r="E33">
        <v>-2392.2692384399061</v>
      </c>
      <c r="F33">
        <v>-3761.0832650077873</v>
      </c>
      <c r="G33">
        <v>-975.17756542551581</v>
      </c>
      <c r="H33" s="1">
        <v>45688.333333333336</v>
      </c>
    </row>
    <row r="34" spans="1:8" x14ac:dyDescent="0.25">
      <c r="A34" s="7">
        <f>DATE(YEAR(m7_crossvalid[[#This Row],[cutoff]]),MONTH(m7_crossvalid[[#This Row],[cutoff]]),DAY(m7_crossvalid[[#This Row],[cutoff]]))</f>
        <v>45688</v>
      </c>
      <c r="B34" s="7">
        <f>DATE(YEAR(m7_crossvalid[[#This Row],[ds]]),MONTH(m7_crossvalid[[#This Row],[ds]]),DAY(m7_crossvalid[[#This Row],[ds]]))</f>
        <v>45690</v>
      </c>
      <c r="C34">
        <v>14</v>
      </c>
      <c r="D34" s="1">
        <v>45690.333333333336</v>
      </c>
      <c r="E34">
        <v>-1419.4609099591639</v>
      </c>
      <c r="F34">
        <v>-2799.8928554598974</v>
      </c>
      <c r="G34">
        <v>5.7027159990679728</v>
      </c>
      <c r="H34" s="1">
        <v>45688.333333333336</v>
      </c>
    </row>
    <row r="35" spans="1:8" x14ac:dyDescent="0.25">
      <c r="A35" s="7">
        <f>DATE(YEAR(m7_crossvalid[[#This Row],[cutoff]]),MONTH(m7_crossvalid[[#This Row],[cutoff]]),DAY(m7_crossvalid[[#This Row],[cutoff]]))</f>
        <v>45688</v>
      </c>
      <c r="B35" s="7">
        <f>DATE(YEAR(m7_crossvalid[[#This Row],[ds]]),MONTH(m7_crossvalid[[#This Row],[ds]]),DAY(m7_crossvalid[[#This Row],[ds]]))</f>
        <v>45691</v>
      </c>
      <c r="C35">
        <v>454</v>
      </c>
      <c r="D35" s="1">
        <v>45691.333333333336</v>
      </c>
      <c r="E35">
        <v>1223.4121303038382</v>
      </c>
      <c r="F35">
        <v>-216.95653250616004</v>
      </c>
      <c r="G35">
        <v>2542.7579118292174</v>
      </c>
      <c r="H35" s="1">
        <v>45688.333333333336</v>
      </c>
    </row>
    <row r="36" spans="1:8" x14ac:dyDescent="0.25">
      <c r="A36" s="7">
        <f>DATE(YEAR(m7_crossvalid[[#This Row],[cutoff]]),MONTH(m7_crossvalid[[#This Row],[cutoff]]),DAY(m7_crossvalid[[#This Row],[cutoff]]))</f>
        <v>45688</v>
      </c>
      <c r="B36" s="7">
        <f>DATE(YEAR(m7_crossvalid[[#This Row],[ds]]),MONTH(m7_crossvalid[[#This Row],[ds]]),DAY(m7_crossvalid[[#This Row],[ds]]))</f>
        <v>45692</v>
      </c>
      <c r="C36">
        <v>626</v>
      </c>
      <c r="D36" s="1">
        <v>45692.333333333336</v>
      </c>
      <c r="E36">
        <v>1535.5272836820486</v>
      </c>
      <c r="F36">
        <v>214.87442225761563</v>
      </c>
      <c r="G36">
        <v>2909.9638688022383</v>
      </c>
      <c r="H36" s="1">
        <v>45688.333333333336</v>
      </c>
    </row>
    <row r="37" spans="1:8" x14ac:dyDescent="0.25">
      <c r="A37" s="7">
        <f>DATE(YEAR(m7_crossvalid[[#This Row],[cutoff]]),MONTH(m7_crossvalid[[#This Row],[cutoff]]),DAY(m7_crossvalid[[#This Row],[cutoff]]))</f>
        <v>45688</v>
      </c>
      <c r="B37" s="7">
        <f>DATE(YEAR(m7_crossvalid[[#This Row],[ds]]),MONTH(m7_crossvalid[[#This Row],[ds]]),DAY(m7_crossvalid[[#This Row],[ds]]))</f>
        <v>45693</v>
      </c>
      <c r="C37">
        <v>886</v>
      </c>
      <c r="D37" s="1">
        <v>45693.333333333336</v>
      </c>
      <c r="E37">
        <v>1611.4139058124028</v>
      </c>
      <c r="F37">
        <v>121.49506904472705</v>
      </c>
      <c r="G37">
        <v>3005.9810709894932</v>
      </c>
      <c r="H37" s="1">
        <v>45688.333333333336</v>
      </c>
    </row>
    <row r="38" spans="1:8" x14ac:dyDescent="0.25">
      <c r="A38" s="7">
        <f>DATE(YEAR(m7_crossvalid[[#This Row],[cutoff]]),MONTH(m7_crossvalid[[#This Row],[cutoff]]),DAY(m7_crossvalid[[#This Row],[cutoff]]))</f>
        <v>45688</v>
      </c>
      <c r="B38" s="7">
        <f>DATE(YEAR(m7_crossvalid[[#This Row],[ds]]),MONTH(m7_crossvalid[[#This Row],[ds]]),DAY(m7_crossvalid[[#This Row],[ds]]))</f>
        <v>45694</v>
      </c>
      <c r="C38">
        <v>1159</v>
      </c>
      <c r="D38" s="1">
        <v>45694.333333333336</v>
      </c>
      <c r="E38">
        <v>1626.416702681724</v>
      </c>
      <c r="F38">
        <v>174.12762453023686</v>
      </c>
      <c r="G38">
        <v>2989.2002254969811</v>
      </c>
      <c r="H38" s="1">
        <v>45688.333333333336</v>
      </c>
    </row>
    <row r="39" spans="1:8" x14ac:dyDescent="0.25">
      <c r="A39" s="7">
        <f>DATE(YEAR(m7_crossvalid[[#This Row],[cutoff]]),MONTH(m7_crossvalid[[#This Row],[cutoff]]),DAY(m7_crossvalid[[#This Row],[cutoff]]))</f>
        <v>45688</v>
      </c>
      <c r="B39" s="7">
        <f>DATE(YEAR(m7_crossvalid[[#This Row],[ds]]),MONTH(m7_crossvalid[[#This Row],[ds]]),DAY(m7_crossvalid[[#This Row],[ds]]))</f>
        <v>45695</v>
      </c>
      <c r="C39">
        <v>1342</v>
      </c>
      <c r="D39" s="1">
        <v>45695.333333333336</v>
      </c>
      <c r="E39">
        <v>1370.4298511500374</v>
      </c>
      <c r="F39">
        <v>-7.085532450413373</v>
      </c>
      <c r="G39">
        <v>2714.1555083490653</v>
      </c>
      <c r="H39" s="1">
        <v>45688.333333333336</v>
      </c>
    </row>
    <row r="40" spans="1:8" x14ac:dyDescent="0.25">
      <c r="A40" s="7">
        <f>DATE(YEAR(m7_crossvalid[[#This Row],[cutoff]]),MONTH(m7_crossvalid[[#This Row],[cutoff]]),DAY(m7_crossvalid[[#This Row],[cutoff]]))</f>
        <v>45688</v>
      </c>
      <c r="B40" s="7">
        <f>DATE(YEAR(m7_crossvalid[[#This Row],[ds]]),MONTH(m7_crossvalid[[#This Row],[ds]]),DAY(m7_crossvalid[[#This Row],[ds]]))</f>
        <v>45696</v>
      </c>
      <c r="C40">
        <v>301</v>
      </c>
      <c r="D40" s="1">
        <v>45696.333333333336</v>
      </c>
      <c r="E40">
        <v>-298.82124735932848</v>
      </c>
      <c r="F40">
        <v>-1730.7504087687287</v>
      </c>
      <c r="G40">
        <v>1197.5242590761341</v>
      </c>
      <c r="H40" s="1">
        <v>45688.333333333336</v>
      </c>
    </row>
    <row r="41" spans="1:8" x14ac:dyDescent="0.25">
      <c r="A41" s="7">
        <f>DATE(YEAR(m7_crossvalid[[#This Row],[cutoff]]),MONTH(m7_crossvalid[[#This Row],[cutoff]]),DAY(m7_crossvalid[[#This Row],[cutoff]]))</f>
        <v>45688</v>
      </c>
      <c r="B41" s="7">
        <f>DATE(YEAR(m7_crossvalid[[#This Row],[ds]]),MONTH(m7_crossvalid[[#This Row],[ds]]),DAY(m7_crossvalid[[#This Row],[ds]]))</f>
        <v>45697</v>
      </c>
      <c r="C41">
        <v>54</v>
      </c>
      <c r="D41" s="1">
        <v>45697.333333333336</v>
      </c>
      <c r="E41">
        <v>-791.17099362866384</v>
      </c>
      <c r="F41">
        <v>-2176.0557612442553</v>
      </c>
      <c r="G41">
        <v>676.24044820627421</v>
      </c>
      <c r="H41" s="1">
        <v>45688.333333333336</v>
      </c>
    </row>
    <row r="42" spans="1:8" x14ac:dyDescent="0.25">
      <c r="A42" s="7">
        <f>DATE(YEAR(m7_crossvalid[[#This Row],[cutoff]]),MONTH(m7_crossvalid[[#This Row],[cutoff]]),DAY(m7_crossvalid[[#This Row],[cutoff]]))</f>
        <v>45688</v>
      </c>
      <c r="B42" s="7">
        <f>DATE(YEAR(m7_crossvalid[[#This Row],[ds]]),MONTH(m7_crossvalid[[#This Row],[ds]]),DAY(m7_crossvalid[[#This Row],[ds]]))</f>
        <v>45698</v>
      </c>
      <c r="C42">
        <v>1577</v>
      </c>
      <c r="D42" s="1">
        <v>45698.333333333336</v>
      </c>
      <c r="E42">
        <v>1877.2098172663354</v>
      </c>
      <c r="F42">
        <v>460.22283257886102</v>
      </c>
      <c r="G42">
        <v>3279.7500962444974</v>
      </c>
      <c r="H42" s="1">
        <v>45688.333333333336</v>
      </c>
    </row>
    <row r="43" spans="1:8" x14ac:dyDescent="0.25">
      <c r="A43" s="7">
        <f>DATE(YEAR(m7_crossvalid[[#This Row],[cutoff]]),MONTH(m7_crossvalid[[#This Row],[cutoff]]),DAY(m7_crossvalid[[#This Row],[cutoff]]))</f>
        <v>45688</v>
      </c>
      <c r="B43" s="7">
        <f>DATE(YEAR(m7_crossvalid[[#This Row],[ds]]),MONTH(m7_crossvalid[[#This Row],[ds]]),DAY(m7_crossvalid[[#This Row],[ds]]))</f>
        <v>45699</v>
      </c>
      <c r="C43">
        <v>555</v>
      </c>
      <c r="D43" s="1">
        <v>45699.333333333336</v>
      </c>
      <c r="E43">
        <v>693.56172556621004</v>
      </c>
      <c r="F43">
        <v>-646.98191542727488</v>
      </c>
      <c r="G43">
        <v>2082.7586222268442</v>
      </c>
      <c r="H43" s="1">
        <v>45688.333333333336</v>
      </c>
    </row>
    <row r="44" spans="1:8" x14ac:dyDescent="0.25">
      <c r="A44" s="7">
        <f>DATE(YEAR(m7_crossvalid[[#This Row],[cutoff]]),MONTH(m7_crossvalid[[#This Row],[cutoff]]),DAY(m7_crossvalid[[#This Row],[cutoff]]))</f>
        <v>45688</v>
      </c>
      <c r="B44" s="7">
        <f>DATE(YEAR(m7_crossvalid[[#This Row],[ds]]),MONTH(m7_crossvalid[[#This Row],[ds]]),DAY(m7_crossvalid[[#This Row],[ds]]))</f>
        <v>45700</v>
      </c>
      <c r="C44">
        <v>1823</v>
      </c>
      <c r="D44" s="1">
        <v>45700.333333333336</v>
      </c>
      <c r="E44">
        <v>2347.4910739160323</v>
      </c>
      <c r="F44">
        <v>1015.9954408248759</v>
      </c>
      <c r="G44">
        <v>3770.9171045084763</v>
      </c>
      <c r="H44" s="1">
        <v>45688.333333333336</v>
      </c>
    </row>
    <row r="45" spans="1:8" x14ac:dyDescent="0.25">
      <c r="A45" s="7">
        <f>DATE(YEAR(m7_crossvalid[[#This Row],[cutoff]]),MONTH(m7_crossvalid[[#This Row],[cutoff]]),DAY(m7_crossvalid[[#This Row],[cutoff]]))</f>
        <v>45688</v>
      </c>
      <c r="B45" s="7">
        <f>DATE(YEAR(m7_crossvalid[[#This Row],[ds]]),MONTH(m7_crossvalid[[#This Row],[ds]]),DAY(m7_crossvalid[[#This Row],[ds]]))</f>
        <v>45701</v>
      </c>
      <c r="C45">
        <v>2210</v>
      </c>
      <c r="D45" s="1">
        <v>45701.333333333336</v>
      </c>
      <c r="E45">
        <v>2320.9011006684536</v>
      </c>
      <c r="F45">
        <v>998.72680961741639</v>
      </c>
      <c r="G45">
        <v>3719.9983702570144</v>
      </c>
      <c r="H45" s="1">
        <v>45688.333333333336</v>
      </c>
    </row>
    <row r="46" spans="1:8" x14ac:dyDescent="0.25">
      <c r="A46" s="7">
        <f>DATE(YEAR(m7_crossvalid[[#This Row],[cutoff]]),MONTH(m7_crossvalid[[#This Row],[cutoff]]),DAY(m7_crossvalid[[#This Row],[cutoff]]))</f>
        <v>45688</v>
      </c>
      <c r="B46" s="7">
        <f>DATE(YEAR(m7_crossvalid[[#This Row],[ds]]),MONTH(m7_crossvalid[[#This Row],[ds]]),DAY(m7_crossvalid[[#This Row],[ds]]))</f>
        <v>45702</v>
      </c>
      <c r="C46">
        <v>2308</v>
      </c>
      <c r="D46" s="1">
        <v>45702.333333333336</v>
      </c>
      <c r="E46">
        <v>2325.9366631956345</v>
      </c>
      <c r="F46">
        <v>1000.7792855300571</v>
      </c>
      <c r="G46">
        <v>3705.8698759281269</v>
      </c>
      <c r="H46" s="1">
        <v>45688.333333333336</v>
      </c>
    </row>
    <row r="47" spans="1:8" x14ac:dyDescent="0.25">
      <c r="A47" s="7">
        <f>DATE(YEAR(m7_crossvalid[[#This Row],[cutoff]]),MONTH(m7_crossvalid[[#This Row],[cutoff]]),DAY(m7_crossvalid[[#This Row],[cutoff]]))</f>
        <v>45688</v>
      </c>
      <c r="B47" s="7">
        <f>DATE(YEAR(m7_crossvalid[[#This Row],[ds]]),MONTH(m7_crossvalid[[#This Row],[ds]]),DAY(m7_crossvalid[[#This Row],[ds]]))</f>
        <v>45703</v>
      </c>
      <c r="C47">
        <v>485</v>
      </c>
      <c r="D47" s="1">
        <v>45703.333333333336</v>
      </c>
      <c r="E47">
        <v>360.55876638404447</v>
      </c>
      <c r="F47">
        <v>-1039.7245369936891</v>
      </c>
      <c r="G47">
        <v>1747.7940947087493</v>
      </c>
      <c r="H47" s="1">
        <v>45688.333333333336</v>
      </c>
    </row>
    <row r="48" spans="1:8" x14ac:dyDescent="0.25">
      <c r="A48" s="7">
        <f>DATE(YEAR(m7_crossvalid[[#This Row],[cutoff]]),MONTH(m7_crossvalid[[#This Row],[cutoff]]),DAY(m7_crossvalid[[#This Row],[cutoff]]))</f>
        <v>45688</v>
      </c>
      <c r="B48" s="7">
        <f>DATE(YEAR(m7_crossvalid[[#This Row],[ds]]),MONTH(m7_crossvalid[[#This Row],[ds]]),DAY(m7_crossvalid[[#This Row],[ds]]))</f>
        <v>45704</v>
      </c>
      <c r="C48">
        <v>118</v>
      </c>
      <c r="D48" s="1">
        <v>45704.333333333336</v>
      </c>
      <c r="E48">
        <v>-57.710235525501503</v>
      </c>
      <c r="F48">
        <v>-1436.0020050517853</v>
      </c>
      <c r="G48">
        <v>1431.7568788868969</v>
      </c>
      <c r="H48" s="1">
        <v>45688.333333333336</v>
      </c>
    </row>
    <row r="49" spans="1:8" x14ac:dyDescent="0.25">
      <c r="A49" s="7">
        <f>DATE(YEAR(m7_crossvalid[[#This Row],[cutoff]]),MONTH(m7_crossvalid[[#This Row],[cutoff]]),DAY(m7_crossvalid[[#This Row],[cutoff]]))</f>
        <v>45688</v>
      </c>
      <c r="B49" s="7">
        <f>DATE(YEAR(m7_crossvalid[[#This Row],[ds]]),MONTH(m7_crossvalid[[#This Row],[ds]]),DAY(m7_crossvalid[[#This Row],[ds]]))</f>
        <v>45705</v>
      </c>
      <c r="C49">
        <v>2482</v>
      </c>
      <c r="D49" s="1">
        <v>45705.333333333336</v>
      </c>
      <c r="E49">
        <v>2418.7865292467591</v>
      </c>
      <c r="F49">
        <v>989.14987421707963</v>
      </c>
      <c r="G49">
        <v>3755.913086179276</v>
      </c>
      <c r="H49" s="1">
        <v>45688.333333333336</v>
      </c>
    </row>
    <row r="50" spans="1:8" x14ac:dyDescent="0.25">
      <c r="A50" s="7">
        <f>DATE(YEAR(m7_crossvalid[[#This Row],[cutoff]]),MONTH(m7_crossvalid[[#This Row],[cutoff]]),DAY(m7_crossvalid[[#This Row],[cutoff]]))</f>
        <v>45688</v>
      </c>
      <c r="B50" s="7">
        <f>DATE(YEAR(m7_crossvalid[[#This Row],[ds]]),MONTH(m7_crossvalid[[#This Row],[ds]]),DAY(m7_crossvalid[[#This Row],[ds]]))</f>
        <v>45706</v>
      </c>
      <c r="C50">
        <v>2913</v>
      </c>
      <c r="D50" s="1">
        <v>45706.333333333336</v>
      </c>
      <c r="E50">
        <v>2816.7250229955716</v>
      </c>
      <c r="F50">
        <v>1482.3911992468804</v>
      </c>
      <c r="G50">
        <v>4266.3344189890331</v>
      </c>
      <c r="H50" s="1">
        <v>45688.333333333336</v>
      </c>
    </row>
    <row r="51" spans="1:8" x14ac:dyDescent="0.25">
      <c r="A51" s="7">
        <f>DATE(YEAR(m7_crossvalid[[#This Row],[cutoff]]),MONTH(m7_crossvalid[[#This Row],[cutoff]]),DAY(m7_crossvalid[[#This Row],[cutoff]]))</f>
        <v>45688</v>
      </c>
      <c r="B51" s="7">
        <f>DATE(YEAR(m7_crossvalid[[#This Row],[ds]]),MONTH(m7_crossvalid[[#This Row],[ds]]),DAY(m7_crossvalid[[#This Row],[ds]]))</f>
        <v>45707</v>
      </c>
      <c r="C51">
        <v>3106</v>
      </c>
      <c r="D51" s="1">
        <v>45707.333333333336</v>
      </c>
      <c r="E51">
        <v>2899.9267720003472</v>
      </c>
      <c r="F51">
        <v>1494.1489413349318</v>
      </c>
      <c r="G51">
        <v>4350.6129569302948</v>
      </c>
      <c r="H51" s="1">
        <v>45688.333333333336</v>
      </c>
    </row>
    <row r="52" spans="1:8" x14ac:dyDescent="0.25">
      <c r="A52" s="7">
        <f>DATE(YEAR(m7_crossvalid[[#This Row],[cutoff]]),MONTH(m7_crossvalid[[#This Row],[cutoff]]),DAY(m7_crossvalid[[#This Row],[cutoff]]))</f>
        <v>45688</v>
      </c>
      <c r="B52" s="7">
        <f>DATE(YEAR(m7_crossvalid[[#This Row],[ds]]),MONTH(m7_crossvalid[[#This Row],[ds]]),DAY(m7_crossvalid[[#This Row],[ds]]))</f>
        <v>45708</v>
      </c>
      <c r="C52">
        <v>3104</v>
      </c>
      <c r="D52" s="1">
        <v>45708.333333333336</v>
      </c>
      <c r="E52">
        <v>2915.9698869225649</v>
      </c>
      <c r="F52">
        <v>1445.6190143203023</v>
      </c>
      <c r="G52">
        <v>4362.3276884723546</v>
      </c>
      <c r="H52" s="1">
        <v>45688.333333333336</v>
      </c>
    </row>
    <row r="53" spans="1:8" x14ac:dyDescent="0.25">
      <c r="A53" s="7">
        <f>DATE(YEAR(m7_crossvalid[[#This Row],[cutoff]]),MONTH(m7_crossvalid[[#This Row],[cutoff]]),DAY(m7_crossvalid[[#This Row],[cutoff]]))</f>
        <v>45688</v>
      </c>
      <c r="B53" s="7">
        <f>DATE(YEAR(m7_crossvalid[[#This Row],[ds]]),MONTH(m7_crossvalid[[#This Row],[ds]]),DAY(m7_crossvalid[[#This Row],[ds]]))</f>
        <v>45709</v>
      </c>
      <c r="C53">
        <v>3309</v>
      </c>
      <c r="D53" s="1">
        <v>45709.333333333336</v>
      </c>
      <c r="E53">
        <v>2995.5684852120694</v>
      </c>
      <c r="F53">
        <v>1632.274655732587</v>
      </c>
      <c r="G53">
        <v>4350.4516286692287</v>
      </c>
      <c r="H53" s="1">
        <v>45688.333333333336</v>
      </c>
    </row>
    <row r="54" spans="1:8" x14ac:dyDescent="0.25">
      <c r="A54" s="7">
        <f>DATE(YEAR(m7_crossvalid[[#This Row],[cutoff]]),MONTH(m7_crossvalid[[#This Row],[cutoff]]),DAY(m7_crossvalid[[#This Row],[cutoff]]))</f>
        <v>45688</v>
      </c>
      <c r="B54" s="7">
        <f>DATE(YEAR(m7_crossvalid[[#This Row],[ds]]),MONTH(m7_crossvalid[[#This Row],[ds]]),DAY(m7_crossvalid[[#This Row],[ds]]))</f>
        <v>45710</v>
      </c>
      <c r="C54">
        <v>732</v>
      </c>
      <c r="D54" s="1">
        <v>45710.333333333336</v>
      </c>
      <c r="E54">
        <v>1069.760128541865</v>
      </c>
      <c r="F54">
        <v>-327.21895172445778</v>
      </c>
      <c r="G54">
        <v>2385.0436518001552</v>
      </c>
      <c r="H54" s="1">
        <v>45688.333333333336</v>
      </c>
    </row>
    <row r="55" spans="1:8" x14ac:dyDescent="0.25">
      <c r="A55" s="7">
        <f>DATE(YEAR(m7_crossvalid[[#This Row],[cutoff]]),MONTH(m7_crossvalid[[#This Row],[cutoff]]),DAY(m7_crossvalid[[#This Row],[cutoff]]))</f>
        <v>45688</v>
      </c>
      <c r="B55" s="7">
        <f>DATE(YEAR(m7_crossvalid[[#This Row],[ds]]),MONTH(m7_crossvalid[[#This Row],[ds]]),DAY(m7_crossvalid[[#This Row],[ds]]))</f>
        <v>45711</v>
      </c>
      <c r="C55">
        <v>202</v>
      </c>
      <c r="D55" s="1">
        <v>45711.333333333336</v>
      </c>
      <c r="E55">
        <v>686.34677881162702</v>
      </c>
      <c r="F55">
        <v>-720.95598774931409</v>
      </c>
      <c r="G55">
        <v>1994.3686698528766</v>
      </c>
      <c r="H55" s="1">
        <v>45688.333333333336</v>
      </c>
    </row>
    <row r="56" spans="1:8" x14ac:dyDescent="0.25">
      <c r="A56" s="7">
        <f>DATE(YEAR(m7_crossvalid[[#This Row],[cutoff]]),MONTH(m7_crossvalid[[#This Row],[cutoff]]),DAY(m7_crossvalid[[#This Row],[cutoff]]))</f>
        <v>45688</v>
      </c>
      <c r="B56" s="7">
        <f>DATE(YEAR(m7_crossvalid[[#This Row],[ds]]),MONTH(m7_crossvalid[[#This Row],[ds]]),DAY(m7_crossvalid[[#This Row],[ds]]))</f>
        <v>45712</v>
      </c>
      <c r="C56">
        <v>3545</v>
      </c>
      <c r="D56" s="1">
        <v>45712.333333333336</v>
      </c>
      <c r="E56">
        <v>4528.3412944251522</v>
      </c>
      <c r="F56">
        <v>3102.4967838705252</v>
      </c>
      <c r="G56">
        <v>5878.5878822257218</v>
      </c>
      <c r="H56" s="1">
        <v>45688.333333333336</v>
      </c>
    </row>
    <row r="57" spans="1:8" x14ac:dyDescent="0.25">
      <c r="A57" s="7">
        <f>DATE(YEAR(m7_crossvalid[[#This Row],[cutoff]]),MONTH(m7_crossvalid[[#This Row],[cutoff]]),DAY(m7_crossvalid[[#This Row],[cutoff]]))</f>
        <v>45688</v>
      </c>
      <c r="B57" s="7">
        <f>DATE(YEAR(m7_crossvalid[[#This Row],[ds]]),MONTH(m7_crossvalid[[#This Row],[ds]]),DAY(m7_crossvalid[[#This Row],[ds]]))</f>
        <v>45713</v>
      </c>
      <c r="C57">
        <v>4868</v>
      </c>
      <c r="D57" s="1">
        <v>45713.333333333336</v>
      </c>
      <c r="E57">
        <v>4864.7379509916127</v>
      </c>
      <c r="F57">
        <v>3465.813772856498</v>
      </c>
      <c r="G57">
        <v>6188.3852366845922</v>
      </c>
      <c r="H57" s="1">
        <v>45688.333333333336</v>
      </c>
    </row>
    <row r="58" spans="1:8" x14ac:dyDescent="0.25">
      <c r="A58" s="7">
        <f>DATE(YEAR(m7_crossvalid[[#This Row],[cutoff]]),MONTH(m7_crossvalid[[#This Row],[cutoff]]),DAY(m7_crossvalid[[#This Row],[cutoff]]))</f>
        <v>45688</v>
      </c>
      <c r="B58" s="7">
        <f>DATE(YEAR(m7_crossvalid[[#This Row],[ds]]),MONTH(m7_crossvalid[[#This Row],[ds]]),DAY(m7_crossvalid[[#This Row],[ds]]))</f>
        <v>45714</v>
      </c>
      <c r="C58">
        <v>6187</v>
      </c>
      <c r="D58" s="1">
        <v>45714.333333333336</v>
      </c>
      <c r="E58">
        <v>4815.8203081040647</v>
      </c>
      <c r="F58">
        <v>3266.8161057991979</v>
      </c>
      <c r="G58">
        <v>6185.3785376768728</v>
      </c>
      <c r="H58" s="1">
        <v>45688.333333333336</v>
      </c>
    </row>
    <row r="59" spans="1:8" x14ac:dyDescent="0.25">
      <c r="A59" s="7">
        <f>DATE(YEAR(m7_crossvalid[[#This Row],[cutoff]]),MONTH(m7_crossvalid[[#This Row],[cutoff]]),DAY(m7_crossvalid[[#This Row],[cutoff]]))</f>
        <v>45688</v>
      </c>
      <c r="B59" s="7">
        <f>DATE(YEAR(m7_crossvalid[[#This Row],[ds]]),MONTH(m7_crossvalid[[#This Row],[ds]]),DAY(m7_crossvalid[[#This Row],[ds]]))</f>
        <v>45715</v>
      </c>
      <c r="C59">
        <v>8082</v>
      </c>
      <c r="D59" s="1">
        <v>45715.333333333336</v>
      </c>
      <c r="E59">
        <v>7205.9533315872086</v>
      </c>
      <c r="F59">
        <v>5827.8983122955979</v>
      </c>
      <c r="G59">
        <v>8566.2298961099841</v>
      </c>
      <c r="H59" s="1">
        <v>45688.333333333336</v>
      </c>
    </row>
    <row r="60" spans="1:8" x14ac:dyDescent="0.25">
      <c r="A60" s="7">
        <f>DATE(YEAR(m7_crossvalid[[#This Row],[cutoff]]),MONTH(m7_crossvalid[[#This Row],[cutoff]]),DAY(m7_crossvalid[[#This Row],[cutoff]]))</f>
        <v>45688</v>
      </c>
      <c r="B60" s="7">
        <f>DATE(YEAR(m7_crossvalid[[#This Row],[ds]]),MONTH(m7_crossvalid[[#This Row],[ds]]),DAY(m7_crossvalid[[#This Row],[ds]]))</f>
        <v>45716</v>
      </c>
      <c r="C60">
        <v>14838</v>
      </c>
      <c r="D60" s="1">
        <v>45716.333333333336</v>
      </c>
      <c r="E60">
        <v>9711.902750581663</v>
      </c>
      <c r="F60">
        <v>8192.4470070962343</v>
      </c>
      <c r="G60">
        <v>11104.182553654548</v>
      </c>
      <c r="H60" s="1">
        <v>45688.333333333336</v>
      </c>
    </row>
    <row r="61" spans="1:8" x14ac:dyDescent="0.25">
      <c r="A61" s="7">
        <f>DATE(YEAR(m7_crossvalid[[#This Row],[cutoff]]),MONTH(m7_crossvalid[[#This Row],[cutoff]]),DAY(m7_crossvalid[[#This Row],[cutoff]]))</f>
        <v>45688</v>
      </c>
      <c r="B61" s="7">
        <f>DATE(YEAR(m7_crossvalid[[#This Row],[ds]]),MONTH(m7_crossvalid[[#This Row],[ds]]),DAY(m7_crossvalid[[#This Row],[ds]]))</f>
        <v>45717</v>
      </c>
      <c r="C61">
        <v>74</v>
      </c>
      <c r="D61" s="1">
        <v>45717.333333333336</v>
      </c>
      <c r="E61">
        <v>981.36374094180383</v>
      </c>
      <c r="F61">
        <v>-351.04975206274963</v>
      </c>
      <c r="G61">
        <v>2409.7280958706915</v>
      </c>
      <c r="H61" s="1">
        <v>45688.333333333336</v>
      </c>
    </row>
    <row r="62" spans="1:8" x14ac:dyDescent="0.25">
      <c r="A62" s="7">
        <f>DATE(YEAR(m7_crossvalid[[#This Row],[cutoff]]),MONTH(m7_crossvalid[[#This Row],[cutoff]]),DAY(m7_crossvalid[[#This Row],[cutoff]]))</f>
        <v>45688</v>
      </c>
      <c r="B62" s="7">
        <f>DATE(YEAR(m7_crossvalid[[#This Row],[ds]]),MONTH(m7_crossvalid[[#This Row],[ds]]),DAY(m7_crossvalid[[#This Row],[ds]]))</f>
        <v>45718</v>
      </c>
      <c r="C62">
        <v>27</v>
      </c>
      <c r="D62" s="1">
        <v>45718.333333333336</v>
      </c>
      <c r="E62">
        <v>-667.03921061247047</v>
      </c>
      <c r="F62">
        <v>-2103.5421681648409</v>
      </c>
      <c r="G62">
        <v>658.3233897840978</v>
      </c>
      <c r="H62" s="1">
        <v>45688.333333333336</v>
      </c>
    </row>
    <row r="63" spans="1:8" x14ac:dyDescent="0.25">
      <c r="A63" s="7">
        <f>DATE(YEAR(m7_crossvalid[[#This Row],[cutoff]]),MONTH(m7_crossvalid[[#This Row],[cutoff]]),DAY(m7_crossvalid[[#This Row],[cutoff]]))</f>
        <v>45688</v>
      </c>
      <c r="B63" s="7">
        <f>DATE(YEAR(m7_crossvalid[[#This Row],[ds]]),MONTH(m7_crossvalid[[#This Row],[ds]]),DAY(m7_crossvalid[[#This Row],[ds]]))</f>
        <v>45719</v>
      </c>
      <c r="C63">
        <v>378</v>
      </c>
      <c r="D63" s="1">
        <v>45719.333333333336</v>
      </c>
      <c r="E63">
        <v>1317.6593229602897</v>
      </c>
      <c r="F63">
        <v>-52.400410746054803</v>
      </c>
      <c r="G63">
        <v>2742.689451245416</v>
      </c>
      <c r="H63" s="1">
        <v>45688.333333333336</v>
      </c>
    </row>
    <row r="64" spans="1:8" x14ac:dyDescent="0.25">
      <c r="A64" s="7">
        <f>DATE(YEAR(m7_crossvalid[[#This Row],[cutoff]]),MONTH(m7_crossvalid[[#This Row],[cutoff]]),DAY(m7_crossvalid[[#This Row],[cutoff]]))</f>
        <v>45716</v>
      </c>
      <c r="B64" s="7">
        <f>DATE(YEAR(m7_crossvalid[[#This Row],[ds]]),MONTH(m7_crossvalid[[#This Row],[ds]]),DAY(m7_crossvalid[[#This Row],[ds]]))</f>
        <v>45717</v>
      </c>
      <c r="C64">
        <v>74</v>
      </c>
      <c r="D64" s="1">
        <v>45717.333333333336</v>
      </c>
      <c r="E64">
        <v>1323.4272776136411</v>
      </c>
      <c r="F64">
        <v>19.09501988774791</v>
      </c>
      <c r="G64">
        <v>2770.1068451857418</v>
      </c>
      <c r="H64" s="1">
        <v>45716.333333333336</v>
      </c>
    </row>
    <row r="65" spans="1:8" x14ac:dyDescent="0.25">
      <c r="A65" s="7">
        <f>DATE(YEAR(m7_crossvalid[[#This Row],[cutoff]]),MONTH(m7_crossvalid[[#This Row],[cutoff]]),DAY(m7_crossvalid[[#This Row],[cutoff]]))</f>
        <v>45716</v>
      </c>
      <c r="B65" s="7">
        <f>DATE(YEAR(m7_crossvalid[[#This Row],[ds]]),MONTH(m7_crossvalid[[#This Row],[ds]]),DAY(m7_crossvalid[[#This Row],[ds]]))</f>
        <v>45718</v>
      </c>
      <c r="C65">
        <v>27</v>
      </c>
      <c r="D65" s="1">
        <v>45718.333333333336</v>
      </c>
      <c r="E65">
        <v>-625.02182292082443</v>
      </c>
      <c r="F65">
        <v>-1992.5063538231141</v>
      </c>
      <c r="G65">
        <v>822.23900016815821</v>
      </c>
      <c r="H65" s="1">
        <v>45716.333333333336</v>
      </c>
    </row>
    <row r="66" spans="1:8" x14ac:dyDescent="0.25">
      <c r="A66" s="7">
        <f>DATE(YEAR(m7_crossvalid[[#This Row],[cutoff]]),MONTH(m7_crossvalid[[#This Row],[cutoff]]),DAY(m7_crossvalid[[#This Row],[cutoff]]))</f>
        <v>45716</v>
      </c>
      <c r="B66" s="7">
        <f>DATE(YEAR(m7_crossvalid[[#This Row],[ds]]),MONTH(m7_crossvalid[[#This Row],[ds]]),DAY(m7_crossvalid[[#This Row],[ds]]))</f>
        <v>45719</v>
      </c>
      <c r="C66">
        <v>378</v>
      </c>
      <c r="D66" s="1">
        <v>45719.333333333336</v>
      </c>
      <c r="E66">
        <v>1312.9511236810567</v>
      </c>
      <c r="F66">
        <v>-120.22126923997635</v>
      </c>
      <c r="G66">
        <v>2647.4551139893333</v>
      </c>
      <c r="H66" s="1">
        <v>45716.333333333336</v>
      </c>
    </row>
    <row r="67" spans="1:8" x14ac:dyDescent="0.25">
      <c r="A67" s="7">
        <f>DATE(YEAR(m7_crossvalid[[#This Row],[cutoff]]),MONTH(m7_crossvalid[[#This Row],[cutoff]]),DAY(m7_crossvalid[[#This Row],[cutoff]]))</f>
        <v>45716</v>
      </c>
      <c r="B67" s="7">
        <f>DATE(YEAR(m7_crossvalid[[#This Row],[ds]]),MONTH(m7_crossvalid[[#This Row],[ds]]),DAY(m7_crossvalid[[#This Row],[ds]]))</f>
        <v>45720</v>
      </c>
      <c r="C67">
        <v>666</v>
      </c>
      <c r="D67" s="1">
        <v>45720.333333333336</v>
      </c>
      <c r="E67">
        <v>1721.2993326153551</v>
      </c>
      <c r="F67">
        <v>238.09465473238086</v>
      </c>
      <c r="G67">
        <v>3002.4114900187019</v>
      </c>
      <c r="H67" s="1">
        <v>45716.333333333336</v>
      </c>
    </row>
    <row r="68" spans="1:8" x14ac:dyDescent="0.25">
      <c r="A68" s="7">
        <f>DATE(YEAR(m7_crossvalid[[#This Row],[cutoff]]),MONTH(m7_crossvalid[[#This Row],[cutoff]]),DAY(m7_crossvalid[[#This Row],[cutoff]]))</f>
        <v>45716</v>
      </c>
      <c r="B68" s="7">
        <f>DATE(YEAR(m7_crossvalid[[#This Row],[ds]]),MONTH(m7_crossvalid[[#This Row],[ds]]),DAY(m7_crossvalid[[#This Row],[ds]]))</f>
        <v>45721</v>
      </c>
      <c r="C68">
        <v>793</v>
      </c>
      <c r="D68" s="1">
        <v>45721.333333333336</v>
      </c>
      <c r="E68">
        <v>1833.1854008803459</v>
      </c>
      <c r="F68">
        <v>355.51430303549131</v>
      </c>
      <c r="G68">
        <v>3282.9704406886235</v>
      </c>
      <c r="H68" s="1">
        <v>45716.333333333336</v>
      </c>
    </row>
    <row r="69" spans="1:8" x14ac:dyDescent="0.25">
      <c r="A69" s="7">
        <f>DATE(YEAR(m7_crossvalid[[#This Row],[cutoff]]),MONTH(m7_crossvalid[[#This Row],[cutoff]]),DAY(m7_crossvalid[[#This Row],[cutoff]]))</f>
        <v>45716</v>
      </c>
      <c r="B69" s="7">
        <f>DATE(YEAR(m7_crossvalid[[#This Row],[ds]]),MONTH(m7_crossvalid[[#This Row],[ds]]),DAY(m7_crossvalid[[#This Row],[ds]]))</f>
        <v>45722</v>
      </c>
      <c r="C69">
        <v>1426</v>
      </c>
      <c r="D69" s="1">
        <v>45722.333333333336</v>
      </c>
      <c r="E69">
        <v>1814.7333448447837</v>
      </c>
      <c r="F69">
        <v>446.2913992236123</v>
      </c>
      <c r="G69">
        <v>3164.6490234672406</v>
      </c>
      <c r="H69" s="1">
        <v>45716.333333333336</v>
      </c>
    </row>
    <row r="70" spans="1:8" x14ac:dyDescent="0.25">
      <c r="A70" s="7">
        <f>DATE(YEAR(m7_crossvalid[[#This Row],[cutoff]]),MONTH(m7_crossvalid[[#This Row],[cutoff]]),DAY(m7_crossvalid[[#This Row],[cutoff]]))</f>
        <v>45716</v>
      </c>
      <c r="B70" s="7">
        <f>DATE(YEAR(m7_crossvalid[[#This Row],[ds]]),MONTH(m7_crossvalid[[#This Row],[ds]]),DAY(m7_crossvalid[[#This Row],[ds]]))</f>
        <v>45723</v>
      </c>
      <c r="C70">
        <v>1674</v>
      </c>
      <c r="D70" s="1">
        <v>45723.333333333336</v>
      </c>
      <c r="E70">
        <v>1784.5372604245558</v>
      </c>
      <c r="F70">
        <v>433.86703742905763</v>
      </c>
      <c r="G70">
        <v>3161.250316315728</v>
      </c>
      <c r="H70" s="1">
        <v>45716.333333333336</v>
      </c>
    </row>
    <row r="71" spans="1:8" x14ac:dyDescent="0.25">
      <c r="A71" s="7">
        <f>DATE(YEAR(m7_crossvalid[[#This Row],[cutoff]]),MONTH(m7_crossvalid[[#This Row],[cutoff]]),DAY(m7_crossvalid[[#This Row],[cutoff]]))</f>
        <v>45716</v>
      </c>
      <c r="B71" s="7">
        <f>DATE(YEAR(m7_crossvalid[[#This Row],[ds]]),MONTH(m7_crossvalid[[#This Row],[ds]]),DAY(m7_crossvalid[[#This Row],[ds]]))</f>
        <v>45724</v>
      </c>
      <c r="C71">
        <v>310</v>
      </c>
      <c r="D71" s="1">
        <v>45724.333333333336</v>
      </c>
      <c r="E71">
        <v>321.35193168931937</v>
      </c>
      <c r="F71">
        <v>-1123.3429197920693</v>
      </c>
      <c r="G71">
        <v>1704.8455952735792</v>
      </c>
      <c r="H71" s="1">
        <v>45716.333333333336</v>
      </c>
    </row>
    <row r="72" spans="1:8" x14ac:dyDescent="0.25">
      <c r="A72" s="7">
        <f>DATE(YEAR(m7_crossvalid[[#This Row],[cutoff]]),MONTH(m7_crossvalid[[#This Row],[cutoff]]),DAY(m7_crossvalid[[#This Row],[cutoff]]))</f>
        <v>45716</v>
      </c>
      <c r="B72" s="7">
        <f>DATE(YEAR(m7_crossvalid[[#This Row],[ds]]),MONTH(m7_crossvalid[[#This Row],[ds]]),DAY(m7_crossvalid[[#This Row],[ds]]))</f>
        <v>45725</v>
      </c>
      <c r="C72">
        <v>109</v>
      </c>
      <c r="D72" s="1">
        <v>45725.333333333336</v>
      </c>
      <c r="E72">
        <v>-198.33130528484753</v>
      </c>
      <c r="F72">
        <v>-1635.816547727122</v>
      </c>
      <c r="G72">
        <v>1179.5573638947385</v>
      </c>
      <c r="H72" s="1">
        <v>45716.333333333336</v>
      </c>
    </row>
    <row r="73" spans="1:8" x14ac:dyDescent="0.25">
      <c r="A73" s="7">
        <f>DATE(YEAR(m7_crossvalid[[#This Row],[cutoff]]),MONTH(m7_crossvalid[[#This Row],[cutoff]]),DAY(m7_crossvalid[[#This Row],[cutoff]]))</f>
        <v>45716</v>
      </c>
      <c r="B73" s="7">
        <f>DATE(YEAR(m7_crossvalid[[#This Row],[ds]]),MONTH(m7_crossvalid[[#This Row],[ds]]),DAY(m7_crossvalid[[#This Row],[ds]]))</f>
        <v>45726</v>
      </c>
      <c r="C73">
        <v>1900</v>
      </c>
      <c r="D73" s="1">
        <v>45726.333333333336</v>
      </c>
      <c r="E73">
        <v>2107.4500179450861</v>
      </c>
      <c r="F73">
        <v>763.27620281807981</v>
      </c>
      <c r="G73">
        <v>3537.5984108795674</v>
      </c>
      <c r="H73" s="1">
        <v>45716.333333333336</v>
      </c>
    </row>
    <row r="74" spans="1:8" x14ac:dyDescent="0.25">
      <c r="A74" s="7">
        <f>DATE(YEAR(m7_crossvalid[[#This Row],[cutoff]]),MONTH(m7_crossvalid[[#This Row],[cutoff]]),DAY(m7_crossvalid[[#This Row],[cutoff]]))</f>
        <v>45716</v>
      </c>
      <c r="B74" s="7">
        <f>DATE(YEAR(m7_crossvalid[[#This Row],[ds]]),MONTH(m7_crossvalid[[#This Row],[ds]]),DAY(m7_crossvalid[[#This Row],[ds]]))</f>
        <v>45727</v>
      </c>
      <c r="C74">
        <v>2294</v>
      </c>
      <c r="D74" s="1">
        <v>45727.333333333336</v>
      </c>
      <c r="E74">
        <v>2354.8833993700273</v>
      </c>
      <c r="F74">
        <v>859.25413928053149</v>
      </c>
      <c r="G74">
        <v>3629.4023262197752</v>
      </c>
      <c r="H74" s="1">
        <v>45716.333333333336</v>
      </c>
    </row>
    <row r="75" spans="1:8" x14ac:dyDescent="0.25">
      <c r="A75" s="7">
        <f>DATE(YEAR(m7_crossvalid[[#This Row],[cutoff]]),MONTH(m7_crossvalid[[#This Row],[cutoff]]),DAY(m7_crossvalid[[#This Row],[cutoff]]))</f>
        <v>45716</v>
      </c>
      <c r="B75" s="7">
        <f>DATE(YEAR(m7_crossvalid[[#This Row],[ds]]),MONTH(m7_crossvalid[[#This Row],[ds]]),DAY(m7_crossvalid[[#This Row],[ds]]))</f>
        <v>45728</v>
      </c>
      <c r="C75">
        <v>2576</v>
      </c>
      <c r="D75" s="1">
        <v>45728.333333333336</v>
      </c>
      <c r="E75">
        <v>2528.5711585804752</v>
      </c>
      <c r="F75">
        <v>1146.0974359229936</v>
      </c>
      <c r="G75">
        <v>3920.5608040853549</v>
      </c>
      <c r="H75" s="1">
        <v>45716.333333333336</v>
      </c>
    </row>
    <row r="76" spans="1:8" x14ac:dyDescent="0.25">
      <c r="A76" s="7">
        <f>DATE(YEAR(m7_crossvalid[[#This Row],[cutoff]]),MONTH(m7_crossvalid[[#This Row],[cutoff]]),DAY(m7_crossvalid[[#This Row],[cutoff]]))</f>
        <v>45716</v>
      </c>
      <c r="B76" s="7">
        <f>DATE(YEAR(m7_crossvalid[[#This Row],[ds]]),MONTH(m7_crossvalid[[#This Row],[ds]]),DAY(m7_crossvalid[[#This Row],[ds]]))</f>
        <v>45729</v>
      </c>
      <c r="C76">
        <v>2235</v>
      </c>
      <c r="D76" s="1">
        <v>45729.333333333336</v>
      </c>
      <c r="E76">
        <v>2696.808580082452</v>
      </c>
      <c r="F76">
        <v>1308.0077292556225</v>
      </c>
      <c r="G76">
        <v>4023.0347850520952</v>
      </c>
      <c r="H76" s="1">
        <v>45716.333333333336</v>
      </c>
    </row>
    <row r="77" spans="1:8" x14ac:dyDescent="0.25">
      <c r="A77" s="7">
        <f>DATE(YEAR(m7_crossvalid[[#This Row],[cutoff]]),MONTH(m7_crossvalid[[#This Row],[cutoff]]),DAY(m7_crossvalid[[#This Row],[cutoff]]))</f>
        <v>45716</v>
      </c>
      <c r="B77" s="7">
        <f>DATE(YEAR(m7_crossvalid[[#This Row],[ds]]),MONTH(m7_crossvalid[[#This Row],[ds]]),DAY(m7_crossvalid[[#This Row],[ds]]))</f>
        <v>45730</v>
      </c>
      <c r="C77">
        <v>3818</v>
      </c>
      <c r="D77" s="1">
        <v>45730.333333333336</v>
      </c>
      <c r="E77">
        <v>2658.0584038754168</v>
      </c>
      <c r="F77">
        <v>1165.5412846069125</v>
      </c>
      <c r="G77">
        <v>3916.5710270593113</v>
      </c>
      <c r="H77" s="1">
        <v>45716.333333333336</v>
      </c>
    </row>
    <row r="78" spans="1:8" x14ac:dyDescent="0.25">
      <c r="A78" s="7">
        <f>DATE(YEAR(m7_crossvalid[[#This Row],[cutoff]]),MONTH(m7_crossvalid[[#This Row],[cutoff]]),DAY(m7_crossvalid[[#This Row],[cutoff]]))</f>
        <v>45716</v>
      </c>
      <c r="B78" s="7">
        <f>DATE(YEAR(m7_crossvalid[[#This Row],[ds]]),MONTH(m7_crossvalid[[#This Row],[ds]]),DAY(m7_crossvalid[[#This Row],[ds]]))</f>
        <v>45731</v>
      </c>
      <c r="C78">
        <v>927</v>
      </c>
      <c r="D78" s="1">
        <v>45731.333333333336</v>
      </c>
      <c r="E78">
        <v>463.28800408623874</v>
      </c>
      <c r="F78">
        <v>-896.57959086477251</v>
      </c>
      <c r="G78">
        <v>1783.2333940644428</v>
      </c>
      <c r="H78" s="1">
        <v>45716.333333333336</v>
      </c>
    </row>
    <row r="79" spans="1:8" x14ac:dyDescent="0.25">
      <c r="A79" s="7">
        <f>DATE(YEAR(m7_crossvalid[[#This Row],[cutoff]]),MONTH(m7_crossvalid[[#This Row],[cutoff]]),DAY(m7_crossvalid[[#This Row],[cutoff]]))</f>
        <v>45716</v>
      </c>
      <c r="B79" s="7">
        <f>DATE(YEAR(m7_crossvalid[[#This Row],[ds]]),MONTH(m7_crossvalid[[#This Row],[ds]]),DAY(m7_crossvalid[[#This Row],[ds]]))</f>
        <v>45732</v>
      </c>
      <c r="C79">
        <v>263</v>
      </c>
      <c r="D79" s="1">
        <v>45732.333333333336</v>
      </c>
      <c r="E79">
        <v>7.7515792337285347</v>
      </c>
      <c r="F79">
        <v>-1465.0418507619734</v>
      </c>
      <c r="G79">
        <v>1381.4571880340329</v>
      </c>
      <c r="H79" s="1">
        <v>45716.333333333336</v>
      </c>
    </row>
    <row r="80" spans="1:8" x14ac:dyDescent="0.25">
      <c r="A80" s="7">
        <f>DATE(YEAR(m7_crossvalid[[#This Row],[cutoff]]),MONTH(m7_crossvalid[[#This Row],[cutoff]]),DAY(m7_crossvalid[[#This Row],[cutoff]]))</f>
        <v>45716</v>
      </c>
      <c r="B80" s="7">
        <f>DATE(YEAR(m7_crossvalid[[#This Row],[ds]]),MONTH(m7_crossvalid[[#This Row],[ds]]),DAY(m7_crossvalid[[#This Row],[ds]]))</f>
        <v>45733</v>
      </c>
      <c r="C80">
        <v>4812</v>
      </c>
      <c r="D80" s="1">
        <v>45733.333333333336</v>
      </c>
      <c r="E80">
        <v>2629.3050636292892</v>
      </c>
      <c r="F80">
        <v>1113.7633331090078</v>
      </c>
      <c r="G80">
        <v>4057.3811814434976</v>
      </c>
      <c r="H80" s="1">
        <v>45716.333333333336</v>
      </c>
    </row>
    <row r="81" spans="1:8" x14ac:dyDescent="0.25">
      <c r="A81" s="7">
        <f>DATE(YEAR(m7_crossvalid[[#This Row],[cutoff]]),MONTH(m7_crossvalid[[#This Row],[cutoff]]),DAY(m7_crossvalid[[#This Row],[cutoff]]))</f>
        <v>45716</v>
      </c>
      <c r="B81" s="7">
        <f>DATE(YEAR(m7_crossvalid[[#This Row],[ds]]),MONTH(m7_crossvalid[[#This Row],[ds]]),DAY(m7_crossvalid[[#This Row],[ds]]))</f>
        <v>45734</v>
      </c>
      <c r="C81">
        <v>1459</v>
      </c>
      <c r="D81" s="1">
        <v>45734.333333333336</v>
      </c>
      <c r="E81">
        <v>1547.2012540599703</v>
      </c>
      <c r="F81">
        <v>90.301391253004908</v>
      </c>
      <c r="G81">
        <v>2796.3023026615815</v>
      </c>
      <c r="H81" s="1">
        <v>45716.333333333336</v>
      </c>
    </row>
    <row r="82" spans="1:8" x14ac:dyDescent="0.25">
      <c r="A82" s="7">
        <f>DATE(YEAR(m7_crossvalid[[#This Row],[cutoff]]),MONTH(m7_crossvalid[[#This Row],[cutoff]]),DAY(m7_crossvalid[[#This Row],[cutoff]]))</f>
        <v>45716</v>
      </c>
      <c r="B82" s="7">
        <f>DATE(YEAR(m7_crossvalid[[#This Row],[ds]]),MONTH(m7_crossvalid[[#This Row],[ds]]),DAY(m7_crossvalid[[#This Row],[ds]]))</f>
        <v>45735</v>
      </c>
      <c r="C82">
        <v>3508</v>
      </c>
      <c r="D82" s="1">
        <v>45735.333333333336</v>
      </c>
      <c r="E82">
        <v>3187.2865638765347</v>
      </c>
      <c r="F82">
        <v>1891.0648649977122</v>
      </c>
      <c r="G82">
        <v>4577.8591175476267</v>
      </c>
      <c r="H82" s="1">
        <v>45716.333333333336</v>
      </c>
    </row>
    <row r="83" spans="1:8" x14ac:dyDescent="0.25">
      <c r="A83" s="7">
        <f>DATE(YEAR(m7_crossvalid[[#This Row],[cutoff]]),MONTH(m7_crossvalid[[#This Row],[cutoff]]),DAY(m7_crossvalid[[#This Row],[cutoff]]))</f>
        <v>45716</v>
      </c>
      <c r="B83" s="7">
        <f>DATE(YEAR(m7_crossvalid[[#This Row],[ds]]),MONTH(m7_crossvalid[[#This Row],[ds]]),DAY(m7_crossvalid[[#This Row],[ds]]))</f>
        <v>45736</v>
      </c>
      <c r="C83">
        <v>3947</v>
      </c>
      <c r="D83" s="1">
        <v>45736.333333333336</v>
      </c>
      <c r="E83">
        <v>3182.3931028091488</v>
      </c>
      <c r="F83">
        <v>1885.8119281951774</v>
      </c>
      <c r="G83">
        <v>4588.545889998144</v>
      </c>
      <c r="H83" s="1">
        <v>45716.333333333336</v>
      </c>
    </row>
    <row r="84" spans="1:8" x14ac:dyDescent="0.25">
      <c r="A84" s="7">
        <f>DATE(YEAR(m7_crossvalid[[#This Row],[cutoff]]),MONTH(m7_crossvalid[[#This Row],[cutoff]]),DAY(m7_crossvalid[[#This Row],[cutoff]]))</f>
        <v>45716</v>
      </c>
      <c r="B84" s="7">
        <f>DATE(YEAR(m7_crossvalid[[#This Row],[ds]]),MONTH(m7_crossvalid[[#This Row],[ds]]),DAY(m7_crossvalid[[#This Row],[ds]]))</f>
        <v>45737</v>
      </c>
      <c r="C84">
        <v>4280</v>
      </c>
      <c r="D84" s="1">
        <v>45737.333333333336</v>
      </c>
      <c r="E84">
        <v>3179.3088653362056</v>
      </c>
      <c r="F84">
        <v>1725.7981989674051</v>
      </c>
      <c r="G84">
        <v>4507.8576316644712</v>
      </c>
      <c r="H84" s="1">
        <v>45716.333333333336</v>
      </c>
    </row>
    <row r="85" spans="1:8" x14ac:dyDescent="0.25">
      <c r="A85" s="7">
        <f>DATE(YEAR(m7_crossvalid[[#This Row],[cutoff]]),MONTH(m7_crossvalid[[#This Row],[cutoff]]),DAY(m7_crossvalid[[#This Row],[cutoff]]))</f>
        <v>45716</v>
      </c>
      <c r="B85" s="7">
        <f>DATE(YEAR(m7_crossvalid[[#This Row],[ds]]),MONTH(m7_crossvalid[[#This Row],[ds]]),DAY(m7_crossvalid[[#This Row],[ds]]))</f>
        <v>45738</v>
      </c>
      <c r="C85">
        <v>1076</v>
      </c>
      <c r="D85" s="1">
        <v>45738.333333333336</v>
      </c>
      <c r="E85">
        <v>1011.9713599795048</v>
      </c>
      <c r="F85">
        <v>-397.40085695657211</v>
      </c>
      <c r="G85">
        <v>2440.6547936212874</v>
      </c>
      <c r="H85" s="1">
        <v>45716.333333333336</v>
      </c>
    </row>
    <row r="86" spans="1:8" x14ac:dyDescent="0.25">
      <c r="A86" s="7">
        <f>DATE(YEAR(m7_crossvalid[[#This Row],[cutoff]]),MONTH(m7_crossvalid[[#This Row],[cutoff]]),DAY(m7_crossvalid[[#This Row],[cutoff]]))</f>
        <v>45716</v>
      </c>
      <c r="B86" s="7">
        <f>DATE(YEAR(m7_crossvalid[[#This Row],[ds]]),MONTH(m7_crossvalid[[#This Row],[ds]]),DAY(m7_crossvalid[[#This Row],[ds]]))</f>
        <v>45739</v>
      </c>
      <c r="C86">
        <v>301</v>
      </c>
      <c r="D86" s="1">
        <v>45739.333333333336</v>
      </c>
      <c r="E86">
        <v>575.95474143415936</v>
      </c>
      <c r="F86">
        <v>-868.50647004765517</v>
      </c>
      <c r="G86">
        <v>1987.5041615698315</v>
      </c>
      <c r="H86" s="1">
        <v>45716.333333333336</v>
      </c>
    </row>
    <row r="87" spans="1:8" x14ac:dyDescent="0.25">
      <c r="A87" s="7">
        <f>DATE(YEAR(m7_crossvalid[[#This Row],[cutoff]]),MONTH(m7_crossvalid[[#This Row],[cutoff]]),DAY(m7_crossvalid[[#This Row],[cutoff]]))</f>
        <v>45716</v>
      </c>
      <c r="B87" s="7">
        <f>DATE(YEAR(m7_crossvalid[[#This Row],[ds]]),MONTH(m7_crossvalid[[#This Row],[ds]]),DAY(m7_crossvalid[[#This Row],[ds]]))</f>
        <v>45740</v>
      </c>
      <c r="C87">
        <v>4292</v>
      </c>
      <c r="D87" s="1">
        <v>45740.333333333336</v>
      </c>
      <c r="E87">
        <v>3259.0014419665104</v>
      </c>
      <c r="F87">
        <v>1828.0129846332381</v>
      </c>
      <c r="G87">
        <v>4748.9135863779056</v>
      </c>
      <c r="H87" s="1">
        <v>45716.333333333336</v>
      </c>
    </row>
    <row r="88" spans="1:8" x14ac:dyDescent="0.25">
      <c r="A88" s="7">
        <f>DATE(YEAR(m7_crossvalid[[#This Row],[cutoff]]),MONTH(m7_crossvalid[[#This Row],[cutoff]]),DAY(m7_crossvalid[[#This Row],[cutoff]]))</f>
        <v>45716</v>
      </c>
      <c r="B88" s="7">
        <f>DATE(YEAR(m7_crossvalid[[#This Row],[ds]]),MONTH(m7_crossvalid[[#This Row],[ds]]),DAY(m7_crossvalid[[#This Row],[ds]]))</f>
        <v>45741</v>
      </c>
      <c r="C88">
        <v>5571</v>
      </c>
      <c r="D88" s="1">
        <v>45741.333333333336</v>
      </c>
      <c r="E88">
        <v>3737.4237030277982</v>
      </c>
      <c r="F88">
        <v>2240.4616211040848</v>
      </c>
      <c r="G88">
        <v>5094.1144559572058</v>
      </c>
      <c r="H88" s="1">
        <v>45716.333333333336</v>
      </c>
    </row>
    <row r="89" spans="1:8" x14ac:dyDescent="0.25">
      <c r="A89" s="7">
        <f>DATE(YEAR(m7_crossvalid[[#This Row],[cutoff]]),MONTH(m7_crossvalid[[#This Row],[cutoff]]),DAY(m7_crossvalid[[#This Row],[cutoff]]))</f>
        <v>45716</v>
      </c>
      <c r="B89" s="7">
        <f>DATE(YEAR(m7_crossvalid[[#This Row],[ds]]),MONTH(m7_crossvalid[[#This Row],[ds]]),DAY(m7_crossvalid[[#This Row],[ds]]))</f>
        <v>45742</v>
      </c>
      <c r="C89">
        <v>6352</v>
      </c>
      <c r="D89" s="1">
        <v>45742.333333333336</v>
      </c>
      <c r="E89">
        <v>3829.5011493404427</v>
      </c>
      <c r="F89">
        <v>2370.503571030205</v>
      </c>
      <c r="G89">
        <v>5264.0082876463593</v>
      </c>
      <c r="H89" s="1">
        <v>45716.333333333336</v>
      </c>
    </row>
    <row r="90" spans="1:8" x14ac:dyDescent="0.25">
      <c r="A90" s="7">
        <f>DATE(YEAR(m7_crossvalid[[#This Row],[cutoff]]),MONTH(m7_crossvalid[[#This Row],[cutoff]]),DAY(m7_crossvalid[[#This Row],[cutoff]]))</f>
        <v>45716</v>
      </c>
      <c r="B90" s="7">
        <f>DATE(YEAR(m7_crossvalid[[#This Row],[ds]]),MONTH(m7_crossvalid[[#This Row],[ds]]),DAY(m7_crossvalid[[#This Row],[ds]]))</f>
        <v>45743</v>
      </c>
      <c r="C90">
        <v>8836</v>
      </c>
      <c r="D90" s="1">
        <v>45743.333333333336</v>
      </c>
      <c r="E90">
        <v>5076.7418580930735</v>
      </c>
      <c r="F90">
        <v>3905.6593527895761</v>
      </c>
      <c r="G90">
        <v>6490.7703387723186</v>
      </c>
      <c r="H90" s="1">
        <v>45716.333333333336</v>
      </c>
    </row>
    <row r="91" spans="1:8" x14ac:dyDescent="0.25">
      <c r="A91" s="7">
        <f>DATE(YEAR(m7_crossvalid[[#This Row],[cutoff]]),MONTH(m7_crossvalid[[#This Row],[cutoff]]),DAY(m7_crossvalid[[#This Row],[cutoff]]))</f>
        <v>45716</v>
      </c>
      <c r="B91" s="7">
        <f>DATE(YEAR(m7_crossvalid[[#This Row],[ds]]),MONTH(m7_crossvalid[[#This Row],[ds]]),DAY(m7_crossvalid[[#This Row],[ds]]))</f>
        <v>45744</v>
      </c>
      <c r="C91">
        <v>9717</v>
      </c>
      <c r="D91" s="1">
        <v>45744.333333333336</v>
      </c>
      <c r="E91">
        <v>4957.9719733032925</v>
      </c>
      <c r="F91">
        <v>3612.8820621167529</v>
      </c>
      <c r="G91">
        <v>6355.4487299359034</v>
      </c>
      <c r="H91" s="1">
        <v>45716.333333333336</v>
      </c>
    </row>
    <row r="92" spans="1:8" x14ac:dyDescent="0.25">
      <c r="A92" s="7">
        <f>DATE(YEAR(m7_crossvalid[[#This Row],[cutoff]]),MONTH(m7_crossvalid[[#This Row],[cutoff]]),DAY(m7_crossvalid[[#This Row],[cutoff]]))</f>
        <v>45716</v>
      </c>
      <c r="B92" s="7">
        <f>DATE(YEAR(m7_crossvalid[[#This Row],[ds]]),MONTH(m7_crossvalid[[#This Row],[ds]]),DAY(m7_crossvalid[[#This Row],[ds]]))</f>
        <v>45745</v>
      </c>
      <c r="C92">
        <v>3249</v>
      </c>
      <c r="D92" s="1">
        <v>45745.333333333336</v>
      </c>
      <c r="E92">
        <v>2854.693613791821</v>
      </c>
      <c r="F92">
        <v>1441.2200118340554</v>
      </c>
      <c r="G92">
        <v>4262.5652681881502</v>
      </c>
      <c r="H92" s="1">
        <v>45716.333333333336</v>
      </c>
    </row>
    <row r="93" spans="1:8" x14ac:dyDescent="0.25">
      <c r="A93" s="7">
        <f>DATE(YEAR(m7_crossvalid[[#This Row],[cutoff]]),MONTH(m7_crossvalid[[#This Row],[cutoff]]),DAY(m7_crossvalid[[#This Row],[cutoff]]))</f>
        <v>45716</v>
      </c>
      <c r="B93" s="7">
        <f>DATE(YEAR(m7_crossvalid[[#This Row],[ds]]),MONTH(m7_crossvalid[[#This Row],[ds]]),DAY(m7_crossvalid[[#This Row],[ds]]))</f>
        <v>45746</v>
      </c>
      <c r="C93">
        <v>198</v>
      </c>
      <c r="D93" s="1">
        <v>45746.333333333336</v>
      </c>
      <c r="E93">
        <v>5113.7727421629943</v>
      </c>
      <c r="F93">
        <v>3679.530733400089</v>
      </c>
      <c r="G93">
        <v>6436.8653893380288</v>
      </c>
      <c r="H93" s="1">
        <v>45716.333333333336</v>
      </c>
    </row>
    <row r="94" spans="1:8" x14ac:dyDescent="0.25">
      <c r="A94" s="7">
        <f>DATE(YEAR(m7_crossvalid[[#This Row],[cutoff]]),MONTH(m7_crossvalid[[#This Row],[cutoff]]),DAY(m7_crossvalid[[#This Row],[cutoff]]))</f>
        <v>45716</v>
      </c>
      <c r="B94" s="7">
        <f>DATE(YEAR(m7_crossvalid[[#This Row],[ds]]),MONTH(m7_crossvalid[[#This Row],[ds]]),DAY(m7_crossvalid[[#This Row],[ds]]))</f>
        <v>45747</v>
      </c>
      <c r="C94">
        <v>53</v>
      </c>
      <c r="D94" s="1">
        <v>45747.333333333336</v>
      </c>
      <c r="E94">
        <v>8273.8802726654867</v>
      </c>
      <c r="F94">
        <v>6919.7877729248848</v>
      </c>
      <c r="G94">
        <v>9686.7320678043816</v>
      </c>
      <c r="H94" s="1">
        <v>45716.333333333336</v>
      </c>
    </row>
    <row r="95" spans="1:8" x14ac:dyDescent="0.25">
      <c r="A95" s="7">
        <f>DATE(YEAR(m7_crossvalid[[#This Row],[cutoff]]),MONTH(m7_crossvalid[[#This Row],[cutoff]]),DAY(m7_crossvalid[[#This Row],[cutoff]]))</f>
        <v>45747</v>
      </c>
      <c r="B95" s="7">
        <f>DATE(YEAR(m7_crossvalid[[#This Row],[ds]]),MONTH(m7_crossvalid[[#This Row],[ds]]),DAY(m7_crossvalid[[#This Row],[ds]]))</f>
        <v>45748</v>
      </c>
      <c r="C95">
        <v>2</v>
      </c>
      <c r="D95" s="1">
        <v>45748.333333333336</v>
      </c>
      <c r="E95">
        <v>-49.912013508420841</v>
      </c>
      <c r="F95">
        <v>-1422.6813624312492</v>
      </c>
      <c r="G95">
        <v>1372.4595498438628</v>
      </c>
      <c r="H95" s="1">
        <v>45747.333333333336</v>
      </c>
    </row>
    <row r="96" spans="1:8" x14ac:dyDescent="0.25">
      <c r="A96" s="7">
        <f>DATE(YEAR(m7_crossvalid[[#This Row],[cutoff]]),MONTH(m7_crossvalid[[#This Row],[cutoff]]),DAY(m7_crossvalid[[#This Row],[cutoff]]))</f>
        <v>45747</v>
      </c>
      <c r="B96" s="7">
        <f>DATE(YEAR(m7_crossvalid[[#This Row],[ds]]),MONTH(m7_crossvalid[[#This Row],[ds]]),DAY(m7_crossvalid[[#This Row],[ds]]))</f>
        <v>45749</v>
      </c>
      <c r="C96">
        <v>105</v>
      </c>
      <c r="D96" s="1">
        <v>45749.333333333336</v>
      </c>
      <c r="E96">
        <v>1150.237136026788</v>
      </c>
      <c r="F96">
        <v>-412.41141788903064</v>
      </c>
      <c r="G96">
        <v>2586.0764081078323</v>
      </c>
      <c r="H96" s="1">
        <v>45747.333333333336</v>
      </c>
    </row>
    <row r="97" spans="1:8" x14ac:dyDescent="0.25">
      <c r="A97" s="7">
        <f>DATE(YEAR(m7_crossvalid[[#This Row],[cutoff]]),MONTH(m7_crossvalid[[#This Row],[cutoff]]),DAY(m7_crossvalid[[#This Row],[cutoff]]))</f>
        <v>45747</v>
      </c>
      <c r="B97" s="7">
        <f>DATE(YEAR(m7_crossvalid[[#This Row],[ds]]),MONTH(m7_crossvalid[[#This Row],[ds]]),DAY(m7_crossvalid[[#This Row],[ds]]))</f>
        <v>45750</v>
      </c>
      <c r="C97">
        <v>284</v>
      </c>
      <c r="D97" s="1">
        <v>45750.333333333336</v>
      </c>
      <c r="E97">
        <v>11.561563217067942</v>
      </c>
      <c r="F97">
        <v>-1378.0731173990096</v>
      </c>
      <c r="G97">
        <v>1428.7725618201266</v>
      </c>
      <c r="H97" s="1">
        <v>45747.333333333336</v>
      </c>
    </row>
    <row r="98" spans="1:8" x14ac:dyDescent="0.25">
      <c r="A98" s="7">
        <f>DATE(YEAR(m7_crossvalid[[#This Row],[cutoff]]),MONTH(m7_crossvalid[[#This Row],[cutoff]]),DAY(m7_crossvalid[[#This Row],[cutoff]]))</f>
        <v>45747</v>
      </c>
      <c r="B98" s="7">
        <f>DATE(YEAR(m7_crossvalid[[#This Row],[ds]]),MONTH(m7_crossvalid[[#This Row],[ds]]),DAY(m7_crossvalid[[#This Row],[ds]]))</f>
        <v>45751</v>
      </c>
      <c r="C98">
        <v>403</v>
      </c>
      <c r="D98" s="1">
        <v>45751.333333333336</v>
      </c>
      <c r="E98">
        <v>1133.3731745444602</v>
      </c>
      <c r="F98">
        <v>-362.1852426595317</v>
      </c>
      <c r="G98">
        <v>2584.4765282561789</v>
      </c>
      <c r="H98" s="1">
        <v>45747.333333333336</v>
      </c>
    </row>
    <row r="99" spans="1:8" x14ac:dyDescent="0.25">
      <c r="A99" s="7">
        <f>DATE(YEAR(m7_crossvalid[[#This Row],[cutoff]]),MONTH(m7_crossvalid[[#This Row],[cutoff]]),DAY(m7_crossvalid[[#This Row],[cutoff]]))</f>
        <v>45747</v>
      </c>
      <c r="B99" s="7">
        <f>DATE(YEAR(m7_crossvalid[[#This Row],[ds]]),MONTH(m7_crossvalid[[#This Row],[ds]]),DAY(m7_crossvalid[[#This Row],[ds]]))</f>
        <v>45752</v>
      </c>
      <c r="C99">
        <v>47</v>
      </c>
      <c r="D99" s="1">
        <v>45752.333333333336</v>
      </c>
      <c r="E99">
        <v>-870.74217720465367</v>
      </c>
      <c r="F99">
        <v>-2350.7436332509515</v>
      </c>
      <c r="G99">
        <v>499.72474819885281</v>
      </c>
      <c r="H99" s="1">
        <v>45747.333333333336</v>
      </c>
    </row>
    <row r="100" spans="1:8" x14ac:dyDescent="0.25">
      <c r="A100" s="7">
        <f>DATE(YEAR(m7_crossvalid[[#This Row],[cutoff]]),MONTH(m7_crossvalid[[#This Row],[cutoff]]),DAY(m7_crossvalid[[#This Row],[cutoff]]))</f>
        <v>45747</v>
      </c>
      <c r="B100" s="7">
        <f>DATE(YEAR(m7_crossvalid[[#This Row],[ds]]),MONTH(m7_crossvalid[[#This Row],[ds]]),DAY(m7_crossvalid[[#This Row],[ds]]))</f>
        <v>45753</v>
      </c>
      <c r="C100">
        <v>11</v>
      </c>
      <c r="D100" s="1">
        <v>45753.333333333336</v>
      </c>
      <c r="E100">
        <v>-1681.3118873282233</v>
      </c>
      <c r="F100">
        <v>-3112.7937888897623</v>
      </c>
      <c r="G100">
        <v>-258.33955102196956</v>
      </c>
      <c r="H100" s="1">
        <v>45747.333333333336</v>
      </c>
    </row>
    <row r="101" spans="1:8" x14ac:dyDescent="0.25">
      <c r="A101" s="7">
        <f>DATE(YEAR(m7_crossvalid[[#This Row],[cutoff]]),MONTH(m7_crossvalid[[#This Row],[cutoff]]),DAY(m7_crossvalid[[#This Row],[cutoff]]))</f>
        <v>45747</v>
      </c>
      <c r="B101" s="7">
        <f>DATE(YEAR(m7_crossvalid[[#This Row],[ds]]),MONTH(m7_crossvalid[[#This Row],[ds]]),DAY(m7_crossvalid[[#This Row],[ds]]))</f>
        <v>45754</v>
      </c>
      <c r="C101">
        <v>477</v>
      </c>
      <c r="D101" s="1">
        <v>45754.333333333336</v>
      </c>
      <c r="E101">
        <v>-793.15159268589559</v>
      </c>
      <c r="F101">
        <v>-2175.8515161706059</v>
      </c>
      <c r="G101">
        <v>712.6548916455198</v>
      </c>
      <c r="H101" s="1">
        <v>45747.333333333336</v>
      </c>
    </row>
    <row r="102" spans="1:8" x14ac:dyDescent="0.25">
      <c r="A102" s="7">
        <f>DATE(YEAR(m7_crossvalid[[#This Row],[cutoff]]),MONTH(m7_crossvalid[[#This Row],[cutoff]]),DAY(m7_crossvalid[[#This Row],[cutoff]]))</f>
        <v>45747</v>
      </c>
      <c r="B102" s="7">
        <f>DATE(YEAR(m7_crossvalid[[#This Row],[ds]]),MONTH(m7_crossvalid[[#This Row],[ds]]),DAY(m7_crossvalid[[#This Row],[ds]]))</f>
        <v>45755</v>
      </c>
      <c r="C102">
        <v>775</v>
      </c>
      <c r="D102" s="1">
        <v>45755.333333333336</v>
      </c>
      <c r="E102">
        <v>1228.2936469896315</v>
      </c>
      <c r="F102">
        <v>-180.35853209851606</v>
      </c>
      <c r="G102">
        <v>2761.1529117838677</v>
      </c>
      <c r="H102" s="1">
        <v>45747.333333333336</v>
      </c>
    </row>
    <row r="103" spans="1:8" x14ac:dyDescent="0.25">
      <c r="A103" s="7">
        <f>DATE(YEAR(m7_crossvalid[[#This Row],[cutoff]]),MONTH(m7_crossvalid[[#This Row],[cutoff]]),DAY(m7_crossvalid[[#This Row],[cutoff]]))</f>
        <v>45747</v>
      </c>
      <c r="B103" s="7">
        <f>DATE(YEAR(m7_crossvalid[[#This Row],[ds]]),MONTH(m7_crossvalid[[#This Row],[ds]]),DAY(m7_crossvalid[[#This Row],[ds]]))</f>
        <v>45756</v>
      </c>
      <c r="C103">
        <v>1016</v>
      </c>
      <c r="D103" s="1">
        <v>45756.333333333336</v>
      </c>
      <c r="E103">
        <v>2478.2430961679665</v>
      </c>
      <c r="F103">
        <v>1166.7017971609596</v>
      </c>
      <c r="G103">
        <v>3982.0478346437885</v>
      </c>
      <c r="H103" s="1">
        <v>45747.333333333336</v>
      </c>
    </row>
    <row r="104" spans="1:8" x14ac:dyDescent="0.25">
      <c r="A104" s="7">
        <f>DATE(YEAR(m7_crossvalid[[#This Row],[cutoff]]),MONTH(m7_crossvalid[[#This Row],[cutoff]]),DAY(m7_crossvalid[[#This Row],[cutoff]]))</f>
        <v>45747</v>
      </c>
      <c r="B104" s="7">
        <f>DATE(YEAR(m7_crossvalid[[#This Row],[ds]]),MONTH(m7_crossvalid[[#This Row],[ds]]),DAY(m7_crossvalid[[#This Row],[ds]]))</f>
        <v>45757</v>
      </c>
      <c r="C104">
        <v>1422</v>
      </c>
      <c r="D104" s="1">
        <v>45757.333333333336</v>
      </c>
      <c r="E104">
        <v>2304.2757226729959</v>
      </c>
      <c r="F104">
        <v>909.04706103183662</v>
      </c>
      <c r="G104">
        <v>3761.3019861943758</v>
      </c>
      <c r="H104" s="1">
        <v>45747.333333333336</v>
      </c>
    </row>
    <row r="105" spans="1:8" x14ac:dyDescent="0.25">
      <c r="A105" s="7">
        <f>DATE(YEAR(m7_crossvalid[[#This Row],[cutoff]]),MONTH(m7_crossvalid[[#This Row],[cutoff]]),DAY(m7_crossvalid[[#This Row],[cutoff]]))</f>
        <v>45747</v>
      </c>
      <c r="B105" s="7">
        <f>DATE(YEAR(m7_crossvalid[[#This Row],[ds]]),MONTH(m7_crossvalid[[#This Row],[ds]]),DAY(m7_crossvalid[[#This Row],[ds]]))</f>
        <v>45758</v>
      </c>
      <c r="C105">
        <v>1565</v>
      </c>
      <c r="D105" s="1">
        <v>45758.333333333336</v>
      </c>
      <c r="E105">
        <v>2272.6972613628836</v>
      </c>
      <c r="F105">
        <v>851.85334832535671</v>
      </c>
      <c r="G105">
        <v>3820.6308088573869</v>
      </c>
      <c r="H105" s="1">
        <v>45747.333333333336</v>
      </c>
    </row>
    <row r="106" spans="1:8" x14ac:dyDescent="0.25">
      <c r="A106" s="7">
        <f>DATE(YEAR(m7_crossvalid[[#This Row],[cutoff]]),MONTH(m7_crossvalid[[#This Row],[cutoff]]),DAY(m7_crossvalid[[#This Row],[cutoff]]))</f>
        <v>45747</v>
      </c>
      <c r="B106" s="7">
        <f>DATE(YEAR(m7_crossvalid[[#This Row],[ds]]),MONTH(m7_crossvalid[[#This Row],[ds]]),DAY(m7_crossvalid[[#This Row],[ds]]))</f>
        <v>45759</v>
      </c>
      <c r="C106">
        <v>276</v>
      </c>
      <c r="D106" s="1">
        <v>45759.333333333336</v>
      </c>
      <c r="E106">
        <v>231.57280370748867</v>
      </c>
      <c r="F106">
        <v>-1229.2949078052588</v>
      </c>
      <c r="G106">
        <v>1611.7147576009218</v>
      </c>
      <c r="H106" s="1">
        <v>45747.333333333336</v>
      </c>
    </row>
    <row r="107" spans="1:8" x14ac:dyDescent="0.25">
      <c r="A107" s="7">
        <f>DATE(YEAR(m7_crossvalid[[#This Row],[cutoff]]),MONTH(m7_crossvalid[[#This Row],[cutoff]]),DAY(m7_crossvalid[[#This Row],[cutoff]]))</f>
        <v>45747</v>
      </c>
      <c r="B107" s="7">
        <f>DATE(YEAR(m7_crossvalid[[#This Row],[ds]]),MONTH(m7_crossvalid[[#This Row],[ds]]),DAY(m7_crossvalid[[#This Row],[ds]]))</f>
        <v>45760</v>
      </c>
      <c r="C107">
        <v>55</v>
      </c>
      <c r="D107" s="1">
        <v>45760.333333333336</v>
      </c>
      <c r="E107">
        <v>-153.82161720023169</v>
      </c>
      <c r="F107">
        <v>-1607.1019580911961</v>
      </c>
      <c r="G107">
        <v>1217.4452086611707</v>
      </c>
      <c r="H107" s="1">
        <v>45747.333333333336</v>
      </c>
    </row>
    <row r="108" spans="1:8" x14ac:dyDescent="0.25">
      <c r="A108" s="7">
        <f>DATE(YEAR(m7_crossvalid[[#This Row],[cutoff]]),MONTH(m7_crossvalid[[#This Row],[cutoff]]),DAY(m7_crossvalid[[#This Row],[cutoff]]))</f>
        <v>45747</v>
      </c>
      <c r="B108" s="7">
        <f>DATE(YEAR(m7_crossvalid[[#This Row],[ds]]),MONTH(m7_crossvalid[[#This Row],[ds]]),DAY(m7_crossvalid[[#This Row],[ds]]))</f>
        <v>45761</v>
      </c>
      <c r="C108">
        <v>1634</v>
      </c>
      <c r="D108" s="1">
        <v>45761.333333333336</v>
      </c>
      <c r="E108">
        <v>2322.4181720415659</v>
      </c>
      <c r="F108">
        <v>968.9785720105549</v>
      </c>
      <c r="G108">
        <v>3866.3660195050788</v>
      </c>
      <c r="H108" s="1">
        <v>45747.333333333336</v>
      </c>
    </row>
    <row r="109" spans="1:8" x14ac:dyDescent="0.25">
      <c r="A109" s="7">
        <f>DATE(YEAR(m7_crossvalid[[#This Row],[cutoff]]),MONTH(m7_crossvalid[[#This Row],[cutoff]]),DAY(m7_crossvalid[[#This Row],[cutoff]]))</f>
        <v>45747</v>
      </c>
      <c r="B109" s="7">
        <f>DATE(YEAR(m7_crossvalid[[#This Row],[ds]]),MONTH(m7_crossvalid[[#This Row],[ds]]),DAY(m7_crossvalid[[#This Row],[ds]]))</f>
        <v>45762</v>
      </c>
      <c r="C109">
        <v>1965</v>
      </c>
      <c r="D109" s="1">
        <v>45762.333333333336</v>
      </c>
      <c r="E109">
        <v>2676.073824978374</v>
      </c>
      <c r="F109">
        <v>1297.2925483413974</v>
      </c>
      <c r="G109">
        <v>4080.6234315483484</v>
      </c>
      <c r="H109" s="1">
        <v>45747.333333333336</v>
      </c>
    </row>
    <row r="110" spans="1:8" x14ac:dyDescent="0.25">
      <c r="A110" s="7">
        <f>DATE(YEAR(m7_crossvalid[[#This Row],[cutoff]]),MONTH(m7_crossvalid[[#This Row],[cutoff]]),DAY(m7_crossvalid[[#This Row],[cutoff]]))</f>
        <v>45747</v>
      </c>
      <c r="B110" s="7">
        <f>DATE(YEAR(m7_crossvalid[[#This Row],[ds]]),MONTH(m7_crossvalid[[#This Row],[ds]]),DAY(m7_crossvalid[[#This Row],[ds]]))</f>
        <v>45763</v>
      </c>
      <c r="C110">
        <v>2361</v>
      </c>
      <c r="D110" s="1">
        <v>45763.333333333336</v>
      </c>
      <c r="E110">
        <v>2883.8803925922075</v>
      </c>
      <c r="F110">
        <v>1386.618997261535</v>
      </c>
      <c r="G110">
        <v>4339.1750202496041</v>
      </c>
      <c r="H110" s="1">
        <v>45747.333333333336</v>
      </c>
    </row>
    <row r="111" spans="1:8" x14ac:dyDescent="0.25">
      <c r="A111" s="7">
        <f>DATE(YEAR(m7_crossvalid[[#This Row],[cutoff]]),MONTH(m7_crossvalid[[#This Row],[cutoff]]),DAY(m7_crossvalid[[#This Row],[cutoff]]))</f>
        <v>45747</v>
      </c>
      <c r="B111" s="7">
        <f>DATE(YEAR(m7_crossvalid[[#This Row],[ds]]),MONTH(m7_crossvalid[[#This Row],[ds]]),DAY(m7_crossvalid[[#This Row],[ds]]))</f>
        <v>45764</v>
      </c>
      <c r="C111">
        <v>2761</v>
      </c>
      <c r="D111" s="1">
        <v>45764.333333333336</v>
      </c>
      <c r="E111">
        <v>3080.8592318045712</v>
      </c>
      <c r="F111">
        <v>1665.945156808466</v>
      </c>
      <c r="G111">
        <v>4594.2029951134664</v>
      </c>
      <c r="H111" s="1">
        <v>45747.333333333336</v>
      </c>
    </row>
    <row r="112" spans="1:8" x14ac:dyDescent="0.25">
      <c r="A112" s="7">
        <f>DATE(YEAR(m7_crossvalid[[#This Row],[cutoff]]),MONTH(m7_crossvalid[[#This Row],[cutoff]]),DAY(m7_crossvalid[[#This Row],[cutoff]]))</f>
        <v>45747</v>
      </c>
      <c r="B112" s="7">
        <f>DATE(YEAR(m7_crossvalid[[#This Row],[ds]]),MONTH(m7_crossvalid[[#This Row],[ds]]),DAY(m7_crossvalid[[#This Row],[ds]]))</f>
        <v>45765</v>
      </c>
      <c r="C112">
        <v>2721</v>
      </c>
      <c r="D112" s="1">
        <v>45765.333333333336</v>
      </c>
      <c r="E112">
        <v>3101.9742467136912</v>
      </c>
      <c r="F112">
        <v>1692.8973955316228</v>
      </c>
      <c r="G112">
        <v>4606.2790114859727</v>
      </c>
      <c r="H112" s="1">
        <v>45747.333333333336</v>
      </c>
    </row>
    <row r="113" spans="1:8" x14ac:dyDescent="0.25">
      <c r="A113" s="7">
        <f>DATE(YEAR(m7_crossvalid[[#This Row],[cutoff]]),MONTH(m7_crossvalid[[#This Row],[cutoff]]),DAY(m7_crossvalid[[#This Row],[cutoff]]))</f>
        <v>45747</v>
      </c>
      <c r="B113" s="7">
        <f>DATE(YEAR(m7_crossvalid[[#This Row],[ds]]),MONTH(m7_crossvalid[[#This Row],[ds]]),DAY(m7_crossvalid[[#This Row],[ds]]))</f>
        <v>45766</v>
      </c>
      <c r="C113">
        <v>420</v>
      </c>
      <c r="D113" s="1">
        <v>45766.333333333336</v>
      </c>
      <c r="E113">
        <v>876.16378074305067</v>
      </c>
      <c r="F113">
        <v>-577.07435882573077</v>
      </c>
      <c r="G113">
        <v>2292.0159940000813</v>
      </c>
      <c r="H113" s="1">
        <v>45747.333333333336</v>
      </c>
    </row>
    <row r="114" spans="1:8" x14ac:dyDescent="0.25">
      <c r="A114" s="7">
        <f>DATE(YEAR(m7_crossvalid[[#This Row],[cutoff]]),MONTH(m7_crossvalid[[#This Row],[cutoff]]),DAY(m7_crossvalid[[#This Row],[cutoff]]))</f>
        <v>45747</v>
      </c>
      <c r="B114" s="7">
        <f>DATE(YEAR(m7_crossvalid[[#This Row],[ds]]),MONTH(m7_crossvalid[[#This Row],[ds]]),DAY(m7_crossvalid[[#This Row],[ds]]))</f>
        <v>45767</v>
      </c>
      <c r="C114">
        <v>166</v>
      </c>
      <c r="D114" s="1">
        <v>45767.333333333336</v>
      </c>
      <c r="E114">
        <v>428.54176151481283</v>
      </c>
      <c r="F114">
        <v>-996.39139456888665</v>
      </c>
      <c r="G114">
        <v>1849.2505556863875</v>
      </c>
      <c r="H114" s="1">
        <v>45747.333333333336</v>
      </c>
    </row>
    <row r="115" spans="1:8" x14ac:dyDescent="0.25">
      <c r="A115" s="7">
        <f>DATE(YEAR(m7_crossvalid[[#This Row],[cutoff]]),MONTH(m7_crossvalid[[#This Row],[cutoff]]),DAY(m7_crossvalid[[#This Row],[cutoff]]))</f>
        <v>45747</v>
      </c>
      <c r="B115" s="7">
        <f>DATE(YEAR(m7_crossvalid[[#This Row],[ds]]),MONTH(m7_crossvalid[[#This Row],[ds]]),DAY(m7_crossvalid[[#This Row],[ds]]))</f>
        <v>45768</v>
      </c>
      <c r="C115">
        <v>2715</v>
      </c>
      <c r="D115" s="1">
        <v>45768.333333333336</v>
      </c>
      <c r="E115">
        <v>2955.6481899578939</v>
      </c>
      <c r="F115">
        <v>1434.6040614610984</v>
      </c>
      <c r="G115">
        <v>4391.4279267287639</v>
      </c>
      <c r="H115" s="1">
        <v>45747.333333333336</v>
      </c>
    </row>
    <row r="116" spans="1:8" x14ac:dyDescent="0.25">
      <c r="A116" s="7">
        <f>DATE(YEAR(m7_crossvalid[[#This Row],[cutoff]]),MONTH(m7_crossvalid[[#This Row],[cutoff]]),DAY(m7_crossvalid[[#This Row],[cutoff]]))</f>
        <v>45747</v>
      </c>
      <c r="B116" s="7">
        <f>DATE(YEAR(m7_crossvalid[[#This Row],[ds]]),MONTH(m7_crossvalid[[#This Row],[ds]]),DAY(m7_crossvalid[[#This Row],[ds]]))</f>
        <v>45769</v>
      </c>
      <c r="C116">
        <v>3162</v>
      </c>
      <c r="D116" s="1">
        <v>45769.333333333336</v>
      </c>
      <c r="E116">
        <v>3317.6026447708518</v>
      </c>
      <c r="F116">
        <v>1922.3795724497645</v>
      </c>
      <c r="G116">
        <v>4775.2453469704269</v>
      </c>
      <c r="H116" s="1">
        <v>45747.333333333336</v>
      </c>
    </row>
    <row r="117" spans="1:8" x14ac:dyDescent="0.25">
      <c r="A117" s="7">
        <f>DATE(YEAR(m7_crossvalid[[#This Row],[cutoff]]),MONTH(m7_crossvalid[[#This Row],[cutoff]]),DAY(m7_crossvalid[[#This Row],[cutoff]]))</f>
        <v>45747</v>
      </c>
      <c r="B117" s="7">
        <f>DATE(YEAR(m7_crossvalid[[#This Row],[ds]]),MONTH(m7_crossvalid[[#This Row],[ds]]),DAY(m7_crossvalid[[#This Row],[ds]]))</f>
        <v>45770</v>
      </c>
      <c r="C117">
        <v>3604</v>
      </c>
      <c r="D117" s="1">
        <v>45770.333333333336</v>
      </c>
      <c r="E117">
        <v>3535.0064353310513</v>
      </c>
      <c r="F117">
        <v>2061.1309982608759</v>
      </c>
      <c r="G117">
        <v>4945.9631662721613</v>
      </c>
      <c r="H117" s="1">
        <v>45747.333333333336</v>
      </c>
    </row>
    <row r="118" spans="1:8" x14ac:dyDescent="0.25">
      <c r="A118" s="7">
        <f>DATE(YEAR(m7_crossvalid[[#This Row],[cutoff]]),MONTH(m7_crossvalid[[#This Row],[cutoff]]),DAY(m7_crossvalid[[#This Row],[cutoff]]))</f>
        <v>45747</v>
      </c>
      <c r="B118" s="7">
        <f>DATE(YEAR(m7_crossvalid[[#This Row],[ds]]),MONTH(m7_crossvalid[[#This Row],[ds]]),DAY(m7_crossvalid[[#This Row],[ds]]))</f>
        <v>45771</v>
      </c>
      <c r="C118">
        <v>3831</v>
      </c>
      <c r="D118" s="1">
        <v>45771.333333333336</v>
      </c>
      <c r="E118">
        <v>3750.484550546194</v>
      </c>
      <c r="F118">
        <v>2287.2604800332365</v>
      </c>
      <c r="G118">
        <v>5083.0884999937098</v>
      </c>
      <c r="H118" s="1">
        <v>45747.333333333336</v>
      </c>
    </row>
    <row r="119" spans="1:8" x14ac:dyDescent="0.25">
      <c r="A119" s="7">
        <f>DATE(YEAR(m7_crossvalid[[#This Row],[cutoff]]),MONTH(m7_crossvalid[[#This Row],[cutoff]]),DAY(m7_crossvalid[[#This Row],[cutoff]]))</f>
        <v>45747</v>
      </c>
      <c r="B119" s="7">
        <f>DATE(YEAR(m7_crossvalid[[#This Row],[ds]]),MONTH(m7_crossvalid[[#This Row],[ds]]),DAY(m7_crossvalid[[#This Row],[ds]]))</f>
        <v>45772</v>
      </c>
      <c r="C119">
        <v>4600</v>
      </c>
      <c r="D119" s="1">
        <v>45772.333333333336</v>
      </c>
      <c r="E119">
        <v>3814.6873600894842</v>
      </c>
      <c r="F119">
        <v>2468.4891972554624</v>
      </c>
      <c r="G119">
        <v>5243.8948043613036</v>
      </c>
      <c r="H119" s="1">
        <v>45747.333333333336</v>
      </c>
    </row>
    <row r="120" spans="1:8" x14ac:dyDescent="0.25">
      <c r="A120" s="7">
        <f>DATE(YEAR(m7_crossvalid[[#This Row],[cutoff]]),MONTH(m7_crossvalid[[#This Row],[cutoff]]),DAY(m7_crossvalid[[#This Row],[cutoff]]))</f>
        <v>45747</v>
      </c>
      <c r="B120" s="7">
        <f>DATE(YEAR(m7_crossvalid[[#This Row],[ds]]),MONTH(m7_crossvalid[[#This Row],[ds]]),DAY(m7_crossvalid[[#This Row],[ds]]))</f>
        <v>45773</v>
      </c>
      <c r="C120">
        <v>1014</v>
      </c>
      <c r="D120" s="1">
        <v>45773.333333333336</v>
      </c>
      <c r="E120">
        <v>3232.8025609708466</v>
      </c>
      <c r="F120">
        <v>1864.0445553514951</v>
      </c>
      <c r="G120">
        <v>4654.7083438539385</v>
      </c>
      <c r="H120" s="1">
        <v>45747.333333333336</v>
      </c>
    </row>
    <row r="121" spans="1:8" x14ac:dyDescent="0.25">
      <c r="A121" s="7">
        <f>DATE(YEAR(m7_crossvalid[[#This Row],[cutoff]]),MONTH(m7_crossvalid[[#This Row],[cutoff]]),DAY(m7_crossvalid[[#This Row],[cutoff]]))</f>
        <v>45747</v>
      </c>
      <c r="B121" s="7">
        <f>DATE(YEAR(m7_crossvalid[[#This Row],[ds]]),MONTH(m7_crossvalid[[#This Row],[ds]]),DAY(m7_crossvalid[[#This Row],[ds]]))</f>
        <v>45774</v>
      </c>
      <c r="C121">
        <v>198</v>
      </c>
      <c r="D121" s="1">
        <v>45774.333333333336</v>
      </c>
      <c r="E121">
        <v>2631.7619170500575</v>
      </c>
      <c r="F121">
        <v>1190.0657565798424</v>
      </c>
      <c r="G121">
        <v>4023.6503545909486</v>
      </c>
      <c r="H121" s="1">
        <v>45747.333333333336</v>
      </c>
    </row>
    <row r="122" spans="1:8" x14ac:dyDescent="0.25">
      <c r="A122" s="7">
        <f>DATE(YEAR(m7_crossvalid[[#This Row],[cutoff]]),MONTH(m7_crossvalid[[#This Row],[cutoff]]),DAY(m7_crossvalid[[#This Row],[cutoff]]))</f>
        <v>45747</v>
      </c>
      <c r="B122" s="7">
        <f>DATE(YEAR(m7_crossvalid[[#This Row],[ds]]),MONTH(m7_crossvalid[[#This Row],[ds]]),DAY(m7_crossvalid[[#This Row],[ds]]))</f>
        <v>45775</v>
      </c>
      <c r="C122">
        <v>5133</v>
      </c>
      <c r="D122" s="1">
        <v>45775.333333333336</v>
      </c>
      <c r="E122">
        <v>4835.2698340372754</v>
      </c>
      <c r="F122">
        <v>3430.5878802230031</v>
      </c>
      <c r="G122">
        <v>6415.3823109279374</v>
      </c>
      <c r="H122" s="1">
        <v>45747.333333333336</v>
      </c>
    </row>
    <row r="123" spans="1:8" x14ac:dyDescent="0.25">
      <c r="A123" s="7">
        <f>DATE(YEAR(m7_crossvalid[[#This Row],[cutoff]]),MONTH(m7_crossvalid[[#This Row],[cutoff]]),DAY(m7_crossvalid[[#This Row],[cutoff]]))</f>
        <v>45747</v>
      </c>
      <c r="B123" s="7">
        <f>DATE(YEAR(m7_crossvalid[[#This Row],[ds]]),MONTH(m7_crossvalid[[#This Row],[ds]]),DAY(m7_crossvalid[[#This Row],[ds]]))</f>
        <v>45776</v>
      </c>
      <c r="C123">
        <v>7913</v>
      </c>
      <c r="D123" s="1">
        <v>45776.333333333336</v>
      </c>
      <c r="E123">
        <v>7188.9644258852122</v>
      </c>
      <c r="F123">
        <v>5890.5896138582511</v>
      </c>
      <c r="G123">
        <v>8730.1787390832178</v>
      </c>
      <c r="H123" s="1">
        <v>45747.333333333336</v>
      </c>
    </row>
    <row r="124" spans="1:8" x14ac:dyDescent="0.25">
      <c r="A124" s="7">
        <f>DATE(YEAR(m7_crossvalid[[#This Row],[cutoff]]),MONTH(m7_crossvalid[[#This Row],[cutoff]]),DAY(m7_crossvalid[[#This Row],[cutoff]]))</f>
        <v>45747</v>
      </c>
      <c r="B124" s="7">
        <f>DATE(YEAR(m7_crossvalid[[#This Row],[ds]]),MONTH(m7_crossvalid[[#This Row],[ds]]),DAY(m7_crossvalid[[#This Row],[ds]]))</f>
        <v>45777</v>
      </c>
      <c r="C124">
        <v>14564</v>
      </c>
      <c r="D124" s="1">
        <v>45777.333333333336</v>
      </c>
      <c r="E124">
        <v>9846.956329814202</v>
      </c>
      <c r="F124">
        <v>8356.6242745802283</v>
      </c>
      <c r="G124">
        <v>11265.312330578354</v>
      </c>
      <c r="H124" s="1">
        <v>45747.333333333336</v>
      </c>
    </row>
    <row r="125" spans="1:8" x14ac:dyDescent="0.25">
      <c r="A125" s="7">
        <f>DATE(YEAR(m7_crossvalid[[#This Row],[cutoff]]),MONTH(m7_crossvalid[[#This Row],[cutoff]]),DAY(m7_crossvalid[[#This Row],[cutoff]]))</f>
        <v>45747</v>
      </c>
      <c r="B125" s="7">
        <f>DATE(YEAR(m7_crossvalid[[#This Row],[ds]]),MONTH(m7_crossvalid[[#This Row],[ds]]),DAY(m7_crossvalid[[#This Row],[ds]]))</f>
        <v>45778</v>
      </c>
      <c r="C125">
        <v>24</v>
      </c>
      <c r="D125" s="1">
        <v>45778.333333333336</v>
      </c>
      <c r="E125">
        <v>1705.9472569504996</v>
      </c>
      <c r="F125">
        <v>255.50492601196052</v>
      </c>
      <c r="G125">
        <v>3185.4300262376555</v>
      </c>
      <c r="H125" s="1">
        <v>45747.333333333336</v>
      </c>
    </row>
    <row r="126" spans="1:8" x14ac:dyDescent="0.25">
      <c r="A126" s="7">
        <f>DATE(YEAR(m7_crossvalid[[#This Row],[cutoff]]),MONTH(m7_crossvalid[[#This Row],[cutoff]]),DAY(m7_crossvalid[[#This Row],[cutoff]]))</f>
        <v>45777</v>
      </c>
      <c r="B126" s="7">
        <f>DATE(YEAR(m7_crossvalid[[#This Row],[ds]]),MONTH(m7_crossvalid[[#This Row],[ds]]),DAY(m7_crossvalid[[#This Row],[ds]]))</f>
        <v>45778</v>
      </c>
      <c r="C126">
        <v>24</v>
      </c>
      <c r="D126" s="1">
        <v>45778.333333333336</v>
      </c>
      <c r="E126">
        <v>1845.6185247760591</v>
      </c>
      <c r="F126">
        <v>390.05367256435051</v>
      </c>
      <c r="G126">
        <v>3321.1188424408019</v>
      </c>
      <c r="H126" s="1">
        <v>45777.333333333336</v>
      </c>
    </row>
    <row r="127" spans="1:8" x14ac:dyDescent="0.25">
      <c r="A127" s="7">
        <f>DATE(YEAR(m7_crossvalid[[#This Row],[cutoff]]),MONTH(m7_crossvalid[[#This Row],[cutoff]]),DAY(m7_crossvalid[[#This Row],[cutoff]]))</f>
        <v>45777</v>
      </c>
      <c r="B127" s="7">
        <f>DATE(YEAR(m7_crossvalid[[#This Row],[ds]]),MONTH(m7_crossvalid[[#This Row],[ds]]),DAY(m7_crossvalid[[#This Row],[ds]]))</f>
        <v>45779</v>
      </c>
      <c r="C127">
        <v>750</v>
      </c>
      <c r="D127" s="1">
        <v>45779.333333333336</v>
      </c>
      <c r="E127">
        <v>2093.3352280588606</v>
      </c>
      <c r="F127">
        <v>757.50361639414473</v>
      </c>
      <c r="G127">
        <v>3637.0083403290232</v>
      </c>
      <c r="H127" s="1">
        <v>45777.333333333336</v>
      </c>
    </row>
    <row r="128" spans="1:8" x14ac:dyDescent="0.25">
      <c r="A128" s="7">
        <f>DATE(YEAR(m7_crossvalid[[#This Row],[cutoff]]),MONTH(m7_crossvalid[[#This Row],[cutoff]]),DAY(m7_crossvalid[[#This Row],[cutoff]]))</f>
        <v>45777</v>
      </c>
      <c r="B128" s="7">
        <f>DATE(YEAR(m7_crossvalid[[#This Row],[ds]]),MONTH(m7_crossvalid[[#This Row],[ds]]),DAY(m7_crossvalid[[#This Row],[ds]]))</f>
        <v>45780</v>
      </c>
      <c r="C128">
        <v>70</v>
      </c>
      <c r="D128" s="1">
        <v>45780.333333333336</v>
      </c>
      <c r="E128">
        <v>-810.05829536387864</v>
      </c>
      <c r="F128">
        <v>-2280.8407515345129</v>
      </c>
      <c r="G128">
        <v>733.03500307164802</v>
      </c>
      <c r="H128" s="1">
        <v>45777.333333333336</v>
      </c>
    </row>
    <row r="129" spans="1:8" x14ac:dyDescent="0.25">
      <c r="A129" s="7">
        <f>DATE(YEAR(m7_crossvalid[[#This Row],[cutoff]]),MONTH(m7_crossvalid[[#This Row],[cutoff]]),DAY(m7_crossvalid[[#This Row],[cutoff]]))</f>
        <v>45777</v>
      </c>
      <c r="B129" s="7">
        <f>DATE(YEAR(m7_crossvalid[[#This Row],[ds]]),MONTH(m7_crossvalid[[#This Row],[ds]]),DAY(m7_crossvalid[[#This Row],[ds]]))</f>
        <v>45781</v>
      </c>
      <c r="C129">
        <v>31</v>
      </c>
      <c r="D129" s="1">
        <v>45781.333333333336</v>
      </c>
      <c r="E129">
        <v>-1299.1622039947324</v>
      </c>
      <c r="F129">
        <v>-2735.3149598460709</v>
      </c>
      <c r="G129">
        <v>151.41066484338938</v>
      </c>
      <c r="H129" s="1">
        <v>45777.333333333336</v>
      </c>
    </row>
    <row r="130" spans="1:8" x14ac:dyDescent="0.25">
      <c r="A130" s="7">
        <f>DATE(YEAR(m7_crossvalid[[#This Row],[cutoff]]),MONTH(m7_crossvalid[[#This Row],[cutoff]]),DAY(m7_crossvalid[[#This Row],[cutoff]]))</f>
        <v>45777</v>
      </c>
      <c r="B130" s="7">
        <f>DATE(YEAR(m7_crossvalid[[#This Row],[ds]]),MONTH(m7_crossvalid[[#This Row],[ds]]),DAY(m7_crossvalid[[#This Row],[ds]]))</f>
        <v>45782</v>
      </c>
      <c r="C130">
        <v>1026</v>
      </c>
      <c r="D130" s="1">
        <v>45782.333333333336</v>
      </c>
      <c r="E130">
        <v>1244.9556927671924</v>
      </c>
      <c r="F130">
        <v>-89.403324415894247</v>
      </c>
      <c r="G130">
        <v>2660.071795020111</v>
      </c>
      <c r="H130" s="1">
        <v>45777.333333333336</v>
      </c>
    </row>
    <row r="131" spans="1:8" x14ac:dyDescent="0.25">
      <c r="A131" s="7">
        <f>DATE(YEAR(m7_crossvalid[[#This Row],[cutoff]]),MONTH(m7_crossvalid[[#This Row],[cutoff]]),DAY(m7_crossvalid[[#This Row],[cutoff]]))</f>
        <v>45777</v>
      </c>
      <c r="B131" s="7">
        <f>DATE(YEAR(m7_crossvalid[[#This Row],[ds]]),MONTH(m7_crossvalid[[#This Row],[ds]]),DAY(m7_crossvalid[[#This Row],[ds]]))</f>
        <v>45783</v>
      </c>
      <c r="C131">
        <v>940</v>
      </c>
      <c r="D131" s="1">
        <v>45783.333333333336</v>
      </c>
      <c r="E131">
        <v>1555.8898549425576</v>
      </c>
      <c r="F131">
        <v>185.6188477050251</v>
      </c>
      <c r="G131">
        <v>3039.6322675477004</v>
      </c>
      <c r="H131" s="1">
        <v>45777.333333333336</v>
      </c>
    </row>
    <row r="132" spans="1:8" x14ac:dyDescent="0.25">
      <c r="A132" s="7">
        <f>DATE(YEAR(m7_crossvalid[[#This Row],[cutoff]]),MONTH(m7_crossvalid[[#This Row],[cutoff]]),DAY(m7_crossvalid[[#This Row],[cutoff]]))</f>
        <v>45777</v>
      </c>
      <c r="B132" s="7">
        <f>DATE(YEAR(m7_crossvalid[[#This Row],[ds]]),MONTH(m7_crossvalid[[#This Row],[ds]]),DAY(m7_crossvalid[[#This Row],[ds]]))</f>
        <v>45784</v>
      </c>
      <c r="C132">
        <v>1225</v>
      </c>
      <c r="D132" s="1">
        <v>45784.333333333336</v>
      </c>
      <c r="E132">
        <v>1679.8372881203363</v>
      </c>
      <c r="F132">
        <v>273.34291763724576</v>
      </c>
      <c r="G132">
        <v>3147.2135119875688</v>
      </c>
      <c r="H132" s="1">
        <v>45777.333333333336</v>
      </c>
    </row>
    <row r="133" spans="1:8" x14ac:dyDescent="0.25">
      <c r="A133" s="7">
        <f>DATE(YEAR(m7_crossvalid[[#This Row],[cutoff]]),MONTH(m7_crossvalid[[#This Row],[cutoff]]),DAY(m7_crossvalid[[#This Row],[cutoff]]))</f>
        <v>45777</v>
      </c>
      <c r="B133" s="7">
        <f>DATE(YEAR(m7_crossvalid[[#This Row],[ds]]),MONTH(m7_crossvalid[[#This Row],[ds]]),DAY(m7_crossvalid[[#This Row],[ds]]))</f>
        <v>45785</v>
      </c>
      <c r="C133">
        <v>1538</v>
      </c>
      <c r="D133" s="1">
        <v>45785.333333333336</v>
      </c>
      <c r="E133">
        <v>2336.7832266948349</v>
      </c>
      <c r="F133">
        <v>896.15608543329643</v>
      </c>
      <c r="G133">
        <v>3823.7385175180398</v>
      </c>
      <c r="H133" s="1">
        <v>45777.333333333336</v>
      </c>
    </row>
    <row r="134" spans="1:8" x14ac:dyDescent="0.25">
      <c r="A134" s="7">
        <f>DATE(YEAR(m7_crossvalid[[#This Row],[cutoff]]),MONTH(m7_crossvalid[[#This Row],[cutoff]]),DAY(m7_crossvalid[[#This Row],[cutoff]]))</f>
        <v>45777</v>
      </c>
      <c r="B134" s="7">
        <f>DATE(YEAR(m7_crossvalid[[#This Row],[ds]]),MONTH(m7_crossvalid[[#This Row],[ds]]),DAY(m7_crossvalid[[#This Row],[ds]]))</f>
        <v>45786</v>
      </c>
      <c r="C134">
        <v>1799</v>
      </c>
      <c r="D134" s="1">
        <v>45786.333333333336</v>
      </c>
      <c r="E134">
        <v>2204.8518814316521</v>
      </c>
      <c r="F134">
        <v>818.26186387377459</v>
      </c>
      <c r="G134">
        <v>3563.4482625325918</v>
      </c>
      <c r="H134" s="1">
        <v>45777.333333333336</v>
      </c>
    </row>
    <row r="135" spans="1:8" x14ac:dyDescent="0.25">
      <c r="A135" s="7">
        <f>DATE(YEAR(m7_crossvalid[[#This Row],[cutoff]]),MONTH(m7_crossvalid[[#This Row],[cutoff]]),DAY(m7_crossvalid[[#This Row],[cutoff]]))</f>
        <v>45777</v>
      </c>
      <c r="B135" s="7">
        <f>DATE(YEAR(m7_crossvalid[[#This Row],[ds]]),MONTH(m7_crossvalid[[#This Row],[ds]]),DAY(m7_crossvalid[[#This Row],[ds]]))</f>
        <v>45787</v>
      </c>
      <c r="C135">
        <v>415</v>
      </c>
      <c r="D135" s="1">
        <v>45787.333333333336</v>
      </c>
      <c r="E135">
        <v>-207.18066516809586</v>
      </c>
      <c r="F135">
        <v>-1559.0376829572242</v>
      </c>
      <c r="G135">
        <v>1255.8222612519478</v>
      </c>
      <c r="H135" s="1">
        <v>45777.333333333336</v>
      </c>
    </row>
    <row r="136" spans="1:8" x14ac:dyDescent="0.25">
      <c r="A136" s="7">
        <f>DATE(YEAR(m7_crossvalid[[#This Row],[cutoff]]),MONTH(m7_crossvalid[[#This Row],[cutoff]]),DAY(m7_crossvalid[[#This Row],[cutoff]]))</f>
        <v>45777</v>
      </c>
      <c r="B136" s="7">
        <f>DATE(YEAR(m7_crossvalid[[#This Row],[ds]]),MONTH(m7_crossvalid[[#This Row],[ds]]),DAY(m7_crossvalid[[#This Row],[ds]]))</f>
        <v>45788</v>
      </c>
      <c r="C136">
        <v>169</v>
      </c>
      <c r="D136" s="1">
        <v>45788.333333333336</v>
      </c>
      <c r="E136">
        <v>-823.54349487263289</v>
      </c>
      <c r="F136">
        <v>-2291.8911739011746</v>
      </c>
      <c r="G136">
        <v>599.9190631195238</v>
      </c>
      <c r="H136" s="1">
        <v>45777.333333333336</v>
      </c>
    </row>
    <row r="137" spans="1:8" x14ac:dyDescent="0.25">
      <c r="A137" s="7">
        <f>DATE(YEAR(m7_crossvalid[[#This Row],[cutoff]]),MONTH(m7_crossvalid[[#This Row],[cutoff]]),DAY(m7_crossvalid[[#This Row],[cutoff]]))</f>
        <v>45777</v>
      </c>
      <c r="B137" s="7">
        <f>DATE(YEAR(m7_crossvalid[[#This Row],[ds]]),MONTH(m7_crossvalid[[#This Row],[ds]]),DAY(m7_crossvalid[[#This Row],[ds]]))</f>
        <v>45789</v>
      </c>
      <c r="C137">
        <v>185</v>
      </c>
      <c r="D137" s="1">
        <v>45789.333333333336</v>
      </c>
      <c r="E137">
        <v>199.07274659498557</v>
      </c>
      <c r="F137">
        <v>-1224.0225907093886</v>
      </c>
      <c r="G137">
        <v>1604.4793681541166</v>
      </c>
      <c r="H137" s="1">
        <v>45777.333333333336</v>
      </c>
    </row>
    <row r="138" spans="1:8" x14ac:dyDescent="0.25">
      <c r="A138" s="7">
        <f>DATE(YEAR(m7_crossvalid[[#This Row],[cutoff]]),MONTH(m7_crossvalid[[#This Row],[cutoff]]),DAY(m7_crossvalid[[#This Row],[cutoff]]))</f>
        <v>45777</v>
      </c>
      <c r="B138" s="7">
        <f>DATE(YEAR(m7_crossvalid[[#This Row],[ds]]),MONTH(m7_crossvalid[[#This Row],[ds]]),DAY(m7_crossvalid[[#This Row],[ds]]))</f>
        <v>45790</v>
      </c>
      <c r="C138">
        <v>2011</v>
      </c>
      <c r="D138" s="1">
        <v>45790.333333333336</v>
      </c>
      <c r="E138">
        <v>2339.2800632956651</v>
      </c>
      <c r="F138">
        <v>925.52974041198559</v>
      </c>
      <c r="G138">
        <v>3826.4194243697766</v>
      </c>
      <c r="H138" s="1">
        <v>45777.333333333336</v>
      </c>
    </row>
    <row r="139" spans="1:8" x14ac:dyDescent="0.25">
      <c r="A139" s="7">
        <f>DATE(YEAR(m7_crossvalid[[#This Row],[cutoff]]),MONTH(m7_crossvalid[[#This Row],[cutoff]]),DAY(m7_crossvalid[[#This Row],[cutoff]]))</f>
        <v>45777</v>
      </c>
      <c r="B139" s="7">
        <f>DATE(YEAR(m7_crossvalid[[#This Row],[ds]]),MONTH(m7_crossvalid[[#This Row],[ds]]),DAY(m7_crossvalid[[#This Row],[ds]]))</f>
        <v>45791</v>
      </c>
      <c r="C139">
        <v>2630</v>
      </c>
      <c r="D139" s="1">
        <v>45791.333333333336</v>
      </c>
      <c r="E139">
        <v>2447.5834951794027</v>
      </c>
      <c r="F139">
        <v>980.97214372414419</v>
      </c>
      <c r="G139">
        <v>3803.5756677427917</v>
      </c>
      <c r="H139" s="1">
        <v>45777.333333333336</v>
      </c>
    </row>
    <row r="140" spans="1:8" x14ac:dyDescent="0.25">
      <c r="A140" s="7">
        <f>DATE(YEAR(m7_crossvalid[[#This Row],[cutoff]]),MONTH(m7_crossvalid[[#This Row],[cutoff]]),DAY(m7_crossvalid[[#This Row],[cutoff]]))</f>
        <v>45777</v>
      </c>
      <c r="B140" s="7">
        <f>DATE(YEAR(m7_crossvalid[[#This Row],[ds]]),MONTH(m7_crossvalid[[#This Row],[ds]]),DAY(m7_crossvalid[[#This Row],[ds]]))</f>
        <v>45792</v>
      </c>
      <c r="C140">
        <v>2985</v>
      </c>
      <c r="D140" s="1">
        <v>45792.333333333336</v>
      </c>
      <c r="E140">
        <v>2392.9056879446598</v>
      </c>
      <c r="F140">
        <v>885.53034622339533</v>
      </c>
      <c r="G140">
        <v>3859.6930947695873</v>
      </c>
      <c r="H140" s="1">
        <v>45777.333333333336</v>
      </c>
    </row>
    <row r="141" spans="1:8" x14ac:dyDescent="0.25">
      <c r="A141" s="7">
        <f>DATE(YEAR(m7_crossvalid[[#This Row],[cutoff]]),MONTH(m7_crossvalid[[#This Row],[cutoff]]),DAY(m7_crossvalid[[#This Row],[cutoff]]))</f>
        <v>45777</v>
      </c>
      <c r="B141" s="7">
        <f>DATE(YEAR(m7_crossvalid[[#This Row],[ds]]),MONTH(m7_crossvalid[[#This Row],[ds]]),DAY(m7_crossvalid[[#This Row],[ds]]))</f>
        <v>45793</v>
      </c>
      <c r="C141">
        <v>3081</v>
      </c>
      <c r="D141" s="1">
        <v>45793.333333333336</v>
      </c>
      <c r="E141">
        <v>2429.0703006163371</v>
      </c>
      <c r="F141">
        <v>1025.7942540303563</v>
      </c>
      <c r="G141">
        <v>3862.4894363567205</v>
      </c>
      <c r="H141" s="1">
        <v>45777.333333333336</v>
      </c>
    </row>
    <row r="142" spans="1:8" x14ac:dyDescent="0.25">
      <c r="A142" s="7">
        <f>DATE(YEAR(m7_crossvalid[[#This Row],[cutoff]]),MONTH(m7_crossvalid[[#This Row],[cutoff]]),DAY(m7_crossvalid[[#This Row],[cutoff]]))</f>
        <v>45777</v>
      </c>
      <c r="B142" s="7">
        <f>DATE(YEAR(m7_crossvalid[[#This Row],[ds]]),MONTH(m7_crossvalid[[#This Row],[ds]]),DAY(m7_crossvalid[[#This Row],[ds]]))</f>
        <v>45794</v>
      </c>
      <c r="C142">
        <v>609</v>
      </c>
      <c r="D142" s="1">
        <v>45794.333333333336</v>
      </c>
      <c r="E142">
        <v>382.50363616859522</v>
      </c>
      <c r="F142">
        <v>-1005.2670262130438</v>
      </c>
      <c r="G142">
        <v>1883.2041257032301</v>
      </c>
      <c r="H142" s="1">
        <v>45777.333333333336</v>
      </c>
    </row>
    <row r="143" spans="1:8" x14ac:dyDescent="0.25">
      <c r="A143" s="7">
        <f>DATE(YEAR(m7_crossvalid[[#This Row],[cutoff]]),MONTH(m7_crossvalid[[#This Row],[cutoff]]),DAY(m7_crossvalid[[#This Row],[cutoff]]))</f>
        <v>45777</v>
      </c>
      <c r="B143" s="7">
        <f>DATE(YEAR(m7_crossvalid[[#This Row],[ds]]),MONTH(m7_crossvalid[[#This Row],[ds]]),DAY(m7_crossvalid[[#This Row],[ds]]))</f>
        <v>45795</v>
      </c>
      <c r="C143">
        <v>185</v>
      </c>
      <c r="D143" s="1">
        <v>45795.333333333336</v>
      </c>
      <c r="E143">
        <v>9.1648440794620001</v>
      </c>
      <c r="F143">
        <v>-1417.8384262016261</v>
      </c>
      <c r="G143">
        <v>1454.8209565843397</v>
      </c>
      <c r="H143" s="1">
        <v>45777.333333333336</v>
      </c>
    </row>
    <row r="144" spans="1:8" x14ac:dyDescent="0.25">
      <c r="A144" s="7">
        <f>DATE(YEAR(m7_crossvalid[[#This Row],[cutoff]]),MONTH(m7_crossvalid[[#This Row],[cutoff]]),DAY(m7_crossvalid[[#This Row],[cutoff]]))</f>
        <v>45777</v>
      </c>
      <c r="B144" s="7">
        <f>DATE(YEAR(m7_crossvalid[[#This Row],[ds]]),MONTH(m7_crossvalid[[#This Row],[ds]]),DAY(m7_crossvalid[[#This Row],[ds]]))</f>
        <v>45796</v>
      </c>
      <c r="C144">
        <v>2926</v>
      </c>
      <c r="D144" s="1">
        <v>45796.333333333336</v>
      </c>
      <c r="E144">
        <v>2523.294233692638</v>
      </c>
      <c r="F144">
        <v>1118.1360706045366</v>
      </c>
      <c r="G144">
        <v>3902.3288898511619</v>
      </c>
      <c r="H144" s="1">
        <v>45777.333333333336</v>
      </c>
    </row>
    <row r="145" spans="1:8" x14ac:dyDescent="0.25">
      <c r="A145" s="7">
        <f>DATE(YEAR(m7_crossvalid[[#This Row],[cutoff]]),MONTH(m7_crossvalid[[#This Row],[cutoff]]),DAY(m7_crossvalid[[#This Row],[cutoff]]))</f>
        <v>45777</v>
      </c>
      <c r="B145" s="7">
        <f>DATE(YEAR(m7_crossvalid[[#This Row],[ds]]),MONTH(m7_crossvalid[[#This Row],[ds]]),DAY(m7_crossvalid[[#This Row],[ds]]))</f>
        <v>45797</v>
      </c>
      <c r="C145">
        <v>3213</v>
      </c>
      <c r="D145" s="1">
        <v>45797.333333333336</v>
      </c>
      <c r="E145">
        <v>2896.5192961629932</v>
      </c>
      <c r="F145">
        <v>1535.6282158523177</v>
      </c>
      <c r="G145">
        <v>4355.5022437791476</v>
      </c>
      <c r="H145" s="1">
        <v>45777.333333333336</v>
      </c>
    </row>
    <row r="146" spans="1:8" x14ac:dyDescent="0.25">
      <c r="A146" s="7">
        <f>DATE(YEAR(m7_crossvalid[[#This Row],[cutoff]]),MONTH(m7_crossvalid[[#This Row],[cutoff]]),DAY(m7_crossvalid[[#This Row],[cutoff]]))</f>
        <v>45777</v>
      </c>
      <c r="B146" s="7">
        <f>DATE(YEAR(m7_crossvalid[[#This Row],[ds]]),MONTH(m7_crossvalid[[#This Row],[ds]]),DAY(m7_crossvalid[[#This Row],[ds]]))</f>
        <v>45798</v>
      </c>
      <c r="C146">
        <v>3566</v>
      </c>
      <c r="D146" s="1">
        <v>45798.333333333336</v>
      </c>
      <c r="E146">
        <v>3070.3608334037372</v>
      </c>
      <c r="F146">
        <v>1692.9661614334027</v>
      </c>
      <c r="G146">
        <v>4595.718790486967</v>
      </c>
      <c r="H146" s="1">
        <v>45777.333333333336</v>
      </c>
    </row>
    <row r="147" spans="1:8" x14ac:dyDescent="0.25">
      <c r="A147" s="7">
        <f>DATE(YEAR(m7_crossvalid[[#This Row],[cutoff]]),MONTH(m7_crossvalid[[#This Row],[cutoff]]),DAY(m7_crossvalid[[#This Row],[cutoff]]))</f>
        <v>45777</v>
      </c>
      <c r="B147" s="7">
        <f>DATE(YEAR(m7_crossvalid[[#This Row],[ds]]),MONTH(m7_crossvalid[[#This Row],[ds]]),DAY(m7_crossvalid[[#This Row],[ds]]))</f>
        <v>45799</v>
      </c>
      <c r="C147">
        <v>3706</v>
      </c>
      <c r="D147" s="1">
        <v>45799.333333333336</v>
      </c>
      <c r="E147">
        <v>3090.6766829162807</v>
      </c>
      <c r="F147">
        <v>1707.6152666268624</v>
      </c>
      <c r="G147">
        <v>4487.7672575242195</v>
      </c>
      <c r="H147" s="1">
        <v>45777.333333333336</v>
      </c>
    </row>
    <row r="148" spans="1:8" x14ac:dyDescent="0.25">
      <c r="A148" s="7">
        <f>DATE(YEAR(m7_crossvalid[[#This Row],[cutoff]]),MONTH(m7_crossvalid[[#This Row],[cutoff]]),DAY(m7_crossvalid[[#This Row],[cutoff]]))</f>
        <v>45777</v>
      </c>
      <c r="B148" s="7">
        <f>DATE(YEAR(m7_crossvalid[[#This Row],[ds]]),MONTH(m7_crossvalid[[#This Row],[ds]]),DAY(m7_crossvalid[[#This Row],[ds]]))</f>
        <v>45800</v>
      </c>
      <c r="C148">
        <v>3920</v>
      </c>
      <c r="D148" s="1">
        <v>45800.333333333336</v>
      </c>
      <c r="E148">
        <v>3130.5238776172082</v>
      </c>
      <c r="F148">
        <v>1753.9970219080992</v>
      </c>
      <c r="G148">
        <v>4571.9606190923623</v>
      </c>
      <c r="H148" s="1">
        <v>45777.333333333336</v>
      </c>
    </row>
    <row r="149" spans="1:8" x14ac:dyDescent="0.25">
      <c r="A149" s="7">
        <f>DATE(YEAR(m7_crossvalid[[#This Row],[cutoff]]),MONTH(m7_crossvalid[[#This Row],[cutoff]]),DAY(m7_crossvalid[[#This Row],[cutoff]]))</f>
        <v>45777</v>
      </c>
      <c r="B149" s="7">
        <f>DATE(YEAR(m7_crossvalid[[#This Row],[ds]]),MONTH(m7_crossvalid[[#This Row],[ds]]),DAY(m7_crossvalid[[#This Row],[ds]]))</f>
        <v>45801</v>
      </c>
      <c r="C149">
        <v>857</v>
      </c>
      <c r="D149" s="1">
        <v>45801.333333333336</v>
      </c>
      <c r="E149">
        <v>1145.1583826362867</v>
      </c>
      <c r="F149">
        <v>-297.31974499963451</v>
      </c>
      <c r="G149">
        <v>2603.5532048675159</v>
      </c>
      <c r="H149" s="1">
        <v>45777.333333333336</v>
      </c>
    </row>
    <row r="150" spans="1:8" x14ac:dyDescent="0.25">
      <c r="A150" s="7">
        <f>DATE(YEAR(m7_crossvalid[[#This Row],[cutoff]]),MONTH(m7_crossvalid[[#This Row],[cutoff]]),DAY(m7_crossvalid[[#This Row],[cutoff]]))</f>
        <v>45777</v>
      </c>
      <c r="B150" s="7">
        <f>DATE(YEAR(m7_crossvalid[[#This Row],[ds]]),MONTH(m7_crossvalid[[#This Row],[ds]]),DAY(m7_crossvalid[[#This Row],[ds]]))</f>
        <v>45802</v>
      </c>
      <c r="C150">
        <v>215</v>
      </c>
      <c r="D150" s="1">
        <v>45802.333333333336</v>
      </c>
      <c r="E150">
        <v>818.58298421955647</v>
      </c>
      <c r="F150">
        <v>-575.42361037935007</v>
      </c>
      <c r="G150">
        <v>2200.8388160535701</v>
      </c>
      <c r="H150" s="1">
        <v>45777.333333333336</v>
      </c>
    </row>
    <row r="151" spans="1:8" x14ac:dyDescent="0.25">
      <c r="A151" s="7">
        <f>DATE(YEAR(m7_crossvalid[[#This Row],[cutoff]]),MONTH(m7_crossvalid[[#This Row],[cutoff]]),DAY(m7_crossvalid[[#This Row],[cutoff]]))</f>
        <v>45777</v>
      </c>
      <c r="B151" s="7">
        <f>DATE(YEAR(m7_crossvalid[[#This Row],[ds]]),MONTH(m7_crossvalid[[#This Row],[ds]]),DAY(m7_crossvalid[[#This Row],[ds]]))</f>
        <v>45803</v>
      </c>
      <c r="C151">
        <v>4297</v>
      </c>
      <c r="D151" s="1">
        <v>45803.333333333336</v>
      </c>
      <c r="E151">
        <v>3375.8243949428179</v>
      </c>
      <c r="F151">
        <v>1988.2846250340428</v>
      </c>
      <c r="G151">
        <v>4816.9811628132102</v>
      </c>
      <c r="H151" s="1">
        <v>45777.333333333336</v>
      </c>
    </row>
    <row r="152" spans="1:8" x14ac:dyDescent="0.25">
      <c r="A152" s="7">
        <f>DATE(YEAR(m7_crossvalid[[#This Row],[cutoff]]),MONTH(m7_crossvalid[[#This Row],[cutoff]]),DAY(m7_crossvalid[[#This Row],[cutoff]]))</f>
        <v>45777</v>
      </c>
      <c r="B152" s="7">
        <f>DATE(YEAR(m7_crossvalid[[#This Row],[ds]]),MONTH(m7_crossvalid[[#This Row],[ds]]),DAY(m7_crossvalid[[#This Row],[ds]]))</f>
        <v>45804</v>
      </c>
      <c r="C152">
        <v>5188</v>
      </c>
      <c r="D152" s="1">
        <v>45804.333333333336</v>
      </c>
      <c r="E152">
        <v>5129.1312039138284</v>
      </c>
      <c r="F152">
        <v>3819.0894068513599</v>
      </c>
      <c r="G152">
        <v>6626.615519221783</v>
      </c>
      <c r="H152" s="1">
        <v>45777.333333333336</v>
      </c>
    </row>
    <row r="153" spans="1:8" x14ac:dyDescent="0.25">
      <c r="A153" s="7">
        <f>DATE(YEAR(m7_crossvalid[[#This Row],[cutoff]]),MONTH(m7_crossvalid[[#This Row],[cutoff]]),DAY(m7_crossvalid[[#This Row],[cutoff]]))</f>
        <v>45777</v>
      </c>
      <c r="B153" s="7">
        <f>DATE(YEAR(m7_crossvalid[[#This Row],[ds]]),MONTH(m7_crossvalid[[#This Row],[ds]]),DAY(m7_crossvalid[[#This Row],[ds]]))</f>
        <v>45805</v>
      </c>
      <c r="C153">
        <v>5701</v>
      </c>
      <c r="D153" s="1">
        <v>45805.333333333336</v>
      </c>
      <c r="E153">
        <v>5114.0874885912544</v>
      </c>
      <c r="F153">
        <v>3655.2003008899201</v>
      </c>
      <c r="G153">
        <v>6525.3852321905188</v>
      </c>
      <c r="H153" s="1">
        <v>45777.333333333336</v>
      </c>
    </row>
    <row r="154" spans="1:8" x14ac:dyDescent="0.25">
      <c r="A154" s="7">
        <f>DATE(YEAR(m7_crossvalid[[#This Row],[cutoff]]),MONTH(m7_crossvalid[[#This Row],[cutoff]]),DAY(m7_crossvalid[[#This Row],[cutoff]]))</f>
        <v>45777</v>
      </c>
      <c r="B154" s="7">
        <f>DATE(YEAR(m7_crossvalid[[#This Row],[ds]]),MONTH(m7_crossvalid[[#This Row],[ds]]),DAY(m7_crossvalid[[#This Row],[ds]]))</f>
        <v>45806</v>
      </c>
      <c r="C154">
        <v>8103</v>
      </c>
      <c r="D154" s="1">
        <v>45806.333333333336</v>
      </c>
      <c r="E154">
        <v>5064.4320617437734</v>
      </c>
      <c r="F154">
        <v>3672.7011740711259</v>
      </c>
      <c r="G154">
        <v>6600.7503987678419</v>
      </c>
      <c r="H154" s="1">
        <v>45777.333333333336</v>
      </c>
    </row>
    <row r="155" spans="1:8" x14ac:dyDescent="0.25">
      <c r="A155" s="7">
        <f>DATE(YEAR(m7_crossvalid[[#This Row],[cutoff]]),MONTH(m7_crossvalid[[#This Row],[cutoff]]),DAY(m7_crossvalid[[#This Row],[cutoff]]))</f>
        <v>45777</v>
      </c>
      <c r="B155" s="7">
        <f>DATE(YEAR(m7_crossvalid[[#This Row],[ds]]),MONTH(m7_crossvalid[[#This Row],[ds]]),DAY(m7_crossvalid[[#This Row],[ds]]))</f>
        <v>45807</v>
      </c>
      <c r="C155">
        <v>8920</v>
      </c>
      <c r="D155" s="1">
        <v>45807.333333333336</v>
      </c>
      <c r="E155">
        <v>7483.2070579224082</v>
      </c>
      <c r="F155">
        <v>6033.3819898941201</v>
      </c>
      <c r="G155">
        <v>8905.2307501376399</v>
      </c>
      <c r="H155" s="1">
        <v>45777.333333333336</v>
      </c>
    </row>
    <row r="156" spans="1:8" x14ac:dyDescent="0.25">
      <c r="A156" s="7">
        <f>DATE(YEAR(m7_crossvalid[[#This Row],[cutoff]]),MONTH(m7_crossvalid[[#This Row],[cutoff]]),DAY(m7_crossvalid[[#This Row],[cutoff]]))</f>
        <v>45777</v>
      </c>
      <c r="B156" s="7">
        <f>DATE(YEAR(m7_crossvalid[[#This Row],[ds]]),MONTH(m7_crossvalid[[#This Row],[ds]]),DAY(m7_crossvalid[[#This Row],[ds]]))</f>
        <v>45808</v>
      </c>
      <c r="C156">
        <v>4108</v>
      </c>
      <c r="D156" s="1">
        <v>45808.333333333336</v>
      </c>
      <c r="E156">
        <v>7814.1142639446989</v>
      </c>
      <c r="F156">
        <v>6386.5842253431329</v>
      </c>
      <c r="G156">
        <v>9257.9596646670798</v>
      </c>
      <c r="H156" s="1">
        <v>45777.333333333336</v>
      </c>
    </row>
    <row r="157" spans="1:8" x14ac:dyDescent="0.25">
      <c r="A157" s="7">
        <f>DATE(YEAR(m7_crossvalid[[#This Row],[cutoff]]),MONTH(m7_crossvalid[[#This Row],[cutoff]]),DAY(m7_crossvalid[[#This Row],[cutoff]]))</f>
        <v>45808</v>
      </c>
      <c r="B157" s="7">
        <f>DATE(YEAR(m7_crossvalid[[#This Row],[ds]]),MONTH(m7_crossvalid[[#This Row],[ds]]),DAY(m7_crossvalid[[#This Row],[ds]]))</f>
        <v>45809</v>
      </c>
      <c r="C157">
        <v>75</v>
      </c>
      <c r="D157" s="1">
        <v>45809.333333333336</v>
      </c>
      <c r="E157">
        <v>-59.43429873111063</v>
      </c>
      <c r="F157">
        <v>-1461.34542795875</v>
      </c>
      <c r="G157">
        <v>1501.1706360457847</v>
      </c>
      <c r="H157" s="1">
        <v>45808.333333333336</v>
      </c>
    </row>
    <row r="158" spans="1:8" x14ac:dyDescent="0.25">
      <c r="A158" s="7">
        <f>DATE(YEAR(m7_crossvalid[[#This Row],[cutoff]]),MONTH(m7_crossvalid[[#This Row],[cutoff]]),DAY(m7_crossvalid[[#This Row],[cutoff]]))</f>
        <v>45808</v>
      </c>
      <c r="B158" s="7">
        <f>DATE(YEAR(m7_crossvalid[[#This Row],[ds]]),MONTH(m7_crossvalid[[#This Row],[ds]]),DAY(m7_crossvalid[[#This Row],[ds]]))</f>
        <v>45810</v>
      </c>
      <c r="C158">
        <v>3</v>
      </c>
      <c r="D158" s="1">
        <v>45810.333333333336</v>
      </c>
      <c r="E158">
        <v>-215.08652776212557</v>
      </c>
      <c r="F158">
        <v>-1708.6339643628655</v>
      </c>
      <c r="G158">
        <v>1167.2731607211981</v>
      </c>
      <c r="H158" s="1">
        <v>45808.333333333336</v>
      </c>
    </row>
    <row r="159" spans="1:8" x14ac:dyDescent="0.25">
      <c r="A159" s="7">
        <f>DATE(YEAR(m7_crossvalid[[#This Row],[cutoff]]),MONTH(m7_crossvalid[[#This Row],[cutoff]]),DAY(m7_crossvalid[[#This Row],[cutoff]]))</f>
        <v>45808</v>
      </c>
      <c r="B159" s="7">
        <f>DATE(YEAR(m7_crossvalid[[#This Row],[ds]]),MONTH(m7_crossvalid[[#This Row],[ds]]),DAY(m7_crossvalid[[#This Row],[ds]]))</f>
        <v>45811</v>
      </c>
      <c r="C159">
        <v>578</v>
      </c>
      <c r="D159" s="1">
        <v>45811.333333333336</v>
      </c>
      <c r="E159">
        <v>1651.4359293023349</v>
      </c>
      <c r="F159">
        <v>250.2660339992272</v>
      </c>
      <c r="G159">
        <v>3041.0686299992694</v>
      </c>
      <c r="H159" s="1">
        <v>45808.333333333336</v>
      </c>
    </row>
    <row r="160" spans="1:8" x14ac:dyDescent="0.25">
      <c r="A160" s="7">
        <f>DATE(YEAR(m7_crossvalid[[#This Row],[cutoff]]),MONTH(m7_crossvalid[[#This Row],[cutoff]]),DAY(m7_crossvalid[[#This Row],[cutoff]]))</f>
        <v>45808</v>
      </c>
      <c r="B160" s="7">
        <f>DATE(YEAR(m7_crossvalid[[#This Row],[ds]]),MONTH(m7_crossvalid[[#This Row],[ds]]),DAY(m7_crossvalid[[#This Row],[ds]]))</f>
        <v>45812</v>
      </c>
      <c r="C160">
        <v>842</v>
      </c>
      <c r="D160" s="1">
        <v>45812.333333333336</v>
      </c>
      <c r="E160">
        <v>1761.7667617174086</v>
      </c>
      <c r="F160">
        <v>343.82032189765908</v>
      </c>
      <c r="G160">
        <v>3199.8785122700447</v>
      </c>
      <c r="H160" s="1">
        <v>45808.333333333336</v>
      </c>
    </row>
    <row r="161" spans="1:8" x14ac:dyDescent="0.25">
      <c r="A161" s="7">
        <f>DATE(YEAR(m7_crossvalid[[#This Row],[cutoff]]),MONTH(m7_crossvalid[[#This Row],[cutoff]]),DAY(m7_crossvalid[[#This Row],[cutoff]]))</f>
        <v>45808</v>
      </c>
      <c r="B161" s="7">
        <f>DATE(YEAR(m7_crossvalid[[#This Row],[ds]]),MONTH(m7_crossvalid[[#This Row],[ds]]),DAY(m7_crossvalid[[#This Row],[ds]]))</f>
        <v>45813</v>
      </c>
      <c r="C161">
        <v>1102</v>
      </c>
      <c r="D161" s="1">
        <v>45813.333333333336</v>
      </c>
      <c r="E161">
        <v>1696.6067286849539</v>
      </c>
      <c r="F161">
        <v>232.38945872027142</v>
      </c>
      <c r="G161">
        <v>3153.6709103512694</v>
      </c>
      <c r="H161" s="1">
        <v>45808.333333333336</v>
      </c>
    </row>
    <row r="162" spans="1:8" x14ac:dyDescent="0.25">
      <c r="A162" s="7">
        <f>DATE(YEAR(m7_crossvalid[[#This Row],[cutoff]]),MONTH(m7_crossvalid[[#This Row],[cutoff]]),DAY(m7_crossvalid[[#This Row],[cutoff]]))</f>
        <v>45808</v>
      </c>
      <c r="B162" s="7">
        <f>DATE(YEAR(m7_crossvalid[[#This Row],[ds]]),MONTH(m7_crossvalid[[#This Row],[ds]]),DAY(m7_crossvalid[[#This Row],[ds]]))</f>
        <v>45814</v>
      </c>
      <c r="C162">
        <v>1098</v>
      </c>
      <c r="D162" s="1">
        <v>45814.333333333336</v>
      </c>
      <c r="E162">
        <v>-1969.1805398893921</v>
      </c>
      <c r="F162">
        <v>-3375.1034693682836</v>
      </c>
      <c r="G162">
        <v>-443.30360909530441</v>
      </c>
      <c r="H162" s="1">
        <v>45808.333333333336</v>
      </c>
    </row>
    <row r="163" spans="1:8" x14ac:dyDescent="0.25">
      <c r="A163" s="7">
        <f>DATE(YEAR(m7_crossvalid[[#This Row],[cutoff]]),MONTH(m7_crossvalid[[#This Row],[cutoff]]),DAY(m7_crossvalid[[#This Row],[cutoff]]))</f>
        <v>45808</v>
      </c>
      <c r="B163" s="7">
        <f>DATE(YEAR(m7_crossvalid[[#This Row],[ds]]),MONTH(m7_crossvalid[[#This Row],[ds]]),DAY(m7_crossvalid[[#This Row],[ds]]))</f>
        <v>45815</v>
      </c>
      <c r="C163">
        <v>17</v>
      </c>
      <c r="D163" s="1">
        <v>45815.333333333336</v>
      </c>
      <c r="E163">
        <v>-1495.5277156681113</v>
      </c>
      <c r="F163">
        <v>-2831.0148594791494</v>
      </c>
      <c r="G163">
        <v>53.55525933857772</v>
      </c>
      <c r="H163" s="1">
        <v>45808.333333333336</v>
      </c>
    </row>
    <row r="164" spans="1:8" x14ac:dyDescent="0.25">
      <c r="A164" s="7">
        <f>DATE(YEAR(m7_crossvalid[[#This Row],[cutoff]]),MONTH(m7_crossvalid[[#This Row],[cutoff]]),DAY(m7_crossvalid[[#This Row],[cutoff]]))</f>
        <v>45808</v>
      </c>
      <c r="B164" s="7">
        <f>DATE(YEAR(m7_crossvalid[[#This Row],[ds]]),MONTH(m7_crossvalid[[#This Row],[ds]]),DAY(m7_crossvalid[[#This Row],[ds]]))</f>
        <v>45816</v>
      </c>
      <c r="C164">
        <v>2</v>
      </c>
      <c r="D164" s="1">
        <v>45816.333333333336</v>
      </c>
      <c r="E164">
        <v>-712.80570604972809</v>
      </c>
      <c r="F164">
        <v>-2172.6949496787865</v>
      </c>
      <c r="G164">
        <v>816.64151514597654</v>
      </c>
      <c r="H164" s="1">
        <v>45808.333333333336</v>
      </c>
    </row>
    <row r="165" spans="1:8" x14ac:dyDescent="0.25">
      <c r="A165" s="7">
        <f>DATE(YEAR(m7_crossvalid[[#This Row],[cutoff]]),MONTH(m7_crossvalid[[#This Row],[cutoff]]),DAY(m7_crossvalid[[#This Row],[cutoff]]))</f>
        <v>45808</v>
      </c>
      <c r="B165" s="7">
        <f>DATE(YEAR(m7_crossvalid[[#This Row],[ds]]),MONTH(m7_crossvalid[[#This Row],[ds]]),DAY(m7_crossvalid[[#This Row],[ds]]))</f>
        <v>45817</v>
      </c>
      <c r="C165">
        <v>716</v>
      </c>
      <c r="D165" s="1">
        <v>45817.333333333336</v>
      </c>
      <c r="E165">
        <v>2162.740150628013</v>
      </c>
      <c r="F165">
        <v>794.53217524826368</v>
      </c>
      <c r="G165">
        <v>3706.7000533322162</v>
      </c>
      <c r="H165" s="1">
        <v>45808.333333333336</v>
      </c>
    </row>
    <row r="166" spans="1:8" x14ac:dyDescent="0.25">
      <c r="A166" s="7">
        <f>DATE(YEAR(m7_crossvalid[[#This Row],[cutoff]]),MONTH(m7_crossvalid[[#This Row],[cutoff]]),DAY(m7_crossvalid[[#This Row],[cutoff]]))</f>
        <v>45808</v>
      </c>
      <c r="B166" s="7">
        <f>DATE(YEAR(m7_crossvalid[[#This Row],[ds]]),MONTH(m7_crossvalid[[#This Row],[ds]]),DAY(m7_crossvalid[[#This Row],[ds]]))</f>
        <v>45818</v>
      </c>
      <c r="C166">
        <v>1129</v>
      </c>
      <c r="D166" s="1">
        <v>45818.333333333336</v>
      </c>
      <c r="E166">
        <v>1579.5668622209737</v>
      </c>
      <c r="F166">
        <v>320.31144303478749</v>
      </c>
      <c r="G166">
        <v>2995.346039329801</v>
      </c>
      <c r="H166" s="1">
        <v>45808.333333333336</v>
      </c>
    </row>
    <row r="167" spans="1:8" x14ac:dyDescent="0.25">
      <c r="A167" s="7">
        <f>DATE(YEAR(m7_crossvalid[[#This Row],[cutoff]]),MONTH(m7_crossvalid[[#This Row],[cutoff]]),DAY(m7_crossvalid[[#This Row],[cutoff]]))</f>
        <v>45808</v>
      </c>
      <c r="B167" s="7">
        <f>DATE(YEAR(m7_crossvalid[[#This Row],[ds]]),MONTH(m7_crossvalid[[#This Row],[ds]]),DAY(m7_crossvalid[[#This Row],[ds]]))</f>
        <v>45819</v>
      </c>
      <c r="C167">
        <v>1387</v>
      </c>
      <c r="D167" s="1">
        <v>45819.333333333336</v>
      </c>
      <c r="E167">
        <v>1848.3069911389691</v>
      </c>
      <c r="F167">
        <v>432.47689973988543</v>
      </c>
      <c r="G167">
        <v>3304.2957861122786</v>
      </c>
      <c r="H167" s="1">
        <v>45808.333333333336</v>
      </c>
    </row>
    <row r="168" spans="1:8" x14ac:dyDescent="0.25">
      <c r="A168" s="7">
        <f>DATE(YEAR(m7_crossvalid[[#This Row],[cutoff]]),MONTH(m7_crossvalid[[#This Row],[cutoff]]),DAY(m7_crossvalid[[#This Row],[cutoff]]))</f>
        <v>45808</v>
      </c>
      <c r="B168" s="7">
        <f>DATE(YEAR(m7_crossvalid[[#This Row],[ds]]),MONTH(m7_crossvalid[[#This Row],[ds]]),DAY(m7_crossvalid[[#This Row],[ds]]))</f>
        <v>45820</v>
      </c>
      <c r="C168">
        <v>1689</v>
      </c>
      <c r="D168" s="1">
        <v>45820.333333333336</v>
      </c>
      <c r="E168">
        <v>2358.7358670225035</v>
      </c>
      <c r="F168">
        <v>889.23999483761827</v>
      </c>
      <c r="G168">
        <v>3718.5558814389456</v>
      </c>
      <c r="H168" s="1">
        <v>45808.333333333336</v>
      </c>
    </row>
    <row r="169" spans="1:8" x14ac:dyDescent="0.25">
      <c r="A169" s="7">
        <f>DATE(YEAR(m7_crossvalid[[#This Row],[cutoff]]),MONTH(m7_crossvalid[[#This Row],[cutoff]]),DAY(m7_crossvalid[[#This Row],[cutoff]]))</f>
        <v>45808</v>
      </c>
      <c r="B169" s="7">
        <f>DATE(YEAR(m7_crossvalid[[#This Row],[ds]]),MONTH(m7_crossvalid[[#This Row],[ds]]),DAY(m7_crossvalid[[#This Row],[ds]]))</f>
        <v>45821</v>
      </c>
      <c r="C169">
        <v>1883</v>
      </c>
      <c r="D169" s="1">
        <v>45821.333333333336</v>
      </c>
      <c r="E169">
        <v>2177.1785078355801</v>
      </c>
      <c r="F169">
        <v>678.79271537954799</v>
      </c>
      <c r="G169">
        <v>3580.9631198248344</v>
      </c>
      <c r="H169" s="1">
        <v>45808.333333333336</v>
      </c>
    </row>
    <row r="170" spans="1:8" x14ac:dyDescent="0.25">
      <c r="A170" s="7">
        <f>DATE(YEAR(m7_crossvalid[[#This Row],[cutoff]]),MONTH(m7_crossvalid[[#This Row],[cutoff]]),DAY(m7_crossvalid[[#This Row],[cutoff]]))</f>
        <v>45808</v>
      </c>
      <c r="B170" s="7">
        <f>DATE(YEAR(m7_crossvalid[[#This Row],[ds]]),MONTH(m7_crossvalid[[#This Row],[ds]]),DAY(m7_crossvalid[[#This Row],[ds]]))</f>
        <v>45822</v>
      </c>
      <c r="C170">
        <v>280</v>
      </c>
      <c r="D170" s="1">
        <v>45822.333333333336</v>
      </c>
      <c r="E170">
        <v>211.63482353100585</v>
      </c>
      <c r="F170">
        <v>-1287.4637684123793</v>
      </c>
      <c r="G170">
        <v>1708.0718137680656</v>
      </c>
      <c r="H170" s="1">
        <v>45808.333333333336</v>
      </c>
    </row>
    <row r="171" spans="1:8" x14ac:dyDescent="0.25">
      <c r="A171" s="7">
        <f>DATE(YEAR(m7_crossvalid[[#This Row],[cutoff]]),MONTH(m7_crossvalid[[#This Row],[cutoff]]),DAY(m7_crossvalid[[#This Row],[cutoff]]))</f>
        <v>45808</v>
      </c>
      <c r="B171" s="7">
        <f>DATE(YEAR(m7_crossvalid[[#This Row],[ds]]),MONTH(m7_crossvalid[[#This Row],[ds]]),DAY(m7_crossvalid[[#This Row],[ds]]))</f>
        <v>45823</v>
      </c>
      <c r="C171">
        <v>71</v>
      </c>
      <c r="D171" s="1">
        <v>45823.333333333336</v>
      </c>
      <c r="E171">
        <v>-287.93210791548245</v>
      </c>
      <c r="F171">
        <v>-1751.8656075991164</v>
      </c>
      <c r="G171">
        <v>1111.6671913263892</v>
      </c>
      <c r="H171" s="1">
        <v>45808.333333333336</v>
      </c>
    </row>
    <row r="172" spans="1:8" x14ac:dyDescent="0.25">
      <c r="A172" s="7">
        <f>DATE(YEAR(m7_crossvalid[[#This Row],[cutoff]]),MONTH(m7_crossvalid[[#This Row],[cutoff]]),DAY(m7_crossvalid[[#This Row],[cutoff]]))</f>
        <v>45808</v>
      </c>
      <c r="B172" s="7">
        <f>DATE(YEAR(m7_crossvalid[[#This Row],[ds]]),MONTH(m7_crossvalid[[#This Row],[ds]]),DAY(m7_crossvalid[[#This Row],[ds]]))</f>
        <v>45824</v>
      </c>
      <c r="C172">
        <v>1852</v>
      </c>
      <c r="D172" s="1">
        <v>45824.333333333336</v>
      </c>
      <c r="E172">
        <v>2330.4989912049296</v>
      </c>
      <c r="F172">
        <v>978.00473637398818</v>
      </c>
      <c r="G172">
        <v>3796.0289262215324</v>
      </c>
      <c r="H172" s="1">
        <v>45808.333333333336</v>
      </c>
    </row>
    <row r="173" spans="1:8" x14ac:dyDescent="0.25">
      <c r="A173" s="7">
        <f>DATE(YEAR(m7_crossvalid[[#This Row],[cutoff]]),MONTH(m7_crossvalid[[#This Row],[cutoff]]),DAY(m7_crossvalid[[#This Row],[cutoff]]))</f>
        <v>45808</v>
      </c>
      <c r="B173" s="7">
        <f>DATE(YEAR(m7_crossvalid[[#This Row],[ds]]),MONTH(m7_crossvalid[[#This Row],[ds]]),DAY(m7_crossvalid[[#This Row],[ds]]))</f>
        <v>45825</v>
      </c>
      <c r="C173">
        <v>2251</v>
      </c>
      <c r="D173" s="1">
        <v>45825.333333333336</v>
      </c>
      <c r="E173">
        <v>2835.7610954439756</v>
      </c>
      <c r="F173">
        <v>1412.5313502807064</v>
      </c>
      <c r="G173">
        <v>4195.2545667151589</v>
      </c>
      <c r="H173" s="1">
        <v>45808.333333333336</v>
      </c>
    </row>
    <row r="174" spans="1:8" x14ac:dyDescent="0.25">
      <c r="A174" s="7">
        <f>DATE(YEAR(m7_crossvalid[[#This Row],[cutoff]]),MONTH(m7_crossvalid[[#This Row],[cutoff]]),DAY(m7_crossvalid[[#This Row],[cutoff]]))</f>
        <v>45808</v>
      </c>
      <c r="B174" s="7">
        <f>DATE(YEAR(m7_crossvalid[[#This Row],[ds]]),MONTH(m7_crossvalid[[#This Row],[ds]]),DAY(m7_crossvalid[[#This Row],[ds]]))</f>
        <v>45826</v>
      </c>
      <c r="C174">
        <v>2552</v>
      </c>
      <c r="D174" s="1">
        <v>45826.333333333336</v>
      </c>
      <c r="E174">
        <v>2981.4116283235899</v>
      </c>
      <c r="F174">
        <v>1520.3414331882773</v>
      </c>
      <c r="G174">
        <v>4408.995538684384</v>
      </c>
      <c r="H174" s="1">
        <v>45808.333333333336</v>
      </c>
    </row>
    <row r="175" spans="1:8" x14ac:dyDescent="0.25">
      <c r="A175" s="7">
        <f>DATE(YEAR(m7_crossvalid[[#This Row],[cutoff]]),MONTH(m7_crossvalid[[#This Row],[cutoff]]),DAY(m7_crossvalid[[#This Row],[cutoff]]))</f>
        <v>45808</v>
      </c>
      <c r="B175" s="7">
        <f>DATE(YEAR(m7_crossvalid[[#This Row],[ds]]),MONTH(m7_crossvalid[[#This Row],[ds]]),DAY(m7_crossvalid[[#This Row],[ds]]))</f>
        <v>45827</v>
      </c>
      <c r="C175">
        <v>2813</v>
      </c>
      <c r="D175" s="1">
        <v>45827.333333333336</v>
      </c>
      <c r="E175">
        <v>2985.7595527620674</v>
      </c>
      <c r="F175">
        <v>1538.8011300583664</v>
      </c>
      <c r="G175">
        <v>4371.3525651554664</v>
      </c>
      <c r="H175" s="1">
        <v>45808.333333333336</v>
      </c>
    </row>
    <row r="176" spans="1:8" x14ac:dyDescent="0.25">
      <c r="A176" s="7">
        <f>DATE(YEAR(m7_crossvalid[[#This Row],[cutoff]]),MONTH(m7_crossvalid[[#This Row],[cutoff]]),DAY(m7_crossvalid[[#This Row],[cutoff]]))</f>
        <v>45808</v>
      </c>
      <c r="B176" s="7">
        <f>DATE(YEAR(m7_crossvalid[[#This Row],[ds]]),MONTH(m7_crossvalid[[#This Row],[ds]]),DAY(m7_crossvalid[[#This Row],[ds]]))</f>
        <v>45828</v>
      </c>
      <c r="C176">
        <v>3023</v>
      </c>
      <c r="D176" s="1">
        <v>45828.333333333336</v>
      </c>
      <c r="E176">
        <v>3007.4132578255758</v>
      </c>
      <c r="F176">
        <v>1578.5460300950688</v>
      </c>
      <c r="G176">
        <v>4422.3448409489602</v>
      </c>
      <c r="H176" s="1">
        <v>45808.333333333336</v>
      </c>
    </row>
    <row r="177" spans="1:8" x14ac:dyDescent="0.25">
      <c r="A177" s="7">
        <f>DATE(YEAR(m7_crossvalid[[#This Row],[cutoff]]),MONTH(m7_crossvalid[[#This Row],[cutoff]]),DAY(m7_crossvalid[[#This Row],[cutoff]]))</f>
        <v>45808</v>
      </c>
      <c r="B177" s="7">
        <f>DATE(YEAR(m7_crossvalid[[#This Row],[ds]]),MONTH(m7_crossvalid[[#This Row],[ds]]),DAY(m7_crossvalid[[#This Row],[ds]]))</f>
        <v>45829</v>
      </c>
      <c r="C177">
        <v>360</v>
      </c>
      <c r="D177" s="1">
        <v>45829.333333333336</v>
      </c>
      <c r="E177">
        <v>815.32968504318364</v>
      </c>
      <c r="F177">
        <v>-573.30717237574913</v>
      </c>
      <c r="G177">
        <v>2280.2635685718237</v>
      </c>
      <c r="H177" s="1">
        <v>45808.333333333336</v>
      </c>
    </row>
    <row r="178" spans="1:8" x14ac:dyDescent="0.25">
      <c r="A178" s="7">
        <f>DATE(YEAR(m7_crossvalid[[#This Row],[cutoff]]),MONTH(m7_crossvalid[[#This Row],[cutoff]]),DAY(m7_crossvalid[[#This Row],[cutoff]]))</f>
        <v>45808</v>
      </c>
      <c r="B178" s="7">
        <f>DATE(YEAR(m7_crossvalid[[#This Row],[ds]]),MONTH(m7_crossvalid[[#This Row],[ds]]),DAY(m7_crossvalid[[#This Row],[ds]]))</f>
        <v>45830</v>
      </c>
      <c r="C178">
        <v>129</v>
      </c>
      <c r="D178" s="1">
        <v>45830.333333333336</v>
      </c>
      <c r="E178">
        <v>338.68415369529725</v>
      </c>
      <c r="F178">
        <v>-1076.1932792365117</v>
      </c>
      <c r="G178">
        <v>1760.7736212106565</v>
      </c>
      <c r="H178" s="1">
        <v>45808.333333333336</v>
      </c>
    </row>
    <row r="179" spans="1:8" x14ac:dyDescent="0.25">
      <c r="A179" s="7">
        <f>DATE(YEAR(m7_crossvalid[[#This Row],[cutoff]]),MONTH(m7_crossvalid[[#This Row],[cutoff]]),DAY(m7_crossvalid[[#This Row],[cutoff]]))</f>
        <v>45808</v>
      </c>
      <c r="B179" s="7">
        <f>DATE(YEAR(m7_crossvalid[[#This Row],[ds]]),MONTH(m7_crossvalid[[#This Row],[ds]]),DAY(m7_crossvalid[[#This Row],[ds]]))</f>
        <v>45831</v>
      </c>
      <c r="C179">
        <v>3291</v>
      </c>
      <c r="D179" s="1">
        <v>45831.333333333336</v>
      </c>
      <c r="E179">
        <v>2960.6779236685511</v>
      </c>
      <c r="F179">
        <v>1484.7079319352765</v>
      </c>
      <c r="G179">
        <v>4443.6056985054392</v>
      </c>
      <c r="H179" s="1">
        <v>45808.333333333336</v>
      </c>
    </row>
    <row r="180" spans="1:8" x14ac:dyDescent="0.25">
      <c r="A180" s="7">
        <f>DATE(YEAR(m7_crossvalid[[#This Row],[cutoff]]),MONTH(m7_crossvalid[[#This Row],[cutoff]]),DAY(m7_crossvalid[[#This Row],[cutoff]]))</f>
        <v>45808</v>
      </c>
      <c r="B180" s="7">
        <f>DATE(YEAR(m7_crossvalid[[#This Row],[ds]]),MONTH(m7_crossvalid[[#This Row],[ds]]),DAY(m7_crossvalid[[#This Row],[ds]]))</f>
        <v>45832</v>
      </c>
      <c r="C180">
        <v>3743</v>
      </c>
      <c r="D180" s="1">
        <v>45832.333333333336</v>
      </c>
      <c r="E180">
        <v>3508.0799307883199</v>
      </c>
      <c r="F180">
        <v>2025.67530210665</v>
      </c>
      <c r="G180">
        <v>4857.3317551662367</v>
      </c>
      <c r="H180" s="1">
        <v>45808.333333333336</v>
      </c>
    </row>
    <row r="181" spans="1:8" x14ac:dyDescent="0.25">
      <c r="A181" s="7">
        <f>DATE(YEAR(m7_crossvalid[[#This Row],[cutoff]]),MONTH(m7_crossvalid[[#This Row],[cutoff]]),DAY(m7_crossvalid[[#This Row],[cutoff]]))</f>
        <v>45808</v>
      </c>
      <c r="B181" s="7">
        <f>DATE(YEAR(m7_crossvalid[[#This Row],[ds]]),MONTH(m7_crossvalid[[#This Row],[ds]]),DAY(m7_crossvalid[[#This Row],[ds]]))</f>
        <v>45833</v>
      </c>
      <c r="C181">
        <v>4576</v>
      </c>
      <c r="D181" s="1">
        <v>45833.333333333336</v>
      </c>
      <c r="E181">
        <v>3714.367669176047</v>
      </c>
      <c r="F181">
        <v>2222.1175092497419</v>
      </c>
      <c r="G181">
        <v>5234.299290482656</v>
      </c>
      <c r="H181" s="1">
        <v>45808.333333333336</v>
      </c>
    </row>
    <row r="182" spans="1:8" x14ac:dyDescent="0.25">
      <c r="A182" s="7">
        <f>DATE(YEAR(m7_crossvalid[[#This Row],[cutoff]]),MONTH(m7_crossvalid[[#This Row],[cutoff]]),DAY(m7_crossvalid[[#This Row],[cutoff]]))</f>
        <v>45808</v>
      </c>
      <c r="B182" s="7">
        <f>DATE(YEAR(m7_crossvalid[[#This Row],[ds]]),MONTH(m7_crossvalid[[#This Row],[ds]]),DAY(m7_crossvalid[[#This Row],[ds]]))</f>
        <v>45834</v>
      </c>
      <c r="C182">
        <v>6205</v>
      </c>
      <c r="D182" s="1">
        <v>45834.333333333336</v>
      </c>
      <c r="E182">
        <v>5188.7638020568866</v>
      </c>
      <c r="F182">
        <v>3730.8826250660368</v>
      </c>
      <c r="G182">
        <v>6575.1580675187433</v>
      </c>
      <c r="H182" s="1">
        <v>45808.333333333336</v>
      </c>
    </row>
    <row r="183" spans="1:8" x14ac:dyDescent="0.25">
      <c r="A183" s="7">
        <f>DATE(YEAR(m7_crossvalid[[#This Row],[cutoff]]),MONTH(m7_crossvalid[[#This Row],[cutoff]]),DAY(m7_crossvalid[[#This Row],[cutoff]]))</f>
        <v>45808</v>
      </c>
      <c r="B183" s="7">
        <f>DATE(YEAR(m7_crossvalid[[#This Row],[ds]]),MONTH(m7_crossvalid[[#This Row],[ds]]),DAY(m7_crossvalid[[#This Row],[ds]]))</f>
        <v>45835</v>
      </c>
      <c r="C183">
        <v>814</v>
      </c>
      <c r="D183" s="1">
        <v>45835.333333333336</v>
      </c>
      <c r="E183">
        <v>3457.3413671015114</v>
      </c>
      <c r="F183">
        <v>1998.8519895634279</v>
      </c>
      <c r="G183">
        <v>4918.1027210350831</v>
      </c>
      <c r="H183" s="1">
        <v>45808.333333333336</v>
      </c>
    </row>
    <row r="184" spans="1:8" x14ac:dyDescent="0.25">
      <c r="A184" s="7">
        <f>DATE(YEAR(m7_crossvalid[[#This Row],[cutoff]]),MONTH(m7_crossvalid[[#This Row],[cutoff]]),DAY(m7_crossvalid[[#This Row],[cutoff]]))</f>
        <v>45808</v>
      </c>
      <c r="B184" s="7">
        <f>DATE(YEAR(m7_crossvalid[[#This Row],[ds]]),MONTH(m7_crossvalid[[#This Row],[ds]]),DAY(m7_crossvalid[[#This Row],[ds]]))</f>
        <v>45836</v>
      </c>
      <c r="C184">
        <v>2326</v>
      </c>
      <c r="D184" s="1">
        <v>45836.333333333336</v>
      </c>
      <c r="E184">
        <v>2719.96481611131</v>
      </c>
      <c r="F184">
        <v>1330.7564560706783</v>
      </c>
      <c r="G184">
        <v>4200.1954041620847</v>
      </c>
      <c r="H184" s="1">
        <v>45808.333333333336</v>
      </c>
    </row>
    <row r="185" spans="1:8" x14ac:dyDescent="0.25">
      <c r="A185" s="7">
        <f>DATE(YEAR(m7_crossvalid[[#This Row],[cutoff]]),MONTH(m7_crossvalid[[#This Row],[cutoff]]),DAY(m7_crossvalid[[#This Row],[cutoff]]))</f>
        <v>45808</v>
      </c>
      <c r="B185" s="7">
        <f>DATE(YEAR(m7_crossvalid[[#This Row],[ds]]),MONTH(m7_crossvalid[[#This Row],[ds]]),DAY(m7_crossvalid[[#This Row],[ds]]))</f>
        <v>45837</v>
      </c>
      <c r="C185">
        <v>427</v>
      </c>
      <c r="D185" s="1">
        <v>45837.333333333336</v>
      </c>
      <c r="E185">
        <v>4554.9978098485644</v>
      </c>
      <c r="F185">
        <v>3139.7850624963758</v>
      </c>
      <c r="G185">
        <v>6043.5485926663032</v>
      </c>
      <c r="H185" s="1">
        <v>45808.333333333336</v>
      </c>
    </row>
    <row r="186" spans="1:8" x14ac:dyDescent="0.25">
      <c r="A186" s="7">
        <f>DATE(YEAR(m7_crossvalid[[#This Row],[cutoff]]),MONTH(m7_crossvalid[[#This Row],[cutoff]]),DAY(m7_crossvalid[[#This Row],[cutoff]]))</f>
        <v>45808</v>
      </c>
      <c r="B186" s="7">
        <f>DATE(YEAR(m7_crossvalid[[#This Row],[ds]]),MONTH(m7_crossvalid[[#This Row],[ds]]),DAY(m7_crossvalid[[#This Row],[ds]]))</f>
        <v>45838</v>
      </c>
      <c r="C186">
        <v>13624</v>
      </c>
      <c r="D186" s="1">
        <v>45838.333333333336</v>
      </c>
      <c r="E186">
        <v>9518.0731077967648</v>
      </c>
      <c r="F186">
        <v>8126.637518673946</v>
      </c>
      <c r="G186">
        <v>11032.586666154937</v>
      </c>
      <c r="H186" s="1">
        <v>45808.333333333336</v>
      </c>
    </row>
    <row r="187" spans="1:8" x14ac:dyDescent="0.25">
      <c r="A187" s="7">
        <f>DATE(YEAR(m7_crossvalid[[#This Row],[cutoff]]),MONTH(m7_crossvalid[[#This Row],[cutoff]]),DAY(m7_crossvalid[[#This Row],[cutoff]]))</f>
        <v>45808</v>
      </c>
      <c r="B187" s="7">
        <f>DATE(YEAR(m7_crossvalid[[#This Row],[ds]]),MONTH(m7_crossvalid[[#This Row],[ds]]),DAY(m7_crossvalid[[#This Row],[ds]]))</f>
        <v>45839</v>
      </c>
      <c r="C187">
        <v>624</v>
      </c>
      <c r="D187" s="1">
        <v>45839.333333333336</v>
      </c>
      <c r="E187">
        <v>3000.5925534653502</v>
      </c>
      <c r="F187">
        <v>1595.9111935383446</v>
      </c>
      <c r="G187">
        <v>4445.9410263691407</v>
      </c>
      <c r="H187" s="1">
        <v>45808.333333333336</v>
      </c>
    </row>
    <row r="188" spans="1:8" x14ac:dyDescent="0.25">
      <c r="A188" s="7">
        <f>DATE(YEAR(m7_crossvalid[[#This Row],[cutoff]]),MONTH(m7_crossvalid[[#This Row],[cutoff]]),DAY(m7_crossvalid[[#This Row],[cutoff]]))</f>
        <v>45838</v>
      </c>
      <c r="B188" s="7">
        <f>DATE(YEAR(m7_crossvalid[[#This Row],[ds]]),MONTH(m7_crossvalid[[#This Row],[ds]]),DAY(m7_crossvalid[[#This Row],[ds]]))</f>
        <v>45839</v>
      </c>
      <c r="C188">
        <v>624</v>
      </c>
      <c r="D188" s="1">
        <v>45839.333333333336</v>
      </c>
      <c r="E188">
        <v>3087.0354951526247</v>
      </c>
      <c r="F188">
        <v>1746.9597388309335</v>
      </c>
      <c r="G188">
        <v>4645.8041137280325</v>
      </c>
      <c r="H188" s="1">
        <v>45838.333333333336</v>
      </c>
    </row>
    <row r="189" spans="1:8" x14ac:dyDescent="0.25">
      <c r="A189" s="7">
        <f>DATE(YEAR(m7_crossvalid[[#This Row],[cutoff]]),MONTH(m7_crossvalid[[#This Row],[cutoff]]),DAY(m7_crossvalid[[#This Row],[cutoff]]))</f>
        <v>45838</v>
      </c>
      <c r="B189" s="7">
        <f>DATE(YEAR(m7_crossvalid[[#This Row],[ds]]),MONTH(m7_crossvalid[[#This Row],[ds]]),DAY(m7_crossvalid[[#This Row],[ds]]))</f>
        <v>45840</v>
      </c>
      <c r="C189">
        <v>733</v>
      </c>
      <c r="D189" s="1">
        <v>45840.333333333336</v>
      </c>
      <c r="E189">
        <v>1939.4356423671966</v>
      </c>
      <c r="F189">
        <v>576.79556470897785</v>
      </c>
      <c r="G189">
        <v>3289.5487571479321</v>
      </c>
      <c r="H189" s="1">
        <v>45838.333333333336</v>
      </c>
    </row>
    <row r="190" spans="1:8" x14ac:dyDescent="0.25">
      <c r="A190" s="7">
        <f>DATE(YEAR(m7_crossvalid[[#This Row],[cutoff]]),MONTH(m7_crossvalid[[#This Row],[cutoff]]),DAY(m7_crossvalid[[#This Row],[cutoff]]))</f>
        <v>45838</v>
      </c>
      <c r="B190" s="7">
        <f>DATE(YEAR(m7_crossvalid[[#This Row],[ds]]),MONTH(m7_crossvalid[[#This Row],[ds]]),DAY(m7_crossvalid[[#This Row],[ds]]))</f>
        <v>45841</v>
      </c>
      <c r="C190">
        <v>1036</v>
      </c>
      <c r="D190" s="1">
        <v>45841.333333333336</v>
      </c>
      <c r="E190">
        <v>1423.2597810713639</v>
      </c>
      <c r="F190">
        <v>-3.1230682797814442</v>
      </c>
      <c r="G190">
        <v>2806.6549117284203</v>
      </c>
      <c r="H190" s="1">
        <v>45838.333333333336</v>
      </c>
    </row>
    <row r="191" spans="1:8" x14ac:dyDescent="0.25">
      <c r="A191" s="7">
        <f>DATE(YEAR(m7_crossvalid[[#This Row],[cutoff]]),MONTH(m7_crossvalid[[#This Row],[cutoff]]),DAY(m7_crossvalid[[#This Row],[cutoff]]))</f>
        <v>45838</v>
      </c>
      <c r="B191" s="7">
        <f>DATE(YEAR(m7_crossvalid[[#This Row],[ds]]),MONTH(m7_crossvalid[[#This Row],[ds]]),DAY(m7_crossvalid[[#This Row],[ds]]))</f>
        <v>45842</v>
      </c>
      <c r="C191">
        <v>1189</v>
      </c>
      <c r="D191" s="1">
        <v>45842.333333333336</v>
      </c>
      <c r="E191">
        <v>1399.7894177307016</v>
      </c>
      <c r="F191">
        <v>27.132947440532888</v>
      </c>
      <c r="G191">
        <v>2786.5789989818481</v>
      </c>
      <c r="H191" s="1">
        <v>45838.333333333336</v>
      </c>
    </row>
    <row r="192" spans="1:8" x14ac:dyDescent="0.25">
      <c r="A192" s="7">
        <f>DATE(YEAR(m7_crossvalid[[#This Row],[cutoff]]),MONTH(m7_crossvalid[[#This Row],[cutoff]]),DAY(m7_crossvalid[[#This Row],[cutoff]]))</f>
        <v>45838</v>
      </c>
      <c r="B192" s="7">
        <f>DATE(YEAR(m7_crossvalid[[#This Row],[ds]]),MONTH(m7_crossvalid[[#This Row],[ds]]),DAY(m7_crossvalid[[#This Row],[ds]]))</f>
        <v>45843</v>
      </c>
      <c r="C192">
        <v>170</v>
      </c>
      <c r="D192" s="1">
        <v>45843.333333333336</v>
      </c>
      <c r="E192">
        <v>-842.28718479243707</v>
      </c>
      <c r="F192">
        <v>-2270.5893595396087</v>
      </c>
      <c r="G192">
        <v>650.72154527128191</v>
      </c>
      <c r="H192" s="1">
        <v>45838.333333333336</v>
      </c>
    </row>
    <row r="193" spans="1:8" x14ac:dyDescent="0.25">
      <c r="A193" s="7">
        <f>DATE(YEAR(m7_crossvalid[[#This Row],[cutoff]]),MONTH(m7_crossvalid[[#This Row],[cutoff]]),DAY(m7_crossvalid[[#This Row],[cutoff]]))</f>
        <v>45838</v>
      </c>
      <c r="B193" s="7">
        <f>DATE(YEAR(m7_crossvalid[[#This Row],[ds]]),MONTH(m7_crossvalid[[#This Row],[ds]]),DAY(m7_crossvalid[[#This Row],[ds]]))</f>
        <v>45844</v>
      </c>
      <c r="C193">
        <v>30</v>
      </c>
      <c r="D193" s="1">
        <v>45844.333333333336</v>
      </c>
      <c r="E193">
        <v>-1349.8135088101008</v>
      </c>
      <c r="F193">
        <v>-2751.0567678863458</v>
      </c>
      <c r="G193">
        <v>40.891590322683292</v>
      </c>
      <c r="H193" s="1">
        <v>45838.333333333336</v>
      </c>
    </row>
    <row r="194" spans="1:8" x14ac:dyDescent="0.25">
      <c r="A194" s="7">
        <f>DATE(YEAR(m7_crossvalid[[#This Row],[cutoff]]),MONTH(m7_crossvalid[[#This Row],[cutoff]]),DAY(m7_crossvalid[[#This Row],[cutoff]]))</f>
        <v>45838</v>
      </c>
      <c r="B194" s="7">
        <f>DATE(YEAR(m7_crossvalid[[#This Row],[ds]]),MONTH(m7_crossvalid[[#This Row],[ds]]),DAY(m7_crossvalid[[#This Row],[ds]]))</f>
        <v>45845</v>
      </c>
      <c r="C194">
        <v>1218</v>
      </c>
      <c r="D194" s="1">
        <v>45845.333333333336</v>
      </c>
      <c r="E194">
        <v>1262.1522501867323</v>
      </c>
      <c r="F194">
        <v>-114.36590144796692</v>
      </c>
      <c r="G194">
        <v>2724.8979268398443</v>
      </c>
      <c r="H194" s="1">
        <v>45838.333333333336</v>
      </c>
    </row>
    <row r="195" spans="1:8" x14ac:dyDescent="0.25">
      <c r="A195" s="7">
        <f>DATE(YEAR(m7_crossvalid[[#This Row],[cutoff]]),MONTH(m7_crossvalid[[#This Row],[cutoff]]),DAY(m7_crossvalid[[#This Row],[cutoff]]))</f>
        <v>45838</v>
      </c>
      <c r="B195" s="7">
        <f>DATE(YEAR(m7_crossvalid[[#This Row],[ds]]),MONTH(m7_crossvalid[[#This Row],[ds]]),DAY(m7_crossvalid[[#This Row],[ds]]))</f>
        <v>45846</v>
      </c>
      <c r="C195">
        <v>1543</v>
      </c>
      <c r="D195" s="1">
        <v>45846.333333333336</v>
      </c>
      <c r="E195">
        <v>2208.8336271516519</v>
      </c>
      <c r="F195">
        <v>704.72055554440908</v>
      </c>
      <c r="G195">
        <v>3647.092305319864</v>
      </c>
      <c r="H195" s="1">
        <v>45838.333333333336</v>
      </c>
    </row>
    <row r="196" spans="1:8" x14ac:dyDescent="0.25">
      <c r="A196" s="7">
        <f>DATE(YEAR(m7_crossvalid[[#This Row],[cutoff]]),MONTH(m7_crossvalid[[#This Row],[cutoff]]),DAY(m7_crossvalid[[#This Row],[cutoff]]))</f>
        <v>45838</v>
      </c>
      <c r="B196" s="7">
        <f>DATE(YEAR(m7_crossvalid[[#This Row],[ds]]),MONTH(m7_crossvalid[[#This Row],[ds]]),DAY(m7_crossvalid[[#This Row],[ds]]))</f>
        <v>45847</v>
      </c>
      <c r="C196">
        <v>2120</v>
      </c>
      <c r="D196" s="1">
        <v>45847.333333333336</v>
      </c>
      <c r="E196">
        <v>2188.2372474004555</v>
      </c>
      <c r="F196">
        <v>835.18256591443969</v>
      </c>
      <c r="G196">
        <v>3697.0814647396451</v>
      </c>
      <c r="H196" s="1">
        <v>45838.333333333336</v>
      </c>
    </row>
    <row r="197" spans="1:8" x14ac:dyDescent="0.25">
      <c r="A197" s="7">
        <f>DATE(YEAR(m7_crossvalid[[#This Row],[cutoff]]),MONTH(m7_crossvalid[[#This Row],[cutoff]]),DAY(m7_crossvalid[[#This Row],[cutoff]]))</f>
        <v>45838</v>
      </c>
      <c r="B197" s="7">
        <f>DATE(YEAR(m7_crossvalid[[#This Row],[ds]]),MONTH(m7_crossvalid[[#This Row],[ds]]),DAY(m7_crossvalid[[#This Row],[ds]]))</f>
        <v>45848</v>
      </c>
      <c r="C197">
        <v>2298</v>
      </c>
      <c r="D197" s="1">
        <v>45848.333333333336</v>
      </c>
      <c r="E197">
        <v>2043.5999766630202</v>
      </c>
      <c r="F197">
        <v>665.38952238034722</v>
      </c>
      <c r="G197">
        <v>3587.7196019719618</v>
      </c>
      <c r="H197" s="1">
        <v>45838.333333333336</v>
      </c>
    </row>
    <row r="198" spans="1:8" x14ac:dyDescent="0.25">
      <c r="A198" s="7">
        <f>DATE(YEAR(m7_crossvalid[[#This Row],[cutoff]]),MONTH(m7_crossvalid[[#This Row],[cutoff]]),DAY(m7_crossvalid[[#This Row],[cutoff]]))</f>
        <v>45838</v>
      </c>
      <c r="B198" s="7">
        <f>DATE(YEAR(m7_crossvalid[[#This Row],[ds]]),MONTH(m7_crossvalid[[#This Row],[ds]]),DAY(m7_crossvalid[[#This Row],[ds]]))</f>
        <v>45849</v>
      </c>
      <c r="C198">
        <v>2183</v>
      </c>
      <c r="D198" s="1">
        <v>45849.333333333336</v>
      </c>
      <c r="E198">
        <v>1938.5297352775033</v>
      </c>
      <c r="F198">
        <v>548.95190960789489</v>
      </c>
      <c r="G198">
        <v>3381.0277333894592</v>
      </c>
      <c r="H198" s="1">
        <v>45838.333333333336</v>
      </c>
    </row>
    <row r="199" spans="1:8" x14ac:dyDescent="0.25">
      <c r="A199" s="7">
        <f>DATE(YEAR(m7_crossvalid[[#This Row],[cutoff]]),MONTH(m7_crossvalid[[#This Row],[cutoff]]),DAY(m7_crossvalid[[#This Row],[cutoff]]))</f>
        <v>45838</v>
      </c>
      <c r="B199" s="7">
        <f>DATE(YEAR(m7_crossvalid[[#This Row],[ds]]),MONTH(m7_crossvalid[[#This Row],[ds]]),DAY(m7_crossvalid[[#This Row],[ds]]))</f>
        <v>45850</v>
      </c>
      <c r="C199">
        <v>462</v>
      </c>
      <c r="D199" s="1">
        <v>45850.333333333336</v>
      </c>
      <c r="E199">
        <v>-193.8227672542298</v>
      </c>
      <c r="F199">
        <v>-1681.831719979514</v>
      </c>
      <c r="G199">
        <v>1171.2061909490139</v>
      </c>
      <c r="H199" s="1">
        <v>45838.333333333336</v>
      </c>
    </row>
    <row r="200" spans="1:8" x14ac:dyDescent="0.25">
      <c r="A200" s="7">
        <f>DATE(YEAR(m7_crossvalid[[#This Row],[cutoff]]),MONTH(m7_crossvalid[[#This Row],[cutoff]]),DAY(m7_crossvalid[[#This Row],[cutoff]]))</f>
        <v>45838</v>
      </c>
      <c r="B200" s="7">
        <f>DATE(YEAR(m7_crossvalid[[#This Row],[ds]]),MONTH(m7_crossvalid[[#This Row],[ds]]),DAY(m7_crossvalid[[#This Row],[ds]]))</f>
        <v>45851</v>
      </c>
      <c r="C200">
        <v>114</v>
      </c>
      <c r="D200" s="1">
        <v>45851.333333333336</v>
      </c>
      <c r="E200">
        <v>-514.10703686495071</v>
      </c>
      <c r="F200">
        <v>-1908.5590771130264</v>
      </c>
      <c r="G200">
        <v>1043.9937268362296</v>
      </c>
      <c r="H200" s="1">
        <v>45838.333333333336</v>
      </c>
    </row>
    <row r="201" spans="1:8" x14ac:dyDescent="0.25">
      <c r="A201" s="7">
        <f>DATE(YEAR(m7_crossvalid[[#This Row],[cutoff]]),MONTH(m7_crossvalid[[#This Row],[cutoff]]),DAY(m7_crossvalid[[#This Row],[cutoff]]))</f>
        <v>45838</v>
      </c>
      <c r="B201" s="7">
        <f>DATE(YEAR(m7_crossvalid[[#This Row],[ds]]),MONTH(m7_crossvalid[[#This Row],[ds]]),DAY(m7_crossvalid[[#This Row],[ds]]))</f>
        <v>45852</v>
      </c>
      <c r="C201">
        <v>2356</v>
      </c>
      <c r="D201" s="1">
        <v>45852.333333333336</v>
      </c>
      <c r="E201">
        <v>2077.5226841195076</v>
      </c>
      <c r="F201">
        <v>673.69061325775931</v>
      </c>
      <c r="G201">
        <v>3616.7119790489</v>
      </c>
      <c r="H201" s="1">
        <v>45838.333333333336</v>
      </c>
    </row>
    <row r="202" spans="1:8" x14ac:dyDescent="0.25">
      <c r="A202" s="7">
        <f>DATE(YEAR(m7_crossvalid[[#This Row],[cutoff]]),MONTH(m7_crossvalid[[#This Row],[cutoff]]),DAY(m7_crossvalid[[#This Row],[cutoff]]))</f>
        <v>45838</v>
      </c>
      <c r="B202" s="7">
        <f>DATE(YEAR(m7_crossvalid[[#This Row],[ds]]),MONTH(m7_crossvalid[[#This Row],[ds]]),DAY(m7_crossvalid[[#This Row],[ds]]))</f>
        <v>45853</v>
      </c>
      <c r="C202">
        <v>2694</v>
      </c>
      <c r="D202" s="1">
        <v>45853.333333333336</v>
      </c>
      <c r="E202">
        <v>2378.9771025350869</v>
      </c>
      <c r="F202">
        <v>845.50097609358079</v>
      </c>
      <c r="G202">
        <v>3727.708526558014</v>
      </c>
      <c r="H202" s="1">
        <v>45838.333333333336</v>
      </c>
    </row>
    <row r="203" spans="1:8" x14ac:dyDescent="0.25">
      <c r="A203" s="7">
        <f>DATE(YEAR(m7_crossvalid[[#This Row],[cutoff]]),MONTH(m7_crossvalid[[#This Row],[cutoff]]),DAY(m7_crossvalid[[#This Row],[cutoff]]))</f>
        <v>45838</v>
      </c>
      <c r="B203" s="7">
        <f>DATE(YEAR(m7_crossvalid[[#This Row],[ds]]),MONTH(m7_crossvalid[[#This Row],[ds]]),DAY(m7_crossvalid[[#This Row],[ds]]))</f>
        <v>45854</v>
      </c>
      <c r="C203">
        <v>2796</v>
      </c>
      <c r="D203" s="1">
        <v>45854.333333333336</v>
      </c>
      <c r="E203">
        <v>2550.923302983847</v>
      </c>
      <c r="F203">
        <v>1042.8309531579519</v>
      </c>
      <c r="G203">
        <v>3894.3861058943799</v>
      </c>
      <c r="H203" s="1">
        <v>45838.333333333336</v>
      </c>
    </row>
    <row r="204" spans="1:8" x14ac:dyDescent="0.25">
      <c r="A204" s="7">
        <f>DATE(YEAR(m7_crossvalid[[#This Row],[cutoff]]),MONTH(m7_crossvalid[[#This Row],[cutoff]]),DAY(m7_crossvalid[[#This Row],[cutoff]]))</f>
        <v>45838</v>
      </c>
      <c r="B204" s="7">
        <f>DATE(YEAR(m7_crossvalid[[#This Row],[ds]]),MONTH(m7_crossvalid[[#This Row],[ds]]),DAY(m7_crossvalid[[#This Row],[ds]]))</f>
        <v>45855</v>
      </c>
      <c r="C204">
        <v>2972</v>
      </c>
      <c r="D204" s="1">
        <v>45855.333333333336</v>
      </c>
      <c r="E204">
        <v>2715.965706161961</v>
      </c>
      <c r="F204">
        <v>1334.2985056815667</v>
      </c>
      <c r="G204">
        <v>4203.6199555467829</v>
      </c>
      <c r="H204" s="1">
        <v>45838.333333333336</v>
      </c>
    </row>
    <row r="205" spans="1:8" x14ac:dyDescent="0.25">
      <c r="A205" s="7">
        <f>DATE(YEAR(m7_crossvalid[[#This Row],[cutoff]]),MONTH(m7_crossvalid[[#This Row],[cutoff]]),DAY(m7_crossvalid[[#This Row],[cutoff]]))</f>
        <v>45838</v>
      </c>
      <c r="B205" s="7">
        <f>DATE(YEAR(m7_crossvalid[[#This Row],[ds]]),MONTH(m7_crossvalid[[#This Row],[ds]]),DAY(m7_crossvalid[[#This Row],[ds]]))</f>
        <v>45856</v>
      </c>
      <c r="C205">
        <v>2891</v>
      </c>
      <c r="D205" s="1">
        <v>45856.333333333336</v>
      </c>
      <c r="E205">
        <v>2816.2425589194218</v>
      </c>
      <c r="F205">
        <v>1380.2441456547215</v>
      </c>
      <c r="G205">
        <v>4286.7038527238592</v>
      </c>
      <c r="H205" s="1">
        <v>45838.333333333336</v>
      </c>
    </row>
    <row r="206" spans="1:8" x14ac:dyDescent="0.25">
      <c r="A206" s="7">
        <f>DATE(YEAR(m7_crossvalid[[#This Row],[cutoff]]),MONTH(m7_crossvalid[[#This Row],[cutoff]]),DAY(m7_crossvalid[[#This Row],[cutoff]]))</f>
        <v>45838</v>
      </c>
      <c r="B206" s="7">
        <f>DATE(YEAR(m7_crossvalid[[#This Row],[ds]]),MONTH(m7_crossvalid[[#This Row],[ds]]),DAY(m7_crossvalid[[#This Row],[ds]]))</f>
        <v>45857</v>
      </c>
      <c r="C206">
        <v>521</v>
      </c>
      <c r="D206" s="1">
        <v>45857.333333333336</v>
      </c>
      <c r="E206">
        <v>607.64834858855966</v>
      </c>
      <c r="F206">
        <v>-874.65160351255281</v>
      </c>
      <c r="G206">
        <v>2113.4440938537814</v>
      </c>
      <c r="H206" s="1">
        <v>45838.333333333336</v>
      </c>
    </row>
    <row r="207" spans="1:8" x14ac:dyDescent="0.25">
      <c r="A207" s="7">
        <f>DATE(YEAR(m7_crossvalid[[#This Row],[cutoff]]),MONTH(m7_crossvalid[[#This Row],[cutoff]]),DAY(m7_crossvalid[[#This Row],[cutoff]]))</f>
        <v>45838</v>
      </c>
      <c r="B207" s="7">
        <f>DATE(YEAR(m7_crossvalid[[#This Row],[ds]]),MONTH(m7_crossvalid[[#This Row],[ds]]),DAY(m7_crossvalid[[#This Row],[ds]]))</f>
        <v>45858</v>
      </c>
      <c r="C207">
        <v>189</v>
      </c>
      <c r="D207" s="1">
        <v>45858.333333333336</v>
      </c>
      <c r="E207">
        <v>143.42664737658743</v>
      </c>
      <c r="F207">
        <v>-1245.3706216230091</v>
      </c>
      <c r="G207">
        <v>1741.8412508800718</v>
      </c>
      <c r="H207" s="1">
        <v>45838.333333333336</v>
      </c>
    </row>
    <row r="208" spans="1:8" x14ac:dyDescent="0.25">
      <c r="A208" s="7">
        <f>DATE(YEAR(m7_crossvalid[[#This Row],[cutoff]]),MONTH(m7_crossvalid[[#This Row],[cutoff]]),DAY(m7_crossvalid[[#This Row],[cutoff]]))</f>
        <v>45838</v>
      </c>
      <c r="B208" s="7">
        <f>DATE(YEAR(m7_crossvalid[[#This Row],[ds]]),MONTH(m7_crossvalid[[#This Row],[ds]]),DAY(m7_crossvalid[[#This Row],[ds]]))</f>
        <v>45859</v>
      </c>
      <c r="C208">
        <v>2798</v>
      </c>
      <c r="D208" s="1">
        <v>45859.333333333336</v>
      </c>
      <c r="E208">
        <v>2761.5656370454881</v>
      </c>
      <c r="F208">
        <v>1357.6147975821573</v>
      </c>
      <c r="G208">
        <v>4162.3946036925527</v>
      </c>
      <c r="H208" s="1">
        <v>45838.333333333336</v>
      </c>
    </row>
    <row r="209" spans="1:8" x14ac:dyDescent="0.25">
      <c r="A209" s="7">
        <f>DATE(YEAR(m7_crossvalid[[#This Row],[cutoff]]),MONTH(m7_crossvalid[[#This Row],[cutoff]]),DAY(m7_crossvalid[[#This Row],[cutoff]]))</f>
        <v>45838</v>
      </c>
      <c r="B209" s="7">
        <f>DATE(YEAR(m7_crossvalid[[#This Row],[ds]]),MONTH(m7_crossvalid[[#This Row],[ds]]),DAY(m7_crossvalid[[#This Row],[ds]]))</f>
        <v>45860</v>
      </c>
      <c r="C209">
        <v>2894</v>
      </c>
      <c r="D209" s="1">
        <v>45860.333333333336</v>
      </c>
      <c r="E209">
        <v>3108.0215034573971</v>
      </c>
      <c r="F209">
        <v>1783.8855761562452</v>
      </c>
      <c r="G209">
        <v>4567.0769742111661</v>
      </c>
      <c r="H209" s="1">
        <v>45838.333333333336</v>
      </c>
    </row>
    <row r="210" spans="1:8" x14ac:dyDescent="0.25">
      <c r="A210" s="7">
        <f>DATE(YEAR(m7_crossvalid[[#This Row],[cutoff]]),MONTH(m7_crossvalid[[#This Row],[cutoff]]),DAY(m7_crossvalid[[#This Row],[cutoff]]))</f>
        <v>45838</v>
      </c>
      <c r="B210" s="7">
        <f>DATE(YEAR(m7_crossvalid[[#This Row],[ds]]),MONTH(m7_crossvalid[[#This Row],[ds]]),DAY(m7_crossvalid[[#This Row],[ds]]))</f>
        <v>45861</v>
      </c>
      <c r="C210">
        <v>3299</v>
      </c>
      <c r="D210" s="1">
        <v>45861.333333333336</v>
      </c>
      <c r="E210">
        <v>3277.2790911448424</v>
      </c>
      <c r="F210">
        <v>1891.1075376292631</v>
      </c>
      <c r="G210">
        <v>4720.7617556082587</v>
      </c>
      <c r="H210" s="1">
        <v>45838.333333333336</v>
      </c>
    </row>
    <row r="211" spans="1:8" x14ac:dyDescent="0.25">
      <c r="A211" s="7">
        <f>DATE(YEAR(m7_crossvalid[[#This Row],[cutoff]]),MONTH(m7_crossvalid[[#This Row],[cutoff]]),DAY(m7_crossvalid[[#This Row],[cutoff]]))</f>
        <v>45838</v>
      </c>
      <c r="B211" s="7">
        <f>DATE(YEAR(m7_crossvalid[[#This Row],[ds]]),MONTH(m7_crossvalid[[#This Row],[ds]]),DAY(m7_crossvalid[[#This Row],[ds]]))</f>
        <v>45862</v>
      </c>
      <c r="C211">
        <v>3785</v>
      </c>
      <c r="D211" s="1">
        <v>45862.333333333336</v>
      </c>
      <c r="E211">
        <v>3494.3888744205478</v>
      </c>
      <c r="F211">
        <v>2022.4350072432746</v>
      </c>
      <c r="G211">
        <v>5004.7639703659224</v>
      </c>
      <c r="H211" s="1">
        <v>45838.333333333336</v>
      </c>
    </row>
    <row r="212" spans="1:8" x14ac:dyDescent="0.25">
      <c r="A212" s="7">
        <f>DATE(YEAR(m7_crossvalid[[#This Row],[cutoff]]),MONTH(m7_crossvalid[[#This Row],[cutoff]]),DAY(m7_crossvalid[[#This Row],[cutoff]]))</f>
        <v>45838</v>
      </c>
      <c r="B212" s="7">
        <f>DATE(YEAR(m7_crossvalid[[#This Row],[ds]]),MONTH(m7_crossvalid[[#This Row],[ds]]),DAY(m7_crossvalid[[#This Row],[ds]]))</f>
        <v>45863</v>
      </c>
      <c r="C212">
        <v>3663</v>
      </c>
      <c r="D212" s="1">
        <v>45863.333333333336</v>
      </c>
      <c r="E212">
        <v>3653.549030143251</v>
      </c>
      <c r="F212">
        <v>2180.916753267089</v>
      </c>
      <c r="G212">
        <v>5229.7485857275678</v>
      </c>
      <c r="H212" s="1">
        <v>45838.333333333336</v>
      </c>
    </row>
    <row r="213" spans="1:8" x14ac:dyDescent="0.25">
      <c r="A213" s="7">
        <f>DATE(YEAR(m7_crossvalid[[#This Row],[cutoff]]),MONTH(m7_crossvalid[[#This Row],[cutoff]]),DAY(m7_crossvalid[[#This Row],[cutoff]]))</f>
        <v>45838</v>
      </c>
      <c r="B213" s="7">
        <f>DATE(YEAR(m7_crossvalid[[#This Row],[ds]]),MONTH(m7_crossvalid[[#This Row],[ds]]),DAY(m7_crossvalid[[#This Row],[ds]]))</f>
        <v>45864</v>
      </c>
      <c r="C213">
        <v>901</v>
      </c>
      <c r="D213" s="1">
        <v>45864.333333333336</v>
      </c>
      <c r="E213">
        <v>1494.2149520897651</v>
      </c>
      <c r="F213">
        <v>142.68951249065407</v>
      </c>
      <c r="G213">
        <v>2923.4668907538221</v>
      </c>
      <c r="H213" s="1">
        <v>45838.333333333336</v>
      </c>
    </row>
    <row r="214" spans="1:8" x14ac:dyDescent="0.25">
      <c r="A214" s="7">
        <f>DATE(YEAR(m7_crossvalid[[#This Row],[cutoff]]),MONTH(m7_crossvalid[[#This Row],[cutoff]]),DAY(m7_crossvalid[[#This Row],[cutoff]]))</f>
        <v>45838</v>
      </c>
      <c r="B214" s="7">
        <f>DATE(YEAR(m7_crossvalid[[#This Row],[ds]]),MONTH(m7_crossvalid[[#This Row],[ds]]),DAY(m7_crossvalid[[#This Row],[ds]]))</f>
        <v>45865</v>
      </c>
      <c r="C214">
        <v>262</v>
      </c>
      <c r="D214" s="1">
        <v>45865.333333333336</v>
      </c>
      <c r="E214">
        <v>2396.1219560891464</v>
      </c>
      <c r="F214">
        <v>888.97541000553508</v>
      </c>
      <c r="G214">
        <v>3908.3386894505206</v>
      </c>
      <c r="H214" s="1">
        <v>45838.333333333336</v>
      </c>
    </row>
    <row r="215" spans="1:8" x14ac:dyDescent="0.25">
      <c r="A215" s="7">
        <f>DATE(YEAR(m7_crossvalid[[#This Row],[cutoff]]),MONTH(m7_crossvalid[[#This Row],[cutoff]]),DAY(m7_crossvalid[[#This Row],[cutoff]]))</f>
        <v>45838</v>
      </c>
      <c r="B215" s="7">
        <f>DATE(YEAR(m7_crossvalid[[#This Row],[ds]]),MONTH(m7_crossvalid[[#This Row],[ds]]),DAY(m7_crossvalid[[#This Row],[ds]]))</f>
        <v>45866</v>
      </c>
      <c r="C215">
        <v>4324</v>
      </c>
      <c r="D215" s="1">
        <v>45866.333333333336</v>
      </c>
      <c r="E215">
        <v>4764.573923506905</v>
      </c>
      <c r="F215">
        <v>3257.4635462757551</v>
      </c>
      <c r="G215">
        <v>6208.4713968435353</v>
      </c>
      <c r="H215" s="1">
        <v>45838.333333333336</v>
      </c>
    </row>
    <row r="216" spans="1:8" x14ac:dyDescent="0.25">
      <c r="A216" s="7">
        <f>DATE(YEAR(m7_crossvalid[[#This Row],[cutoff]]),MONTH(m7_crossvalid[[#This Row],[cutoff]]),DAY(m7_crossvalid[[#This Row],[cutoff]]))</f>
        <v>45838</v>
      </c>
      <c r="B216" s="7">
        <f>DATE(YEAR(m7_crossvalid[[#This Row],[ds]]),MONTH(m7_crossvalid[[#This Row],[ds]]),DAY(m7_crossvalid[[#This Row],[ds]]))</f>
        <v>45867</v>
      </c>
      <c r="C216">
        <v>5336</v>
      </c>
      <c r="D216" s="1">
        <v>45867.333333333336</v>
      </c>
      <c r="E216">
        <v>5051.6428876021237</v>
      </c>
      <c r="F216">
        <v>3661.1782128148066</v>
      </c>
      <c r="G216">
        <v>6474.7737826624707</v>
      </c>
      <c r="H216" s="1">
        <v>45838.333333333336</v>
      </c>
    </row>
    <row r="217" spans="1:8" x14ac:dyDescent="0.25">
      <c r="A217" s="7">
        <f>DATE(YEAR(m7_crossvalid[[#This Row],[cutoff]]),MONTH(m7_crossvalid[[#This Row],[cutoff]]),DAY(m7_crossvalid[[#This Row],[cutoff]]))</f>
        <v>45838</v>
      </c>
      <c r="B217" s="7">
        <f>DATE(YEAR(m7_crossvalid[[#This Row],[ds]]),MONTH(m7_crossvalid[[#This Row],[ds]]),DAY(m7_crossvalid[[#This Row],[ds]]))</f>
        <v>45868</v>
      </c>
      <c r="C217">
        <v>8373</v>
      </c>
      <c r="D217" s="1">
        <v>45868.333333333336</v>
      </c>
      <c r="E217">
        <v>7532.6873616534849</v>
      </c>
      <c r="F217">
        <v>6090.2171157543871</v>
      </c>
      <c r="G217">
        <v>9061.5621675072834</v>
      </c>
      <c r="H217" s="1">
        <v>45838.333333333336</v>
      </c>
    </row>
    <row r="218" spans="1:8" x14ac:dyDescent="0.25">
      <c r="A218" s="7">
        <f>DATE(YEAR(m7_crossvalid[[#This Row],[cutoff]]),MONTH(m7_crossvalid[[#This Row],[cutoff]]),DAY(m7_crossvalid[[#This Row],[cutoff]]))</f>
        <v>45838</v>
      </c>
      <c r="B218" s="7">
        <f>DATE(YEAR(m7_crossvalid[[#This Row],[ds]]),MONTH(m7_crossvalid[[#This Row],[ds]]),DAY(m7_crossvalid[[#This Row],[ds]]))</f>
        <v>45869</v>
      </c>
      <c r="C218">
        <v>11889</v>
      </c>
      <c r="D218" s="1">
        <v>45869.333333333336</v>
      </c>
      <c r="E218">
        <v>10090.130077959588</v>
      </c>
      <c r="F218">
        <v>8640.6873700520009</v>
      </c>
      <c r="G218">
        <v>11561.299963922105</v>
      </c>
      <c r="H218" s="1">
        <v>45838.333333333336</v>
      </c>
    </row>
    <row r="219" spans="1:8" x14ac:dyDescent="0.25">
      <c r="A219" s="7">
        <f>DATE(YEAR(m7_crossvalid[[#This Row],[cutoff]]),MONTH(m7_crossvalid[[#This Row],[cutoff]]),DAY(m7_crossvalid[[#This Row],[cutoff]]))</f>
        <v>45869</v>
      </c>
      <c r="B219" s="7">
        <f>DATE(YEAR(m7_crossvalid[[#This Row],[ds]]),MONTH(m7_crossvalid[[#This Row],[ds]]),DAY(m7_crossvalid[[#This Row],[ds]]))</f>
        <v>45870</v>
      </c>
      <c r="C219">
        <v>761</v>
      </c>
      <c r="D219" s="1">
        <v>45870.333333333336</v>
      </c>
      <c r="E219">
        <v>2624.3694598594452</v>
      </c>
      <c r="F219">
        <v>1025.7029227219411</v>
      </c>
      <c r="G219">
        <v>4017.2457022576277</v>
      </c>
      <c r="H219" s="1">
        <v>45869.333333333336</v>
      </c>
    </row>
    <row r="220" spans="1:8" x14ac:dyDescent="0.25">
      <c r="A220" s="7">
        <f>DATE(YEAR(m7_crossvalid[[#This Row],[cutoff]]),MONTH(m7_crossvalid[[#This Row],[cutoff]]),DAY(m7_crossvalid[[#This Row],[cutoff]]))</f>
        <v>45869</v>
      </c>
      <c r="B220" s="7">
        <f>DATE(YEAR(m7_crossvalid[[#This Row],[ds]]),MONTH(m7_crossvalid[[#This Row],[ds]]),DAY(m7_crossvalid[[#This Row],[ds]]))</f>
        <v>45871</v>
      </c>
      <c r="C220">
        <v>74</v>
      </c>
      <c r="D220" s="1">
        <v>45871.333333333336</v>
      </c>
      <c r="E220">
        <v>-649.80522977299779</v>
      </c>
      <c r="F220">
        <v>-2112.9296591626189</v>
      </c>
      <c r="G220">
        <v>824.86851842526676</v>
      </c>
      <c r="H220" s="1">
        <v>45869.333333333336</v>
      </c>
    </row>
    <row r="221" spans="1:8" x14ac:dyDescent="0.25">
      <c r="A221" s="7">
        <f>DATE(YEAR(m7_crossvalid[[#This Row],[cutoff]]),MONTH(m7_crossvalid[[#This Row],[cutoff]]),DAY(m7_crossvalid[[#This Row],[cutoff]]))</f>
        <v>45869</v>
      </c>
      <c r="B221" s="7">
        <f>DATE(YEAR(m7_crossvalid[[#This Row],[ds]]),MONTH(m7_crossvalid[[#This Row],[ds]]),DAY(m7_crossvalid[[#This Row],[ds]]))</f>
        <v>45872</v>
      </c>
      <c r="C221">
        <v>28</v>
      </c>
      <c r="D221" s="1">
        <v>45872.333333333336</v>
      </c>
      <c r="E221">
        <v>-1233.5637478327531</v>
      </c>
      <c r="F221">
        <v>-2715.5459918182441</v>
      </c>
      <c r="G221">
        <v>164.72365050958166</v>
      </c>
      <c r="H221" s="1">
        <v>45869.333333333336</v>
      </c>
    </row>
    <row r="222" spans="1:8" x14ac:dyDescent="0.25">
      <c r="A222" s="7">
        <f>DATE(YEAR(m7_crossvalid[[#This Row],[cutoff]]),MONTH(m7_crossvalid[[#This Row],[cutoff]]),DAY(m7_crossvalid[[#This Row],[cutoff]]))</f>
        <v>45869</v>
      </c>
      <c r="B222" s="7">
        <f>DATE(YEAR(m7_crossvalid[[#This Row],[ds]]),MONTH(m7_crossvalid[[#This Row],[ds]]),DAY(m7_crossvalid[[#This Row],[ds]]))</f>
        <v>45873</v>
      </c>
      <c r="C222">
        <v>912</v>
      </c>
      <c r="D222" s="1">
        <v>45873.333333333336</v>
      </c>
      <c r="E222">
        <v>1323.5446545205218</v>
      </c>
      <c r="F222">
        <v>-99.494108179217093</v>
      </c>
      <c r="G222">
        <v>2782.7095237400399</v>
      </c>
      <c r="H222" s="1">
        <v>45869.333333333336</v>
      </c>
    </row>
    <row r="223" spans="1:8" x14ac:dyDescent="0.25">
      <c r="A223" s="7">
        <f>DATE(YEAR(m7_crossvalid[[#This Row],[cutoff]]),MONTH(m7_crossvalid[[#This Row],[cutoff]]),DAY(m7_crossvalid[[#This Row],[cutoff]]))</f>
        <v>45869</v>
      </c>
      <c r="B223" s="7">
        <f>DATE(YEAR(m7_crossvalid[[#This Row],[ds]]),MONTH(m7_crossvalid[[#This Row],[ds]]),DAY(m7_crossvalid[[#This Row],[ds]]))</f>
        <v>45874</v>
      </c>
      <c r="C223">
        <v>2022</v>
      </c>
      <c r="D223" s="1">
        <v>45874.333333333336</v>
      </c>
      <c r="E223">
        <v>1586.6331939321929</v>
      </c>
      <c r="F223">
        <v>382.0773536195814</v>
      </c>
      <c r="G223">
        <v>3059.5398942579614</v>
      </c>
      <c r="H223" s="1">
        <v>45869.333333333336</v>
      </c>
    </row>
    <row r="224" spans="1:8" x14ac:dyDescent="0.25">
      <c r="A224" s="7">
        <f>DATE(YEAR(m7_crossvalid[[#This Row],[cutoff]]),MONTH(m7_crossvalid[[#This Row],[cutoff]]),DAY(m7_crossvalid[[#This Row],[cutoff]]))</f>
        <v>45869</v>
      </c>
      <c r="B224" s="7">
        <f>DATE(YEAR(m7_crossvalid[[#This Row],[ds]]),MONTH(m7_crossvalid[[#This Row],[ds]]),DAY(m7_crossvalid[[#This Row],[ds]]))</f>
        <v>45875</v>
      </c>
      <c r="C224">
        <v>1344</v>
      </c>
      <c r="D224" s="1">
        <v>45875.333333333336</v>
      </c>
      <c r="E224">
        <v>1749.8366006594213</v>
      </c>
      <c r="F224">
        <v>285.31310831323765</v>
      </c>
      <c r="G224">
        <v>3203.1825288767377</v>
      </c>
      <c r="H224" s="1">
        <v>45869.333333333336</v>
      </c>
    </row>
    <row r="225" spans="1:8" x14ac:dyDescent="0.25">
      <c r="A225" s="7">
        <f>DATE(YEAR(m7_crossvalid[[#This Row],[cutoff]]),MONTH(m7_crossvalid[[#This Row],[cutoff]]),DAY(m7_crossvalid[[#This Row],[cutoff]]))</f>
        <v>45869</v>
      </c>
      <c r="B225" s="7">
        <f>DATE(YEAR(m7_crossvalid[[#This Row],[ds]]),MONTH(m7_crossvalid[[#This Row],[ds]]),DAY(m7_crossvalid[[#This Row],[ds]]))</f>
        <v>45876</v>
      </c>
      <c r="C225">
        <v>1585</v>
      </c>
      <c r="D225" s="1">
        <v>45876.333333333336</v>
      </c>
      <c r="E225">
        <v>1792.1398806861869</v>
      </c>
      <c r="F225">
        <v>366.88631666391251</v>
      </c>
      <c r="G225">
        <v>3198.4944203522164</v>
      </c>
      <c r="H225" s="1">
        <v>45869.333333333336</v>
      </c>
    </row>
    <row r="226" spans="1:8" x14ac:dyDescent="0.25">
      <c r="A226" s="7">
        <f>DATE(YEAR(m7_crossvalid[[#This Row],[cutoff]]),MONTH(m7_crossvalid[[#This Row],[cutoff]]),DAY(m7_crossvalid[[#This Row],[cutoff]]))</f>
        <v>45869</v>
      </c>
      <c r="B226" s="7">
        <f>DATE(YEAR(m7_crossvalid[[#This Row],[ds]]),MONTH(m7_crossvalid[[#This Row],[ds]]),DAY(m7_crossvalid[[#This Row],[ds]]))</f>
        <v>45877</v>
      </c>
      <c r="C226">
        <v>2032</v>
      </c>
      <c r="D226" s="1">
        <v>45877.333333333336</v>
      </c>
      <c r="E226">
        <v>2313.7475452071312</v>
      </c>
      <c r="F226">
        <v>779.88202702648323</v>
      </c>
      <c r="G226">
        <v>3864.0579869268818</v>
      </c>
      <c r="H226" s="1">
        <v>45869.333333333336</v>
      </c>
    </row>
    <row r="227" spans="1:8" x14ac:dyDescent="0.25">
      <c r="A227" s="7">
        <f>DATE(YEAR(m7_crossvalid[[#This Row],[cutoff]]),MONTH(m7_crossvalid[[#This Row],[cutoff]]),DAY(m7_crossvalid[[#This Row],[cutoff]]))</f>
        <v>45869</v>
      </c>
      <c r="B227" s="7">
        <f>DATE(YEAR(m7_crossvalid[[#This Row],[ds]]),MONTH(m7_crossvalid[[#This Row],[ds]]),DAY(m7_crossvalid[[#This Row],[ds]]))</f>
        <v>45878</v>
      </c>
      <c r="C227">
        <v>327</v>
      </c>
      <c r="D227" s="1">
        <v>45878.333333333336</v>
      </c>
      <c r="E227">
        <v>-48.629789156300376</v>
      </c>
      <c r="F227">
        <v>-1534.7658510695214</v>
      </c>
      <c r="G227">
        <v>1393.1831131641218</v>
      </c>
      <c r="H227" s="1">
        <v>45869.333333333336</v>
      </c>
    </row>
    <row r="228" spans="1:8" x14ac:dyDescent="0.25">
      <c r="A228" s="7">
        <f>DATE(YEAR(m7_crossvalid[[#This Row],[cutoff]]),MONTH(m7_crossvalid[[#This Row],[cutoff]]),DAY(m7_crossvalid[[#This Row],[cutoff]]))</f>
        <v>45869</v>
      </c>
      <c r="B228" s="7">
        <f>DATE(YEAR(m7_crossvalid[[#This Row],[ds]]),MONTH(m7_crossvalid[[#This Row],[ds]]),DAY(m7_crossvalid[[#This Row],[ds]]))</f>
        <v>45879</v>
      </c>
      <c r="C228">
        <v>78</v>
      </c>
      <c r="D228" s="1">
        <v>45879.333333333336</v>
      </c>
      <c r="E228">
        <v>-688.17536731550308</v>
      </c>
      <c r="F228">
        <v>-2033.2180192843305</v>
      </c>
      <c r="G228">
        <v>806.87618659569944</v>
      </c>
      <c r="H228" s="1">
        <v>45869.333333333336</v>
      </c>
    </row>
    <row r="229" spans="1:8" x14ac:dyDescent="0.25">
      <c r="A229" s="7">
        <f>DATE(YEAR(m7_crossvalid[[#This Row],[cutoff]]),MONTH(m7_crossvalid[[#This Row],[cutoff]]),DAY(m7_crossvalid[[#This Row],[cutoff]]))</f>
        <v>45869</v>
      </c>
      <c r="B229" s="7">
        <f>DATE(YEAR(m7_crossvalid[[#This Row],[ds]]),MONTH(m7_crossvalid[[#This Row],[ds]]),DAY(m7_crossvalid[[#This Row],[ds]]))</f>
        <v>45880</v>
      </c>
      <c r="C229">
        <v>2043</v>
      </c>
      <c r="D229" s="1">
        <v>45880.333333333336</v>
      </c>
      <c r="E229">
        <v>1844.1041598633333</v>
      </c>
      <c r="F229">
        <v>361.41690694768704</v>
      </c>
      <c r="G229">
        <v>3295.8549019289508</v>
      </c>
      <c r="H229" s="1">
        <v>45869.333333333336</v>
      </c>
    </row>
    <row r="230" spans="1:8" x14ac:dyDescent="0.25">
      <c r="A230" s="7">
        <f>DATE(YEAR(m7_crossvalid[[#This Row],[cutoff]]),MONTH(m7_crossvalid[[#This Row],[cutoff]]),DAY(m7_crossvalid[[#This Row],[cutoff]]))</f>
        <v>45869</v>
      </c>
      <c r="B230" s="7">
        <f>DATE(YEAR(m7_crossvalid[[#This Row],[ds]]),MONTH(m7_crossvalid[[#This Row],[ds]]),DAY(m7_crossvalid[[#This Row],[ds]]))</f>
        <v>45881</v>
      </c>
      <c r="C230">
        <v>2431</v>
      </c>
      <c r="D230" s="1">
        <v>45881.333333333336</v>
      </c>
      <c r="E230">
        <v>2322.1647712621443</v>
      </c>
      <c r="F230">
        <v>906.36360649579569</v>
      </c>
      <c r="G230">
        <v>3815.2102128704491</v>
      </c>
      <c r="H230" s="1">
        <v>45869.333333333336</v>
      </c>
    </row>
    <row r="231" spans="1:8" x14ac:dyDescent="0.25">
      <c r="A231" s="7">
        <f>DATE(YEAR(m7_crossvalid[[#This Row],[cutoff]]),MONTH(m7_crossvalid[[#This Row],[cutoff]]),DAY(m7_crossvalid[[#This Row],[cutoff]]))</f>
        <v>45869</v>
      </c>
      <c r="B231" s="7">
        <f>DATE(YEAR(m7_crossvalid[[#This Row],[ds]]),MONTH(m7_crossvalid[[#This Row],[ds]]),DAY(m7_crossvalid[[#This Row],[ds]]))</f>
        <v>45882</v>
      </c>
      <c r="C231">
        <v>2484</v>
      </c>
      <c r="D231" s="1">
        <v>45882.333333333336</v>
      </c>
      <c r="E231">
        <v>2566.4261401799854</v>
      </c>
      <c r="F231">
        <v>1236.0049608147426</v>
      </c>
      <c r="G231">
        <v>4057.5702299879149</v>
      </c>
      <c r="H231" s="1">
        <v>45869.333333333336</v>
      </c>
    </row>
    <row r="232" spans="1:8" x14ac:dyDescent="0.25">
      <c r="A232" s="7">
        <f>DATE(YEAR(m7_crossvalid[[#This Row],[cutoff]]),MONTH(m7_crossvalid[[#This Row],[cutoff]]),DAY(m7_crossvalid[[#This Row],[cutoff]]))</f>
        <v>45869</v>
      </c>
      <c r="B232" s="7">
        <f>DATE(YEAR(m7_crossvalid[[#This Row],[ds]]),MONTH(m7_crossvalid[[#This Row],[ds]]),DAY(m7_crossvalid[[#This Row],[ds]]))</f>
        <v>45883</v>
      </c>
      <c r="C232">
        <v>2669</v>
      </c>
      <c r="D232" s="1">
        <v>45883.333333333336</v>
      </c>
      <c r="E232">
        <v>2590.0824750613406</v>
      </c>
      <c r="F232">
        <v>1219.4306057681101</v>
      </c>
      <c r="G232">
        <v>4165.3629656589019</v>
      </c>
      <c r="H232" s="1">
        <v>45869.333333333336</v>
      </c>
    </row>
    <row r="233" spans="1:8" x14ac:dyDescent="0.25">
      <c r="A233" s="7">
        <f>DATE(YEAR(m7_crossvalid[[#This Row],[cutoff]]),MONTH(m7_crossvalid[[#This Row],[cutoff]]),DAY(m7_crossvalid[[#This Row],[cutoff]]))</f>
        <v>45869</v>
      </c>
      <c r="B233" s="7">
        <f>DATE(YEAR(m7_crossvalid[[#This Row],[ds]]),MONTH(m7_crossvalid[[#This Row],[ds]]),DAY(m7_crossvalid[[#This Row],[ds]]))</f>
        <v>45884</v>
      </c>
      <c r="C233">
        <v>3160</v>
      </c>
      <c r="D233" s="1">
        <v>45884.333333333336</v>
      </c>
      <c r="E233">
        <v>2572.9552196871232</v>
      </c>
      <c r="F233">
        <v>1201.1040585526409</v>
      </c>
      <c r="G233">
        <v>3992.8934422656121</v>
      </c>
      <c r="H233" s="1">
        <v>45869.333333333336</v>
      </c>
    </row>
    <row r="234" spans="1:8" x14ac:dyDescent="0.25">
      <c r="A234" s="7">
        <f>DATE(YEAR(m7_crossvalid[[#This Row],[cutoff]]),MONTH(m7_crossvalid[[#This Row],[cutoff]]),DAY(m7_crossvalid[[#This Row],[cutoff]]))</f>
        <v>45869</v>
      </c>
      <c r="B234" s="7">
        <f>DATE(YEAR(m7_crossvalid[[#This Row],[ds]]),MONTH(m7_crossvalid[[#This Row],[ds]]),DAY(m7_crossvalid[[#This Row],[ds]]))</f>
        <v>45885</v>
      </c>
      <c r="C234">
        <v>560</v>
      </c>
      <c r="D234" s="1">
        <v>45885.333333333336</v>
      </c>
      <c r="E234">
        <v>460.45207564509815</v>
      </c>
      <c r="F234">
        <v>-984.95767138052304</v>
      </c>
      <c r="G234">
        <v>1896.3540520777221</v>
      </c>
      <c r="H234" s="1">
        <v>45869.333333333336</v>
      </c>
    </row>
    <row r="235" spans="1:8" x14ac:dyDescent="0.25">
      <c r="A235" s="7">
        <f>DATE(YEAR(m7_crossvalid[[#This Row],[cutoff]]),MONTH(m7_crossvalid[[#This Row],[cutoff]]),DAY(m7_crossvalid[[#This Row],[cutoff]]))</f>
        <v>45869</v>
      </c>
      <c r="B235" s="7">
        <f>DATE(YEAR(m7_crossvalid[[#This Row],[ds]]),MONTH(m7_crossvalid[[#This Row],[ds]]),DAY(m7_crossvalid[[#This Row],[ds]]))</f>
        <v>45886</v>
      </c>
      <c r="C235">
        <v>166</v>
      </c>
      <c r="D235" s="1">
        <v>45886.333333333336</v>
      </c>
      <c r="E235">
        <v>116.70942791658695</v>
      </c>
      <c r="F235">
        <v>-1355.0913240111813</v>
      </c>
      <c r="G235">
        <v>1525.6384142946522</v>
      </c>
      <c r="H235" s="1">
        <v>45869.333333333336</v>
      </c>
    </row>
    <row r="236" spans="1:8" x14ac:dyDescent="0.25">
      <c r="A236" s="7">
        <f>DATE(YEAR(m7_crossvalid[[#This Row],[cutoff]]),MONTH(m7_crossvalid[[#This Row],[cutoff]]),DAY(m7_crossvalid[[#This Row],[cutoff]]))</f>
        <v>45869</v>
      </c>
      <c r="B236" s="7">
        <f>DATE(YEAR(m7_crossvalid[[#This Row],[ds]]),MONTH(m7_crossvalid[[#This Row],[ds]]),DAY(m7_crossvalid[[#This Row],[ds]]))</f>
        <v>45887</v>
      </c>
      <c r="C236">
        <v>3003</v>
      </c>
      <c r="D236" s="1">
        <v>45887.333333333336</v>
      </c>
      <c r="E236">
        <v>2717.8677550189773</v>
      </c>
      <c r="F236">
        <v>1356.0916450176799</v>
      </c>
      <c r="G236">
        <v>4091.4061002042799</v>
      </c>
      <c r="H236" s="1">
        <v>45869.333333333336</v>
      </c>
    </row>
    <row r="237" spans="1:8" x14ac:dyDescent="0.25">
      <c r="A237" s="7">
        <f>DATE(YEAR(m7_crossvalid[[#This Row],[cutoff]]),MONTH(m7_crossvalid[[#This Row],[cutoff]]),DAY(m7_crossvalid[[#This Row],[cutoff]]))</f>
        <v>45869</v>
      </c>
      <c r="B237" s="7">
        <f>DATE(YEAR(m7_crossvalid[[#This Row],[ds]]),MONTH(m7_crossvalid[[#This Row],[ds]]),DAY(m7_crossvalid[[#This Row],[ds]]))</f>
        <v>45888</v>
      </c>
      <c r="C237">
        <v>3182</v>
      </c>
      <c r="D237" s="1">
        <v>45888.333333333336</v>
      </c>
      <c r="E237">
        <v>3026.8434598160775</v>
      </c>
      <c r="F237">
        <v>1590.8355104786733</v>
      </c>
      <c r="G237">
        <v>4497.8856895790559</v>
      </c>
      <c r="H237" s="1">
        <v>45869.333333333336</v>
      </c>
    </row>
    <row r="238" spans="1:8" x14ac:dyDescent="0.25">
      <c r="A238" s="7">
        <f>DATE(YEAR(m7_crossvalid[[#This Row],[cutoff]]),MONTH(m7_crossvalid[[#This Row],[cutoff]]),DAY(m7_crossvalid[[#This Row],[cutoff]]))</f>
        <v>45869</v>
      </c>
      <c r="B238" s="7">
        <f>DATE(YEAR(m7_crossvalid[[#This Row],[ds]]),MONTH(m7_crossvalid[[#This Row],[ds]]),DAY(m7_crossvalid[[#This Row],[ds]]))</f>
        <v>45889</v>
      </c>
      <c r="C238">
        <v>3745</v>
      </c>
      <c r="D238" s="1">
        <v>45889.333333333336</v>
      </c>
      <c r="E238">
        <v>3226.5016731120468</v>
      </c>
      <c r="F238">
        <v>1767.7683177577774</v>
      </c>
      <c r="G238">
        <v>4650.6434285212626</v>
      </c>
      <c r="H238" s="1">
        <v>45869.333333333336</v>
      </c>
    </row>
    <row r="239" spans="1:8" x14ac:dyDescent="0.25">
      <c r="A239" s="7">
        <f>DATE(YEAR(m7_crossvalid[[#This Row],[cutoff]]),MONTH(m7_crossvalid[[#This Row],[cutoff]]),DAY(m7_crossvalid[[#This Row],[cutoff]]))</f>
        <v>45869</v>
      </c>
      <c r="B239" s="7">
        <f>DATE(YEAR(m7_crossvalid[[#This Row],[ds]]),MONTH(m7_crossvalid[[#This Row],[ds]]),DAY(m7_crossvalid[[#This Row],[ds]]))</f>
        <v>45890</v>
      </c>
      <c r="C239">
        <v>3754</v>
      </c>
      <c r="D239" s="1">
        <v>45890.333333333336</v>
      </c>
      <c r="E239">
        <v>3323.2316059747964</v>
      </c>
      <c r="F239">
        <v>1879.139153197078</v>
      </c>
      <c r="G239">
        <v>4761.5299380079059</v>
      </c>
      <c r="H239" s="1">
        <v>45869.333333333336</v>
      </c>
    </row>
    <row r="240" spans="1:8" x14ac:dyDescent="0.25">
      <c r="A240" s="7">
        <f>DATE(YEAR(m7_crossvalid[[#This Row],[cutoff]]),MONTH(m7_crossvalid[[#This Row],[cutoff]]),DAY(m7_crossvalid[[#This Row],[cutoff]]))</f>
        <v>45869</v>
      </c>
      <c r="B240" s="7">
        <f>DATE(YEAR(m7_crossvalid[[#This Row],[ds]]),MONTH(m7_crossvalid[[#This Row],[ds]]),DAY(m7_crossvalid[[#This Row],[ds]]))</f>
        <v>45891</v>
      </c>
      <c r="C240">
        <v>3741</v>
      </c>
      <c r="D240" s="1">
        <v>45891.333333333336</v>
      </c>
      <c r="E240">
        <v>3301.1144411954183</v>
      </c>
      <c r="F240">
        <v>1822.205119753934</v>
      </c>
      <c r="G240">
        <v>4709.8559782454986</v>
      </c>
      <c r="H240" s="1">
        <v>45869.333333333336</v>
      </c>
    </row>
    <row r="241" spans="1:8" x14ac:dyDescent="0.25">
      <c r="A241" s="7">
        <f>DATE(YEAR(m7_crossvalid[[#This Row],[cutoff]]),MONTH(m7_crossvalid[[#This Row],[cutoff]]),DAY(m7_crossvalid[[#This Row],[cutoff]]))</f>
        <v>45869</v>
      </c>
      <c r="B241" s="7">
        <f>DATE(YEAR(m7_crossvalid[[#This Row],[ds]]),MONTH(m7_crossvalid[[#This Row],[ds]]),DAY(m7_crossvalid[[#This Row],[ds]]))</f>
        <v>45892</v>
      </c>
      <c r="C241">
        <v>761</v>
      </c>
      <c r="D241" s="1">
        <v>45892.333333333336</v>
      </c>
      <c r="E241">
        <v>1223.7151489012806</v>
      </c>
      <c r="F241">
        <v>-225.35694982549452</v>
      </c>
      <c r="G241">
        <v>2648.4047142387194</v>
      </c>
      <c r="H241" s="1">
        <v>45869.333333333336</v>
      </c>
    </row>
    <row r="242" spans="1:8" x14ac:dyDescent="0.25">
      <c r="A242" s="7">
        <f>DATE(YEAR(m7_crossvalid[[#This Row],[cutoff]]),MONTH(m7_crossvalid[[#This Row],[cutoff]]),DAY(m7_crossvalid[[#This Row],[cutoff]]))</f>
        <v>45869</v>
      </c>
      <c r="B242" s="7">
        <f>DATE(YEAR(m7_crossvalid[[#This Row],[ds]]),MONTH(m7_crossvalid[[#This Row],[ds]]),DAY(m7_crossvalid[[#This Row],[ds]]))</f>
        <v>45893</v>
      </c>
      <c r="C242">
        <v>239</v>
      </c>
      <c r="D242" s="1">
        <v>45893.333333333336</v>
      </c>
      <c r="E242">
        <v>955.57736122003234</v>
      </c>
      <c r="F242">
        <v>-597.22174984298329</v>
      </c>
      <c r="G242">
        <v>2314.2925097915913</v>
      </c>
      <c r="H242" s="1">
        <v>45869.333333333336</v>
      </c>
    </row>
    <row r="243" spans="1:8" x14ac:dyDescent="0.25">
      <c r="A243" s="7">
        <f>DATE(YEAR(m7_crossvalid[[#This Row],[cutoff]]),MONTH(m7_crossvalid[[#This Row],[cutoff]]),DAY(m7_crossvalid[[#This Row],[cutoff]]))</f>
        <v>45869</v>
      </c>
      <c r="B243" s="7">
        <f>DATE(YEAR(m7_crossvalid[[#This Row],[ds]]),MONTH(m7_crossvalid[[#This Row],[ds]]),DAY(m7_crossvalid[[#This Row],[ds]]))</f>
        <v>45894</v>
      </c>
      <c r="C243">
        <v>3838</v>
      </c>
      <c r="D243" s="1">
        <v>45894.333333333336</v>
      </c>
      <c r="E243">
        <v>3580.8030524004112</v>
      </c>
      <c r="F243">
        <v>2096.4024122687088</v>
      </c>
      <c r="G243">
        <v>4948.837355335284</v>
      </c>
      <c r="H243" s="1">
        <v>45869.333333333336</v>
      </c>
    </row>
    <row r="244" spans="1:8" x14ac:dyDescent="0.25">
      <c r="A244" s="7">
        <f>DATE(YEAR(m7_crossvalid[[#This Row],[cutoff]]),MONTH(m7_crossvalid[[#This Row],[cutoff]]),DAY(m7_crossvalid[[#This Row],[cutoff]]))</f>
        <v>45869</v>
      </c>
      <c r="B244" s="7">
        <f>DATE(YEAR(m7_crossvalid[[#This Row],[ds]]),MONTH(m7_crossvalid[[#This Row],[ds]]),DAY(m7_crossvalid[[#This Row],[ds]]))</f>
        <v>45895</v>
      </c>
      <c r="C244">
        <v>5214</v>
      </c>
      <c r="D244" s="1">
        <v>45895.333333333336</v>
      </c>
      <c r="E244">
        <v>3900.1092985005835</v>
      </c>
      <c r="F244">
        <v>2413.6593045779309</v>
      </c>
      <c r="G244">
        <v>5342.4905350199315</v>
      </c>
      <c r="H244" s="1">
        <v>45869.333333333336</v>
      </c>
    </row>
    <row r="245" spans="1:8" x14ac:dyDescent="0.25">
      <c r="A245" s="7">
        <f>DATE(YEAR(m7_crossvalid[[#This Row],[cutoff]]),MONTH(m7_crossvalid[[#This Row],[cutoff]]),DAY(m7_crossvalid[[#This Row],[cutoff]]))</f>
        <v>45869</v>
      </c>
      <c r="B245" s="7">
        <f>DATE(YEAR(m7_crossvalid[[#This Row],[ds]]),MONTH(m7_crossvalid[[#This Row],[ds]]),DAY(m7_crossvalid[[#This Row],[ds]]))</f>
        <v>45896</v>
      </c>
      <c r="C245">
        <v>5989</v>
      </c>
      <c r="D245" s="1">
        <v>45896.333333333336</v>
      </c>
      <c r="E245">
        <v>5314.3337627459841</v>
      </c>
      <c r="F245">
        <v>3885.4408131418363</v>
      </c>
      <c r="G245">
        <v>6764.9890277184531</v>
      </c>
      <c r="H245" s="1">
        <v>45869.333333333336</v>
      </c>
    </row>
    <row r="246" spans="1:8" x14ac:dyDescent="0.25">
      <c r="A246" s="7">
        <f>DATE(YEAR(m7_crossvalid[[#This Row],[cutoff]]),MONTH(m7_crossvalid[[#This Row],[cutoff]]),DAY(m7_crossvalid[[#This Row],[cutoff]]))</f>
        <v>45869</v>
      </c>
      <c r="B246" s="7">
        <f>DATE(YEAR(m7_crossvalid[[#This Row],[ds]]),MONTH(m7_crossvalid[[#This Row],[ds]]),DAY(m7_crossvalid[[#This Row],[ds]]))</f>
        <v>45897</v>
      </c>
      <c r="C246">
        <v>7115</v>
      </c>
      <c r="D246" s="1">
        <v>45897.333333333336</v>
      </c>
      <c r="E246">
        <v>5218.7378830469288</v>
      </c>
      <c r="F246">
        <v>3815.2064163744367</v>
      </c>
      <c r="G246">
        <v>6675.9576418091247</v>
      </c>
      <c r="H246" s="1">
        <v>45869.333333333336</v>
      </c>
    </row>
    <row r="247" spans="1:8" x14ac:dyDescent="0.25">
      <c r="A247" s="7">
        <f>DATE(YEAR(m7_crossvalid[[#This Row],[cutoff]]),MONTH(m7_crossvalid[[#This Row],[cutoff]]),DAY(m7_crossvalid[[#This Row],[cutoff]]))</f>
        <v>45869</v>
      </c>
      <c r="B247" s="7">
        <f>DATE(YEAR(m7_crossvalid[[#This Row],[ds]]),MONTH(m7_crossvalid[[#This Row],[ds]]),DAY(m7_crossvalid[[#This Row],[ds]]))</f>
        <v>45898</v>
      </c>
      <c r="C247">
        <v>9571</v>
      </c>
      <c r="D247" s="1">
        <v>45898.333333333336</v>
      </c>
      <c r="E247">
        <v>5395.2665746027014</v>
      </c>
      <c r="F247">
        <v>3964.0936784016612</v>
      </c>
      <c r="G247">
        <v>6850.5811677964048</v>
      </c>
      <c r="H247" s="1">
        <v>45869.333333333336</v>
      </c>
    </row>
    <row r="248" spans="1:8" x14ac:dyDescent="0.25">
      <c r="A248" s="7">
        <f>DATE(YEAR(m7_crossvalid[[#This Row],[cutoff]]),MONTH(m7_crossvalid[[#This Row],[cutoff]]),DAY(m7_crossvalid[[#This Row],[cutoff]]))</f>
        <v>45869</v>
      </c>
      <c r="B248" s="7">
        <f>DATE(YEAR(m7_crossvalid[[#This Row],[ds]]),MONTH(m7_crossvalid[[#This Row],[ds]]),DAY(m7_crossvalid[[#This Row],[ds]]))</f>
        <v>45899</v>
      </c>
      <c r="C248">
        <v>5764</v>
      </c>
      <c r="D248" s="1">
        <v>45899.333333333336</v>
      </c>
      <c r="E248">
        <v>5527.4540559425359</v>
      </c>
      <c r="F248">
        <v>4019.9156490968126</v>
      </c>
      <c r="G248">
        <v>7029.1996591810457</v>
      </c>
      <c r="H248" s="1">
        <v>45869.333333333336</v>
      </c>
    </row>
    <row r="249" spans="1:8" x14ac:dyDescent="0.25">
      <c r="A249" s="7">
        <f>DATE(YEAR(m7_crossvalid[[#This Row],[cutoff]]),MONTH(m7_crossvalid[[#This Row],[cutoff]]),DAY(m7_crossvalid[[#This Row],[cutoff]]))</f>
        <v>45869</v>
      </c>
      <c r="B249" s="7">
        <f>DATE(YEAR(m7_crossvalid[[#This Row],[ds]]),MONTH(m7_crossvalid[[#This Row],[ds]]),DAY(m7_crossvalid[[#This Row],[ds]]))</f>
        <v>45900</v>
      </c>
      <c r="C249">
        <v>386</v>
      </c>
      <c r="D249" s="1">
        <v>45900.333333333336</v>
      </c>
      <c r="E249">
        <v>5372.2579151083237</v>
      </c>
      <c r="F249">
        <v>3864.7324025100529</v>
      </c>
      <c r="G249">
        <v>6736.8154677602861</v>
      </c>
      <c r="H249" s="1">
        <v>45869.333333333336</v>
      </c>
    </row>
    <row r="250" spans="1:8" x14ac:dyDescent="0.25">
      <c r="A250" s="7">
        <f>DATE(YEAR(m7_crossvalid[[#This Row],[cutoff]]),MONTH(m7_crossvalid[[#This Row],[cutoff]]),DAY(m7_crossvalid[[#This Row],[cutoff]]))</f>
        <v>45900</v>
      </c>
      <c r="B250" s="7">
        <f>DATE(YEAR(m7_crossvalid[[#This Row],[ds]]),MONTH(m7_crossvalid[[#This Row],[ds]]),DAY(m7_crossvalid[[#This Row],[ds]]))</f>
        <v>45901</v>
      </c>
      <c r="C250">
        <v>34</v>
      </c>
      <c r="D250" s="1">
        <v>45901.333333333336</v>
      </c>
      <c r="E250">
        <v>200.0865856598657</v>
      </c>
      <c r="F250">
        <v>-1238.2151024347329</v>
      </c>
      <c r="G250">
        <v>1662.8013619971512</v>
      </c>
      <c r="H250" s="1">
        <v>45900.333333333336</v>
      </c>
    </row>
    <row r="251" spans="1:8" x14ac:dyDescent="0.25">
      <c r="A251" s="7">
        <f>DATE(YEAR(m7_crossvalid[[#This Row],[cutoff]]),MONTH(m7_crossvalid[[#This Row],[cutoff]]),DAY(m7_crossvalid[[#This Row],[cutoff]]))</f>
        <v>45900</v>
      </c>
      <c r="B251" s="7">
        <f>DATE(YEAR(m7_crossvalid[[#This Row],[ds]]),MONTH(m7_crossvalid[[#This Row],[ds]]),DAY(m7_crossvalid[[#This Row],[ds]]))</f>
        <v>45902</v>
      </c>
      <c r="C251">
        <v>463</v>
      </c>
      <c r="D251" s="1">
        <v>45902.333333333336</v>
      </c>
      <c r="E251">
        <v>1713.6486245417659</v>
      </c>
      <c r="F251">
        <v>228.17164880020292</v>
      </c>
      <c r="G251">
        <v>3096.074159842005</v>
      </c>
      <c r="H251" s="1">
        <v>45900.333333333336</v>
      </c>
    </row>
    <row r="252" spans="1:8" x14ac:dyDescent="0.25">
      <c r="A252" s="7">
        <f>DATE(YEAR(m7_crossvalid[[#This Row],[cutoff]]),MONTH(m7_crossvalid[[#This Row],[cutoff]]),DAY(m7_crossvalid[[#This Row],[cutoff]]))</f>
        <v>45900</v>
      </c>
      <c r="B252" s="7">
        <f>DATE(YEAR(m7_crossvalid[[#This Row],[ds]]),MONTH(m7_crossvalid[[#This Row],[ds]]),DAY(m7_crossvalid[[#This Row],[ds]]))</f>
        <v>45903</v>
      </c>
      <c r="C252">
        <v>734</v>
      </c>
      <c r="D252" s="1">
        <v>45903.333333333336</v>
      </c>
      <c r="E252">
        <v>1835.1578079567521</v>
      </c>
      <c r="F252">
        <v>390.27557178120912</v>
      </c>
      <c r="G252">
        <v>3330.6861159101509</v>
      </c>
      <c r="H252" s="1">
        <v>45900.333333333336</v>
      </c>
    </row>
    <row r="253" spans="1:8" x14ac:dyDescent="0.25">
      <c r="A253" s="7">
        <f>DATE(YEAR(m7_crossvalid[[#This Row],[cutoff]]),MONTH(m7_crossvalid[[#This Row],[cutoff]]),DAY(m7_crossvalid[[#This Row],[cutoff]]))</f>
        <v>45900</v>
      </c>
      <c r="B253" s="7">
        <f>DATE(YEAR(m7_crossvalid[[#This Row],[ds]]),MONTH(m7_crossvalid[[#This Row],[ds]]),DAY(m7_crossvalid[[#This Row],[ds]]))</f>
        <v>45904</v>
      </c>
      <c r="C253">
        <v>973</v>
      </c>
      <c r="D253" s="1">
        <v>45904.333333333336</v>
      </c>
      <c r="E253">
        <v>1794.2803605923373</v>
      </c>
      <c r="F253">
        <v>422.9689498333571</v>
      </c>
      <c r="G253">
        <v>3228.2937988068852</v>
      </c>
      <c r="H253" s="1">
        <v>45900.333333333336</v>
      </c>
    </row>
    <row r="254" spans="1:8" x14ac:dyDescent="0.25">
      <c r="A254" s="7">
        <f>DATE(YEAR(m7_crossvalid[[#This Row],[cutoff]]),MONTH(m7_crossvalid[[#This Row],[cutoff]]),DAY(m7_crossvalid[[#This Row],[cutoff]]))</f>
        <v>45900</v>
      </c>
      <c r="B254" s="7">
        <f>DATE(YEAR(m7_crossvalid[[#This Row],[ds]]),MONTH(m7_crossvalid[[#This Row],[ds]]),DAY(m7_crossvalid[[#This Row],[ds]]))</f>
        <v>45905</v>
      </c>
      <c r="C254">
        <v>61</v>
      </c>
      <c r="D254" s="1">
        <v>45905.333333333336</v>
      </c>
      <c r="E254">
        <v>-27.309636792188485</v>
      </c>
      <c r="F254">
        <v>-1362.2215384210635</v>
      </c>
      <c r="G254">
        <v>1426.9097070558919</v>
      </c>
      <c r="H254" s="1">
        <v>45900.333333333336</v>
      </c>
    </row>
    <row r="255" spans="1:8" x14ac:dyDescent="0.25">
      <c r="A255" s="7">
        <f>DATE(YEAR(m7_crossvalid[[#This Row],[cutoff]]),MONTH(m7_crossvalid[[#This Row],[cutoff]]),DAY(m7_crossvalid[[#This Row],[cutoff]]))</f>
        <v>45900</v>
      </c>
      <c r="B255" s="7">
        <f>DATE(YEAR(m7_crossvalid[[#This Row],[ds]]),MONTH(m7_crossvalid[[#This Row],[ds]]),DAY(m7_crossvalid[[#This Row],[ds]]))</f>
        <v>45906</v>
      </c>
      <c r="C255">
        <v>107</v>
      </c>
      <c r="D255" s="1">
        <v>45906.333333333336</v>
      </c>
      <c r="E255">
        <v>-507.68128984654868</v>
      </c>
      <c r="F255">
        <v>-2028.6255714791776</v>
      </c>
      <c r="G255">
        <v>888.18369474023211</v>
      </c>
      <c r="H255" s="1">
        <v>45900.333333333336</v>
      </c>
    </row>
    <row r="256" spans="1:8" x14ac:dyDescent="0.25">
      <c r="A256" s="7">
        <f>DATE(YEAR(m7_crossvalid[[#This Row],[cutoff]]),MONTH(m7_crossvalid[[#This Row],[cutoff]]),DAY(m7_crossvalid[[#This Row],[cutoff]]))</f>
        <v>45900</v>
      </c>
      <c r="B256" s="7">
        <f>DATE(YEAR(m7_crossvalid[[#This Row],[ds]]),MONTH(m7_crossvalid[[#This Row],[ds]]),DAY(m7_crossvalid[[#This Row],[ds]]))</f>
        <v>45907</v>
      </c>
      <c r="C256">
        <v>30</v>
      </c>
      <c r="D256" s="1">
        <v>45907.333333333336</v>
      </c>
      <c r="E256">
        <v>-1106.4480038781126</v>
      </c>
      <c r="F256">
        <v>-2500.1132858454712</v>
      </c>
      <c r="G256">
        <v>290.35856504184011</v>
      </c>
      <c r="H256" s="1">
        <v>45900.333333333336</v>
      </c>
    </row>
    <row r="257" spans="1:8" x14ac:dyDescent="0.25">
      <c r="A257" s="7">
        <f>DATE(YEAR(m7_crossvalid[[#This Row],[cutoff]]),MONTH(m7_crossvalid[[#This Row],[cutoff]]),DAY(m7_crossvalid[[#This Row],[cutoff]]))</f>
        <v>45900</v>
      </c>
      <c r="B257" s="7">
        <f>DATE(YEAR(m7_crossvalid[[#This Row],[ds]]),MONTH(m7_crossvalid[[#This Row],[ds]]),DAY(m7_crossvalid[[#This Row],[ds]]))</f>
        <v>45908</v>
      </c>
      <c r="C257">
        <v>1382</v>
      </c>
      <c r="D257" s="1">
        <v>45908.333333333336</v>
      </c>
      <c r="E257">
        <v>1981.6160825080317</v>
      </c>
      <c r="F257">
        <v>484.66077233244965</v>
      </c>
      <c r="G257">
        <v>3403.7626289802879</v>
      </c>
      <c r="H257" s="1">
        <v>45900.333333333336</v>
      </c>
    </row>
    <row r="258" spans="1:8" x14ac:dyDescent="0.25">
      <c r="A258" s="7">
        <f>DATE(YEAR(m7_crossvalid[[#This Row],[cutoff]]),MONTH(m7_crossvalid[[#This Row],[cutoff]]),DAY(m7_crossvalid[[#This Row],[cutoff]]))</f>
        <v>45900</v>
      </c>
      <c r="B258" s="7">
        <f>DATE(YEAR(m7_crossvalid[[#This Row],[ds]]),MONTH(m7_crossvalid[[#This Row],[ds]]),DAY(m7_crossvalid[[#This Row],[ds]]))</f>
        <v>45909</v>
      </c>
      <c r="C258">
        <v>1925</v>
      </c>
      <c r="D258" s="1">
        <v>45909.333333333336</v>
      </c>
      <c r="E258">
        <v>2094.3419837640636</v>
      </c>
      <c r="F258">
        <v>633.10308895383798</v>
      </c>
      <c r="G258">
        <v>3565.1392396514348</v>
      </c>
      <c r="H258" s="1">
        <v>45900.333333333336</v>
      </c>
    </row>
    <row r="259" spans="1:8" x14ac:dyDescent="0.25">
      <c r="A259" s="7">
        <f>DATE(YEAR(m7_crossvalid[[#This Row],[cutoff]]),MONTH(m7_crossvalid[[#This Row],[cutoff]]),DAY(m7_crossvalid[[#This Row],[cutoff]]))</f>
        <v>45900</v>
      </c>
      <c r="B259" s="7">
        <f>DATE(YEAR(m7_crossvalid[[#This Row],[ds]]),MONTH(m7_crossvalid[[#This Row],[ds]]),DAY(m7_crossvalid[[#This Row],[ds]]))</f>
        <v>45910</v>
      </c>
      <c r="C259">
        <v>1988</v>
      </c>
      <c r="D259" s="1">
        <v>45910.333333333336</v>
      </c>
      <c r="E259">
        <v>2082.3407870861815</v>
      </c>
      <c r="F259">
        <v>598.05010226852528</v>
      </c>
      <c r="G259">
        <v>3511.3711123212888</v>
      </c>
      <c r="H259" s="1">
        <v>45900.333333333336</v>
      </c>
    </row>
    <row r="260" spans="1:8" x14ac:dyDescent="0.25">
      <c r="A260" s="7">
        <f>DATE(YEAR(m7_crossvalid[[#This Row],[cutoff]]),MONTH(m7_crossvalid[[#This Row],[cutoff]]),DAY(m7_crossvalid[[#This Row],[cutoff]]))</f>
        <v>45900</v>
      </c>
      <c r="B260" s="7">
        <f>DATE(YEAR(m7_crossvalid[[#This Row],[ds]]),MONTH(m7_crossvalid[[#This Row],[ds]]),DAY(m7_crossvalid[[#This Row],[ds]]))</f>
        <v>45911</v>
      </c>
      <c r="C260">
        <v>2414</v>
      </c>
      <c r="D260" s="1">
        <v>45911.333333333336</v>
      </c>
      <c r="E260">
        <v>2197.6764152250989</v>
      </c>
      <c r="F260">
        <v>658.27219808803454</v>
      </c>
      <c r="G260">
        <v>3582.8172817611458</v>
      </c>
      <c r="H260" s="1">
        <v>45900.333333333336</v>
      </c>
    </row>
    <row r="261" spans="1:8" x14ac:dyDescent="0.25">
      <c r="A261" s="7">
        <f>DATE(YEAR(m7_crossvalid[[#This Row],[cutoff]]),MONTH(m7_crossvalid[[#This Row],[cutoff]]),DAY(m7_crossvalid[[#This Row],[cutoff]]))</f>
        <v>45900</v>
      </c>
      <c r="B261" s="7">
        <f>DATE(YEAR(m7_crossvalid[[#This Row],[ds]]),MONTH(m7_crossvalid[[#This Row],[ds]]),DAY(m7_crossvalid[[#This Row],[ds]]))</f>
        <v>45912</v>
      </c>
      <c r="C261">
        <v>2644</v>
      </c>
      <c r="D261" s="1">
        <v>45912.333333333336</v>
      </c>
      <c r="E261">
        <v>2282.3028043801437</v>
      </c>
      <c r="F261">
        <v>921.74948808944714</v>
      </c>
      <c r="G261">
        <v>3697.1583231203786</v>
      </c>
      <c r="H261" s="1">
        <v>45900.333333333336</v>
      </c>
    </row>
    <row r="262" spans="1:8" x14ac:dyDescent="0.25">
      <c r="A262" s="7">
        <f>DATE(YEAR(m7_crossvalid[[#This Row],[cutoff]]),MONTH(m7_crossvalid[[#This Row],[cutoff]]),DAY(m7_crossvalid[[#This Row],[cutoff]]))</f>
        <v>45900</v>
      </c>
      <c r="B262" s="7">
        <f>DATE(YEAR(m7_crossvalid[[#This Row],[ds]]),MONTH(m7_crossvalid[[#This Row],[ds]]),DAY(m7_crossvalid[[#This Row],[ds]]))</f>
        <v>45913</v>
      </c>
      <c r="C262">
        <v>439</v>
      </c>
      <c r="D262" s="1">
        <v>45913.333333333336</v>
      </c>
      <c r="E262">
        <v>66.545275068082447</v>
      </c>
      <c r="F262">
        <v>-1413.4919690649012</v>
      </c>
      <c r="G262">
        <v>1602.0729723209067</v>
      </c>
      <c r="H262" s="1">
        <v>45900.333333333336</v>
      </c>
    </row>
    <row r="263" spans="1:8" x14ac:dyDescent="0.25">
      <c r="A263" s="7">
        <f>DATE(YEAR(m7_crossvalid[[#This Row],[cutoff]]),MONTH(m7_crossvalid[[#This Row],[cutoff]]),DAY(m7_crossvalid[[#This Row],[cutoff]]))</f>
        <v>45900</v>
      </c>
      <c r="B263" s="7">
        <f>DATE(YEAR(m7_crossvalid[[#This Row],[ds]]),MONTH(m7_crossvalid[[#This Row],[ds]]),DAY(m7_crossvalid[[#This Row],[ds]]))</f>
        <v>45914</v>
      </c>
      <c r="C263">
        <v>108</v>
      </c>
      <c r="D263" s="1">
        <v>45914.333333333336</v>
      </c>
      <c r="E263">
        <v>-487.46393556490284</v>
      </c>
      <c r="F263">
        <v>-2031.2899521979746</v>
      </c>
      <c r="G263">
        <v>912.47880508859237</v>
      </c>
      <c r="H263" s="1">
        <v>45900.333333333336</v>
      </c>
    </row>
    <row r="264" spans="1:8" x14ac:dyDescent="0.25">
      <c r="A264" s="7">
        <f>DATE(YEAR(m7_crossvalid[[#This Row],[cutoff]]),MONTH(m7_crossvalid[[#This Row],[cutoff]]),DAY(m7_crossvalid[[#This Row],[cutoff]]))</f>
        <v>45900</v>
      </c>
      <c r="B264" s="7">
        <f>DATE(YEAR(m7_crossvalid[[#This Row],[ds]]),MONTH(m7_crossvalid[[#This Row],[ds]]),DAY(m7_crossvalid[[#This Row],[ds]]))</f>
        <v>45915</v>
      </c>
      <c r="C264">
        <v>19</v>
      </c>
      <c r="D264" s="1">
        <v>45915.333333333336</v>
      </c>
      <c r="E264">
        <v>326.40156412193483</v>
      </c>
      <c r="F264">
        <v>-1267.1459952646314</v>
      </c>
      <c r="G264">
        <v>1654.2483341318029</v>
      </c>
      <c r="H264" s="1">
        <v>45900.333333333336</v>
      </c>
    </row>
    <row r="265" spans="1:8" x14ac:dyDescent="0.25">
      <c r="A265" s="7">
        <f>DATE(YEAR(m7_crossvalid[[#This Row],[cutoff]]),MONTH(m7_crossvalid[[#This Row],[cutoff]]),DAY(m7_crossvalid[[#This Row],[cutoff]]))</f>
        <v>45900</v>
      </c>
      <c r="B265" s="7">
        <f>DATE(YEAR(m7_crossvalid[[#This Row],[ds]]),MONTH(m7_crossvalid[[#This Row],[ds]]),DAY(m7_crossvalid[[#This Row],[ds]]))</f>
        <v>45916</v>
      </c>
      <c r="C265">
        <v>5</v>
      </c>
      <c r="D265" s="1">
        <v>45916.333333333336</v>
      </c>
      <c r="E265">
        <v>762.07281040695102</v>
      </c>
      <c r="F265">
        <v>-687.36334815857367</v>
      </c>
      <c r="G265">
        <v>2210.4377768123268</v>
      </c>
      <c r="H265" s="1">
        <v>45900.333333333336</v>
      </c>
    </row>
    <row r="266" spans="1:8" x14ac:dyDescent="0.25">
      <c r="A266" s="7">
        <f>DATE(YEAR(m7_crossvalid[[#This Row],[cutoff]]),MONTH(m7_crossvalid[[#This Row],[cutoff]]),DAY(m7_crossvalid[[#This Row],[cutoff]]))</f>
        <v>45900</v>
      </c>
      <c r="B266" s="7">
        <f>DATE(YEAR(m7_crossvalid[[#This Row],[ds]]),MONTH(m7_crossvalid[[#This Row],[ds]]),DAY(m7_crossvalid[[#This Row],[ds]]))</f>
        <v>45917</v>
      </c>
      <c r="C266">
        <v>2108</v>
      </c>
      <c r="D266" s="1">
        <v>45917.333333333336</v>
      </c>
      <c r="E266">
        <v>2749.9039473252442</v>
      </c>
      <c r="F266">
        <v>1311.231488338927</v>
      </c>
      <c r="G266">
        <v>4151.7044785938115</v>
      </c>
      <c r="H266" s="1">
        <v>45900.333333333336</v>
      </c>
    </row>
    <row r="267" spans="1:8" x14ac:dyDescent="0.25">
      <c r="A267" s="7">
        <f>DATE(YEAR(m7_crossvalid[[#This Row],[cutoff]]),MONTH(m7_crossvalid[[#This Row],[cutoff]]),DAY(m7_crossvalid[[#This Row],[cutoff]]))</f>
        <v>45900</v>
      </c>
      <c r="B267" s="7">
        <f>DATE(YEAR(m7_crossvalid[[#This Row],[ds]]),MONTH(m7_crossvalid[[#This Row],[ds]]),DAY(m7_crossvalid[[#This Row],[ds]]))</f>
        <v>45918</v>
      </c>
      <c r="C267">
        <v>3129</v>
      </c>
      <c r="D267" s="1">
        <v>45918.333333333336</v>
      </c>
      <c r="E267">
        <v>2782.390976409567</v>
      </c>
      <c r="F267">
        <v>1330.1025854113288</v>
      </c>
      <c r="G267">
        <v>4102.9208392608152</v>
      </c>
      <c r="H267" s="1">
        <v>45900.333333333336</v>
      </c>
    </row>
    <row r="268" spans="1:8" x14ac:dyDescent="0.25">
      <c r="A268" s="7">
        <f>DATE(YEAR(m7_crossvalid[[#This Row],[cutoff]]),MONTH(m7_crossvalid[[#This Row],[cutoff]]),DAY(m7_crossvalid[[#This Row],[cutoff]]))</f>
        <v>45900</v>
      </c>
      <c r="B268" s="7">
        <f>DATE(YEAR(m7_crossvalid[[#This Row],[ds]]),MONTH(m7_crossvalid[[#This Row],[ds]]),DAY(m7_crossvalid[[#This Row],[ds]]))</f>
        <v>45919</v>
      </c>
      <c r="C268">
        <v>3027</v>
      </c>
      <c r="D268" s="1">
        <v>45919.333333333336</v>
      </c>
      <c r="E268">
        <v>2770.2797810710153</v>
      </c>
      <c r="F268">
        <v>1386.3400748839094</v>
      </c>
      <c r="G268">
        <v>4219.7074620714875</v>
      </c>
      <c r="H268" s="1">
        <v>45900.333333333336</v>
      </c>
    </row>
    <row r="269" spans="1:8" x14ac:dyDescent="0.25">
      <c r="A269" s="7">
        <f>DATE(YEAR(m7_crossvalid[[#This Row],[cutoff]]),MONTH(m7_crossvalid[[#This Row],[cutoff]]),DAY(m7_crossvalid[[#This Row],[cutoff]]))</f>
        <v>45900</v>
      </c>
      <c r="B269" s="7">
        <f>DATE(YEAR(m7_crossvalid[[#This Row],[ds]]),MONTH(m7_crossvalid[[#This Row],[ds]]),DAY(m7_crossvalid[[#This Row],[ds]]))</f>
        <v>45920</v>
      </c>
      <c r="C269">
        <v>525</v>
      </c>
      <c r="D269" s="1">
        <v>45920.333333333336</v>
      </c>
      <c r="E269">
        <v>625.52283587834654</v>
      </c>
      <c r="F269">
        <v>-713.07038935757203</v>
      </c>
      <c r="G269">
        <v>2003.2360964932423</v>
      </c>
      <c r="H269" s="1">
        <v>45900.333333333336</v>
      </c>
    </row>
    <row r="270" spans="1:8" x14ac:dyDescent="0.25">
      <c r="A270" s="7">
        <f>DATE(YEAR(m7_crossvalid[[#This Row],[cutoff]]),MONTH(m7_crossvalid[[#This Row],[cutoff]]),DAY(m7_crossvalid[[#This Row],[cutoff]]))</f>
        <v>45900</v>
      </c>
      <c r="B270" s="7">
        <f>DATE(YEAR(m7_crossvalid[[#This Row],[ds]]),MONTH(m7_crossvalid[[#This Row],[ds]]),DAY(m7_crossvalid[[#This Row],[ds]]))</f>
        <v>45921</v>
      </c>
      <c r="C270">
        <v>107</v>
      </c>
      <c r="D270" s="1">
        <v>45921.333333333336</v>
      </c>
      <c r="E270">
        <v>108.93752035431999</v>
      </c>
      <c r="F270">
        <v>-1393.1490147403213</v>
      </c>
      <c r="G270">
        <v>1588.4927343722436</v>
      </c>
      <c r="H270" s="1">
        <v>45900.333333333336</v>
      </c>
    </row>
    <row r="271" spans="1:8" x14ac:dyDescent="0.25">
      <c r="A271" s="7">
        <f>DATE(YEAR(m7_crossvalid[[#This Row],[cutoff]]),MONTH(m7_crossvalid[[#This Row],[cutoff]]),DAY(m7_crossvalid[[#This Row],[cutoff]]))</f>
        <v>45900</v>
      </c>
      <c r="B271" s="7">
        <f>DATE(YEAR(m7_crossvalid[[#This Row],[ds]]),MONTH(m7_crossvalid[[#This Row],[ds]]),DAY(m7_crossvalid[[#This Row],[ds]]))</f>
        <v>45922</v>
      </c>
      <c r="C271">
        <v>2480</v>
      </c>
      <c r="D271" s="1">
        <v>45922.333333333336</v>
      </c>
      <c r="E271">
        <v>2712.9206385009138</v>
      </c>
      <c r="F271">
        <v>1286.6499732302273</v>
      </c>
      <c r="G271">
        <v>4119.084356031166</v>
      </c>
      <c r="H271" s="1">
        <v>45900.333333333336</v>
      </c>
    </row>
    <row r="272" spans="1:8" x14ac:dyDescent="0.25">
      <c r="A272" s="7">
        <f>DATE(YEAR(m7_crossvalid[[#This Row],[cutoff]]),MONTH(m7_crossvalid[[#This Row],[cutoff]]),DAY(m7_crossvalid[[#This Row],[cutoff]]))</f>
        <v>45900</v>
      </c>
      <c r="B272" s="7">
        <f>DATE(YEAR(m7_crossvalid[[#This Row],[ds]]),MONTH(m7_crossvalid[[#This Row],[ds]]),DAY(m7_crossvalid[[#This Row],[ds]]))</f>
        <v>45923</v>
      </c>
      <c r="C272">
        <v>2893</v>
      </c>
      <c r="D272" s="1">
        <v>45923.333333333336</v>
      </c>
      <c r="E272">
        <v>3232.5169913207137</v>
      </c>
      <c r="F272">
        <v>1827.4584461715478</v>
      </c>
      <c r="G272">
        <v>4675.4445604414996</v>
      </c>
      <c r="H272" s="1">
        <v>45900.333333333336</v>
      </c>
    </row>
    <row r="273" spans="1:8" x14ac:dyDescent="0.25">
      <c r="A273" s="7">
        <f>DATE(YEAR(m7_crossvalid[[#This Row],[cutoff]]),MONTH(m7_crossvalid[[#This Row],[cutoff]]),DAY(m7_crossvalid[[#This Row],[cutoff]]))</f>
        <v>45900</v>
      </c>
      <c r="B273" s="7">
        <f>DATE(YEAR(m7_crossvalid[[#This Row],[ds]]),MONTH(m7_crossvalid[[#This Row],[ds]]),DAY(m7_crossvalid[[#This Row],[ds]]))</f>
        <v>45924</v>
      </c>
      <c r="C273">
        <v>3143</v>
      </c>
      <c r="D273" s="1">
        <v>45924.333333333336</v>
      </c>
      <c r="E273">
        <v>3532.3013241239682</v>
      </c>
      <c r="F273">
        <v>2020.5299879828492</v>
      </c>
      <c r="G273">
        <v>4969.6363650796302</v>
      </c>
      <c r="H273" s="1">
        <v>45900.333333333336</v>
      </c>
    </row>
    <row r="274" spans="1:8" x14ac:dyDescent="0.25">
      <c r="A274" s="7">
        <f>DATE(YEAR(m7_crossvalid[[#This Row],[cutoff]]),MONTH(m7_crossvalid[[#This Row],[cutoff]]),DAY(m7_crossvalid[[#This Row],[cutoff]]))</f>
        <v>45900</v>
      </c>
      <c r="B274" s="7">
        <f>DATE(YEAR(m7_crossvalid[[#This Row],[ds]]),MONTH(m7_crossvalid[[#This Row],[ds]]),DAY(m7_crossvalid[[#This Row],[ds]]))</f>
        <v>45925</v>
      </c>
      <c r="C274">
        <v>3361</v>
      </c>
      <c r="D274" s="1">
        <v>45925.333333333336</v>
      </c>
      <c r="E274">
        <v>3667.2868439023523</v>
      </c>
      <c r="F274">
        <v>2199.9286320073588</v>
      </c>
      <c r="G274">
        <v>5108.9560211583157</v>
      </c>
      <c r="H274" s="1">
        <v>45900.333333333336</v>
      </c>
    </row>
    <row r="275" spans="1:8" x14ac:dyDescent="0.25">
      <c r="A275" s="7">
        <f>DATE(YEAR(m7_crossvalid[[#This Row],[cutoff]]),MONTH(m7_crossvalid[[#This Row],[cutoff]]),DAY(m7_crossvalid[[#This Row],[cutoff]]))</f>
        <v>45900</v>
      </c>
      <c r="B275" s="7">
        <f>DATE(YEAR(m7_crossvalid[[#This Row],[ds]]),MONTH(m7_crossvalid[[#This Row],[ds]]),DAY(m7_crossvalid[[#This Row],[ds]]))</f>
        <v>45926</v>
      </c>
      <c r="C275">
        <v>3885</v>
      </c>
      <c r="D275" s="1">
        <v>45926.333333333336</v>
      </c>
      <c r="E275">
        <v>5042.9531498401575</v>
      </c>
      <c r="F275">
        <v>3609.9909937892467</v>
      </c>
      <c r="G275">
        <v>6497.4211652882741</v>
      </c>
      <c r="H275" s="1">
        <v>45900.333333333336</v>
      </c>
    </row>
    <row r="276" spans="1:8" x14ac:dyDescent="0.25">
      <c r="A276" s="7">
        <f>DATE(YEAR(m7_crossvalid[[#This Row],[cutoff]]),MONTH(m7_crossvalid[[#This Row],[cutoff]]),DAY(m7_crossvalid[[#This Row],[cutoff]]))</f>
        <v>45900</v>
      </c>
      <c r="B276" s="7">
        <f>DATE(YEAR(m7_crossvalid[[#This Row],[ds]]),MONTH(m7_crossvalid[[#This Row],[ds]]),DAY(m7_crossvalid[[#This Row],[ds]]))</f>
        <v>45927</v>
      </c>
      <c r="C276">
        <v>1024</v>
      </c>
      <c r="D276" s="1">
        <v>45927.333333333336</v>
      </c>
      <c r="E276">
        <v>2657.9556945514528</v>
      </c>
      <c r="F276">
        <v>1183.8330547558166</v>
      </c>
      <c r="G276">
        <v>4131.279359033404</v>
      </c>
      <c r="H276" s="1">
        <v>45900.333333333336</v>
      </c>
    </row>
    <row r="277" spans="1:8" x14ac:dyDescent="0.25">
      <c r="A277" s="7">
        <f>DATE(YEAR(m7_crossvalid[[#This Row],[cutoff]]),MONTH(m7_crossvalid[[#This Row],[cutoff]]),DAY(m7_crossvalid[[#This Row],[cutoff]]))</f>
        <v>45900</v>
      </c>
      <c r="B277" s="7">
        <f>DATE(YEAR(m7_crossvalid[[#This Row],[ds]]),MONTH(m7_crossvalid[[#This Row],[ds]]),DAY(m7_crossvalid[[#This Row],[ds]]))</f>
        <v>45928</v>
      </c>
      <c r="C277">
        <v>280</v>
      </c>
      <c r="D277" s="1">
        <v>45928.333333333336</v>
      </c>
      <c r="E277">
        <v>2218.1128586804343</v>
      </c>
      <c r="F277">
        <v>790.22268664779767</v>
      </c>
      <c r="G277">
        <v>3608.9928323896193</v>
      </c>
      <c r="H277" s="1">
        <v>45900.333333333336</v>
      </c>
    </row>
    <row r="278" spans="1:8" x14ac:dyDescent="0.25">
      <c r="A278" s="7">
        <f>DATE(YEAR(m7_crossvalid[[#This Row],[cutoff]]),MONTH(m7_crossvalid[[#This Row],[cutoff]]),DAY(m7_crossvalid[[#This Row],[cutoff]]))</f>
        <v>45900</v>
      </c>
      <c r="B278" s="7">
        <f>DATE(YEAR(m7_crossvalid[[#This Row],[ds]]),MONTH(m7_crossvalid[[#This Row],[ds]]),DAY(m7_crossvalid[[#This Row],[ds]]))</f>
        <v>45929</v>
      </c>
      <c r="C278">
        <v>8852</v>
      </c>
      <c r="D278" s="1">
        <v>45929.333333333336</v>
      </c>
      <c r="E278">
        <v>7228.4732513756944</v>
      </c>
      <c r="F278">
        <v>5785.5194962774403</v>
      </c>
      <c r="G278">
        <v>8696.1877976836495</v>
      </c>
      <c r="H278" s="1">
        <v>45900.333333333336</v>
      </c>
    </row>
    <row r="279" spans="1:8" x14ac:dyDescent="0.25">
      <c r="A279" s="7">
        <f>DATE(YEAR(m7_crossvalid[[#This Row],[cutoff]]),MONTH(m7_crossvalid[[#This Row],[cutoff]]),DAY(m7_crossvalid[[#This Row],[cutoff]]))</f>
        <v>45900</v>
      </c>
      <c r="B279" s="7">
        <f>DATE(YEAR(m7_crossvalid[[#This Row],[ds]]),MONTH(m7_crossvalid[[#This Row],[ds]]),DAY(m7_crossvalid[[#This Row],[ds]]))</f>
        <v>45930</v>
      </c>
      <c r="C279">
        <v>14458</v>
      </c>
      <c r="D279" s="1">
        <v>45930.333333333336</v>
      </c>
      <c r="E279">
        <v>9797.5244013493775</v>
      </c>
      <c r="F279">
        <v>8317.640442218104</v>
      </c>
      <c r="G279">
        <v>11197.01922881744</v>
      </c>
      <c r="H279" s="1">
        <v>45900.333333333336</v>
      </c>
    </row>
    <row r="280" spans="1:8" x14ac:dyDescent="0.25">
      <c r="A280" s="7">
        <f>DATE(YEAR(m7_crossvalid[[#This Row],[cutoff]]),MONTH(m7_crossvalid[[#This Row],[cutoff]]),DAY(m7_crossvalid[[#This Row],[cutoff]]))</f>
        <v>45900</v>
      </c>
      <c r="B280" s="7">
        <f>DATE(YEAR(m7_crossvalid[[#This Row],[ds]]),MONTH(m7_crossvalid[[#This Row],[ds]]),DAY(m7_crossvalid[[#This Row],[ds]]))</f>
        <v>45931</v>
      </c>
      <c r="C280">
        <v>639</v>
      </c>
      <c r="D280" s="1">
        <v>45931.333333333336</v>
      </c>
      <c r="E280">
        <v>2484.3862625154952</v>
      </c>
      <c r="F280">
        <v>1060.9885880912693</v>
      </c>
      <c r="G280">
        <v>3944.8799227813083</v>
      </c>
      <c r="H280" s="1">
        <v>45900.333333333336</v>
      </c>
    </row>
    <row r="281" spans="1:8" x14ac:dyDescent="0.25">
      <c r="A281" s="7">
        <f>DATE(YEAR(m7_crossvalid[[#This Row],[cutoff]]),MONTH(m7_crossvalid[[#This Row],[cutoff]]),DAY(m7_crossvalid[[#This Row],[cutoff]]))</f>
        <v>45930</v>
      </c>
      <c r="B281" s="7">
        <f>DATE(YEAR(m7_crossvalid[[#This Row],[ds]]),MONTH(m7_crossvalid[[#This Row],[ds]]),DAY(m7_crossvalid[[#This Row],[ds]]))</f>
        <v>45931</v>
      </c>
      <c r="C281">
        <v>639</v>
      </c>
      <c r="D281" s="1">
        <v>45931.333333333336</v>
      </c>
      <c r="E281">
        <v>2534.4207663810739</v>
      </c>
      <c r="F281">
        <v>1119.7662039156942</v>
      </c>
      <c r="G281">
        <v>3948.3653427081676</v>
      </c>
      <c r="H281" s="1">
        <v>45930.333333333336</v>
      </c>
    </row>
    <row r="282" spans="1:8" x14ac:dyDescent="0.25">
      <c r="A282" s="7">
        <f>DATE(YEAR(m7_crossvalid[[#This Row],[cutoff]]),MONTH(m7_crossvalid[[#This Row],[cutoff]]),DAY(m7_crossvalid[[#This Row],[cutoff]]))</f>
        <v>45930</v>
      </c>
      <c r="B282" s="7">
        <f>DATE(YEAR(m7_crossvalid[[#This Row],[ds]]),MONTH(m7_crossvalid[[#This Row],[ds]]),DAY(m7_crossvalid[[#This Row],[ds]]))</f>
        <v>45932</v>
      </c>
      <c r="C282">
        <v>823</v>
      </c>
      <c r="D282" s="1">
        <v>45932.333333333336</v>
      </c>
      <c r="E282">
        <v>1623.5432017335957</v>
      </c>
      <c r="F282">
        <v>282.81663027273908</v>
      </c>
      <c r="G282">
        <v>3082.455895769489</v>
      </c>
      <c r="H282" s="1">
        <v>45930.333333333336</v>
      </c>
    </row>
    <row r="283" spans="1:8" x14ac:dyDescent="0.25">
      <c r="A283" s="7">
        <f>DATE(YEAR(m7_crossvalid[[#This Row],[cutoff]]),MONTH(m7_crossvalid[[#This Row],[cutoff]]),DAY(m7_crossvalid[[#This Row],[cutoff]]))</f>
        <v>45930</v>
      </c>
      <c r="B283" s="7">
        <f>DATE(YEAR(m7_crossvalid[[#This Row],[ds]]),MONTH(m7_crossvalid[[#This Row],[ds]]),DAY(m7_crossvalid[[#This Row],[ds]]))</f>
        <v>45933</v>
      </c>
      <c r="C283">
        <v>996</v>
      </c>
      <c r="D283" s="1">
        <v>45933.333333333336</v>
      </c>
      <c r="E283">
        <v>1584.2121180678923</v>
      </c>
      <c r="F283">
        <v>81.794604589096636</v>
      </c>
      <c r="G283">
        <v>2892.6550719159272</v>
      </c>
      <c r="H283" s="1">
        <v>45930.333333333336</v>
      </c>
    </row>
    <row r="284" spans="1:8" x14ac:dyDescent="0.25">
      <c r="A284" s="7">
        <f>DATE(YEAR(m7_crossvalid[[#This Row],[cutoff]]),MONTH(m7_crossvalid[[#This Row],[cutoff]]),DAY(m7_crossvalid[[#This Row],[cutoff]]))</f>
        <v>45930</v>
      </c>
      <c r="B284" s="7">
        <f>DATE(YEAR(m7_crossvalid[[#This Row],[ds]]),MONTH(m7_crossvalid[[#This Row],[ds]]),DAY(m7_crossvalid[[#This Row],[ds]]))</f>
        <v>45934</v>
      </c>
      <c r="C284">
        <v>141</v>
      </c>
      <c r="D284" s="1">
        <v>45934.333333333336</v>
      </c>
      <c r="E284">
        <v>-643.74262925175844</v>
      </c>
      <c r="F284">
        <v>-2208.0134872090744</v>
      </c>
      <c r="G284">
        <v>830.70676055049557</v>
      </c>
      <c r="H284" s="1">
        <v>45930.333333333336</v>
      </c>
    </row>
    <row r="285" spans="1:8" x14ac:dyDescent="0.25">
      <c r="A285" s="7">
        <f>DATE(YEAR(m7_crossvalid[[#This Row],[cutoff]]),MONTH(m7_crossvalid[[#This Row],[cutoff]]),DAY(m7_crossvalid[[#This Row],[cutoff]]))</f>
        <v>45930</v>
      </c>
      <c r="B285" s="7">
        <f>DATE(YEAR(m7_crossvalid[[#This Row],[ds]]),MONTH(m7_crossvalid[[#This Row],[ds]]),DAY(m7_crossvalid[[#This Row],[ds]]))</f>
        <v>45935</v>
      </c>
      <c r="C285">
        <v>38</v>
      </c>
      <c r="D285" s="1">
        <v>45935.333333333336</v>
      </c>
      <c r="E285">
        <v>-1171.3845791332878</v>
      </c>
      <c r="F285">
        <v>-2623.0439615006212</v>
      </c>
      <c r="G285">
        <v>308.80458409629045</v>
      </c>
      <c r="H285" s="1">
        <v>45930.333333333336</v>
      </c>
    </row>
    <row r="286" spans="1:8" x14ac:dyDescent="0.25">
      <c r="A286" s="7">
        <f>DATE(YEAR(m7_crossvalid[[#This Row],[cutoff]]),MONTH(m7_crossvalid[[#This Row],[cutoff]]),DAY(m7_crossvalid[[#This Row],[cutoff]]))</f>
        <v>45930</v>
      </c>
      <c r="B286" s="7">
        <f>DATE(YEAR(m7_crossvalid[[#This Row],[ds]]),MONTH(m7_crossvalid[[#This Row],[ds]]),DAY(m7_crossvalid[[#This Row],[ds]]))</f>
        <v>45936</v>
      </c>
      <c r="C286">
        <v>1044</v>
      </c>
      <c r="D286" s="1">
        <v>45936.333333333336</v>
      </c>
      <c r="E286">
        <v>1463.8361537396415</v>
      </c>
      <c r="F286">
        <v>-23.967541962584676</v>
      </c>
      <c r="G286">
        <v>2888.1056500378327</v>
      </c>
      <c r="H286" s="1">
        <v>45930.333333333336</v>
      </c>
    </row>
    <row r="287" spans="1:8" x14ac:dyDescent="0.25">
      <c r="A287" s="7">
        <f>DATE(YEAR(m7_crossvalid[[#This Row],[cutoff]]),MONTH(m7_crossvalid[[#This Row],[cutoff]]),DAY(m7_crossvalid[[#This Row],[cutoff]]))</f>
        <v>45930</v>
      </c>
      <c r="B287" s="7">
        <f>DATE(YEAR(m7_crossvalid[[#This Row],[ds]]),MONTH(m7_crossvalid[[#This Row],[ds]]),DAY(m7_crossvalid[[#This Row],[ds]]))</f>
        <v>45937</v>
      </c>
      <c r="C287">
        <v>1351</v>
      </c>
      <c r="D287" s="1">
        <v>45937.333333333336</v>
      </c>
      <c r="E287">
        <v>1793.067716085651</v>
      </c>
      <c r="F287">
        <v>256.6260644655876</v>
      </c>
      <c r="G287">
        <v>3227.7878432565167</v>
      </c>
      <c r="H287" s="1">
        <v>45930.333333333336</v>
      </c>
    </row>
    <row r="288" spans="1:8" x14ac:dyDescent="0.25">
      <c r="A288" s="7">
        <f>DATE(YEAR(m7_crossvalid[[#This Row],[cutoff]]),MONTH(m7_crossvalid[[#This Row],[cutoff]]),DAY(m7_crossvalid[[#This Row],[cutoff]]))</f>
        <v>45930</v>
      </c>
      <c r="B288" s="7">
        <f>DATE(YEAR(m7_crossvalid[[#This Row],[ds]]),MONTH(m7_crossvalid[[#This Row],[ds]]),DAY(m7_crossvalid[[#This Row],[ds]]))</f>
        <v>45938</v>
      </c>
      <c r="C288">
        <v>1654</v>
      </c>
      <c r="D288" s="1">
        <v>45938.333333333336</v>
      </c>
      <c r="E288">
        <v>2450.2301121767514</v>
      </c>
      <c r="F288">
        <v>988.45133112482449</v>
      </c>
      <c r="G288">
        <v>3830.5654394472454</v>
      </c>
      <c r="H288" s="1">
        <v>45930.333333333336</v>
      </c>
    </row>
    <row r="289" spans="1:8" x14ac:dyDescent="0.25">
      <c r="A289" s="7">
        <f>DATE(YEAR(m7_crossvalid[[#This Row],[cutoff]]),MONTH(m7_crossvalid[[#This Row],[cutoff]]),DAY(m7_crossvalid[[#This Row],[cutoff]]))</f>
        <v>45930</v>
      </c>
      <c r="B289" s="7">
        <f>DATE(YEAR(m7_crossvalid[[#This Row],[ds]]),MONTH(m7_crossvalid[[#This Row],[ds]]),DAY(m7_crossvalid[[#This Row],[ds]]))</f>
        <v>45939</v>
      </c>
      <c r="C289">
        <v>2108</v>
      </c>
      <c r="D289" s="1">
        <v>45939.333333333336</v>
      </c>
      <c r="E289">
        <v>2363.0119780466453</v>
      </c>
      <c r="F289">
        <v>815.27168713753338</v>
      </c>
      <c r="G289">
        <v>3736.953478430109</v>
      </c>
      <c r="H289" s="1">
        <v>45930.333333333336</v>
      </c>
    </row>
    <row r="290" spans="1:8" x14ac:dyDescent="0.25">
      <c r="A290" s="7">
        <f>DATE(YEAR(m7_crossvalid[[#This Row],[cutoff]]),MONTH(m7_crossvalid[[#This Row],[cutoff]]),DAY(m7_crossvalid[[#This Row],[cutoff]]))</f>
        <v>45930</v>
      </c>
      <c r="B290" s="7">
        <f>DATE(YEAR(m7_crossvalid[[#This Row],[ds]]),MONTH(m7_crossvalid[[#This Row],[ds]]),DAY(m7_crossvalid[[#This Row],[ds]]))</f>
        <v>45940</v>
      </c>
      <c r="C290">
        <v>2215</v>
      </c>
      <c r="D290" s="1">
        <v>45940.333333333336</v>
      </c>
      <c r="E290">
        <v>2185.6832512703718</v>
      </c>
      <c r="F290">
        <v>761.41903713105899</v>
      </c>
      <c r="G290">
        <v>3638.3512607441935</v>
      </c>
      <c r="H290" s="1">
        <v>45930.333333333336</v>
      </c>
    </row>
    <row r="291" spans="1:8" x14ac:dyDescent="0.25">
      <c r="A291" s="7">
        <f>DATE(YEAR(m7_crossvalid[[#This Row],[cutoff]]),MONTH(m7_crossvalid[[#This Row],[cutoff]]),DAY(m7_crossvalid[[#This Row],[cutoff]]))</f>
        <v>45930</v>
      </c>
      <c r="B291" s="7">
        <f>DATE(YEAR(m7_crossvalid[[#This Row],[ds]]),MONTH(m7_crossvalid[[#This Row],[ds]]),DAY(m7_crossvalid[[#This Row],[ds]]))</f>
        <v>45941</v>
      </c>
      <c r="C291">
        <v>380</v>
      </c>
      <c r="D291" s="1">
        <v>45941.333333333336</v>
      </c>
      <c r="E291">
        <v>-38.688892951623984</v>
      </c>
      <c r="F291">
        <v>-1571.0097172938599</v>
      </c>
      <c r="G291">
        <v>1353.9534212223057</v>
      </c>
      <c r="H291" s="1">
        <v>45930.333333333336</v>
      </c>
    </row>
    <row r="292" spans="1:8" x14ac:dyDescent="0.25">
      <c r="A292" s="7">
        <f>DATE(YEAR(m7_crossvalid[[#This Row],[cutoff]]),MONTH(m7_crossvalid[[#This Row],[cutoff]]),DAY(m7_crossvalid[[#This Row],[cutoff]]))</f>
        <v>45930</v>
      </c>
      <c r="B292" s="7">
        <f>DATE(YEAR(m7_crossvalid[[#This Row],[ds]]),MONTH(m7_crossvalid[[#This Row],[ds]]),DAY(m7_crossvalid[[#This Row],[ds]]))</f>
        <v>45942</v>
      </c>
      <c r="C292">
        <v>120</v>
      </c>
      <c r="D292" s="1">
        <v>45942.333333333336</v>
      </c>
      <c r="E292">
        <v>-396.40397090596343</v>
      </c>
      <c r="F292">
        <v>-1895.9598653508472</v>
      </c>
      <c r="G292">
        <v>964.93519178567271</v>
      </c>
      <c r="H292" s="1">
        <v>45930.333333333336</v>
      </c>
    </row>
    <row r="293" spans="1:8" x14ac:dyDescent="0.25">
      <c r="A293" s="7">
        <f>DATE(YEAR(m7_crossvalid[[#This Row],[cutoff]]),MONTH(m7_crossvalid[[#This Row],[cutoff]]),DAY(m7_crossvalid[[#This Row],[cutoff]]))</f>
        <v>45930</v>
      </c>
      <c r="B293" s="7">
        <f>DATE(YEAR(m7_crossvalid[[#This Row],[ds]]),MONTH(m7_crossvalid[[#This Row],[ds]]),DAY(m7_crossvalid[[#This Row],[ds]]))</f>
        <v>45943</v>
      </c>
      <c r="C293">
        <v>2406</v>
      </c>
      <c r="D293" s="1">
        <v>45943.333333333336</v>
      </c>
      <c r="E293">
        <v>2255.5524504222326</v>
      </c>
      <c r="F293">
        <v>866.30938300827029</v>
      </c>
      <c r="G293">
        <v>3693.3493003302879</v>
      </c>
      <c r="H293" s="1">
        <v>45930.333333333336</v>
      </c>
    </row>
    <row r="294" spans="1:8" x14ac:dyDescent="0.25">
      <c r="A294" s="7">
        <f>DATE(YEAR(m7_crossvalid[[#This Row],[cutoff]]),MONTH(m7_crossvalid[[#This Row],[cutoff]]),DAY(m7_crossvalid[[#This Row],[cutoff]]))</f>
        <v>45930</v>
      </c>
      <c r="B294" s="7">
        <f>DATE(YEAR(m7_crossvalid[[#This Row],[ds]]),MONTH(m7_crossvalid[[#This Row],[ds]]),DAY(m7_crossvalid[[#This Row],[ds]]))</f>
        <v>45944</v>
      </c>
      <c r="C294">
        <v>2958</v>
      </c>
      <c r="D294" s="1">
        <v>45944.333333333336</v>
      </c>
      <c r="E294">
        <v>2571.8409952385873</v>
      </c>
      <c r="F294">
        <v>1114.8795773614052</v>
      </c>
      <c r="G294">
        <v>3886.7979599900491</v>
      </c>
      <c r="H294" s="1">
        <v>45930.333333333336</v>
      </c>
    </row>
    <row r="295" spans="1:8" x14ac:dyDescent="0.25">
      <c r="A295" s="7">
        <f>DATE(YEAR(m7_crossvalid[[#This Row],[cutoff]]),MONTH(m7_crossvalid[[#This Row],[cutoff]]),DAY(m7_crossvalid[[#This Row],[cutoff]]))</f>
        <v>45930</v>
      </c>
      <c r="B295" s="7">
        <f>DATE(YEAR(m7_crossvalid[[#This Row],[ds]]),MONTH(m7_crossvalid[[#This Row],[ds]]),DAY(m7_crossvalid[[#This Row],[ds]]))</f>
        <v>45945</v>
      </c>
      <c r="C295">
        <v>3074</v>
      </c>
      <c r="D295" s="1">
        <v>45945.333333333336</v>
      </c>
      <c r="E295">
        <v>2664.4622631365537</v>
      </c>
      <c r="F295">
        <v>1287.5149836362943</v>
      </c>
      <c r="G295">
        <v>4061.6354685811748</v>
      </c>
      <c r="H295" s="1">
        <v>45930.333333333336</v>
      </c>
    </row>
    <row r="296" spans="1:8" x14ac:dyDescent="0.25">
      <c r="A296" s="7">
        <f>DATE(YEAR(m7_crossvalid[[#This Row],[cutoff]]),MONTH(m7_crossvalid[[#This Row],[cutoff]]),DAY(m7_crossvalid[[#This Row],[cutoff]]))</f>
        <v>45930</v>
      </c>
      <c r="B296" s="7">
        <f>DATE(YEAR(m7_crossvalid[[#This Row],[ds]]),MONTH(m7_crossvalid[[#This Row],[ds]]),DAY(m7_crossvalid[[#This Row],[ds]]))</f>
        <v>45946</v>
      </c>
      <c r="C296">
        <v>3505</v>
      </c>
      <c r="D296" s="1">
        <v>45946.333333333336</v>
      </c>
      <c r="E296">
        <v>2770.0568276445256</v>
      </c>
      <c r="F296">
        <v>1354.366510738736</v>
      </c>
      <c r="G296">
        <v>4161.5017751050054</v>
      </c>
      <c r="H296" s="1">
        <v>45930.333333333336</v>
      </c>
    </row>
    <row r="297" spans="1:8" x14ac:dyDescent="0.25">
      <c r="A297" s="7">
        <f>DATE(YEAR(m7_crossvalid[[#This Row],[cutoff]]),MONTH(m7_crossvalid[[#This Row],[cutoff]]),DAY(m7_crossvalid[[#This Row],[cutoff]]))</f>
        <v>45930</v>
      </c>
      <c r="B297" s="7">
        <f>DATE(YEAR(m7_crossvalid[[#This Row],[ds]]),MONTH(m7_crossvalid[[#This Row],[ds]]),DAY(m7_crossvalid[[#This Row],[ds]]))</f>
        <v>45947</v>
      </c>
      <c r="C297">
        <v>3630</v>
      </c>
      <c r="D297" s="1">
        <v>45947.333333333336</v>
      </c>
      <c r="E297">
        <v>2876.7235606199606</v>
      </c>
      <c r="F297">
        <v>1360.5214885941723</v>
      </c>
      <c r="G297">
        <v>4266.569417079203</v>
      </c>
      <c r="H297" s="1">
        <v>45930.333333333336</v>
      </c>
    </row>
    <row r="298" spans="1:8" x14ac:dyDescent="0.25">
      <c r="A298" s="7">
        <f>DATE(YEAR(m7_crossvalid[[#This Row],[cutoff]]),MONTH(m7_crossvalid[[#This Row],[cutoff]]),DAY(m7_crossvalid[[#This Row],[cutoff]]))</f>
        <v>45930</v>
      </c>
      <c r="B298" s="7">
        <f>DATE(YEAR(m7_crossvalid[[#This Row],[ds]]),MONTH(m7_crossvalid[[#This Row],[ds]]),DAY(m7_crossvalid[[#This Row],[ds]]))</f>
        <v>45948</v>
      </c>
      <c r="C298">
        <v>653</v>
      </c>
      <c r="D298" s="1">
        <v>45948.333333333336</v>
      </c>
      <c r="E298">
        <v>708.04248269595291</v>
      </c>
      <c r="F298">
        <v>-806.84653236359554</v>
      </c>
      <c r="G298">
        <v>2291.8062358284728</v>
      </c>
      <c r="H298" s="1">
        <v>45930.333333333336</v>
      </c>
    </row>
    <row r="299" spans="1:8" x14ac:dyDescent="0.25">
      <c r="A299" s="7">
        <f>DATE(YEAR(m7_crossvalid[[#This Row],[cutoff]]),MONTH(m7_crossvalid[[#This Row],[cutoff]]),DAY(m7_crossvalid[[#This Row],[cutoff]]))</f>
        <v>45930</v>
      </c>
      <c r="B299" s="7">
        <f>DATE(YEAR(m7_crossvalid[[#This Row],[ds]]),MONTH(m7_crossvalid[[#This Row],[ds]]),DAY(m7_crossvalid[[#This Row],[ds]]))</f>
        <v>45949</v>
      </c>
      <c r="C299">
        <v>180</v>
      </c>
      <c r="D299" s="1">
        <v>45949.333333333336</v>
      </c>
      <c r="E299">
        <v>175.37770480268478</v>
      </c>
      <c r="F299">
        <v>-1220.5233815089964</v>
      </c>
      <c r="G299">
        <v>1586.998562426641</v>
      </c>
      <c r="H299" s="1">
        <v>45930.333333333336</v>
      </c>
    </row>
    <row r="300" spans="1:8" x14ac:dyDescent="0.25">
      <c r="A300" s="7">
        <f>DATE(YEAR(m7_crossvalid[[#This Row],[cutoff]]),MONTH(m7_crossvalid[[#This Row],[cutoff]]),DAY(m7_crossvalid[[#This Row],[cutoff]]))</f>
        <v>45930</v>
      </c>
      <c r="B300" s="7">
        <f>DATE(YEAR(m7_crossvalid[[#This Row],[ds]]),MONTH(m7_crossvalid[[#This Row],[ds]]),DAY(m7_crossvalid[[#This Row],[ds]]))</f>
        <v>45950</v>
      </c>
      <c r="C300">
        <v>250</v>
      </c>
      <c r="D300" s="1">
        <v>45950.333333333336</v>
      </c>
      <c r="E300">
        <v>999.60834979906758</v>
      </c>
      <c r="F300">
        <v>-382.66936874259602</v>
      </c>
      <c r="G300">
        <v>2548.574223165941</v>
      </c>
      <c r="H300" s="1">
        <v>45930.333333333336</v>
      </c>
    </row>
    <row r="301" spans="1:8" x14ac:dyDescent="0.25">
      <c r="A301" s="7">
        <f>DATE(YEAR(m7_crossvalid[[#This Row],[cutoff]]),MONTH(m7_crossvalid[[#This Row],[cutoff]]),DAY(m7_crossvalid[[#This Row],[cutoff]]))</f>
        <v>45930</v>
      </c>
      <c r="B301" s="7">
        <f>DATE(YEAR(m7_crossvalid[[#This Row],[ds]]),MONTH(m7_crossvalid[[#This Row],[ds]]),DAY(m7_crossvalid[[#This Row],[ds]]))</f>
        <v>45951</v>
      </c>
      <c r="C301">
        <v>2797</v>
      </c>
      <c r="D301" s="1">
        <v>45951.333333333336</v>
      </c>
      <c r="E301">
        <v>3152.9827505586627</v>
      </c>
      <c r="F301">
        <v>1682.7852062140121</v>
      </c>
      <c r="G301">
        <v>4583.3627809557438</v>
      </c>
      <c r="H301" s="1">
        <v>45930.333333333336</v>
      </c>
    </row>
    <row r="302" spans="1:8" x14ac:dyDescent="0.25">
      <c r="A302" s="7">
        <f>DATE(YEAR(m7_crossvalid[[#This Row],[cutoff]]),MONTH(m7_crossvalid[[#This Row],[cutoff]]),DAY(m7_crossvalid[[#This Row],[cutoff]]))</f>
        <v>45930</v>
      </c>
      <c r="B302" s="7">
        <f>DATE(YEAR(m7_crossvalid[[#This Row],[ds]]),MONTH(m7_crossvalid[[#This Row],[ds]]),DAY(m7_crossvalid[[#This Row],[ds]]))</f>
        <v>45952</v>
      </c>
      <c r="C302">
        <v>3644</v>
      </c>
      <c r="D302" s="1">
        <v>45952.333333333336</v>
      </c>
      <c r="E302">
        <v>3235.4265769401659</v>
      </c>
      <c r="F302">
        <v>1819.4071006421657</v>
      </c>
      <c r="G302">
        <v>4686.344484421631</v>
      </c>
      <c r="H302" s="1">
        <v>45930.333333333336</v>
      </c>
    </row>
    <row r="303" spans="1:8" x14ac:dyDescent="0.25">
      <c r="A303" s="7">
        <f>DATE(YEAR(m7_crossvalid[[#This Row],[cutoff]]),MONTH(m7_crossvalid[[#This Row],[cutoff]]),DAY(m7_crossvalid[[#This Row],[cutoff]]))</f>
        <v>45930</v>
      </c>
      <c r="B303" s="7">
        <f>DATE(YEAR(m7_crossvalid[[#This Row],[ds]]),MONTH(m7_crossvalid[[#This Row],[ds]]),DAY(m7_crossvalid[[#This Row],[ds]]))</f>
        <v>45953</v>
      </c>
      <c r="C303">
        <v>4009</v>
      </c>
      <c r="D303" s="1">
        <v>45953.333333333336</v>
      </c>
      <c r="E303">
        <v>3398.4213129546665</v>
      </c>
      <c r="F303">
        <v>1975.3363647843503</v>
      </c>
      <c r="G303">
        <v>4830.9269005460828</v>
      </c>
      <c r="H303" s="1">
        <v>45930.333333333336</v>
      </c>
    </row>
    <row r="304" spans="1:8" x14ac:dyDescent="0.25">
      <c r="A304" s="7">
        <f>DATE(YEAR(m7_crossvalid[[#This Row],[cutoff]]),MONTH(m7_crossvalid[[#This Row],[cutoff]]),DAY(m7_crossvalid[[#This Row],[cutoff]]))</f>
        <v>45930</v>
      </c>
      <c r="B304" s="7">
        <f>DATE(YEAR(m7_crossvalid[[#This Row],[ds]]),MONTH(m7_crossvalid[[#This Row],[ds]]),DAY(m7_crossvalid[[#This Row],[ds]]))</f>
        <v>45954</v>
      </c>
      <c r="C304">
        <v>4008</v>
      </c>
      <c r="D304" s="1">
        <v>45954.333333333336</v>
      </c>
      <c r="E304">
        <v>3568.1158218533355</v>
      </c>
      <c r="F304">
        <v>2036.2335298247342</v>
      </c>
      <c r="G304">
        <v>5058.1872369592829</v>
      </c>
      <c r="H304" s="1">
        <v>45930.333333333336</v>
      </c>
    </row>
    <row r="305" spans="1:8" x14ac:dyDescent="0.25">
      <c r="A305" s="7">
        <f>DATE(YEAR(m7_crossvalid[[#This Row],[cutoff]]),MONTH(m7_crossvalid[[#This Row],[cutoff]]),DAY(m7_crossvalid[[#This Row],[cutoff]]))</f>
        <v>45930</v>
      </c>
      <c r="B305" s="7">
        <f>DATE(YEAR(m7_crossvalid[[#This Row],[ds]]),MONTH(m7_crossvalid[[#This Row],[ds]]),DAY(m7_crossvalid[[#This Row],[ds]]))</f>
        <v>45955</v>
      </c>
      <c r="C305">
        <v>971</v>
      </c>
      <c r="D305" s="1">
        <v>45955.333333333336</v>
      </c>
      <c r="E305">
        <v>1446.1382114262769</v>
      </c>
      <c r="F305">
        <v>-33.428837863815076</v>
      </c>
      <c r="G305">
        <v>2921.6459929963439</v>
      </c>
      <c r="H305" s="1">
        <v>45930.333333333336</v>
      </c>
    </row>
    <row r="306" spans="1:8" x14ac:dyDescent="0.25">
      <c r="A306" s="7">
        <f>DATE(YEAR(m7_crossvalid[[#This Row],[cutoff]]),MONTH(m7_crossvalid[[#This Row],[cutoff]]),DAY(m7_crossvalid[[#This Row],[cutoff]]))</f>
        <v>45930</v>
      </c>
      <c r="B306" s="7">
        <f>DATE(YEAR(m7_crossvalid[[#This Row],[ds]]),MONTH(m7_crossvalid[[#This Row],[ds]]),DAY(m7_crossvalid[[#This Row],[ds]]))</f>
        <v>45956</v>
      </c>
      <c r="C306">
        <v>238</v>
      </c>
      <c r="D306" s="1">
        <v>45956.333333333336</v>
      </c>
      <c r="E306">
        <v>973.23456652979621</v>
      </c>
      <c r="F306">
        <v>-373.69050161126114</v>
      </c>
      <c r="G306">
        <v>2346.3678549663232</v>
      </c>
      <c r="H306" s="1">
        <v>45930.333333333336</v>
      </c>
    </row>
    <row r="307" spans="1:8" x14ac:dyDescent="0.25">
      <c r="A307" s="7">
        <f>DATE(YEAR(m7_crossvalid[[#This Row],[cutoff]]),MONTH(m7_crossvalid[[#This Row],[cutoff]]),DAY(m7_crossvalid[[#This Row],[cutoff]]))</f>
        <v>45930</v>
      </c>
      <c r="B307" s="7">
        <f>DATE(YEAR(m7_crossvalid[[#This Row],[ds]]),MONTH(m7_crossvalid[[#This Row],[ds]]),DAY(m7_crossvalid[[#This Row],[ds]]))</f>
        <v>45957</v>
      </c>
      <c r="C307">
        <v>4219</v>
      </c>
      <c r="D307" s="1">
        <v>45957.333333333336</v>
      </c>
      <c r="E307">
        <v>4768.2257386003985</v>
      </c>
      <c r="F307">
        <v>3280.9710924343344</v>
      </c>
      <c r="G307">
        <v>6234.7016356462682</v>
      </c>
      <c r="H307" s="1">
        <v>45930.333333333336</v>
      </c>
    </row>
    <row r="308" spans="1:8" x14ac:dyDescent="0.25">
      <c r="A308" s="7">
        <f>DATE(YEAR(m7_crossvalid[[#This Row],[cutoff]]),MONTH(m7_crossvalid[[#This Row],[cutoff]]),DAY(m7_crossvalid[[#This Row],[cutoff]]))</f>
        <v>45930</v>
      </c>
      <c r="B308" s="7">
        <f>DATE(YEAR(m7_crossvalid[[#This Row],[ds]]),MONTH(m7_crossvalid[[#This Row],[ds]]),DAY(m7_crossvalid[[#This Row],[ds]]))</f>
        <v>45958</v>
      </c>
      <c r="C308">
        <v>5659</v>
      </c>
      <c r="D308" s="1">
        <v>45958.333333333336</v>
      </c>
      <c r="E308">
        <v>4984.182011527666</v>
      </c>
      <c r="F308">
        <v>3579.5837521990934</v>
      </c>
      <c r="G308">
        <v>6302.6010698000928</v>
      </c>
      <c r="H308" s="1">
        <v>45930.333333333336</v>
      </c>
    </row>
    <row r="309" spans="1:8" x14ac:dyDescent="0.25">
      <c r="A309" s="7">
        <f>DATE(YEAR(m7_crossvalid[[#This Row],[cutoff]]),MONTH(m7_crossvalid[[#This Row],[cutoff]]),DAY(m7_crossvalid[[#This Row],[cutoff]]))</f>
        <v>45930</v>
      </c>
      <c r="B309" s="7">
        <f>DATE(YEAR(m7_crossvalid[[#This Row],[ds]]),MONTH(m7_crossvalid[[#This Row],[ds]]),DAY(m7_crossvalid[[#This Row],[ds]]))</f>
        <v>45959</v>
      </c>
      <c r="C309">
        <v>6381</v>
      </c>
      <c r="D309" s="1">
        <v>45959.333333333336</v>
      </c>
      <c r="E309">
        <v>5402.4674567360826</v>
      </c>
      <c r="F309">
        <v>3895.8224155891894</v>
      </c>
      <c r="G309">
        <v>6870.9814280501541</v>
      </c>
      <c r="H309" s="1">
        <v>45930.333333333336</v>
      </c>
    </row>
    <row r="310" spans="1:8" x14ac:dyDescent="0.25">
      <c r="A310" s="7">
        <f>DATE(YEAR(m7_crossvalid[[#This Row],[cutoff]]),MONTH(m7_crossvalid[[#This Row],[cutoff]]),DAY(m7_crossvalid[[#This Row],[cutoff]]))</f>
        <v>45930</v>
      </c>
      <c r="B310" s="7">
        <f>DATE(YEAR(m7_crossvalid[[#This Row],[ds]]),MONTH(m7_crossvalid[[#This Row],[ds]]),DAY(m7_crossvalid[[#This Row],[ds]]))</f>
        <v>45960</v>
      </c>
      <c r="C310">
        <v>7936</v>
      </c>
      <c r="D310" s="1">
        <v>45960.333333333336</v>
      </c>
      <c r="E310">
        <v>7857.967511013052</v>
      </c>
      <c r="F310">
        <v>6416.2355883595483</v>
      </c>
      <c r="G310">
        <v>9255.5796158587564</v>
      </c>
      <c r="H310" s="1">
        <v>45930.333333333336</v>
      </c>
    </row>
    <row r="311" spans="1:8" x14ac:dyDescent="0.25">
      <c r="A311" s="7">
        <f>DATE(YEAR(m7_crossvalid[[#This Row],[cutoff]]),MONTH(m7_crossvalid[[#This Row],[cutoff]]),DAY(m7_crossvalid[[#This Row],[cutoff]]))</f>
        <v>45930</v>
      </c>
      <c r="B311" s="7">
        <f>DATE(YEAR(m7_crossvalid[[#This Row],[ds]]),MONTH(m7_crossvalid[[#This Row],[ds]]),DAY(m7_crossvalid[[#This Row],[ds]]))</f>
        <v>45961</v>
      </c>
      <c r="C311">
        <v>13386</v>
      </c>
      <c r="D311" s="1">
        <v>45961.333333333336</v>
      </c>
      <c r="E311">
        <v>9711.0700092872303</v>
      </c>
      <c r="F311">
        <v>8255.5576776099169</v>
      </c>
      <c r="G311">
        <v>11258.072339805394</v>
      </c>
      <c r="H311" s="1">
        <v>45930.333333333336</v>
      </c>
    </row>
    <row r="312" spans="1:8" x14ac:dyDescent="0.25">
      <c r="A312" s="7">
        <f>DATE(YEAR(m7_crossvalid[[#This Row],[cutoff]]),MONTH(m7_crossvalid[[#This Row],[cutoff]]),DAY(m7_crossvalid[[#This Row],[cutoff]]))</f>
        <v>45961</v>
      </c>
      <c r="B312" s="7">
        <f>DATE(YEAR(m7_crossvalid[[#This Row],[ds]]),MONTH(m7_crossvalid[[#This Row],[ds]]),DAY(m7_crossvalid[[#This Row],[ds]]))</f>
        <v>45962</v>
      </c>
      <c r="C312">
        <v>104</v>
      </c>
      <c r="D312" s="1">
        <v>45962.333333333336</v>
      </c>
      <c r="E312">
        <v>-117.35140047633968</v>
      </c>
      <c r="F312">
        <v>-1434.7197017119599</v>
      </c>
      <c r="G312">
        <v>1462.6479603428729</v>
      </c>
      <c r="H312" s="1">
        <v>45961.333333333336</v>
      </c>
    </row>
    <row r="313" spans="1:8" x14ac:dyDescent="0.25">
      <c r="A313" s="7">
        <f>DATE(YEAR(m7_crossvalid[[#This Row],[cutoff]]),MONTH(m7_crossvalid[[#This Row],[cutoff]]),DAY(m7_crossvalid[[#This Row],[cutoff]]))</f>
        <v>45961</v>
      </c>
      <c r="B313" s="7">
        <f>DATE(YEAR(m7_crossvalid[[#This Row],[ds]]),MONTH(m7_crossvalid[[#This Row],[ds]]),DAY(m7_crossvalid[[#This Row],[ds]]))</f>
        <v>45963</v>
      </c>
      <c r="C313">
        <v>32</v>
      </c>
      <c r="D313" s="1">
        <v>45963.333333333336</v>
      </c>
      <c r="E313">
        <v>-1207.3610252611729</v>
      </c>
      <c r="F313">
        <v>-2614.180874145351</v>
      </c>
      <c r="G313">
        <v>274.28226965395066</v>
      </c>
      <c r="H313" s="1">
        <v>45961.333333333336</v>
      </c>
    </row>
    <row r="314" spans="1:8" x14ac:dyDescent="0.25">
      <c r="A314" s="7">
        <f>DATE(YEAR(m7_crossvalid[[#This Row],[cutoff]]),MONTH(m7_crossvalid[[#This Row],[cutoff]]),DAY(m7_crossvalid[[#This Row],[cutoff]]))</f>
        <v>45961</v>
      </c>
      <c r="B314" s="7">
        <f>DATE(YEAR(m7_crossvalid[[#This Row],[ds]]),MONTH(m7_crossvalid[[#This Row],[ds]]),DAY(m7_crossvalid[[#This Row],[ds]]))</f>
        <v>45964</v>
      </c>
      <c r="C314">
        <v>607</v>
      </c>
      <c r="D314" s="1">
        <v>45964.333333333336</v>
      </c>
      <c r="E314">
        <v>1478.2189847241957</v>
      </c>
      <c r="F314">
        <v>-24.090364654566343</v>
      </c>
      <c r="G314">
        <v>2881.5525480472902</v>
      </c>
      <c r="H314" s="1">
        <v>45961.333333333336</v>
      </c>
    </row>
    <row r="315" spans="1:8" x14ac:dyDescent="0.25">
      <c r="A315" s="7">
        <f>DATE(YEAR(m7_crossvalid[[#This Row],[cutoff]]),MONTH(m7_crossvalid[[#This Row],[cutoff]]),DAY(m7_crossvalid[[#This Row],[cutoff]]))</f>
        <v>45961</v>
      </c>
      <c r="B315" s="7">
        <f>DATE(YEAR(m7_crossvalid[[#This Row],[ds]]),MONTH(m7_crossvalid[[#This Row],[ds]]),DAY(m7_crossvalid[[#This Row],[ds]]))</f>
        <v>45965</v>
      </c>
      <c r="C315">
        <v>821</v>
      </c>
      <c r="D315" s="1">
        <v>45965.333333333336</v>
      </c>
      <c r="E315">
        <v>1781.4090365724096</v>
      </c>
      <c r="F315">
        <v>388.37146712459935</v>
      </c>
      <c r="G315">
        <v>3261.7319776274035</v>
      </c>
      <c r="H315" s="1">
        <v>45961.333333333336</v>
      </c>
    </row>
    <row r="316" spans="1:8" x14ac:dyDescent="0.25">
      <c r="A316" s="7">
        <f>DATE(YEAR(m7_crossvalid[[#This Row],[cutoff]]),MONTH(m7_crossvalid[[#This Row],[cutoff]]),DAY(m7_crossvalid[[#This Row],[cutoff]]))</f>
        <v>45961</v>
      </c>
      <c r="B316" s="7">
        <f>DATE(YEAR(m7_crossvalid[[#This Row],[ds]]),MONTH(m7_crossvalid[[#This Row],[ds]]),DAY(m7_crossvalid[[#This Row],[ds]]))</f>
        <v>45966</v>
      </c>
      <c r="C316">
        <v>1032</v>
      </c>
      <c r="D316" s="1">
        <v>45966.333333333336</v>
      </c>
      <c r="E316">
        <v>1883.5109369137385</v>
      </c>
      <c r="F316">
        <v>469.8246346073991</v>
      </c>
      <c r="G316">
        <v>3332.783034293107</v>
      </c>
      <c r="H316" s="1">
        <v>45961.333333333336</v>
      </c>
    </row>
    <row r="317" spans="1:8" x14ac:dyDescent="0.25">
      <c r="A317" s="7">
        <f>DATE(YEAR(m7_crossvalid[[#This Row],[cutoff]]),MONTH(m7_crossvalid[[#This Row],[cutoff]]),DAY(m7_crossvalid[[#This Row],[cutoff]]))</f>
        <v>45961</v>
      </c>
      <c r="B317" s="7">
        <f>DATE(YEAR(m7_crossvalid[[#This Row],[ds]]),MONTH(m7_crossvalid[[#This Row],[ds]]),DAY(m7_crossvalid[[#This Row],[ds]]))</f>
        <v>45967</v>
      </c>
      <c r="C317">
        <v>1396</v>
      </c>
      <c r="D317" s="1">
        <v>45967.333333333336</v>
      </c>
      <c r="E317">
        <v>1978.3555936752216</v>
      </c>
      <c r="F317">
        <v>575.25094600318891</v>
      </c>
      <c r="G317">
        <v>3343.7250981165885</v>
      </c>
      <c r="H317" s="1">
        <v>45961.333333333336</v>
      </c>
    </row>
    <row r="318" spans="1:8" x14ac:dyDescent="0.25">
      <c r="A318" s="7">
        <f>DATE(YEAR(m7_crossvalid[[#This Row],[cutoff]]),MONTH(m7_crossvalid[[#This Row],[cutoff]]),DAY(m7_crossvalid[[#This Row],[cutoff]]))</f>
        <v>45961</v>
      </c>
      <c r="B318" s="7">
        <f>DATE(YEAR(m7_crossvalid[[#This Row],[ds]]),MONTH(m7_crossvalid[[#This Row],[ds]]),DAY(m7_crossvalid[[#This Row],[ds]]))</f>
        <v>45968</v>
      </c>
      <c r="C318">
        <v>1612</v>
      </c>
      <c r="D318" s="1">
        <v>45968.333333333336</v>
      </c>
      <c r="E318">
        <v>1918.2416903835829</v>
      </c>
      <c r="F318">
        <v>474.30426124692582</v>
      </c>
      <c r="G318">
        <v>3299.8490466230974</v>
      </c>
      <c r="H318" s="1">
        <v>45961.333333333336</v>
      </c>
    </row>
    <row r="319" spans="1:8" x14ac:dyDescent="0.25">
      <c r="A319" s="7">
        <f>DATE(YEAR(m7_crossvalid[[#This Row],[cutoff]]),MONTH(m7_crossvalid[[#This Row],[cutoff]]),DAY(m7_crossvalid[[#This Row],[cutoff]]))</f>
        <v>45961</v>
      </c>
      <c r="B319" s="7">
        <f>DATE(YEAR(m7_crossvalid[[#This Row],[ds]]),MONTH(m7_crossvalid[[#This Row],[ds]]),DAY(m7_crossvalid[[#This Row],[ds]]))</f>
        <v>45969</v>
      </c>
      <c r="C319">
        <v>206</v>
      </c>
      <c r="D319" s="1">
        <v>45969.333333333336</v>
      </c>
      <c r="E319">
        <v>177.42081371657991</v>
      </c>
      <c r="F319">
        <v>-1252.0967263038247</v>
      </c>
      <c r="G319">
        <v>1580.0274820913523</v>
      </c>
      <c r="H319" s="1">
        <v>45961.333333333336</v>
      </c>
    </row>
    <row r="320" spans="1:8" x14ac:dyDescent="0.25">
      <c r="A320" s="7">
        <f>DATE(YEAR(m7_crossvalid[[#This Row],[cutoff]]),MONTH(m7_crossvalid[[#This Row],[cutoff]]),DAY(m7_crossvalid[[#This Row],[cutoff]]))</f>
        <v>45961</v>
      </c>
      <c r="B320" s="7">
        <f>DATE(YEAR(m7_crossvalid[[#This Row],[ds]]),MONTH(m7_crossvalid[[#This Row],[ds]]),DAY(m7_crossvalid[[#This Row],[ds]]))</f>
        <v>45970</v>
      </c>
      <c r="C320">
        <v>95</v>
      </c>
      <c r="D320" s="1">
        <v>45970.333333333336</v>
      </c>
      <c r="E320">
        <v>-475.28707761400983</v>
      </c>
      <c r="F320">
        <v>-1970.1826480597806</v>
      </c>
      <c r="G320">
        <v>902.22798366324889</v>
      </c>
      <c r="H320" s="1">
        <v>45961.333333333336</v>
      </c>
    </row>
    <row r="321" spans="1:8" x14ac:dyDescent="0.25">
      <c r="A321" s="7">
        <f>DATE(YEAR(m7_crossvalid[[#This Row],[cutoff]]),MONTH(m7_crossvalid[[#This Row],[cutoff]]),DAY(m7_crossvalid[[#This Row],[cutoff]]))</f>
        <v>45961</v>
      </c>
      <c r="B321" s="7">
        <f>DATE(YEAR(m7_crossvalid[[#This Row],[ds]]),MONTH(m7_crossvalid[[#This Row],[ds]]),DAY(m7_crossvalid[[#This Row],[ds]]))</f>
        <v>45971</v>
      </c>
      <c r="C321">
        <v>1552</v>
      </c>
      <c r="D321" s="1">
        <v>45971.333333333336</v>
      </c>
      <c r="E321">
        <v>1994.1771059937957</v>
      </c>
      <c r="F321">
        <v>575.71486709736598</v>
      </c>
      <c r="G321">
        <v>3476.9838930228684</v>
      </c>
      <c r="H321" s="1">
        <v>45961.333333333336</v>
      </c>
    </row>
    <row r="322" spans="1:8" x14ac:dyDescent="0.25">
      <c r="A322" s="7">
        <f>DATE(YEAR(m7_crossvalid[[#This Row],[cutoff]]),MONTH(m7_crossvalid[[#This Row],[cutoff]]),DAY(m7_crossvalid[[#This Row],[cutoff]]))</f>
        <v>45961</v>
      </c>
      <c r="B322" s="7">
        <f>DATE(YEAR(m7_crossvalid[[#This Row],[ds]]),MONTH(m7_crossvalid[[#This Row],[ds]]),DAY(m7_crossvalid[[#This Row],[ds]]))</f>
        <v>45972</v>
      </c>
      <c r="C322">
        <v>1937</v>
      </c>
      <c r="D322" s="1">
        <v>45972.333333333336</v>
      </c>
      <c r="E322">
        <v>2431.1453187944999</v>
      </c>
      <c r="F322">
        <v>971.55702539212245</v>
      </c>
      <c r="G322">
        <v>3824.162066854045</v>
      </c>
      <c r="H322" s="1">
        <v>45961.333333333336</v>
      </c>
    </row>
    <row r="323" spans="1:8" x14ac:dyDescent="0.25">
      <c r="A323" s="7">
        <f>DATE(YEAR(m7_crossvalid[[#This Row],[cutoff]]),MONTH(m7_crossvalid[[#This Row],[cutoff]]),DAY(m7_crossvalid[[#This Row],[cutoff]]))</f>
        <v>45961</v>
      </c>
      <c r="B323" s="7">
        <f>DATE(YEAR(m7_crossvalid[[#This Row],[ds]]),MONTH(m7_crossvalid[[#This Row],[ds]]),DAY(m7_crossvalid[[#This Row],[ds]]))</f>
        <v>45973</v>
      </c>
      <c r="C323">
        <v>2198</v>
      </c>
      <c r="D323" s="1">
        <v>45973.333333333336</v>
      </c>
      <c r="E323">
        <v>2672.0076971749513</v>
      </c>
      <c r="F323">
        <v>1276.7281351833351</v>
      </c>
      <c r="G323">
        <v>4095.2594265175853</v>
      </c>
      <c r="H323" s="1">
        <v>45961.333333333336</v>
      </c>
    </row>
    <row r="324" spans="1:8" x14ac:dyDescent="0.25">
      <c r="A324" s="7">
        <f>DATE(YEAR(m7_crossvalid[[#This Row],[cutoff]]),MONTH(m7_crossvalid[[#This Row],[cutoff]]),DAY(m7_crossvalid[[#This Row],[cutoff]]))</f>
        <v>45961</v>
      </c>
      <c r="B324" s="7">
        <f>DATE(YEAR(m7_crossvalid[[#This Row],[ds]]),MONTH(m7_crossvalid[[#This Row],[ds]]),DAY(m7_crossvalid[[#This Row],[ds]]))</f>
        <v>45974</v>
      </c>
      <c r="C324">
        <v>2401</v>
      </c>
      <c r="D324" s="1">
        <v>45974.333333333336</v>
      </c>
      <c r="E324">
        <v>2751.3279488010603</v>
      </c>
      <c r="F324">
        <v>1353.6705116574997</v>
      </c>
      <c r="G324">
        <v>4179.4404356490268</v>
      </c>
      <c r="H324" s="1">
        <v>45961.333333333336</v>
      </c>
    </row>
    <row r="325" spans="1:8" x14ac:dyDescent="0.25">
      <c r="A325" s="7">
        <f>DATE(YEAR(m7_crossvalid[[#This Row],[cutoff]]),MONTH(m7_crossvalid[[#This Row],[cutoff]]),DAY(m7_crossvalid[[#This Row],[cutoff]]))</f>
        <v>45961</v>
      </c>
      <c r="B325" s="7">
        <f>DATE(YEAR(m7_crossvalid[[#This Row],[ds]]),MONTH(m7_crossvalid[[#This Row],[ds]]),DAY(m7_crossvalid[[#This Row],[ds]]))</f>
        <v>45975</v>
      </c>
      <c r="C325">
        <v>2547</v>
      </c>
      <c r="D325" s="1">
        <v>45975.333333333336</v>
      </c>
      <c r="E325">
        <v>2726.7404831541967</v>
      </c>
      <c r="F325">
        <v>1277.73337748464</v>
      </c>
      <c r="G325">
        <v>4178.8018055314778</v>
      </c>
      <c r="H325" s="1">
        <v>45961.333333333336</v>
      </c>
    </row>
    <row r="326" spans="1:8" x14ac:dyDescent="0.25">
      <c r="A326" s="7">
        <f>DATE(YEAR(m7_crossvalid[[#This Row],[cutoff]]),MONTH(m7_crossvalid[[#This Row],[cutoff]]),DAY(m7_crossvalid[[#This Row],[cutoff]]))</f>
        <v>45961</v>
      </c>
      <c r="B326" s="7">
        <f>DATE(YEAR(m7_crossvalid[[#This Row],[ds]]),MONTH(m7_crossvalid[[#This Row],[ds]]),DAY(m7_crossvalid[[#This Row],[ds]]))</f>
        <v>45976</v>
      </c>
      <c r="C326">
        <v>773</v>
      </c>
      <c r="D326" s="1">
        <v>45976.333333333336</v>
      </c>
      <c r="E326">
        <v>500.42770351238323</v>
      </c>
      <c r="F326">
        <v>-883.48843876285309</v>
      </c>
      <c r="G326">
        <v>1940.1849079093915</v>
      </c>
      <c r="H326" s="1">
        <v>45961.333333333336</v>
      </c>
    </row>
    <row r="327" spans="1:8" x14ac:dyDescent="0.25">
      <c r="A327" s="7">
        <f>DATE(YEAR(m7_crossvalid[[#This Row],[cutoff]]),MONTH(m7_crossvalid[[#This Row],[cutoff]]),DAY(m7_crossvalid[[#This Row],[cutoff]]))</f>
        <v>45961</v>
      </c>
      <c r="B327" s="7">
        <f>DATE(YEAR(m7_crossvalid[[#This Row],[ds]]),MONTH(m7_crossvalid[[#This Row],[ds]]),DAY(m7_crossvalid[[#This Row],[ds]]))</f>
        <v>45977</v>
      </c>
      <c r="C327">
        <v>113</v>
      </c>
      <c r="D327" s="1">
        <v>45977.333333333336</v>
      </c>
      <c r="E327">
        <v>86.827024886595154</v>
      </c>
      <c r="F327">
        <v>-1365.0329844975356</v>
      </c>
      <c r="G327">
        <v>1450.3745309420035</v>
      </c>
      <c r="H327" s="1">
        <v>45961.333333333336</v>
      </c>
    </row>
    <row r="328" spans="1:8" x14ac:dyDescent="0.25">
      <c r="A328" s="7">
        <f>DATE(YEAR(m7_crossvalid[[#This Row],[cutoff]]),MONTH(m7_crossvalid[[#This Row],[cutoff]]),DAY(m7_crossvalid[[#This Row],[cutoff]]))</f>
        <v>45961</v>
      </c>
      <c r="B328" s="7">
        <f>DATE(YEAR(m7_crossvalid[[#This Row],[ds]]),MONTH(m7_crossvalid[[#This Row],[ds]]),DAY(m7_crossvalid[[#This Row],[ds]]))</f>
        <v>45978</v>
      </c>
      <c r="C328">
        <v>2849</v>
      </c>
      <c r="D328" s="1">
        <v>45978.333333333336</v>
      </c>
      <c r="E328">
        <v>2741.9497939205648</v>
      </c>
      <c r="F328">
        <v>1242.7017088400428</v>
      </c>
      <c r="G328">
        <v>4136.3222721917991</v>
      </c>
      <c r="H328" s="1">
        <v>45961.333333333336</v>
      </c>
    </row>
    <row r="329" spans="1:8" x14ac:dyDescent="0.25">
      <c r="A329" s="7">
        <f>DATE(YEAR(m7_crossvalid[[#This Row],[cutoff]]),MONTH(m7_crossvalid[[#This Row],[cutoff]]),DAY(m7_crossvalid[[#This Row],[cutoff]]))</f>
        <v>45961</v>
      </c>
      <c r="B329" s="7">
        <f>DATE(YEAR(m7_crossvalid[[#This Row],[ds]]),MONTH(m7_crossvalid[[#This Row],[ds]]),DAY(m7_crossvalid[[#This Row],[ds]]))</f>
        <v>45979</v>
      </c>
      <c r="C329">
        <v>3351</v>
      </c>
      <c r="D329" s="1">
        <v>45979.333333333336</v>
      </c>
      <c r="E329">
        <v>3060.5607393506561</v>
      </c>
      <c r="F329">
        <v>1662.3159873543577</v>
      </c>
      <c r="G329">
        <v>4496.2671831815451</v>
      </c>
      <c r="H329" s="1">
        <v>45961.333333333336</v>
      </c>
    </row>
    <row r="330" spans="1:8" x14ac:dyDescent="0.25">
      <c r="A330" s="7">
        <f>DATE(YEAR(m7_crossvalid[[#This Row],[cutoff]]),MONTH(m7_crossvalid[[#This Row],[cutoff]]),DAY(m7_crossvalid[[#This Row],[cutoff]]))</f>
        <v>45961</v>
      </c>
      <c r="B330" s="7">
        <f>DATE(YEAR(m7_crossvalid[[#This Row],[ds]]),MONTH(m7_crossvalid[[#This Row],[ds]]),DAY(m7_crossvalid[[#This Row],[ds]]))</f>
        <v>45980</v>
      </c>
      <c r="C330">
        <v>3248</v>
      </c>
      <c r="D330" s="1">
        <v>45980.333333333336</v>
      </c>
      <c r="E330">
        <v>3143.7310462952501</v>
      </c>
      <c r="F330">
        <v>1625.8867124399794</v>
      </c>
      <c r="G330">
        <v>4596.5317155565454</v>
      </c>
      <c r="H330" s="1">
        <v>45961.333333333336</v>
      </c>
    </row>
    <row r="331" spans="1:8" x14ac:dyDescent="0.25">
      <c r="A331" s="7">
        <f>DATE(YEAR(m7_crossvalid[[#This Row],[cutoff]]),MONTH(m7_crossvalid[[#This Row],[cutoff]]),DAY(m7_crossvalid[[#This Row],[cutoff]]))</f>
        <v>45961</v>
      </c>
      <c r="B331" s="7">
        <f>DATE(YEAR(m7_crossvalid[[#This Row],[ds]]),MONTH(m7_crossvalid[[#This Row],[ds]]),DAY(m7_crossvalid[[#This Row],[ds]]))</f>
        <v>45981</v>
      </c>
      <c r="C331">
        <v>3581</v>
      </c>
      <c r="D331" s="1">
        <v>45981.333333333336</v>
      </c>
      <c r="E331">
        <v>3256.4411465882708</v>
      </c>
      <c r="F331">
        <v>1800.3328219520458</v>
      </c>
      <c r="G331">
        <v>4754.5972913037422</v>
      </c>
      <c r="H331" s="1">
        <v>45961.333333333336</v>
      </c>
    </row>
    <row r="332" spans="1:8" x14ac:dyDescent="0.25">
      <c r="A332" s="7">
        <f>DATE(YEAR(m7_crossvalid[[#This Row],[cutoff]]),MONTH(m7_crossvalid[[#This Row],[cutoff]]),DAY(m7_crossvalid[[#This Row],[cutoff]]))</f>
        <v>45961</v>
      </c>
      <c r="B332" s="7">
        <f>DATE(YEAR(m7_crossvalid[[#This Row],[ds]]),MONTH(m7_crossvalid[[#This Row],[ds]]),DAY(m7_crossvalid[[#This Row],[ds]]))</f>
        <v>45982</v>
      </c>
      <c r="C332">
        <v>3622</v>
      </c>
      <c r="D332" s="1">
        <v>45982.333333333336</v>
      </c>
      <c r="E332">
        <v>3247.5129443711339</v>
      </c>
      <c r="F332">
        <v>1942.520553838275</v>
      </c>
      <c r="G332">
        <v>4742.8892856651291</v>
      </c>
      <c r="H332" s="1">
        <v>45961.333333333336</v>
      </c>
    </row>
    <row r="333" spans="1:8" x14ac:dyDescent="0.25">
      <c r="A333" s="7">
        <f>DATE(YEAR(m7_crossvalid[[#This Row],[cutoff]]),MONTH(m7_crossvalid[[#This Row],[cutoff]]),DAY(m7_crossvalid[[#This Row],[cutoff]]))</f>
        <v>45961</v>
      </c>
      <c r="B333" s="7">
        <f>DATE(YEAR(m7_crossvalid[[#This Row],[ds]]),MONTH(m7_crossvalid[[#This Row],[ds]]),DAY(m7_crossvalid[[#This Row],[ds]]))</f>
        <v>45983</v>
      </c>
      <c r="C333">
        <v>783</v>
      </c>
      <c r="D333" s="1">
        <v>45983.333333333336</v>
      </c>
      <c r="E333">
        <v>1023.898056839992</v>
      </c>
      <c r="F333">
        <v>-332.34510415301679</v>
      </c>
      <c r="G333">
        <v>2394.404263071734</v>
      </c>
      <c r="H333" s="1">
        <v>45961.333333333336</v>
      </c>
    </row>
    <row r="334" spans="1:8" x14ac:dyDescent="0.25">
      <c r="A334" s="7">
        <f>DATE(YEAR(m7_crossvalid[[#This Row],[cutoff]]),MONTH(m7_crossvalid[[#This Row],[cutoff]]),DAY(m7_crossvalid[[#This Row],[cutoff]]))</f>
        <v>45961</v>
      </c>
      <c r="B334" s="7">
        <f>DATE(YEAR(m7_crossvalid[[#This Row],[ds]]),MONTH(m7_crossvalid[[#This Row],[ds]]),DAY(m7_crossvalid[[#This Row],[ds]]))</f>
        <v>45984</v>
      </c>
      <c r="C334">
        <v>188</v>
      </c>
      <c r="D334" s="1">
        <v>45984.333333333336</v>
      </c>
      <c r="E334">
        <v>679.87590229293482</v>
      </c>
      <c r="F334">
        <v>-830.64452414586322</v>
      </c>
      <c r="G334">
        <v>2123.0249027426562</v>
      </c>
      <c r="H334" s="1">
        <v>45961.333333333336</v>
      </c>
    </row>
    <row r="335" spans="1:8" x14ac:dyDescent="0.25">
      <c r="A335" s="7">
        <f>DATE(YEAR(m7_crossvalid[[#This Row],[cutoff]]),MONTH(m7_crossvalid[[#This Row],[cutoff]]),DAY(m7_crossvalid[[#This Row],[cutoff]]))</f>
        <v>45961</v>
      </c>
      <c r="B335" s="7">
        <f>DATE(YEAR(m7_crossvalid[[#This Row],[ds]]),MONTH(m7_crossvalid[[#This Row],[ds]]),DAY(m7_crossvalid[[#This Row],[ds]]))</f>
        <v>45985</v>
      </c>
      <c r="C335">
        <v>3515</v>
      </c>
      <c r="D335" s="1">
        <v>45985.333333333336</v>
      </c>
      <c r="E335">
        <v>3363.0834948927186</v>
      </c>
      <c r="F335">
        <v>1888.0396240926436</v>
      </c>
      <c r="G335">
        <v>4774.7640272720018</v>
      </c>
      <c r="H335" s="1">
        <v>45961.333333333336</v>
      </c>
    </row>
    <row r="336" spans="1:8" x14ac:dyDescent="0.25">
      <c r="A336" s="7">
        <f>DATE(YEAR(m7_crossvalid[[#This Row],[cutoff]]),MONTH(m7_crossvalid[[#This Row],[cutoff]]),DAY(m7_crossvalid[[#This Row],[cutoff]]))</f>
        <v>45961</v>
      </c>
      <c r="B336" s="7">
        <f>DATE(YEAR(m7_crossvalid[[#This Row],[ds]]),MONTH(m7_crossvalid[[#This Row],[ds]]),DAY(m7_crossvalid[[#This Row],[ds]]))</f>
        <v>45986</v>
      </c>
      <c r="C336">
        <v>4824</v>
      </c>
      <c r="D336" s="1">
        <v>45986.333333333336</v>
      </c>
      <c r="E336">
        <v>3732.7989185911674</v>
      </c>
      <c r="F336">
        <v>2299.2193585108794</v>
      </c>
      <c r="G336">
        <v>5265.409935672682</v>
      </c>
      <c r="H336" s="1">
        <v>45961.333333333336</v>
      </c>
    </row>
    <row r="337" spans="1:8" x14ac:dyDescent="0.25">
      <c r="A337" s="7">
        <f>DATE(YEAR(m7_crossvalid[[#This Row],[cutoff]]),MONTH(m7_crossvalid[[#This Row],[cutoff]]),DAY(m7_crossvalid[[#This Row],[cutoff]]))</f>
        <v>45961</v>
      </c>
      <c r="B337" s="7">
        <f>DATE(YEAR(m7_crossvalid[[#This Row],[ds]]),MONTH(m7_crossvalid[[#This Row],[ds]]),DAY(m7_crossvalid[[#This Row],[ds]]))</f>
        <v>45987</v>
      </c>
      <c r="C337">
        <v>5463</v>
      </c>
      <c r="D337" s="1">
        <v>45987.333333333336</v>
      </c>
      <c r="E337">
        <v>5152.6424381214438</v>
      </c>
      <c r="F337">
        <v>3699.4844993870602</v>
      </c>
      <c r="G337">
        <v>6507.933661978067</v>
      </c>
      <c r="H337" s="1">
        <v>45961.333333333336</v>
      </c>
    </row>
    <row r="338" spans="1:8" x14ac:dyDescent="0.25">
      <c r="A338" s="7">
        <f>DATE(YEAR(m7_crossvalid[[#This Row],[cutoff]]),MONTH(m7_crossvalid[[#This Row],[cutoff]]),DAY(m7_crossvalid[[#This Row],[cutoff]]))</f>
        <v>45961</v>
      </c>
      <c r="B338" s="7">
        <f>DATE(YEAR(m7_crossvalid[[#This Row],[ds]]),MONTH(m7_crossvalid[[#This Row],[ds]]),DAY(m7_crossvalid[[#This Row],[ds]]))</f>
        <v>45988</v>
      </c>
      <c r="C338">
        <v>7236</v>
      </c>
      <c r="D338" s="1">
        <v>45988.333333333336</v>
      </c>
      <c r="E338">
        <v>5044.7494576852805</v>
      </c>
      <c r="F338">
        <v>3556.7746639366142</v>
      </c>
      <c r="G338">
        <v>6514.9857103752947</v>
      </c>
      <c r="H338" s="1">
        <v>45961.333333333336</v>
      </c>
    </row>
    <row r="339" spans="1:8" x14ac:dyDescent="0.25">
      <c r="A339" s="7">
        <f>DATE(YEAR(m7_crossvalid[[#This Row],[cutoff]]),MONTH(m7_crossvalid[[#This Row],[cutoff]]),DAY(m7_crossvalid[[#This Row],[cutoff]]))</f>
        <v>45961</v>
      </c>
      <c r="B339" s="7">
        <f>DATE(YEAR(m7_crossvalid[[#This Row],[ds]]),MONTH(m7_crossvalid[[#This Row],[ds]]),DAY(m7_crossvalid[[#This Row],[ds]]))</f>
        <v>45989</v>
      </c>
      <c r="C339">
        <v>10013</v>
      </c>
      <c r="D339" s="1">
        <v>45989.333333333336</v>
      </c>
      <c r="E339">
        <v>5124.0615064846261</v>
      </c>
      <c r="F339">
        <v>3633.946790493419</v>
      </c>
      <c r="G339">
        <v>6550.8733000518041</v>
      </c>
      <c r="H339" s="1">
        <v>45961.333333333336</v>
      </c>
    </row>
    <row r="340" spans="1:8" x14ac:dyDescent="0.25">
      <c r="A340" s="7">
        <f>DATE(YEAR(m7_crossvalid[[#This Row],[cutoff]]),MONTH(m7_crossvalid[[#This Row],[cutoff]]),DAY(m7_crossvalid[[#This Row],[cutoff]]))</f>
        <v>45961</v>
      </c>
      <c r="B340" s="7">
        <f>DATE(YEAR(m7_crossvalid[[#This Row],[ds]]),MONTH(m7_crossvalid[[#This Row],[ds]]),DAY(m7_crossvalid[[#This Row],[ds]]))</f>
        <v>45990</v>
      </c>
      <c r="C340">
        <v>8210</v>
      </c>
      <c r="D340" s="1">
        <v>45990.333333333336</v>
      </c>
      <c r="E340">
        <v>5468.948140748651</v>
      </c>
      <c r="F340">
        <v>4035.6676229759237</v>
      </c>
      <c r="G340">
        <v>6973.3872823940565</v>
      </c>
      <c r="H340" s="1">
        <v>45961.333333333336</v>
      </c>
    </row>
    <row r="341" spans="1:8" x14ac:dyDescent="0.25">
      <c r="A341" s="7">
        <f>DATE(YEAR(m7_crossvalid[[#This Row],[cutoff]]),MONTH(m7_crossvalid[[#This Row],[cutoff]]),DAY(m7_crossvalid[[#This Row],[cutoff]]))</f>
        <v>45961</v>
      </c>
      <c r="B341" s="7">
        <f>DATE(YEAR(m7_crossvalid[[#This Row],[ds]]),MONTH(m7_crossvalid[[#This Row],[ds]]),DAY(m7_crossvalid[[#This Row],[ds]]))</f>
        <v>45991</v>
      </c>
      <c r="C341">
        <v>3567</v>
      </c>
      <c r="D341" s="1">
        <v>45991.333333333336</v>
      </c>
      <c r="E341">
        <v>7426.0639006247784</v>
      </c>
      <c r="F341">
        <v>5929.2051181182442</v>
      </c>
      <c r="G341">
        <v>8875.3184541779337</v>
      </c>
      <c r="H341" s="1">
        <v>45961.333333333336</v>
      </c>
    </row>
    <row r="342" spans="1:8" x14ac:dyDescent="0.25">
      <c r="A342" s="7">
        <f>DATE(YEAR(m7_crossvalid[[#This Row],[cutoff]]),MONTH(m7_crossvalid[[#This Row],[cutoff]]),DAY(m7_crossvalid[[#This Row],[cutoff]]))</f>
        <v>45961</v>
      </c>
      <c r="B342" s="7">
        <f>DATE(YEAR(m7_crossvalid[[#This Row],[ds]]),MONTH(m7_crossvalid[[#This Row],[ds]]),DAY(m7_crossvalid[[#This Row],[ds]]))</f>
        <v>45992</v>
      </c>
      <c r="C342">
        <v>659</v>
      </c>
      <c r="D342" s="1">
        <v>45992.333333333336</v>
      </c>
      <c r="E342">
        <v>2164.7283751679115</v>
      </c>
      <c r="F342">
        <v>772.41228940047517</v>
      </c>
      <c r="G342">
        <v>3665.440305628319</v>
      </c>
      <c r="H342" s="1">
        <v>45961.333333333336</v>
      </c>
    </row>
    <row r="343" spans="1:8" x14ac:dyDescent="0.25">
      <c r="A343" s="7">
        <f>DATE(YEAR(m7_crossvalid[[#This Row],[cutoff]]),MONTH(m7_crossvalid[[#This Row],[cutoff]]),DAY(m7_crossvalid[[#This Row],[cutoff]]))</f>
        <v>45991</v>
      </c>
      <c r="B343" s="7">
        <f>DATE(YEAR(m7_crossvalid[[#This Row],[ds]]),MONTH(m7_crossvalid[[#This Row],[ds]]),DAY(m7_crossvalid[[#This Row],[ds]]))</f>
        <v>45992</v>
      </c>
      <c r="C343">
        <v>659</v>
      </c>
      <c r="D343" s="1">
        <v>45992.333333333336</v>
      </c>
      <c r="E343">
        <v>2245.6107764095345</v>
      </c>
      <c r="F343">
        <v>881.64580410230326</v>
      </c>
      <c r="G343">
        <v>3628.4548553559052</v>
      </c>
      <c r="H343" s="1">
        <v>45991.333333333336</v>
      </c>
    </row>
    <row r="344" spans="1:8" x14ac:dyDescent="0.25">
      <c r="A344" s="7">
        <f>DATE(YEAR(m7_crossvalid[[#This Row],[cutoff]]),MONTH(m7_crossvalid[[#This Row],[cutoff]]),DAY(m7_crossvalid[[#This Row],[cutoff]]))</f>
        <v>45991</v>
      </c>
      <c r="B344" s="7">
        <f>DATE(YEAR(m7_crossvalid[[#This Row],[ds]]),MONTH(m7_crossvalid[[#This Row],[ds]]),DAY(m7_crossvalid[[#This Row],[ds]]))</f>
        <v>45993</v>
      </c>
      <c r="C344">
        <v>963</v>
      </c>
      <c r="D344" s="1">
        <v>45993.333333333336</v>
      </c>
      <c r="E344">
        <v>1704.9787766570532</v>
      </c>
      <c r="F344">
        <v>262.93724082275099</v>
      </c>
      <c r="G344">
        <v>3126.2757756134793</v>
      </c>
      <c r="H344" s="1">
        <v>45991.333333333336</v>
      </c>
    </row>
    <row r="345" spans="1:8" x14ac:dyDescent="0.25">
      <c r="A345" s="7">
        <f>DATE(YEAR(m7_crossvalid[[#This Row],[cutoff]]),MONTH(m7_crossvalid[[#This Row],[cutoff]]),DAY(m7_crossvalid[[#This Row],[cutoff]]))</f>
        <v>45991</v>
      </c>
      <c r="B345" s="7">
        <f>DATE(YEAR(m7_crossvalid[[#This Row],[ds]]),MONTH(m7_crossvalid[[#This Row],[ds]]),DAY(m7_crossvalid[[#This Row],[ds]]))</f>
        <v>45994</v>
      </c>
      <c r="C345">
        <v>1248</v>
      </c>
      <c r="D345" s="1">
        <v>45994.333333333336</v>
      </c>
      <c r="E345">
        <v>1745.4701471461265</v>
      </c>
      <c r="F345">
        <v>315.04473177651045</v>
      </c>
      <c r="G345">
        <v>3188.0660574867147</v>
      </c>
      <c r="H345" s="1">
        <v>45991.333333333336</v>
      </c>
    </row>
    <row r="346" spans="1:8" x14ac:dyDescent="0.25">
      <c r="A346" s="7">
        <f>DATE(YEAR(m7_crossvalid[[#This Row],[cutoff]]),MONTH(m7_crossvalid[[#This Row],[cutoff]]),DAY(m7_crossvalid[[#This Row],[cutoff]]))</f>
        <v>45991</v>
      </c>
      <c r="B346" s="7">
        <f>DATE(YEAR(m7_crossvalid[[#This Row],[ds]]),MONTH(m7_crossvalid[[#This Row],[ds]]),DAY(m7_crossvalid[[#This Row],[ds]]))</f>
        <v>45995</v>
      </c>
      <c r="C346">
        <v>1462</v>
      </c>
      <c r="D346" s="1">
        <v>45995.333333333336</v>
      </c>
      <c r="E346">
        <v>1833.435059476868</v>
      </c>
      <c r="F346">
        <v>341.53064061482399</v>
      </c>
      <c r="G346">
        <v>3076.1985012254117</v>
      </c>
      <c r="H346" s="1">
        <v>45991.333333333336</v>
      </c>
    </row>
    <row r="347" spans="1:8" x14ac:dyDescent="0.25">
      <c r="A347" s="7">
        <f>DATE(YEAR(m7_crossvalid[[#This Row],[cutoff]]),MONTH(m7_crossvalid[[#This Row],[cutoff]]),DAY(m7_crossvalid[[#This Row],[cutoff]]))</f>
        <v>45991</v>
      </c>
      <c r="B347" s="7">
        <f>DATE(YEAR(m7_crossvalid[[#This Row],[ds]]),MONTH(m7_crossvalid[[#This Row],[ds]]),DAY(m7_crossvalid[[#This Row],[ds]]))</f>
        <v>45996</v>
      </c>
      <c r="C347">
        <v>1441</v>
      </c>
      <c r="D347" s="1">
        <v>45996.333333333336</v>
      </c>
      <c r="E347">
        <v>1842.1215419812195</v>
      </c>
      <c r="F347">
        <v>482.45573198054353</v>
      </c>
      <c r="G347">
        <v>3297.348446901568</v>
      </c>
      <c r="H347" s="1">
        <v>45991.333333333336</v>
      </c>
    </row>
    <row r="348" spans="1:8" x14ac:dyDescent="0.25">
      <c r="A348" s="7">
        <f>DATE(YEAR(m7_crossvalid[[#This Row],[cutoff]]),MONTH(m7_crossvalid[[#This Row],[cutoff]]),DAY(m7_crossvalid[[#This Row],[cutoff]]))</f>
        <v>45991</v>
      </c>
      <c r="B348" s="7">
        <f>DATE(YEAR(m7_crossvalid[[#This Row],[ds]]),MONTH(m7_crossvalid[[#This Row],[ds]]),DAY(m7_crossvalid[[#This Row],[ds]]))</f>
        <v>45997</v>
      </c>
      <c r="C348">
        <v>380</v>
      </c>
      <c r="D348" s="1">
        <v>45997.333333333336</v>
      </c>
      <c r="E348">
        <v>-352.05853780844791</v>
      </c>
      <c r="F348">
        <v>-1825.309112031347</v>
      </c>
      <c r="G348">
        <v>1021.8970776628373</v>
      </c>
      <c r="H348" s="1">
        <v>45991.333333333336</v>
      </c>
    </row>
    <row r="349" spans="1:8" x14ac:dyDescent="0.25">
      <c r="A349" s="7">
        <f>DATE(YEAR(m7_crossvalid[[#This Row],[cutoff]]),MONTH(m7_crossvalid[[#This Row],[cutoff]]),DAY(m7_crossvalid[[#This Row],[cutoff]]))</f>
        <v>45991</v>
      </c>
      <c r="B349" s="7">
        <f>DATE(YEAR(m7_crossvalid[[#This Row],[ds]]),MONTH(m7_crossvalid[[#This Row],[ds]]),DAY(m7_crossvalid[[#This Row],[ds]]))</f>
        <v>45998</v>
      </c>
      <c r="C349">
        <v>59</v>
      </c>
      <c r="D349" s="1">
        <v>45998.333333333336</v>
      </c>
      <c r="E349">
        <v>-879.94093576220484</v>
      </c>
      <c r="F349">
        <v>-2342.7842660413271</v>
      </c>
      <c r="G349">
        <v>548.3459134398588</v>
      </c>
      <c r="H349" s="1">
        <v>45991.333333333336</v>
      </c>
    </row>
    <row r="350" spans="1:8" x14ac:dyDescent="0.25">
      <c r="A350" s="7">
        <f>DATE(YEAR(m7_crossvalid[[#This Row],[cutoff]]),MONTH(m7_crossvalid[[#This Row],[cutoff]]),DAY(m7_crossvalid[[#This Row],[cutoff]]))</f>
        <v>45991</v>
      </c>
      <c r="B350" s="7">
        <f>DATE(YEAR(m7_crossvalid[[#This Row],[ds]]),MONTH(m7_crossvalid[[#This Row],[ds]]),DAY(m7_crossvalid[[#This Row],[ds]]))</f>
        <v>45999</v>
      </c>
      <c r="C350">
        <v>1698</v>
      </c>
      <c r="D350" s="1">
        <v>45999.333333333336</v>
      </c>
      <c r="E350">
        <v>2270.635374980875</v>
      </c>
      <c r="F350">
        <v>844.42661090878778</v>
      </c>
      <c r="G350">
        <v>3769.2855240692279</v>
      </c>
      <c r="H350" s="1">
        <v>45991.333333333336</v>
      </c>
    </row>
    <row r="351" spans="1:8" x14ac:dyDescent="0.25">
      <c r="A351" s="7">
        <f>DATE(YEAR(m7_crossvalid[[#This Row],[cutoff]]),MONTH(m7_crossvalid[[#This Row],[cutoff]]),DAY(m7_crossvalid[[#This Row],[cutoff]]))</f>
        <v>45991</v>
      </c>
      <c r="B351" s="7">
        <f>DATE(YEAR(m7_crossvalid[[#This Row],[ds]]),MONTH(m7_crossvalid[[#This Row],[ds]]),DAY(m7_crossvalid[[#This Row],[ds]]))</f>
        <v>46000</v>
      </c>
      <c r="C351">
        <v>1924</v>
      </c>
      <c r="D351" s="1">
        <v>46000.333333333336</v>
      </c>
      <c r="E351">
        <v>2515.4347195413657</v>
      </c>
      <c r="F351">
        <v>1074.8489660619903</v>
      </c>
      <c r="G351">
        <v>3943.0762558850711</v>
      </c>
      <c r="H351" s="1">
        <v>45991.333333333336</v>
      </c>
    </row>
    <row r="352" spans="1:8" x14ac:dyDescent="0.25">
      <c r="A352" s="7">
        <f>DATE(YEAR(m7_crossvalid[[#This Row],[cutoff]]),MONTH(m7_crossvalid[[#This Row],[cutoff]]),DAY(m7_crossvalid[[#This Row],[cutoff]]))</f>
        <v>45991</v>
      </c>
      <c r="B352" s="7">
        <f>DATE(YEAR(m7_crossvalid[[#This Row],[ds]]),MONTH(m7_crossvalid[[#This Row],[ds]]),DAY(m7_crossvalid[[#This Row],[ds]]))</f>
        <v>46001</v>
      </c>
      <c r="C352">
        <v>2624</v>
      </c>
      <c r="D352" s="1">
        <v>46001.333333333336</v>
      </c>
      <c r="E352">
        <v>2480.234834220425</v>
      </c>
      <c r="F352">
        <v>1015.9197871253903</v>
      </c>
      <c r="G352">
        <v>3861.7765633443291</v>
      </c>
      <c r="H352" s="1">
        <v>45991.333333333336</v>
      </c>
    </row>
    <row r="353" spans="1:8" x14ac:dyDescent="0.25">
      <c r="A353" s="7">
        <f>DATE(YEAR(m7_crossvalid[[#This Row],[cutoff]]),MONTH(m7_crossvalid[[#This Row],[cutoff]]),DAY(m7_crossvalid[[#This Row],[cutoff]]))</f>
        <v>45991</v>
      </c>
      <c r="B353" s="7">
        <f>DATE(YEAR(m7_crossvalid[[#This Row],[ds]]),MONTH(m7_crossvalid[[#This Row],[ds]]),DAY(m7_crossvalid[[#This Row],[ds]]))</f>
        <v>46002</v>
      </c>
      <c r="C353">
        <v>1853</v>
      </c>
      <c r="D353" s="1">
        <v>46002.333333333336</v>
      </c>
      <c r="E353">
        <v>2597.3339079114348</v>
      </c>
      <c r="F353">
        <v>1156.7053655576017</v>
      </c>
      <c r="G353">
        <v>4037.8549395495215</v>
      </c>
      <c r="H353" s="1">
        <v>45991.333333333336</v>
      </c>
    </row>
    <row r="354" spans="1:8" x14ac:dyDescent="0.25">
      <c r="A354" s="7">
        <f>DATE(YEAR(m7_crossvalid[[#This Row],[cutoff]]),MONTH(m7_crossvalid[[#This Row],[cutoff]]),DAY(m7_crossvalid[[#This Row],[cutoff]]))</f>
        <v>45991</v>
      </c>
      <c r="B354" s="7">
        <f>DATE(YEAR(m7_crossvalid[[#This Row],[ds]]),MONTH(m7_crossvalid[[#This Row],[ds]]),DAY(m7_crossvalid[[#This Row],[ds]]))</f>
        <v>46003</v>
      </c>
      <c r="C354">
        <v>3010</v>
      </c>
      <c r="D354" s="1">
        <v>46003.333333333336</v>
      </c>
      <c r="E354">
        <v>2795.0458718695309</v>
      </c>
      <c r="F354">
        <v>1361.6504305030032</v>
      </c>
      <c r="G354">
        <v>4243.9528537942124</v>
      </c>
      <c r="H354" s="1">
        <v>45991.333333333336</v>
      </c>
    </row>
    <row r="355" spans="1:8" x14ac:dyDescent="0.25">
      <c r="A355" s="7">
        <f>DATE(YEAR(m7_crossvalid[[#This Row],[cutoff]]),MONTH(m7_crossvalid[[#This Row],[cutoff]]),DAY(m7_crossvalid[[#This Row],[cutoff]]))</f>
        <v>45991</v>
      </c>
      <c r="B355" s="7">
        <f>DATE(YEAR(m7_crossvalid[[#This Row],[ds]]),MONTH(m7_crossvalid[[#This Row],[ds]]),DAY(m7_crossvalid[[#This Row],[ds]]))</f>
        <v>46004</v>
      </c>
      <c r="C355">
        <v>552</v>
      </c>
      <c r="D355" s="1">
        <v>46004.333333333336</v>
      </c>
      <c r="E355">
        <v>671.48340954744708</v>
      </c>
      <c r="F355">
        <v>-731.32897761270158</v>
      </c>
      <c r="G355">
        <v>1986.8855573051576</v>
      </c>
      <c r="H355" s="1">
        <v>45991.333333333336</v>
      </c>
    </row>
    <row r="356" spans="1:8" x14ac:dyDescent="0.25">
      <c r="A356" s="7">
        <f>DATE(YEAR(m7_crossvalid[[#This Row],[cutoff]]),MONTH(m7_crossvalid[[#This Row],[cutoff]]),DAY(m7_crossvalid[[#This Row],[cutoff]]))</f>
        <v>45991</v>
      </c>
      <c r="B356" s="7">
        <f>DATE(YEAR(m7_crossvalid[[#This Row],[ds]]),MONTH(m7_crossvalid[[#This Row],[ds]]),DAY(m7_crossvalid[[#This Row],[ds]]))</f>
        <v>46005</v>
      </c>
      <c r="C356">
        <v>162</v>
      </c>
      <c r="D356" s="1">
        <v>46005.333333333336</v>
      </c>
      <c r="E356">
        <v>165.44606584074427</v>
      </c>
      <c r="F356">
        <v>-1263.366888039104</v>
      </c>
      <c r="G356">
        <v>1618.5375646592972</v>
      </c>
      <c r="H356" s="1">
        <v>45991.333333333336</v>
      </c>
    </row>
    <row r="357" spans="1:8" x14ac:dyDescent="0.25">
      <c r="A357" s="7">
        <f>DATE(YEAR(m7_crossvalid[[#This Row],[cutoff]]),MONTH(m7_crossvalid[[#This Row],[cutoff]]),DAY(m7_crossvalid[[#This Row],[cutoff]]))</f>
        <v>45991</v>
      </c>
      <c r="B357" s="7">
        <f>DATE(YEAR(m7_crossvalid[[#This Row],[ds]]),MONTH(m7_crossvalid[[#This Row],[ds]]),DAY(m7_crossvalid[[#This Row],[ds]]))</f>
        <v>46006</v>
      </c>
      <c r="C357">
        <v>2685</v>
      </c>
      <c r="D357" s="1">
        <v>46006.333333333336</v>
      </c>
      <c r="E357">
        <v>2762.9807238344688</v>
      </c>
      <c r="F357">
        <v>1349.1291502252388</v>
      </c>
      <c r="G357">
        <v>4177.0606257056843</v>
      </c>
      <c r="H357" s="1">
        <v>45991.333333333336</v>
      </c>
    </row>
    <row r="358" spans="1:8" x14ac:dyDescent="0.25">
      <c r="A358" s="7">
        <f>DATE(YEAR(m7_crossvalid[[#This Row],[cutoff]]),MONTH(m7_crossvalid[[#This Row],[cutoff]]),DAY(m7_crossvalid[[#This Row],[cutoff]]))</f>
        <v>45991</v>
      </c>
      <c r="B358" s="7">
        <f>DATE(YEAR(m7_crossvalid[[#This Row],[ds]]),MONTH(m7_crossvalid[[#This Row],[ds]]),DAY(m7_crossvalid[[#This Row],[ds]]))</f>
        <v>46007</v>
      </c>
      <c r="C358">
        <v>3397</v>
      </c>
      <c r="D358" s="1">
        <v>46007.333333333336</v>
      </c>
      <c r="E358">
        <v>3217.8987258587058</v>
      </c>
      <c r="F358">
        <v>1829.6101049324716</v>
      </c>
      <c r="G358">
        <v>4686.0015068723997</v>
      </c>
      <c r="H358" s="1">
        <v>45991.333333333336</v>
      </c>
    </row>
    <row r="359" spans="1:8" x14ac:dyDescent="0.25">
      <c r="A359" s="7">
        <f>DATE(YEAR(m7_crossvalid[[#This Row],[cutoff]]),MONTH(m7_crossvalid[[#This Row],[cutoff]]),DAY(m7_crossvalid[[#This Row],[cutoff]]))</f>
        <v>45991</v>
      </c>
      <c r="B359" s="7">
        <f>DATE(YEAR(m7_crossvalid[[#This Row],[ds]]),MONTH(m7_crossvalid[[#This Row],[ds]]),DAY(m7_crossvalid[[#This Row],[ds]]))</f>
        <v>46008</v>
      </c>
      <c r="C359">
        <v>4029</v>
      </c>
      <c r="D359" s="1">
        <v>46008.333333333336</v>
      </c>
      <c r="E359">
        <v>3465.6237988721819</v>
      </c>
      <c r="F359">
        <v>2115.5335963400594</v>
      </c>
      <c r="G359">
        <v>4950.166485642254</v>
      </c>
      <c r="H359" s="1">
        <v>45991.333333333336</v>
      </c>
    </row>
    <row r="360" spans="1:8" x14ac:dyDescent="0.25">
      <c r="A360" s="7">
        <f>DATE(YEAR(m7_crossvalid[[#This Row],[cutoff]]),MONTH(m7_crossvalid[[#This Row],[cutoff]]),DAY(m7_crossvalid[[#This Row],[cutoff]]))</f>
        <v>45991</v>
      </c>
      <c r="B360" s="7">
        <f>DATE(YEAR(m7_crossvalid[[#This Row],[ds]]),MONTH(m7_crossvalid[[#This Row],[ds]]),DAY(m7_crossvalid[[#This Row],[ds]]))</f>
        <v>46009</v>
      </c>
      <c r="C360">
        <v>3874</v>
      </c>
      <c r="D360" s="1">
        <v>46009.333333333336</v>
      </c>
      <c r="E360">
        <v>3625.8924627647298</v>
      </c>
      <c r="F360">
        <v>2193.5701870911503</v>
      </c>
      <c r="G360">
        <v>5003.2326318681271</v>
      </c>
      <c r="H360" s="1">
        <v>45991.333333333336</v>
      </c>
    </row>
    <row r="361" spans="1:8" x14ac:dyDescent="0.25">
      <c r="A361" s="7">
        <f>DATE(YEAR(m7_crossvalid[[#This Row],[cutoff]]),MONTH(m7_crossvalid[[#This Row],[cutoff]]),DAY(m7_crossvalid[[#This Row],[cutoff]]))</f>
        <v>45991</v>
      </c>
      <c r="B361" s="7">
        <f>DATE(YEAR(m7_crossvalid[[#This Row],[ds]]),MONTH(m7_crossvalid[[#This Row],[ds]]),DAY(m7_crossvalid[[#This Row],[ds]]))</f>
        <v>46010</v>
      </c>
      <c r="C361">
        <v>4261</v>
      </c>
      <c r="D361" s="1">
        <v>46010.333333333336</v>
      </c>
      <c r="E361">
        <v>3639.3005054059981</v>
      </c>
      <c r="F361">
        <v>2149.6279764911919</v>
      </c>
      <c r="G361">
        <v>5123.3075152215115</v>
      </c>
      <c r="H361" s="1">
        <v>45991.333333333336</v>
      </c>
    </row>
    <row r="362" spans="1:8" x14ac:dyDescent="0.25">
      <c r="A362" s="7">
        <f>DATE(YEAR(m7_crossvalid[[#This Row],[cutoff]]),MONTH(m7_crossvalid[[#This Row],[cutoff]]),DAY(m7_crossvalid[[#This Row],[cutoff]]))</f>
        <v>45991</v>
      </c>
      <c r="B362" s="7">
        <f>DATE(YEAR(m7_crossvalid[[#This Row],[ds]]),MONTH(m7_crossvalid[[#This Row],[ds]]),DAY(m7_crossvalid[[#This Row],[ds]]))</f>
        <v>46011</v>
      </c>
      <c r="C362">
        <v>999</v>
      </c>
      <c r="D362" s="1">
        <v>46011.333333333336</v>
      </c>
      <c r="E362">
        <v>1453.5616069948994</v>
      </c>
      <c r="F362">
        <v>-75.930702377699077</v>
      </c>
      <c r="G362">
        <v>2826.7417208836573</v>
      </c>
      <c r="H362" s="1">
        <v>45991.333333333336</v>
      </c>
    </row>
    <row r="363" spans="1:8" x14ac:dyDescent="0.25">
      <c r="A363" s="7">
        <f>DATE(YEAR(m7_crossvalid[[#This Row],[cutoff]]),MONTH(m7_crossvalid[[#This Row],[cutoff]]),DAY(m7_crossvalid[[#This Row],[cutoff]]))</f>
        <v>45991</v>
      </c>
      <c r="B363" s="7">
        <f>DATE(YEAR(m7_crossvalid[[#This Row],[ds]]),MONTH(m7_crossvalid[[#This Row],[ds]]),DAY(m7_crossvalid[[#This Row],[ds]]))</f>
        <v>46012</v>
      </c>
      <c r="C363">
        <v>251</v>
      </c>
      <c r="D363" s="1">
        <v>46012.333333333336</v>
      </c>
      <c r="E363">
        <v>969.52004874696854</v>
      </c>
      <c r="F363">
        <v>-499.85738300920769</v>
      </c>
      <c r="G363">
        <v>2388.0343310075846</v>
      </c>
      <c r="H363" s="1">
        <v>45991.333333333336</v>
      </c>
    </row>
    <row r="364" spans="1:8" x14ac:dyDescent="0.25">
      <c r="A364" s="7">
        <f>DATE(YEAR(m7_crossvalid[[#This Row],[cutoff]]),MONTH(m7_crossvalid[[#This Row],[cutoff]]),DAY(m7_crossvalid[[#This Row],[cutoff]]))</f>
        <v>45991</v>
      </c>
      <c r="B364" s="7">
        <f>DATE(YEAR(m7_crossvalid[[#This Row],[ds]]),MONTH(m7_crossvalid[[#This Row],[ds]]),DAY(m7_crossvalid[[#This Row],[ds]]))</f>
        <v>46013</v>
      </c>
      <c r="C364">
        <v>4791</v>
      </c>
      <c r="D364" s="1">
        <v>46013.333333333336</v>
      </c>
      <c r="E364">
        <v>3523.3720308008724</v>
      </c>
      <c r="F364">
        <v>2092.2735739497839</v>
      </c>
      <c r="G364">
        <v>5044.9035131555202</v>
      </c>
      <c r="H364" s="1">
        <v>45991.333333333336</v>
      </c>
    </row>
    <row r="365" spans="1:8" x14ac:dyDescent="0.25">
      <c r="A365" s="7">
        <f>DATE(YEAR(m7_crossvalid[[#This Row],[cutoff]]),MONTH(m7_crossvalid[[#This Row],[cutoff]]),DAY(m7_crossvalid[[#This Row],[cutoff]]))</f>
        <v>45991</v>
      </c>
      <c r="B365" s="7">
        <f>DATE(YEAR(m7_crossvalid[[#This Row],[ds]]),MONTH(m7_crossvalid[[#This Row],[ds]]),DAY(m7_crossvalid[[#This Row],[ds]]))</f>
        <v>46014</v>
      </c>
      <c r="C365">
        <v>5802</v>
      </c>
      <c r="D365" s="1">
        <v>46014.333333333336</v>
      </c>
      <c r="E365">
        <v>3972.2641418097</v>
      </c>
      <c r="F365">
        <v>2518.3782056647256</v>
      </c>
      <c r="G365">
        <v>5416.0290671497251</v>
      </c>
      <c r="H365" s="1">
        <v>45991.333333333336</v>
      </c>
    </row>
    <row r="366" spans="1:8" x14ac:dyDescent="0.25">
      <c r="A366" s="7">
        <f>DATE(YEAR(m7_crossvalid[[#This Row],[cutoff]]),MONTH(m7_crossvalid[[#This Row],[cutoff]]),DAY(m7_crossvalid[[#This Row],[cutoff]]))</f>
        <v>45991</v>
      </c>
      <c r="B366" s="7">
        <f>DATE(YEAR(m7_crossvalid[[#This Row],[ds]]),MONTH(m7_crossvalid[[#This Row],[ds]]),DAY(m7_crossvalid[[#This Row],[ds]]))</f>
        <v>46015</v>
      </c>
      <c r="C366">
        <v>6117</v>
      </c>
      <c r="D366" s="1">
        <v>46015.333333333336</v>
      </c>
      <c r="E366">
        <v>4244.4595644353203</v>
      </c>
      <c r="F366">
        <v>2777.724359749498</v>
      </c>
      <c r="G366">
        <v>5746.0421662704948</v>
      </c>
      <c r="H366" s="1">
        <v>45991.333333333336</v>
      </c>
    </row>
    <row r="367" spans="1:8" x14ac:dyDescent="0.25">
      <c r="A367" s="7">
        <f>DATE(YEAR(m7_crossvalid[[#This Row],[cutoff]]),MONTH(m7_crossvalid[[#This Row],[cutoff]]),DAY(m7_crossvalid[[#This Row],[cutoff]]))</f>
        <v>45991</v>
      </c>
      <c r="B367" s="7">
        <f>DATE(YEAR(m7_crossvalid[[#This Row],[ds]]),MONTH(m7_crossvalid[[#This Row],[ds]]),DAY(m7_crossvalid[[#This Row],[ds]]))</f>
        <v>46016</v>
      </c>
      <c r="C367">
        <v>400</v>
      </c>
      <c r="D367" s="1">
        <v>46016.333333333336</v>
      </c>
      <c r="E367">
        <v>1310.2175190058779</v>
      </c>
      <c r="F367">
        <v>-183.88587574129622</v>
      </c>
      <c r="G367">
        <v>2675.6319062704629</v>
      </c>
      <c r="H367" s="1">
        <v>45991.333333333336</v>
      </c>
    </row>
    <row r="368" spans="1:8" x14ac:dyDescent="0.25">
      <c r="A368" s="7">
        <f>DATE(YEAR(m7_crossvalid[[#This Row],[cutoff]]),MONTH(m7_crossvalid[[#This Row],[cutoff]]),DAY(m7_crossvalid[[#This Row],[cutoff]]))</f>
        <v>45991</v>
      </c>
      <c r="B368" s="7">
        <f>DATE(YEAR(m7_crossvalid[[#This Row],[ds]]),MONTH(m7_crossvalid[[#This Row],[ds]]),DAY(m7_crossvalid[[#This Row],[ds]]))</f>
        <v>46017</v>
      </c>
      <c r="C368">
        <v>6559</v>
      </c>
      <c r="D368" s="1">
        <v>46017.333333333336</v>
      </c>
      <c r="E368">
        <v>4404.4243855692712</v>
      </c>
      <c r="F368">
        <v>2997.9284863203698</v>
      </c>
      <c r="G368">
        <v>5784.7962138936227</v>
      </c>
      <c r="H368" s="1">
        <v>45991.333333333336</v>
      </c>
    </row>
    <row r="369" spans="1:8" x14ac:dyDescent="0.25">
      <c r="A369" s="7">
        <f>DATE(YEAR(m7_crossvalid[[#This Row],[cutoff]]),MONTH(m7_crossvalid[[#This Row],[cutoff]]),DAY(m7_crossvalid[[#This Row],[cutoff]]))</f>
        <v>45991</v>
      </c>
      <c r="B369" s="7">
        <f>DATE(YEAR(m7_crossvalid[[#This Row],[ds]]),MONTH(m7_crossvalid[[#This Row],[ds]]),DAY(m7_crossvalid[[#This Row],[ds]]))</f>
        <v>46018</v>
      </c>
      <c r="C369">
        <v>1928</v>
      </c>
      <c r="D369" s="1">
        <v>46018.333333333336</v>
      </c>
      <c r="E369">
        <v>3410.2627981838932</v>
      </c>
      <c r="F369">
        <v>1961.0010475575418</v>
      </c>
      <c r="G369">
        <v>4917.1792209469086</v>
      </c>
      <c r="H369" s="1">
        <v>45991.333333333336</v>
      </c>
    </row>
    <row r="370" spans="1:8" x14ac:dyDescent="0.25">
      <c r="A370" s="7">
        <f>DATE(YEAR(m7_crossvalid[[#This Row],[cutoff]]),MONTH(m7_crossvalid[[#This Row],[cutoff]]),DAY(m7_crossvalid[[#This Row],[cutoff]]))</f>
        <v>45991</v>
      </c>
      <c r="B370" s="7">
        <f>DATE(YEAR(m7_crossvalid[[#This Row],[ds]]),MONTH(m7_crossvalid[[#This Row],[ds]]),DAY(m7_crossvalid[[#This Row],[ds]]))</f>
        <v>46019</v>
      </c>
      <c r="C370">
        <v>428</v>
      </c>
      <c r="D370" s="1">
        <v>46019.333333333336</v>
      </c>
      <c r="E370">
        <v>2786.9043925297183</v>
      </c>
      <c r="F370">
        <v>1267.3069738026984</v>
      </c>
      <c r="G370">
        <v>4208.0075438383674</v>
      </c>
      <c r="H370" s="1">
        <v>45991.333333333336</v>
      </c>
    </row>
    <row r="371" spans="1:8" x14ac:dyDescent="0.25">
      <c r="A371" s="7">
        <f>DATE(YEAR(m7_crossvalid[[#This Row],[cutoff]]),MONTH(m7_crossvalid[[#This Row],[cutoff]]),DAY(m7_crossvalid[[#This Row],[cutoff]]))</f>
        <v>45991</v>
      </c>
      <c r="B371" s="7">
        <f>DATE(YEAR(m7_crossvalid[[#This Row],[ds]]),MONTH(m7_crossvalid[[#This Row],[ds]]),DAY(m7_crossvalid[[#This Row],[ds]]))</f>
        <v>46020</v>
      </c>
      <c r="C371">
        <v>7441</v>
      </c>
      <c r="D371" s="1">
        <v>46020.333333333336</v>
      </c>
      <c r="E371">
        <v>5588.5244063516348</v>
      </c>
      <c r="F371">
        <v>4178.4762644874945</v>
      </c>
      <c r="G371">
        <v>7125.8118088089204</v>
      </c>
      <c r="H371" s="1">
        <v>45991.333333333336</v>
      </c>
    </row>
    <row r="372" spans="1:8" x14ac:dyDescent="0.25">
      <c r="A372" s="7">
        <f>DATE(YEAR(m7_crossvalid[[#This Row],[cutoff]]),MONTH(m7_crossvalid[[#This Row],[cutoff]]),DAY(m7_crossvalid[[#This Row],[cutoff]]))</f>
        <v>45991</v>
      </c>
      <c r="B372" s="7">
        <f>DATE(YEAR(m7_crossvalid[[#This Row],[ds]]),MONTH(m7_crossvalid[[#This Row],[ds]]),DAY(m7_crossvalid[[#This Row],[ds]]))</f>
        <v>46021</v>
      </c>
      <c r="C372">
        <v>10603</v>
      </c>
      <c r="D372" s="1">
        <v>46021.333333333336</v>
      </c>
      <c r="E372">
        <v>8236.1204585065498</v>
      </c>
      <c r="F372">
        <v>6778.3375679243509</v>
      </c>
      <c r="G372">
        <v>9655.3289060082607</v>
      </c>
      <c r="H372" s="1">
        <v>45991.333333333336</v>
      </c>
    </row>
    <row r="373" spans="1:8" x14ac:dyDescent="0.25">
      <c r="A373" s="7">
        <f>DATE(YEAR(m7_crossvalid[[#This Row],[cutoff]]),MONTH(m7_crossvalid[[#This Row],[cutoff]]),DAY(m7_crossvalid[[#This Row],[cutoff]]))</f>
        <v>45991</v>
      </c>
      <c r="B373" s="7">
        <f>DATE(YEAR(m7_crossvalid[[#This Row],[ds]]),MONTH(m7_crossvalid[[#This Row],[ds]]),DAY(m7_crossvalid[[#This Row],[ds]]))</f>
        <v>46022</v>
      </c>
      <c r="C373">
        <v>15370</v>
      </c>
      <c r="D373" s="1">
        <v>46022.333333333336</v>
      </c>
      <c r="E373">
        <v>10020.715278191103</v>
      </c>
      <c r="F373">
        <v>8558.6907231743826</v>
      </c>
      <c r="G373">
        <v>11575.825332875762</v>
      </c>
      <c r="H373" s="1">
        <v>45991.333333333336</v>
      </c>
    </row>
    <row r="374" spans="1:8" x14ac:dyDescent="0.25">
      <c r="A374" s="7">
        <f>DATE(YEAR(m7_crossvalid[[#This Row],[cutoff]]),MONTH(m7_crossvalid[[#This Row],[cutoff]]),DAY(m7_crossvalid[[#This Row],[cutoff]]))</f>
        <v>46022</v>
      </c>
      <c r="B374" s="7">
        <f>DATE(YEAR(m7_crossvalid[[#This Row],[ds]]),MONTH(m7_crossvalid[[#This Row],[ds]]),DAY(m7_crossvalid[[#This Row],[ds]]))</f>
        <v>46023</v>
      </c>
      <c r="C374">
        <v>2584</v>
      </c>
      <c r="D374" s="1">
        <v>46023.333333333336</v>
      </c>
      <c r="E374">
        <v>737.2431359044192</v>
      </c>
      <c r="F374">
        <v>-714.96937223186035</v>
      </c>
      <c r="G374">
        <v>2259.701882233554</v>
      </c>
      <c r="H374" s="1">
        <v>46022.333333333336</v>
      </c>
    </row>
    <row r="375" spans="1:8" x14ac:dyDescent="0.25">
      <c r="A375" s="7">
        <f>DATE(YEAR(m7_crossvalid[[#This Row],[cutoff]]),MONTH(m7_crossvalid[[#This Row],[cutoff]]),DAY(m7_crossvalid[[#This Row],[cutoff]]))</f>
        <v>46022</v>
      </c>
      <c r="B375" s="7">
        <f>DATE(YEAR(m7_crossvalid[[#This Row],[ds]]),MONTH(m7_crossvalid[[#This Row],[ds]]),DAY(m7_crossvalid[[#This Row],[ds]]))</f>
        <v>46024</v>
      </c>
      <c r="C375">
        <v>1536</v>
      </c>
      <c r="D375" s="1">
        <v>46024.333333333336</v>
      </c>
      <c r="E375">
        <v>1983.8651798476276</v>
      </c>
      <c r="F375">
        <v>545.42619438954671</v>
      </c>
      <c r="G375">
        <v>3355.3593171416092</v>
      </c>
      <c r="H375" s="1">
        <v>46022.333333333336</v>
      </c>
    </row>
    <row r="376" spans="1:8" x14ac:dyDescent="0.25">
      <c r="A376" s="7">
        <f>DATE(YEAR(m7_crossvalid[[#This Row],[cutoff]]),MONTH(m7_crossvalid[[#This Row],[cutoff]]),DAY(m7_crossvalid[[#This Row],[cutoff]]))</f>
        <v>46022</v>
      </c>
      <c r="B376" s="7">
        <f>DATE(YEAR(m7_crossvalid[[#This Row],[ds]]),MONTH(m7_crossvalid[[#This Row],[ds]]),DAY(m7_crossvalid[[#This Row],[ds]]))</f>
        <v>46025</v>
      </c>
      <c r="C376">
        <v>80</v>
      </c>
      <c r="D376" s="1">
        <v>46025.333333333336</v>
      </c>
      <c r="E376">
        <v>-311.66288531217242</v>
      </c>
      <c r="F376">
        <v>-1917.6954189711196</v>
      </c>
      <c r="G376">
        <v>1100.1148832799834</v>
      </c>
      <c r="H376" s="1">
        <v>46022.333333333336</v>
      </c>
    </row>
    <row r="377" spans="1:8" x14ac:dyDescent="0.25">
      <c r="A377" s="7">
        <f>DATE(YEAR(m7_crossvalid[[#This Row],[cutoff]]),MONTH(m7_crossvalid[[#This Row],[cutoff]]),DAY(m7_crossvalid[[#This Row],[cutoff]]))</f>
        <v>46022</v>
      </c>
      <c r="B377" s="7">
        <f>DATE(YEAR(m7_crossvalid[[#This Row],[ds]]),MONTH(m7_crossvalid[[#This Row],[ds]]),DAY(m7_crossvalid[[#This Row],[ds]]))</f>
        <v>46026</v>
      </c>
      <c r="C377">
        <v>17</v>
      </c>
      <c r="D377" s="1">
        <v>46026.333333333336</v>
      </c>
      <c r="E377">
        <v>-968.14957583156047</v>
      </c>
      <c r="F377">
        <v>-2401.2151392772562</v>
      </c>
      <c r="G377">
        <v>420.13052538995709</v>
      </c>
      <c r="H377" s="1">
        <v>46022.333333333336</v>
      </c>
    </row>
    <row r="378" spans="1:8" x14ac:dyDescent="0.25">
      <c r="A378" s="7">
        <f>DATE(YEAR(m7_crossvalid[[#This Row],[cutoff]]),MONTH(m7_crossvalid[[#This Row],[cutoff]]),DAY(m7_crossvalid[[#This Row],[cutoff]]))</f>
        <v>46022</v>
      </c>
      <c r="B378" s="7">
        <f>DATE(YEAR(m7_crossvalid[[#This Row],[ds]]),MONTH(m7_crossvalid[[#This Row],[ds]]),DAY(m7_crossvalid[[#This Row],[ds]]))</f>
        <v>46027</v>
      </c>
      <c r="C378">
        <v>340</v>
      </c>
      <c r="D378" s="1">
        <v>46027.333333333336</v>
      </c>
      <c r="E378">
        <v>1554.7267231333658</v>
      </c>
      <c r="F378">
        <v>120.59826157421318</v>
      </c>
      <c r="G378">
        <v>2953.9897213353397</v>
      </c>
      <c r="H378" s="1">
        <v>46022.333333333336</v>
      </c>
    </row>
    <row r="379" spans="1:8" x14ac:dyDescent="0.25">
      <c r="A379" s="7">
        <f>DATE(YEAR(m7_crossvalid[[#This Row],[cutoff]]),MONTH(m7_crossvalid[[#This Row],[cutoff]]),DAY(m7_crossvalid[[#This Row],[cutoff]]))</f>
        <v>46022</v>
      </c>
      <c r="B379" s="7">
        <f>DATE(YEAR(m7_crossvalid[[#This Row],[ds]]),MONTH(m7_crossvalid[[#This Row],[ds]]),DAY(m7_crossvalid[[#This Row],[ds]]))</f>
        <v>46028</v>
      </c>
      <c r="C379">
        <v>485</v>
      </c>
      <c r="D379" s="1">
        <v>46028.333333333336</v>
      </c>
      <c r="E379">
        <v>1864.3840163670557</v>
      </c>
      <c r="F379">
        <v>358.46576608242702</v>
      </c>
      <c r="G379">
        <v>3264.5863587703429</v>
      </c>
      <c r="H379" s="1">
        <v>46022.333333333336</v>
      </c>
    </row>
    <row r="380" spans="1:8" x14ac:dyDescent="0.25">
      <c r="A380" s="7">
        <f>DATE(YEAR(m7_crossvalid[[#This Row],[cutoff]]),MONTH(m7_crossvalid[[#This Row],[cutoff]]),DAY(m7_crossvalid[[#This Row],[cutoff]]))</f>
        <v>46022</v>
      </c>
      <c r="B380" s="7">
        <f>DATE(YEAR(m7_crossvalid[[#This Row],[ds]]),MONTH(m7_crossvalid[[#This Row],[ds]]),DAY(m7_crossvalid[[#This Row],[ds]]))</f>
        <v>46029</v>
      </c>
      <c r="C380">
        <v>532</v>
      </c>
      <c r="D380" s="1">
        <v>46029.333333333336</v>
      </c>
      <c r="E380">
        <v>1833.8498639998766</v>
      </c>
      <c r="F380">
        <v>288.71316560032238</v>
      </c>
      <c r="G380">
        <v>3214.3032759659545</v>
      </c>
      <c r="H380" s="1">
        <v>46022.333333333336</v>
      </c>
    </row>
    <row r="381" spans="1:8" x14ac:dyDescent="0.25">
      <c r="A381" s="7">
        <f>DATE(YEAR(m7_crossvalid[[#This Row],[cutoff]]),MONTH(m7_crossvalid[[#This Row],[cutoff]]),DAY(m7_crossvalid[[#This Row],[cutoff]]))</f>
        <v>46022</v>
      </c>
      <c r="B381" s="7">
        <f>DATE(YEAR(m7_crossvalid[[#This Row],[ds]]),MONTH(m7_crossvalid[[#This Row],[ds]]),DAY(m7_crossvalid[[#This Row],[ds]]))</f>
        <v>46030</v>
      </c>
      <c r="C381">
        <v>659</v>
      </c>
      <c r="D381" s="1">
        <v>46030.333333333336</v>
      </c>
      <c r="E381">
        <v>2291.0213898721145</v>
      </c>
      <c r="F381">
        <v>874.16418154390158</v>
      </c>
      <c r="G381">
        <v>3669.1967038865951</v>
      </c>
      <c r="H381" s="1">
        <v>46022.333333333336</v>
      </c>
    </row>
    <row r="382" spans="1:8" x14ac:dyDescent="0.25">
      <c r="A382" s="7">
        <f>DATE(YEAR(m7_crossvalid[[#This Row],[cutoff]]),MONTH(m7_crossvalid[[#This Row],[cutoff]]),DAY(m7_crossvalid[[#This Row],[cutoff]]))</f>
        <v>46022</v>
      </c>
      <c r="B382" s="7">
        <f>DATE(YEAR(m7_crossvalid[[#This Row],[ds]]),MONTH(m7_crossvalid[[#This Row],[ds]]),DAY(m7_crossvalid[[#This Row],[ds]]))</f>
        <v>46031</v>
      </c>
      <c r="C382">
        <v>787</v>
      </c>
      <c r="D382" s="1">
        <v>46031.333333333336</v>
      </c>
      <c r="E382">
        <v>2113.1455506037673</v>
      </c>
      <c r="F382">
        <v>596.77677651174099</v>
      </c>
      <c r="G382">
        <v>3559.582047397234</v>
      </c>
      <c r="H382" s="1">
        <v>46022.333333333336</v>
      </c>
    </row>
    <row r="383" spans="1:8" x14ac:dyDescent="0.25">
      <c r="A383" s="7">
        <f>DATE(YEAR(m7_crossvalid[[#This Row],[cutoff]]),MONTH(m7_crossvalid[[#This Row],[cutoff]]),DAY(m7_crossvalid[[#This Row],[cutoff]]))</f>
        <v>46022</v>
      </c>
      <c r="B383" s="7">
        <f>DATE(YEAR(m7_crossvalid[[#This Row],[ds]]),MONTH(m7_crossvalid[[#This Row],[ds]]),DAY(m7_crossvalid[[#This Row],[ds]]))</f>
        <v>46032</v>
      </c>
      <c r="C383">
        <v>137</v>
      </c>
      <c r="D383" s="1">
        <v>46032.333333333336</v>
      </c>
      <c r="E383">
        <v>-317.68926882199048</v>
      </c>
      <c r="F383">
        <v>-1778.3389938923992</v>
      </c>
      <c r="G383">
        <v>1187.9021075156816</v>
      </c>
      <c r="H383" s="1">
        <v>46022.333333333336</v>
      </c>
    </row>
    <row r="384" spans="1:8" x14ac:dyDescent="0.25">
      <c r="A384" s="7">
        <f>DATE(YEAR(m7_crossvalid[[#This Row],[cutoff]]),MONTH(m7_crossvalid[[#This Row],[cutoff]]),DAY(m7_crossvalid[[#This Row],[cutoff]]))</f>
        <v>46022</v>
      </c>
      <c r="B384" s="7">
        <f>DATE(YEAR(m7_crossvalid[[#This Row],[ds]]),MONTH(m7_crossvalid[[#This Row],[ds]]),DAY(m7_crossvalid[[#This Row],[ds]]))</f>
        <v>46033</v>
      </c>
      <c r="C384">
        <v>44</v>
      </c>
      <c r="D384" s="1">
        <v>46033.333333333336</v>
      </c>
      <c r="E384">
        <v>-825.76316355252584</v>
      </c>
      <c r="F384">
        <v>-2321.9857940360107</v>
      </c>
      <c r="G384">
        <v>647.01770028112844</v>
      </c>
      <c r="H384" s="1">
        <v>46022.333333333336</v>
      </c>
    </row>
    <row r="385" spans="1:8" x14ac:dyDescent="0.25">
      <c r="A385" s="7">
        <f>DATE(YEAR(m7_crossvalid[[#This Row],[cutoff]]),MONTH(m7_crossvalid[[#This Row],[cutoff]]),DAY(m7_crossvalid[[#This Row],[cutoff]]))</f>
        <v>46022</v>
      </c>
      <c r="B385" s="7">
        <f>DATE(YEAR(m7_crossvalid[[#This Row],[ds]]),MONTH(m7_crossvalid[[#This Row],[ds]]),DAY(m7_crossvalid[[#This Row],[ds]]))</f>
        <v>46034</v>
      </c>
      <c r="C385">
        <v>779</v>
      </c>
      <c r="D385" s="1">
        <v>46034.333333333336</v>
      </c>
      <c r="E385">
        <v>1860.2784472267138</v>
      </c>
      <c r="F385">
        <v>421.06167525099778</v>
      </c>
      <c r="G385">
        <v>3307.7388047760242</v>
      </c>
      <c r="H385" s="1">
        <v>46022.333333333336</v>
      </c>
    </row>
    <row r="386" spans="1:8" x14ac:dyDescent="0.25">
      <c r="A386" s="7">
        <f>DATE(YEAR(m7_crossvalid[[#This Row],[cutoff]]),MONTH(m7_crossvalid[[#This Row],[cutoff]]),DAY(m7_crossvalid[[#This Row],[cutoff]]))</f>
        <v>46022</v>
      </c>
      <c r="B386" s="7">
        <f>DATE(YEAR(m7_crossvalid[[#This Row],[ds]]),MONTH(m7_crossvalid[[#This Row],[ds]]),DAY(m7_crossvalid[[#This Row],[ds]]))</f>
        <v>46035</v>
      </c>
      <c r="C386">
        <v>1113</v>
      </c>
      <c r="D386" s="1">
        <v>46035.333333333336</v>
      </c>
      <c r="E386">
        <v>2200.0280759782618</v>
      </c>
      <c r="F386">
        <v>751.65183428744228</v>
      </c>
      <c r="G386">
        <v>3714.7607193844929</v>
      </c>
      <c r="H386" s="1">
        <v>46022.333333333336</v>
      </c>
    </row>
    <row r="387" spans="1:8" x14ac:dyDescent="0.25">
      <c r="A387" s="7">
        <f>DATE(YEAR(m7_crossvalid[[#This Row],[cutoff]]),MONTH(m7_crossvalid[[#This Row],[cutoff]]),DAY(m7_crossvalid[[#This Row],[cutoff]]))</f>
        <v>46022</v>
      </c>
      <c r="B387" s="7">
        <f>DATE(YEAR(m7_crossvalid[[#This Row],[ds]]),MONTH(m7_crossvalid[[#This Row],[ds]]),DAY(m7_crossvalid[[#This Row],[ds]]))</f>
        <v>46036</v>
      </c>
      <c r="C387">
        <v>1419</v>
      </c>
      <c r="D387" s="1">
        <v>46036.333333333336</v>
      </c>
      <c r="E387">
        <v>2262.3187804199511</v>
      </c>
      <c r="F387">
        <v>874.70491130424296</v>
      </c>
      <c r="G387">
        <v>3704.1938333302132</v>
      </c>
      <c r="H387" s="1">
        <v>46022.333333333336</v>
      </c>
    </row>
    <row r="388" spans="1:8" x14ac:dyDescent="0.25">
      <c r="A388" s="7">
        <f>DATE(YEAR(m7_crossvalid[[#This Row],[cutoff]]),MONTH(m7_crossvalid[[#This Row],[cutoff]]),DAY(m7_crossvalid[[#This Row],[cutoff]]))</f>
        <v>46022</v>
      </c>
      <c r="B388" s="7">
        <f>DATE(YEAR(m7_crossvalid[[#This Row],[ds]]),MONTH(m7_crossvalid[[#This Row],[ds]]),DAY(m7_crossvalid[[#This Row],[ds]]))</f>
        <v>46037</v>
      </c>
      <c r="C388">
        <v>1874</v>
      </c>
      <c r="D388" s="1">
        <v>46037.333333333336</v>
      </c>
      <c r="E388">
        <v>2310.0638787554158</v>
      </c>
      <c r="F388">
        <v>876.78281879690826</v>
      </c>
      <c r="G388">
        <v>3811.4154574707068</v>
      </c>
      <c r="H388" s="1">
        <v>46022.333333333336</v>
      </c>
    </row>
    <row r="389" spans="1:8" x14ac:dyDescent="0.25">
      <c r="A389" s="7">
        <f>DATE(YEAR(m7_crossvalid[[#This Row],[cutoff]]),MONTH(m7_crossvalid[[#This Row],[cutoff]]),DAY(m7_crossvalid[[#This Row],[cutoff]]))</f>
        <v>46022</v>
      </c>
      <c r="B389" s="7">
        <f>DATE(YEAR(m7_crossvalid[[#This Row],[ds]]),MONTH(m7_crossvalid[[#This Row],[ds]]),DAY(m7_crossvalid[[#This Row],[ds]]))</f>
        <v>46038</v>
      </c>
      <c r="C389">
        <v>2020</v>
      </c>
      <c r="D389" s="1">
        <v>46038.333333333336</v>
      </c>
      <c r="E389">
        <v>2449.1209995339323</v>
      </c>
      <c r="F389">
        <v>1032.9558925710362</v>
      </c>
      <c r="G389">
        <v>3918.40153143221</v>
      </c>
      <c r="H389" s="1">
        <v>46022.333333333336</v>
      </c>
    </row>
    <row r="390" spans="1:8" x14ac:dyDescent="0.25">
      <c r="A390" s="7">
        <f>DATE(YEAR(m7_crossvalid[[#This Row],[cutoff]]),MONTH(m7_crossvalid[[#This Row],[cutoff]]),DAY(m7_crossvalid[[#This Row],[cutoff]]))</f>
        <v>46022</v>
      </c>
      <c r="B390" s="7">
        <f>DATE(YEAR(m7_crossvalid[[#This Row],[ds]]),MONTH(m7_crossvalid[[#This Row],[ds]]),DAY(m7_crossvalid[[#This Row],[ds]]))</f>
        <v>46039</v>
      </c>
      <c r="C390">
        <v>451</v>
      </c>
      <c r="D390" s="1">
        <v>46039.333333333336</v>
      </c>
      <c r="E390">
        <v>271.38414728032967</v>
      </c>
      <c r="F390">
        <v>-1156.0148299702087</v>
      </c>
      <c r="G390">
        <v>1701.4817334792833</v>
      </c>
      <c r="H390" s="1">
        <v>46022.333333333336</v>
      </c>
    </row>
    <row r="391" spans="1:8" x14ac:dyDescent="0.25">
      <c r="A391" s="7">
        <f>DATE(YEAR(m7_crossvalid[[#This Row],[cutoff]]),MONTH(m7_crossvalid[[#This Row],[cutoff]]),DAY(m7_crossvalid[[#This Row],[cutoff]]))</f>
        <v>46022</v>
      </c>
      <c r="B391" s="7">
        <f>DATE(YEAR(m7_crossvalid[[#This Row],[ds]]),MONTH(m7_crossvalid[[#This Row],[ds]]),DAY(m7_crossvalid[[#This Row],[ds]]))</f>
        <v>46040</v>
      </c>
      <c r="C391">
        <v>76</v>
      </c>
      <c r="D391" s="1">
        <v>46040.333333333336</v>
      </c>
      <c r="E391">
        <v>-256.85775085380965</v>
      </c>
      <c r="F391">
        <v>-1773.1013351959193</v>
      </c>
      <c r="G391">
        <v>1244.2787202245902</v>
      </c>
      <c r="H391" s="1">
        <v>46022.333333333336</v>
      </c>
    </row>
    <row r="392" spans="1:8" x14ac:dyDescent="0.25">
      <c r="A392" s="7">
        <f>DATE(YEAR(m7_crossvalid[[#This Row],[cutoff]]),MONTH(m7_crossvalid[[#This Row],[cutoff]]),DAY(m7_crossvalid[[#This Row],[cutoff]]))</f>
        <v>46022</v>
      </c>
      <c r="B392" s="7">
        <f>DATE(YEAR(m7_crossvalid[[#This Row],[ds]]),MONTH(m7_crossvalid[[#This Row],[ds]]),DAY(m7_crossvalid[[#This Row],[ds]]))</f>
        <v>46041</v>
      </c>
      <c r="C392">
        <v>1963</v>
      </c>
      <c r="D392" s="1">
        <v>46041.333333333336</v>
      </c>
      <c r="E392">
        <v>2330.5981123575002</v>
      </c>
      <c r="F392">
        <v>755.72003417221003</v>
      </c>
      <c r="G392">
        <v>3813.5288050452864</v>
      </c>
      <c r="H392" s="1">
        <v>46022.333333333336</v>
      </c>
    </row>
    <row r="393" spans="1:8" x14ac:dyDescent="0.25">
      <c r="A393" s="7">
        <f>DATE(YEAR(m7_crossvalid[[#This Row],[cutoff]]),MONTH(m7_crossvalid[[#This Row],[cutoff]]),DAY(m7_crossvalid[[#This Row],[cutoff]]))</f>
        <v>46022</v>
      </c>
      <c r="B393" s="7">
        <f>DATE(YEAR(m7_crossvalid[[#This Row],[ds]]),MONTH(m7_crossvalid[[#This Row],[ds]]),DAY(m7_crossvalid[[#This Row],[ds]]))</f>
        <v>46042</v>
      </c>
      <c r="C393">
        <v>2481</v>
      </c>
      <c r="D393" s="1">
        <v>46042.333333333336</v>
      </c>
      <c r="E393">
        <v>2732.3058348780864</v>
      </c>
      <c r="F393">
        <v>1320.2514792853037</v>
      </c>
      <c r="G393">
        <v>4239.4535259421882</v>
      </c>
      <c r="H393" s="1">
        <v>46022.333333333336</v>
      </c>
    </row>
    <row r="394" spans="1:8" x14ac:dyDescent="0.25">
      <c r="A394" s="7">
        <f>DATE(YEAR(m7_crossvalid[[#This Row],[cutoff]]),MONTH(m7_crossvalid[[#This Row],[cutoff]]),DAY(m7_crossvalid[[#This Row],[cutoff]]))</f>
        <v>46022</v>
      </c>
      <c r="B394" s="7">
        <f>DATE(YEAR(m7_crossvalid[[#This Row],[ds]]),MONTH(m7_crossvalid[[#This Row],[ds]]),DAY(m7_crossvalid[[#This Row],[ds]]))</f>
        <v>46043</v>
      </c>
      <c r="C394">
        <v>2679</v>
      </c>
      <c r="D394" s="1">
        <v>46043.333333333336</v>
      </c>
      <c r="E394">
        <v>2907.5655493989589</v>
      </c>
      <c r="F394">
        <v>1440.9562614266072</v>
      </c>
      <c r="G394">
        <v>4388.1230636354903</v>
      </c>
      <c r="H394" s="1">
        <v>46022.333333333336</v>
      </c>
    </row>
    <row r="395" spans="1:8" x14ac:dyDescent="0.25">
      <c r="A395" s="7">
        <f>DATE(YEAR(m7_crossvalid[[#This Row],[cutoff]]),MONTH(m7_crossvalid[[#This Row],[cutoff]]),DAY(m7_crossvalid[[#This Row],[cutoff]]))</f>
        <v>46022</v>
      </c>
      <c r="B395" s="7">
        <f>DATE(YEAR(m7_crossvalid[[#This Row],[ds]]),MONTH(m7_crossvalid[[#This Row],[ds]]),DAY(m7_crossvalid[[#This Row],[ds]]))</f>
        <v>46044</v>
      </c>
      <c r="C395">
        <v>2830</v>
      </c>
      <c r="D395" s="1">
        <v>46044.333333333336</v>
      </c>
      <c r="E395">
        <v>3041.1870563197126</v>
      </c>
      <c r="F395">
        <v>1607.7670505523006</v>
      </c>
      <c r="G395">
        <v>4496.4476943071022</v>
      </c>
      <c r="H395" s="1">
        <v>46022.333333333336</v>
      </c>
    </row>
    <row r="396" spans="1:8" x14ac:dyDescent="0.25">
      <c r="A396" s="7">
        <f>DATE(YEAR(m7_crossvalid[[#This Row],[cutoff]]),MONTH(m7_crossvalid[[#This Row],[cutoff]]),DAY(m7_crossvalid[[#This Row],[cutoff]]))</f>
        <v>46022</v>
      </c>
      <c r="B396" s="7">
        <f>DATE(YEAR(m7_crossvalid[[#This Row],[ds]]),MONTH(m7_crossvalid[[#This Row],[ds]]),DAY(m7_crossvalid[[#This Row],[ds]]))</f>
        <v>46045</v>
      </c>
      <c r="C396">
        <v>3000</v>
      </c>
      <c r="D396" s="1">
        <v>46045.333333333336</v>
      </c>
      <c r="E396">
        <v>3261.0339973943128</v>
      </c>
      <c r="F396">
        <v>1700.6737326444361</v>
      </c>
      <c r="G396">
        <v>4729.6588630869373</v>
      </c>
      <c r="H396" s="1">
        <v>46022.333333333336</v>
      </c>
    </row>
    <row r="397" spans="1:8" x14ac:dyDescent="0.25">
      <c r="A397" s="7">
        <f>DATE(YEAR(m7_crossvalid[[#This Row],[cutoff]]),MONTH(m7_crossvalid[[#This Row],[cutoff]]),DAY(m7_crossvalid[[#This Row],[cutoff]]))</f>
        <v>46022</v>
      </c>
      <c r="B397" s="7">
        <f>DATE(YEAR(m7_crossvalid[[#This Row],[ds]]),MONTH(m7_crossvalid[[#This Row],[ds]]),DAY(m7_crossvalid[[#This Row],[ds]]))</f>
        <v>46046</v>
      </c>
      <c r="C397">
        <v>902</v>
      </c>
      <c r="D397" s="1">
        <v>46046.333333333336</v>
      </c>
      <c r="E397">
        <v>1164.7830352613853</v>
      </c>
      <c r="F397">
        <v>-335.21476854629003</v>
      </c>
      <c r="G397">
        <v>2620.4690314278259</v>
      </c>
      <c r="H397" s="1">
        <v>46022.333333333336</v>
      </c>
    </row>
    <row r="398" spans="1:8" x14ac:dyDescent="0.25">
      <c r="A398" s="7">
        <f>DATE(YEAR(m7_crossvalid[[#This Row],[cutoff]]),MONTH(m7_crossvalid[[#This Row],[cutoff]]),DAY(m7_crossvalid[[#This Row],[cutoff]]))</f>
        <v>46022</v>
      </c>
      <c r="B398" s="7">
        <f>DATE(YEAR(m7_crossvalid[[#This Row],[ds]]),MONTH(m7_crossvalid[[#This Row],[ds]]),DAY(m7_crossvalid[[#This Row],[ds]]))</f>
        <v>46047</v>
      </c>
      <c r="C398">
        <v>150</v>
      </c>
      <c r="D398" s="1">
        <v>46047.333333333336</v>
      </c>
      <c r="E398">
        <v>749.30815622951513</v>
      </c>
      <c r="F398">
        <v>-816.88285694354613</v>
      </c>
      <c r="G398">
        <v>2129.8497503662638</v>
      </c>
      <c r="H398" s="1">
        <v>46022.333333333336</v>
      </c>
    </row>
    <row r="399" spans="1:8" x14ac:dyDescent="0.25">
      <c r="A399" s="7">
        <f>DATE(YEAR(m7_crossvalid[[#This Row],[cutoff]]),MONTH(m7_crossvalid[[#This Row],[cutoff]]),DAY(m7_crossvalid[[#This Row],[cutoff]]))</f>
        <v>46022</v>
      </c>
      <c r="B399" s="7">
        <f>DATE(YEAR(m7_crossvalid[[#This Row],[ds]]),MONTH(m7_crossvalid[[#This Row],[ds]]),DAY(m7_crossvalid[[#This Row],[ds]]))</f>
        <v>46048</v>
      </c>
      <c r="C399">
        <v>3603</v>
      </c>
      <c r="D399" s="1">
        <v>46048.333333333336</v>
      </c>
      <c r="E399">
        <v>3312.6873616815938</v>
      </c>
      <c r="F399">
        <v>1829.3229597227269</v>
      </c>
      <c r="G399">
        <v>4774.0380706987244</v>
      </c>
      <c r="H399" s="1">
        <v>46022.333333333336</v>
      </c>
    </row>
    <row r="400" spans="1:8" x14ac:dyDescent="0.25">
      <c r="A400" s="7">
        <f>DATE(YEAR(m7_crossvalid[[#This Row],[cutoff]]),MONTH(m7_crossvalid[[#This Row],[cutoff]]),DAY(m7_crossvalid[[#This Row],[cutoff]]))</f>
        <v>46022</v>
      </c>
      <c r="B400" s="7">
        <f>DATE(YEAR(m7_crossvalid[[#This Row],[ds]]),MONTH(m7_crossvalid[[#This Row],[ds]]),DAY(m7_crossvalid[[#This Row],[ds]]))</f>
        <v>46049</v>
      </c>
      <c r="C400">
        <v>4548</v>
      </c>
      <c r="D400" s="1">
        <v>46049.333333333336</v>
      </c>
      <c r="E400">
        <v>4872.3129667150833</v>
      </c>
      <c r="F400">
        <v>3491.2500904856797</v>
      </c>
      <c r="G400">
        <v>6316.2312106574818</v>
      </c>
      <c r="H400" s="1">
        <v>46022.333333333336</v>
      </c>
    </row>
    <row r="401" spans="1:8" x14ac:dyDescent="0.25">
      <c r="A401" s="7">
        <f>DATE(YEAR(m7_crossvalid[[#This Row],[cutoff]]),MONTH(m7_crossvalid[[#This Row],[cutoff]]),DAY(m7_crossvalid[[#This Row],[cutoff]]))</f>
        <v>46022</v>
      </c>
      <c r="B401" s="7">
        <f>DATE(YEAR(m7_crossvalid[[#This Row],[ds]]),MONTH(m7_crossvalid[[#This Row],[ds]]),DAY(m7_crossvalid[[#This Row],[ds]]))</f>
        <v>46050</v>
      </c>
      <c r="C401">
        <v>5313</v>
      </c>
      <c r="D401" s="1">
        <v>46050.333333333336</v>
      </c>
      <c r="E401">
        <v>5195.0127616764312</v>
      </c>
      <c r="F401">
        <v>3804.8628919406488</v>
      </c>
      <c r="G401">
        <v>6711.6272201753809</v>
      </c>
      <c r="H401" s="1">
        <v>46022.333333333336</v>
      </c>
    </row>
    <row r="402" spans="1:8" x14ac:dyDescent="0.25">
      <c r="A402" s="7">
        <f>DATE(YEAR(m7_crossvalid[[#This Row],[cutoff]]),MONTH(m7_crossvalid[[#This Row],[cutoff]]),DAY(m7_crossvalid[[#This Row],[cutoff]]))</f>
        <v>46022</v>
      </c>
      <c r="B402" s="7">
        <f>DATE(YEAR(m7_crossvalid[[#This Row],[ds]]),MONTH(m7_crossvalid[[#This Row],[ds]]),DAY(m7_crossvalid[[#This Row],[ds]]))</f>
        <v>46051</v>
      </c>
      <c r="C402">
        <v>7326</v>
      </c>
      <c r="D402" s="1">
        <v>46051.333333333336</v>
      </c>
      <c r="E402">
        <v>5622.6982791289192</v>
      </c>
      <c r="F402">
        <v>4179.1114108057554</v>
      </c>
      <c r="G402">
        <v>7057.5465978860238</v>
      </c>
      <c r="H402" s="1">
        <v>46022.333333333336</v>
      </c>
    </row>
    <row r="403" spans="1:8" x14ac:dyDescent="0.25">
      <c r="A403" s="7">
        <f>DATE(YEAR(m7_crossvalid[[#This Row],[cutoff]]),MONTH(m7_crossvalid[[#This Row],[cutoff]]),DAY(m7_crossvalid[[#This Row],[cutoff]]))</f>
        <v>46022</v>
      </c>
      <c r="B403" s="7">
        <f>DATE(YEAR(m7_crossvalid[[#This Row],[ds]]),MONTH(m7_crossvalid[[#This Row],[ds]]),DAY(m7_crossvalid[[#This Row],[ds]]))</f>
        <v>46052</v>
      </c>
      <c r="C403">
        <v>10276</v>
      </c>
      <c r="D403" s="1">
        <v>46052.333333333336</v>
      </c>
      <c r="E403">
        <v>7668.6983429951815</v>
      </c>
      <c r="F403">
        <v>6179.6001551980607</v>
      </c>
      <c r="G403">
        <v>9133.250629093347</v>
      </c>
      <c r="H403" s="1">
        <v>46022.333333333336</v>
      </c>
    </row>
    <row r="404" spans="1:8" x14ac:dyDescent="0.25">
      <c r="A404" s="7">
        <f>DATE(YEAR(m7_crossvalid[[#This Row],[cutoff]]),MONTH(m7_crossvalid[[#This Row],[cutoff]]),DAY(m7_crossvalid[[#This Row],[cutoff]]))</f>
        <v>46022</v>
      </c>
      <c r="B404" s="7">
        <f>DATE(YEAR(m7_crossvalid[[#This Row],[ds]]),MONTH(m7_crossvalid[[#This Row],[ds]]),DAY(m7_crossvalid[[#This Row],[ds]]))</f>
        <v>46053</v>
      </c>
      <c r="C404">
        <v>7991</v>
      </c>
      <c r="D404" s="1">
        <v>46053.333333333336</v>
      </c>
      <c r="E404">
        <v>6971.1688928243038</v>
      </c>
      <c r="F404">
        <v>5576.5914277306656</v>
      </c>
      <c r="G404">
        <v>8415.6275649476411</v>
      </c>
      <c r="H404" s="1">
        <v>46022.333333333336</v>
      </c>
    </row>
    <row r="405" spans="1:8" x14ac:dyDescent="0.25">
      <c r="A405" s="7">
        <f>DATE(YEAR(m7_crossvalid[[#This Row],[cutoff]]),MONTH(m7_crossvalid[[#This Row],[cutoff]]),DAY(m7_crossvalid[[#This Row],[cutoff]]))</f>
        <v>46053</v>
      </c>
      <c r="B405" s="7">
        <f>DATE(YEAR(m7_crossvalid[[#This Row],[ds]]),MONTH(m7_crossvalid[[#This Row],[ds]]),DAY(m7_crossvalid[[#This Row],[ds]]))</f>
        <v>46054</v>
      </c>
      <c r="C405">
        <v>26</v>
      </c>
      <c r="D405" s="1">
        <v>46054.333333333336</v>
      </c>
      <c r="E405">
        <v>-2784.4633233435102</v>
      </c>
      <c r="F405">
        <v>-4327.3158307550339</v>
      </c>
      <c r="G405">
        <v>-1359.2863348133137</v>
      </c>
      <c r="H405" s="1">
        <v>46053.333333333336</v>
      </c>
    </row>
    <row r="406" spans="1:8" x14ac:dyDescent="0.25">
      <c r="A406" s="7">
        <f>DATE(YEAR(m7_crossvalid[[#This Row],[cutoff]]),MONTH(m7_crossvalid[[#This Row],[cutoff]]),DAY(m7_crossvalid[[#This Row],[cutoff]]))</f>
        <v>46053</v>
      </c>
      <c r="B406" s="7">
        <f>DATE(YEAR(m7_crossvalid[[#This Row],[ds]]),MONTH(m7_crossvalid[[#This Row],[ds]]),DAY(m7_crossvalid[[#This Row],[ds]]))</f>
        <v>46055</v>
      </c>
      <c r="C406">
        <v>134</v>
      </c>
      <c r="D406" s="1">
        <v>46055.333333333336</v>
      </c>
      <c r="E406">
        <v>-505.82478995482325</v>
      </c>
      <c r="F406">
        <v>-1965.2939098322963</v>
      </c>
      <c r="G406">
        <v>930.76082025995788</v>
      </c>
      <c r="H406" s="1">
        <v>46053.333333333336</v>
      </c>
    </row>
    <row r="407" spans="1:8" x14ac:dyDescent="0.25">
      <c r="A407" s="7">
        <f>DATE(YEAR(m7_crossvalid[[#This Row],[cutoff]]),MONTH(m7_crossvalid[[#This Row],[cutoff]]),DAY(m7_crossvalid[[#This Row],[cutoff]]))</f>
        <v>46053</v>
      </c>
      <c r="B407" s="7">
        <f>DATE(YEAR(m7_crossvalid[[#This Row],[ds]]),MONTH(m7_crossvalid[[#This Row],[ds]]),DAY(m7_crossvalid[[#This Row],[ds]]))</f>
        <v>46056</v>
      </c>
      <c r="C407">
        <v>521</v>
      </c>
      <c r="D407" s="1">
        <v>46056.333333333336</v>
      </c>
      <c r="E407">
        <v>-67.073251623381111</v>
      </c>
      <c r="F407">
        <v>-1506.1460410648463</v>
      </c>
      <c r="G407">
        <v>1311.492240465202</v>
      </c>
      <c r="H407" s="1">
        <v>46053.333333333336</v>
      </c>
    </row>
    <row r="408" spans="1:8" x14ac:dyDescent="0.25">
      <c r="A408" s="7">
        <f>DATE(YEAR(m7_crossvalid[[#This Row],[cutoff]]),MONTH(m7_crossvalid[[#This Row],[cutoff]]),DAY(m7_crossvalid[[#This Row],[cutoff]]))</f>
        <v>46053</v>
      </c>
      <c r="B408" s="7">
        <f>DATE(YEAR(m7_crossvalid[[#This Row],[ds]]),MONTH(m7_crossvalid[[#This Row],[ds]]),DAY(m7_crossvalid[[#This Row],[ds]]))</f>
        <v>46057</v>
      </c>
      <c r="C408">
        <v>696</v>
      </c>
      <c r="D408" s="1">
        <v>46057.333333333336</v>
      </c>
      <c r="E408">
        <v>1800.4612035355276</v>
      </c>
      <c r="F408">
        <v>328.14830562518665</v>
      </c>
      <c r="G408">
        <v>3234.2707555219731</v>
      </c>
      <c r="H408" s="1">
        <v>46053.333333333336</v>
      </c>
    </row>
    <row r="409" spans="1:8" x14ac:dyDescent="0.25">
      <c r="A409" s="7">
        <f>DATE(YEAR(m7_crossvalid[[#This Row],[cutoff]]),MONTH(m7_crossvalid[[#This Row],[cutoff]]),DAY(m7_crossvalid[[#This Row],[cutoff]]))</f>
        <v>46053</v>
      </c>
      <c r="B409" s="7">
        <f>DATE(YEAR(m7_crossvalid[[#This Row],[ds]]),MONTH(m7_crossvalid[[#This Row],[ds]]),DAY(m7_crossvalid[[#This Row],[ds]]))</f>
        <v>46058</v>
      </c>
      <c r="C409">
        <v>1038</v>
      </c>
      <c r="D409" s="1">
        <v>46058.333333333336</v>
      </c>
      <c r="E409">
        <v>1873.3367251108207</v>
      </c>
      <c r="F409">
        <v>494.8734321076189</v>
      </c>
      <c r="G409">
        <v>3375.9559010265953</v>
      </c>
      <c r="H409" s="1">
        <v>46053.333333333336</v>
      </c>
    </row>
    <row r="410" spans="1:8" x14ac:dyDescent="0.25">
      <c r="A410" s="7">
        <f>DATE(YEAR(m7_crossvalid[[#This Row],[cutoff]]),MONTH(m7_crossvalid[[#This Row],[cutoff]]),DAY(m7_crossvalid[[#This Row],[cutoff]]))</f>
        <v>46053</v>
      </c>
      <c r="B410" s="7">
        <f>DATE(YEAR(m7_crossvalid[[#This Row],[ds]]),MONTH(m7_crossvalid[[#This Row],[ds]]),DAY(m7_crossvalid[[#This Row],[ds]]))</f>
        <v>46059</v>
      </c>
      <c r="C410">
        <v>1414</v>
      </c>
      <c r="D410" s="1">
        <v>46059.333333333336</v>
      </c>
      <c r="E410">
        <v>1891.0502471453156</v>
      </c>
      <c r="F410">
        <v>451.78398078644966</v>
      </c>
      <c r="G410">
        <v>3366.8157466076614</v>
      </c>
      <c r="H410" s="1">
        <v>46053.333333333336</v>
      </c>
    </row>
    <row r="411" spans="1:8" x14ac:dyDescent="0.25">
      <c r="A411" s="7">
        <f>DATE(YEAR(m7_crossvalid[[#This Row],[cutoff]]),MONTH(m7_crossvalid[[#This Row],[cutoff]]),DAY(m7_crossvalid[[#This Row],[cutoff]]))</f>
        <v>46053</v>
      </c>
      <c r="B411" s="7">
        <f>DATE(YEAR(m7_crossvalid[[#This Row],[ds]]),MONTH(m7_crossvalid[[#This Row],[ds]]),DAY(m7_crossvalid[[#This Row],[ds]]))</f>
        <v>46060</v>
      </c>
      <c r="C411">
        <v>286</v>
      </c>
      <c r="D411" s="1">
        <v>46060.333333333336</v>
      </c>
      <c r="E411">
        <v>-480.85247829704076</v>
      </c>
      <c r="F411">
        <v>-1959.0250568256197</v>
      </c>
      <c r="G411">
        <v>953.80070673972989</v>
      </c>
      <c r="H411" s="1">
        <v>46053.333333333336</v>
      </c>
    </row>
    <row r="412" spans="1:8" x14ac:dyDescent="0.25">
      <c r="A412" s="7">
        <f>DATE(YEAR(m7_crossvalid[[#This Row],[cutoff]]),MONTH(m7_crossvalid[[#This Row],[cutoff]]),DAY(m7_crossvalid[[#This Row],[cutoff]]))</f>
        <v>46053</v>
      </c>
      <c r="B412" s="7">
        <f>DATE(YEAR(m7_crossvalid[[#This Row],[ds]]),MONTH(m7_crossvalid[[#This Row],[ds]]),DAY(m7_crossvalid[[#This Row],[ds]]))</f>
        <v>46061</v>
      </c>
      <c r="C412">
        <v>82</v>
      </c>
      <c r="D412" s="1">
        <v>46061.333333333336</v>
      </c>
      <c r="E412">
        <v>-578.56811213654419</v>
      </c>
      <c r="F412">
        <v>-2033.7300666127653</v>
      </c>
      <c r="G412">
        <v>840.00050216337263</v>
      </c>
      <c r="H412" s="1">
        <v>46053.333333333336</v>
      </c>
    </row>
    <row r="413" spans="1:8" x14ac:dyDescent="0.25">
      <c r="A413" s="7">
        <f>DATE(YEAR(m7_crossvalid[[#This Row],[cutoff]]),MONTH(m7_crossvalid[[#This Row],[cutoff]]),DAY(m7_crossvalid[[#This Row],[cutoff]]))</f>
        <v>46053</v>
      </c>
      <c r="B413" s="7">
        <f>DATE(YEAR(m7_crossvalid[[#This Row],[ds]]),MONTH(m7_crossvalid[[#This Row],[ds]]),DAY(m7_crossvalid[[#This Row],[ds]]))</f>
        <v>46062</v>
      </c>
      <c r="C413">
        <v>1902</v>
      </c>
      <c r="D413" s="1">
        <v>46062.333333333336</v>
      </c>
      <c r="E413">
        <v>1865.9528287357064</v>
      </c>
      <c r="F413">
        <v>285.1670824599866</v>
      </c>
      <c r="G413">
        <v>3452.7587787138646</v>
      </c>
      <c r="H413" s="1">
        <v>46053.333333333336</v>
      </c>
    </row>
    <row r="414" spans="1:8" x14ac:dyDescent="0.25">
      <c r="A414" s="7">
        <f>DATE(YEAR(m7_crossvalid[[#This Row],[cutoff]]),MONTH(m7_crossvalid[[#This Row],[cutoff]]),DAY(m7_crossvalid[[#This Row],[cutoff]]))</f>
        <v>46053</v>
      </c>
      <c r="B414" s="7">
        <f>DATE(YEAR(m7_crossvalid[[#This Row],[ds]]),MONTH(m7_crossvalid[[#This Row],[ds]]),DAY(m7_crossvalid[[#This Row],[ds]]))</f>
        <v>46063</v>
      </c>
      <c r="C414">
        <v>2288</v>
      </c>
      <c r="D414" s="1">
        <v>46063.333333333336</v>
      </c>
      <c r="E414">
        <v>2215.8719500782217</v>
      </c>
      <c r="F414">
        <v>750.70515998738779</v>
      </c>
      <c r="G414">
        <v>3688.9540091204281</v>
      </c>
      <c r="H414" s="1">
        <v>46053.333333333336</v>
      </c>
    </row>
    <row r="415" spans="1:8" x14ac:dyDescent="0.25">
      <c r="A415" s="7">
        <f>DATE(YEAR(m7_crossvalid[[#This Row],[cutoff]]),MONTH(m7_crossvalid[[#This Row],[cutoff]]),DAY(m7_crossvalid[[#This Row],[cutoff]]))</f>
        <v>46053</v>
      </c>
      <c r="B415" s="7">
        <f>DATE(YEAR(m7_crossvalid[[#This Row],[ds]]),MONTH(m7_crossvalid[[#This Row],[ds]]),DAY(m7_crossvalid[[#This Row],[ds]]))</f>
        <v>46064</v>
      </c>
      <c r="C415">
        <v>2663</v>
      </c>
      <c r="D415" s="1">
        <v>46064.333333333336</v>
      </c>
      <c r="E415">
        <v>2442.1751292210533</v>
      </c>
      <c r="F415">
        <v>990.34781524129221</v>
      </c>
      <c r="G415">
        <v>3814.8039423073469</v>
      </c>
      <c r="H415" s="1">
        <v>46053.333333333336</v>
      </c>
    </row>
    <row r="416" spans="1:8" x14ac:dyDescent="0.25">
      <c r="A416" s="7">
        <f>DATE(YEAR(m7_crossvalid[[#This Row],[cutoff]]),MONTH(m7_crossvalid[[#This Row],[cutoff]]),DAY(m7_crossvalid[[#This Row],[cutoff]]))</f>
        <v>46053</v>
      </c>
      <c r="B416" s="7">
        <f>DATE(YEAR(m7_crossvalid[[#This Row],[ds]]),MONTH(m7_crossvalid[[#This Row],[ds]]),DAY(m7_crossvalid[[#This Row],[ds]]))</f>
        <v>46065</v>
      </c>
      <c r="C416">
        <v>3108</v>
      </c>
      <c r="D416" s="1">
        <v>46065.333333333336</v>
      </c>
      <c r="E416">
        <v>2539.9573684280303</v>
      </c>
      <c r="F416">
        <v>1093.6036183494039</v>
      </c>
      <c r="G416">
        <v>4073.1104399507503</v>
      </c>
      <c r="H416" s="1">
        <v>46053.333333333336</v>
      </c>
    </row>
    <row r="417" spans="1:8" x14ac:dyDescent="0.25">
      <c r="A417" s="7">
        <f>DATE(YEAR(m7_crossvalid[[#This Row],[cutoff]]),MONTH(m7_crossvalid[[#This Row],[cutoff]]),DAY(m7_crossvalid[[#This Row],[cutoff]]))</f>
        <v>46053</v>
      </c>
      <c r="B417" s="7">
        <f>DATE(YEAR(m7_crossvalid[[#This Row],[ds]]),MONTH(m7_crossvalid[[#This Row],[ds]]),DAY(m7_crossvalid[[#This Row],[ds]]))</f>
        <v>46066</v>
      </c>
      <c r="C417">
        <v>3172</v>
      </c>
      <c r="D417" s="1">
        <v>46066.333333333336</v>
      </c>
      <c r="E417">
        <v>2539.7320384822906</v>
      </c>
      <c r="F417">
        <v>1145.5998034846241</v>
      </c>
      <c r="G417">
        <v>3944.8028811165395</v>
      </c>
      <c r="H417" s="1">
        <v>46053.333333333336</v>
      </c>
    </row>
    <row r="418" spans="1:8" x14ac:dyDescent="0.25">
      <c r="A418" s="7">
        <f>DATE(YEAR(m7_crossvalid[[#This Row],[cutoff]]),MONTH(m7_crossvalid[[#This Row],[cutoff]]),DAY(m7_crossvalid[[#This Row],[cutoff]]))</f>
        <v>46053</v>
      </c>
      <c r="B418" s="7">
        <f>DATE(YEAR(m7_crossvalid[[#This Row],[ds]]),MONTH(m7_crossvalid[[#This Row],[ds]]),DAY(m7_crossvalid[[#This Row],[ds]]))</f>
        <v>46067</v>
      </c>
      <c r="C418">
        <v>913</v>
      </c>
      <c r="D418" s="1">
        <v>46067.333333333336</v>
      </c>
      <c r="E418">
        <v>255.41780746081281</v>
      </c>
      <c r="F418">
        <v>-1132.2609720546532</v>
      </c>
      <c r="G418">
        <v>1695.252305598375</v>
      </c>
      <c r="H418" s="1">
        <v>46053.333333333336</v>
      </c>
    </row>
    <row r="419" spans="1:8" x14ac:dyDescent="0.25">
      <c r="A419" s="7">
        <f>DATE(YEAR(m7_crossvalid[[#This Row],[cutoff]]),MONTH(m7_crossvalid[[#This Row],[cutoff]]),DAY(m7_crossvalid[[#This Row],[cutoff]]))</f>
        <v>46053</v>
      </c>
      <c r="B419" s="7">
        <f>DATE(YEAR(m7_crossvalid[[#This Row],[ds]]),MONTH(m7_crossvalid[[#This Row],[ds]]),DAY(m7_crossvalid[[#This Row],[ds]]))</f>
        <v>46068</v>
      </c>
      <c r="C419">
        <v>208</v>
      </c>
      <c r="D419" s="1">
        <v>46068.333333333336</v>
      </c>
      <c r="E419">
        <v>-222.94258764634242</v>
      </c>
      <c r="F419">
        <v>-1584.1428760354213</v>
      </c>
      <c r="G419">
        <v>1248.2713418575586</v>
      </c>
      <c r="H419" s="1">
        <v>46053.333333333336</v>
      </c>
    </row>
    <row r="420" spans="1:8" x14ac:dyDescent="0.25">
      <c r="A420" s="7">
        <f>DATE(YEAR(m7_crossvalid[[#This Row],[cutoff]]),MONTH(m7_crossvalid[[#This Row],[cutoff]]),DAY(m7_crossvalid[[#This Row],[cutoff]]))</f>
        <v>46053</v>
      </c>
      <c r="B420" s="7">
        <f>DATE(YEAR(m7_crossvalid[[#This Row],[ds]]),MONTH(m7_crossvalid[[#This Row],[ds]]),DAY(m7_crossvalid[[#This Row],[ds]]))</f>
        <v>46069</v>
      </c>
      <c r="C420">
        <v>1728</v>
      </c>
      <c r="D420" s="1">
        <v>46069.333333333336</v>
      </c>
      <c r="E420">
        <v>2454.4684253414425</v>
      </c>
      <c r="F420">
        <v>989.12808113392498</v>
      </c>
      <c r="G420">
        <v>3968.2088391747561</v>
      </c>
      <c r="H420" s="1">
        <v>46053.333333333336</v>
      </c>
    </row>
    <row r="421" spans="1:8" x14ac:dyDescent="0.25">
      <c r="A421" s="7">
        <f>DATE(YEAR(m7_crossvalid[[#This Row],[cutoff]]),MONTH(m7_crossvalid[[#This Row],[cutoff]]),DAY(m7_crossvalid[[#This Row],[cutoff]]))</f>
        <v>46053</v>
      </c>
      <c r="B421" s="7">
        <f>DATE(YEAR(m7_crossvalid[[#This Row],[ds]]),MONTH(m7_crossvalid[[#This Row],[ds]]),DAY(m7_crossvalid[[#This Row],[ds]]))</f>
        <v>46070</v>
      </c>
      <c r="C421">
        <v>27</v>
      </c>
      <c r="D421" s="1">
        <v>46070.333333333336</v>
      </c>
      <c r="E421">
        <v>633.52394526936746</v>
      </c>
      <c r="F421">
        <v>-752.05892476507927</v>
      </c>
      <c r="G421">
        <v>2031.4903568309135</v>
      </c>
      <c r="H421" s="1">
        <v>46053.333333333336</v>
      </c>
    </row>
    <row r="422" spans="1:8" x14ac:dyDescent="0.25">
      <c r="A422" s="7">
        <f>DATE(YEAR(m7_crossvalid[[#This Row],[cutoff]]),MONTH(m7_crossvalid[[#This Row],[cutoff]]),DAY(m7_crossvalid[[#This Row],[cutoff]]))</f>
        <v>46053</v>
      </c>
      <c r="B422" s="7">
        <f>DATE(YEAR(m7_crossvalid[[#This Row],[ds]]),MONTH(m7_crossvalid[[#This Row],[ds]]),DAY(m7_crossvalid[[#This Row],[ds]]))</f>
        <v>46071</v>
      </c>
      <c r="C422">
        <v>21</v>
      </c>
      <c r="D422" s="1">
        <v>46071.333333333336</v>
      </c>
      <c r="E422">
        <v>721.58293380159648</v>
      </c>
      <c r="F422">
        <v>-746.12335319396573</v>
      </c>
      <c r="G422">
        <v>2154.8942156579933</v>
      </c>
      <c r="H422" s="1">
        <v>46053.333333333336</v>
      </c>
    </row>
    <row r="423" spans="1:8" x14ac:dyDescent="0.25">
      <c r="A423" s="7">
        <f>DATE(YEAR(m7_crossvalid[[#This Row],[cutoff]]),MONTH(m7_crossvalid[[#This Row],[cutoff]]),DAY(m7_crossvalid[[#This Row],[cutoff]]))</f>
        <v>46053</v>
      </c>
      <c r="B423" s="7">
        <f>DATE(YEAR(m7_crossvalid[[#This Row],[ds]]),MONTH(m7_crossvalid[[#This Row],[ds]]),DAY(m7_crossvalid[[#This Row],[ds]]))</f>
        <v>46072</v>
      </c>
      <c r="C423">
        <v>1000</v>
      </c>
      <c r="D423" s="1">
        <v>46072.333333333336</v>
      </c>
      <c r="E423">
        <v>2981.5253060062209</v>
      </c>
      <c r="F423">
        <v>1446.2311211043248</v>
      </c>
      <c r="G423">
        <v>4559.7335465501392</v>
      </c>
      <c r="H423" s="1">
        <v>46053.333333333336</v>
      </c>
    </row>
    <row r="424" spans="1:8" x14ac:dyDescent="0.25">
      <c r="A424" s="7">
        <f>DATE(YEAR(m7_crossvalid[[#This Row],[cutoff]]),MONTH(m7_crossvalid[[#This Row],[cutoff]]),DAY(m7_crossvalid[[#This Row],[cutoff]]))</f>
        <v>46053</v>
      </c>
      <c r="B424" s="7">
        <f>DATE(YEAR(m7_crossvalid[[#This Row],[ds]]),MONTH(m7_crossvalid[[#This Row],[ds]]),DAY(m7_crossvalid[[#This Row],[ds]]))</f>
        <v>46073</v>
      </c>
      <c r="C424">
        <v>1555</v>
      </c>
      <c r="D424" s="1">
        <v>46073.333333333336</v>
      </c>
      <c r="E424">
        <v>3042.544877625628</v>
      </c>
      <c r="F424">
        <v>1709.3070954074917</v>
      </c>
      <c r="G424">
        <v>4518.6560988690944</v>
      </c>
      <c r="H424" s="1">
        <v>46053.333333333336</v>
      </c>
    </row>
    <row r="425" spans="1:8" x14ac:dyDescent="0.25">
      <c r="A425" s="7">
        <f>DATE(YEAR(m7_crossvalid[[#This Row],[cutoff]]),MONTH(m7_crossvalid[[#This Row],[cutoff]]),DAY(m7_crossvalid[[#This Row],[cutoff]]))</f>
        <v>46053</v>
      </c>
      <c r="B425" s="7">
        <f>DATE(YEAR(m7_crossvalid[[#This Row],[ds]]),MONTH(m7_crossvalid[[#This Row],[ds]]),DAY(m7_crossvalid[[#This Row],[ds]]))</f>
        <v>46074</v>
      </c>
      <c r="C425">
        <v>492</v>
      </c>
      <c r="D425" s="1">
        <v>46074.333333333336</v>
      </c>
      <c r="E425">
        <v>821.60089104662143</v>
      </c>
      <c r="F425">
        <v>-682.73649607347966</v>
      </c>
      <c r="G425">
        <v>2311.2328585666369</v>
      </c>
      <c r="H425" s="1">
        <v>46053.333333333336</v>
      </c>
    </row>
    <row r="426" spans="1:8" x14ac:dyDescent="0.25">
      <c r="A426" s="7">
        <f>DATE(YEAR(m7_crossvalid[[#This Row],[cutoff]]),MONTH(m7_crossvalid[[#This Row],[cutoff]]),DAY(m7_crossvalid[[#This Row],[cutoff]]))</f>
        <v>46053</v>
      </c>
      <c r="B426" s="7">
        <f>DATE(YEAR(m7_crossvalid[[#This Row],[ds]]),MONTH(m7_crossvalid[[#This Row],[ds]]),DAY(m7_crossvalid[[#This Row],[ds]]))</f>
        <v>46075</v>
      </c>
      <c r="C426">
        <v>159</v>
      </c>
      <c r="D426" s="1">
        <v>46075.333333333336</v>
      </c>
      <c r="E426">
        <v>408.3308815896321</v>
      </c>
      <c r="F426">
        <v>-961.01119210686545</v>
      </c>
      <c r="G426">
        <v>1869.6898179727623</v>
      </c>
      <c r="H426" s="1">
        <v>46053.333333333336</v>
      </c>
    </row>
    <row r="427" spans="1:8" x14ac:dyDescent="0.25">
      <c r="A427" s="7">
        <f>DATE(YEAR(m7_crossvalid[[#This Row],[cutoff]]),MONTH(m7_crossvalid[[#This Row],[cutoff]]),DAY(m7_crossvalid[[#This Row],[cutoff]]))</f>
        <v>46053</v>
      </c>
      <c r="B427" s="7">
        <f>DATE(YEAR(m7_crossvalid[[#This Row],[ds]]),MONTH(m7_crossvalid[[#This Row],[ds]]),DAY(m7_crossvalid[[#This Row],[ds]]))</f>
        <v>46076</v>
      </c>
      <c r="C427">
        <v>2313</v>
      </c>
      <c r="D427" s="1">
        <v>46076.333333333336</v>
      </c>
      <c r="E427">
        <v>3130.9844068236284</v>
      </c>
      <c r="F427">
        <v>1711.5017728971197</v>
      </c>
      <c r="G427">
        <v>4582.9616548190597</v>
      </c>
      <c r="H427" s="1">
        <v>46053.333333333336</v>
      </c>
    </row>
    <row r="428" spans="1:8" x14ac:dyDescent="0.25">
      <c r="A428" s="7">
        <f>DATE(YEAR(m7_crossvalid[[#This Row],[cutoff]]),MONTH(m7_crossvalid[[#This Row],[cutoff]]),DAY(m7_crossvalid[[#This Row],[cutoff]]))</f>
        <v>46053</v>
      </c>
      <c r="B428" s="7">
        <f>DATE(YEAR(m7_crossvalid[[#This Row],[ds]]),MONTH(m7_crossvalid[[#This Row],[ds]]),DAY(m7_crossvalid[[#This Row],[ds]]))</f>
        <v>46077</v>
      </c>
      <c r="C428">
        <v>3081</v>
      </c>
      <c r="D428" s="1">
        <v>46077.333333333336</v>
      </c>
      <c r="E428">
        <v>4922.3698606275775</v>
      </c>
      <c r="F428">
        <v>3531.23295158259</v>
      </c>
      <c r="G428">
        <v>6343.1661561861783</v>
      </c>
      <c r="H428" s="1">
        <v>46053.333333333336</v>
      </c>
    </row>
    <row r="429" spans="1:8" x14ac:dyDescent="0.25">
      <c r="A429" s="7">
        <f>DATE(YEAR(m7_crossvalid[[#This Row],[cutoff]]),MONTH(m7_crossvalid[[#This Row],[cutoff]]),DAY(m7_crossvalid[[#This Row],[cutoff]]))</f>
        <v>46053</v>
      </c>
      <c r="B429" s="7">
        <f>DATE(YEAR(m7_crossvalid[[#This Row],[ds]]),MONTH(m7_crossvalid[[#This Row],[ds]]),DAY(m7_crossvalid[[#This Row],[ds]]))</f>
        <v>46078</v>
      </c>
      <c r="C429">
        <v>4066</v>
      </c>
      <c r="D429" s="1">
        <v>46078.333333333336</v>
      </c>
      <c r="E429">
        <v>5103.8285439724114</v>
      </c>
      <c r="F429">
        <v>3700.1452715965556</v>
      </c>
      <c r="G429">
        <v>6562.8444569892454</v>
      </c>
      <c r="H429" s="1">
        <v>46053.333333333336</v>
      </c>
    </row>
    <row r="430" spans="1:8" x14ac:dyDescent="0.25">
      <c r="A430" s="7">
        <f>DATE(YEAR(m7_crossvalid[[#This Row],[cutoff]]),MONTH(m7_crossvalid[[#This Row],[cutoff]]),DAY(m7_crossvalid[[#This Row],[cutoff]]))</f>
        <v>46053</v>
      </c>
      <c r="B430" s="7">
        <f>DATE(YEAR(m7_crossvalid[[#This Row],[ds]]),MONTH(m7_crossvalid[[#This Row],[ds]]),DAY(m7_crossvalid[[#This Row],[ds]]))</f>
        <v>46079</v>
      </c>
      <c r="C430">
        <v>5569</v>
      </c>
      <c r="D430" s="1">
        <v>46079.333333333336</v>
      </c>
      <c r="E430">
        <v>5038.8858490166458</v>
      </c>
      <c r="F430">
        <v>3598.3449704085442</v>
      </c>
      <c r="G430">
        <v>6406.9254005463463</v>
      </c>
      <c r="H430" s="1">
        <v>46053.333333333336</v>
      </c>
    </row>
    <row r="431" spans="1:8" x14ac:dyDescent="0.25">
      <c r="A431" s="7">
        <f>DATE(YEAR(m7_crossvalid[[#This Row],[cutoff]]),MONTH(m7_crossvalid[[#This Row],[cutoff]]),DAY(m7_crossvalid[[#This Row],[cutoff]]))</f>
        <v>46053</v>
      </c>
      <c r="B431" s="7">
        <f>DATE(YEAR(m7_crossvalid[[#This Row],[ds]]),MONTH(m7_crossvalid[[#This Row],[ds]]),DAY(m7_crossvalid[[#This Row],[ds]]))</f>
        <v>46080</v>
      </c>
      <c r="C431">
        <v>8803</v>
      </c>
      <c r="D431" s="1">
        <v>46080.333333333336</v>
      </c>
      <c r="E431">
        <v>7424.325232596093</v>
      </c>
      <c r="F431">
        <v>5977.8854776189692</v>
      </c>
      <c r="G431">
        <v>8814.1505650224117</v>
      </c>
      <c r="H431" s="1">
        <v>46053.333333333336</v>
      </c>
    </row>
    <row r="432" spans="1:8" x14ac:dyDescent="0.25">
      <c r="A432" s="7">
        <f>DATE(YEAR(m7_crossvalid[[#This Row],[cutoff]]),MONTH(m7_crossvalid[[#This Row],[cutoff]]),DAY(m7_crossvalid[[#This Row],[cutoff]]))</f>
        <v>46053</v>
      </c>
      <c r="B432" s="7">
        <f>DATE(YEAR(m7_crossvalid[[#This Row],[ds]]),MONTH(m7_crossvalid[[#This Row],[ds]]),DAY(m7_crossvalid[[#This Row],[ds]]))</f>
        <v>46081</v>
      </c>
      <c r="C432">
        <v>9425</v>
      </c>
      <c r="D432" s="1">
        <v>46081.333333333336</v>
      </c>
      <c r="E432">
        <v>8196.0136604481413</v>
      </c>
      <c r="F432">
        <v>6776.5606763053202</v>
      </c>
      <c r="G432">
        <v>9696.4725289091548</v>
      </c>
      <c r="H432" s="1">
        <v>46053.333333333336</v>
      </c>
    </row>
    <row r="433" spans="1:8" x14ac:dyDescent="0.25">
      <c r="A433" s="7">
        <f>DATE(YEAR(m7_crossvalid[[#This Row],[cutoff]]),MONTH(m7_crossvalid[[#This Row],[cutoff]]),DAY(m7_crossvalid[[#This Row],[cutoff]]))</f>
        <v>46053</v>
      </c>
      <c r="B433" s="7">
        <f>DATE(YEAR(m7_crossvalid[[#This Row],[ds]]),MONTH(m7_crossvalid[[#This Row],[ds]]),DAY(m7_crossvalid[[#This Row],[ds]]))</f>
        <v>46082</v>
      </c>
      <c r="C433">
        <v>40</v>
      </c>
      <c r="D433" s="1">
        <v>46082.333333333336</v>
      </c>
      <c r="E433">
        <v>1048.6471217814401</v>
      </c>
      <c r="F433">
        <v>-472.97823800982405</v>
      </c>
      <c r="G433">
        <v>2512.853254159219</v>
      </c>
      <c r="H433" s="1">
        <v>46053.333333333336</v>
      </c>
    </row>
    <row r="434" spans="1:8" x14ac:dyDescent="0.25">
      <c r="A434" s="7">
        <f>DATE(YEAR(m7_crossvalid[[#This Row],[cutoff]]),MONTH(m7_crossvalid[[#This Row],[cutoff]]),DAY(m7_crossvalid[[#This Row],[cutoff]]))</f>
        <v>46053</v>
      </c>
      <c r="B434" s="7">
        <f>DATE(YEAR(m7_crossvalid[[#This Row],[ds]]),MONTH(m7_crossvalid[[#This Row],[ds]]),DAY(m7_crossvalid[[#This Row],[ds]]))</f>
        <v>46083</v>
      </c>
      <c r="C434">
        <v>617</v>
      </c>
      <c r="D434" s="1">
        <v>46083.333333333336</v>
      </c>
      <c r="E434">
        <v>2606.8206659346552</v>
      </c>
      <c r="F434">
        <v>1108.8136019696915</v>
      </c>
      <c r="G434">
        <v>4078.0856092120748</v>
      </c>
      <c r="H434" s="1">
        <v>46053.333333333336</v>
      </c>
    </row>
    <row r="435" spans="1:8" x14ac:dyDescent="0.25">
      <c r="A435" s="7">
        <f>DATE(YEAR(m7_crossvalid[[#This Row],[cutoff]]),MONTH(m7_crossvalid[[#This Row],[cutoff]]),DAY(m7_crossvalid[[#This Row],[cutoff]]))</f>
        <v>46053</v>
      </c>
      <c r="B435" s="7">
        <f>DATE(YEAR(m7_crossvalid[[#This Row],[ds]]),MONTH(m7_crossvalid[[#This Row],[ds]]),DAY(m7_crossvalid[[#This Row],[ds]]))</f>
        <v>46084</v>
      </c>
      <c r="C435">
        <v>799</v>
      </c>
      <c r="D435" s="1">
        <v>46084.333333333336</v>
      </c>
      <c r="E435">
        <v>1987.7424221330366</v>
      </c>
      <c r="F435">
        <v>488.09962548929002</v>
      </c>
      <c r="G435">
        <v>3390.8236945135313</v>
      </c>
      <c r="H435" s="1">
        <v>46053.333333333336</v>
      </c>
    </row>
    <row r="436" spans="1:8" x14ac:dyDescent="0.25">
      <c r="A436" s="7">
        <f>DATE(YEAR(m7_crossvalid[[#This Row],[cutoff]]),MONTH(m7_crossvalid[[#This Row],[cutoff]]),DAY(m7_crossvalid[[#This Row],[cutoff]]))</f>
        <v>46081</v>
      </c>
      <c r="B436" s="7">
        <f>DATE(YEAR(m7_crossvalid[[#This Row],[ds]]),MONTH(m7_crossvalid[[#This Row],[ds]]),DAY(m7_crossvalid[[#This Row],[ds]]))</f>
        <v>46082</v>
      </c>
      <c r="C436">
        <v>40</v>
      </c>
      <c r="D436" s="1">
        <v>46082.333333333336</v>
      </c>
      <c r="E436">
        <v>1125.3748031371165</v>
      </c>
      <c r="F436">
        <v>-348.05340392833875</v>
      </c>
      <c r="G436">
        <v>2598.1906175360764</v>
      </c>
      <c r="H436" s="1">
        <v>46081.333333333336</v>
      </c>
    </row>
    <row r="437" spans="1:8" x14ac:dyDescent="0.25">
      <c r="A437" s="7">
        <f>DATE(YEAR(m7_crossvalid[[#This Row],[cutoff]]),MONTH(m7_crossvalid[[#This Row],[cutoff]]),DAY(m7_crossvalid[[#This Row],[cutoff]]))</f>
        <v>46081</v>
      </c>
      <c r="B437" s="7">
        <f>DATE(YEAR(m7_crossvalid[[#This Row],[ds]]),MONTH(m7_crossvalid[[#This Row],[ds]]),DAY(m7_crossvalid[[#This Row],[ds]]))</f>
        <v>46083</v>
      </c>
      <c r="C437">
        <v>617</v>
      </c>
      <c r="D437" s="1">
        <v>46083.333333333336</v>
      </c>
      <c r="E437">
        <v>2592.9897195328704</v>
      </c>
      <c r="F437">
        <v>1178.9071437227728</v>
      </c>
      <c r="G437">
        <v>4101.4488346525222</v>
      </c>
      <c r="H437" s="1">
        <v>46081.333333333336</v>
      </c>
    </row>
    <row r="438" spans="1:8" x14ac:dyDescent="0.25">
      <c r="A438" s="7">
        <f>DATE(YEAR(m7_crossvalid[[#This Row],[cutoff]]),MONTH(m7_crossvalid[[#This Row],[cutoff]]),DAY(m7_crossvalid[[#This Row],[cutoff]]))</f>
        <v>46081</v>
      </c>
      <c r="B438" s="7">
        <f>DATE(YEAR(m7_crossvalid[[#This Row],[ds]]),MONTH(m7_crossvalid[[#This Row],[ds]]),DAY(m7_crossvalid[[#This Row],[ds]]))</f>
        <v>46084</v>
      </c>
      <c r="C438">
        <v>799</v>
      </c>
      <c r="D438" s="1">
        <v>46084.333333333336</v>
      </c>
      <c r="E438">
        <v>1963.7578205304931</v>
      </c>
      <c r="F438">
        <v>454.36144272688699</v>
      </c>
      <c r="G438">
        <v>3519.0110506392098</v>
      </c>
      <c r="H438" s="1">
        <v>46081.333333333336</v>
      </c>
    </row>
    <row r="439" spans="1:8" x14ac:dyDescent="0.25">
      <c r="A439" s="7">
        <f>DATE(YEAR(m7_crossvalid[[#This Row],[cutoff]]),MONTH(m7_crossvalid[[#This Row],[cutoff]]),DAY(m7_crossvalid[[#This Row],[cutoff]]))</f>
        <v>46081</v>
      </c>
      <c r="B439" s="7">
        <f>DATE(YEAR(m7_crossvalid[[#This Row],[ds]]),MONTH(m7_crossvalid[[#This Row],[ds]]),DAY(m7_crossvalid[[#This Row],[ds]]))</f>
        <v>46085</v>
      </c>
      <c r="C439">
        <v>995</v>
      </c>
      <c r="D439" s="1">
        <v>46085.333333333336</v>
      </c>
      <c r="E439">
        <v>1741.8259485663307</v>
      </c>
      <c r="F439">
        <v>324.83592782868124</v>
      </c>
      <c r="G439">
        <v>3251.4234068083401</v>
      </c>
      <c r="H439" s="1">
        <v>46081.333333333336</v>
      </c>
    </row>
    <row r="440" spans="1:8" x14ac:dyDescent="0.25">
      <c r="A440" s="7">
        <f>DATE(YEAR(m7_crossvalid[[#This Row],[cutoff]]),MONTH(m7_crossvalid[[#This Row],[cutoff]]),DAY(m7_crossvalid[[#This Row],[cutoff]]))</f>
        <v>46081</v>
      </c>
      <c r="B440" s="7">
        <f>DATE(YEAR(m7_crossvalid[[#This Row],[ds]]),MONTH(m7_crossvalid[[#This Row],[ds]]),DAY(m7_crossvalid[[#This Row],[ds]]))</f>
        <v>46086</v>
      </c>
      <c r="C440">
        <v>1314</v>
      </c>
      <c r="D440" s="1">
        <v>46086.333333333336</v>
      </c>
      <c r="E440">
        <v>1841.0985083342825</v>
      </c>
      <c r="F440">
        <v>394.62061448020927</v>
      </c>
      <c r="G440">
        <v>3313.5720944312134</v>
      </c>
      <c r="H440" s="1">
        <v>46081.333333333336</v>
      </c>
    </row>
    <row r="441" spans="1:8" x14ac:dyDescent="0.25">
      <c r="A441" s="7">
        <f>DATE(YEAR(m7_crossvalid[[#This Row],[cutoff]]),MONTH(m7_crossvalid[[#This Row],[cutoff]]),DAY(m7_crossvalid[[#This Row],[cutoff]]))</f>
        <v>46081</v>
      </c>
      <c r="B441" s="7">
        <f>DATE(YEAR(m7_crossvalid[[#This Row],[ds]]),MONTH(m7_crossvalid[[#This Row],[ds]]),DAY(m7_crossvalid[[#This Row],[ds]]))</f>
        <v>46087</v>
      </c>
      <c r="C441">
        <v>1617</v>
      </c>
      <c r="D441" s="1">
        <v>46087.333333333336</v>
      </c>
      <c r="E441">
        <v>1872.8701698466532</v>
      </c>
      <c r="F441">
        <v>467.80987294656677</v>
      </c>
      <c r="G441">
        <v>3357.3753346256199</v>
      </c>
      <c r="H441" s="1">
        <v>46081.333333333336</v>
      </c>
    </row>
    <row r="442" spans="1:8" x14ac:dyDescent="0.25">
      <c r="A442" s="7">
        <f>DATE(YEAR(m7_crossvalid[[#This Row],[cutoff]]),MONTH(m7_crossvalid[[#This Row],[cutoff]]),DAY(m7_crossvalid[[#This Row],[cutoff]]))</f>
        <v>46081</v>
      </c>
      <c r="B442" s="7">
        <f>DATE(YEAR(m7_crossvalid[[#This Row],[ds]]),MONTH(m7_crossvalid[[#This Row],[ds]]),DAY(m7_crossvalid[[#This Row],[ds]]))</f>
        <v>46088</v>
      </c>
      <c r="C442">
        <v>220</v>
      </c>
      <c r="D442" s="1">
        <v>46088.333333333336</v>
      </c>
      <c r="E442">
        <v>-2075.3357817946717</v>
      </c>
      <c r="F442">
        <v>-3633.8801442475951</v>
      </c>
      <c r="G442">
        <v>-707.27595228825692</v>
      </c>
      <c r="H442" s="1">
        <v>46081.333333333336</v>
      </c>
    </row>
    <row r="443" spans="1:8" x14ac:dyDescent="0.25">
      <c r="A443" s="7">
        <f>DATE(YEAR(m7_crossvalid[[#This Row],[cutoff]]),MONTH(m7_crossvalid[[#This Row],[cutoff]]),DAY(m7_crossvalid[[#This Row],[cutoff]]))</f>
        <v>46081</v>
      </c>
      <c r="B443" s="7">
        <f>DATE(YEAR(m7_crossvalid[[#This Row],[ds]]),MONTH(m7_crossvalid[[#This Row],[ds]]),DAY(m7_crossvalid[[#This Row],[ds]]))</f>
        <v>46089</v>
      </c>
      <c r="C443">
        <v>43</v>
      </c>
      <c r="D443" s="1">
        <v>46089.333333333336</v>
      </c>
      <c r="E443">
        <v>-247.70886596677246</v>
      </c>
      <c r="F443">
        <v>-1727.9999503666013</v>
      </c>
      <c r="G443">
        <v>1193.0079156279266</v>
      </c>
      <c r="H443" s="1">
        <v>46081.333333333336</v>
      </c>
    </row>
    <row r="444" spans="1:8" x14ac:dyDescent="0.25">
      <c r="A444" s="7">
        <f>DATE(YEAR(m7_crossvalid[[#This Row],[cutoff]]),MONTH(m7_crossvalid[[#This Row],[cutoff]]),DAY(m7_crossvalid[[#This Row],[cutoff]]))</f>
        <v>46081</v>
      </c>
      <c r="B444" s="7">
        <f>DATE(YEAR(m7_crossvalid[[#This Row],[ds]]),MONTH(m7_crossvalid[[#This Row],[ds]]),DAY(m7_crossvalid[[#This Row],[ds]]))</f>
        <v>46090</v>
      </c>
      <c r="C444">
        <v>1766</v>
      </c>
      <c r="D444" s="1">
        <v>46090.333333333336</v>
      </c>
      <c r="E444">
        <v>2289.0380388081403</v>
      </c>
      <c r="F444">
        <v>916.58568316563992</v>
      </c>
      <c r="G444">
        <v>3751.5322474549052</v>
      </c>
      <c r="H444" s="1">
        <v>46081.333333333336</v>
      </c>
    </row>
    <row r="445" spans="1:8" x14ac:dyDescent="0.25">
      <c r="A445" s="7">
        <f>DATE(YEAR(m7_crossvalid[[#This Row],[cutoff]]),MONTH(m7_crossvalid[[#This Row],[cutoff]]),DAY(m7_crossvalid[[#This Row],[cutoff]]))</f>
        <v>46081</v>
      </c>
      <c r="B445" s="7">
        <f>DATE(YEAR(m7_crossvalid[[#This Row],[ds]]),MONTH(m7_crossvalid[[#This Row],[ds]]),DAY(m7_crossvalid[[#This Row],[ds]]))</f>
        <v>46091</v>
      </c>
      <c r="C445">
        <v>2170</v>
      </c>
      <c r="D445" s="1">
        <v>46091.333333333336</v>
      </c>
      <c r="E445">
        <v>2570.2958899669388</v>
      </c>
      <c r="F445">
        <v>1041.9270308273142</v>
      </c>
      <c r="G445">
        <v>3977.8296422203562</v>
      </c>
      <c r="H445" s="1">
        <v>46081.333333333336</v>
      </c>
    </row>
    <row r="446" spans="1:8" x14ac:dyDescent="0.25">
      <c r="A446" s="7">
        <f>DATE(YEAR(m7_crossvalid[[#This Row],[cutoff]]),MONTH(m7_crossvalid[[#This Row],[cutoff]]),DAY(m7_crossvalid[[#This Row],[cutoff]]))</f>
        <v>46081</v>
      </c>
      <c r="B446" s="7">
        <f>DATE(YEAR(m7_crossvalid[[#This Row],[ds]]),MONTH(m7_crossvalid[[#This Row],[ds]]),DAY(m7_crossvalid[[#This Row],[ds]]))</f>
        <v>46092</v>
      </c>
      <c r="C446">
        <v>2907</v>
      </c>
      <c r="D446" s="1">
        <v>46092.333333333336</v>
      </c>
      <c r="E446">
        <v>2597.4365289517855</v>
      </c>
      <c r="F446">
        <v>1161.0138068053664</v>
      </c>
      <c r="G446">
        <v>4117.3856608686056</v>
      </c>
      <c r="H446" s="1">
        <v>46081.333333333336</v>
      </c>
    </row>
    <row r="447" spans="1:8" x14ac:dyDescent="0.25">
      <c r="A447" s="7">
        <f>DATE(YEAR(m7_crossvalid[[#This Row],[cutoff]]),MONTH(m7_crossvalid[[#This Row],[cutoff]]),DAY(m7_crossvalid[[#This Row],[cutoff]]))</f>
        <v>46081</v>
      </c>
      <c r="B447" s="7">
        <f>DATE(YEAR(m7_crossvalid[[#This Row],[ds]]),MONTH(m7_crossvalid[[#This Row],[ds]]),DAY(m7_crossvalid[[#This Row],[ds]]))</f>
        <v>46093</v>
      </c>
      <c r="C447">
        <v>3020</v>
      </c>
      <c r="D447" s="1">
        <v>46093.333333333336</v>
      </c>
      <c r="E447">
        <v>2621.5231805043682</v>
      </c>
      <c r="F447">
        <v>1285.2865383333117</v>
      </c>
      <c r="G447">
        <v>4033.3263380714075</v>
      </c>
      <c r="H447" s="1">
        <v>46081.333333333336</v>
      </c>
    </row>
    <row r="448" spans="1:8" x14ac:dyDescent="0.25">
      <c r="A448" s="7">
        <f>DATE(YEAR(m7_crossvalid[[#This Row],[cutoff]]),MONTH(m7_crossvalid[[#This Row],[cutoff]]),DAY(m7_crossvalid[[#This Row],[cutoff]]))</f>
        <v>46081</v>
      </c>
      <c r="B448" s="7">
        <f>DATE(YEAR(m7_crossvalid[[#This Row],[ds]]),MONTH(m7_crossvalid[[#This Row],[ds]]),DAY(m7_crossvalid[[#This Row],[ds]]))</f>
        <v>46094</v>
      </c>
      <c r="C448">
        <v>3551</v>
      </c>
      <c r="D448" s="1">
        <v>46094.333333333336</v>
      </c>
      <c r="E448">
        <v>2781.1553486342345</v>
      </c>
      <c r="F448">
        <v>1323.0361164082112</v>
      </c>
      <c r="G448">
        <v>4210.4346344293417</v>
      </c>
      <c r="H448" s="1">
        <v>46081.333333333336</v>
      </c>
    </row>
    <row r="449" spans="1:8" x14ac:dyDescent="0.25">
      <c r="A449" s="7">
        <f>DATE(YEAR(m7_crossvalid[[#This Row],[cutoff]]),MONTH(m7_crossvalid[[#This Row],[cutoff]]),DAY(m7_crossvalid[[#This Row],[cutoff]]))</f>
        <v>46081</v>
      </c>
      <c r="B449" s="7">
        <f>DATE(YEAR(m7_crossvalid[[#This Row],[ds]]),MONTH(m7_crossvalid[[#This Row],[ds]]),DAY(m7_crossvalid[[#This Row],[ds]]))</f>
        <v>46095</v>
      </c>
      <c r="C449">
        <v>1088</v>
      </c>
      <c r="D449" s="1">
        <v>46095.333333333336</v>
      </c>
      <c r="E449">
        <v>668.71585874235757</v>
      </c>
      <c r="F449">
        <v>-814.69197752138859</v>
      </c>
      <c r="G449">
        <v>2092.5031221053614</v>
      </c>
      <c r="H449" s="1">
        <v>46081.333333333336</v>
      </c>
    </row>
    <row r="450" spans="1:8" x14ac:dyDescent="0.25">
      <c r="A450" s="7">
        <f>DATE(YEAR(m7_crossvalid[[#This Row],[cutoff]]),MONTH(m7_crossvalid[[#This Row],[cutoff]]),DAY(m7_crossvalid[[#This Row],[cutoff]]))</f>
        <v>46081</v>
      </c>
      <c r="B450" s="7">
        <f>DATE(YEAR(m7_crossvalid[[#This Row],[ds]]),MONTH(m7_crossvalid[[#This Row],[ds]]),DAY(m7_crossvalid[[#This Row],[ds]]))</f>
        <v>46096</v>
      </c>
      <c r="C450">
        <v>228</v>
      </c>
      <c r="D450" s="1">
        <v>46096.333333333336</v>
      </c>
      <c r="E450">
        <v>177.29215611026711</v>
      </c>
      <c r="F450">
        <v>-1361.7396025805715</v>
      </c>
      <c r="G450">
        <v>1727.6232129678128</v>
      </c>
      <c r="H450" s="1">
        <v>46081.333333333336</v>
      </c>
    </row>
    <row r="451" spans="1:8" x14ac:dyDescent="0.25">
      <c r="A451" s="7">
        <f>DATE(YEAR(m7_crossvalid[[#This Row],[cutoff]]),MONTH(m7_crossvalid[[#This Row],[cutoff]]),DAY(m7_crossvalid[[#This Row],[cutoff]]))</f>
        <v>46081</v>
      </c>
      <c r="B451" s="7">
        <f>DATE(YEAR(m7_crossvalid[[#This Row],[ds]]),MONTH(m7_crossvalid[[#This Row],[ds]]),DAY(m7_crossvalid[[#This Row],[ds]]))</f>
        <v>46097</v>
      </c>
      <c r="C451">
        <v>3950</v>
      </c>
      <c r="D451" s="1">
        <v>46097.333333333336</v>
      </c>
      <c r="E451">
        <v>2713.8806780015034</v>
      </c>
      <c r="F451">
        <v>1251.5532826320286</v>
      </c>
      <c r="G451">
        <v>4236.0455215489383</v>
      </c>
      <c r="H451" s="1">
        <v>46081.333333333336</v>
      </c>
    </row>
    <row r="452" spans="1:8" x14ac:dyDescent="0.25">
      <c r="A452" s="7">
        <f>DATE(YEAR(m7_crossvalid[[#This Row],[cutoff]]),MONTH(m7_crossvalid[[#This Row],[cutoff]]),DAY(m7_crossvalid[[#This Row],[cutoff]]))</f>
        <v>46081</v>
      </c>
      <c r="B452" s="7">
        <f>DATE(YEAR(m7_crossvalid[[#This Row],[ds]]),MONTH(m7_crossvalid[[#This Row],[ds]]),DAY(m7_crossvalid[[#This Row],[ds]]))</f>
        <v>46098</v>
      </c>
      <c r="C452">
        <v>5807</v>
      </c>
      <c r="D452" s="1">
        <v>46098.333333333336</v>
      </c>
      <c r="E452">
        <v>3093.8772533816714</v>
      </c>
      <c r="F452">
        <v>1698.672634292252</v>
      </c>
      <c r="G452">
        <v>4500.7545650044649</v>
      </c>
      <c r="H452" s="1">
        <v>46081.333333333336</v>
      </c>
    </row>
    <row r="453" spans="1:8" x14ac:dyDescent="0.25">
      <c r="A453" s="7">
        <f>DATE(YEAR(m7_crossvalid[[#This Row],[cutoff]]),MONTH(m7_crossvalid[[#This Row],[cutoff]]),DAY(m7_crossvalid[[#This Row],[cutoff]]))</f>
        <v>46081</v>
      </c>
      <c r="B453" s="7">
        <f>DATE(YEAR(m7_crossvalid[[#This Row],[ds]]),MONTH(m7_crossvalid[[#This Row],[ds]]),DAY(m7_crossvalid[[#This Row],[ds]]))</f>
        <v>46099</v>
      </c>
      <c r="C453">
        <v>5295</v>
      </c>
      <c r="D453" s="1">
        <v>46099.333333333336</v>
      </c>
      <c r="E453">
        <v>3313.9921695906205</v>
      </c>
      <c r="F453">
        <v>1870.2719541812598</v>
      </c>
      <c r="G453">
        <v>4746.166807534757</v>
      </c>
      <c r="H453" s="1">
        <v>46081.333333333336</v>
      </c>
    </row>
    <row r="454" spans="1:8" x14ac:dyDescent="0.25">
      <c r="A454" s="7">
        <f>DATE(YEAR(m7_crossvalid[[#This Row],[cutoff]]),MONTH(m7_crossvalid[[#This Row],[cutoff]]),DAY(m7_crossvalid[[#This Row],[cutoff]]))</f>
        <v>46081</v>
      </c>
      <c r="B454" s="7">
        <f>DATE(YEAR(m7_crossvalid[[#This Row],[ds]]),MONTH(m7_crossvalid[[#This Row],[ds]]),DAY(m7_crossvalid[[#This Row],[ds]]))</f>
        <v>46100</v>
      </c>
      <c r="C454">
        <v>3557</v>
      </c>
      <c r="D454" s="1">
        <v>46100.333333333336</v>
      </c>
      <c r="E454">
        <v>3462.0798572498206</v>
      </c>
      <c r="F454">
        <v>2036.2394183741164</v>
      </c>
      <c r="G454">
        <v>4864.2253828622261</v>
      </c>
      <c r="H454" s="1">
        <v>46081.333333333336</v>
      </c>
    </row>
    <row r="455" spans="1:8" x14ac:dyDescent="0.25">
      <c r="A455" s="7">
        <f>DATE(YEAR(m7_crossvalid[[#This Row],[cutoff]]),MONTH(m7_crossvalid[[#This Row],[cutoff]]),DAY(m7_crossvalid[[#This Row],[cutoff]]))</f>
        <v>46081</v>
      </c>
      <c r="B455" s="7">
        <f>DATE(YEAR(m7_crossvalid[[#This Row],[ds]]),MONTH(m7_crossvalid[[#This Row],[ds]]),DAY(m7_crossvalid[[#This Row],[ds]]))</f>
        <v>46101</v>
      </c>
      <c r="C455">
        <v>61</v>
      </c>
      <c r="D455" s="1">
        <v>46101.333333333336</v>
      </c>
      <c r="E455">
        <v>-676.675183044199</v>
      </c>
      <c r="F455">
        <v>-2139.1217838563484</v>
      </c>
      <c r="G455">
        <v>809.99321816687893</v>
      </c>
      <c r="H455" s="1">
        <v>46081.333333333336</v>
      </c>
    </row>
    <row r="456" spans="1:8" x14ac:dyDescent="0.25">
      <c r="A456" s="7">
        <f>DATE(YEAR(m7_crossvalid[[#This Row],[cutoff]]),MONTH(m7_crossvalid[[#This Row],[cutoff]]),DAY(m7_crossvalid[[#This Row],[cutoff]]))</f>
        <v>46081</v>
      </c>
      <c r="B456" s="7">
        <f>DATE(YEAR(m7_crossvalid[[#This Row],[ds]]),MONTH(m7_crossvalid[[#This Row],[ds]]),DAY(m7_crossvalid[[#This Row],[ds]]))</f>
        <v>46102</v>
      </c>
      <c r="C456">
        <v>3</v>
      </c>
      <c r="D456" s="1">
        <v>46102.333333333336</v>
      </c>
      <c r="E456">
        <v>-1653.4719720960807</v>
      </c>
      <c r="F456">
        <v>-3148.6635420690873</v>
      </c>
      <c r="G456">
        <v>-199.60119131177936</v>
      </c>
      <c r="H456" s="1">
        <v>46081.333333333336</v>
      </c>
    </row>
    <row r="457" spans="1:8" x14ac:dyDescent="0.25">
      <c r="A457" s="7">
        <f>DATE(YEAR(m7_crossvalid[[#This Row],[cutoff]]),MONTH(m7_crossvalid[[#This Row],[cutoff]]),DAY(m7_crossvalid[[#This Row],[cutoff]]))</f>
        <v>46081</v>
      </c>
      <c r="B457" s="7">
        <f>DATE(YEAR(m7_crossvalid[[#This Row],[ds]]),MONTH(m7_crossvalid[[#This Row],[ds]]),DAY(m7_crossvalid[[#This Row],[ds]]))</f>
        <v>46103</v>
      </c>
      <c r="C457">
        <v>6</v>
      </c>
      <c r="D457" s="1">
        <v>46103.333333333336</v>
      </c>
      <c r="E457">
        <v>-4381.1061348958592</v>
      </c>
      <c r="F457">
        <v>-5865.4341443534568</v>
      </c>
      <c r="G457">
        <v>-3027.0051324145052</v>
      </c>
      <c r="H457" s="1">
        <v>46081.333333333336</v>
      </c>
    </row>
    <row r="458" spans="1:8" x14ac:dyDescent="0.25">
      <c r="A458" s="7">
        <f>DATE(YEAR(m7_crossvalid[[#This Row],[cutoff]]),MONTH(m7_crossvalid[[#This Row],[cutoff]]),DAY(m7_crossvalid[[#This Row],[cutoff]]))</f>
        <v>46081</v>
      </c>
      <c r="B458" s="7">
        <f>DATE(YEAR(m7_crossvalid[[#This Row],[ds]]),MONTH(m7_crossvalid[[#This Row],[ds]]),DAY(m7_crossvalid[[#This Row],[ds]]))</f>
        <v>46104</v>
      </c>
      <c r="C458">
        <v>23</v>
      </c>
      <c r="D458" s="1">
        <v>46104.333333333336</v>
      </c>
      <c r="E458">
        <v>-1242.0968759387529</v>
      </c>
      <c r="F458">
        <v>-2755.2740803172533</v>
      </c>
      <c r="G458">
        <v>263.81085562935368</v>
      </c>
      <c r="H458" s="1">
        <v>46081.333333333336</v>
      </c>
    </row>
    <row r="459" spans="1:8" x14ac:dyDescent="0.25">
      <c r="A459" s="7">
        <f>DATE(YEAR(m7_crossvalid[[#This Row],[cutoff]]),MONTH(m7_crossvalid[[#This Row],[cutoff]]),DAY(m7_crossvalid[[#This Row],[cutoff]]))</f>
        <v>46081</v>
      </c>
      <c r="B459" s="7">
        <f>DATE(YEAR(m7_crossvalid[[#This Row],[ds]]),MONTH(m7_crossvalid[[#This Row],[ds]]),DAY(m7_crossvalid[[#This Row],[ds]]))</f>
        <v>46105</v>
      </c>
      <c r="C459">
        <v>974</v>
      </c>
      <c r="D459" s="1">
        <v>46105.333333333336</v>
      </c>
      <c r="E459">
        <v>2193.1191072615347</v>
      </c>
      <c r="F459">
        <v>766.22060805890203</v>
      </c>
      <c r="G459">
        <v>3720.9498394619382</v>
      </c>
      <c r="H459" s="1">
        <v>46081.333333333336</v>
      </c>
    </row>
    <row r="460" spans="1:8" x14ac:dyDescent="0.25">
      <c r="A460" s="7">
        <f>DATE(YEAR(m7_crossvalid[[#This Row],[cutoff]]),MONTH(m7_crossvalid[[#This Row],[cutoff]]),DAY(m7_crossvalid[[#This Row],[cutoff]]))</f>
        <v>46081</v>
      </c>
      <c r="B460" s="7">
        <f>DATE(YEAR(m7_crossvalid[[#This Row],[ds]]),MONTH(m7_crossvalid[[#This Row],[ds]]),DAY(m7_crossvalid[[#This Row],[ds]]))</f>
        <v>46106</v>
      </c>
      <c r="C460">
        <v>1752</v>
      </c>
      <c r="D460" s="1">
        <v>46106.333333333336</v>
      </c>
      <c r="E460">
        <v>2054.3178218869712</v>
      </c>
      <c r="F460">
        <v>501.50554053031078</v>
      </c>
      <c r="G460">
        <v>3501.3319663347625</v>
      </c>
      <c r="H460" s="1">
        <v>46081.333333333336</v>
      </c>
    </row>
    <row r="461" spans="1:8" x14ac:dyDescent="0.25">
      <c r="A461" s="7">
        <f>DATE(YEAR(m7_crossvalid[[#This Row],[cutoff]]),MONTH(m7_crossvalid[[#This Row],[cutoff]]),DAY(m7_crossvalid[[#This Row],[cutoff]]))</f>
        <v>46081</v>
      </c>
      <c r="B461" s="7">
        <f>DATE(YEAR(m7_crossvalid[[#This Row],[ds]]),MONTH(m7_crossvalid[[#This Row],[ds]]),DAY(m7_crossvalid[[#This Row],[ds]]))</f>
        <v>46107</v>
      </c>
      <c r="C461">
        <v>2884</v>
      </c>
      <c r="D461" s="1">
        <v>46107.333333333336</v>
      </c>
      <c r="E461">
        <v>3374.1803585367684</v>
      </c>
      <c r="F461">
        <v>1844.2433717668273</v>
      </c>
      <c r="G461">
        <v>4801.1346708221326</v>
      </c>
      <c r="H461" s="1">
        <v>46081.333333333336</v>
      </c>
    </row>
    <row r="462" spans="1:8" x14ac:dyDescent="0.25">
      <c r="A462" s="7">
        <f>DATE(YEAR(m7_crossvalid[[#This Row],[cutoff]]),MONTH(m7_crossvalid[[#This Row],[cutoff]]),DAY(m7_crossvalid[[#This Row],[cutoff]]))</f>
        <v>46081</v>
      </c>
      <c r="B462" s="7">
        <f>DATE(YEAR(m7_crossvalid[[#This Row],[ds]]),MONTH(m7_crossvalid[[#This Row],[ds]]),DAY(m7_crossvalid[[#This Row],[ds]]))</f>
        <v>46108</v>
      </c>
      <c r="C462">
        <v>3597</v>
      </c>
      <c r="D462" s="1">
        <v>46108.333333333336</v>
      </c>
      <c r="E462">
        <v>2811.0938385167337</v>
      </c>
      <c r="F462">
        <v>1498.1926916736643</v>
      </c>
      <c r="G462">
        <v>4474.7455775412409</v>
      </c>
      <c r="H462" s="1">
        <v>46081.333333333336</v>
      </c>
    </row>
    <row r="463" spans="1:8" x14ac:dyDescent="0.25">
      <c r="A463" s="7">
        <f>DATE(YEAR(m7_crossvalid[[#This Row],[cutoff]]),MONTH(m7_crossvalid[[#This Row],[cutoff]]),DAY(m7_crossvalid[[#This Row],[cutoff]]))</f>
        <v>46081</v>
      </c>
      <c r="B463" s="7">
        <f>DATE(YEAR(m7_crossvalid[[#This Row],[ds]]),MONTH(m7_crossvalid[[#This Row],[ds]]),DAY(m7_crossvalid[[#This Row],[ds]]))</f>
        <v>46109</v>
      </c>
      <c r="C463">
        <v>1207</v>
      </c>
      <c r="D463" s="1">
        <v>46109.333333333336</v>
      </c>
      <c r="E463">
        <v>1679.6918776222178</v>
      </c>
      <c r="F463">
        <v>257.30948586346688</v>
      </c>
      <c r="G463">
        <v>3207.3450653620648</v>
      </c>
      <c r="H463" s="1">
        <v>46081.333333333336</v>
      </c>
    </row>
    <row r="464" spans="1:8" x14ac:dyDescent="0.25">
      <c r="A464" s="7">
        <f>DATE(YEAR(m7_crossvalid[[#This Row],[cutoff]]),MONTH(m7_crossvalid[[#This Row],[cutoff]]),DAY(m7_crossvalid[[#This Row],[cutoff]]))</f>
        <v>46081</v>
      </c>
      <c r="B464" s="7">
        <f>DATE(YEAR(m7_crossvalid[[#This Row],[ds]]),MONTH(m7_crossvalid[[#This Row],[ds]]),DAY(m7_crossvalid[[#This Row],[ds]]))</f>
        <v>46110</v>
      </c>
      <c r="C464">
        <v>183</v>
      </c>
      <c r="D464" s="1">
        <v>46110.333333333336</v>
      </c>
      <c r="E464">
        <v>81.530247060871261</v>
      </c>
      <c r="F464">
        <v>-1372.877252148686</v>
      </c>
      <c r="G464">
        <v>1528.6481163333704</v>
      </c>
      <c r="H464" s="1">
        <v>46081.333333333336</v>
      </c>
    </row>
    <row r="465" spans="1:8" x14ac:dyDescent="0.25">
      <c r="A465" s="7">
        <f>DATE(YEAR(m7_crossvalid[[#This Row],[cutoff]]),MONTH(m7_crossvalid[[#This Row],[cutoff]]),DAY(m7_crossvalid[[#This Row],[cutoff]]))</f>
        <v>46081</v>
      </c>
      <c r="B465" s="7">
        <f>DATE(YEAR(m7_crossvalid[[#This Row],[ds]]),MONTH(m7_crossvalid[[#This Row],[ds]]),DAY(m7_crossvalid[[#This Row],[ds]]))</f>
        <v>46111</v>
      </c>
      <c r="C465">
        <v>4959</v>
      </c>
      <c r="D465" s="1">
        <v>46111.333333333336</v>
      </c>
      <c r="E465">
        <v>6288.3340508636538</v>
      </c>
      <c r="F465">
        <v>4884.192960933533</v>
      </c>
      <c r="G465">
        <v>7728.0112226087913</v>
      </c>
      <c r="H465" s="1">
        <v>46081.333333333336</v>
      </c>
    </row>
    <row r="466" spans="1:8" x14ac:dyDescent="0.25">
      <c r="A466" s="7">
        <f>DATE(YEAR(m7_crossvalid[[#This Row],[cutoff]]),MONTH(m7_crossvalid[[#This Row],[cutoff]]),DAY(m7_crossvalid[[#This Row],[cutoff]]))</f>
        <v>46081</v>
      </c>
      <c r="B466" s="7">
        <f>DATE(YEAR(m7_crossvalid[[#This Row],[ds]]),MONTH(m7_crossvalid[[#This Row],[ds]]),DAY(m7_crossvalid[[#This Row],[ds]]))</f>
        <v>46112</v>
      </c>
      <c r="C466">
        <v>13213</v>
      </c>
      <c r="D466" s="1">
        <v>46112.333333333336</v>
      </c>
      <c r="E466">
        <v>10922.260936464942</v>
      </c>
      <c r="F466">
        <v>9542.6128819095156</v>
      </c>
      <c r="G466">
        <v>12328.419370536887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4AB9-B896-4906-B96C-8702C4BDAC5A}">
  <dimension ref="A1:H466"/>
  <sheetViews>
    <sheetView topLeftCell="A410" workbookViewId="0">
      <selection activeCell="B465" sqref="B465"/>
    </sheetView>
  </sheetViews>
  <sheetFormatPr defaultRowHeight="15" x14ac:dyDescent="0.25"/>
  <cols>
    <col min="1" max="1" width="10.42578125" bestFit="1" customWidth="1"/>
    <col min="2" max="2" width="9.140625" style="6"/>
    <col min="3" max="3" width="6" bestFit="1" customWidth="1"/>
    <col min="4" max="4" width="14.5703125" bestFit="1" customWidth="1"/>
    <col min="5" max="5" width="12.7109375" bestFit="1" customWidth="1"/>
    <col min="6" max="6" width="13" bestFit="1" customWidth="1"/>
    <col min="7" max="7" width="13.28515625" bestFit="1" customWidth="1"/>
    <col min="8" max="8" width="14.5703125" bestFit="1" customWidth="1"/>
  </cols>
  <sheetData>
    <row r="1" spans="1:8" x14ac:dyDescent="0.25">
      <c r="A1" s="6" t="s">
        <v>20</v>
      </c>
      <c r="B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7">
        <f>DATE(YEAR(m8_crossvalid[[#This Row],[cutoff]]),MONTH(m8_crossvalid[[#This Row],[cutoff]]),DAY(m8_crossvalid[[#This Row],[cutoff]]))</f>
        <v>45657</v>
      </c>
      <c r="B2" s="7">
        <f>DATE(YEAR(m8_crossvalid[[#This Row],[ds]]),MONTH(m8_crossvalid[[#This Row],[ds]]),DAY(m8_crossvalid[[#This Row],[ds]]))</f>
        <v>45658</v>
      </c>
      <c r="C2">
        <v>90</v>
      </c>
      <c r="D2" s="1">
        <v>45658.333333333336</v>
      </c>
      <c r="E2">
        <v>553.29031783268488</v>
      </c>
      <c r="F2">
        <v>-886.23487090168658</v>
      </c>
      <c r="G2">
        <v>1989.6322828154757</v>
      </c>
      <c r="H2" s="1">
        <v>45657.333333333336</v>
      </c>
    </row>
    <row r="3" spans="1:8" x14ac:dyDescent="0.25">
      <c r="A3" s="7">
        <f>DATE(YEAR(m8_crossvalid[[#This Row],[cutoff]]),MONTH(m8_crossvalid[[#This Row],[cutoff]]),DAY(m8_crossvalid[[#This Row],[cutoff]]))</f>
        <v>45657</v>
      </c>
      <c r="B3" s="7">
        <f>DATE(YEAR(m8_crossvalid[[#This Row],[ds]]),MONTH(m8_crossvalid[[#This Row],[ds]]),DAY(m8_crossvalid[[#This Row],[ds]]))</f>
        <v>45659</v>
      </c>
      <c r="C3">
        <v>541</v>
      </c>
      <c r="D3" s="1">
        <v>45659.333333333336</v>
      </c>
      <c r="E3">
        <v>1881.8977805103925</v>
      </c>
      <c r="F3">
        <v>555.8236008458548</v>
      </c>
      <c r="G3">
        <v>3217.968059323814</v>
      </c>
      <c r="H3" s="1">
        <v>45657.333333333336</v>
      </c>
    </row>
    <row r="4" spans="1:8" x14ac:dyDescent="0.25">
      <c r="A4" s="7">
        <f>DATE(YEAR(m8_crossvalid[[#This Row],[cutoff]]),MONTH(m8_crossvalid[[#This Row],[cutoff]]),DAY(m8_crossvalid[[#This Row],[cutoff]]))</f>
        <v>45657</v>
      </c>
      <c r="B4" s="7">
        <f>DATE(YEAR(m8_crossvalid[[#This Row],[ds]]),MONTH(m8_crossvalid[[#This Row],[ds]]),DAY(m8_crossvalid[[#This Row],[ds]]))</f>
        <v>45660</v>
      </c>
      <c r="C4">
        <v>563</v>
      </c>
      <c r="D4" s="1">
        <v>45660.333333333336</v>
      </c>
      <c r="E4">
        <v>2003.3812365811687</v>
      </c>
      <c r="F4">
        <v>597.95311446965707</v>
      </c>
      <c r="G4">
        <v>3412.2923880157255</v>
      </c>
      <c r="H4" s="1">
        <v>45657.333333333336</v>
      </c>
    </row>
    <row r="5" spans="1:8" x14ac:dyDescent="0.25">
      <c r="A5" s="7">
        <f>DATE(YEAR(m8_crossvalid[[#This Row],[cutoff]]),MONTH(m8_crossvalid[[#This Row],[cutoff]]),DAY(m8_crossvalid[[#This Row],[cutoff]]))</f>
        <v>45657</v>
      </c>
      <c r="B5" s="7">
        <f>DATE(YEAR(m8_crossvalid[[#This Row],[ds]]),MONTH(m8_crossvalid[[#This Row],[ds]]),DAY(m8_crossvalid[[#This Row],[ds]]))</f>
        <v>45661</v>
      </c>
      <c r="C5">
        <v>42</v>
      </c>
      <c r="D5" s="1">
        <v>45661.333333333336</v>
      </c>
      <c r="E5">
        <v>-420.31923026862842</v>
      </c>
      <c r="F5">
        <v>-1828.4803151283902</v>
      </c>
      <c r="G5">
        <v>925.29082116025756</v>
      </c>
      <c r="H5" s="1">
        <v>45657.333333333336</v>
      </c>
    </row>
    <row r="6" spans="1:8" x14ac:dyDescent="0.25">
      <c r="A6" s="7">
        <f>DATE(YEAR(m8_crossvalid[[#This Row],[cutoff]]),MONTH(m8_crossvalid[[#This Row],[cutoff]]),DAY(m8_crossvalid[[#This Row],[cutoff]]))</f>
        <v>45657</v>
      </c>
      <c r="B6" s="7">
        <f>DATE(YEAR(m8_crossvalid[[#This Row],[ds]]),MONTH(m8_crossvalid[[#This Row],[ds]]),DAY(m8_crossvalid[[#This Row],[ds]]))</f>
        <v>45662</v>
      </c>
      <c r="C6">
        <v>22</v>
      </c>
      <c r="D6" s="1">
        <v>45662.333333333336</v>
      </c>
      <c r="E6">
        <v>-965.60481227611217</v>
      </c>
      <c r="F6">
        <v>-2329.558642356099</v>
      </c>
      <c r="G6">
        <v>361.49516914574798</v>
      </c>
      <c r="H6" s="1">
        <v>45657.333333333336</v>
      </c>
    </row>
    <row r="7" spans="1:8" x14ac:dyDescent="0.25">
      <c r="A7" s="7">
        <f>DATE(YEAR(m8_crossvalid[[#This Row],[cutoff]]),MONTH(m8_crossvalid[[#This Row],[cutoff]]),DAY(m8_crossvalid[[#This Row],[cutoff]]))</f>
        <v>45657</v>
      </c>
      <c r="B7" s="7">
        <f>DATE(YEAR(m8_crossvalid[[#This Row],[ds]]),MONTH(m8_crossvalid[[#This Row],[ds]]),DAY(m8_crossvalid[[#This Row],[ds]]))</f>
        <v>45663</v>
      </c>
      <c r="C7">
        <v>533</v>
      </c>
      <c r="D7" s="1">
        <v>45663.333333333336</v>
      </c>
      <c r="E7">
        <v>1568.3793165592269</v>
      </c>
      <c r="F7">
        <v>64.069540331230044</v>
      </c>
      <c r="G7">
        <v>2949.5310119707551</v>
      </c>
      <c r="H7" s="1">
        <v>45657.333333333336</v>
      </c>
    </row>
    <row r="8" spans="1:8" x14ac:dyDescent="0.25">
      <c r="A8" s="7">
        <f>DATE(YEAR(m8_crossvalid[[#This Row],[cutoff]]),MONTH(m8_crossvalid[[#This Row],[cutoff]]),DAY(m8_crossvalid[[#This Row],[cutoff]]))</f>
        <v>45657</v>
      </c>
      <c r="B8" s="7">
        <f>DATE(YEAR(m8_crossvalid[[#This Row],[ds]]),MONTH(m8_crossvalid[[#This Row],[ds]]),DAY(m8_crossvalid[[#This Row],[ds]]))</f>
        <v>45664</v>
      </c>
      <c r="C8">
        <v>712</v>
      </c>
      <c r="D8" s="1">
        <v>45664.333333333336</v>
      </c>
      <c r="E8">
        <v>1610.7130452945589</v>
      </c>
      <c r="F8">
        <v>221.29721631329377</v>
      </c>
      <c r="G8">
        <v>3105.9227454106763</v>
      </c>
      <c r="H8" s="1">
        <v>45657.333333333336</v>
      </c>
    </row>
    <row r="9" spans="1:8" x14ac:dyDescent="0.25">
      <c r="A9" s="7">
        <f>DATE(YEAR(m8_crossvalid[[#This Row],[cutoff]]),MONTH(m8_crossvalid[[#This Row],[cutoff]]),DAY(m8_crossvalid[[#This Row],[cutoff]]))</f>
        <v>45657</v>
      </c>
      <c r="B9" s="7">
        <f>DATE(YEAR(m8_crossvalid[[#This Row],[ds]]),MONTH(m8_crossvalid[[#This Row],[ds]]),DAY(m8_crossvalid[[#This Row],[ds]]))</f>
        <v>45665</v>
      </c>
      <c r="C9">
        <v>904</v>
      </c>
      <c r="D9" s="1">
        <v>45665.333333333336</v>
      </c>
      <c r="E9">
        <v>2435.4417946086173</v>
      </c>
      <c r="F9">
        <v>1002.9749232212183</v>
      </c>
      <c r="G9">
        <v>3817.3143842925651</v>
      </c>
      <c r="H9" s="1">
        <v>45657.333333333336</v>
      </c>
    </row>
    <row r="10" spans="1:8" x14ac:dyDescent="0.25">
      <c r="A10" s="7">
        <f>DATE(YEAR(m8_crossvalid[[#This Row],[cutoff]]),MONTH(m8_crossvalid[[#This Row],[cutoff]]),DAY(m8_crossvalid[[#This Row],[cutoff]]))</f>
        <v>45657</v>
      </c>
      <c r="B10" s="7">
        <f>DATE(YEAR(m8_crossvalid[[#This Row],[ds]]),MONTH(m8_crossvalid[[#This Row],[ds]]),DAY(m8_crossvalid[[#This Row],[ds]]))</f>
        <v>45666</v>
      </c>
      <c r="C10">
        <v>1135</v>
      </c>
      <c r="D10" s="1">
        <v>45666.333333333336</v>
      </c>
      <c r="E10">
        <v>2129.271516988043</v>
      </c>
      <c r="F10">
        <v>871.88609933789178</v>
      </c>
      <c r="G10">
        <v>3431.6138176909335</v>
      </c>
      <c r="H10" s="1">
        <v>45657.333333333336</v>
      </c>
    </row>
    <row r="11" spans="1:8" x14ac:dyDescent="0.25">
      <c r="A11" s="7">
        <f>DATE(YEAR(m8_crossvalid[[#This Row],[cutoff]]),MONTH(m8_crossvalid[[#This Row],[cutoff]]),DAY(m8_crossvalid[[#This Row],[cutoff]]))</f>
        <v>45657</v>
      </c>
      <c r="B11" s="7">
        <f>DATE(YEAR(m8_crossvalid[[#This Row],[ds]]),MONTH(m8_crossvalid[[#This Row],[ds]]),DAY(m8_crossvalid[[#This Row],[ds]]))</f>
        <v>45667</v>
      </c>
      <c r="C11">
        <v>1270</v>
      </c>
      <c r="D11" s="1">
        <v>45667.333333333336</v>
      </c>
      <c r="E11">
        <v>2048.7460511737218</v>
      </c>
      <c r="F11">
        <v>632.72045082965803</v>
      </c>
      <c r="G11">
        <v>3473.2062192548888</v>
      </c>
      <c r="H11" s="1">
        <v>45657.333333333336</v>
      </c>
    </row>
    <row r="12" spans="1:8" x14ac:dyDescent="0.25">
      <c r="A12" s="7">
        <f>DATE(YEAR(m8_crossvalid[[#This Row],[cutoff]]),MONTH(m8_crossvalid[[#This Row],[cutoff]]),DAY(m8_crossvalid[[#This Row],[cutoff]]))</f>
        <v>45657</v>
      </c>
      <c r="B12" s="7">
        <f>DATE(YEAR(m8_crossvalid[[#This Row],[ds]]),MONTH(m8_crossvalid[[#This Row],[ds]]),DAY(m8_crossvalid[[#This Row],[ds]]))</f>
        <v>45668</v>
      </c>
      <c r="C12">
        <v>203</v>
      </c>
      <c r="D12" s="1">
        <v>45668.333333333336</v>
      </c>
      <c r="E12">
        <v>-65.167536925485365</v>
      </c>
      <c r="F12">
        <v>-1373.3158055596728</v>
      </c>
      <c r="G12">
        <v>1324.1188387094114</v>
      </c>
      <c r="H12" s="1">
        <v>45657.333333333336</v>
      </c>
    </row>
    <row r="13" spans="1:8" x14ac:dyDescent="0.25">
      <c r="A13" s="7">
        <f>DATE(YEAR(m8_crossvalid[[#This Row],[cutoff]]),MONTH(m8_crossvalid[[#This Row],[cutoff]]),DAY(m8_crossvalid[[#This Row],[cutoff]]))</f>
        <v>45657</v>
      </c>
      <c r="B13" s="7">
        <f>DATE(YEAR(m8_crossvalid[[#This Row],[ds]]),MONTH(m8_crossvalid[[#This Row],[ds]]),DAY(m8_crossvalid[[#This Row],[ds]]))</f>
        <v>45669</v>
      </c>
      <c r="C13">
        <v>41</v>
      </c>
      <c r="D13" s="1">
        <v>45669.333333333336</v>
      </c>
      <c r="E13">
        <v>-557.07503820968805</v>
      </c>
      <c r="F13">
        <v>-1827.1515153386999</v>
      </c>
      <c r="G13">
        <v>828.84890882647483</v>
      </c>
      <c r="H13" s="1">
        <v>45657.333333333336</v>
      </c>
    </row>
    <row r="14" spans="1:8" x14ac:dyDescent="0.25">
      <c r="A14" s="7">
        <f>DATE(YEAR(m8_crossvalid[[#This Row],[cutoff]]),MONTH(m8_crossvalid[[#This Row],[cutoff]]),DAY(m8_crossvalid[[#This Row],[cutoff]]))</f>
        <v>45657</v>
      </c>
      <c r="B14" s="7">
        <f>DATE(YEAR(m8_crossvalid[[#This Row],[ds]]),MONTH(m8_crossvalid[[#This Row],[ds]]),DAY(m8_crossvalid[[#This Row],[ds]]))</f>
        <v>45670</v>
      </c>
      <c r="C14">
        <v>1313</v>
      </c>
      <c r="D14" s="1">
        <v>45670.333333333336</v>
      </c>
      <c r="E14">
        <v>1918.6177193695735</v>
      </c>
      <c r="F14">
        <v>482.08243143045593</v>
      </c>
      <c r="G14">
        <v>3349.3692575011801</v>
      </c>
      <c r="H14" s="1">
        <v>45657.333333333336</v>
      </c>
    </row>
    <row r="15" spans="1:8" x14ac:dyDescent="0.25">
      <c r="A15" s="7">
        <f>DATE(YEAR(m8_crossvalid[[#This Row],[cutoff]]),MONTH(m8_crossvalid[[#This Row],[cutoff]]),DAY(m8_crossvalid[[#This Row],[cutoff]]))</f>
        <v>45657</v>
      </c>
      <c r="B15" s="7">
        <f>DATE(YEAR(m8_crossvalid[[#This Row],[ds]]),MONTH(m8_crossvalid[[#This Row],[ds]]),DAY(m8_crossvalid[[#This Row],[ds]]))</f>
        <v>45671</v>
      </c>
      <c r="C15">
        <v>1609</v>
      </c>
      <c r="D15" s="1">
        <v>45671.333333333336</v>
      </c>
      <c r="E15">
        <v>2295.1816316713548</v>
      </c>
      <c r="F15">
        <v>878.47479947511454</v>
      </c>
      <c r="G15">
        <v>3649.5295485324891</v>
      </c>
      <c r="H15" s="1">
        <v>45657.333333333336</v>
      </c>
    </row>
    <row r="16" spans="1:8" x14ac:dyDescent="0.25">
      <c r="A16" s="7">
        <f>DATE(YEAR(m8_crossvalid[[#This Row],[cutoff]]),MONTH(m8_crossvalid[[#This Row],[cutoff]]),DAY(m8_crossvalid[[#This Row],[cutoff]]))</f>
        <v>45657</v>
      </c>
      <c r="B16" s="7">
        <f>DATE(YEAR(m8_crossvalid[[#This Row],[ds]]),MONTH(m8_crossvalid[[#This Row],[ds]]),DAY(m8_crossvalid[[#This Row],[ds]]))</f>
        <v>45672</v>
      </c>
      <c r="C16">
        <v>2010</v>
      </c>
      <c r="D16" s="1">
        <v>45672.333333333336</v>
      </c>
      <c r="E16">
        <v>2515.8130972545596</v>
      </c>
      <c r="F16">
        <v>1062.7593900183797</v>
      </c>
      <c r="G16">
        <v>3927.9831224910586</v>
      </c>
      <c r="H16" s="1">
        <v>45657.333333333336</v>
      </c>
    </row>
    <row r="17" spans="1:8" x14ac:dyDescent="0.25">
      <c r="A17" s="7">
        <f>DATE(YEAR(m8_crossvalid[[#This Row],[cutoff]]),MONTH(m8_crossvalid[[#This Row],[cutoff]]),DAY(m8_crossvalid[[#This Row],[cutoff]]))</f>
        <v>45657</v>
      </c>
      <c r="B17" s="7">
        <f>DATE(YEAR(m8_crossvalid[[#This Row],[ds]]),MONTH(m8_crossvalid[[#This Row],[ds]]),DAY(m8_crossvalid[[#This Row],[ds]]))</f>
        <v>45673</v>
      </c>
      <c r="C17">
        <v>2206</v>
      </c>
      <c r="D17" s="1">
        <v>45673.333333333336</v>
      </c>
      <c r="E17">
        <v>2659.2026143447324</v>
      </c>
      <c r="F17">
        <v>1254.4449354888529</v>
      </c>
      <c r="G17">
        <v>4055.0872079741039</v>
      </c>
      <c r="H17" s="1">
        <v>45657.333333333336</v>
      </c>
    </row>
    <row r="18" spans="1:8" x14ac:dyDescent="0.25">
      <c r="A18" s="7">
        <f>DATE(YEAR(m8_crossvalid[[#This Row],[cutoff]]),MONTH(m8_crossvalid[[#This Row],[cutoff]]),DAY(m8_crossvalid[[#This Row],[cutoff]]))</f>
        <v>45657</v>
      </c>
      <c r="B18" s="7">
        <f>DATE(YEAR(m8_crossvalid[[#This Row],[ds]]),MONTH(m8_crossvalid[[#This Row],[ds]]),DAY(m8_crossvalid[[#This Row],[ds]]))</f>
        <v>45674</v>
      </c>
      <c r="C18">
        <v>2291</v>
      </c>
      <c r="D18" s="1">
        <v>45674.333333333336</v>
      </c>
      <c r="E18">
        <v>2542.3668980406678</v>
      </c>
      <c r="F18">
        <v>1200.6171865615213</v>
      </c>
      <c r="G18">
        <v>3849.1993831797608</v>
      </c>
      <c r="H18" s="1">
        <v>45657.333333333336</v>
      </c>
    </row>
    <row r="19" spans="1:8" x14ac:dyDescent="0.25">
      <c r="A19" s="7">
        <f>DATE(YEAR(m8_crossvalid[[#This Row],[cutoff]]),MONTH(m8_crossvalid[[#This Row],[cutoff]]),DAY(m8_crossvalid[[#This Row],[cutoff]]))</f>
        <v>45657</v>
      </c>
      <c r="B19" s="7">
        <f>DATE(YEAR(m8_crossvalid[[#This Row],[ds]]),MONTH(m8_crossvalid[[#This Row],[ds]]),DAY(m8_crossvalid[[#This Row],[ds]]))</f>
        <v>45675</v>
      </c>
      <c r="C19">
        <v>401</v>
      </c>
      <c r="D19" s="1">
        <v>45675.333333333336</v>
      </c>
      <c r="E19">
        <v>370.98317194325864</v>
      </c>
      <c r="F19">
        <v>-961.74722049010063</v>
      </c>
      <c r="G19">
        <v>1809.2781867001663</v>
      </c>
      <c r="H19" s="1">
        <v>45657.333333333336</v>
      </c>
    </row>
    <row r="20" spans="1:8" x14ac:dyDescent="0.25">
      <c r="A20" s="7">
        <f>DATE(YEAR(m8_crossvalid[[#This Row],[cutoff]]),MONTH(m8_crossvalid[[#This Row],[cutoff]]),DAY(m8_crossvalid[[#This Row],[cutoff]]))</f>
        <v>45657</v>
      </c>
      <c r="B20" s="7">
        <f>DATE(YEAR(m8_crossvalid[[#This Row],[ds]]),MONTH(m8_crossvalid[[#This Row],[ds]]),DAY(m8_crossvalid[[#This Row],[ds]]))</f>
        <v>45676</v>
      </c>
      <c r="C20">
        <v>129</v>
      </c>
      <c r="D20" s="1">
        <v>45676.333333333336</v>
      </c>
      <c r="E20">
        <v>-38.559614052018333</v>
      </c>
      <c r="F20">
        <v>-1556.5911572081304</v>
      </c>
      <c r="G20">
        <v>1305.4447360278668</v>
      </c>
      <c r="H20" s="1">
        <v>45657.333333333336</v>
      </c>
    </row>
    <row r="21" spans="1:8" x14ac:dyDescent="0.25">
      <c r="A21" s="7">
        <f>DATE(YEAR(m8_crossvalid[[#This Row],[cutoff]]),MONTH(m8_crossvalid[[#This Row],[cutoff]]),DAY(m8_crossvalid[[#This Row],[cutoff]]))</f>
        <v>45657</v>
      </c>
      <c r="B21" s="7">
        <f>DATE(YEAR(m8_crossvalid[[#This Row],[ds]]),MONTH(m8_crossvalid[[#This Row],[ds]]),DAY(m8_crossvalid[[#This Row],[ds]]))</f>
        <v>45677</v>
      </c>
      <c r="C21">
        <v>2385</v>
      </c>
      <c r="D21" s="1">
        <v>45677.333333333336</v>
      </c>
      <c r="E21">
        <v>2469.4227057014818</v>
      </c>
      <c r="F21">
        <v>1060.9867573787217</v>
      </c>
      <c r="G21">
        <v>3839.7435115601438</v>
      </c>
      <c r="H21" s="1">
        <v>45657.333333333336</v>
      </c>
    </row>
    <row r="22" spans="1:8" x14ac:dyDescent="0.25">
      <c r="A22" s="7">
        <f>DATE(YEAR(m8_crossvalid[[#This Row],[cutoff]]),MONTH(m8_crossvalid[[#This Row],[cutoff]]),DAY(m8_crossvalid[[#This Row],[cutoff]]))</f>
        <v>45657</v>
      </c>
      <c r="B22" s="7">
        <f>DATE(YEAR(m8_crossvalid[[#This Row],[ds]]),MONTH(m8_crossvalid[[#This Row],[ds]]),DAY(m8_crossvalid[[#This Row],[ds]]))</f>
        <v>45678</v>
      </c>
      <c r="C22">
        <v>3051</v>
      </c>
      <c r="D22" s="1">
        <v>45678.333333333336</v>
      </c>
      <c r="E22">
        <v>2911.7421309640886</v>
      </c>
      <c r="F22">
        <v>1640.9087460579274</v>
      </c>
      <c r="G22">
        <v>4257.3545403179132</v>
      </c>
      <c r="H22" s="1">
        <v>45657.333333333336</v>
      </c>
    </row>
    <row r="23" spans="1:8" x14ac:dyDescent="0.25">
      <c r="A23" s="7">
        <f>DATE(YEAR(m8_crossvalid[[#This Row],[cutoff]]),MONTH(m8_crossvalid[[#This Row],[cutoff]]),DAY(m8_crossvalid[[#This Row],[cutoff]]))</f>
        <v>45657</v>
      </c>
      <c r="B23" s="7">
        <f>DATE(YEAR(m8_crossvalid[[#This Row],[ds]]),MONTH(m8_crossvalid[[#This Row],[ds]]),DAY(m8_crossvalid[[#This Row],[ds]]))</f>
        <v>45679</v>
      </c>
      <c r="C23">
        <v>2878</v>
      </c>
      <c r="D23" s="1">
        <v>45679.333333333336</v>
      </c>
      <c r="E23">
        <v>3244.6531196666074</v>
      </c>
      <c r="F23">
        <v>1934.1615750329568</v>
      </c>
      <c r="G23">
        <v>4640.0905705131172</v>
      </c>
      <c r="H23" s="1">
        <v>45657.333333333336</v>
      </c>
    </row>
    <row r="24" spans="1:8" x14ac:dyDescent="0.25">
      <c r="A24" s="7">
        <f>DATE(YEAR(m8_crossvalid[[#This Row],[cutoff]]),MONTH(m8_crossvalid[[#This Row],[cutoff]]),DAY(m8_crossvalid[[#This Row],[cutoff]]))</f>
        <v>45657</v>
      </c>
      <c r="B24" s="7">
        <f>DATE(YEAR(m8_crossvalid[[#This Row],[ds]]),MONTH(m8_crossvalid[[#This Row],[ds]]),DAY(m8_crossvalid[[#This Row],[ds]]))</f>
        <v>45680</v>
      </c>
      <c r="C24">
        <v>4853</v>
      </c>
      <c r="D24" s="1">
        <v>45680.333333333336</v>
      </c>
      <c r="E24">
        <v>3388.232575850071</v>
      </c>
      <c r="F24">
        <v>2046.8170016604911</v>
      </c>
      <c r="G24">
        <v>4803.2668539445494</v>
      </c>
      <c r="H24" s="1">
        <v>45657.333333333336</v>
      </c>
    </row>
    <row r="25" spans="1:8" x14ac:dyDescent="0.25">
      <c r="A25" s="7">
        <f>DATE(YEAR(m8_crossvalid[[#This Row],[cutoff]]),MONTH(m8_crossvalid[[#This Row],[cutoff]]),DAY(m8_crossvalid[[#This Row],[cutoff]]))</f>
        <v>45657</v>
      </c>
      <c r="B25" s="7">
        <f>DATE(YEAR(m8_crossvalid[[#This Row],[ds]]),MONTH(m8_crossvalid[[#This Row],[ds]]),DAY(m8_crossvalid[[#This Row],[ds]]))</f>
        <v>45681</v>
      </c>
      <c r="C25">
        <v>5202</v>
      </c>
      <c r="D25" s="1">
        <v>45681.333333333336</v>
      </c>
      <c r="E25">
        <v>3316.9010248368395</v>
      </c>
      <c r="F25">
        <v>1878.8265976428472</v>
      </c>
      <c r="G25">
        <v>4670.8136220956412</v>
      </c>
      <c r="H25" s="1">
        <v>45657.333333333336</v>
      </c>
    </row>
    <row r="26" spans="1:8" x14ac:dyDescent="0.25">
      <c r="A26" s="7">
        <f>DATE(YEAR(m8_crossvalid[[#This Row],[cutoff]]),MONTH(m8_crossvalid[[#This Row],[cutoff]]),DAY(m8_crossvalid[[#This Row],[cutoff]]))</f>
        <v>45657</v>
      </c>
      <c r="B26" s="7">
        <f>DATE(YEAR(m8_crossvalid[[#This Row],[ds]]),MONTH(m8_crossvalid[[#This Row],[ds]]),DAY(m8_crossvalid[[#This Row],[ds]]))</f>
        <v>45682</v>
      </c>
      <c r="C26">
        <v>1624</v>
      </c>
      <c r="D26" s="1">
        <v>45682.333333333336</v>
      </c>
      <c r="E26">
        <v>1319.7933059453721</v>
      </c>
      <c r="F26">
        <v>-1.001001637161552</v>
      </c>
      <c r="G26">
        <v>2684.1882772317126</v>
      </c>
      <c r="H26" s="1">
        <v>45657.333333333336</v>
      </c>
    </row>
    <row r="27" spans="1:8" x14ac:dyDescent="0.25">
      <c r="A27" s="7">
        <f>DATE(YEAR(m8_crossvalid[[#This Row],[cutoff]]),MONTH(m8_crossvalid[[#This Row],[cutoff]]),DAY(m8_crossvalid[[#This Row],[cutoff]]))</f>
        <v>45657</v>
      </c>
      <c r="B27" s="7">
        <f>DATE(YEAR(m8_crossvalid[[#This Row],[ds]]),MONTH(m8_crossvalid[[#This Row],[ds]]),DAY(m8_crossvalid[[#This Row],[ds]]))</f>
        <v>45683</v>
      </c>
      <c r="C27">
        <v>454</v>
      </c>
      <c r="D27" s="1">
        <v>45683.333333333336</v>
      </c>
      <c r="E27">
        <v>1003.8028166850775</v>
      </c>
      <c r="F27">
        <v>-402.5521656699492</v>
      </c>
      <c r="G27">
        <v>2508.3445826335605</v>
      </c>
      <c r="H27" s="1">
        <v>45657.333333333336</v>
      </c>
    </row>
    <row r="28" spans="1:8" x14ac:dyDescent="0.25">
      <c r="A28" s="7">
        <f>DATE(YEAR(m8_crossvalid[[#This Row],[cutoff]]),MONTH(m8_crossvalid[[#This Row],[cutoff]]),DAY(m8_crossvalid[[#This Row],[cutoff]]))</f>
        <v>45657</v>
      </c>
      <c r="B28" s="7">
        <f>DATE(YEAR(m8_crossvalid[[#This Row],[ds]]),MONTH(m8_crossvalid[[#This Row],[ds]]),DAY(m8_crossvalid[[#This Row],[ds]]))</f>
        <v>45684</v>
      </c>
      <c r="C28">
        <v>5598</v>
      </c>
      <c r="D28" s="1">
        <v>45684.333333333336</v>
      </c>
      <c r="E28">
        <v>4482.1642138153375</v>
      </c>
      <c r="F28">
        <v>3141.7037546647334</v>
      </c>
      <c r="G28">
        <v>5875.3855835391923</v>
      </c>
      <c r="H28" s="1">
        <v>45657.333333333336</v>
      </c>
    </row>
    <row r="29" spans="1:8" x14ac:dyDescent="0.25">
      <c r="A29" s="7">
        <f>DATE(YEAR(m8_crossvalid[[#This Row],[cutoff]]),MONTH(m8_crossvalid[[#This Row],[cutoff]]),DAY(m8_crossvalid[[#This Row],[cutoff]]))</f>
        <v>45657</v>
      </c>
      <c r="B29" s="7">
        <f>DATE(YEAR(m8_crossvalid[[#This Row],[ds]]),MONTH(m8_crossvalid[[#This Row],[ds]]),DAY(m8_crossvalid[[#This Row],[ds]]))</f>
        <v>45685</v>
      </c>
      <c r="C29">
        <v>5264</v>
      </c>
      <c r="D29" s="1">
        <v>45685.333333333336</v>
      </c>
      <c r="E29">
        <v>5290.4815905338146</v>
      </c>
      <c r="F29">
        <v>3778.4189184781171</v>
      </c>
      <c r="G29">
        <v>6620.4960003530186</v>
      </c>
      <c r="H29" s="1">
        <v>45657.333333333336</v>
      </c>
    </row>
    <row r="30" spans="1:8" x14ac:dyDescent="0.25">
      <c r="A30" s="7">
        <f>DATE(YEAR(m8_crossvalid[[#This Row],[cutoff]]),MONTH(m8_crossvalid[[#This Row],[cutoff]]),DAY(m8_crossvalid[[#This Row],[cutoff]]))</f>
        <v>45657</v>
      </c>
      <c r="B30" s="7">
        <f>DATE(YEAR(m8_crossvalid[[#This Row],[ds]]),MONTH(m8_crossvalid[[#This Row],[ds]]),DAY(m8_crossvalid[[#This Row],[ds]]))</f>
        <v>45686</v>
      </c>
      <c r="C30">
        <v>310</v>
      </c>
      <c r="D30" s="1">
        <v>45686.333333333336</v>
      </c>
      <c r="E30">
        <v>4590.4136943243702</v>
      </c>
      <c r="F30">
        <v>3258.7748350446104</v>
      </c>
      <c r="G30">
        <v>5873.9139044618705</v>
      </c>
      <c r="H30" s="1">
        <v>45657.333333333336</v>
      </c>
    </row>
    <row r="31" spans="1:8" x14ac:dyDescent="0.25">
      <c r="A31" s="7">
        <f>DATE(YEAR(m8_crossvalid[[#This Row],[cutoff]]),MONTH(m8_crossvalid[[#This Row],[cutoff]]),DAY(m8_crossvalid[[#This Row],[cutoff]]))</f>
        <v>45657</v>
      </c>
      <c r="B31" s="7">
        <f>DATE(YEAR(m8_crossvalid[[#This Row],[ds]]),MONTH(m8_crossvalid[[#This Row],[ds]]),DAY(m8_crossvalid[[#This Row],[ds]]))</f>
        <v>45687</v>
      </c>
      <c r="C31">
        <v>255</v>
      </c>
      <c r="D31" s="1">
        <v>45687.333333333336</v>
      </c>
      <c r="E31">
        <v>6045.4151409197102</v>
      </c>
      <c r="F31">
        <v>4605.9172874617043</v>
      </c>
      <c r="G31">
        <v>7484.4234277394817</v>
      </c>
      <c r="H31" s="1">
        <v>45657.333333333336</v>
      </c>
    </row>
    <row r="32" spans="1:8" x14ac:dyDescent="0.25">
      <c r="A32" s="7">
        <f>DATE(YEAR(m8_crossvalid[[#This Row],[cutoff]]),MONTH(m8_crossvalid[[#This Row],[cutoff]]),DAY(m8_crossvalid[[#This Row],[cutoff]]))</f>
        <v>45657</v>
      </c>
      <c r="B32" s="7">
        <f>DATE(YEAR(m8_crossvalid[[#This Row],[ds]]),MONTH(m8_crossvalid[[#This Row],[ds]]),DAY(m8_crossvalid[[#This Row],[ds]]))</f>
        <v>45688</v>
      </c>
      <c r="C32">
        <v>6041</v>
      </c>
      <c r="D32" s="1">
        <v>45688.333333333336</v>
      </c>
      <c r="E32">
        <v>8212.5375751007523</v>
      </c>
      <c r="F32">
        <v>6896.0275787416331</v>
      </c>
      <c r="G32">
        <v>9614.4443959694272</v>
      </c>
      <c r="H32" s="1">
        <v>45657.333333333336</v>
      </c>
    </row>
    <row r="33" spans="1:8" x14ac:dyDescent="0.25">
      <c r="A33" s="7">
        <f>DATE(YEAR(m8_crossvalid[[#This Row],[cutoff]]),MONTH(m8_crossvalid[[#This Row],[cutoff]]),DAY(m8_crossvalid[[#This Row],[cutoff]]))</f>
        <v>45688</v>
      </c>
      <c r="B33" s="7">
        <f>DATE(YEAR(m8_crossvalid[[#This Row],[ds]]),MONTH(m8_crossvalid[[#This Row],[ds]]),DAY(m8_crossvalid[[#This Row],[ds]]))</f>
        <v>45689</v>
      </c>
      <c r="C33">
        <v>47</v>
      </c>
      <c r="D33" s="1">
        <v>45689.333333333336</v>
      </c>
      <c r="E33">
        <v>-2320.7137550279963</v>
      </c>
      <c r="F33">
        <v>-3651.6307323192591</v>
      </c>
      <c r="G33">
        <v>-843.38107652071039</v>
      </c>
      <c r="H33" s="1">
        <v>45688.333333333336</v>
      </c>
    </row>
    <row r="34" spans="1:8" x14ac:dyDescent="0.25">
      <c r="A34" s="7">
        <f>DATE(YEAR(m8_crossvalid[[#This Row],[cutoff]]),MONTH(m8_crossvalid[[#This Row],[cutoff]]),DAY(m8_crossvalid[[#This Row],[cutoff]]))</f>
        <v>45688</v>
      </c>
      <c r="B34" s="7">
        <f>DATE(YEAR(m8_crossvalid[[#This Row],[ds]]),MONTH(m8_crossvalid[[#This Row],[ds]]),DAY(m8_crossvalid[[#This Row],[ds]]))</f>
        <v>45690</v>
      </c>
      <c r="C34">
        <v>14</v>
      </c>
      <c r="D34" s="1">
        <v>45690.333333333336</v>
      </c>
      <c r="E34">
        <v>-1280.1497341839458</v>
      </c>
      <c r="F34">
        <v>-2696.8646593742287</v>
      </c>
      <c r="G34">
        <v>63.098628565314755</v>
      </c>
      <c r="H34" s="1">
        <v>45688.333333333336</v>
      </c>
    </row>
    <row r="35" spans="1:8" x14ac:dyDescent="0.25">
      <c r="A35" s="7">
        <f>DATE(YEAR(m8_crossvalid[[#This Row],[cutoff]]),MONTH(m8_crossvalid[[#This Row],[cutoff]]),DAY(m8_crossvalid[[#This Row],[cutoff]]))</f>
        <v>45688</v>
      </c>
      <c r="B35" s="7">
        <f>DATE(YEAR(m8_crossvalid[[#This Row],[ds]]),MONTH(m8_crossvalid[[#This Row],[ds]]),DAY(m8_crossvalid[[#This Row],[ds]]))</f>
        <v>45691</v>
      </c>
      <c r="C35">
        <v>454</v>
      </c>
      <c r="D35" s="1">
        <v>45691.333333333336</v>
      </c>
      <c r="E35">
        <v>1431.0913386792674</v>
      </c>
      <c r="F35">
        <v>134.45879989610529</v>
      </c>
      <c r="G35">
        <v>2771.9902115316127</v>
      </c>
      <c r="H35" s="1">
        <v>45688.333333333336</v>
      </c>
    </row>
    <row r="36" spans="1:8" x14ac:dyDescent="0.25">
      <c r="A36" s="7">
        <f>DATE(YEAR(m8_crossvalid[[#This Row],[cutoff]]),MONTH(m8_crossvalid[[#This Row],[cutoff]]),DAY(m8_crossvalid[[#This Row],[cutoff]]))</f>
        <v>45688</v>
      </c>
      <c r="B36" s="7">
        <f>DATE(YEAR(m8_crossvalid[[#This Row],[ds]]),MONTH(m8_crossvalid[[#This Row],[ds]]),DAY(m8_crossvalid[[#This Row],[ds]]))</f>
        <v>45692</v>
      </c>
      <c r="C36">
        <v>626</v>
      </c>
      <c r="D36" s="1">
        <v>45692.333333333336</v>
      </c>
      <c r="E36">
        <v>1722.3718156127388</v>
      </c>
      <c r="F36">
        <v>336.34207682678851</v>
      </c>
      <c r="G36">
        <v>3154.9193916303716</v>
      </c>
      <c r="H36" s="1">
        <v>45688.333333333336</v>
      </c>
    </row>
    <row r="37" spans="1:8" x14ac:dyDescent="0.25">
      <c r="A37" s="7">
        <f>DATE(YEAR(m8_crossvalid[[#This Row],[cutoff]]),MONTH(m8_crossvalid[[#This Row],[cutoff]]),DAY(m8_crossvalid[[#This Row],[cutoff]]))</f>
        <v>45688</v>
      </c>
      <c r="B37" s="7">
        <f>DATE(YEAR(m8_crossvalid[[#This Row],[ds]]),MONTH(m8_crossvalid[[#This Row],[ds]]),DAY(m8_crossvalid[[#This Row],[ds]]))</f>
        <v>45693</v>
      </c>
      <c r="C37">
        <v>886</v>
      </c>
      <c r="D37" s="1">
        <v>45693.333333333336</v>
      </c>
      <c r="E37">
        <v>1848.7061836515036</v>
      </c>
      <c r="F37">
        <v>526.847106572092</v>
      </c>
      <c r="G37">
        <v>3315.0499368309383</v>
      </c>
      <c r="H37" s="1">
        <v>45688.333333333336</v>
      </c>
    </row>
    <row r="38" spans="1:8" x14ac:dyDescent="0.25">
      <c r="A38" s="7">
        <f>DATE(YEAR(m8_crossvalid[[#This Row],[cutoff]]),MONTH(m8_crossvalid[[#This Row],[cutoff]]),DAY(m8_crossvalid[[#This Row],[cutoff]]))</f>
        <v>45688</v>
      </c>
      <c r="B38" s="7">
        <f>DATE(YEAR(m8_crossvalid[[#This Row],[ds]]),MONTH(m8_crossvalid[[#This Row],[ds]]),DAY(m8_crossvalid[[#This Row],[ds]]))</f>
        <v>45694</v>
      </c>
      <c r="C38">
        <v>1159</v>
      </c>
      <c r="D38" s="1">
        <v>45694.333333333336</v>
      </c>
      <c r="E38">
        <v>1780.2980187192215</v>
      </c>
      <c r="F38">
        <v>371.5680594678999</v>
      </c>
      <c r="G38">
        <v>3213.0233543223303</v>
      </c>
      <c r="H38" s="1">
        <v>45688.333333333336</v>
      </c>
    </row>
    <row r="39" spans="1:8" x14ac:dyDescent="0.25">
      <c r="A39" s="7">
        <f>DATE(YEAR(m8_crossvalid[[#This Row],[cutoff]]),MONTH(m8_crossvalid[[#This Row],[cutoff]]),DAY(m8_crossvalid[[#This Row],[cutoff]]))</f>
        <v>45688</v>
      </c>
      <c r="B39" s="7">
        <f>DATE(YEAR(m8_crossvalid[[#This Row],[ds]]),MONTH(m8_crossvalid[[#This Row],[ds]]),DAY(m8_crossvalid[[#This Row],[ds]]))</f>
        <v>45695</v>
      </c>
      <c r="C39">
        <v>1342</v>
      </c>
      <c r="D39" s="1">
        <v>45695.333333333336</v>
      </c>
      <c r="E39">
        <v>1252.0010920336572</v>
      </c>
      <c r="F39">
        <v>-157.16009884305691</v>
      </c>
      <c r="G39">
        <v>2611.2873326234348</v>
      </c>
      <c r="H39" s="1">
        <v>45688.333333333336</v>
      </c>
    </row>
    <row r="40" spans="1:8" x14ac:dyDescent="0.25">
      <c r="A40" s="7">
        <f>DATE(YEAR(m8_crossvalid[[#This Row],[cutoff]]),MONTH(m8_crossvalid[[#This Row],[cutoff]]),DAY(m8_crossvalid[[#This Row],[cutoff]]))</f>
        <v>45688</v>
      </c>
      <c r="B40" s="7">
        <f>DATE(YEAR(m8_crossvalid[[#This Row],[ds]]),MONTH(m8_crossvalid[[#This Row],[ds]]),DAY(m8_crossvalid[[#This Row],[ds]]))</f>
        <v>45696</v>
      </c>
      <c r="C40">
        <v>301</v>
      </c>
      <c r="D40" s="1">
        <v>45696.333333333336</v>
      </c>
      <c r="E40">
        <v>2.1671066502976828</v>
      </c>
      <c r="F40">
        <v>-1349.4550396693794</v>
      </c>
      <c r="G40">
        <v>1363.3894175645371</v>
      </c>
      <c r="H40" s="1">
        <v>45688.333333333336</v>
      </c>
    </row>
    <row r="41" spans="1:8" x14ac:dyDescent="0.25">
      <c r="A41" s="7">
        <f>DATE(YEAR(m8_crossvalid[[#This Row],[cutoff]]),MONTH(m8_crossvalid[[#This Row],[cutoff]]),DAY(m8_crossvalid[[#This Row],[cutoff]]))</f>
        <v>45688</v>
      </c>
      <c r="B41" s="7">
        <f>DATE(YEAR(m8_crossvalid[[#This Row],[ds]]),MONTH(m8_crossvalid[[#This Row],[ds]]),DAY(m8_crossvalid[[#This Row],[ds]]))</f>
        <v>45697</v>
      </c>
      <c r="C41">
        <v>54</v>
      </c>
      <c r="D41" s="1">
        <v>45697.333333333336</v>
      </c>
      <c r="E41">
        <v>-531.1983069382477</v>
      </c>
      <c r="F41">
        <v>-1912.4213477469777</v>
      </c>
      <c r="G41">
        <v>907.29452901834634</v>
      </c>
      <c r="H41" s="1">
        <v>45688.333333333336</v>
      </c>
    </row>
    <row r="42" spans="1:8" x14ac:dyDescent="0.25">
      <c r="A42" s="7">
        <f>DATE(YEAR(m8_crossvalid[[#This Row],[cutoff]]),MONTH(m8_crossvalid[[#This Row],[cutoff]]),DAY(m8_crossvalid[[#This Row],[cutoff]]))</f>
        <v>45688</v>
      </c>
      <c r="B42" s="7">
        <f>DATE(YEAR(m8_crossvalid[[#This Row],[ds]]),MONTH(m8_crossvalid[[#This Row],[ds]]),DAY(m8_crossvalid[[#This Row],[ds]]))</f>
        <v>45698</v>
      </c>
      <c r="C42">
        <v>1577</v>
      </c>
      <c r="D42" s="1">
        <v>45698.333333333336</v>
      </c>
      <c r="E42">
        <v>2135.2403545131324</v>
      </c>
      <c r="F42">
        <v>708.30428062590386</v>
      </c>
      <c r="G42">
        <v>3561.4788768029412</v>
      </c>
      <c r="H42" s="1">
        <v>45688.333333333336</v>
      </c>
    </row>
    <row r="43" spans="1:8" x14ac:dyDescent="0.25">
      <c r="A43" s="7">
        <f>DATE(YEAR(m8_crossvalid[[#This Row],[cutoff]]),MONTH(m8_crossvalid[[#This Row],[cutoff]]),DAY(m8_crossvalid[[#This Row],[cutoff]]))</f>
        <v>45688</v>
      </c>
      <c r="B43" s="7">
        <f>DATE(YEAR(m8_crossvalid[[#This Row],[ds]]),MONTH(m8_crossvalid[[#This Row],[ds]]),DAY(m8_crossvalid[[#This Row],[ds]]))</f>
        <v>45699</v>
      </c>
      <c r="C43">
        <v>555</v>
      </c>
      <c r="D43" s="1">
        <v>45699.333333333336</v>
      </c>
      <c r="E43">
        <v>920.86621371167507</v>
      </c>
      <c r="F43">
        <v>-424.76974446489697</v>
      </c>
      <c r="G43">
        <v>2350.7407046122885</v>
      </c>
      <c r="H43" s="1">
        <v>45688.333333333336</v>
      </c>
    </row>
    <row r="44" spans="1:8" x14ac:dyDescent="0.25">
      <c r="A44" s="7">
        <f>DATE(YEAR(m8_crossvalid[[#This Row],[cutoff]]),MONTH(m8_crossvalid[[#This Row],[cutoff]]),DAY(m8_crossvalid[[#This Row],[cutoff]]))</f>
        <v>45688</v>
      </c>
      <c r="B44" s="7">
        <f>DATE(YEAR(m8_crossvalid[[#This Row],[ds]]),MONTH(m8_crossvalid[[#This Row],[ds]]),DAY(m8_crossvalid[[#This Row],[ds]]))</f>
        <v>45700</v>
      </c>
      <c r="C44">
        <v>1823</v>
      </c>
      <c r="D44" s="1">
        <v>45700.333333333336</v>
      </c>
      <c r="E44">
        <v>2597.5749778961908</v>
      </c>
      <c r="F44">
        <v>1197.3452463783342</v>
      </c>
      <c r="G44">
        <v>3984.0659687863267</v>
      </c>
      <c r="H44" s="1">
        <v>45688.333333333336</v>
      </c>
    </row>
    <row r="45" spans="1:8" x14ac:dyDescent="0.25">
      <c r="A45" s="7">
        <f>DATE(YEAR(m8_crossvalid[[#This Row],[cutoff]]),MONTH(m8_crossvalid[[#This Row],[cutoff]]),DAY(m8_crossvalid[[#This Row],[cutoff]]))</f>
        <v>45688</v>
      </c>
      <c r="B45" s="7">
        <f>DATE(YEAR(m8_crossvalid[[#This Row],[ds]]),MONTH(m8_crossvalid[[#This Row],[ds]]),DAY(m8_crossvalid[[#This Row],[ds]]))</f>
        <v>45701</v>
      </c>
      <c r="C45">
        <v>2210</v>
      </c>
      <c r="D45" s="1">
        <v>45701.333333333336</v>
      </c>
      <c r="E45">
        <v>2576.6442020800691</v>
      </c>
      <c r="F45">
        <v>1175.1863553309499</v>
      </c>
      <c r="G45">
        <v>4070.3975848697983</v>
      </c>
      <c r="H45" s="1">
        <v>45688.333333333336</v>
      </c>
    </row>
    <row r="46" spans="1:8" x14ac:dyDescent="0.25">
      <c r="A46" s="7">
        <f>DATE(YEAR(m8_crossvalid[[#This Row],[cutoff]]),MONTH(m8_crossvalid[[#This Row],[cutoff]]),DAY(m8_crossvalid[[#This Row],[cutoff]]))</f>
        <v>45688</v>
      </c>
      <c r="B46" s="7">
        <f>DATE(YEAR(m8_crossvalid[[#This Row],[ds]]),MONTH(m8_crossvalid[[#This Row],[ds]]),DAY(m8_crossvalid[[#This Row],[ds]]))</f>
        <v>45702</v>
      </c>
      <c r="C46">
        <v>2308</v>
      </c>
      <c r="D46" s="1">
        <v>45702.333333333336</v>
      </c>
      <c r="E46">
        <v>2577.817314947044</v>
      </c>
      <c r="F46">
        <v>1252.3431047392191</v>
      </c>
      <c r="G46">
        <v>3954.2238675583803</v>
      </c>
      <c r="H46" s="1">
        <v>45688.333333333336</v>
      </c>
    </row>
    <row r="47" spans="1:8" x14ac:dyDescent="0.25">
      <c r="A47" s="7">
        <f>DATE(YEAR(m8_crossvalid[[#This Row],[cutoff]]),MONTH(m8_crossvalid[[#This Row],[cutoff]]),DAY(m8_crossvalid[[#This Row],[cutoff]]))</f>
        <v>45688</v>
      </c>
      <c r="B47" s="7">
        <f>DATE(YEAR(m8_crossvalid[[#This Row],[ds]]),MONTH(m8_crossvalid[[#This Row],[ds]]),DAY(m8_crossvalid[[#This Row],[ds]]))</f>
        <v>45703</v>
      </c>
      <c r="C47">
        <v>485</v>
      </c>
      <c r="D47" s="1">
        <v>45703.333333333336</v>
      </c>
      <c r="E47">
        <v>610.72008758447441</v>
      </c>
      <c r="F47">
        <v>-741.46905545906054</v>
      </c>
      <c r="G47">
        <v>2003.1824763708144</v>
      </c>
      <c r="H47" s="1">
        <v>45688.333333333336</v>
      </c>
    </row>
    <row r="48" spans="1:8" x14ac:dyDescent="0.25">
      <c r="A48" s="7">
        <f>DATE(YEAR(m8_crossvalid[[#This Row],[cutoff]]),MONTH(m8_crossvalid[[#This Row],[cutoff]]),DAY(m8_crossvalid[[#This Row],[cutoff]]))</f>
        <v>45688</v>
      </c>
      <c r="B48" s="7">
        <f>DATE(YEAR(m8_crossvalid[[#This Row],[ds]]),MONTH(m8_crossvalid[[#This Row],[ds]]),DAY(m8_crossvalid[[#This Row],[ds]]))</f>
        <v>45704</v>
      </c>
      <c r="C48">
        <v>118</v>
      </c>
      <c r="D48" s="1">
        <v>45704.333333333336</v>
      </c>
      <c r="E48">
        <v>204.35769458773393</v>
      </c>
      <c r="F48">
        <v>-1132.8267421399814</v>
      </c>
      <c r="G48">
        <v>1641.1430573106454</v>
      </c>
      <c r="H48" s="1">
        <v>45688.333333333336</v>
      </c>
    </row>
    <row r="49" spans="1:8" x14ac:dyDescent="0.25">
      <c r="A49" s="7">
        <f>DATE(YEAR(m8_crossvalid[[#This Row],[cutoff]]),MONTH(m8_crossvalid[[#This Row],[cutoff]]),DAY(m8_crossvalid[[#This Row],[cutoff]]))</f>
        <v>45688</v>
      </c>
      <c r="B49" s="7">
        <f>DATE(YEAR(m8_crossvalid[[#This Row],[ds]]),MONTH(m8_crossvalid[[#This Row],[ds]]),DAY(m8_crossvalid[[#This Row],[ds]]))</f>
        <v>45705</v>
      </c>
      <c r="C49">
        <v>2482</v>
      </c>
      <c r="D49" s="1">
        <v>45705.333333333336</v>
      </c>
      <c r="E49">
        <v>2669.5867696268488</v>
      </c>
      <c r="F49">
        <v>1364.5366375273009</v>
      </c>
      <c r="G49">
        <v>4028.2201271844724</v>
      </c>
      <c r="H49" s="1">
        <v>45688.333333333336</v>
      </c>
    </row>
    <row r="50" spans="1:8" x14ac:dyDescent="0.25">
      <c r="A50" s="7">
        <f>DATE(YEAR(m8_crossvalid[[#This Row],[cutoff]]),MONTH(m8_crossvalid[[#This Row],[cutoff]]),DAY(m8_crossvalid[[#This Row],[cutoff]]))</f>
        <v>45688</v>
      </c>
      <c r="B50" s="7">
        <f>DATE(YEAR(m8_crossvalid[[#This Row],[ds]]),MONTH(m8_crossvalid[[#This Row],[ds]]),DAY(m8_crossvalid[[#This Row],[ds]]))</f>
        <v>45706</v>
      </c>
      <c r="C50">
        <v>2913</v>
      </c>
      <c r="D50" s="1">
        <v>45706.333333333336</v>
      </c>
      <c r="E50">
        <v>3056.6807266087912</v>
      </c>
      <c r="F50">
        <v>1731.7485953812134</v>
      </c>
      <c r="G50">
        <v>4474.4882390418798</v>
      </c>
      <c r="H50" s="1">
        <v>45688.333333333336</v>
      </c>
    </row>
    <row r="51" spans="1:8" x14ac:dyDescent="0.25">
      <c r="A51" s="7">
        <f>DATE(YEAR(m8_crossvalid[[#This Row],[cutoff]]),MONTH(m8_crossvalid[[#This Row],[cutoff]]),DAY(m8_crossvalid[[#This Row],[cutoff]]))</f>
        <v>45688</v>
      </c>
      <c r="B51" s="7">
        <f>DATE(YEAR(m8_crossvalid[[#This Row],[ds]]),MONTH(m8_crossvalid[[#This Row],[ds]]),DAY(m8_crossvalid[[#This Row],[ds]]))</f>
        <v>45707</v>
      </c>
      <c r="C51">
        <v>3106</v>
      </c>
      <c r="D51" s="1">
        <v>45707.333333333336</v>
      </c>
      <c r="E51">
        <v>3141.3849820379237</v>
      </c>
      <c r="F51">
        <v>1693.6081480394889</v>
      </c>
      <c r="G51">
        <v>4561.5835701111928</v>
      </c>
      <c r="H51" s="1">
        <v>45688.333333333336</v>
      </c>
    </row>
    <row r="52" spans="1:8" x14ac:dyDescent="0.25">
      <c r="A52" s="7">
        <f>DATE(YEAR(m8_crossvalid[[#This Row],[cutoff]]),MONTH(m8_crossvalid[[#This Row],[cutoff]]),DAY(m8_crossvalid[[#This Row],[cutoff]]))</f>
        <v>45688</v>
      </c>
      <c r="B52" s="7">
        <f>DATE(YEAR(m8_crossvalid[[#This Row],[ds]]),MONTH(m8_crossvalid[[#This Row],[ds]]),DAY(m8_crossvalid[[#This Row],[ds]]))</f>
        <v>45708</v>
      </c>
      <c r="C52">
        <v>3104</v>
      </c>
      <c r="D52" s="1">
        <v>45708.333333333336</v>
      </c>
      <c r="E52">
        <v>3145.3991395862381</v>
      </c>
      <c r="F52">
        <v>1647.7588510728519</v>
      </c>
      <c r="G52">
        <v>4499.3752892205548</v>
      </c>
      <c r="H52" s="1">
        <v>45688.333333333336</v>
      </c>
    </row>
    <row r="53" spans="1:8" x14ac:dyDescent="0.25">
      <c r="A53" s="7">
        <f>DATE(YEAR(m8_crossvalid[[#This Row],[cutoff]]),MONTH(m8_crossvalid[[#This Row],[cutoff]]),DAY(m8_crossvalid[[#This Row],[cutoff]]))</f>
        <v>45688</v>
      </c>
      <c r="B53" s="7">
        <f>DATE(YEAR(m8_crossvalid[[#This Row],[ds]]),MONTH(m8_crossvalid[[#This Row],[ds]]),DAY(m8_crossvalid[[#This Row],[ds]]))</f>
        <v>45709</v>
      </c>
      <c r="C53">
        <v>3309</v>
      </c>
      <c r="D53" s="1">
        <v>45709.333333333336</v>
      </c>
      <c r="E53">
        <v>3213.2339172329648</v>
      </c>
      <c r="F53">
        <v>1754.7712660704735</v>
      </c>
      <c r="G53">
        <v>4579.110640701273</v>
      </c>
      <c r="H53" s="1">
        <v>45688.333333333336</v>
      </c>
    </row>
    <row r="54" spans="1:8" x14ac:dyDescent="0.25">
      <c r="A54" s="7">
        <f>DATE(YEAR(m8_crossvalid[[#This Row],[cutoff]]),MONTH(m8_crossvalid[[#This Row],[cutoff]]),DAY(m8_crossvalid[[#This Row],[cutoff]]))</f>
        <v>45688</v>
      </c>
      <c r="B54" s="7">
        <f>DATE(YEAR(m8_crossvalid[[#This Row],[ds]]),MONTH(m8_crossvalid[[#This Row],[ds]]),DAY(m8_crossvalid[[#This Row],[ds]]))</f>
        <v>45710</v>
      </c>
      <c r="C54">
        <v>732</v>
      </c>
      <c r="D54" s="1">
        <v>45710.333333333336</v>
      </c>
      <c r="E54">
        <v>1298.0885586529002</v>
      </c>
      <c r="F54">
        <v>-220.5185720724217</v>
      </c>
      <c r="G54">
        <v>2696.8136340367937</v>
      </c>
      <c r="H54" s="1">
        <v>45688.333333333336</v>
      </c>
    </row>
    <row r="55" spans="1:8" x14ac:dyDescent="0.25">
      <c r="A55" s="7">
        <f>DATE(YEAR(m8_crossvalid[[#This Row],[cutoff]]),MONTH(m8_crossvalid[[#This Row],[cutoff]]),DAY(m8_crossvalid[[#This Row],[cutoff]]))</f>
        <v>45688</v>
      </c>
      <c r="B55" s="7">
        <f>DATE(YEAR(m8_crossvalid[[#This Row],[ds]]),MONTH(m8_crossvalid[[#This Row],[ds]]),DAY(m8_crossvalid[[#This Row],[ds]]))</f>
        <v>45711</v>
      </c>
      <c r="C55">
        <v>202</v>
      </c>
      <c r="D55" s="1">
        <v>45711.333333333336</v>
      </c>
      <c r="E55">
        <v>903.94474787727745</v>
      </c>
      <c r="F55">
        <v>-441.08497394486778</v>
      </c>
      <c r="G55">
        <v>2403.2977182392574</v>
      </c>
      <c r="H55" s="1">
        <v>45688.333333333336</v>
      </c>
    </row>
    <row r="56" spans="1:8" x14ac:dyDescent="0.25">
      <c r="A56" s="7">
        <f>DATE(YEAR(m8_crossvalid[[#This Row],[cutoff]]),MONTH(m8_crossvalid[[#This Row],[cutoff]]),DAY(m8_crossvalid[[#This Row],[cutoff]]))</f>
        <v>45688</v>
      </c>
      <c r="B56" s="7">
        <f>DATE(YEAR(m8_crossvalid[[#This Row],[ds]]),MONTH(m8_crossvalid[[#This Row],[ds]]),DAY(m8_crossvalid[[#This Row],[ds]]))</f>
        <v>45712</v>
      </c>
      <c r="C56">
        <v>3545</v>
      </c>
      <c r="D56" s="1">
        <v>45712.333333333336</v>
      </c>
      <c r="E56">
        <v>4193.7670651927883</v>
      </c>
      <c r="F56">
        <v>2714.2654907461874</v>
      </c>
      <c r="G56">
        <v>5583.1232193195929</v>
      </c>
      <c r="H56" s="1">
        <v>45688.333333333336</v>
      </c>
    </row>
    <row r="57" spans="1:8" x14ac:dyDescent="0.25">
      <c r="A57" s="7">
        <f>DATE(YEAR(m8_crossvalid[[#This Row],[cutoff]]),MONTH(m8_crossvalid[[#This Row],[cutoff]]),DAY(m8_crossvalid[[#This Row],[cutoff]]))</f>
        <v>45688</v>
      </c>
      <c r="B57" s="7">
        <f>DATE(YEAR(m8_crossvalid[[#This Row],[ds]]),MONTH(m8_crossvalid[[#This Row],[ds]]),DAY(m8_crossvalid[[#This Row],[ds]]))</f>
        <v>45713</v>
      </c>
      <c r="C57">
        <v>4868</v>
      </c>
      <c r="D57" s="1">
        <v>45713.333333333336</v>
      </c>
      <c r="E57">
        <v>4688.2633045002258</v>
      </c>
      <c r="F57">
        <v>3258.0236027437027</v>
      </c>
      <c r="G57">
        <v>6114.2326210139672</v>
      </c>
      <c r="H57" s="1">
        <v>45688.333333333336</v>
      </c>
    </row>
    <row r="58" spans="1:8" x14ac:dyDescent="0.25">
      <c r="A58" s="7">
        <f>DATE(YEAR(m8_crossvalid[[#This Row],[cutoff]]),MONTH(m8_crossvalid[[#This Row],[cutoff]]),DAY(m8_crossvalid[[#This Row],[cutoff]]))</f>
        <v>45688</v>
      </c>
      <c r="B58" s="7">
        <f>DATE(YEAR(m8_crossvalid[[#This Row],[ds]]),MONTH(m8_crossvalid[[#This Row],[ds]]),DAY(m8_crossvalid[[#This Row],[ds]]))</f>
        <v>45714</v>
      </c>
      <c r="C58">
        <v>6187</v>
      </c>
      <c r="D58" s="1">
        <v>45714.333333333336</v>
      </c>
      <c r="E58">
        <v>4881.5189118106255</v>
      </c>
      <c r="F58">
        <v>3460.4743420604282</v>
      </c>
      <c r="G58">
        <v>6250.056462039136</v>
      </c>
      <c r="H58" s="1">
        <v>45688.333333333336</v>
      </c>
    </row>
    <row r="59" spans="1:8" x14ac:dyDescent="0.25">
      <c r="A59" s="7">
        <f>DATE(YEAR(m8_crossvalid[[#This Row],[cutoff]]),MONTH(m8_crossvalid[[#This Row],[cutoff]]),DAY(m8_crossvalid[[#This Row],[cutoff]]))</f>
        <v>45688</v>
      </c>
      <c r="B59" s="7">
        <f>DATE(YEAR(m8_crossvalid[[#This Row],[ds]]),MONTH(m8_crossvalid[[#This Row],[ds]]),DAY(m8_crossvalid[[#This Row],[ds]]))</f>
        <v>45715</v>
      </c>
      <c r="C59">
        <v>8082</v>
      </c>
      <c r="D59" s="1">
        <v>45715.333333333336</v>
      </c>
      <c r="E59">
        <v>7111.9936739403993</v>
      </c>
      <c r="F59">
        <v>5796.5302758635335</v>
      </c>
      <c r="G59">
        <v>8494.4533383405706</v>
      </c>
      <c r="H59" s="1">
        <v>45688.333333333336</v>
      </c>
    </row>
    <row r="60" spans="1:8" x14ac:dyDescent="0.25">
      <c r="A60" s="7">
        <f>DATE(YEAR(m8_crossvalid[[#This Row],[cutoff]]),MONTH(m8_crossvalid[[#This Row],[cutoff]]),DAY(m8_crossvalid[[#This Row],[cutoff]]))</f>
        <v>45688</v>
      </c>
      <c r="B60" s="7">
        <f>DATE(YEAR(m8_crossvalid[[#This Row],[ds]]),MONTH(m8_crossvalid[[#This Row],[ds]]),DAY(m8_crossvalid[[#This Row],[ds]]))</f>
        <v>45716</v>
      </c>
      <c r="C60">
        <v>14838</v>
      </c>
      <c r="D60" s="1">
        <v>45716.333333333336</v>
      </c>
      <c r="E60">
        <v>9616.6078586471922</v>
      </c>
      <c r="F60">
        <v>8294.4816998568367</v>
      </c>
      <c r="G60">
        <v>11053.673138377171</v>
      </c>
      <c r="H60" s="1">
        <v>45688.333333333336</v>
      </c>
    </row>
    <row r="61" spans="1:8" x14ac:dyDescent="0.25">
      <c r="A61" s="7">
        <f>DATE(YEAR(m8_crossvalid[[#This Row],[cutoff]]),MONTH(m8_crossvalid[[#This Row],[cutoff]]),DAY(m8_crossvalid[[#This Row],[cutoff]]))</f>
        <v>45688</v>
      </c>
      <c r="B61" s="7">
        <f>DATE(YEAR(m8_crossvalid[[#This Row],[ds]]),MONTH(m8_crossvalid[[#This Row],[ds]]),DAY(m8_crossvalid[[#This Row],[ds]]))</f>
        <v>45717</v>
      </c>
      <c r="C61">
        <v>74</v>
      </c>
      <c r="D61" s="1">
        <v>45717.333333333336</v>
      </c>
      <c r="E61">
        <v>1065.8652397851081</v>
      </c>
      <c r="F61">
        <v>-291.150613081757</v>
      </c>
      <c r="G61">
        <v>2411.2425967683776</v>
      </c>
      <c r="H61" s="1">
        <v>45688.333333333336</v>
      </c>
    </row>
    <row r="62" spans="1:8" x14ac:dyDescent="0.25">
      <c r="A62" s="7">
        <f>DATE(YEAR(m8_crossvalid[[#This Row],[cutoff]]),MONTH(m8_crossvalid[[#This Row],[cutoff]]),DAY(m8_crossvalid[[#This Row],[cutoff]]))</f>
        <v>45688</v>
      </c>
      <c r="B62" s="7">
        <f>DATE(YEAR(m8_crossvalid[[#This Row],[ds]]),MONTH(m8_crossvalid[[#This Row],[ds]]),DAY(m8_crossvalid[[#This Row],[ds]]))</f>
        <v>45718</v>
      </c>
      <c r="C62">
        <v>27</v>
      </c>
      <c r="D62" s="1">
        <v>45718.333333333336</v>
      </c>
      <c r="E62">
        <v>-413.65220536580819</v>
      </c>
      <c r="F62">
        <v>-1874.4685764765838</v>
      </c>
      <c r="G62">
        <v>1041.5790115827983</v>
      </c>
      <c r="H62" s="1">
        <v>45688.333333333336</v>
      </c>
    </row>
    <row r="63" spans="1:8" x14ac:dyDescent="0.25">
      <c r="A63" s="7">
        <f>DATE(YEAR(m8_crossvalid[[#This Row],[cutoff]]),MONTH(m8_crossvalid[[#This Row],[cutoff]]),DAY(m8_crossvalid[[#This Row],[cutoff]]))</f>
        <v>45688</v>
      </c>
      <c r="B63" s="7">
        <f>DATE(YEAR(m8_crossvalid[[#This Row],[ds]]),MONTH(m8_crossvalid[[#This Row],[ds]]),DAY(m8_crossvalid[[#This Row],[ds]]))</f>
        <v>45719</v>
      </c>
      <c r="C63">
        <v>378</v>
      </c>
      <c r="D63" s="1">
        <v>45719.333333333336</v>
      </c>
      <c r="E63">
        <v>1631.4565274272454</v>
      </c>
      <c r="F63">
        <v>214.39360835163504</v>
      </c>
      <c r="G63">
        <v>2987.4356332343627</v>
      </c>
      <c r="H63" s="1">
        <v>45688.333333333336</v>
      </c>
    </row>
    <row r="64" spans="1:8" x14ac:dyDescent="0.25">
      <c r="A64" s="7">
        <f>DATE(YEAR(m8_crossvalid[[#This Row],[cutoff]]),MONTH(m8_crossvalid[[#This Row],[cutoff]]),DAY(m8_crossvalid[[#This Row],[cutoff]]))</f>
        <v>45716</v>
      </c>
      <c r="B64" s="7">
        <f>DATE(YEAR(m8_crossvalid[[#This Row],[ds]]),MONTH(m8_crossvalid[[#This Row],[ds]]),DAY(m8_crossvalid[[#This Row],[ds]]))</f>
        <v>45717</v>
      </c>
      <c r="C64">
        <v>74</v>
      </c>
      <c r="D64" s="1">
        <v>45717.333333333336</v>
      </c>
      <c r="E64">
        <v>1275.7610857658351</v>
      </c>
      <c r="F64">
        <v>-122.42955893353505</v>
      </c>
      <c r="G64">
        <v>2834.6739173395563</v>
      </c>
      <c r="H64" s="1">
        <v>45716.333333333336</v>
      </c>
    </row>
    <row r="65" spans="1:8" x14ac:dyDescent="0.25">
      <c r="A65" s="7">
        <f>DATE(YEAR(m8_crossvalid[[#This Row],[cutoff]]),MONTH(m8_crossvalid[[#This Row],[cutoff]]),DAY(m8_crossvalid[[#This Row],[cutoff]]))</f>
        <v>45716</v>
      </c>
      <c r="B65" s="7">
        <f>DATE(YEAR(m8_crossvalid[[#This Row],[ds]]),MONTH(m8_crossvalid[[#This Row],[ds]]),DAY(m8_crossvalid[[#This Row],[ds]]))</f>
        <v>45718</v>
      </c>
      <c r="C65">
        <v>27</v>
      </c>
      <c r="D65" s="1">
        <v>45718.333333333336</v>
      </c>
      <c r="E65">
        <v>-481.06685831291452</v>
      </c>
      <c r="F65">
        <v>-1840.3010151531844</v>
      </c>
      <c r="G65">
        <v>893.15247855674409</v>
      </c>
      <c r="H65" s="1">
        <v>45716.333333333336</v>
      </c>
    </row>
    <row r="66" spans="1:8" x14ac:dyDescent="0.25">
      <c r="A66" s="7">
        <f>DATE(YEAR(m8_crossvalid[[#This Row],[cutoff]]),MONTH(m8_crossvalid[[#This Row],[cutoff]]),DAY(m8_crossvalid[[#This Row],[cutoff]]))</f>
        <v>45716</v>
      </c>
      <c r="B66" s="7">
        <f>DATE(YEAR(m8_crossvalid[[#This Row],[ds]]),MONTH(m8_crossvalid[[#This Row],[ds]]),DAY(m8_crossvalid[[#This Row],[ds]]))</f>
        <v>45719</v>
      </c>
      <c r="C66">
        <v>378</v>
      </c>
      <c r="D66" s="1">
        <v>45719.333333333336</v>
      </c>
      <c r="E66">
        <v>1583.2653946983924</v>
      </c>
      <c r="F66">
        <v>164.67688007275746</v>
      </c>
      <c r="G66">
        <v>3028.272126551105</v>
      </c>
      <c r="H66" s="1">
        <v>45716.333333333336</v>
      </c>
    </row>
    <row r="67" spans="1:8" x14ac:dyDescent="0.25">
      <c r="A67" s="7">
        <f>DATE(YEAR(m8_crossvalid[[#This Row],[cutoff]]),MONTH(m8_crossvalid[[#This Row],[cutoff]]),DAY(m8_crossvalid[[#This Row],[cutoff]]))</f>
        <v>45716</v>
      </c>
      <c r="B67" s="7">
        <f>DATE(YEAR(m8_crossvalid[[#This Row],[ds]]),MONTH(m8_crossvalid[[#This Row],[ds]]),DAY(m8_crossvalid[[#This Row],[ds]]))</f>
        <v>45720</v>
      </c>
      <c r="C67">
        <v>666</v>
      </c>
      <c r="D67" s="1">
        <v>45720.333333333336</v>
      </c>
      <c r="E67">
        <v>1933.8775631701449</v>
      </c>
      <c r="F67">
        <v>571.70777344375915</v>
      </c>
      <c r="G67">
        <v>3419.9819754212795</v>
      </c>
      <c r="H67" s="1">
        <v>45716.333333333336</v>
      </c>
    </row>
    <row r="68" spans="1:8" x14ac:dyDescent="0.25">
      <c r="A68" s="7">
        <f>DATE(YEAR(m8_crossvalid[[#This Row],[cutoff]]),MONTH(m8_crossvalid[[#This Row],[cutoff]]),DAY(m8_crossvalid[[#This Row],[cutoff]]))</f>
        <v>45716</v>
      </c>
      <c r="B68" s="7">
        <f>DATE(YEAR(m8_crossvalid[[#This Row],[ds]]),MONTH(m8_crossvalid[[#This Row],[ds]]),DAY(m8_crossvalid[[#This Row],[ds]]))</f>
        <v>45721</v>
      </c>
      <c r="C68">
        <v>793</v>
      </c>
      <c r="D68" s="1">
        <v>45721.333333333336</v>
      </c>
      <c r="E68">
        <v>1984.3803744413408</v>
      </c>
      <c r="F68">
        <v>581.81139309103276</v>
      </c>
      <c r="G68">
        <v>3448.70496551922</v>
      </c>
      <c r="H68" s="1">
        <v>45716.333333333336</v>
      </c>
    </row>
    <row r="69" spans="1:8" x14ac:dyDescent="0.25">
      <c r="A69" s="7">
        <f>DATE(YEAR(m8_crossvalid[[#This Row],[cutoff]]),MONTH(m8_crossvalid[[#This Row],[cutoff]]),DAY(m8_crossvalid[[#This Row],[cutoff]]))</f>
        <v>45716</v>
      </c>
      <c r="B69" s="7">
        <f>DATE(YEAR(m8_crossvalid[[#This Row],[ds]]),MONTH(m8_crossvalid[[#This Row],[ds]]),DAY(m8_crossvalid[[#This Row],[ds]]))</f>
        <v>45722</v>
      </c>
      <c r="C69">
        <v>1426</v>
      </c>
      <c r="D69" s="1">
        <v>45722.333333333336</v>
      </c>
      <c r="E69">
        <v>1894.5366806657048</v>
      </c>
      <c r="F69">
        <v>371.99623812714833</v>
      </c>
      <c r="G69">
        <v>3279.7762183299719</v>
      </c>
      <c r="H69" s="1">
        <v>45716.333333333336</v>
      </c>
    </row>
    <row r="70" spans="1:8" x14ac:dyDescent="0.25">
      <c r="A70" s="7">
        <f>DATE(YEAR(m8_crossvalid[[#This Row],[cutoff]]),MONTH(m8_crossvalid[[#This Row],[cutoff]]),DAY(m8_crossvalid[[#This Row],[cutoff]]))</f>
        <v>45716</v>
      </c>
      <c r="B70" s="7">
        <f>DATE(YEAR(m8_crossvalid[[#This Row],[ds]]),MONTH(m8_crossvalid[[#This Row],[ds]]),DAY(m8_crossvalid[[#This Row],[ds]]))</f>
        <v>45723</v>
      </c>
      <c r="C70">
        <v>1674</v>
      </c>
      <c r="D70" s="1">
        <v>45723.333333333336</v>
      </c>
      <c r="E70">
        <v>1883.2690310765206</v>
      </c>
      <c r="F70">
        <v>501.16957627371966</v>
      </c>
      <c r="G70">
        <v>3326.0278892386755</v>
      </c>
      <c r="H70" s="1">
        <v>45716.333333333336</v>
      </c>
    </row>
    <row r="71" spans="1:8" x14ac:dyDescent="0.25">
      <c r="A71" s="7">
        <f>DATE(YEAR(m8_crossvalid[[#This Row],[cutoff]]),MONTH(m8_crossvalid[[#This Row],[cutoff]]),DAY(m8_crossvalid[[#This Row],[cutoff]]))</f>
        <v>45716</v>
      </c>
      <c r="B71" s="7">
        <f>DATE(YEAR(m8_crossvalid[[#This Row],[ds]]),MONTH(m8_crossvalid[[#This Row],[ds]]),DAY(m8_crossvalid[[#This Row],[ds]]))</f>
        <v>45724</v>
      </c>
      <c r="C71">
        <v>310</v>
      </c>
      <c r="D71" s="1">
        <v>45724.333333333336</v>
      </c>
      <c r="E71">
        <v>1113.9609327810947</v>
      </c>
      <c r="F71">
        <v>-364.32999975350691</v>
      </c>
      <c r="G71">
        <v>2470.5176116284611</v>
      </c>
      <c r="H71" s="1">
        <v>45716.333333333336</v>
      </c>
    </row>
    <row r="72" spans="1:8" x14ac:dyDescent="0.25">
      <c r="A72" s="7">
        <f>DATE(YEAR(m8_crossvalid[[#This Row],[cutoff]]),MONTH(m8_crossvalid[[#This Row],[cutoff]]),DAY(m8_crossvalid[[#This Row],[cutoff]]))</f>
        <v>45716</v>
      </c>
      <c r="B72" s="7">
        <f>DATE(YEAR(m8_crossvalid[[#This Row],[ds]]),MONTH(m8_crossvalid[[#This Row],[ds]]),DAY(m8_crossvalid[[#This Row],[ds]]))</f>
        <v>45725</v>
      </c>
      <c r="C72">
        <v>109</v>
      </c>
      <c r="D72" s="1">
        <v>45725.333333333336</v>
      </c>
      <c r="E72">
        <v>386.99995422128677</v>
      </c>
      <c r="F72">
        <v>-976.43258033828863</v>
      </c>
      <c r="G72">
        <v>1753.1226609714929</v>
      </c>
      <c r="H72" s="1">
        <v>45716.333333333336</v>
      </c>
    </row>
    <row r="73" spans="1:8" x14ac:dyDescent="0.25">
      <c r="A73" s="7">
        <f>DATE(YEAR(m8_crossvalid[[#This Row],[cutoff]]),MONTH(m8_crossvalid[[#This Row],[cutoff]]),DAY(m8_crossvalid[[#This Row],[cutoff]]))</f>
        <v>45716</v>
      </c>
      <c r="B73" s="7">
        <f>DATE(YEAR(m8_crossvalid[[#This Row],[ds]]),MONTH(m8_crossvalid[[#This Row],[ds]]),DAY(m8_crossvalid[[#This Row],[ds]]))</f>
        <v>45726</v>
      </c>
      <c r="C73">
        <v>1900</v>
      </c>
      <c r="D73" s="1">
        <v>45726.333333333336</v>
      </c>
      <c r="E73">
        <v>2378.3831972125504</v>
      </c>
      <c r="F73">
        <v>965.9517672527702</v>
      </c>
      <c r="G73">
        <v>3721.8237086581466</v>
      </c>
      <c r="H73" s="1">
        <v>45716.333333333336</v>
      </c>
    </row>
    <row r="74" spans="1:8" x14ac:dyDescent="0.25">
      <c r="A74" s="7">
        <f>DATE(YEAR(m8_crossvalid[[#This Row],[cutoff]]),MONTH(m8_crossvalid[[#This Row],[cutoff]]),DAY(m8_crossvalid[[#This Row],[cutoff]]))</f>
        <v>45716</v>
      </c>
      <c r="B74" s="7">
        <f>DATE(YEAR(m8_crossvalid[[#This Row],[ds]]),MONTH(m8_crossvalid[[#This Row],[ds]]),DAY(m8_crossvalid[[#This Row],[ds]]))</f>
        <v>45727</v>
      </c>
      <c r="C74">
        <v>2294</v>
      </c>
      <c r="D74" s="1">
        <v>45727.333333333336</v>
      </c>
      <c r="E74">
        <v>2470.5136344032203</v>
      </c>
      <c r="F74">
        <v>953.24293469506347</v>
      </c>
      <c r="G74">
        <v>3786.890111279351</v>
      </c>
      <c r="H74" s="1">
        <v>45716.333333333336</v>
      </c>
    </row>
    <row r="75" spans="1:8" x14ac:dyDescent="0.25">
      <c r="A75" s="7">
        <f>DATE(YEAR(m8_crossvalid[[#This Row],[cutoff]]),MONTH(m8_crossvalid[[#This Row],[cutoff]]),DAY(m8_crossvalid[[#This Row],[cutoff]]))</f>
        <v>45716</v>
      </c>
      <c r="B75" s="7">
        <f>DATE(YEAR(m8_crossvalid[[#This Row],[ds]]),MONTH(m8_crossvalid[[#This Row],[ds]]),DAY(m8_crossvalid[[#This Row],[ds]]))</f>
        <v>45728</v>
      </c>
      <c r="C75">
        <v>2576</v>
      </c>
      <c r="D75" s="1">
        <v>45728.333333333336</v>
      </c>
      <c r="E75">
        <v>2627.6266281018852</v>
      </c>
      <c r="F75">
        <v>1243.1670573611439</v>
      </c>
      <c r="G75">
        <v>4016.5962705321726</v>
      </c>
      <c r="H75" s="1">
        <v>45716.333333333336</v>
      </c>
    </row>
    <row r="76" spans="1:8" x14ac:dyDescent="0.25">
      <c r="A76" s="7">
        <f>DATE(YEAR(m8_crossvalid[[#This Row],[cutoff]]),MONTH(m8_crossvalid[[#This Row],[cutoff]]),DAY(m8_crossvalid[[#This Row],[cutoff]]))</f>
        <v>45716</v>
      </c>
      <c r="B76" s="7">
        <f>DATE(YEAR(m8_crossvalid[[#This Row],[ds]]),MONTH(m8_crossvalid[[#This Row],[ds]]),DAY(m8_crossvalid[[#This Row],[ds]]))</f>
        <v>45729</v>
      </c>
      <c r="C76">
        <v>2235</v>
      </c>
      <c r="D76" s="1">
        <v>45729.333333333336</v>
      </c>
      <c r="E76">
        <v>2785.5060066381952</v>
      </c>
      <c r="F76">
        <v>1404.9742356663492</v>
      </c>
      <c r="G76">
        <v>4181.2507408593992</v>
      </c>
      <c r="H76" s="1">
        <v>45716.333333333336</v>
      </c>
    </row>
    <row r="77" spans="1:8" x14ac:dyDescent="0.25">
      <c r="A77" s="7">
        <f>DATE(YEAR(m8_crossvalid[[#This Row],[cutoff]]),MONTH(m8_crossvalid[[#This Row],[cutoff]]),DAY(m8_crossvalid[[#This Row],[cutoff]]))</f>
        <v>45716</v>
      </c>
      <c r="B77" s="7">
        <f>DATE(YEAR(m8_crossvalid[[#This Row],[ds]]),MONTH(m8_crossvalid[[#This Row],[ds]]),DAY(m8_crossvalid[[#This Row],[ds]]))</f>
        <v>45730</v>
      </c>
      <c r="C77">
        <v>3818</v>
      </c>
      <c r="D77" s="1">
        <v>45730.333333333336</v>
      </c>
      <c r="E77">
        <v>2743.1287861041283</v>
      </c>
      <c r="F77">
        <v>1299.1710286126654</v>
      </c>
      <c r="G77">
        <v>4195.8914084594671</v>
      </c>
      <c r="H77" s="1">
        <v>45716.333333333336</v>
      </c>
    </row>
    <row r="78" spans="1:8" x14ac:dyDescent="0.25">
      <c r="A78" s="7">
        <f>DATE(YEAR(m8_crossvalid[[#This Row],[cutoff]]),MONTH(m8_crossvalid[[#This Row],[cutoff]]),DAY(m8_crossvalid[[#This Row],[cutoff]]))</f>
        <v>45716</v>
      </c>
      <c r="B78" s="7">
        <f>DATE(YEAR(m8_crossvalid[[#This Row],[ds]]),MONTH(m8_crossvalid[[#This Row],[ds]]),DAY(m8_crossvalid[[#This Row],[ds]]))</f>
        <v>45731</v>
      </c>
      <c r="C78">
        <v>927</v>
      </c>
      <c r="D78" s="1">
        <v>45731.333333333336</v>
      </c>
      <c r="E78">
        <v>552.63160729974356</v>
      </c>
      <c r="F78">
        <v>-821.54665683317091</v>
      </c>
      <c r="G78">
        <v>2007.5140825612978</v>
      </c>
      <c r="H78" s="1">
        <v>45716.333333333336</v>
      </c>
    </row>
    <row r="79" spans="1:8" x14ac:dyDescent="0.25">
      <c r="A79" s="7">
        <f>DATE(YEAR(m8_crossvalid[[#This Row],[cutoff]]),MONTH(m8_crossvalid[[#This Row],[cutoff]]),DAY(m8_crossvalid[[#This Row],[cutoff]]))</f>
        <v>45716</v>
      </c>
      <c r="B79" s="7">
        <f>DATE(YEAR(m8_crossvalid[[#This Row],[ds]]),MONTH(m8_crossvalid[[#This Row],[ds]]),DAY(m8_crossvalid[[#This Row],[ds]]))</f>
        <v>45732</v>
      </c>
      <c r="C79">
        <v>263</v>
      </c>
      <c r="D79" s="1">
        <v>45732.333333333336</v>
      </c>
      <c r="E79">
        <v>104.59452615488362</v>
      </c>
      <c r="F79">
        <v>-1348.2221223208267</v>
      </c>
      <c r="G79">
        <v>1470.0246063659811</v>
      </c>
      <c r="H79" s="1">
        <v>45716.333333333336</v>
      </c>
    </row>
    <row r="80" spans="1:8" x14ac:dyDescent="0.25">
      <c r="A80" s="7">
        <f>DATE(YEAR(m8_crossvalid[[#This Row],[cutoff]]),MONTH(m8_crossvalid[[#This Row],[cutoff]]),DAY(m8_crossvalid[[#This Row],[cutoff]]))</f>
        <v>45716</v>
      </c>
      <c r="B80" s="7">
        <f>DATE(YEAR(m8_crossvalid[[#This Row],[ds]]),MONTH(m8_crossvalid[[#This Row],[ds]]),DAY(m8_crossvalid[[#This Row],[ds]]))</f>
        <v>45733</v>
      </c>
      <c r="C80">
        <v>4812</v>
      </c>
      <c r="D80" s="1">
        <v>45733.333333333336</v>
      </c>
      <c r="E80">
        <v>2723.1681440091761</v>
      </c>
      <c r="F80">
        <v>1374.1944337986647</v>
      </c>
      <c r="G80">
        <v>4137.2742547217831</v>
      </c>
      <c r="H80" s="1">
        <v>45716.333333333336</v>
      </c>
    </row>
    <row r="81" spans="1:8" x14ac:dyDescent="0.25">
      <c r="A81" s="7">
        <f>DATE(YEAR(m8_crossvalid[[#This Row],[cutoff]]),MONTH(m8_crossvalid[[#This Row],[cutoff]]),DAY(m8_crossvalid[[#This Row],[cutoff]]))</f>
        <v>45716</v>
      </c>
      <c r="B81" s="7">
        <f>DATE(YEAR(m8_crossvalid[[#This Row],[ds]]),MONTH(m8_crossvalid[[#This Row],[ds]]),DAY(m8_crossvalid[[#This Row],[ds]]))</f>
        <v>45734</v>
      </c>
      <c r="C81">
        <v>1459</v>
      </c>
      <c r="D81" s="1">
        <v>45734.333333333336</v>
      </c>
      <c r="E81">
        <v>1617.1400241039798</v>
      </c>
      <c r="F81">
        <v>180.75747823439028</v>
      </c>
      <c r="G81">
        <v>3064.9693958327443</v>
      </c>
      <c r="H81" s="1">
        <v>45716.333333333336</v>
      </c>
    </row>
    <row r="82" spans="1:8" x14ac:dyDescent="0.25">
      <c r="A82" s="7">
        <f>DATE(YEAR(m8_crossvalid[[#This Row],[cutoff]]),MONTH(m8_crossvalid[[#This Row],[cutoff]]),DAY(m8_crossvalid[[#This Row],[cutoff]]))</f>
        <v>45716</v>
      </c>
      <c r="B82" s="7">
        <f>DATE(YEAR(m8_crossvalid[[#This Row],[ds]]),MONTH(m8_crossvalid[[#This Row],[ds]]),DAY(m8_crossvalid[[#This Row],[ds]]))</f>
        <v>45735</v>
      </c>
      <c r="C82">
        <v>3508</v>
      </c>
      <c r="D82" s="1">
        <v>45735.333333333336</v>
      </c>
      <c r="E82">
        <v>3283.7173395170421</v>
      </c>
      <c r="F82">
        <v>1896.7177096364762</v>
      </c>
      <c r="G82">
        <v>4747.7056952525863</v>
      </c>
      <c r="H82" s="1">
        <v>45716.333333333336</v>
      </c>
    </row>
    <row r="83" spans="1:8" x14ac:dyDescent="0.25">
      <c r="A83" s="7">
        <f>DATE(YEAR(m8_crossvalid[[#This Row],[cutoff]]),MONTH(m8_crossvalid[[#This Row],[cutoff]]),DAY(m8_crossvalid[[#This Row],[cutoff]]))</f>
        <v>45716</v>
      </c>
      <c r="B83" s="7">
        <f>DATE(YEAR(m8_crossvalid[[#This Row],[ds]]),MONTH(m8_crossvalid[[#This Row],[ds]]),DAY(m8_crossvalid[[#This Row],[ds]]))</f>
        <v>45736</v>
      </c>
      <c r="C83">
        <v>3947</v>
      </c>
      <c r="D83" s="1">
        <v>45736.333333333336</v>
      </c>
      <c r="E83">
        <v>3270.9692797034268</v>
      </c>
      <c r="F83">
        <v>1800.741249421372</v>
      </c>
      <c r="G83">
        <v>4607.4909448438757</v>
      </c>
      <c r="H83" s="1">
        <v>45716.333333333336</v>
      </c>
    </row>
    <row r="84" spans="1:8" x14ac:dyDescent="0.25">
      <c r="A84" s="7">
        <f>DATE(YEAR(m8_crossvalid[[#This Row],[cutoff]]),MONTH(m8_crossvalid[[#This Row],[cutoff]]),DAY(m8_crossvalid[[#This Row],[cutoff]]))</f>
        <v>45716</v>
      </c>
      <c r="B84" s="7">
        <f>DATE(YEAR(m8_crossvalid[[#This Row],[ds]]),MONTH(m8_crossvalid[[#This Row],[ds]]),DAY(m8_crossvalid[[#This Row],[ds]]))</f>
        <v>45737</v>
      </c>
      <c r="C84">
        <v>4280</v>
      </c>
      <c r="D84" s="1">
        <v>45737.333333333336</v>
      </c>
      <c r="E84">
        <v>3276.1550390573739</v>
      </c>
      <c r="F84">
        <v>1759.1486232371149</v>
      </c>
      <c r="G84">
        <v>4627.0197973306749</v>
      </c>
      <c r="H84" s="1">
        <v>45716.333333333336</v>
      </c>
    </row>
    <row r="85" spans="1:8" x14ac:dyDescent="0.25">
      <c r="A85" s="7">
        <f>DATE(YEAR(m8_crossvalid[[#This Row],[cutoff]]),MONTH(m8_crossvalid[[#This Row],[cutoff]]),DAY(m8_crossvalid[[#This Row],[cutoff]]))</f>
        <v>45716</v>
      </c>
      <c r="B85" s="7">
        <f>DATE(YEAR(m8_crossvalid[[#This Row],[ds]]),MONTH(m8_crossvalid[[#This Row],[ds]]),DAY(m8_crossvalid[[#This Row],[ds]]))</f>
        <v>45738</v>
      </c>
      <c r="C85">
        <v>1076</v>
      </c>
      <c r="D85" s="1">
        <v>45738.333333333336</v>
      </c>
      <c r="E85">
        <v>1110.4864565655566</v>
      </c>
      <c r="F85">
        <v>-162.04584208010465</v>
      </c>
      <c r="G85">
        <v>2571.070402542292</v>
      </c>
      <c r="H85" s="1">
        <v>45716.333333333336</v>
      </c>
    </row>
    <row r="86" spans="1:8" x14ac:dyDescent="0.25">
      <c r="A86" s="7">
        <f>DATE(YEAR(m8_crossvalid[[#This Row],[cutoff]]),MONTH(m8_crossvalid[[#This Row],[cutoff]]),DAY(m8_crossvalid[[#This Row],[cutoff]]))</f>
        <v>45716</v>
      </c>
      <c r="B86" s="7">
        <f>DATE(YEAR(m8_crossvalid[[#This Row],[ds]]),MONTH(m8_crossvalid[[#This Row],[ds]]),DAY(m8_crossvalid[[#This Row],[ds]]))</f>
        <v>45739</v>
      </c>
      <c r="C86">
        <v>301</v>
      </c>
      <c r="D86" s="1">
        <v>45739.333333333336</v>
      </c>
      <c r="E86">
        <v>676.11118124052041</v>
      </c>
      <c r="F86">
        <v>-742.79600103178802</v>
      </c>
      <c r="G86">
        <v>2016.6886915674256</v>
      </c>
      <c r="H86" s="1">
        <v>45716.333333333336</v>
      </c>
    </row>
    <row r="87" spans="1:8" x14ac:dyDescent="0.25">
      <c r="A87" s="7">
        <f>DATE(YEAR(m8_crossvalid[[#This Row],[cutoff]]),MONTH(m8_crossvalid[[#This Row],[cutoff]]),DAY(m8_crossvalid[[#This Row],[cutoff]]))</f>
        <v>45716</v>
      </c>
      <c r="B87" s="7">
        <f>DATE(YEAR(m8_crossvalid[[#This Row],[ds]]),MONTH(m8_crossvalid[[#This Row],[ds]]),DAY(m8_crossvalid[[#This Row],[ds]]))</f>
        <v>45740</v>
      </c>
      <c r="C87">
        <v>4292</v>
      </c>
      <c r="D87" s="1">
        <v>45740.333333333336</v>
      </c>
      <c r="E87">
        <v>3366.2778235139504</v>
      </c>
      <c r="F87">
        <v>1913.1176160357563</v>
      </c>
      <c r="G87">
        <v>4761.8570384448512</v>
      </c>
      <c r="H87" s="1">
        <v>45716.333333333336</v>
      </c>
    </row>
    <row r="88" spans="1:8" x14ac:dyDescent="0.25">
      <c r="A88" s="7">
        <f>DATE(YEAR(m8_crossvalid[[#This Row],[cutoff]]),MONTH(m8_crossvalid[[#This Row],[cutoff]]),DAY(m8_crossvalid[[#This Row],[cutoff]]))</f>
        <v>45716</v>
      </c>
      <c r="B88" s="7">
        <f>DATE(YEAR(m8_crossvalid[[#This Row],[ds]]),MONTH(m8_crossvalid[[#This Row],[ds]]),DAY(m8_crossvalid[[#This Row],[ds]]))</f>
        <v>45741</v>
      </c>
      <c r="C88">
        <v>5571</v>
      </c>
      <c r="D88" s="1">
        <v>45741.333333333336</v>
      </c>
      <c r="E88">
        <v>3850.2284576064449</v>
      </c>
      <c r="F88">
        <v>2563.4291375106714</v>
      </c>
      <c r="G88">
        <v>5275.3961479181598</v>
      </c>
      <c r="H88" s="1">
        <v>45716.333333333336</v>
      </c>
    </row>
    <row r="89" spans="1:8" x14ac:dyDescent="0.25">
      <c r="A89" s="7">
        <f>DATE(YEAR(m8_crossvalid[[#This Row],[cutoff]]),MONTH(m8_crossvalid[[#This Row],[cutoff]]),DAY(m8_crossvalid[[#This Row],[cutoff]]))</f>
        <v>45716</v>
      </c>
      <c r="B89" s="7">
        <f>DATE(YEAR(m8_crossvalid[[#This Row],[ds]]),MONTH(m8_crossvalid[[#This Row],[ds]]),DAY(m8_crossvalid[[#This Row],[ds]]))</f>
        <v>45742</v>
      </c>
      <c r="C89">
        <v>6352</v>
      </c>
      <c r="D89" s="1">
        <v>45742.333333333336</v>
      </c>
      <c r="E89">
        <v>3925.5543178366397</v>
      </c>
      <c r="F89">
        <v>2501.8052155959285</v>
      </c>
      <c r="G89">
        <v>5259.6134099190876</v>
      </c>
      <c r="H89" s="1">
        <v>45716.333333333336</v>
      </c>
    </row>
    <row r="90" spans="1:8" x14ac:dyDescent="0.25">
      <c r="A90" s="7">
        <f>DATE(YEAR(m8_crossvalid[[#This Row],[cutoff]]),MONTH(m8_crossvalid[[#This Row],[cutoff]]),DAY(m8_crossvalid[[#This Row],[cutoff]]))</f>
        <v>45716</v>
      </c>
      <c r="B90" s="7">
        <f>DATE(YEAR(m8_crossvalid[[#This Row],[ds]]),MONTH(m8_crossvalid[[#This Row],[ds]]),DAY(m8_crossvalid[[#This Row],[ds]]))</f>
        <v>45743</v>
      </c>
      <c r="C90">
        <v>8836</v>
      </c>
      <c r="D90" s="1">
        <v>45743.333333333336</v>
      </c>
      <c r="E90">
        <v>4715.0767739889861</v>
      </c>
      <c r="F90">
        <v>3300.4605024907005</v>
      </c>
      <c r="G90">
        <v>6096.7745514797998</v>
      </c>
      <c r="H90" s="1">
        <v>45716.333333333336</v>
      </c>
    </row>
    <row r="91" spans="1:8" x14ac:dyDescent="0.25">
      <c r="A91" s="7">
        <f>DATE(YEAR(m8_crossvalid[[#This Row],[cutoff]]),MONTH(m8_crossvalid[[#This Row],[cutoff]]),DAY(m8_crossvalid[[#This Row],[cutoff]]))</f>
        <v>45716</v>
      </c>
      <c r="B91" s="7">
        <f>DATE(YEAR(m8_crossvalid[[#This Row],[ds]]),MONTH(m8_crossvalid[[#This Row],[ds]]),DAY(m8_crossvalid[[#This Row],[ds]]))</f>
        <v>45744</v>
      </c>
      <c r="C91">
        <v>9717</v>
      </c>
      <c r="D91" s="1">
        <v>45744.333333333336</v>
      </c>
      <c r="E91">
        <v>4830.3365700933628</v>
      </c>
      <c r="F91">
        <v>3385.9590815447441</v>
      </c>
      <c r="G91">
        <v>6230.4081287461458</v>
      </c>
      <c r="H91" s="1">
        <v>45716.333333333336</v>
      </c>
    </row>
    <row r="92" spans="1:8" x14ac:dyDescent="0.25">
      <c r="A92" s="7">
        <f>DATE(YEAR(m8_crossvalid[[#This Row],[cutoff]]),MONTH(m8_crossvalid[[#This Row],[cutoff]]),DAY(m8_crossvalid[[#This Row],[cutoff]]))</f>
        <v>45716</v>
      </c>
      <c r="B92" s="7">
        <f>DATE(YEAR(m8_crossvalid[[#This Row],[ds]]),MONTH(m8_crossvalid[[#This Row],[ds]]),DAY(m8_crossvalid[[#This Row],[ds]]))</f>
        <v>45745</v>
      </c>
      <c r="C92">
        <v>3249</v>
      </c>
      <c r="D92" s="1">
        <v>45745.333333333336</v>
      </c>
      <c r="E92">
        <v>2912.7933857917164</v>
      </c>
      <c r="F92">
        <v>1567.7173651395881</v>
      </c>
      <c r="G92">
        <v>4408.2914805107375</v>
      </c>
      <c r="H92" s="1">
        <v>45716.333333333336</v>
      </c>
    </row>
    <row r="93" spans="1:8" x14ac:dyDescent="0.25">
      <c r="A93" s="7">
        <f>DATE(YEAR(m8_crossvalid[[#This Row],[cutoff]]),MONTH(m8_crossvalid[[#This Row],[cutoff]]),DAY(m8_crossvalid[[#This Row],[cutoff]]))</f>
        <v>45716</v>
      </c>
      <c r="B93" s="7">
        <f>DATE(YEAR(m8_crossvalid[[#This Row],[ds]]),MONTH(m8_crossvalid[[#This Row],[ds]]),DAY(m8_crossvalid[[#This Row],[ds]]))</f>
        <v>45746</v>
      </c>
      <c r="C93">
        <v>198</v>
      </c>
      <c r="D93" s="1">
        <v>45746.333333333336</v>
      </c>
      <c r="E93">
        <v>4990.0930523610259</v>
      </c>
      <c r="F93">
        <v>3661.9129226601199</v>
      </c>
      <c r="G93">
        <v>6386.3680485476289</v>
      </c>
      <c r="H93" s="1">
        <v>45716.333333333336</v>
      </c>
    </row>
    <row r="94" spans="1:8" x14ac:dyDescent="0.25">
      <c r="A94" s="7">
        <f>DATE(YEAR(m8_crossvalid[[#This Row],[cutoff]]),MONTH(m8_crossvalid[[#This Row],[cutoff]]),DAY(m8_crossvalid[[#This Row],[cutoff]]))</f>
        <v>45716</v>
      </c>
      <c r="B94" s="7">
        <f>DATE(YEAR(m8_crossvalid[[#This Row],[ds]]),MONTH(m8_crossvalid[[#This Row],[ds]]),DAY(m8_crossvalid[[#This Row],[ds]]))</f>
        <v>45747</v>
      </c>
      <c r="C94">
        <v>53</v>
      </c>
      <c r="D94" s="1">
        <v>45747.333333333336</v>
      </c>
      <c r="E94">
        <v>8123.5605911941311</v>
      </c>
      <c r="F94">
        <v>6742.3520912436479</v>
      </c>
      <c r="G94">
        <v>9503.3258926129311</v>
      </c>
      <c r="H94" s="1">
        <v>45716.333333333336</v>
      </c>
    </row>
    <row r="95" spans="1:8" x14ac:dyDescent="0.25">
      <c r="A95" s="7">
        <f>DATE(YEAR(m8_crossvalid[[#This Row],[cutoff]]),MONTH(m8_crossvalid[[#This Row],[cutoff]]),DAY(m8_crossvalid[[#This Row],[cutoff]]))</f>
        <v>45747</v>
      </c>
      <c r="B95" s="7">
        <f>DATE(YEAR(m8_crossvalid[[#This Row],[ds]]),MONTH(m8_crossvalid[[#This Row],[ds]]),DAY(m8_crossvalid[[#This Row],[ds]]))</f>
        <v>45748</v>
      </c>
      <c r="C95">
        <v>2</v>
      </c>
      <c r="D95" s="1">
        <v>45748.333333333336</v>
      </c>
      <c r="E95">
        <v>-168.93826488957779</v>
      </c>
      <c r="F95">
        <v>-1654.6773329673133</v>
      </c>
      <c r="G95">
        <v>1254.8459235031241</v>
      </c>
      <c r="H95" s="1">
        <v>45747.333333333336</v>
      </c>
    </row>
    <row r="96" spans="1:8" x14ac:dyDescent="0.25">
      <c r="A96" s="7">
        <f>DATE(YEAR(m8_crossvalid[[#This Row],[cutoff]]),MONTH(m8_crossvalid[[#This Row],[cutoff]]),DAY(m8_crossvalid[[#This Row],[cutoff]]))</f>
        <v>45747</v>
      </c>
      <c r="B96" s="7">
        <f>DATE(YEAR(m8_crossvalid[[#This Row],[ds]]),MONTH(m8_crossvalid[[#This Row],[ds]]),DAY(m8_crossvalid[[#This Row],[ds]]))</f>
        <v>45749</v>
      </c>
      <c r="C96">
        <v>105</v>
      </c>
      <c r="D96" s="1">
        <v>45749.333333333336</v>
      </c>
      <c r="E96">
        <v>1024.9952462190938</v>
      </c>
      <c r="F96">
        <v>-524.39561094265821</v>
      </c>
      <c r="G96">
        <v>2521.9424266839878</v>
      </c>
      <c r="H96" s="1">
        <v>45747.333333333336</v>
      </c>
    </row>
    <row r="97" spans="1:8" x14ac:dyDescent="0.25">
      <c r="A97" s="7">
        <f>DATE(YEAR(m8_crossvalid[[#This Row],[cutoff]]),MONTH(m8_crossvalid[[#This Row],[cutoff]]),DAY(m8_crossvalid[[#This Row],[cutoff]]))</f>
        <v>45747</v>
      </c>
      <c r="B97" s="7">
        <f>DATE(YEAR(m8_crossvalid[[#This Row],[ds]]),MONTH(m8_crossvalid[[#This Row],[ds]]),DAY(m8_crossvalid[[#This Row],[ds]]))</f>
        <v>45750</v>
      </c>
      <c r="C97">
        <v>284</v>
      </c>
      <c r="D97" s="1">
        <v>45750.333333333336</v>
      </c>
      <c r="E97">
        <v>-203.39748485319888</v>
      </c>
      <c r="F97">
        <v>-1627.2647509090025</v>
      </c>
      <c r="G97">
        <v>1124.3345567494393</v>
      </c>
      <c r="H97" s="1">
        <v>45747.333333333336</v>
      </c>
    </row>
    <row r="98" spans="1:8" x14ac:dyDescent="0.25">
      <c r="A98" s="7">
        <f>DATE(YEAR(m8_crossvalid[[#This Row],[cutoff]]),MONTH(m8_crossvalid[[#This Row],[cutoff]]),DAY(m8_crossvalid[[#This Row],[cutoff]]))</f>
        <v>45747</v>
      </c>
      <c r="B98" s="7">
        <f>DATE(YEAR(m8_crossvalid[[#This Row],[ds]]),MONTH(m8_crossvalid[[#This Row],[ds]]),DAY(m8_crossvalid[[#This Row],[ds]]))</f>
        <v>45751</v>
      </c>
      <c r="C98">
        <v>403</v>
      </c>
      <c r="D98" s="1">
        <v>45751.333333333336</v>
      </c>
      <c r="E98">
        <v>1084.3087439311248</v>
      </c>
      <c r="F98">
        <v>-364.42981998785172</v>
      </c>
      <c r="G98">
        <v>2496.7776573880637</v>
      </c>
      <c r="H98" s="1">
        <v>45747.333333333336</v>
      </c>
    </row>
    <row r="99" spans="1:8" x14ac:dyDescent="0.25">
      <c r="A99" s="7">
        <f>DATE(YEAR(m8_crossvalid[[#This Row],[cutoff]]),MONTH(m8_crossvalid[[#This Row],[cutoff]]),DAY(m8_crossvalid[[#This Row],[cutoff]]))</f>
        <v>45747</v>
      </c>
      <c r="B99" s="7">
        <f>DATE(YEAR(m8_crossvalid[[#This Row],[ds]]),MONTH(m8_crossvalid[[#This Row],[ds]]),DAY(m8_crossvalid[[#This Row],[ds]]))</f>
        <v>45752</v>
      </c>
      <c r="C99">
        <v>47</v>
      </c>
      <c r="D99" s="1">
        <v>45752.333333333336</v>
      </c>
      <c r="E99">
        <v>-1033.111806925996</v>
      </c>
      <c r="F99">
        <v>-2450.4003655510755</v>
      </c>
      <c r="G99">
        <v>397.28293813415814</v>
      </c>
      <c r="H99" s="1">
        <v>45747.333333333336</v>
      </c>
    </row>
    <row r="100" spans="1:8" x14ac:dyDescent="0.25">
      <c r="A100" s="7">
        <f>DATE(YEAR(m8_crossvalid[[#This Row],[cutoff]]),MONTH(m8_crossvalid[[#This Row],[cutoff]]),DAY(m8_crossvalid[[#This Row],[cutoff]]))</f>
        <v>45747</v>
      </c>
      <c r="B100" s="7">
        <f>DATE(YEAR(m8_crossvalid[[#This Row],[ds]]),MONTH(m8_crossvalid[[#This Row],[ds]]),DAY(m8_crossvalid[[#This Row],[ds]]))</f>
        <v>45753</v>
      </c>
      <c r="C100">
        <v>11</v>
      </c>
      <c r="D100" s="1">
        <v>45753.333333333336</v>
      </c>
      <c r="E100">
        <v>-1844.1333913335252</v>
      </c>
      <c r="F100">
        <v>-3292.6196248614524</v>
      </c>
      <c r="G100">
        <v>-315.64163675825301</v>
      </c>
      <c r="H100" s="1">
        <v>45747.333333333336</v>
      </c>
    </row>
    <row r="101" spans="1:8" x14ac:dyDescent="0.25">
      <c r="A101" s="7">
        <f>DATE(YEAR(m8_crossvalid[[#This Row],[cutoff]]),MONTH(m8_crossvalid[[#This Row],[cutoff]]),DAY(m8_crossvalid[[#This Row],[cutoff]]))</f>
        <v>45747</v>
      </c>
      <c r="B101" s="7">
        <f>DATE(YEAR(m8_crossvalid[[#This Row],[ds]]),MONTH(m8_crossvalid[[#This Row],[ds]]),DAY(m8_crossvalid[[#This Row],[ds]]))</f>
        <v>45754</v>
      </c>
      <c r="C101">
        <v>477</v>
      </c>
      <c r="D101" s="1">
        <v>45754.333333333336</v>
      </c>
      <c r="E101">
        <v>-876.0769178625917</v>
      </c>
      <c r="F101">
        <v>-2309.2684697024515</v>
      </c>
      <c r="G101">
        <v>581.69651421960498</v>
      </c>
      <c r="H101" s="1">
        <v>45747.333333333336</v>
      </c>
    </row>
    <row r="102" spans="1:8" x14ac:dyDescent="0.25">
      <c r="A102" s="7">
        <f>DATE(YEAR(m8_crossvalid[[#This Row],[cutoff]]),MONTH(m8_crossvalid[[#This Row],[cutoff]]),DAY(m8_crossvalid[[#This Row],[cutoff]]))</f>
        <v>45747</v>
      </c>
      <c r="B102" s="7">
        <f>DATE(YEAR(m8_crossvalid[[#This Row],[ds]]),MONTH(m8_crossvalid[[#This Row],[ds]]),DAY(m8_crossvalid[[#This Row],[ds]]))</f>
        <v>45755</v>
      </c>
      <c r="C102">
        <v>775</v>
      </c>
      <c r="D102" s="1">
        <v>45755.333333333336</v>
      </c>
      <c r="E102">
        <v>932.07100999314025</v>
      </c>
      <c r="F102">
        <v>-582.65570741529382</v>
      </c>
      <c r="G102">
        <v>2403.6039860809401</v>
      </c>
      <c r="H102" s="1">
        <v>45747.333333333336</v>
      </c>
    </row>
    <row r="103" spans="1:8" x14ac:dyDescent="0.25">
      <c r="A103" s="7">
        <f>DATE(YEAR(m8_crossvalid[[#This Row],[cutoff]]),MONTH(m8_crossvalid[[#This Row],[cutoff]]),DAY(m8_crossvalid[[#This Row],[cutoff]]))</f>
        <v>45747</v>
      </c>
      <c r="B103" s="7">
        <f>DATE(YEAR(m8_crossvalid[[#This Row],[ds]]),MONTH(m8_crossvalid[[#This Row],[ds]]),DAY(m8_crossvalid[[#This Row],[ds]]))</f>
        <v>45756</v>
      </c>
      <c r="C103">
        <v>1016</v>
      </c>
      <c r="D103" s="1">
        <v>45756.333333333336</v>
      </c>
      <c r="E103">
        <v>2301.1879497696182</v>
      </c>
      <c r="F103">
        <v>886.42107629506836</v>
      </c>
      <c r="G103">
        <v>3689.809459778472</v>
      </c>
      <c r="H103" s="1">
        <v>45747.333333333336</v>
      </c>
    </row>
    <row r="104" spans="1:8" x14ac:dyDescent="0.25">
      <c r="A104" s="7">
        <f>DATE(YEAR(m8_crossvalid[[#This Row],[cutoff]]),MONTH(m8_crossvalid[[#This Row],[cutoff]]),DAY(m8_crossvalid[[#This Row],[cutoff]]))</f>
        <v>45747</v>
      </c>
      <c r="B104" s="7">
        <f>DATE(YEAR(m8_crossvalid[[#This Row],[ds]]),MONTH(m8_crossvalid[[#This Row],[ds]]),DAY(m8_crossvalid[[#This Row],[ds]]))</f>
        <v>45757</v>
      </c>
      <c r="C104">
        <v>1422</v>
      </c>
      <c r="D104" s="1">
        <v>45757.333333333336</v>
      </c>
      <c r="E104">
        <v>2117.0698363366114</v>
      </c>
      <c r="F104">
        <v>651.16314841721226</v>
      </c>
      <c r="G104">
        <v>3542.7415267533825</v>
      </c>
      <c r="H104" s="1">
        <v>45747.333333333336</v>
      </c>
    </row>
    <row r="105" spans="1:8" x14ac:dyDescent="0.25">
      <c r="A105" s="7">
        <f>DATE(YEAR(m8_crossvalid[[#This Row],[cutoff]]),MONTH(m8_crossvalid[[#This Row],[cutoff]]),DAY(m8_crossvalid[[#This Row],[cutoff]]))</f>
        <v>45747</v>
      </c>
      <c r="B105" s="7">
        <f>DATE(YEAR(m8_crossvalid[[#This Row],[ds]]),MONTH(m8_crossvalid[[#This Row],[ds]]),DAY(m8_crossvalid[[#This Row],[ds]]))</f>
        <v>45758</v>
      </c>
      <c r="C105">
        <v>1565</v>
      </c>
      <c r="D105" s="1">
        <v>45758.333333333336</v>
      </c>
      <c r="E105">
        <v>2083.9036250278473</v>
      </c>
      <c r="F105">
        <v>598.48776937241951</v>
      </c>
      <c r="G105">
        <v>3477.0091855815426</v>
      </c>
      <c r="H105" s="1">
        <v>45747.333333333336</v>
      </c>
    </row>
    <row r="106" spans="1:8" x14ac:dyDescent="0.25">
      <c r="A106" s="7">
        <f>DATE(YEAR(m8_crossvalid[[#This Row],[cutoff]]),MONTH(m8_crossvalid[[#This Row],[cutoff]]),DAY(m8_crossvalid[[#This Row],[cutoff]]))</f>
        <v>45747</v>
      </c>
      <c r="B106" s="7">
        <f>DATE(YEAR(m8_crossvalid[[#This Row],[ds]]),MONTH(m8_crossvalid[[#This Row],[ds]]),DAY(m8_crossvalid[[#This Row],[ds]]))</f>
        <v>45759</v>
      </c>
      <c r="C106">
        <v>276</v>
      </c>
      <c r="D106" s="1">
        <v>45759.333333333336</v>
      </c>
      <c r="E106">
        <v>42.894151143343606</v>
      </c>
      <c r="F106">
        <v>-1468.8293617828483</v>
      </c>
      <c r="G106">
        <v>1464.745395258652</v>
      </c>
      <c r="H106" s="1">
        <v>45747.333333333336</v>
      </c>
    </row>
    <row r="107" spans="1:8" x14ac:dyDescent="0.25">
      <c r="A107" s="7">
        <f>DATE(YEAR(m8_crossvalid[[#This Row],[cutoff]]),MONTH(m8_crossvalid[[#This Row],[cutoff]]),DAY(m8_crossvalid[[#This Row],[cutoff]]))</f>
        <v>45747</v>
      </c>
      <c r="B107" s="7">
        <f>DATE(YEAR(m8_crossvalid[[#This Row],[ds]]),MONTH(m8_crossvalid[[#This Row],[ds]]),DAY(m8_crossvalid[[#This Row],[ds]]))</f>
        <v>45760</v>
      </c>
      <c r="C107">
        <v>55</v>
      </c>
      <c r="D107" s="1">
        <v>45760.333333333336</v>
      </c>
      <c r="E107">
        <v>-345.74662298106659</v>
      </c>
      <c r="F107">
        <v>-1787.1653144866386</v>
      </c>
      <c r="G107">
        <v>1130.1614785208667</v>
      </c>
      <c r="H107" s="1">
        <v>45747.333333333336</v>
      </c>
    </row>
    <row r="108" spans="1:8" x14ac:dyDescent="0.25">
      <c r="A108" s="7">
        <f>DATE(YEAR(m8_crossvalid[[#This Row],[cutoff]]),MONTH(m8_crossvalid[[#This Row],[cutoff]]),DAY(m8_crossvalid[[#This Row],[cutoff]]))</f>
        <v>45747</v>
      </c>
      <c r="B108" s="7">
        <f>DATE(YEAR(m8_crossvalid[[#This Row],[ds]]),MONTH(m8_crossvalid[[#This Row],[ds]]),DAY(m8_crossvalid[[#This Row],[ds]]))</f>
        <v>45761</v>
      </c>
      <c r="C108">
        <v>1634</v>
      </c>
      <c r="D108" s="1">
        <v>45761.333333333336</v>
      </c>
      <c r="E108">
        <v>2131.1479787963012</v>
      </c>
      <c r="F108">
        <v>584.79437072798441</v>
      </c>
      <c r="G108">
        <v>3528.423625475883</v>
      </c>
      <c r="H108" s="1">
        <v>45747.333333333336</v>
      </c>
    </row>
    <row r="109" spans="1:8" x14ac:dyDescent="0.25">
      <c r="A109" s="7">
        <f>DATE(YEAR(m8_crossvalid[[#This Row],[cutoff]]),MONTH(m8_crossvalid[[#This Row],[cutoff]]),DAY(m8_crossvalid[[#This Row],[cutoff]]))</f>
        <v>45747</v>
      </c>
      <c r="B109" s="7">
        <f>DATE(YEAR(m8_crossvalid[[#This Row],[ds]]),MONTH(m8_crossvalid[[#This Row],[ds]]),DAY(m8_crossvalid[[#This Row],[ds]]))</f>
        <v>45762</v>
      </c>
      <c r="C109">
        <v>1965</v>
      </c>
      <c r="D109" s="1">
        <v>45762.333333333336</v>
      </c>
      <c r="E109">
        <v>2485.1942185450007</v>
      </c>
      <c r="F109">
        <v>1004.0768694568578</v>
      </c>
      <c r="G109">
        <v>3919.595117573268</v>
      </c>
      <c r="H109" s="1">
        <v>45747.333333333336</v>
      </c>
    </row>
    <row r="110" spans="1:8" x14ac:dyDescent="0.25">
      <c r="A110" s="7">
        <f>DATE(YEAR(m8_crossvalid[[#This Row],[cutoff]]),MONTH(m8_crossvalid[[#This Row],[cutoff]]),DAY(m8_crossvalid[[#This Row],[cutoff]]))</f>
        <v>45747</v>
      </c>
      <c r="B110" s="7">
        <f>DATE(YEAR(m8_crossvalid[[#This Row],[ds]]),MONTH(m8_crossvalid[[#This Row],[ds]]),DAY(m8_crossvalid[[#This Row],[ds]]))</f>
        <v>45763</v>
      </c>
      <c r="C110">
        <v>2361</v>
      </c>
      <c r="D110" s="1">
        <v>45763.333333333336</v>
      </c>
      <c r="E110">
        <v>2690.4969634037161</v>
      </c>
      <c r="F110">
        <v>1183.8216558607039</v>
      </c>
      <c r="G110">
        <v>4153.6159184764929</v>
      </c>
      <c r="H110" s="1">
        <v>45747.333333333336</v>
      </c>
    </row>
    <row r="111" spans="1:8" x14ac:dyDescent="0.25">
      <c r="A111" s="7">
        <f>DATE(YEAR(m8_crossvalid[[#This Row],[cutoff]]),MONTH(m8_crossvalid[[#This Row],[cutoff]]),DAY(m8_crossvalid[[#This Row],[cutoff]]))</f>
        <v>45747</v>
      </c>
      <c r="B111" s="7">
        <f>DATE(YEAR(m8_crossvalid[[#This Row],[ds]]),MONTH(m8_crossvalid[[#This Row],[ds]]),DAY(m8_crossvalid[[#This Row],[ds]]))</f>
        <v>45764</v>
      </c>
      <c r="C111">
        <v>2761</v>
      </c>
      <c r="D111" s="1">
        <v>45764.333333333336</v>
      </c>
      <c r="E111">
        <v>2891.1783326849963</v>
      </c>
      <c r="F111">
        <v>1427.3257774686244</v>
      </c>
      <c r="G111">
        <v>4332.8679892381506</v>
      </c>
      <c r="H111" s="1">
        <v>45747.333333333336</v>
      </c>
    </row>
    <row r="112" spans="1:8" x14ac:dyDescent="0.25">
      <c r="A112" s="7">
        <f>DATE(YEAR(m8_crossvalid[[#This Row],[cutoff]]),MONTH(m8_crossvalid[[#This Row],[cutoff]]),DAY(m8_crossvalid[[#This Row],[cutoff]]))</f>
        <v>45747</v>
      </c>
      <c r="B112" s="7">
        <f>DATE(YEAR(m8_crossvalid[[#This Row],[ds]]),MONTH(m8_crossvalid[[#This Row],[ds]]),DAY(m8_crossvalid[[#This Row],[ds]]))</f>
        <v>45765</v>
      </c>
      <c r="C112">
        <v>2721</v>
      </c>
      <c r="D112" s="1">
        <v>45765.333333333336</v>
      </c>
      <c r="E112">
        <v>2911.8166557048035</v>
      </c>
      <c r="F112">
        <v>1460.8666670342839</v>
      </c>
      <c r="G112">
        <v>4361.6524032707557</v>
      </c>
      <c r="H112" s="1">
        <v>45747.333333333336</v>
      </c>
    </row>
    <row r="113" spans="1:8" x14ac:dyDescent="0.25">
      <c r="A113" s="7">
        <f>DATE(YEAR(m8_crossvalid[[#This Row],[cutoff]]),MONTH(m8_crossvalid[[#This Row],[cutoff]]),DAY(m8_crossvalid[[#This Row],[cutoff]]))</f>
        <v>45747</v>
      </c>
      <c r="B113" s="7">
        <f>DATE(YEAR(m8_crossvalid[[#This Row],[ds]]),MONTH(m8_crossvalid[[#This Row],[ds]]),DAY(m8_crossvalid[[#This Row],[ds]]))</f>
        <v>45766</v>
      </c>
      <c r="C113">
        <v>420</v>
      </c>
      <c r="D113" s="1">
        <v>45766.333333333336</v>
      </c>
      <c r="E113">
        <v>687.37370220258049</v>
      </c>
      <c r="F113">
        <v>-717.38800833586913</v>
      </c>
      <c r="G113">
        <v>2157.0887430924931</v>
      </c>
      <c r="H113" s="1">
        <v>45747.333333333336</v>
      </c>
    </row>
    <row r="114" spans="1:8" x14ac:dyDescent="0.25">
      <c r="A114" s="7">
        <f>DATE(YEAR(m8_crossvalid[[#This Row],[cutoff]]),MONTH(m8_crossvalid[[#This Row],[cutoff]]),DAY(m8_crossvalid[[#This Row],[cutoff]]))</f>
        <v>45747</v>
      </c>
      <c r="B114" s="7">
        <f>DATE(YEAR(m8_crossvalid[[#This Row],[ds]]),MONTH(m8_crossvalid[[#This Row],[ds]]),DAY(m8_crossvalid[[#This Row],[ds]]))</f>
        <v>45767</v>
      </c>
      <c r="C114">
        <v>166</v>
      </c>
      <c r="D114" s="1">
        <v>45767.333333333336</v>
      </c>
      <c r="E114">
        <v>243.96812373240641</v>
      </c>
      <c r="F114">
        <v>-1241.0160872764523</v>
      </c>
      <c r="G114">
        <v>1641.3860281584223</v>
      </c>
      <c r="H114" s="1">
        <v>45747.333333333336</v>
      </c>
    </row>
    <row r="115" spans="1:8" x14ac:dyDescent="0.25">
      <c r="A115" s="7">
        <f>DATE(YEAR(m8_crossvalid[[#This Row],[cutoff]]),MONTH(m8_crossvalid[[#This Row],[cutoff]]),DAY(m8_crossvalid[[#This Row],[cutoff]]))</f>
        <v>45747</v>
      </c>
      <c r="B115" s="7">
        <f>DATE(YEAR(m8_crossvalid[[#This Row],[ds]]),MONTH(m8_crossvalid[[#This Row],[ds]]),DAY(m8_crossvalid[[#This Row],[ds]]))</f>
        <v>45768</v>
      </c>
      <c r="C115">
        <v>2715</v>
      </c>
      <c r="D115" s="1">
        <v>45768.333333333336</v>
      </c>
      <c r="E115">
        <v>2770.4009072901017</v>
      </c>
      <c r="F115">
        <v>1378.7965704018238</v>
      </c>
      <c r="G115">
        <v>4133.7104907120101</v>
      </c>
      <c r="H115" s="1">
        <v>45747.333333333336</v>
      </c>
    </row>
    <row r="116" spans="1:8" x14ac:dyDescent="0.25">
      <c r="A116" s="7">
        <f>DATE(YEAR(m8_crossvalid[[#This Row],[cutoff]]),MONTH(m8_crossvalid[[#This Row],[cutoff]]),DAY(m8_crossvalid[[#This Row],[cutoff]]))</f>
        <v>45747</v>
      </c>
      <c r="B116" s="7">
        <f>DATE(YEAR(m8_crossvalid[[#This Row],[ds]]),MONTH(m8_crossvalid[[#This Row],[ds]]),DAY(m8_crossvalid[[#This Row],[ds]]))</f>
        <v>45769</v>
      </c>
      <c r="C116">
        <v>3162</v>
      </c>
      <c r="D116" s="1">
        <v>45769.333333333336</v>
      </c>
      <c r="E116">
        <v>3128.7814666633603</v>
      </c>
      <c r="F116">
        <v>1658.3357532582224</v>
      </c>
      <c r="G116">
        <v>4554.3971337162247</v>
      </c>
      <c r="H116" s="1">
        <v>45747.333333333336</v>
      </c>
    </row>
    <row r="117" spans="1:8" x14ac:dyDescent="0.25">
      <c r="A117" s="7">
        <f>DATE(YEAR(m8_crossvalid[[#This Row],[cutoff]]),MONTH(m8_crossvalid[[#This Row],[cutoff]]),DAY(m8_crossvalid[[#This Row],[cutoff]]))</f>
        <v>45747</v>
      </c>
      <c r="B117" s="7">
        <f>DATE(YEAR(m8_crossvalid[[#This Row],[ds]]),MONTH(m8_crossvalid[[#This Row],[ds]]),DAY(m8_crossvalid[[#This Row],[ds]]))</f>
        <v>45770</v>
      </c>
      <c r="C117">
        <v>3604</v>
      </c>
      <c r="D117" s="1">
        <v>45770.333333333336</v>
      </c>
      <c r="E117">
        <v>3348.2743544911491</v>
      </c>
      <c r="F117">
        <v>1891.7000069604615</v>
      </c>
      <c r="G117">
        <v>4741.8058084566055</v>
      </c>
      <c r="H117" s="1">
        <v>45747.333333333336</v>
      </c>
    </row>
    <row r="118" spans="1:8" x14ac:dyDescent="0.25">
      <c r="A118" s="7">
        <f>DATE(YEAR(m8_crossvalid[[#This Row],[cutoff]]),MONTH(m8_crossvalid[[#This Row],[cutoff]]),DAY(m8_crossvalid[[#This Row],[cutoff]]))</f>
        <v>45747</v>
      </c>
      <c r="B118" s="7">
        <f>DATE(YEAR(m8_crossvalid[[#This Row],[ds]]),MONTH(m8_crossvalid[[#This Row],[ds]]),DAY(m8_crossvalid[[#This Row],[ds]]))</f>
        <v>45771</v>
      </c>
      <c r="C118">
        <v>3831</v>
      </c>
      <c r="D118" s="1">
        <v>45771.333333333336</v>
      </c>
      <c r="E118">
        <v>3568.2576470527129</v>
      </c>
      <c r="F118">
        <v>2005.9675394155886</v>
      </c>
      <c r="G118">
        <v>4963.2094479006564</v>
      </c>
      <c r="H118" s="1">
        <v>45747.333333333336</v>
      </c>
    </row>
    <row r="119" spans="1:8" x14ac:dyDescent="0.25">
      <c r="A119" s="7">
        <f>DATE(YEAR(m8_crossvalid[[#This Row],[cutoff]]),MONTH(m8_crossvalid[[#This Row],[cutoff]]),DAY(m8_crossvalid[[#This Row],[cutoff]]))</f>
        <v>45747</v>
      </c>
      <c r="B119" s="7">
        <f>DATE(YEAR(m8_crossvalid[[#This Row],[ds]]),MONTH(m8_crossvalid[[#This Row],[ds]]),DAY(m8_crossvalid[[#This Row],[ds]]))</f>
        <v>45772</v>
      </c>
      <c r="C119">
        <v>4600</v>
      </c>
      <c r="D119" s="1">
        <v>45772.333333333336</v>
      </c>
      <c r="E119">
        <v>3629.0512858437451</v>
      </c>
      <c r="F119">
        <v>2140.9518389456994</v>
      </c>
      <c r="G119">
        <v>5017.2848527371752</v>
      </c>
      <c r="H119" s="1">
        <v>45747.333333333336</v>
      </c>
    </row>
    <row r="120" spans="1:8" x14ac:dyDescent="0.25">
      <c r="A120" s="7">
        <f>DATE(YEAR(m8_crossvalid[[#This Row],[cutoff]]),MONTH(m8_crossvalid[[#This Row],[cutoff]]),DAY(m8_crossvalid[[#This Row],[cutoff]]))</f>
        <v>45747</v>
      </c>
      <c r="B120" s="7">
        <f>DATE(YEAR(m8_crossvalid[[#This Row],[ds]]),MONTH(m8_crossvalid[[#This Row],[ds]]),DAY(m8_crossvalid[[#This Row],[ds]]))</f>
        <v>45773</v>
      </c>
      <c r="C120">
        <v>1014</v>
      </c>
      <c r="D120" s="1">
        <v>45773.333333333336</v>
      </c>
      <c r="E120">
        <v>3051.8272892667965</v>
      </c>
      <c r="F120">
        <v>1699.6972584637024</v>
      </c>
      <c r="G120">
        <v>4627.4455689500128</v>
      </c>
      <c r="H120" s="1">
        <v>45747.333333333336</v>
      </c>
    </row>
    <row r="121" spans="1:8" x14ac:dyDescent="0.25">
      <c r="A121" s="7">
        <f>DATE(YEAR(m8_crossvalid[[#This Row],[cutoff]]),MONTH(m8_crossvalid[[#This Row],[cutoff]]),DAY(m8_crossvalid[[#This Row],[cutoff]]))</f>
        <v>45747</v>
      </c>
      <c r="B121" s="7">
        <f>DATE(YEAR(m8_crossvalid[[#This Row],[ds]]),MONTH(m8_crossvalid[[#This Row],[ds]]),DAY(m8_crossvalid[[#This Row],[ds]]))</f>
        <v>45774</v>
      </c>
      <c r="C121">
        <v>198</v>
      </c>
      <c r="D121" s="1">
        <v>45774.333333333336</v>
      </c>
      <c r="E121">
        <v>2455.7846552471324</v>
      </c>
      <c r="F121">
        <v>1098.5976049937187</v>
      </c>
      <c r="G121">
        <v>4005.0459803652125</v>
      </c>
      <c r="H121" s="1">
        <v>45747.333333333336</v>
      </c>
    </row>
    <row r="122" spans="1:8" x14ac:dyDescent="0.25">
      <c r="A122" s="7">
        <f>DATE(YEAR(m8_crossvalid[[#This Row],[cutoff]]),MONTH(m8_crossvalid[[#This Row],[cutoff]]),DAY(m8_crossvalid[[#This Row],[cutoff]]))</f>
        <v>45747</v>
      </c>
      <c r="B122" s="7">
        <f>DATE(YEAR(m8_crossvalid[[#This Row],[ds]]),MONTH(m8_crossvalid[[#This Row],[ds]]),DAY(m8_crossvalid[[#This Row],[ds]]))</f>
        <v>45775</v>
      </c>
      <c r="C122">
        <v>5133</v>
      </c>
      <c r="D122" s="1">
        <v>45775.333333333336</v>
      </c>
      <c r="E122">
        <v>4657.1028224520378</v>
      </c>
      <c r="F122">
        <v>3235.8943111942899</v>
      </c>
      <c r="G122">
        <v>6089.3542182144629</v>
      </c>
      <c r="H122" s="1">
        <v>45747.333333333336</v>
      </c>
    </row>
    <row r="123" spans="1:8" x14ac:dyDescent="0.25">
      <c r="A123" s="7">
        <f>DATE(YEAR(m8_crossvalid[[#This Row],[cutoff]]),MONTH(m8_crossvalid[[#This Row],[cutoff]]),DAY(m8_crossvalid[[#This Row],[cutoff]]))</f>
        <v>45747</v>
      </c>
      <c r="B123" s="7">
        <f>DATE(YEAR(m8_crossvalid[[#This Row],[ds]]),MONTH(m8_crossvalid[[#This Row],[ds]]),DAY(m8_crossvalid[[#This Row],[ds]]))</f>
        <v>45776</v>
      </c>
      <c r="C123">
        <v>7913</v>
      </c>
      <c r="D123" s="1">
        <v>45776.333333333336</v>
      </c>
      <c r="E123">
        <v>6990.1349433589921</v>
      </c>
      <c r="F123">
        <v>5578.8733941892351</v>
      </c>
      <c r="G123">
        <v>8373.6043411666069</v>
      </c>
      <c r="H123" s="1">
        <v>45747.333333333336</v>
      </c>
    </row>
    <row r="124" spans="1:8" x14ac:dyDescent="0.25">
      <c r="A124" s="7">
        <f>DATE(YEAR(m8_crossvalid[[#This Row],[cutoff]]),MONTH(m8_crossvalid[[#This Row],[cutoff]]),DAY(m8_crossvalid[[#This Row],[cutoff]]))</f>
        <v>45747</v>
      </c>
      <c r="B124" s="7">
        <f>DATE(YEAR(m8_crossvalid[[#This Row],[ds]]),MONTH(m8_crossvalid[[#This Row],[ds]]),DAY(m8_crossvalid[[#This Row],[ds]]))</f>
        <v>45777</v>
      </c>
      <c r="C124">
        <v>14564</v>
      </c>
      <c r="D124" s="1">
        <v>45777.333333333336</v>
      </c>
      <c r="E124">
        <v>9628.7653228036961</v>
      </c>
      <c r="F124">
        <v>8197.0541360047591</v>
      </c>
      <c r="G124">
        <v>11114.145165281368</v>
      </c>
      <c r="H124" s="1">
        <v>45747.333333333336</v>
      </c>
    </row>
    <row r="125" spans="1:8" x14ac:dyDescent="0.25">
      <c r="A125" s="7">
        <f>DATE(YEAR(m8_crossvalid[[#This Row],[cutoff]]),MONTH(m8_crossvalid[[#This Row],[cutoff]]),DAY(m8_crossvalid[[#This Row],[cutoff]]))</f>
        <v>45747</v>
      </c>
      <c r="B125" s="7">
        <f>DATE(YEAR(m8_crossvalid[[#This Row],[ds]]),MONTH(m8_crossvalid[[#This Row],[ds]]),DAY(m8_crossvalid[[#This Row],[ds]]))</f>
        <v>45778</v>
      </c>
      <c r="C125">
        <v>24</v>
      </c>
      <c r="D125" s="1">
        <v>45778.333333333336</v>
      </c>
      <c r="E125">
        <v>1471.7231736760132</v>
      </c>
      <c r="F125">
        <v>-75.506237754255906</v>
      </c>
      <c r="G125">
        <v>2886.7539675247526</v>
      </c>
      <c r="H125" s="1">
        <v>45747.333333333336</v>
      </c>
    </row>
    <row r="126" spans="1:8" x14ac:dyDescent="0.25">
      <c r="A126" s="7">
        <f>DATE(YEAR(m8_crossvalid[[#This Row],[cutoff]]),MONTH(m8_crossvalid[[#This Row],[cutoff]]),DAY(m8_crossvalid[[#This Row],[cutoff]]))</f>
        <v>45777</v>
      </c>
      <c r="B126" s="7">
        <f>DATE(YEAR(m8_crossvalid[[#This Row],[ds]]),MONTH(m8_crossvalid[[#This Row],[ds]]),DAY(m8_crossvalid[[#This Row],[ds]]))</f>
        <v>45778</v>
      </c>
      <c r="C126">
        <v>24</v>
      </c>
      <c r="D126" s="1">
        <v>45778.333333333336</v>
      </c>
      <c r="E126">
        <v>1850.6147078367333</v>
      </c>
      <c r="F126">
        <v>447.83882814166708</v>
      </c>
      <c r="G126">
        <v>3313.5476691685558</v>
      </c>
      <c r="H126" s="1">
        <v>45777.333333333336</v>
      </c>
    </row>
    <row r="127" spans="1:8" x14ac:dyDescent="0.25">
      <c r="A127" s="7">
        <f>DATE(YEAR(m8_crossvalid[[#This Row],[cutoff]]),MONTH(m8_crossvalid[[#This Row],[cutoff]]),DAY(m8_crossvalid[[#This Row],[cutoff]]))</f>
        <v>45777</v>
      </c>
      <c r="B127" s="7">
        <f>DATE(YEAR(m8_crossvalid[[#This Row],[ds]]),MONTH(m8_crossvalid[[#This Row],[ds]]),DAY(m8_crossvalid[[#This Row],[ds]]))</f>
        <v>45779</v>
      </c>
      <c r="C127">
        <v>750</v>
      </c>
      <c r="D127" s="1">
        <v>45779.333333333336</v>
      </c>
      <c r="E127">
        <v>2225.1798197307639</v>
      </c>
      <c r="F127">
        <v>790.40181135416037</v>
      </c>
      <c r="G127">
        <v>3666.939284511247</v>
      </c>
      <c r="H127" s="1">
        <v>45777.333333333336</v>
      </c>
    </row>
    <row r="128" spans="1:8" x14ac:dyDescent="0.25">
      <c r="A128" s="7">
        <f>DATE(YEAR(m8_crossvalid[[#This Row],[cutoff]]),MONTH(m8_crossvalid[[#This Row],[cutoff]]),DAY(m8_crossvalid[[#This Row],[cutoff]]))</f>
        <v>45777</v>
      </c>
      <c r="B128" s="7">
        <f>DATE(YEAR(m8_crossvalid[[#This Row],[ds]]),MONTH(m8_crossvalid[[#This Row],[ds]]),DAY(m8_crossvalid[[#This Row],[ds]]))</f>
        <v>45780</v>
      </c>
      <c r="C128">
        <v>70</v>
      </c>
      <c r="D128" s="1">
        <v>45780.333333333336</v>
      </c>
      <c r="E128">
        <v>-564.25141304007502</v>
      </c>
      <c r="F128">
        <v>-2120.0659817106198</v>
      </c>
      <c r="G128">
        <v>946.07029061032324</v>
      </c>
      <c r="H128" s="1">
        <v>45777.333333333336</v>
      </c>
    </row>
    <row r="129" spans="1:8" x14ac:dyDescent="0.25">
      <c r="A129" s="7">
        <f>DATE(YEAR(m8_crossvalid[[#This Row],[cutoff]]),MONTH(m8_crossvalid[[#This Row],[cutoff]]),DAY(m8_crossvalid[[#This Row],[cutoff]]))</f>
        <v>45777</v>
      </c>
      <c r="B129" s="7">
        <f>DATE(YEAR(m8_crossvalid[[#This Row],[ds]]),MONTH(m8_crossvalid[[#This Row],[ds]]),DAY(m8_crossvalid[[#This Row],[ds]]))</f>
        <v>45781</v>
      </c>
      <c r="C129">
        <v>31</v>
      </c>
      <c r="D129" s="1">
        <v>45781.333333333336</v>
      </c>
      <c r="E129">
        <v>-1101.1343398733711</v>
      </c>
      <c r="F129">
        <v>-2563.0668955311367</v>
      </c>
      <c r="G129">
        <v>449.27451784000584</v>
      </c>
      <c r="H129" s="1">
        <v>45777.333333333336</v>
      </c>
    </row>
    <row r="130" spans="1:8" x14ac:dyDescent="0.25">
      <c r="A130" s="7">
        <f>DATE(YEAR(m8_crossvalid[[#This Row],[cutoff]]),MONTH(m8_crossvalid[[#This Row],[cutoff]]),DAY(m8_crossvalid[[#This Row],[cutoff]]))</f>
        <v>45777</v>
      </c>
      <c r="B130" s="7">
        <f>DATE(YEAR(m8_crossvalid[[#This Row],[ds]]),MONTH(m8_crossvalid[[#This Row],[ds]]),DAY(m8_crossvalid[[#This Row],[ds]]))</f>
        <v>45782</v>
      </c>
      <c r="C130">
        <v>1026</v>
      </c>
      <c r="D130" s="1">
        <v>45782.333333333336</v>
      </c>
      <c r="E130">
        <v>1393.5670941931221</v>
      </c>
      <c r="F130">
        <v>-145.07242807111069</v>
      </c>
      <c r="G130">
        <v>2827.6108382117282</v>
      </c>
      <c r="H130" s="1">
        <v>45777.333333333336</v>
      </c>
    </row>
    <row r="131" spans="1:8" x14ac:dyDescent="0.25">
      <c r="A131" s="7">
        <f>DATE(YEAR(m8_crossvalid[[#This Row],[cutoff]]),MONTH(m8_crossvalid[[#This Row],[cutoff]]),DAY(m8_crossvalid[[#This Row],[cutoff]]))</f>
        <v>45777</v>
      </c>
      <c r="B131" s="7">
        <f>DATE(YEAR(m8_crossvalid[[#This Row],[ds]]),MONTH(m8_crossvalid[[#This Row],[ds]]),DAY(m8_crossvalid[[#This Row],[ds]]))</f>
        <v>45783</v>
      </c>
      <c r="C131">
        <v>940</v>
      </c>
      <c r="D131" s="1">
        <v>45783.333333333336</v>
      </c>
      <c r="E131">
        <v>1642.2355866800583</v>
      </c>
      <c r="F131">
        <v>260.41512086738976</v>
      </c>
      <c r="G131">
        <v>3127.4918661510656</v>
      </c>
      <c r="H131" s="1">
        <v>45777.333333333336</v>
      </c>
    </row>
    <row r="132" spans="1:8" x14ac:dyDescent="0.25">
      <c r="A132" s="7">
        <f>DATE(YEAR(m8_crossvalid[[#This Row],[cutoff]]),MONTH(m8_crossvalid[[#This Row],[cutoff]]),DAY(m8_crossvalid[[#This Row],[cutoff]]))</f>
        <v>45777</v>
      </c>
      <c r="B132" s="7">
        <f>DATE(YEAR(m8_crossvalid[[#This Row],[ds]]),MONTH(m8_crossvalid[[#This Row],[ds]]),DAY(m8_crossvalid[[#This Row],[ds]]))</f>
        <v>45784</v>
      </c>
      <c r="C132">
        <v>1225</v>
      </c>
      <c r="D132" s="1">
        <v>45784.333333333336</v>
      </c>
      <c r="E132">
        <v>1760.9093563904876</v>
      </c>
      <c r="F132">
        <v>234.58375725436511</v>
      </c>
      <c r="G132">
        <v>3152.604437633227</v>
      </c>
      <c r="H132" s="1">
        <v>45777.333333333336</v>
      </c>
    </row>
    <row r="133" spans="1:8" x14ac:dyDescent="0.25">
      <c r="A133" s="7">
        <f>DATE(YEAR(m8_crossvalid[[#This Row],[cutoff]]),MONTH(m8_crossvalid[[#This Row],[cutoff]]),DAY(m8_crossvalid[[#This Row],[cutoff]]))</f>
        <v>45777</v>
      </c>
      <c r="B133" s="7">
        <f>DATE(YEAR(m8_crossvalid[[#This Row],[ds]]),MONTH(m8_crossvalid[[#This Row],[ds]]),DAY(m8_crossvalid[[#This Row],[ds]]))</f>
        <v>45785</v>
      </c>
      <c r="C133">
        <v>1538</v>
      </c>
      <c r="D133" s="1">
        <v>45785.333333333336</v>
      </c>
      <c r="E133">
        <v>3127.4285213985627</v>
      </c>
      <c r="F133">
        <v>1658.0113366525297</v>
      </c>
      <c r="G133">
        <v>4508.1530663731828</v>
      </c>
      <c r="H133" s="1">
        <v>45777.333333333336</v>
      </c>
    </row>
    <row r="134" spans="1:8" x14ac:dyDescent="0.25">
      <c r="A134" s="7">
        <f>DATE(YEAR(m8_crossvalid[[#This Row],[cutoff]]),MONTH(m8_crossvalid[[#This Row],[cutoff]]),DAY(m8_crossvalid[[#This Row],[cutoff]]))</f>
        <v>45777</v>
      </c>
      <c r="B134" s="7">
        <f>DATE(YEAR(m8_crossvalid[[#This Row],[ds]]),MONTH(m8_crossvalid[[#This Row],[ds]]),DAY(m8_crossvalid[[#This Row],[ds]]))</f>
        <v>45786</v>
      </c>
      <c r="C134">
        <v>1799</v>
      </c>
      <c r="D134" s="1">
        <v>45786.333333333336</v>
      </c>
      <c r="E134">
        <v>2758.1682370427989</v>
      </c>
      <c r="F134">
        <v>1257.5047990649496</v>
      </c>
      <c r="G134">
        <v>4283.7159974872538</v>
      </c>
      <c r="H134" s="1">
        <v>45777.333333333336</v>
      </c>
    </row>
    <row r="135" spans="1:8" x14ac:dyDescent="0.25">
      <c r="A135" s="7">
        <f>DATE(YEAR(m8_crossvalid[[#This Row],[cutoff]]),MONTH(m8_crossvalid[[#This Row],[cutoff]]),DAY(m8_crossvalid[[#This Row],[cutoff]]))</f>
        <v>45777</v>
      </c>
      <c r="B135" s="7">
        <f>DATE(YEAR(m8_crossvalid[[#This Row],[ds]]),MONTH(m8_crossvalid[[#This Row],[ds]]),DAY(m8_crossvalid[[#This Row],[ds]]))</f>
        <v>45787</v>
      </c>
      <c r="C135">
        <v>415</v>
      </c>
      <c r="D135" s="1">
        <v>45787.333333333336</v>
      </c>
      <c r="E135">
        <v>29.622830349031119</v>
      </c>
      <c r="F135">
        <v>-1458.7416721528396</v>
      </c>
      <c r="G135">
        <v>1526.3047487195586</v>
      </c>
      <c r="H135" s="1">
        <v>45777.333333333336</v>
      </c>
    </row>
    <row r="136" spans="1:8" x14ac:dyDescent="0.25">
      <c r="A136" s="7">
        <f>DATE(YEAR(m8_crossvalid[[#This Row],[cutoff]]),MONTH(m8_crossvalid[[#This Row],[cutoff]]),DAY(m8_crossvalid[[#This Row],[cutoff]]))</f>
        <v>45777</v>
      </c>
      <c r="B136" s="7">
        <f>DATE(YEAR(m8_crossvalid[[#This Row],[ds]]),MONTH(m8_crossvalid[[#This Row],[ds]]),DAY(m8_crossvalid[[#This Row],[ds]]))</f>
        <v>45788</v>
      </c>
      <c r="C136">
        <v>169</v>
      </c>
      <c r="D136" s="1">
        <v>45788.333333333336</v>
      </c>
      <c r="E136">
        <v>-720.93593976575994</v>
      </c>
      <c r="F136">
        <v>-2198.6910602098897</v>
      </c>
      <c r="G136">
        <v>703.79812566791554</v>
      </c>
      <c r="H136" s="1">
        <v>45777.333333333336</v>
      </c>
    </row>
    <row r="137" spans="1:8" x14ac:dyDescent="0.25">
      <c r="A137" s="7">
        <f>DATE(YEAR(m8_crossvalid[[#This Row],[cutoff]]),MONTH(m8_crossvalid[[#This Row],[cutoff]]),DAY(m8_crossvalid[[#This Row],[cutoff]]))</f>
        <v>45777</v>
      </c>
      <c r="B137" s="7">
        <f>DATE(YEAR(m8_crossvalid[[#This Row],[ds]]),MONTH(m8_crossvalid[[#This Row],[ds]]),DAY(m8_crossvalid[[#This Row],[ds]]))</f>
        <v>45789</v>
      </c>
      <c r="C137">
        <v>185</v>
      </c>
      <c r="D137" s="1">
        <v>45789.333333333336</v>
      </c>
      <c r="E137">
        <v>254.02739998384459</v>
      </c>
      <c r="F137">
        <v>-1119.6854932104718</v>
      </c>
      <c r="G137">
        <v>1783.6069563186559</v>
      </c>
      <c r="H137" s="1">
        <v>45777.333333333336</v>
      </c>
    </row>
    <row r="138" spans="1:8" x14ac:dyDescent="0.25">
      <c r="A138" s="7">
        <f>DATE(YEAR(m8_crossvalid[[#This Row],[cutoff]]),MONTH(m8_crossvalid[[#This Row],[cutoff]]),DAY(m8_crossvalid[[#This Row],[cutoff]]))</f>
        <v>45777</v>
      </c>
      <c r="B138" s="7">
        <f>DATE(YEAR(m8_crossvalid[[#This Row],[ds]]),MONTH(m8_crossvalid[[#This Row],[ds]]),DAY(m8_crossvalid[[#This Row],[ds]]))</f>
        <v>45790</v>
      </c>
      <c r="C138">
        <v>2011</v>
      </c>
      <c r="D138" s="1">
        <v>45790.333333333336</v>
      </c>
      <c r="E138">
        <v>2418.0656348387197</v>
      </c>
      <c r="F138">
        <v>1025.8773739036797</v>
      </c>
      <c r="G138">
        <v>3942.2869869272181</v>
      </c>
      <c r="H138" s="1">
        <v>45777.333333333336</v>
      </c>
    </row>
    <row r="139" spans="1:8" x14ac:dyDescent="0.25">
      <c r="A139" s="7">
        <f>DATE(YEAR(m8_crossvalid[[#This Row],[cutoff]]),MONTH(m8_crossvalid[[#This Row],[cutoff]]),DAY(m8_crossvalid[[#This Row],[cutoff]]))</f>
        <v>45777</v>
      </c>
      <c r="B139" s="7">
        <f>DATE(YEAR(m8_crossvalid[[#This Row],[ds]]),MONTH(m8_crossvalid[[#This Row],[ds]]),DAY(m8_crossvalid[[#This Row],[ds]]))</f>
        <v>45791</v>
      </c>
      <c r="C139">
        <v>2630</v>
      </c>
      <c r="D139" s="1">
        <v>45791.333333333336</v>
      </c>
      <c r="E139">
        <v>2490.0372528094254</v>
      </c>
      <c r="F139">
        <v>1024.1408189919284</v>
      </c>
      <c r="G139">
        <v>3873.420591396864</v>
      </c>
      <c r="H139" s="1">
        <v>45777.333333333336</v>
      </c>
    </row>
    <row r="140" spans="1:8" x14ac:dyDescent="0.25">
      <c r="A140" s="7">
        <f>DATE(YEAR(m8_crossvalid[[#This Row],[cutoff]]),MONTH(m8_crossvalid[[#This Row],[cutoff]]),DAY(m8_crossvalid[[#This Row],[cutoff]]))</f>
        <v>45777</v>
      </c>
      <c r="B140" s="7">
        <f>DATE(YEAR(m8_crossvalid[[#This Row],[ds]]),MONTH(m8_crossvalid[[#This Row],[ds]]),DAY(m8_crossvalid[[#This Row],[ds]]))</f>
        <v>45792</v>
      </c>
      <c r="C140">
        <v>2985</v>
      </c>
      <c r="D140" s="1">
        <v>45792.333333333336</v>
      </c>
      <c r="E140">
        <v>2455.7981803471839</v>
      </c>
      <c r="F140">
        <v>923.87186543647681</v>
      </c>
      <c r="G140">
        <v>3977.7263822925802</v>
      </c>
      <c r="H140" s="1">
        <v>45777.333333333336</v>
      </c>
    </row>
    <row r="141" spans="1:8" x14ac:dyDescent="0.25">
      <c r="A141" s="7">
        <f>DATE(YEAR(m8_crossvalid[[#This Row],[cutoff]]),MONTH(m8_crossvalid[[#This Row],[cutoff]]),DAY(m8_crossvalid[[#This Row],[cutoff]]))</f>
        <v>45777</v>
      </c>
      <c r="B141" s="7">
        <f>DATE(YEAR(m8_crossvalid[[#This Row],[ds]]),MONTH(m8_crossvalid[[#This Row],[ds]]),DAY(m8_crossvalid[[#This Row],[ds]]))</f>
        <v>45793</v>
      </c>
      <c r="C141">
        <v>3081</v>
      </c>
      <c r="D141" s="1">
        <v>45793.333333333336</v>
      </c>
      <c r="E141">
        <v>2480.3199186021707</v>
      </c>
      <c r="F141">
        <v>886.87057037181796</v>
      </c>
      <c r="G141">
        <v>3943.6402613771188</v>
      </c>
      <c r="H141" s="1">
        <v>45777.333333333336</v>
      </c>
    </row>
    <row r="142" spans="1:8" x14ac:dyDescent="0.25">
      <c r="A142" s="7">
        <f>DATE(YEAR(m8_crossvalid[[#This Row],[cutoff]]),MONTH(m8_crossvalid[[#This Row],[cutoff]]),DAY(m8_crossvalid[[#This Row],[cutoff]]))</f>
        <v>45777</v>
      </c>
      <c r="B142" s="7">
        <f>DATE(YEAR(m8_crossvalid[[#This Row],[ds]]),MONTH(m8_crossvalid[[#This Row],[ds]]),DAY(m8_crossvalid[[#This Row],[ds]]))</f>
        <v>45794</v>
      </c>
      <c r="C142">
        <v>609</v>
      </c>
      <c r="D142" s="1">
        <v>45794.333333333336</v>
      </c>
      <c r="E142">
        <v>424.30682923605991</v>
      </c>
      <c r="F142">
        <v>-997.78783445736883</v>
      </c>
      <c r="G142">
        <v>1855.7710422155371</v>
      </c>
      <c r="H142" s="1">
        <v>45777.333333333336</v>
      </c>
    </row>
    <row r="143" spans="1:8" x14ac:dyDescent="0.25">
      <c r="A143" s="7">
        <f>DATE(YEAR(m8_crossvalid[[#This Row],[cutoff]]),MONTH(m8_crossvalid[[#This Row],[cutoff]]),DAY(m8_crossvalid[[#This Row],[cutoff]]))</f>
        <v>45777</v>
      </c>
      <c r="B143" s="7">
        <f>DATE(YEAR(m8_crossvalid[[#This Row],[ds]]),MONTH(m8_crossvalid[[#This Row],[ds]]),DAY(m8_crossvalid[[#This Row],[ds]]))</f>
        <v>45795</v>
      </c>
      <c r="C143">
        <v>185</v>
      </c>
      <c r="D143" s="1">
        <v>45795.333333333336</v>
      </c>
      <c r="E143">
        <v>64.974586012859618</v>
      </c>
      <c r="F143">
        <v>-1340.9134852759237</v>
      </c>
      <c r="G143">
        <v>1621.0714481141531</v>
      </c>
      <c r="H143" s="1">
        <v>45777.333333333336</v>
      </c>
    </row>
    <row r="144" spans="1:8" x14ac:dyDescent="0.25">
      <c r="A144" s="7">
        <f>DATE(YEAR(m8_crossvalid[[#This Row],[cutoff]]),MONTH(m8_crossvalid[[#This Row],[cutoff]]),DAY(m8_crossvalid[[#This Row],[cutoff]]))</f>
        <v>45777</v>
      </c>
      <c r="B144" s="7">
        <f>DATE(YEAR(m8_crossvalid[[#This Row],[ds]]),MONTH(m8_crossvalid[[#This Row],[ds]]),DAY(m8_crossvalid[[#This Row],[ds]]))</f>
        <v>45796</v>
      </c>
      <c r="C144">
        <v>2926</v>
      </c>
      <c r="D144" s="1">
        <v>45796.333333333336</v>
      </c>
      <c r="E144">
        <v>2583.9850177158492</v>
      </c>
      <c r="F144">
        <v>1038.6344787335447</v>
      </c>
      <c r="G144">
        <v>4057.7033884389502</v>
      </c>
      <c r="H144" s="1">
        <v>45777.333333333336</v>
      </c>
    </row>
    <row r="145" spans="1:8" x14ac:dyDescent="0.25">
      <c r="A145" s="7">
        <f>DATE(YEAR(m8_crossvalid[[#This Row],[cutoff]]),MONTH(m8_crossvalid[[#This Row],[cutoff]]),DAY(m8_crossvalid[[#This Row],[cutoff]]))</f>
        <v>45777</v>
      </c>
      <c r="B145" s="7">
        <f>DATE(YEAR(m8_crossvalid[[#This Row],[ds]]),MONTH(m8_crossvalid[[#This Row],[ds]]),DAY(m8_crossvalid[[#This Row],[ds]]))</f>
        <v>45797</v>
      </c>
      <c r="C145">
        <v>3213</v>
      </c>
      <c r="D145" s="1">
        <v>45797.333333333336</v>
      </c>
      <c r="E145">
        <v>2951.9458468964021</v>
      </c>
      <c r="F145">
        <v>1485.340461235535</v>
      </c>
      <c r="G145">
        <v>4389.322448238403</v>
      </c>
      <c r="H145" s="1">
        <v>45777.333333333336</v>
      </c>
    </row>
    <row r="146" spans="1:8" x14ac:dyDescent="0.25">
      <c r="A146" s="7">
        <f>DATE(YEAR(m8_crossvalid[[#This Row],[cutoff]]),MONTH(m8_crossvalid[[#This Row],[cutoff]]),DAY(m8_crossvalid[[#This Row],[cutoff]]))</f>
        <v>45777</v>
      </c>
      <c r="B146" s="7">
        <f>DATE(YEAR(m8_crossvalid[[#This Row],[ds]]),MONTH(m8_crossvalid[[#This Row],[ds]]),DAY(m8_crossvalid[[#This Row],[ds]]))</f>
        <v>45798</v>
      </c>
      <c r="C146">
        <v>3566</v>
      </c>
      <c r="D146" s="1">
        <v>45798.333333333336</v>
      </c>
      <c r="E146">
        <v>3108.2027385067213</v>
      </c>
      <c r="F146">
        <v>1644.8564914075359</v>
      </c>
      <c r="G146">
        <v>4618.5943739569211</v>
      </c>
      <c r="H146" s="1">
        <v>45777.333333333336</v>
      </c>
    </row>
    <row r="147" spans="1:8" x14ac:dyDescent="0.25">
      <c r="A147" s="7">
        <f>DATE(YEAR(m8_crossvalid[[#This Row],[cutoff]]),MONTH(m8_crossvalid[[#This Row],[cutoff]]),DAY(m8_crossvalid[[#This Row],[cutoff]]))</f>
        <v>45777</v>
      </c>
      <c r="B147" s="7">
        <f>DATE(YEAR(m8_crossvalid[[#This Row],[ds]]),MONTH(m8_crossvalid[[#This Row],[ds]]),DAY(m8_crossvalid[[#This Row],[ds]]))</f>
        <v>45799</v>
      </c>
      <c r="C147">
        <v>3706</v>
      </c>
      <c r="D147" s="1">
        <v>45799.333333333336</v>
      </c>
      <c r="E147">
        <v>3138.9049852631661</v>
      </c>
      <c r="F147">
        <v>1774.7699927971687</v>
      </c>
      <c r="G147">
        <v>4554.8870091853951</v>
      </c>
      <c r="H147" s="1">
        <v>45777.333333333336</v>
      </c>
    </row>
    <row r="148" spans="1:8" x14ac:dyDescent="0.25">
      <c r="A148" s="7">
        <f>DATE(YEAR(m8_crossvalid[[#This Row],[cutoff]]),MONTH(m8_crossvalid[[#This Row],[cutoff]]),DAY(m8_crossvalid[[#This Row],[cutoff]]))</f>
        <v>45777</v>
      </c>
      <c r="B148" s="7">
        <f>DATE(YEAR(m8_crossvalid[[#This Row],[ds]]),MONTH(m8_crossvalid[[#This Row],[ds]]),DAY(m8_crossvalid[[#This Row],[ds]]))</f>
        <v>45800</v>
      </c>
      <c r="C148">
        <v>3920</v>
      </c>
      <c r="D148" s="1">
        <v>45800.333333333336</v>
      </c>
      <c r="E148">
        <v>3161.1089227923999</v>
      </c>
      <c r="F148">
        <v>1740.6886931529232</v>
      </c>
      <c r="G148">
        <v>4685.5153365029146</v>
      </c>
      <c r="H148" s="1">
        <v>45777.333333333336</v>
      </c>
    </row>
    <row r="149" spans="1:8" x14ac:dyDescent="0.25">
      <c r="A149" s="7">
        <f>DATE(YEAR(m8_crossvalid[[#This Row],[cutoff]]),MONTH(m8_crossvalid[[#This Row],[cutoff]]),DAY(m8_crossvalid[[#This Row],[cutoff]]))</f>
        <v>45777</v>
      </c>
      <c r="B149" s="7">
        <f>DATE(YEAR(m8_crossvalid[[#This Row],[ds]]),MONTH(m8_crossvalid[[#This Row],[ds]]),DAY(m8_crossvalid[[#This Row],[ds]]))</f>
        <v>45801</v>
      </c>
      <c r="C149">
        <v>857</v>
      </c>
      <c r="D149" s="1">
        <v>45801.333333333336</v>
      </c>
      <c r="E149">
        <v>1190.8969694995319</v>
      </c>
      <c r="F149">
        <v>-312.58768762038676</v>
      </c>
      <c r="G149">
        <v>2570.6272530886081</v>
      </c>
      <c r="H149" s="1">
        <v>45777.333333333336</v>
      </c>
    </row>
    <row r="150" spans="1:8" x14ac:dyDescent="0.25">
      <c r="A150" s="7">
        <f>DATE(YEAR(m8_crossvalid[[#This Row],[cutoff]]),MONTH(m8_crossvalid[[#This Row],[cutoff]]),DAY(m8_crossvalid[[#This Row],[cutoff]]))</f>
        <v>45777</v>
      </c>
      <c r="B150" s="7">
        <f>DATE(YEAR(m8_crossvalid[[#This Row],[ds]]),MONTH(m8_crossvalid[[#This Row],[ds]]),DAY(m8_crossvalid[[#This Row],[ds]]))</f>
        <v>45802</v>
      </c>
      <c r="C150">
        <v>215</v>
      </c>
      <c r="D150" s="1">
        <v>45802.333333333336</v>
      </c>
      <c r="E150">
        <v>886.0217311890658</v>
      </c>
      <c r="F150">
        <v>-504.78282416004782</v>
      </c>
      <c r="G150">
        <v>2270.5850781995669</v>
      </c>
      <c r="H150" s="1">
        <v>45777.333333333336</v>
      </c>
    </row>
    <row r="151" spans="1:8" x14ac:dyDescent="0.25">
      <c r="A151" s="7">
        <f>DATE(YEAR(m8_crossvalid[[#This Row],[cutoff]]),MONTH(m8_crossvalid[[#This Row],[cutoff]]),DAY(m8_crossvalid[[#This Row],[cutoff]]))</f>
        <v>45777</v>
      </c>
      <c r="B151" s="7">
        <f>DATE(YEAR(m8_crossvalid[[#This Row],[ds]]),MONTH(m8_crossvalid[[#This Row],[ds]]),DAY(m8_crossvalid[[#This Row],[ds]]))</f>
        <v>45803</v>
      </c>
      <c r="C151">
        <v>4297</v>
      </c>
      <c r="D151" s="1">
        <v>45803.333333333336</v>
      </c>
      <c r="E151">
        <v>3436.9281585342501</v>
      </c>
      <c r="F151">
        <v>2006.6138728709136</v>
      </c>
      <c r="G151">
        <v>4834.4625119583343</v>
      </c>
      <c r="H151" s="1">
        <v>45777.333333333336</v>
      </c>
    </row>
    <row r="152" spans="1:8" x14ac:dyDescent="0.25">
      <c r="A152" s="7">
        <f>DATE(YEAR(m8_crossvalid[[#This Row],[cutoff]]),MONTH(m8_crossvalid[[#This Row],[cutoff]]),DAY(m8_crossvalid[[#This Row],[cutoff]]))</f>
        <v>45777</v>
      </c>
      <c r="B152" s="7">
        <f>DATE(YEAR(m8_crossvalid[[#This Row],[ds]]),MONTH(m8_crossvalid[[#This Row],[ds]]),DAY(m8_crossvalid[[#This Row],[ds]]))</f>
        <v>45804</v>
      </c>
      <c r="C152">
        <v>5188</v>
      </c>
      <c r="D152" s="1">
        <v>45804.333333333336</v>
      </c>
      <c r="E152">
        <v>4685.5478252933535</v>
      </c>
      <c r="F152">
        <v>3199.9629691659193</v>
      </c>
      <c r="G152">
        <v>6065.4742580673656</v>
      </c>
      <c r="H152" s="1">
        <v>45777.333333333336</v>
      </c>
    </row>
    <row r="153" spans="1:8" x14ac:dyDescent="0.25">
      <c r="A153" s="7">
        <f>DATE(YEAR(m8_crossvalid[[#This Row],[cutoff]]),MONTH(m8_crossvalid[[#This Row],[cutoff]]),DAY(m8_crossvalid[[#This Row],[cutoff]]))</f>
        <v>45777</v>
      </c>
      <c r="B153" s="7">
        <f>DATE(YEAR(m8_crossvalid[[#This Row],[ds]]),MONTH(m8_crossvalid[[#This Row],[ds]]),DAY(m8_crossvalid[[#This Row],[ds]]))</f>
        <v>45805</v>
      </c>
      <c r="C153">
        <v>5701</v>
      </c>
      <c r="D153" s="1">
        <v>45805.333333333336</v>
      </c>
      <c r="E153">
        <v>4914.5745995476709</v>
      </c>
      <c r="F153">
        <v>3413.8527600853554</v>
      </c>
      <c r="G153">
        <v>6317.8535701624969</v>
      </c>
      <c r="H153" s="1">
        <v>45777.333333333336</v>
      </c>
    </row>
    <row r="154" spans="1:8" x14ac:dyDescent="0.25">
      <c r="A154" s="7">
        <f>DATE(YEAR(m8_crossvalid[[#This Row],[cutoff]]),MONTH(m8_crossvalid[[#This Row],[cutoff]]),DAY(m8_crossvalid[[#This Row],[cutoff]]))</f>
        <v>45777</v>
      </c>
      <c r="B154" s="7">
        <f>DATE(YEAR(m8_crossvalid[[#This Row],[ds]]),MONTH(m8_crossvalid[[#This Row],[ds]]),DAY(m8_crossvalid[[#This Row],[ds]]))</f>
        <v>45806</v>
      </c>
      <c r="C154">
        <v>8103</v>
      </c>
      <c r="D154" s="1">
        <v>45806.333333333336</v>
      </c>
      <c r="E154">
        <v>5086.7171008235346</v>
      </c>
      <c r="F154">
        <v>3718.0196467350938</v>
      </c>
      <c r="G154">
        <v>6589.0381538694546</v>
      </c>
      <c r="H154" s="1">
        <v>45777.333333333336</v>
      </c>
    </row>
    <row r="155" spans="1:8" x14ac:dyDescent="0.25">
      <c r="A155" s="7">
        <f>DATE(YEAR(m8_crossvalid[[#This Row],[cutoff]]),MONTH(m8_crossvalid[[#This Row],[cutoff]]),DAY(m8_crossvalid[[#This Row],[cutoff]]))</f>
        <v>45777</v>
      </c>
      <c r="B155" s="7">
        <f>DATE(YEAR(m8_crossvalid[[#This Row],[ds]]),MONTH(m8_crossvalid[[#This Row],[ds]]),DAY(m8_crossvalid[[#This Row],[ds]]))</f>
        <v>45807</v>
      </c>
      <c r="C155">
        <v>8920</v>
      </c>
      <c r="D155" s="1">
        <v>45807.333333333336</v>
      </c>
      <c r="E155">
        <v>7349.9502812461942</v>
      </c>
      <c r="F155">
        <v>5963.8359680416052</v>
      </c>
      <c r="G155">
        <v>8811.8367762633043</v>
      </c>
      <c r="H155" s="1">
        <v>45777.333333333336</v>
      </c>
    </row>
    <row r="156" spans="1:8" x14ac:dyDescent="0.25">
      <c r="A156" s="7">
        <f>DATE(YEAR(m8_crossvalid[[#This Row],[cutoff]]),MONTH(m8_crossvalid[[#This Row],[cutoff]]),DAY(m8_crossvalid[[#This Row],[cutoff]]))</f>
        <v>45777</v>
      </c>
      <c r="B156" s="7">
        <f>DATE(YEAR(m8_crossvalid[[#This Row],[ds]]),MONTH(m8_crossvalid[[#This Row],[ds]]),DAY(m8_crossvalid[[#This Row],[ds]]))</f>
        <v>45808</v>
      </c>
      <c r="C156">
        <v>4108</v>
      </c>
      <c r="D156" s="1">
        <v>45808.333333333336</v>
      </c>
      <c r="E156">
        <v>7683.7101848514876</v>
      </c>
      <c r="F156">
        <v>6294.4980041265389</v>
      </c>
      <c r="G156">
        <v>9174.5810566905493</v>
      </c>
      <c r="H156" s="1">
        <v>45777.333333333336</v>
      </c>
    </row>
    <row r="157" spans="1:8" x14ac:dyDescent="0.25">
      <c r="A157" s="7">
        <f>DATE(YEAR(m8_crossvalid[[#This Row],[cutoff]]),MONTH(m8_crossvalid[[#This Row],[cutoff]]),DAY(m8_crossvalid[[#This Row],[cutoff]]))</f>
        <v>45808</v>
      </c>
      <c r="B157" s="7">
        <f>DATE(YEAR(m8_crossvalid[[#This Row],[ds]]),MONTH(m8_crossvalid[[#This Row],[ds]]),DAY(m8_crossvalid[[#This Row],[ds]]))</f>
        <v>45809</v>
      </c>
      <c r="C157">
        <v>75</v>
      </c>
      <c r="D157" s="1">
        <v>45809.333333333336</v>
      </c>
      <c r="E157">
        <v>-16.869458129482609</v>
      </c>
      <c r="F157">
        <v>-1438.0715362253657</v>
      </c>
      <c r="G157">
        <v>1337.11628516578</v>
      </c>
      <c r="H157" s="1">
        <v>45808.333333333336</v>
      </c>
    </row>
    <row r="158" spans="1:8" x14ac:dyDescent="0.25">
      <c r="A158" s="7">
        <f>DATE(YEAR(m8_crossvalid[[#This Row],[cutoff]]),MONTH(m8_crossvalid[[#This Row],[cutoff]]),DAY(m8_crossvalid[[#This Row],[cutoff]]))</f>
        <v>45808</v>
      </c>
      <c r="B158" s="7">
        <f>DATE(YEAR(m8_crossvalid[[#This Row],[ds]]),MONTH(m8_crossvalid[[#This Row],[ds]]),DAY(m8_crossvalid[[#This Row],[ds]]))</f>
        <v>45810</v>
      </c>
      <c r="C158">
        <v>3</v>
      </c>
      <c r="D158" s="1">
        <v>45810.333333333336</v>
      </c>
      <c r="E158">
        <v>-171.37239903011596</v>
      </c>
      <c r="F158">
        <v>-1624.8867206039954</v>
      </c>
      <c r="G158">
        <v>1341.234376552459</v>
      </c>
      <c r="H158" s="1">
        <v>45808.333333333336</v>
      </c>
    </row>
    <row r="159" spans="1:8" x14ac:dyDescent="0.25">
      <c r="A159" s="7">
        <f>DATE(YEAR(m8_crossvalid[[#This Row],[cutoff]]),MONTH(m8_crossvalid[[#This Row],[cutoff]]),DAY(m8_crossvalid[[#This Row],[cutoff]]))</f>
        <v>45808</v>
      </c>
      <c r="B159" s="7">
        <f>DATE(YEAR(m8_crossvalid[[#This Row],[ds]]),MONTH(m8_crossvalid[[#This Row],[ds]]),DAY(m8_crossvalid[[#This Row],[ds]]))</f>
        <v>45811</v>
      </c>
      <c r="C159">
        <v>578</v>
      </c>
      <c r="D159" s="1">
        <v>45811.333333333336</v>
      </c>
      <c r="E159">
        <v>1858.0835153484356</v>
      </c>
      <c r="F159">
        <v>373.00471702650339</v>
      </c>
      <c r="G159">
        <v>3237.6432126304608</v>
      </c>
      <c r="H159" s="1">
        <v>45808.333333333336</v>
      </c>
    </row>
    <row r="160" spans="1:8" x14ac:dyDescent="0.25">
      <c r="A160" s="7">
        <f>DATE(YEAR(m8_crossvalid[[#This Row],[cutoff]]),MONTH(m8_crossvalid[[#This Row],[cutoff]]),DAY(m8_crossvalid[[#This Row],[cutoff]]))</f>
        <v>45808</v>
      </c>
      <c r="B160" s="7">
        <f>DATE(YEAR(m8_crossvalid[[#This Row],[ds]]),MONTH(m8_crossvalid[[#This Row],[ds]]),DAY(m8_crossvalid[[#This Row],[ds]]))</f>
        <v>45812</v>
      </c>
      <c r="C160">
        <v>842</v>
      </c>
      <c r="D160" s="1">
        <v>45812.333333333336</v>
      </c>
      <c r="E160">
        <v>1918.6955165917695</v>
      </c>
      <c r="F160">
        <v>494.524183091765</v>
      </c>
      <c r="G160">
        <v>3555.2954655552471</v>
      </c>
      <c r="H160" s="1">
        <v>45808.333333333336</v>
      </c>
    </row>
    <row r="161" spans="1:8" x14ac:dyDescent="0.25">
      <c r="A161" s="7">
        <f>DATE(YEAR(m8_crossvalid[[#This Row],[cutoff]]),MONTH(m8_crossvalid[[#This Row],[cutoff]]),DAY(m8_crossvalid[[#This Row],[cutoff]]))</f>
        <v>45808</v>
      </c>
      <c r="B161" s="7">
        <f>DATE(YEAR(m8_crossvalid[[#This Row],[ds]]),MONTH(m8_crossvalid[[#This Row],[ds]]),DAY(m8_crossvalid[[#This Row],[ds]]))</f>
        <v>45813</v>
      </c>
      <c r="C161">
        <v>1102</v>
      </c>
      <c r="D161" s="1">
        <v>45813.333333333336</v>
      </c>
      <c r="E161">
        <v>1798.3344722733887</v>
      </c>
      <c r="F161">
        <v>417.12452010781902</v>
      </c>
      <c r="G161">
        <v>3283.4134833047274</v>
      </c>
      <c r="H161" s="1">
        <v>45808.333333333336</v>
      </c>
    </row>
    <row r="162" spans="1:8" x14ac:dyDescent="0.25">
      <c r="A162" s="7">
        <f>DATE(YEAR(m8_crossvalid[[#This Row],[cutoff]]),MONTH(m8_crossvalid[[#This Row],[cutoff]]),DAY(m8_crossvalid[[#This Row],[cutoff]]))</f>
        <v>45808</v>
      </c>
      <c r="B162" s="7">
        <f>DATE(YEAR(m8_crossvalid[[#This Row],[ds]]),MONTH(m8_crossvalid[[#This Row],[ds]]),DAY(m8_crossvalid[[#This Row],[ds]]))</f>
        <v>45814</v>
      </c>
      <c r="C162">
        <v>1098</v>
      </c>
      <c r="D162" s="1">
        <v>45814.333333333336</v>
      </c>
      <c r="E162">
        <v>-1733.0998630120553</v>
      </c>
      <c r="F162">
        <v>-3195.2762277359425</v>
      </c>
      <c r="G162">
        <v>-330.2624256233803</v>
      </c>
      <c r="H162" s="1">
        <v>45808.333333333336</v>
      </c>
    </row>
    <row r="163" spans="1:8" x14ac:dyDescent="0.25">
      <c r="A163" s="7">
        <f>DATE(YEAR(m8_crossvalid[[#This Row],[cutoff]]),MONTH(m8_crossvalid[[#This Row],[cutoff]]),DAY(m8_crossvalid[[#This Row],[cutoff]]))</f>
        <v>45808</v>
      </c>
      <c r="B163" s="7">
        <f>DATE(YEAR(m8_crossvalid[[#This Row],[ds]]),MONTH(m8_crossvalid[[#This Row],[ds]]),DAY(m8_crossvalid[[#This Row],[ds]]))</f>
        <v>45815</v>
      </c>
      <c r="C163">
        <v>17</v>
      </c>
      <c r="D163" s="1">
        <v>45815.333333333336</v>
      </c>
      <c r="E163">
        <v>-1576.362912911155</v>
      </c>
      <c r="F163">
        <v>-3037.5001637598052</v>
      </c>
      <c r="G163">
        <v>-56.026362265676475</v>
      </c>
      <c r="H163" s="1">
        <v>45808.333333333336</v>
      </c>
    </row>
    <row r="164" spans="1:8" x14ac:dyDescent="0.25">
      <c r="A164" s="7">
        <f>DATE(YEAR(m8_crossvalid[[#This Row],[cutoff]]),MONTH(m8_crossvalid[[#This Row],[cutoff]]),DAY(m8_crossvalid[[#This Row],[cutoff]]))</f>
        <v>45808</v>
      </c>
      <c r="B164" s="7">
        <f>DATE(YEAR(m8_crossvalid[[#This Row],[ds]]),MONTH(m8_crossvalid[[#This Row],[ds]]),DAY(m8_crossvalid[[#This Row],[ds]]))</f>
        <v>45816</v>
      </c>
      <c r="C164">
        <v>2</v>
      </c>
      <c r="D164" s="1">
        <v>45816.333333333336</v>
      </c>
      <c r="E164">
        <v>-2.9597478915961801</v>
      </c>
      <c r="F164">
        <v>-1433.7172931869993</v>
      </c>
      <c r="G164">
        <v>1495.8442864658141</v>
      </c>
      <c r="H164" s="1">
        <v>45808.333333333336</v>
      </c>
    </row>
    <row r="165" spans="1:8" x14ac:dyDescent="0.25">
      <c r="A165" s="7">
        <f>DATE(YEAR(m8_crossvalid[[#This Row],[cutoff]]),MONTH(m8_crossvalid[[#This Row],[cutoff]]),DAY(m8_crossvalid[[#This Row],[cutoff]]))</f>
        <v>45808</v>
      </c>
      <c r="B165" s="7">
        <f>DATE(YEAR(m8_crossvalid[[#This Row],[ds]]),MONTH(m8_crossvalid[[#This Row],[ds]]),DAY(m8_crossvalid[[#This Row],[ds]]))</f>
        <v>45817</v>
      </c>
      <c r="C165">
        <v>716</v>
      </c>
      <c r="D165" s="1">
        <v>45817.333333333336</v>
      </c>
      <c r="E165">
        <v>2473.8656434509712</v>
      </c>
      <c r="F165">
        <v>1152.5459986371918</v>
      </c>
      <c r="G165">
        <v>3974.6409643527049</v>
      </c>
      <c r="H165" s="1">
        <v>45808.333333333336</v>
      </c>
    </row>
    <row r="166" spans="1:8" x14ac:dyDescent="0.25">
      <c r="A166" s="7">
        <f>DATE(YEAR(m8_crossvalid[[#This Row],[cutoff]]),MONTH(m8_crossvalid[[#This Row],[cutoff]]),DAY(m8_crossvalid[[#This Row],[cutoff]]))</f>
        <v>45808</v>
      </c>
      <c r="B166" s="7">
        <f>DATE(YEAR(m8_crossvalid[[#This Row],[ds]]),MONTH(m8_crossvalid[[#This Row],[ds]]),DAY(m8_crossvalid[[#This Row],[ds]]))</f>
        <v>45818</v>
      </c>
      <c r="C166">
        <v>1129</v>
      </c>
      <c r="D166" s="1">
        <v>45818.333333333336</v>
      </c>
      <c r="E166">
        <v>1683.8811113082215</v>
      </c>
      <c r="F166">
        <v>192.05946845968964</v>
      </c>
      <c r="G166">
        <v>3169.914339121608</v>
      </c>
      <c r="H166" s="1">
        <v>45808.333333333336</v>
      </c>
    </row>
    <row r="167" spans="1:8" x14ac:dyDescent="0.25">
      <c r="A167" s="7">
        <f>DATE(YEAR(m8_crossvalid[[#This Row],[cutoff]]),MONTH(m8_crossvalid[[#This Row],[cutoff]]),DAY(m8_crossvalid[[#This Row],[cutoff]]))</f>
        <v>45808</v>
      </c>
      <c r="B167" s="7">
        <f>DATE(YEAR(m8_crossvalid[[#This Row],[ds]]),MONTH(m8_crossvalid[[#This Row],[ds]]),DAY(m8_crossvalid[[#This Row],[ds]]))</f>
        <v>45819</v>
      </c>
      <c r="C167">
        <v>1387</v>
      </c>
      <c r="D167" s="1">
        <v>45819.333333333336</v>
      </c>
      <c r="E167">
        <v>1886.8651541325639</v>
      </c>
      <c r="F167">
        <v>452.18476863880454</v>
      </c>
      <c r="G167">
        <v>3336.4356738834049</v>
      </c>
      <c r="H167" s="1">
        <v>45808.333333333336</v>
      </c>
    </row>
    <row r="168" spans="1:8" x14ac:dyDescent="0.25">
      <c r="A168" s="7">
        <f>DATE(YEAR(m8_crossvalid[[#This Row],[cutoff]]),MONTH(m8_crossvalid[[#This Row],[cutoff]]),DAY(m8_crossvalid[[#This Row],[cutoff]]))</f>
        <v>45808</v>
      </c>
      <c r="B168" s="7">
        <f>DATE(YEAR(m8_crossvalid[[#This Row],[ds]]),MONTH(m8_crossvalid[[#This Row],[ds]]),DAY(m8_crossvalid[[#This Row],[ds]]))</f>
        <v>45820</v>
      </c>
      <c r="C168">
        <v>1689</v>
      </c>
      <c r="D168" s="1">
        <v>45820.333333333336</v>
      </c>
      <c r="E168">
        <v>2398.5872836651279</v>
      </c>
      <c r="F168">
        <v>941.65572649642047</v>
      </c>
      <c r="G168">
        <v>3813.7477436566578</v>
      </c>
      <c r="H168" s="1">
        <v>45808.333333333336</v>
      </c>
    </row>
    <row r="169" spans="1:8" x14ac:dyDescent="0.25">
      <c r="A169" s="7">
        <f>DATE(YEAR(m8_crossvalid[[#This Row],[cutoff]]),MONTH(m8_crossvalid[[#This Row],[cutoff]]),DAY(m8_crossvalid[[#This Row],[cutoff]]))</f>
        <v>45808</v>
      </c>
      <c r="B169" s="7">
        <f>DATE(YEAR(m8_crossvalid[[#This Row],[ds]]),MONTH(m8_crossvalid[[#This Row],[ds]]),DAY(m8_crossvalid[[#This Row],[ds]]))</f>
        <v>45821</v>
      </c>
      <c r="C169">
        <v>1883</v>
      </c>
      <c r="D169" s="1">
        <v>45821.333333333336</v>
      </c>
      <c r="E169">
        <v>2190.0966931497987</v>
      </c>
      <c r="F169">
        <v>723.88477490609546</v>
      </c>
      <c r="G169">
        <v>3520.0794189478065</v>
      </c>
      <c r="H169" s="1">
        <v>45808.333333333336</v>
      </c>
    </row>
    <row r="170" spans="1:8" x14ac:dyDescent="0.25">
      <c r="A170" s="7">
        <f>DATE(YEAR(m8_crossvalid[[#This Row],[cutoff]]),MONTH(m8_crossvalid[[#This Row],[cutoff]]),DAY(m8_crossvalid[[#This Row],[cutoff]]))</f>
        <v>45808</v>
      </c>
      <c r="B170" s="7">
        <f>DATE(YEAR(m8_crossvalid[[#This Row],[ds]]),MONTH(m8_crossvalid[[#This Row],[ds]]),DAY(m8_crossvalid[[#This Row],[ds]]))</f>
        <v>45822</v>
      </c>
      <c r="C170">
        <v>280</v>
      </c>
      <c r="D170" s="1">
        <v>45822.333333333336</v>
      </c>
      <c r="E170">
        <v>271.2670488538065</v>
      </c>
      <c r="F170">
        <v>-1205.115699359829</v>
      </c>
      <c r="G170">
        <v>1699.6494978545104</v>
      </c>
      <c r="H170" s="1">
        <v>45808.333333333336</v>
      </c>
    </row>
    <row r="171" spans="1:8" x14ac:dyDescent="0.25">
      <c r="A171" s="7">
        <f>DATE(YEAR(m8_crossvalid[[#This Row],[cutoff]]),MONTH(m8_crossvalid[[#This Row],[cutoff]]),DAY(m8_crossvalid[[#This Row],[cutoff]]))</f>
        <v>45808</v>
      </c>
      <c r="B171" s="7">
        <f>DATE(YEAR(m8_crossvalid[[#This Row],[ds]]),MONTH(m8_crossvalid[[#This Row],[ds]]),DAY(m8_crossvalid[[#This Row],[ds]]))</f>
        <v>45823</v>
      </c>
      <c r="C171">
        <v>71</v>
      </c>
      <c r="D171" s="1">
        <v>45823.333333333336</v>
      </c>
      <c r="E171">
        <v>-215.07495789617087</v>
      </c>
      <c r="F171">
        <v>-1577.8147794567431</v>
      </c>
      <c r="G171">
        <v>1195.0017005383143</v>
      </c>
      <c r="H171" s="1">
        <v>45808.333333333336</v>
      </c>
    </row>
    <row r="172" spans="1:8" x14ac:dyDescent="0.25">
      <c r="A172" s="7">
        <f>DATE(YEAR(m8_crossvalid[[#This Row],[cutoff]]),MONTH(m8_crossvalid[[#This Row],[cutoff]]),DAY(m8_crossvalid[[#This Row],[cutoff]]))</f>
        <v>45808</v>
      </c>
      <c r="B172" s="7">
        <f>DATE(YEAR(m8_crossvalid[[#This Row],[ds]]),MONTH(m8_crossvalid[[#This Row],[ds]]),DAY(m8_crossvalid[[#This Row],[ds]]))</f>
        <v>45824</v>
      </c>
      <c r="C172">
        <v>1852</v>
      </c>
      <c r="D172" s="1">
        <v>45824.333333333336</v>
      </c>
      <c r="E172">
        <v>2391.5672951403699</v>
      </c>
      <c r="F172">
        <v>960.99802758797728</v>
      </c>
      <c r="G172">
        <v>3840.2481541223519</v>
      </c>
      <c r="H172" s="1">
        <v>45808.333333333336</v>
      </c>
    </row>
    <row r="173" spans="1:8" x14ac:dyDescent="0.25">
      <c r="A173" s="7">
        <f>DATE(YEAR(m8_crossvalid[[#This Row],[cutoff]]),MONTH(m8_crossvalid[[#This Row],[cutoff]]),DAY(m8_crossvalid[[#This Row],[cutoff]]))</f>
        <v>45808</v>
      </c>
      <c r="B173" s="7">
        <f>DATE(YEAR(m8_crossvalid[[#This Row],[ds]]),MONTH(m8_crossvalid[[#This Row],[ds]]),DAY(m8_crossvalid[[#This Row],[ds]]))</f>
        <v>45825</v>
      </c>
      <c r="C173">
        <v>2251</v>
      </c>
      <c r="D173" s="1">
        <v>45825.333333333336</v>
      </c>
      <c r="E173">
        <v>2898.2482115301214</v>
      </c>
      <c r="F173">
        <v>1374.8221002986861</v>
      </c>
      <c r="G173">
        <v>4226.1846410736807</v>
      </c>
      <c r="H173" s="1">
        <v>45808.333333333336</v>
      </c>
    </row>
    <row r="174" spans="1:8" x14ac:dyDescent="0.25">
      <c r="A174" s="7">
        <f>DATE(YEAR(m8_crossvalid[[#This Row],[cutoff]]),MONTH(m8_crossvalid[[#This Row],[cutoff]]),DAY(m8_crossvalid[[#This Row],[cutoff]]))</f>
        <v>45808</v>
      </c>
      <c r="B174" s="7">
        <f>DATE(YEAR(m8_crossvalid[[#This Row],[ds]]),MONTH(m8_crossvalid[[#This Row],[ds]]),DAY(m8_crossvalid[[#This Row],[ds]]))</f>
        <v>45826</v>
      </c>
      <c r="C174">
        <v>2552</v>
      </c>
      <c r="D174" s="1">
        <v>45826.333333333336</v>
      </c>
      <c r="E174">
        <v>3042.7844959208524</v>
      </c>
      <c r="F174">
        <v>1533.9252872964917</v>
      </c>
      <c r="G174">
        <v>4442.071188297542</v>
      </c>
      <c r="H174" s="1">
        <v>45808.333333333336</v>
      </c>
    </row>
    <row r="175" spans="1:8" x14ac:dyDescent="0.25">
      <c r="A175" s="7">
        <f>DATE(YEAR(m8_crossvalid[[#This Row],[cutoff]]),MONTH(m8_crossvalid[[#This Row],[cutoff]]),DAY(m8_crossvalid[[#This Row],[cutoff]]))</f>
        <v>45808</v>
      </c>
      <c r="B175" s="7">
        <f>DATE(YEAR(m8_crossvalid[[#This Row],[ds]]),MONTH(m8_crossvalid[[#This Row],[ds]]),DAY(m8_crossvalid[[#This Row],[ds]]))</f>
        <v>45827</v>
      </c>
      <c r="C175">
        <v>2813</v>
      </c>
      <c r="D175" s="1">
        <v>45827.333333333336</v>
      </c>
      <c r="E175">
        <v>3044.1724790832004</v>
      </c>
      <c r="F175">
        <v>1534.720476796954</v>
      </c>
      <c r="G175">
        <v>4543.0680243180805</v>
      </c>
      <c r="H175" s="1">
        <v>45808.333333333336</v>
      </c>
    </row>
    <row r="176" spans="1:8" x14ac:dyDescent="0.25">
      <c r="A176" s="7">
        <f>DATE(YEAR(m8_crossvalid[[#This Row],[cutoff]]),MONTH(m8_crossvalid[[#This Row],[cutoff]]),DAY(m8_crossvalid[[#This Row],[cutoff]]))</f>
        <v>45808</v>
      </c>
      <c r="B176" s="7">
        <f>DATE(YEAR(m8_crossvalid[[#This Row],[ds]]),MONTH(m8_crossvalid[[#This Row],[ds]]),DAY(m8_crossvalid[[#This Row],[ds]]))</f>
        <v>45828</v>
      </c>
      <c r="C176">
        <v>3023</v>
      </c>
      <c r="D176" s="1">
        <v>45828.333333333336</v>
      </c>
      <c r="E176">
        <v>3055.1543983114802</v>
      </c>
      <c r="F176">
        <v>1635.7633422592198</v>
      </c>
      <c r="G176">
        <v>4555.2722799085814</v>
      </c>
      <c r="H176" s="1">
        <v>45808.333333333336</v>
      </c>
    </row>
    <row r="177" spans="1:8" x14ac:dyDescent="0.25">
      <c r="A177" s="7">
        <f>DATE(YEAR(m8_crossvalid[[#This Row],[cutoff]]),MONTH(m8_crossvalid[[#This Row],[cutoff]]),DAY(m8_crossvalid[[#This Row],[cutoff]]))</f>
        <v>45808</v>
      </c>
      <c r="B177" s="7">
        <f>DATE(YEAR(m8_crossvalid[[#This Row],[ds]]),MONTH(m8_crossvalid[[#This Row],[ds]]),DAY(m8_crossvalid[[#This Row],[ds]]))</f>
        <v>45829</v>
      </c>
      <c r="C177">
        <v>360</v>
      </c>
      <c r="D177" s="1">
        <v>45829.333333333336</v>
      </c>
      <c r="E177">
        <v>863.90332224415056</v>
      </c>
      <c r="F177">
        <v>-587.2229598495876</v>
      </c>
      <c r="G177">
        <v>2295.8718633627504</v>
      </c>
      <c r="H177" s="1">
        <v>45808.333333333336</v>
      </c>
    </row>
    <row r="178" spans="1:8" x14ac:dyDescent="0.25">
      <c r="A178" s="7">
        <f>DATE(YEAR(m8_crossvalid[[#This Row],[cutoff]]),MONTH(m8_crossvalid[[#This Row],[cutoff]]),DAY(m8_crossvalid[[#This Row],[cutoff]]))</f>
        <v>45808</v>
      </c>
      <c r="B178" s="7">
        <f>DATE(YEAR(m8_crossvalid[[#This Row],[ds]]),MONTH(m8_crossvalid[[#This Row],[ds]]),DAY(m8_crossvalid[[#This Row],[ds]]))</f>
        <v>45830</v>
      </c>
      <c r="C178">
        <v>129</v>
      </c>
      <c r="D178" s="1">
        <v>45830.333333333336</v>
      </c>
      <c r="E178">
        <v>388.21126176637881</v>
      </c>
      <c r="F178">
        <v>-1039.862619574468</v>
      </c>
      <c r="G178">
        <v>1860.2082183851196</v>
      </c>
      <c r="H178" s="1">
        <v>45808.333333333336</v>
      </c>
    </row>
    <row r="179" spans="1:8" x14ac:dyDescent="0.25">
      <c r="A179" s="7">
        <f>DATE(YEAR(m8_crossvalid[[#This Row],[cutoff]]),MONTH(m8_crossvalid[[#This Row],[cutoff]]),DAY(m8_crossvalid[[#This Row],[cutoff]]))</f>
        <v>45808</v>
      </c>
      <c r="B179" s="7">
        <f>DATE(YEAR(m8_crossvalid[[#This Row],[ds]]),MONTH(m8_crossvalid[[#This Row],[ds]]),DAY(m8_crossvalid[[#This Row],[ds]]))</f>
        <v>45831</v>
      </c>
      <c r="C179">
        <v>3291</v>
      </c>
      <c r="D179" s="1">
        <v>45831.333333333336</v>
      </c>
      <c r="E179">
        <v>3008.0120057746672</v>
      </c>
      <c r="F179">
        <v>1519.233959588732</v>
      </c>
      <c r="G179">
        <v>4474.9029464151599</v>
      </c>
      <c r="H179" s="1">
        <v>45808.333333333336</v>
      </c>
    </row>
    <row r="180" spans="1:8" x14ac:dyDescent="0.25">
      <c r="A180" s="7">
        <f>DATE(YEAR(m8_crossvalid[[#This Row],[cutoff]]),MONTH(m8_crossvalid[[#This Row],[cutoff]]),DAY(m8_crossvalid[[#This Row],[cutoff]]))</f>
        <v>45808</v>
      </c>
      <c r="B180" s="7">
        <f>DATE(YEAR(m8_crossvalid[[#This Row],[ds]]),MONTH(m8_crossvalid[[#This Row],[ds]]),DAY(m8_crossvalid[[#This Row],[ds]]))</f>
        <v>45832</v>
      </c>
      <c r="C180">
        <v>3743</v>
      </c>
      <c r="D180" s="1">
        <v>45832.333333333336</v>
      </c>
      <c r="E180">
        <v>3573.2354850732513</v>
      </c>
      <c r="F180">
        <v>2152.8688342213745</v>
      </c>
      <c r="G180">
        <v>5035.4115729809755</v>
      </c>
      <c r="H180" s="1">
        <v>45808.333333333336</v>
      </c>
    </row>
    <row r="181" spans="1:8" x14ac:dyDescent="0.25">
      <c r="A181" s="7">
        <f>DATE(YEAR(m8_crossvalid[[#This Row],[cutoff]]),MONTH(m8_crossvalid[[#This Row],[cutoff]]),DAY(m8_crossvalid[[#This Row],[cutoff]]))</f>
        <v>45808</v>
      </c>
      <c r="B181" s="7">
        <f>DATE(YEAR(m8_crossvalid[[#This Row],[ds]]),MONTH(m8_crossvalid[[#This Row],[ds]]),DAY(m8_crossvalid[[#This Row],[ds]]))</f>
        <v>45833</v>
      </c>
      <c r="C181">
        <v>4576</v>
      </c>
      <c r="D181" s="1">
        <v>45833.333333333336</v>
      </c>
      <c r="E181">
        <v>3767.3319301559304</v>
      </c>
      <c r="F181">
        <v>2321.3647646473792</v>
      </c>
      <c r="G181">
        <v>5221.8501032617105</v>
      </c>
      <c r="H181" s="1">
        <v>45808.333333333336</v>
      </c>
    </row>
    <row r="182" spans="1:8" x14ac:dyDescent="0.25">
      <c r="A182" s="7">
        <f>DATE(YEAR(m8_crossvalid[[#This Row],[cutoff]]),MONTH(m8_crossvalid[[#This Row],[cutoff]]),DAY(m8_crossvalid[[#This Row],[cutoff]]))</f>
        <v>45808</v>
      </c>
      <c r="B182" s="7">
        <f>DATE(YEAR(m8_crossvalid[[#This Row],[ds]]),MONTH(m8_crossvalid[[#This Row],[ds]]),DAY(m8_crossvalid[[#This Row],[ds]]))</f>
        <v>45834</v>
      </c>
      <c r="C182">
        <v>6205</v>
      </c>
      <c r="D182" s="1">
        <v>45834.333333333336</v>
      </c>
      <c r="E182">
        <v>4703.4882427320572</v>
      </c>
      <c r="F182">
        <v>3375.5130697159798</v>
      </c>
      <c r="G182">
        <v>6187.723631541845</v>
      </c>
      <c r="H182" s="1">
        <v>45808.333333333336</v>
      </c>
    </row>
    <row r="183" spans="1:8" x14ac:dyDescent="0.25">
      <c r="A183" s="7">
        <f>DATE(YEAR(m8_crossvalid[[#This Row],[cutoff]]),MONTH(m8_crossvalid[[#This Row],[cutoff]]),DAY(m8_crossvalid[[#This Row],[cutoff]]))</f>
        <v>45808</v>
      </c>
      <c r="B183" s="7">
        <f>DATE(YEAR(m8_crossvalid[[#This Row],[ds]]),MONTH(m8_crossvalid[[#This Row],[ds]]),DAY(m8_crossvalid[[#This Row],[ds]]))</f>
        <v>45835</v>
      </c>
      <c r="C183">
        <v>814</v>
      </c>
      <c r="D183" s="1">
        <v>45835.333333333336</v>
      </c>
      <c r="E183">
        <v>3109.4274893779152</v>
      </c>
      <c r="F183">
        <v>1768.2494674377617</v>
      </c>
      <c r="G183">
        <v>4579.8796387098091</v>
      </c>
      <c r="H183" s="1">
        <v>45808.333333333336</v>
      </c>
    </row>
    <row r="184" spans="1:8" x14ac:dyDescent="0.25">
      <c r="A184" s="7">
        <f>DATE(YEAR(m8_crossvalid[[#This Row],[cutoff]]),MONTH(m8_crossvalid[[#This Row],[cutoff]]),DAY(m8_crossvalid[[#This Row],[cutoff]]))</f>
        <v>45808</v>
      </c>
      <c r="B184" s="7">
        <f>DATE(YEAR(m8_crossvalid[[#This Row],[ds]]),MONTH(m8_crossvalid[[#This Row],[ds]]),DAY(m8_crossvalid[[#This Row],[ds]]))</f>
        <v>45836</v>
      </c>
      <c r="C184">
        <v>2326</v>
      </c>
      <c r="D184" s="1">
        <v>45836.333333333336</v>
      </c>
      <c r="E184">
        <v>2651.7201709852197</v>
      </c>
      <c r="F184">
        <v>1097.789098426091</v>
      </c>
      <c r="G184">
        <v>4067.8554791202387</v>
      </c>
      <c r="H184" s="1">
        <v>45808.333333333336</v>
      </c>
    </row>
    <row r="185" spans="1:8" x14ac:dyDescent="0.25">
      <c r="A185" s="7">
        <f>DATE(YEAR(m8_crossvalid[[#This Row],[cutoff]]),MONTH(m8_crossvalid[[#This Row],[cutoff]]),DAY(m8_crossvalid[[#This Row],[cutoff]]))</f>
        <v>45808</v>
      </c>
      <c r="B185" s="7">
        <f>DATE(YEAR(m8_crossvalid[[#This Row],[ds]]),MONTH(m8_crossvalid[[#This Row],[ds]]),DAY(m8_crossvalid[[#This Row],[ds]]))</f>
        <v>45837</v>
      </c>
      <c r="C185">
        <v>427</v>
      </c>
      <c r="D185" s="1">
        <v>45837.333333333336</v>
      </c>
      <c r="E185">
        <v>4397.8871585382967</v>
      </c>
      <c r="F185">
        <v>2957.7939056170585</v>
      </c>
      <c r="G185">
        <v>5777.0598258961109</v>
      </c>
      <c r="H185" s="1">
        <v>45808.333333333336</v>
      </c>
    </row>
    <row r="186" spans="1:8" x14ac:dyDescent="0.25">
      <c r="A186" s="7">
        <f>DATE(YEAR(m8_crossvalid[[#This Row],[cutoff]]),MONTH(m8_crossvalid[[#This Row],[cutoff]]),DAY(m8_crossvalid[[#This Row],[cutoff]]))</f>
        <v>45808</v>
      </c>
      <c r="B186" s="7">
        <f>DATE(YEAR(m8_crossvalid[[#This Row],[ds]]),MONTH(m8_crossvalid[[#This Row],[ds]]),DAY(m8_crossvalid[[#This Row],[ds]]))</f>
        <v>45838</v>
      </c>
      <c r="C186">
        <v>13624</v>
      </c>
      <c r="D186" s="1">
        <v>45838.333333333336</v>
      </c>
      <c r="E186">
        <v>9334.6510328603727</v>
      </c>
      <c r="F186">
        <v>7873.486355316958</v>
      </c>
      <c r="G186">
        <v>10942.408275255622</v>
      </c>
      <c r="H186" s="1">
        <v>45808.333333333336</v>
      </c>
    </row>
    <row r="187" spans="1:8" x14ac:dyDescent="0.25">
      <c r="A187" s="7">
        <f>DATE(YEAR(m8_crossvalid[[#This Row],[cutoff]]),MONTH(m8_crossvalid[[#This Row],[cutoff]]),DAY(m8_crossvalid[[#This Row],[cutoff]]))</f>
        <v>45808</v>
      </c>
      <c r="B187" s="7">
        <f>DATE(YEAR(m8_crossvalid[[#This Row],[ds]]),MONTH(m8_crossvalid[[#This Row],[ds]]),DAY(m8_crossvalid[[#This Row],[ds]]))</f>
        <v>45839</v>
      </c>
      <c r="C187">
        <v>624</v>
      </c>
      <c r="D187" s="1">
        <v>45839.333333333336</v>
      </c>
      <c r="E187">
        <v>2963.4324414581042</v>
      </c>
      <c r="F187">
        <v>1565.9123301016293</v>
      </c>
      <c r="G187">
        <v>4337.6631018771077</v>
      </c>
      <c r="H187" s="1">
        <v>45808.333333333336</v>
      </c>
    </row>
    <row r="188" spans="1:8" x14ac:dyDescent="0.25">
      <c r="A188" s="7">
        <f>DATE(YEAR(m8_crossvalid[[#This Row],[cutoff]]),MONTH(m8_crossvalid[[#This Row],[cutoff]]),DAY(m8_crossvalid[[#This Row],[cutoff]]))</f>
        <v>45838</v>
      </c>
      <c r="B188" s="7">
        <f>DATE(YEAR(m8_crossvalid[[#This Row],[ds]]),MONTH(m8_crossvalid[[#This Row],[ds]]),DAY(m8_crossvalid[[#This Row],[ds]]))</f>
        <v>45839</v>
      </c>
      <c r="C188">
        <v>624</v>
      </c>
      <c r="D188" s="1">
        <v>45839.333333333336</v>
      </c>
      <c r="E188">
        <v>3101.5005868956841</v>
      </c>
      <c r="F188">
        <v>1582.9203594619034</v>
      </c>
      <c r="G188">
        <v>4468.9919592439219</v>
      </c>
      <c r="H188" s="1">
        <v>45838.333333333336</v>
      </c>
    </row>
    <row r="189" spans="1:8" x14ac:dyDescent="0.25">
      <c r="A189" s="7">
        <f>DATE(YEAR(m8_crossvalid[[#This Row],[cutoff]]),MONTH(m8_crossvalid[[#This Row],[cutoff]]),DAY(m8_crossvalid[[#This Row],[cutoff]]))</f>
        <v>45838</v>
      </c>
      <c r="B189" s="7">
        <f>DATE(YEAR(m8_crossvalid[[#This Row],[ds]]),MONTH(m8_crossvalid[[#This Row],[ds]]),DAY(m8_crossvalid[[#This Row],[ds]]))</f>
        <v>45840</v>
      </c>
      <c r="C189">
        <v>733</v>
      </c>
      <c r="D189" s="1">
        <v>45840.333333333336</v>
      </c>
      <c r="E189">
        <v>2034.888574341124</v>
      </c>
      <c r="F189">
        <v>612.35021078114551</v>
      </c>
      <c r="G189">
        <v>3490.4022273434057</v>
      </c>
      <c r="H189" s="1">
        <v>45838.333333333336</v>
      </c>
    </row>
    <row r="190" spans="1:8" x14ac:dyDescent="0.25">
      <c r="A190" s="7">
        <f>DATE(YEAR(m8_crossvalid[[#This Row],[cutoff]]),MONTH(m8_crossvalid[[#This Row],[cutoff]]),DAY(m8_crossvalid[[#This Row],[cutoff]]))</f>
        <v>45838</v>
      </c>
      <c r="B190" s="7">
        <f>DATE(YEAR(m8_crossvalid[[#This Row],[ds]]),MONTH(m8_crossvalid[[#This Row],[ds]]),DAY(m8_crossvalid[[#This Row],[ds]]))</f>
        <v>45841</v>
      </c>
      <c r="C190">
        <v>1036</v>
      </c>
      <c r="D190" s="1">
        <v>45841.333333333336</v>
      </c>
      <c r="E190">
        <v>1650.0550006898352</v>
      </c>
      <c r="F190">
        <v>210.52241681598954</v>
      </c>
      <c r="G190">
        <v>3103.414314235813</v>
      </c>
      <c r="H190" s="1">
        <v>45838.333333333336</v>
      </c>
    </row>
    <row r="191" spans="1:8" x14ac:dyDescent="0.25">
      <c r="A191" s="7">
        <f>DATE(YEAR(m8_crossvalid[[#This Row],[cutoff]]),MONTH(m8_crossvalid[[#This Row],[cutoff]]),DAY(m8_crossvalid[[#This Row],[cutoff]]))</f>
        <v>45838</v>
      </c>
      <c r="B191" s="7">
        <f>DATE(YEAR(m8_crossvalid[[#This Row],[ds]]),MONTH(m8_crossvalid[[#This Row],[ds]]),DAY(m8_crossvalid[[#This Row],[ds]]))</f>
        <v>45842</v>
      </c>
      <c r="C191">
        <v>1189</v>
      </c>
      <c r="D191" s="1">
        <v>45842.333333333336</v>
      </c>
      <c r="E191">
        <v>1570.5932942640293</v>
      </c>
      <c r="F191">
        <v>163.31320930102049</v>
      </c>
      <c r="G191">
        <v>3081.9928530340994</v>
      </c>
      <c r="H191" s="1">
        <v>45838.333333333336</v>
      </c>
    </row>
    <row r="192" spans="1:8" x14ac:dyDescent="0.25">
      <c r="A192" s="7">
        <f>DATE(YEAR(m8_crossvalid[[#This Row],[cutoff]]),MONTH(m8_crossvalid[[#This Row],[cutoff]]),DAY(m8_crossvalid[[#This Row],[cutoff]]))</f>
        <v>45838</v>
      </c>
      <c r="B192" s="7">
        <f>DATE(YEAR(m8_crossvalid[[#This Row],[ds]]),MONTH(m8_crossvalid[[#This Row],[ds]]),DAY(m8_crossvalid[[#This Row],[ds]]))</f>
        <v>45843</v>
      </c>
      <c r="C192">
        <v>170</v>
      </c>
      <c r="D192" s="1">
        <v>45843.333333333336</v>
      </c>
      <c r="E192">
        <v>-701.15215125613304</v>
      </c>
      <c r="F192">
        <v>-2196.0595266431651</v>
      </c>
      <c r="G192">
        <v>875.29161836933986</v>
      </c>
      <c r="H192" s="1">
        <v>45838.333333333336</v>
      </c>
    </row>
    <row r="193" spans="1:8" x14ac:dyDescent="0.25">
      <c r="A193" s="7">
        <f>DATE(YEAR(m8_crossvalid[[#This Row],[cutoff]]),MONTH(m8_crossvalid[[#This Row],[cutoff]]),DAY(m8_crossvalid[[#This Row],[cutoff]]))</f>
        <v>45838</v>
      </c>
      <c r="B193" s="7">
        <f>DATE(YEAR(m8_crossvalid[[#This Row],[ds]]),MONTH(m8_crossvalid[[#This Row],[ds]]),DAY(m8_crossvalid[[#This Row],[ds]]))</f>
        <v>45844</v>
      </c>
      <c r="C193">
        <v>30</v>
      </c>
      <c r="D193" s="1">
        <v>45844.333333333336</v>
      </c>
      <c r="E193">
        <v>-1247.7559354834593</v>
      </c>
      <c r="F193">
        <v>-2711.2002444162799</v>
      </c>
      <c r="G193">
        <v>327.78168312287141</v>
      </c>
      <c r="H193" s="1">
        <v>45838.333333333336</v>
      </c>
    </row>
    <row r="194" spans="1:8" x14ac:dyDescent="0.25">
      <c r="A194" s="7">
        <f>DATE(YEAR(m8_crossvalid[[#This Row],[cutoff]]),MONTH(m8_crossvalid[[#This Row],[cutoff]]),DAY(m8_crossvalid[[#This Row],[cutoff]]))</f>
        <v>45838</v>
      </c>
      <c r="B194" s="7">
        <f>DATE(YEAR(m8_crossvalid[[#This Row],[ds]]),MONTH(m8_crossvalid[[#This Row],[ds]]),DAY(m8_crossvalid[[#This Row],[ds]]))</f>
        <v>45845</v>
      </c>
      <c r="C194">
        <v>1218</v>
      </c>
      <c r="D194" s="1">
        <v>45845.333333333336</v>
      </c>
      <c r="E194">
        <v>1366.1725542838949</v>
      </c>
      <c r="F194">
        <v>-52.693258439015786</v>
      </c>
      <c r="G194">
        <v>2783.0143536828186</v>
      </c>
      <c r="H194" s="1">
        <v>45838.333333333336</v>
      </c>
    </row>
    <row r="195" spans="1:8" x14ac:dyDescent="0.25">
      <c r="A195" s="7">
        <f>DATE(YEAR(m8_crossvalid[[#This Row],[cutoff]]),MONTH(m8_crossvalid[[#This Row],[cutoff]]),DAY(m8_crossvalid[[#This Row],[cutoff]]))</f>
        <v>45838</v>
      </c>
      <c r="B195" s="7">
        <f>DATE(YEAR(m8_crossvalid[[#This Row],[ds]]),MONTH(m8_crossvalid[[#This Row],[ds]]),DAY(m8_crossvalid[[#This Row],[ds]]))</f>
        <v>45846</v>
      </c>
      <c r="C195">
        <v>1543</v>
      </c>
      <c r="D195" s="1">
        <v>45846.333333333336</v>
      </c>
      <c r="E195">
        <v>2985.6066935031913</v>
      </c>
      <c r="F195">
        <v>1484.1585062095137</v>
      </c>
      <c r="G195">
        <v>4334.7157715529365</v>
      </c>
      <c r="H195" s="1">
        <v>45838.333333333336</v>
      </c>
    </row>
    <row r="196" spans="1:8" x14ac:dyDescent="0.25">
      <c r="A196" s="7">
        <f>DATE(YEAR(m8_crossvalid[[#This Row],[cutoff]]),MONTH(m8_crossvalid[[#This Row],[cutoff]]),DAY(m8_crossvalid[[#This Row],[cutoff]]))</f>
        <v>45838</v>
      </c>
      <c r="B196" s="7">
        <f>DATE(YEAR(m8_crossvalid[[#This Row],[ds]]),MONTH(m8_crossvalid[[#This Row],[ds]]),DAY(m8_crossvalid[[#This Row],[ds]]))</f>
        <v>45847</v>
      </c>
      <c r="C196">
        <v>2120</v>
      </c>
      <c r="D196" s="1">
        <v>45847.333333333336</v>
      </c>
      <c r="E196">
        <v>2736.4818920146054</v>
      </c>
      <c r="F196">
        <v>1206.7487433573028</v>
      </c>
      <c r="G196">
        <v>4254.0956095349602</v>
      </c>
      <c r="H196" s="1">
        <v>45838.333333333336</v>
      </c>
    </row>
    <row r="197" spans="1:8" x14ac:dyDescent="0.25">
      <c r="A197" s="7">
        <f>DATE(YEAR(m8_crossvalid[[#This Row],[cutoff]]),MONTH(m8_crossvalid[[#This Row],[cutoff]]),DAY(m8_crossvalid[[#This Row],[cutoff]]))</f>
        <v>45838</v>
      </c>
      <c r="B197" s="7">
        <f>DATE(YEAR(m8_crossvalid[[#This Row],[ds]]),MONTH(m8_crossvalid[[#This Row],[ds]]),DAY(m8_crossvalid[[#This Row],[ds]]))</f>
        <v>45848</v>
      </c>
      <c r="C197">
        <v>2298</v>
      </c>
      <c r="D197" s="1">
        <v>45848.333333333336</v>
      </c>
      <c r="E197">
        <v>2301.5762135101991</v>
      </c>
      <c r="F197">
        <v>789.56465519228482</v>
      </c>
      <c r="G197">
        <v>3807.348121105787</v>
      </c>
      <c r="H197" s="1">
        <v>45838.333333333336</v>
      </c>
    </row>
    <row r="198" spans="1:8" x14ac:dyDescent="0.25">
      <c r="A198" s="7">
        <f>DATE(YEAR(m8_crossvalid[[#This Row],[cutoff]]),MONTH(m8_crossvalid[[#This Row],[cutoff]]),DAY(m8_crossvalid[[#This Row],[cutoff]]))</f>
        <v>45838</v>
      </c>
      <c r="B198" s="7">
        <f>DATE(YEAR(m8_crossvalid[[#This Row],[ds]]),MONTH(m8_crossvalid[[#This Row],[ds]]),DAY(m8_crossvalid[[#This Row],[ds]]))</f>
        <v>45849</v>
      </c>
      <c r="C198">
        <v>2183</v>
      </c>
      <c r="D198" s="1">
        <v>45849.333333333336</v>
      </c>
      <c r="E198">
        <v>2050.4372140531527</v>
      </c>
      <c r="F198">
        <v>557.41591479892327</v>
      </c>
      <c r="G198">
        <v>3538.5731254229772</v>
      </c>
      <c r="H198" s="1">
        <v>45838.333333333336</v>
      </c>
    </row>
    <row r="199" spans="1:8" x14ac:dyDescent="0.25">
      <c r="A199" s="7">
        <f>DATE(YEAR(m8_crossvalid[[#This Row],[cutoff]]),MONTH(m8_crossvalid[[#This Row],[cutoff]]),DAY(m8_crossvalid[[#This Row],[cutoff]]))</f>
        <v>45838</v>
      </c>
      <c r="B199" s="7">
        <f>DATE(YEAR(m8_crossvalid[[#This Row],[ds]]),MONTH(m8_crossvalid[[#This Row],[ds]]),DAY(m8_crossvalid[[#This Row],[ds]]))</f>
        <v>45850</v>
      </c>
      <c r="C199">
        <v>462</v>
      </c>
      <c r="D199" s="1">
        <v>45850.333333333336</v>
      </c>
      <c r="E199">
        <v>-78.198323458705545</v>
      </c>
      <c r="F199">
        <v>-1604.0240183163576</v>
      </c>
      <c r="G199">
        <v>1392.7358645514764</v>
      </c>
      <c r="H199" s="1">
        <v>45838.333333333336</v>
      </c>
    </row>
    <row r="200" spans="1:8" x14ac:dyDescent="0.25">
      <c r="A200" s="7">
        <f>DATE(YEAR(m8_crossvalid[[#This Row],[cutoff]]),MONTH(m8_crossvalid[[#This Row],[cutoff]]),DAY(m8_crossvalid[[#This Row],[cutoff]]))</f>
        <v>45838</v>
      </c>
      <c r="B200" s="7">
        <f>DATE(YEAR(m8_crossvalid[[#This Row],[ds]]),MONTH(m8_crossvalid[[#This Row],[ds]]),DAY(m8_crossvalid[[#This Row],[ds]]))</f>
        <v>45851</v>
      </c>
      <c r="C200">
        <v>114</v>
      </c>
      <c r="D200" s="1">
        <v>45851.333333333336</v>
      </c>
      <c r="E200">
        <v>-416.21240810688732</v>
      </c>
      <c r="F200">
        <v>-1902.4070246707261</v>
      </c>
      <c r="G200">
        <v>986.77575829289799</v>
      </c>
      <c r="H200" s="1">
        <v>45838.333333333336</v>
      </c>
    </row>
    <row r="201" spans="1:8" x14ac:dyDescent="0.25">
      <c r="A201" s="7">
        <f>DATE(YEAR(m8_crossvalid[[#This Row],[cutoff]]),MONTH(m8_crossvalid[[#This Row],[cutoff]]),DAY(m8_crossvalid[[#This Row],[cutoff]]))</f>
        <v>45838</v>
      </c>
      <c r="B201" s="7">
        <f>DATE(YEAR(m8_crossvalid[[#This Row],[ds]]),MONTH(m8_crossvalid[[#This Row],[ds]]),DAY(m8_crossvalid[[#This Row],[ds]]))</f>
        <v>45852</v>
      </c>
      <c r="C201">
        <v>2356</v>
      </c>
      <c r="D201" s="1">
        <v>45852.333333333336</v>
      </c>
      <c r="E201">
        <v>2153.9897093559885</v>
      </c>
      <c r="F201">
        <v>680.45433274703703</v>
      </c>
      <c r="G201">
        <v>3547.983736357065</v>
      </c>
      <c r="H201" s="1">
        <v>45838.333333333336</v>
      </c>
    </row>
    <row r="202" spans="1:8" x14ac:dyDescent="0.25">
      <c r="A202" s="7">
        <f>DATE(YEAR(m8_crossvalid[[#This Row],[cutoff]]),MONTH(m8_crossvalid[[#This Row],[cutoff]]),DAY(m8_crossvalid[[#This Row],[cutoff]]))</f>
        <v>45838</v>
      </c>
      <c r="B202" s="7">
        <f>DATE(YEAR(m8_crossvalid[[#This Row],[ds]]),MONTH(m8_crossvalid[[#This Row],[ds]]),DAY(m8_crossvalid[[#This Row],[ds]]))</f>
        <v>45853</v>
      </c>
      <c r="C202">
        <v>2694</v>
      </c>
      <c r="D202" s="1">
        <v>45853.333333333336</v>
      </c>
      <c r="E202">
        <v>2467.8103352541648</v>
      </c>
      <c r="F202">
        <v>987.54622981544435</v>
      </c>
      <c r="G202">
        <v>3933.3736862553615</v>
      </c>
      <c r="H202" s="1">
        <v>45838.333333333336</v>
      </c>
    </row>
    <row r="203" spans="1:8" x14ac:dyDescent="0.25">
      <c r="A203" s="7">
        <f>DATE(YEAR(m8_crossvalid[[#This Row],[cutoff]]),MONTH(m8_crossvalid[[#This Row],[cutoff]]),DAY(m8_crossvalid[[#This Row],[cutoff]]))</f>
        <v>45838</v>
      </c>
      <c r="B203" s="7">
        <f>DATE(YEAR(m8_crossvalid[[#This Row],[ds]]),MONTH(m8_crossvalid[[#This Row],[ds]]),DAY(m8_crossvalid[[#This Row],[ds]]))</f>
        <v>45854</v>
      </c>
      <c r="C203">
        <v>2796</v>
      </c>
      <c r="D203" s="1">
        <v>45854.333333333336</v>
      </c>
      <c r="E203">
        <v>2624.1128275963815</v>
      </c>
      <c r="F203">
        <v>1249.949313331284</v>
      </c>
      <c r="G203">
        <v>4085.611592242903</v>
      </c>
      <c r="H203" s="1">
        <v>45838.333333333336</v>
      </c>
    </row>
    <row r="204" spans="1:8" x14ac:dyDescent="0.25">
      <c r="A204" s="7">
        <f>DATE(YEAR(m8_crossvalid[[#This Row],[cutoff]]),MONTH(m8_crossvalid[[#This Row],[cutoff]]),DAY(m8_crossvalid[[#This Row],[cutoff]]))</f>
        <v>45838</v>
      </c>
      <c r="B204" s="7">
        <f>DATE(YEAR(m8_crossvalid[[#This Row],[ds]]),MONTH(m8_crossvalid[[#This Row],[ds]]),DAY(m8_crossvalid[[#This Row],[ds]]))</f>
        <v>45855</v>
      </c>
      <c r="C204">
        <v>2972</v>
      </c>
      <c r="D204" s="1">
        <v>45855.333333333336</v>
      </c>
      <c r="E204">
        <v>2787.055861552205</v>
      </c>
      <c r="F204">
        <v>1358.9575681570761</v>
      </c>
      <c r="G204">
        <v>4252.0917469366359</v>
      </c>
      <c r="H204" s="1">
        <v>45838.333333333336</v>
      </c>
    </row>
    <row r="205" spans="1:8" x14ac:dyDescent="0.25">
      <c r="A205" s="7">
        <f>DATE(YEAR(m8_crossvalid[[#This Row],[cutoff]]),MONTH(m8_crossvalid[[#This Row],[cutoff]]),DAY(m8_crossvalid[[#This Row],[cutoff]]))</f>
        <v>45838</v>
      </c>
      <c r="B205" s="7">
        <f>DATE(YEAR(m8_crossvalid[[#This Row],[ds]]),MONTH(m8_crossvalid[[#This Row],[ds]]),DAY(m8_crossvalid[[#This Row],[ds]]))</f>
        <v>45856</v>
      </c>
      <c r="C205">
        <v>2891</v>
      </c>
      <c r="D205" s="1">
        <v>45856.333333333336</v>
      </c>
      <c r="E205">
        <v>2881.0647691680847</v>
      </c>
      <c r="F205">
        <v>1412.4331886017403</v>
      </c>
      <c r="G205">
        <v>4422.3894040679907</v>
      </c>
      <c r="H205" s="1">
        <v>45838.333333333336</v>
      </c>
    </row>
    <row r="206" spans="1:8" x14ac:dyDescent="0.25">
      <c r="A206" s="7">
        <f>DATE(YEAR(m8_crossvalid[[#This Row],[cutoff]]),MONTH(m8_crossvalid[[#This Row],[cutoff]]),DAY(m8_crossvalid[[#This Row],[cutoff]]))</f>
        <v>45838</v>
      </c>
      <c r="B206" s="7">
        <f>DATE(YEAR(m8_crossvalid[[#This Row],[ds]]),MONTH(m8_crossvalid[[#This Row],[ds]]),DAY(m8_crossvalid[[#This Row],[ds]]))</f>
        <v>45857</v>
      </c>
      <c r="C206">
        <v>521</v>
      </c>
      <c r="D206" s="1">
        <v>45857.333333333336</v>
      </c>
      <c r="E206">
        <v>678.98432803914011</v>
      </c>
      <c r="F206">
        <v>-718.87647269153831</v>
      </c>
      <c r="G206">
        <v>2182.9677378624701</v>
      </c>
      <c r="H206" s="1">
        <v>45838.333333333336</v>
      </c>
    </row>
    <row r="207" spans="1:8" x14ac:dyDescent="0.25">
      <c r="A207" s="7">
        <f>DATE(YEAR(m8_crossvalid[[#This Row],[cutoff]]),MONTH(m8_crossvalid[[#This Row],[cutoff]]),DAY(m8_crossvalid[[#This Row],[cutoff]]))</f>
        <v>45838</v>
      </c>
      <c r="B207" s="7">
        <f>DATE(YEAR(m8_crossvalid[[#This Row],[ds]]),MONTH(m8_crossvalid[[#This Row],[ds]]),DAY(m8_crossvalid[[#This Row],[ds]]))</f>
        <v>45858</v>
      </c>
      <c r="C207">
        <v>189</v>
      </c>
      <c r="D207" s="1">
        <v>45858.333333333336</v>
      </c>
      <c r="E207">
        <v>210.42246425637131</v>
      </c>
      <c r="F207">
        <v>-1264.0335777865178</v>
      </c>
      <c r="G207">
        <v>1660.1456010097445</v>
      </c>
      <c r="H207" s="1">
        <v>45838.333333333336</v>
      </c>
    </row>
    <row r="208" spans="1:8" x14ac:dyDescent="0.25">
      <c r="A208" s="7">
        <f>DATE(YEAR(m8_crossvalid[[#This Row],[cutoff]]),MONTH(m8_crossvalid[[#This Row],[cutoff]]),DAY(m8_crossvalid[[#This Row],[cutoff]]))</f>
        <v>45838</v>
      </c>
      <c r="B208" s="7">
        <f>DATE(YEAR(m8_crossvalid[[#This Row],[ds]]),MONTH(m8_crossvalid[[#This Row],[ds]]),DAY(m8_crossvalid[[#This Row],[ds]]))</f>
        <v>45859</v>
      </c>
      <c r="C208">
        <v>2798</v>
      </c>
      <c r="D208" s="1">
        <v>45859.333333333336</v>
      </c>
      <c r="E208">
        <v>2826.3574872083673</v>
      </c>
      <c r="F208">
        <v>1340.4322015184407</v>
      </c>
      <c r="G208">
        <v>4388.3856691573046</v>
      </c>
      <c r="H208" s="1">
        <v>45838.333333333336</v>
      </c>
    </row>
    <row r="209" spans="1:8" x14ac:dyDescent="0.25">
      <c r="A209" s="7">
        <f>DATE(YEAR(m8_crossvalid[[#This Row],[cutoff]]),MONTH(m8_crossvalid[[#This Row],[cutoff]]),DAY(m8_crossvalid[[#This Row],[cutoff]]))</f>
        <v>45838</v>
      </c>
      <c r="B209" s="7">
        <f>DATE(YEAR(m8_crossvalid[[#This Row],[ds]]),MONTH(m8_crossvalid[[#This Row],[ds]]),DAY(m8_crossvalid[[#This Row],[ds]]))</f>
        <v>45860</v>
      </c>
      <c r="C209">
        <v>2894</v>
      </c>
      <c r="D209" s="1">
        <v>45860.333333333336</v>
      </c>
      <c r="E209">
        <v>3167.471736171588</v>
      </c>
      <c r="F209">
        <v>1775.5542560439303</v>
      </c>
      <c r="G209">
        <v>4636.0537499482753</v>
      </c>
      <c r="H209" s="1">
        <v>45838.333333333336</v>
      </c>
    </row>
    <row r="210" spans="1:8" x14ac:dyDescent="0.25">
      <c r="A210" s="7">
        <f>DATE(YEAR(m8_crossvalid[[#This Row],[cutoff]]),MONTH(m8_crossvalid[[#This Row],[cutoff]]),DAY(m8_crossvalid[[#This Row],[cutoff]]))</f>
        <v>45838</v>
      </c>
      <c r="B210" s="7">
        <f>DATE(YEAR(m8_crossvalid[[#This Row],[ds]]),MONTH(m8_crossvalid[[#This Row],[ds]]),DAY(m8_crossvalid[[#This Row],[ds]]))</f>
        <v>45861</v>
      </c>
      <c r="C210">
        <v>3299</v>
      </c>
      <c r="D210" s="1">
        <v>45861.333333333336</v>
      </c>
      <c r="E210">
        <v>3318.7905730189204</v>
      </c>
      <c r="F210">
        <v>1912.8219872095128</v>
      </c>
      <c r="G210">
        <v>4822.2448743604691</v>
      </c>
      <c r="H210" s="1">
        <v>45838.333333333336</v>
      </c>
    </row>
    <row r="211" spans="1:8" x14ac:dyDescent="0.25">
      <c r="A211" s="7">
        <f>DATE(YEAR(m8_crossvalid[[#This Row],[cutoff]]),MONTH(m8_crossvalid[[#This Row],[cutoff]]),DAY(m8_crossvalid[[#This Row],[cutoff]]))</f>
        <v>45838</v>
      </c>
      <c r="B211" s="7">
        <f>DATE(YEAR(m8_crossvalid[[#This Row],[ds]]),MONTH(m8_crossvalid[[#This Row],[ds]]),DAY(m8_crossvalid[[#This Row],[ds]]))</f>
        <v>45862</v>
      </c>
      <c r="C211">
        <v>3785</v>
      </c>
      <c r="D211" s="1">
        <v>45862.333333333336</v>
      </c>
      <c r="E211">
        <v>3557.9647646185472</v>
      </c>
      <c r="F211">
        <v>2041.3474800821964</v>
      </c>
      <c r="G211">
        <v>4961.2843770628115</v>
      </c>
      <c r="H211" s="1">
        <v>45838.333333333336</v>
      </c>
    </row>
    <row r="212" spans="1:8" x14ac:dyDescent="0.25">
      <c r="A212" s="7">
        <f>DATE(YEAR(m8_crossvalid[[#This Row],[cutoff]]),MONTH(m8_crossvalid[[#This Row],[cutoff]]),DAY(m8_crossvalid[[#This Row],[cutoff]]))</f>
        <v>45838</v>
      </c>
      <c r="B212" s="7">
        <f>DATE(YEAR(m8_crossvalid[[#This Row],[ds]]),MONTH(m8_crossvalid[[#This Row],[ds]]),DAY(m8_crossvalid[[#This Row],[ds]]))</f>
        <v>45863</v>
      </c>
      <c r="C212">
        <v>3663</v>
      </c>
      <c r="D212" s="1">
        <v>45863.333333333336</v>
      </c>
      <c r="E212">
        <v>3710.7142908661813</v>
      </c>
      <c r="F212">
        <v>2278.3820899141506</v>
      </c>
      <c r="G212">
        <v>5133.8098927319943</v>
      </c>
      <c r="H212" s="1">
        <v>45838.333333333336</v>
      </c>
    </row>
    <row r="213" spans="1:8" x14ac:dyDescent="0.25">
      <c r="A213" s="7">
        <f>DATE(YEAR(m8_crossvalid[[#This Row],[cutoff]]),MONTH(m8_crossvalid[[#This Row],[cutoff]]),DAY(m8_crossvalid[[#This Row],[cutoff]]))</f>
        <v>45838</v>
      </c>
      <c r="B213" s="7">
        <f>DATE(YEAR(m8_crossvalid[[#This Row],[ds]]),MONTH(m8_crossvalid[[#This Row],[ds]]),DAY(m8_crossvalid[[#This Row],[ds]]))</f>
        <v>45864</v>
      </c>
      <c r="C213">
        <v>901</v>
      </c>
      <c r="D213" s="1">
        <v>45864.333333333336</v>
      </c>
      <c r="E213">
        <v>1563.7814297507216</v>
      </c>
      <c r="F213">
        <v>15.733148489894543</v>
      </c>
      <c r="G213">
        <v>2981.4957499716793</v>
      </c>
      <c r="H213" s="1">
        <v>45838.333333333336</v>
      </c>
    </row>
    <row r="214" spans="1:8" x14ac:dyDescent="0.25">
      <c r="A214" s="7">
        <f>DATE(YEAR(m8_crossvalid[[#This Row],[cutoff]]),MONTH(m8_crossvalid[[#This Row],[cutoff]]),DAY(m8_crossvalid[[#This Row],[cutoff]]))</f>
        <v>45838</v>
      </c>
      <c r="B214" s="7">
        <f>DATE(YEAR(m8_crossvalid[[#This Row],[ds]]),MONTH(m8_crossvalid[[#This Row],[ds]]),DAY(m8_crossvalid[[#This Row],[ds]]))</f>
        <v>45865</v>
      </c>
      <c r="C214">
        <v>262</v>
      </c>
      <c r="D214" s="1">
        <v>45865.333333333336</v>
      </c>
      <c r="E214">
        <v>2001.945955747643</v>
      </c>
      <c r="F214">
        <v>627.79712124296793</v>
      </c>
      <c r="G214">
        <v>3492.3568584136533</v>
      </c>
      <c r="H214" s="1">
        <v>45838.333333333336</v>
      </c>
    </row>
    <row r="215" spans="1:8" x14ac:dyDescent="0.25">
      <c r="A215" s="7">
        <f>DATE(YEAR(m8_crossvalid[[#This Row],[cutoff]]),MONTH(m8_crossvalid[[#This Row],[cutoff]]),DAY(m8_crossvalid[[#This Row],[cutoff]]))</f>
        <v>45838</v>
      </c>
      <c r="B215" s="7">
        <f>DATE(YEAR(m8_crossvalid[[#This Row],[ds]]),MONTH(m8_crossvalid[[#This Row],[ds]]),DAY(m8_crossvalid[[#This Row],[ds]]))</f>
        <v>45866</v>
      </c>
      <c r="C215">
        <v>4324</v>
      </c>
      <c r="D215" s="1">
        <v>45866.333333333336</v>
      </c>
      <c r="E215">
        <v>4598.5224372323355</v>
      </c>
      <c r="F215">
        <v>3006.7099105775396</v>
      </c>
      <c r="G215">
        <v>6035.8248211591281</v>
      </c>
      <c r="H215" s="1">
        <v>45838.333333333336</v>
      </c>
    </row>
    <row r="216" spans="1:8" x14ac:dyDescent="0.25">
      <c r="A216" s="7">
        <f>DATE(YEAR(m8_crossvalid[[#This Row],[cutoff]]),MONTH(m8_crossvalid[[#This Row],[cutoff]]),DAY(m8_crossvalid[[#This Row],[cutoff]]))</f>
        <v>45838</v>
      </c>
      <c r="B216" s="7">
        <f>DATE(YEAR(m8_crossvalid[[#This Row],[ds]]),MONTH(m8_crossvalid[[#This Row],[ds]]),DAY(m8_crossvalid[[#This Row],[ds]]))</f>
        <v>45867</v>
      </c>
      <c r="C216">
        <v>5336</v>
      </c>
      <c r="D216" s="1">
        <v>45867.333333333336</v>
      </c>
      <c r="E216">
        <v>5074.8713759416532</v>
      </c>
      <c r="F216">
        <v>3642.9535071165228</v>
      </c>
      <c r="G216">
        <v>6454.1625594713187</v>
      </c>
      <c r="H216" s="1">
        <v>45838.333333333336</v>
      </c>
    </row>
    <row r="217" spans="1:8" x14ac:dyDescent="0.25">
      <c r="A217" s="7">
        <f>DATE(YEAR(m8_crossvalid[[#This Row],[cutoff]]),MONTH(m8_crossvalid[[#This Row],[cutoff]]),DAY(m8_crossvalid[[#This Row],[cutoff]]))</f>
        <v>45838</v>
      </c>
      <c r="B217" s="7">
        <f>DATE(YEAR(m8_crossvalid[[#This Row],[ds]]),MONTH(m8_crossvalid[[#This Row],[ds]]),DAY(m8_crossvalid[[#This Row],[ds]]))</f>
        <v>45868</v>
      </c>
      <c r="C217">
        <v>8373</v>
      </c>
      <c r="D217" s="1">
        <v>45868.333333333336</v>
      </c>
      <c r="E217">
        <v>7444.7097089913241</v>
      </c>
      <c r="F217">
        <v>6004.5880955744442</v>
      </c>
      <c r="G217">
        <v>8918.1935377371465</v>
      </c>
      <c r="H217" s="1">
        <v>45838.333333333336</v>
      </c>
    </row>
    <row r="218" spans="1:8" x14ac:dyDescent="0.25">
      <c r="A218" s="7">
        <f>DATE(YEAR(m8_crossvalid[[#This Row],[cutoff]]),MONTH(m8_crossvalid[[#This Row],[cutoff]]),DAY(m8_crossvalid[[#This Row],[cutoff]]))</f>
        <v>45838</v>
      </c>
      <c r="B218" s="7">
        <f>DATE(YEAR(m8_crossvalid[[#This Row],[ds]]),MONTH(m8_crossvalid[[#This Row],[ds]]),DAY(m8_crossvalid[[#This Row],[ds]]))</f>
        <v>45869</v>
      </c>
      <c r="C218">
        <v>11889</v>
      </c>
      <c r="D218" s="1">
        <v>45869.333333333336</v>
      </c>
      <c r="E218">
        <v>10005.2062062313</v>
      </c>
      <c r="F218">
        <v>8504.7746656481468</v>
      </c>
      <c r="G218">
        <v>11428.747498095394</v>
      </c>
      <c r="H218" s="1">
        <v>45838.333333333336</v>
      </c>
    </row>
    <row r="219" spans="1:8" x14ac:dyDescent="0.25">
      <c r="A219" s="7">
        <f>DATE(YEAR(m8_crossvalid[[#This Row],[cutoff]]),MONTH(m8_crossvalid[[#This Row],[cutoff]]),DAY(m8_crossvalid[[#This Row],[cutoff]]))</f>
        <v>45869</v>
      </c>
      <c r="B219" s="7">
        <f>DATE(YEAR(m8_crossvalid[[#This Row],[ds]]),MONTH(m8_crossvalid[[#This Row],[ds]]),DAY(m8_crossvalid[[#This Row],[ds]]))</f>
        <v>45870</v>
      </c>
      <c r="C219">
        <v>761</v>
      </c>
      <c r="D219" s="1">
        <v>45870.333333333336</v>
      </c>
      <c r="E219">
        <v>2646.2190863487222</v>
      </c>
      <c r="F219">
        <v>1142.1276840594151</v>
      </c>
      <c r="G219">
        <v>3987.7112220838062</v>
      </c>
      <c r="H219" s="1">
        <v>45869.333333333336</v>
      </c>
    </row>
    <row r="220" spans="1:8" x14ac:dyDescent="0.25">
      <c r="A220" s="7">
        <f>DATE(YEAR(m8_crossvalid[[#This Row],[cutoff]]),MONTH(m8_crossvalid[[#This Row],[cutoff]]),DAY(m8_crossvalid[[#This Row],[cutoff]]))</f>
        <v>45869</v>
      </c>
      <c r="B220" s="7">
        <f>DATE(YEAR(m8_crossvalid[[#This Row],[ds]]),MONTH(m8_crossvalid[[#This Row],[ds]]),DAY(m8_crossvalid[[#This Row],[ds]]))</f>
        <v>45871</v>
      </c>
      <c r="C220">
        <v>74</v>
      </c>
      <c r="D220" s="1">
        <v>45871.333333333336</v>
      </c>
      <c r="E220">
        <v>-564.06861308276984</v>
      </c>
      <c r="F220">
        <v>-1988.827311033446</v>
      </c>
      <c r="G220">
        <v>955.19887909130318</v>
      </c>
      <c r="H220" s="1">
        <v>45869.333333333336</v>
      </c>
    </row>
    <row r="221" spans="1:8" x14ac:dyDescent="0.25">
      <c r="A221" s="7">
        <f>DATE(YEAR(m8_crossvalid[[#This Row],[cutoff]]),MONTH(m8_crossvalid[[#This Row],[cutoff]]),DAY(m8_crossvalid[[#This Row],[cutoff]]))</f>
        <v>45869</v>
      </c>
      <c r="B221" s="7">
        <f>DATE(YEAR(m8_crossvalid[[#This Row],[ds]]),MONTH(m8_crossvalid[[#This Row],[ds]]),DAY(m8_crossvalid[[#This Row],[ds]]))</f>
        <v>45872</v>
      </c>
      <c r="C221">
        <v>28</v>
      </c>
      <c r="D221" s="1">
        <v>45872.333333333336</v>
      </c>
      <c r="E221">
        <v>-1032.9558640302703</v>
      </c>
      <c r="F221">
        <v>-2521.2460558691396</v>
      </c>
      <c r="G221">
        <v>430.95353811523319</v>
      </c>
      <c r="H221" s="1">
        <v>45869.333333333336</v>
      </c>
    </row>
    <row r="222" spans="1:8" x14ac:dyDescent="0.25">
      <c r="A222" s="7">
        <f>DATE(YEAR(m8_crossvalid[[#This Row],[cutoff]]),MONTH(m8_crossvalid[[#This Row],[cutoff]]),DAY(m8_crossvalid[[#This Row],[cutoff]]))</f>
        <v>45869</v>
      </c>
      <c r="B222" s="7">
        <f>DATE(YEAR(m8_crossvalid[[#This Row],[ds]]),MONTH(m8_crossvalid[[#This Row],[ds]]),DAY(m8_crossvalid[[#This Row],[ds]]))</f>
        <v>45873</v>
      </c>
      <c r="C222">
        <v>912</v>
      </c>
      <c r="D222" s="1">
        <v>45873.333333333336</v>
      </c>
      <c r="E222">
        <v>1471.1764375702032</v>
      </c>
      <c r="F222">
        <v>-51.694088064863209</v>
      </c>
      <c r="G222">
        <v>2910.9320680970905</v>
      </c>
      <c r="H222" s="1">
        <v>45869.333333333336</v>
      </c>
    </row>
    <row r="223" spans="1:8" x14ac:dyDescent="0.25">
      <c r="A223" s="7">
        <f>DATE(YEAR(m8_crossvalid[[#This Row],[cutoff]]),MONTH(m8_crossvalid[[#This Row],[cutoff]]),DAY(m8_crossvalid[[#This Row],[cutoff]]))</f>
        <v>45869</v>
      </c>
      <c r="B223" s="7">
        <f>DATE(YEAR(m8_crossvalid[[#This Row],[ds]]),MONTH(m8_crossvalid[[#This Row],[ds]]),DAY(m8_crossvalid[[#This Row],[ds]]))</f>
        <v>45874</v>
      </c>
      <c r="C223">
        <v>2022</v>
      </c>
      <c r="D223" s="1">
        <v>45874.333333333336</v>
      </c>
      <c r="E223">
        <v>1689.1027691158799</v>
      </c>
      <c r="F223">
        <v>285.18714999694339</v>
      </c>
      <c r="G223">
        <v>3114.2661500344448</v>
      </c>
      <c r="H223" s="1">
        <v>45869.333333333336</v>
      </c>
    </row>
    <row r="224" spans="1:8" x14ac:dyDescent="0.25">
      <c r="A224" s="7">
        <f>DATE(YEAR(m8_crossvalid[[#This Row],[cutoff]]),MONTH(m8_crossvalid[[#This Row],[cutoff]]),DAY(m8_crossvalid[[#This Row],[cutoff]]))</f>
        <v>45869</v>
      </c>
      <c r="B224" s="7">
        <f>DATE(YEAR(m8_crossvalid[[#This Row],[ds]]),MONTH(m8_crossvalid[[#This Row],[ds]]),DAY(m8_crossvalid[[#This Row],[ds]]))</f>
        <v>45875</v>
      </c>
      <c r="C224">
        <v>1344</v>
      </c>
      <c r="D224" s="1">
        <v>45875.333333333336</v>
      </c>
      <c r="E224">
        <v>1822.7537992301027</v>
      </c>
      <c r="F224">
        <v>458.60307908007462</v>
      </c>
      <c r="G224">
        <v>3173.0425462682838</v>
      </c>
      <c r="H224" s="1">
        <v>45869.333333333336</v>
      </c>
    </row>
    <row r="225" spans="1:8" x14ac:dyDescent="0.25">
      <c r="A225" s="7">
        <f>DATE(YEAR(m8_crossvalid[[#This Row],[cutoff]]),MONTH(m8_crossvalid[[#This Row],[cutoff]]),DAY(m8_crossvalid[[#This Row],[cutoff]]))</f>
        <v>45869</v>
      </c>
      <c r="B225" s="7">
        <f>DATE(YEAR(m8_crossvalid[[#This Row],[ds]]),MONTH(m8_crossvalid[[#This Row],[ds]]),DAY(m8_crossvalid[[#This Row],[ds]]))</f>
        <v>45876</v>
      </c>
      <c r="C225">
        <v>1585</v>
      </c>
      <c r="D225" s="1">
        <v>45876.333333333336</v>
      </c>
      <c r="E225">
        <v>1868.106125849012</v>
      </c>
      <c r="F225">
        <v>458.11118480870357</v>
      </c>
      <c r="G225">
        <v>3284.392473582845</v>
      </c>
      <c r="H225" s="1">
        <v>45869.333333333336</v>
      </c>
    </row>
    <row r="226" spans="1:8" x14ac:dyDescent="0.25">
      <c r="A226" s="7">
        <f>DATE(YEAR(m8_crossvalid[[#This Row],[cutoff]]),MONTH(m8_crossvalid[[#This Row],[cutoff]]),DAY(m8_crossvalid[[#This Row],[cutoff]]))</f>
        <v>45869</v>
      </c>
      <c r="B226" s="7">
        <f>DATE(YEAR(m8_crossvalid[[#This Row],[ds]]),MONTH(m8_crossvalid[[#This Row],[ds]]),DAY(m8_crossvalid[[#This Row],[ds]]))</f>
        <v>45877</v>
      </c>
      <c r="C226">
        <v>2032</v>
      </c>
      <c r="D226" s="1">
        <v>45877.333333333336</v>
      </c>
      <c r="E226">
        <v>2951.0597235380337</v>
      </c>
      <c r="F226">
        <v>1446.9669953938228</v>
      </c>
      <c r="G226">
        <v>4311.0308449179684</v>
      </c>
      <c r="H226" s="1">
        <v>45869.333333333336</v>
      </c>
    </row>
    <row r="227" spans="1:8" x14ac:dyDescent="0.25">
      <c r="A227" s="7">
        <f>DATE(YEAR(m8_crossvalid[[#This Row],[cutoff]]),MONTH(m8_crossvalid[[#This Row],[cutoff]]),DAY(m8_crossvalid[[#This Row],[cutoff]]))</f>
        <v>45869</v>
      </c>
      <c r="B227" s="7">
        <f>DATE(YEAR(m8_crossvalid[[#This Row],[ds]]),MONTH(m8_crossvalid[[#This Row],[ds]]),DAY(m8_crossvalid[[#This Row],[ds]]))</f>
        <v>45878</v>
      </c>
      <c r="C227">
        <v>327</v>
      </c>
      <c r="D227" s="1">
        <v>45878.333333333336</v>
      </c>
      <c r="E227">
        <v>314.45376335593801</v>
      </c>
      <c r="F227">
        <v>-1174.8942335245201</v>
      </c>
      <c r="G227">
        <v>1798.9928938874971</v>
      </c>
      <c r="H227" s="1">
        <v>45869.333333333336</v>
      </c>
    </row>
    <row r="228" spans="1:8" x14ac:dyDescent="0.25">
      <c r="A228" s="7">
        <f>DATE(YEAR(m8_crossvalid[[#This Row],[cutoff]]),MONTH(m8_crossvalid[[#This Row],[cutoff]]),DAY(m8_crossvalid[[#This Row],[cutoff]]))</f>
        <v>45869</v>
      </c>
      <c r="B228" s="7">
        <f>DATE(YEAR(m8_crossvalid[[#This Row],[ds]]),MONTH(m8_crossvalid[[#This Row],[ds]]),DAY(m8_crossvalid[[#This Row],[ds]]))</f>
        <v>45879</v>
      </c>
      <c r="C228">
        <v>78</v>
      </c>
      <c r="D228" s="1">
        <v>45879.333333333336</v>
      </c>
      <c r="E228">
        <v>-550.05401896692183</v>
      </c>
      <c r="F228">
        <v>-2046.9127528302433</v>
      </c>
      <c r="G228">
        <v>962.76766208783761</v>
      </c>
      <c r="H228" s="1">
        <v>45869.333333333336</v>
      </c>
    </row>
    <row r="229" spans="1:8" x14ac:dyDescent="0.25">
      <c r="A229" s="7">
        <f>DATE(YEAR(m8_crossvalid[[#This Row],[cutoff]]),MONTH(m8_crossvalid[[#This Row],[cutoff]]),DAY(m8_crossvalid[[#This Row],[cutoff]]))</f>
        <v>45869</v>
      </c>
      <c r="B229" s="7">
        <f>DATE(YEAR(m8_crossvalid[[#This Row],[ds]]),MONTH(m8_crossvalid[[#This Row],[ds]]),DAY(m8_crossvalid[[#This Row],[ds]]))</f>
        <v>45880</v>
      </c>
      <c r="C229">
        <v>2043</v>
      </c>
      <c r="D229" s="1">
        <v>45880.333333333336</v>
      </c>
      <c r="E229">
        <v>1934.1273531680904</v>
      </c>
      <c r="F229">
        <v>453.53026474625574</v>
      </c>
      <c r="G229">
        <v>3431.3489164260955</v>
      </c>
      <c r="H229" s="1">
        <v>45869.333333333336</v>
      </c>
    </row>
    <row r="230" spans="1:8" x14ac:dyDescent="0.25">
      <c r="A230" s="7">
        <f>DATE(YEAR(m8_crossvalid[[#This Row],[cutoff]]),MONTH(m8_crossvalid[[#This Row],[cutoff]]),DAY(m8_crossvalid[[#This Row],[cutoff]]))</f>
        <v>45869</v>
      </c>
      <c r="B230" s="7">
        <f>DATE(YEAR(m8_crossvalid[[#This Row],[ds]]),MONTH(m8_crossvalid[[#This Row],[ds]]),DAY(m8_crossvalid[[#This Row],[ds]]))</f>
        <v>45881</v>
      </c>
      <c r="C230">
        <v>2431</v>
      </c>
      <c r="D230" s="1">
        <v>45881.333333333336</v>
      </c>
      <c r="E230">
        <v>2410.5631883843057</v>
      </c>
      <c r="F230">
        <v>956.77281668547721</v>
      </c>
      <c r="G230">
        <v>4005.5730878674754</v>
      </c>
      <c r="H230" s="1">
        <v>45869.333333333336</v>
      </c>
    </row>
    <row r="231" spans="1:8" x14ac:dyDescent="0.25">
      <c r="A231" s="7">
        <f>DATE(YEAR(m8_crossvalid[[#This Row],[cutoff]]),MONTH(m8_crossvalid[[#This Row],[cutoff]]),DAY(m8_crossvalid[[#This Row],[cutoff]]))</f>
        <v>45869</v>
      </c>
      <c r="B231" s="7">
        <f>DATE(YEAR(m8_crossvalid[[#This Row],[ds]]),MONTH(m8_crossvalid[[#This Row],[ds]]),DAY(m8_crossvalid[[#This Row],[ds]]))</f>
        <v>45882</v>
      </c>
      <c r="C231">
        <v>2484</v>
      </c>
      <c r="D231" s="1">
        <v>45882.333333333336</v>
      </c>
      <c r="E231">
        <v>2624.2259187226318</v>
      </c>
      <c r="F231">
        <v>1125.2427144925537</v>
      </c>
      <c r="G231">
        <v>4062.7184860165253</v>
      </c>
      <c r="H231" s="1">
        <v>45869.333333333336</v>
      </c>
    </row>
    <row r="232" spans="1:8" x14ac:dyDescent="0.25">
      <c r="A232" s="7">
        <f>DATE(YEAR(m8_crossvalid[[#This Row],[cutoff]]),MONTH(m8_crossvalid[[#This Row],[cutoff]]),DAY(m8_crossvalid[[#This Row],[cutoff]]))</f>
        <v>45869</v>
      </c>
      <c r="B232" s="7">
        <f>DATE(YEAR(m8_crossvalid[[#This Row],[ds]]),MONTH(m8_crossvalid[[#This Row],[ds]]),DAY(m8_crossvalid[[#This Row],[ds]]))</f>
        <v>45883</v>
      </c>
      <c r="C232">
        <v>2669</v>
      </c>
      <c r="D232" s="1">
        <v>45883.333333333336</v>
      </c>
      <c r="E232">
        <v>2651.3584509535922</v>
      </c>
      <c r="F232">
        <v>1212.9860168335108</v>
      </c>
      <c r="G232">
        <v>4104.1492522210974</v>
      </c>
      <c r="H232" s="1">
        <v>45869.333333333336</v>
      </c>
    </row>
    <row r="233" spans="1:8" x14ac:dyDescent="0.25">
      <c r="A233" s="7">
        <f>DATE(YEAR(m8_crossvalid[[#This Row],[cutoff]]),MONTH(m8_crossvalid[[#This Row],[cutoff]]),DAY(m8_crossvalid[[#This Row],[cutoff]]))</f>
        <v>45869</v>
      </c>
      <c r="B233" s="7">
        <f>DATE(YEAR(m8_crossvalid[[#This Row],[ds]]),MONTH(m8_crossvalid[[#This Row],[ds]]),DAY(m8_crossvalid[[#This Row],[ds]]))</f>
        <v>45884</v>
      </c>
      <c r="C233">
        <v>3160</v>
      </c>
      <c r="D233" s="1">
        <v>45884.333333333336</v>
      </c>
      <c r="E233">
        <v>2624.9590895477368</v>
      </c>
      <c r="F233">
        <v>1113.7436909100616</v>
      </c>
      <c r="G233">
        <v>4004.2615874697517</v>
      </c>
      <c r="H233" s="1">
        <v>45869.333333333336</v>
      </c>
    </row>
    <row r="234" spans="1:8" x14ac:dyDescent="0.25">
      <c r="A234" s="7">
        <f>DATE(YEAR(m8_crossvalid[[#This Row],[cutoff]]),MONTH(m8_crossvalid[[#This Row],[cutoff]]),DAY(m8_crossvalid[[#This Row],[cutoff]]))</f>
        <v>45869</v>
      </c>
      <c r="B234" s="7">
        <f>DATE(YEAR(m8_crossvalid[[#This Row],[ds]]),MONTH(m8_crossvalid[[#This Row],[ds]]),DAY(m8_crossvalid[[#This Row],[ds]]))</f>
        <v>45885</v>
      </c>
      <c r="C234">
        <v>560</v>
      </c>
      <c r="D234" s="1">
        <v>45885.333333333336</v>
      </c>
      <c r="E234">
        <v>504.32605689127786</v>
      </c>
      <c r="F234">
        <v>-876.59754840329356</v>
      </c>
      <c r="G234">
        <v>1913.668482453771</v>
      </c>
      <c r="H234" s="1">
        <v>45869.333333333336</v>
      </c>
    </row>
    <row r="235" spans="1:8" x14ac:dyDescent="0.25">
      <c r="A235" s="7">
        <f>DATE(YEAR(m8_crossvalid[[#This Row],[cutoff]]),MONTH(m8_crossvalid[[#This Row],[cutoff]]),DAY(m8_crossvalid[[#This Row],[cutoff]]))</f>
        <v>45869</v>
      </c>
      <c r="B235" s="7">
        <f>DATE(YEAR(m8_crossvalid[[#This Row],[ds]]),MONTH(m8_crossvalid[[#This Row],[ds]]),DAY(m8_crossvalid[[#This Row],[ds]]))</f>
        <v>45886</v>
      </c>
      <c r="C235">
        <v>166</v>
      </c>
      <c r="D235" s="1">
        <v>45886.333333333336</v>
      </c>
      <c r="E235">
        <v>161.26367586557581</v>
      </c>
      <c r="F235">
        <v>-1286.0478953730535</v>
      </c>
      <c r="G235">
        <v>1634.1385709106398</v>
      </c>
      <c r="H235" s="1">
        <v>45869.333333333336</v>
      </c>
    </row>
    <row r="236" spans="1:8" x14ac:dyDescent="0.25">
      <c r="A236" s="7">
        <f>DATE(YEAR(m8_crossvalid[[#This Row],[cutoff]]),MONTH(m8_crossvalid[[#This Row],[cutoff]]),DAY(m8_crossvalid[[#This Row],[cutoff]]))</f>
        <v>45869</v>
      </c>
      <c r="B236" s="7">
        <f>DATE(YEAR(m8_crossvalid[[#This Row],[ds]]),MONTH(m8_crossvalid[[#This Row],[ds]]),DAY(m8_crossvalid[[#This Row],[ds]]))</f>
        <v>45887</v>
      </c>
      <c r="C236">
        <v>3003</v>
      </c>
      <c r="D236" s="1">
        <v>45887.333333333336</v>
      </c>
      <c r="E236">
        <v>2767.3466332022267</v>
      </c>
      <c r="F236">
        <v>1357.3321239779416</v>
      </c>
      <c r="G236">
        <v>4095.6107102658129</v>
      </c>
      <c r="H236" s="1">
        <v>45869.333333333336</v>
      </c>
    </row>
    <row r="237" spans="1:8" x14ac:dyDescent="0.25">
      <c r="A237" s="7">
        <f>DATE(YEAR(m8_crossvalid[[#This Row],[cutoff]]),MONTH(m8_crossvalid[[#This Row],[cutoff]]),DAY(m8_crossvalid[[#This Row],[cutoff]]))</f>
        <v>45869</v>
      </c>
      <c r="B237" s="7">
        <f>DATE(YEAR(m8_crossvalid[[#This Row],[ds]]),MONTH(m8_crossvalid[[#This Row],[ds]]),DAY(m8_crossvalid[[#This Row],[ds]]))</f>
        <v>45888</v>
      </c>
      <c r="C237">
        <v>3182</v>
      </c>
      <c r="D237" s="1">
        <v>45888.333333333336</v>
      </c>
      <c r="E237">
        <v>3067.9963392444611</v>
      </c>
      <c r="F237">
        <v>1651.391000073244</v>
      </c>
      <c r="G237">
        <v>4516.8621887463751</v>
      </c>
      <c r="H237" s="1">
        <v>45869.333333333336</v>
      </c>
    </row>
    <row r="238" spans="1:8" x14ac:dyDescent="0.25">
      <c r="A238" s="7">
        <f>DATE(YEAR(m8_crossvalid[[#This Row],[cutoff]]),MONTH(m8_crossvalid[[#This Row],[cutoff]]),DAY(m8_crossvalid[[#This Row],[cutoff]]))</f>
        <v>45869</v>
      </c>
      <c r="B238" s="7">
        <f>DATE(YEAR(m8_crossvalid[[#This Row],[ds]]),MONTH(m8_crossvalid[[#This Row],[ds]]),DAY(m8_crossvalid[[#This Row],[ds]]))</f>
        <v>45889</v>
      </c>
      <c r="C238">
        <v>3745</v>
      </c>
      <c r="D238" s="1">
        <v>45889.333333333336</v>
      </c>
      <c r="E238">
        <v>3261.0891185799587</v>
      </c>
      <c r="F238">
        <v>1884.6553249913529</v>
      </c>
      <c r="G238">
        <v>4644.2694178284619</v>
      </c>
      <c r="H238" s="1">
        <v>45869.333333333336</v>
      </c>
    </row>
    <row r="239" spans="1:8" x14ac:dyDescent="0.25">
      <c r="A239" s="7">
        <f>DATE(YEAR(m8_crossvalid[[#This Row],[cutoff]]),MONTH(m8_crossvalid[[#This Row],[cutoff]]),DAY(m8_crossvalid[[#This Row],[cutoff]]))</f>
        <v>45869</v>
      </c>
      <c r="B239" s="7">
        <f>DATE(YEAR(m8_crossvalid[[#This Row],[ds]]),MONTH(m8_crossvalid[[#This Row],[ds]]),DAY(m8_crossvalid[[#This Row],[ds]]))</f>
        <v>45890</v>
      </c>
      <c r="C239">
        <v>3754</v>
      </c>
      <c r="D239" s="1">
        <v>45890.333333333336</v>
      </c>
      <c r="E239">
        <v>3361.1018934967319</v>
      </c>
      <c r="F239">
        <v>2025.0724699170325</v>
      </c>
      <c r="G239">
        <v>4834.5089456960459</v>
      </c>
      <c r="H239" s="1">
        <v>45869.333333333336</v>
      </c>
    </row>
    <row r="240" spans="1:8" x14ac:dyDescent="0.25">
      <c r="A240" s="7">
        <f>DATE(YEAR(m8_crossvalid[[#This Row],[cutoff]]),MONTH(m8_crossvalid[[#This Row],[cutoff]]),DAY(m8_crossvalid[[#This Row],[cutoff]]))</f>
        <v>45869</v>
      </c>
      <c r="B240" s="7">
        <f>DATE(YEAR(m8_crossvalid[[#This Row],[ds]]),MONTH(m8_crossvalid[[#This Row],[ds]]),DAY(m8_crossvalid[[#This Row],[ds]]))</f>
        <v>45891</v>
      </c>
      <c r="C240">
        <v>3741</v>
      </c>
      <c r="D240" s="1">
        <v>45891.333333333336</v>
      </c>
      <c r="E240">
        <v>3313.0940903301839</v>
      </c>
      <c r="F240">
        <v>1872.7059809772343</v>
      </c>
      <c r="G240">
        <v>4789.4014361091386</v>
      </c>
      <c r="H240" s="1">
        <v>45869.333333333336</v>
      </c>
    </row>
    <row r="241" spans="1:8" x14ac:dyDescent="0.25">
      <c r="A241" s="7">
        <f>DATE(YEAR(m8_crossvalid[[#This Row],[cutoff]]),MONTH(m8_crossvalid[[#This Row],[cutoff]]),DAY(m8_crossvalid[[#This Row],[cutoff]]))</f>
        <v>45869</v>
      </c>
      <c r="B241" s="7">
        <f>DATE(YEAR(m8_crossvalid[[#This Row],[ds]]),MONTH(m8_crossvalid[[#This Row],[ds]]),DAY(m8_crossvalid[[#This Row],[ds]]))</f>
        <v>45892</v>
      </c>
      <c r="C241">
        <v>761</v>
      </c>
      <c r="D241" s="1">
        <v>45892.333333333336</v>
      </c>
      <c r="E241">
        <v>1246.2379667865521</v>
      </c>
      <c r="F241">
        <v>-186.44419084606417</v>
      </c>
      <c r="G241">
        <v>2727.265650655796</v>
      </c>
      <c r="H241" s="1">
        <v>45869.333333333336</v>
      </c>
    </row>
    <row r="242" spans="1:8" x14ac:dyDescent="0.25">
      <c r="A242" s="7">
        <f>DATE(YEAR(m8_crossvalid[[#This Row],[cutoff]]),MONTH(m8_crossvalid[[#This Row],[cutoff]]),DAY(m8_crossvalid[[#This Row],[cutoff]]))</f>
        <v>45869</v>
      </c>
      <c r="B242" s="7">
        <f>DATE(YEAR(m8_crossvalid[[#This Row],[ds]]),MONTH(m8_crossvalid[[#This Row],[ds]]),DAY(m8_crossvalid[[#This Row],[ds]]))</f>
        <v>45893</v>
      </c>
      <c r="C242">
        <v>239</v>
      </c>
      <c r="D242" s="1">
        <v>45893.333333333336</v>
      </c>
      <c r="E242">
        <v>992.71717752798304</v>
      </c>
      <c r="F242">
        <v>-393.05819378323633</v>
      </c>
      <c r="G242">
        <v>2477.9215959265794</v>
      </c>
      <c r="H242" s="1">
        <v>45869.333333333336</v>
      </c>
    </row>
    <row r="243" spans="1:8" x14ac:dyDescent="0.25">
      <c r="A243" s="7">
        <f>DATE(YEAR(m8_crossvalid[[#This Row],[cutoff]]),MONTH(m8_crossvalid[[#This Row],[cutoff]]),DAY(m8_crossvalid[[#This Row],[cutoff]]))</f>
        <v>45869</v>
      </c>
      <c r="B243" s="7">
        <f>DATE(YEAR(m8_crossvalid[[#This Row],[ds]]),MONTH(m8_crossvalid[[#This Row],[ds]]),DAY(m8_crossvalid[[#This Row],[ds]]))</f>
        <v>45894</v>
      </c>
      <c r="C243">
        <v>3838</v>
      </c>
      <c r="D243" s="1">
        <v>45894.333333333336</v>
      </c>
      <c r="E243">
        <v>3615.1182469083524</v>
      </c>
      <c r="F243">
        <v>2242.1222425240317</v>
      </c>
      <c r="G243">
        <v>5069.9154088292589</v>
      </c>
      <c r="H243" s="1">
        <v>45869.333333333336</v>
      </c>
    </row>
    <row r="244" spans="1:8" x14ac:dyDescent="0.25">
      <c r="A244" s="7">
        <f>DATE(YEAR(m8_crossvalid[[#This Row],[cutoff]]),MONTH(m8_crossvalid[[#This Row],[cutoff]]),DAY(m8_crossvalid[[#This Row],[cutoff]]))</f>
        <v>45869</v>
      </c>
      <c r="B244" s="7">
        <f>DATE(YEAR(m8_crossvalid[[#This Row],[ds]]),MONTH(m8_crossvalid[[#This Row],[ds]]),DAY(m8_crossvalid[[#This Row],[ds]]))</f>
        <v>45895</v>
      </c>
      <c r="C244">
        <v>5214</v>
      </c>
      <c r="D244" s="1">
        <v>45895.333333333336</v>
      </c>
      <c r="E244">
        <v>3985.1383928740865</v>
      </c>
      <c r="F244">
        <v>2596.8133779110108</v>
      </c>
      <c r="G244">
        <v>5531.8199698573799</v>
      </c>
      <c r="H244" s="1">
        <v>45869.333333333336</v>
      </c>
    </row>
    <row r="245" spans="1:8" x14ac:dyDescent="0.25">
      <c r="A245" s="7">
        <f>DATE(YEAR(m8_crossvalid[[#This Row],[cutoff]]),MONTH(m8_crossvalid[[#This Row],[cutoff]]),DAY(m8_crossvalid[[#This Row],[cutoff]]))</f>
        <v>45869</v>
      </c>
      <c r="B245" s="7">
        <f>DATE(YEAR(m8_crossvalid[[#This Row],[ds]]),MONTH(m8_crossvalid[[#This Row],[ds]]),DAY(m8_crossvalid[[#This Row],[ds]]))</f>
        <v>45896</v>
      </c>
      <c r="C245">
        <v>5989</v>
      </c>
      <c r="D245" s="1">
        <v>45896.333333333336</v>
      </c>
      <c r="E245">
        <v>5021.9710445987785</v>
      </c>
      <c r="F245">
        <v>3613.5008528269659</v>
      </c>
      <c r="G245">
        <v>6406.1764368129543</v>
      </c>
      <c r="H245" s="1">
        <v>45869.333333333336</v>
      </c>
    </row>
    <row r="246" spans="1:8" x14ac:dyDescent="0.25">
      <c r="A246" s="7">
        <f>DATE(YEAR(m8_crossvalid[[#This Row],[cutoff]]),MONTH(m8_crossvalid[[#This Row],[cutoff]]),DAY(m8_crossvalid[[#This Row],[cutoff]]))</f>
        <v>45869</v>
      </c>
      <c r="B246" s="7">
        <f>DATE(YEAR(m8_crossvalid[[#This Row],[ds]]),MONTH(m8_crossvalid[[#This Row],[ds]]),DAY(m8_crossvalid[[#This Row],[ds]]))</f>
        <v>45897</v>
      </c>
      <c r="C246">
        <v>7115</v>
      </c>
      <c r="D246" s="1">
        <v>45897.333333333336</v>
      </c>
      <c r="E246">
        <v>5143.9116555606561</v>
      </c>
      <c r="F246">
        <v>3693.7667418317214</v>
      </c>
      <c r="G246">
        <v>6595.9084379157248</v>
      </c>
      <c r="H246" s="1">
        <v>45869.333333333336</v>
      </c>
    </row>
    <row r="247" spans="1:8" x14ac:dyDescent="0.25">
      <c r="A247" s="7">
        <f>DATE(YEAR(m8_crossvalid[[#This Row],[cutoff]]),MONTH(m8_crossvalid[[#This Row],[cutoff]]),DAY(m8_crossvalid[[#This Row],[cutoff]]))</f>
        <v>45869</v>
      </c>
      <c r="B247" s="7">
        <f>DATE(YEAR(m8_crossvalid[[#This Row],[ds]]),MONTH(m8_crossvalid[[#This Row],[ds]]),DAY(m8_crossvalid[[#This Row],[ds]]))</f>
        <v>45898</v>
      </c>
      <c r="C247">
        <v>9571</v>
      </c>
      <c r="D247" s="1">
        <v>45898.333333333336</v>
      </c>
      <c r="E247">
        <v>5429.653483303885</v>
      </c>
      <c r="F247">
        <v>3951.582494743257</v>
      </c>
      <c r="G247">
        <v>6848.1492832379536</v>
      </c>
      <c r="H247" s="1">
        <v>45869.333333333336</v>
      </c>
    </row>
    <row r="248" spans="1:8" x14ac:dyDescent="0.25">
      <c r="A248" s="7">
        <f>DATE(YEAR(m8_crossvalid[[#This Row],[cutoff]]),MONTH(m8_crossvalid[[#This Row],[cutoff]]),DAY(m8_crossvalid[[#This Row],[cutoff]]))</f>
        <v>45869</v>
      </c>
      <c r="B248" s="7">
        <f>DATE(YEAR(m8_crossvalid[[#This Row],[ds]]),MONTH(m8_crossvalid[[#This Row],[ds]]),DAY(m8_crossvalid[[#This Row],[ds]]))</f>
        <v>45899</v>
      </c>
      <c r="C248">
        <v>5764</v>
      </c>
      <c r="D248" s="1">
        <v>45899.333333333336</v>
      </c>
      <c r="E248">
        <v>5418.6959906847915</v>
      </c>
      <c r="F248">
        <v>3862.6086351438944</v>
      </c>
      <c r="G248">
        <v>6793.3175386112498</v>
      </c>
      <c r="H248" s="1">
        <v>45869.333333333336</v>
      </c>
    </row>
    <row r="249" spans="1:8" x14ac:dyDescent="0.25">
      <c r="A249" s="7">
        <f>DATE(YEAR(m8_crossvalid[[#This Row],[cutoff]]),MONTH(m8_crossvalid[[#This Row],[cutoff]]),DAY(m8_crossvalid[[#This Row],[cutoff]]))</f>
        <v>45869</v>
      </c>
      <c r="B249" s="7">
        <f>DATE(YEAR(m8_crossvalid[[#This Row],[ds]]),MONTH(m8_crossvalid[[#This Row],[ds]]),DAY(m8_crossvalid[[#This Row],[ds]]))</f>
        <v>45900</v>
      </c>
      <c r="C249">
        <v>386</v>
      </c>
      <c r="D249" s="1">
        <v>45900.333333333336</v>
      </c>
      <c r="E249">
        <v>5272.871911818982</v>
      </c>
      <c r="F249">
        <v>3750.5576050974487</v>
      </c>
      <c r="G249">
        <v>6662.9772806670608</v>
      </c>
      <c r="H249" s="1">
        <v>45869.333333333336</v>
      </c>
    </row>
    <row r="250" spans="1:8" x14ac:dyDescent="0.25">
      <c r="A250" s="7">
        <f>DATE(YEAR(m8_crossvalid[[#This Row],[cutoff]]),MONTH(m8_crossvalid[[#This Row],[cutoff]]),DAY(m8_crossvalid[[#This Row],[cutoff]]))</f>
        <v>45900</v>
      </c>
      <c r="B250" s="7">
        <f>DATE(YEAR(m8_crossvalid[[#This Row],[ds]]),MONTH(m8_crossvalid[[#This Row],[ds]]),DAY(m8_crossvalid[[#This Row],[ds]]))</f>
        <v>45901</v>
      </c>
      <c r="C250">
        <v>34</v>
      </c>
      <c r="D250" s="1">
        <v>45901.333333333336</v>
      </c>
      <c r="E250">
        <v>289.15167360598616</v>
      </c>
      <c r="F250">
        <v>-1122.6067790529007</v>
      </c>
      <c r="G250">
        <v>1819.9092094790572</v>
      </c>
      <c r="H250" s="1">
        <v>45900.333333333336</v>
      </c>
    </row>
    <row r="251" spans="1:8" x14ac:dyDescent="0.25">
      <c r="A251" s="7">
        <f>DATE(YEAR(m8_crossvalid[[#This Row],[cutoff]]),MONTH(m8_crossvalid[[#This Row],[cutoff]]),DAY(m8_crossvalid[[#This Row],[cutoff]]))</f>
        <v>45900</v>
      </c>
      <c r="B251" s="7">
        <f>DATE(YEAR(m8_crossvalid[[#This Row],[ds]]),MONTH(m8_crossvalid[[#This Row],[ds]]),DAY(m8_crossvalid[[#This Row],[ds]]))</f>
        <v>45902</v>
      </c>
      <c r="C251">
        <v>463</v>
      </c>
      <c r="D251" s="1">
        <v>45902.333333333336</v>
      </c>
      <c r="E251">
        <v>1824.7623702715323</v>
      </c>
      <c r="F251">
        <v>294.30875897751304</v>
      </c>
      <c r="G251">
        <v>3277.1777476734992</v>
      </c>
      <c r="H251" s="1">
        <v>45900.333333333336</v>
      </c>
    </row>
    <row r="252" spans="1:8" x14ac:dyDescent="0.25">
      <c r="A252" s="7">
        <f>DATE(YEAR(m8_crossvalid[[#This Row],[cutoff]]),MONTH(m8_crossvalid[[#This Row],[cutoff]]),DAY(m8_crossvalid[[#This Row],[cutoff]]))</f>
        <v>45900</v>
      </c>
      <c r="B252" s="7">
        <f>DATE(YEAR(m8_crossvalid[[#This Row],[ds]]),MONTH(m8_crossvalid[[#This Row],[ds]]),DAY(m8_crossvalid[[#This Row],[ds]]))</f>
        <v>45903</v>
      </c>
      <c r="C252">
        <v>734</v>
      </c>
      <c r="D252" s="1">
        <v>45903.333333333336</v>
      </c>
      <c r="E252">
        <v>2018.1097903531258</v>
      </c>
      <c r="F252">
        <v>672.87934294649926</v>
      </c>
      <c r="G252">
        <v>3461.5021016637488</v>
      </c>
      <c r="H252" s="1">
        <v>45900.333333333336</v>
      </c>
    </row>
    <row r="253" spans="1:8" x14ac:dyDescent="0.25">
      <c r="A253" s="7">
        <f>DATE(YEAR(m8_crossvalid[[#This Row],[cutoff]]),MONTH(m8_crossvalid[[#This Row],[cutoff]]),DAY(m8_crossvalid[[#This Row],[cutoff]]))</f>
        <v>45900</v>
      </c>
      <c r="B253" s="7">
        <f>DATE(YEAR(m8_crossvalid[[#This Row],[ds]]),MONTH(m8_crossvalid[[#This Row],[ds]]),DAY(m8_crossvalid[[#This Row],[ds]]))</f>
        <v>45904</v>
      </c>
      <c r="C253">
        <v>973</v>
      </c>
      <c r="D253" s="1">
        <v>45904.333333333336</v>
      </c>
      <c r="E253">
        <v>1948.0514247639339</v>
      </c>
      <c r="F253">
        <v>437.35324252589442</v>
      </c>
      <c r="G253">
        <v>3392.3823127958185</v>
      </c>
      <c r="H253" s="1">
        <v>45900.333333333336</v>
      </c>
    </row>
    <row r="254" spans="1:8" x14ac:dyDescent="0.25">
      <c r="A254" s="7">
        <f>DATE(YEAR(m8_crossvalid[[#This Row],[cutoff]]),MONTH(m8_crossvalid[[#This Row],[cutoff]]),DAY(m8_crossvalid[[#This Row],[cutoff]]))</f>
        <v>45900</v>
      </c>
      <c r="B254" s="7">
        <f>DATE(YEAR(m8_crossvalid[[#This Row],[ds]]),MONTH(m8_crossvalid[[#This Row],[ds]]),DAY(m8_crossvalid[[#This Row],[ds]]))</f>
        <v>45905</v>
      </c>
      <c r="C254">
        <v>61</v>
      </c>
      <c r="D254" s="1">
        <v>45905.333333333336</v>
      </c>
      <c r="E254">
        <v>79.509108797562021</v>
      </c>
      <c r="F254">
        <v>-1339.5612760980712</v>
      </c>
      <c r="G254">
        <v>1499.1156938550271</v>
      </c>
      <c r="H254" s="1">
        <v>45900.333333333336</v>
      </c>
    </row>
    <row r="255" spans="1:8" x14ac:dyDescent="0.25">
      <c r="A255" s="7">
        <f>DATE(YEAR(m8_crossvalid[[#This Row],[cutoff]]),MONTH(m8_crossvalid[[#This Row],[cutoff]]),DAY(m8_crossvalid[[#This Row],[cutoff]]))</f>
        <v>45900</v>
      </c>
      <c r="B255" s="7">
        <f>DATE(YEAR(m8_crossvalid[[#This Row],[ds]]),MONTH(m8_crossvalid[[#This Row],[ds]]),DAY(m8_crossvalid[[#This Row],[ds]]))</f>
        <v>45906</v>
      </c>
      <c r="C255">
        <v>107</v>
      </c>
      <c r="D255" s="1">
        <v>45906.333333333336</v>
      </c>
      <c r="E255">
        <v>-368.59438314713998</v>
      </c>
      <c r="F255">
        <v>-1870.9038081405465</v>
      </c>
      <c r="G255">
        <v>1018.0670867371364</v>
      </c>
      <c r="H255" s="1">
        <v>45900.333333333336</v>
      </c>
    </row>
    <row r="256" spans="1:8" x14ac:dyDescent="0.25">
      <c r="A256" s="7">
        <f>DATE(YEAR(m8_crossvalid[[#This Row],[cutoff]]),MONTH(m8_crossvalid[[#This Row],[cutoff]]),DAY(m8_crossvalid[[#This Row],[cutoff]]))</f>
        <v>45900</v>
      </c>
      <c r="B256" s="7">
        <f>DATE(YEAR(m8_crossvalid[[#This Row],[ds]]),MONTH(m8_crossvalid[[#This Row],[ds]]),DAY(m8_crossvalid[[#This Row],[ds]]))</f>
        <v>45907</v>
      </c>
      <c r="C256">
        <v>30</v>
      </c>
      <c r="D256" s="1">
        <v>45907.333333333336</v>
      </c>
      <c r="E256">
        <v>-987.03610178977578</v>
      </c>
      <c r="F256">
        <v>-2409.4705680604725</v>
      </c>
      <c r="G256">
        <v>539.01270742503402</v>
      </c>
      <c r="H256" s="1">
        <v>45900.333333333336</v>
      </c>
    </row>
    <row r="257" spans="1:8" x14ac:dyDescent="0.25">
      <c r="A257" s="7">
        <f>DATE(YEAR(m8_crossvalid[[#This Row],[cutoff]]),MONTH(m8_crossvalid[[#This Row],[cutoff]]),DAY(m8_crossvalid[[#This Row],[cutoff]]))</f>
        <v>45900</v>
      </c>
      <c r="B257" s="7">
        <f>DATE(YEAR(m8_crossvalid[[#This Row],[ds]]),MONTH(m8_crossvalid[[#This Row],[ds]]),DAY(m8_crossvalid[[#This Row],[ds]]))</f>
        <v>45908</v>
      </c>
      <c r="C257">
        <v>1382</v>
      </c>
      <c r="D257" s="1">
        <v>45908.333333333336</v>
      </c>
      <c r="E257">
        <v>2316.2409624841462</v>
      </c>
      <c r="F257">
        <v>912.18040604459793</v>
      </c>
      <c r="G257">
        <v>3826.7489593603082</v>
      </c>
      <c r="H257" s="1">
        <v>45900.333333333336</v>
      </c>
    </row>
    <row r="258" spans="1:8" x14ac:dyDescent="0.25">
      <c r="A258" s="7">
        <f>DATE(YEAR(m8_crossvalid[[#This Row],[cutoff]]),MONTH(m8_crossvalid[[#This Row],[cutoff]]),DAY(m8_crossvalid[[#This Row],[cutoff]]))</f>
        <v>45900</v>
      </c>
      <c r="B258" s="7">
        <f>DATE(YEAR(m8_crossvalid[[#This Row],[ds]]),MONTH(m8_crossvalid[[#This Row],[ds]]),DAY(m8_crossvalid[[#This Row],[ds]]))</f>
        <v>45909</v>
      </c>
      <c r="C258">
        <v>1925</v>
      </c>
      <c r="D258" s="1">
        <v>45909.333333333336</v>
      </c>
      <c r="E258">
        <v>2302.6056551749648</v>
      </c>
      <c r="F258">
        <v>924.63416674635073</v>
      </c>
      <c r="G258">
        <v>3823.062459874971</v>
      </c>
      <c r="H258" s="1">
        <v>45900.333333333336</v>
      </c>
    </row>
    <row r="259" spans="1:8" x14ac:dyDescent="0.25">
      <c r="A259" s="7">
        <f>DATE(YEAR(m8_crossvalid[[#This Row],[cutoff]]),MONTH(m8_crossvalid[[#This Row],[cutoff]]),DAY(m8_crossvalid[[#This Row],[cutoff]]))</f>
        <v>45900</v>
      </c>
      <c r="B259" s="7">
        <f>DATE(YEAR(m8_crossvalid[[#This Row],[ds]]),MONTH(m8_crossvalid[[#This Row],[ds]]),DAY(m8_crossvalid[[#This Row],[ds]]))</f>
        <v>45910</v>
      </c>
      <c r="C259">
        <v>1988</v>
      </c>
      <c r="D259" s="1">
        <v>45910.333333333336</v>
      </c>
      <c r="E259">
        <v>2242.055647285641</v>
      </c>
      <c r="F259">
        <v>839.45573488855507</v>
      </c>
      <c r="G259">
        <v>3714.1185098872033</v>
      </c>
      <c r="H259" s="1">
        <v>45900.333333333336</v>
      </c>
    </row>
    <row r="260" spans="1:8" x14ac:dyDescent="0.25">
      <c r="A260" s="7">
        <f>DATE(YEAR(m8_crossvalid[[#This Row],[cutoff]]),MONTH(m8_crossvalid[[#This Row],[cutoff]]),DAY(m8_crossvalid[[#This Row],[cutoff]]))</f>
        <v>45900</v>
      </c>
      <c r="B260" s="7">
        <f>DATE(YEAR(m8_crossvalid[[#This Row],[ds]]),MONTH(m8_crossvalid[[#This Row],[ds]]),DAY(m8_crossvalid[[#This Row],[ds]]))</f>
        <v>45911</v>
      </c>
      <c r="C260">
        <v>2414</v>
      </c>
      <c r="D260" s="1">
        <v>45911.333333333336</v>
      </c>
      <c r="E260">
        <v>2347.6066159076049</v>
      </c>
      <c r="F260">
        <v>889.39809423985946</v>
      </c>
      <c r="G260">
        <v>3743.4015725586978</v>
      </c>
      <c r="H260" s="1">
        <v>45900.333333333336</v>
      </c>
    </row>
    <row r="261" spans="1:8" x14ac:dyDescent="0.25">
      <c r="A261" s="7">
        <f>DATE(YEAR(m8_crossvalid[[#This Row],[cutoff]]),MONTH(m8_crossvalid[[#This Row],[cutoff]]),DAY(m8_crossvalid[[#This Row],[cutoff]]))</f>
        <v>45900</v>
      </c>
      <c r="B261" s="7">
        <f>DATE(YEAR(m8_crossvalid[[#This Row],[ds]]),MONTH(m8_crossvalid[[#This Row],[ds]]),DAY(m8_crossvalid[[#This Row],[ds]]))</f>
        <v>45912</v>
      </c>
      <c r="C261">
        <v>2644</v>
      </c>
      <c r="D261" s="1">
        <v>45912.333333333336</v>
      </c>
      <c r="E261">
        <v>2430.5139915827385</v>
      </c>
      <c r="F261">
        <v>1027.0307089040125</v>
      </c>
      <c r="G261">
        <v>3806.0555266478273</v>
      </c>
      <c r="H261" s="1">
        <v>45900.333333333336</v>
      </c>
    </row>
    <row r="262" spans="1:8" x14ac:dyDescent="0.25">
      <c r="A262" s="7">
        <f>DATE(YEAR(m8_crossvalid[[#This Row],[cutoff]]),MONTH(m8_crossvalid[[#This Row],[cutoff]]),DAY(m8_crossvalid[[#This Row],[cutoff]]))</f>
        <v>45900</v>
      </c>
      <c r="B262" s="7">
        <f>DATE(YEAR(m8_crossvalid[[#This Row],[ds]]),MONTH(m8_crossvalid[[#This Row],[ds]]),DAY(m8_crossvalid[[#This Row],[ds]]))</f>
        <v>45913</v>
      </c>
      <c r="C262">
        <v>439</v>
      </c>
      <c r="D262" s="1">
        <v>45913.333333333336</v>
      </c>
      <c r="E262">
        <v>214.46719450622641</v>
      </c>
      <c r="F262">
        <v>-1187.539073179976</v>
      </c>
      <c r="G262">
        <v>1710.0817167691027</v>
      </c>
      <c r="H262" s="1">
        <v>45900.333333333336</v>
      </c>
    </row>
    <row r="263" spans="1:8" x14ac:dyDescent="0.25">
      <c r="A263" s="7">
        <f>DATE(YEAR(m8_crossvalid[[#This Row],[cutoff]]),MONTH(m8_crossvalid[[#This Row],[cutoff]]),DAY(m8_crossvalid[[#This Row],[cutoff]]))</f>
        <v>45900</v>
      </c>
      <c r="B263" s="7">
        <f>DATE(YEAR(m8_crossvalid[[#This Row],[ds]]),MONTH(m8_crossvalid[[#This Row],[ds]]),DAY(m8_crossvalid[[#This Row],[ds]]))</f>
        <v>45914</v>
      </c>
      <c r="C263">
        <v>108</v>
      </c>
      <c r="D263" s="1">
        <v>45914.333333333336</v>
      </c>
      <c r="E263">
        <v>-334.93179628858888</v>
      </c>
      <c r="F263">
        <v>-1698.9747951264587</v>
      </c>
      <c r="G263">
        <v>1016.5085438846719</v>
      </c>
      <c r="H263" s="1">
        <v>45900.333333333336</v>
      </c>
    </row>
    <row r="264" spans="1:8" x14ac:dyDescent="0.25">
      <c r="A264" s="7">
        <f>DATE(YEAR(m8_crossvalid[[#This Row],[cutoff]]),MONTH(m8_crossvalid[[#This Row],[cutoff]]),DAY(m8_crossvalid[[#This Row],[cutoff]]))</f>
        <v>45900</v>
      </c>
      <c r="B264" s="7">
        <f>DATE(YEAR(m8_crossvalid[[#This Row],[ds]]),MONTH(m8_crossvalid[[#This Row],[ds]]),DAY(m8_crossvalid[[#This Row],[ds]]))</f>
        <v>45915</v>
      </c>
      <c r="C264">
        <v>19</v>
      </c>
      <c r="D264" s="1">
        <v>45915.333333333336</v>
      </c>
      <c r="E264">
        <v>454.3379795027613</v>
      </c>
      <c r="F264">
        <v>-934.17341029130557</v>
      </c>
      <c r="G264">
        <v>1852.6197302077492</v>
      </c>
      <c r="H264" s="1">
        <v>45900.333333333336</v>
      </c>
    </row>
    <row r="265" spans="1:8" x14ac:dyDescent="0.25">
      <c r="A265" s="7">
        <f>DATE(YEAR(m8_crossvalid[[#This Row],[cutoff]]),MONTH(m8_crossvalid[[#This Row],[cutoff]]),DAY(m8_crossvalid[[#This Row],[cutoff]]))</f>
        <v>45900</v>
      </c>
      <c r="B265" s="7">
        <f>DATE(YEAR(m8_crossvalid[[#This Row],[ds]]),MONTH(m8_crossvalid[[#This Row],[ds]]),DAY(m8_crossvalid[[#This Row],[ds]]))</f>
        <v>45916</v>
      </c>
      <c r="C265">
        <v>5</v>
      </c>
      <c r="D265" s="1">
        <v>45916.333333333336</v>
      </c>
      <c r="E265">
        <v>878.55072731096448</v>
      </c>
      <c r="F265">
        <v>-599.47729887741116</v>
      </c>
      <c r="G265">
        <v>2313.1787976233063</v>
      </c>
      <c r="H265" s="1">
        <v>45900.333333333336</v>
      </c>
    </row>
    <row r="266" spans="1:8" x14ac:dyDescent="0.25">
      <c r="A266" s="7">
        <f>DATE(YEAR(m8_crossvalid[[#This Row],[cutoff]]),MONTH(m8_crossvalid[[#This Row],[cutoff]]),DAY(m8_crossvalid[[#This Row],[cutoff]]))</f>
        <v>45900</v>
      </c>
      <c r="B266" s="7">
        <f>DATE(YEAR(m8_crossvalid[[#This Row],[ds]]),MONTH(m8_crossvalid[[#This Row],[ds]]),DAY(m8_crossvalid[[#This Row],[ds]]))</f>
        <v>45917</v>
      </c>
      <c r="C266">
        <v>2108</v>
      </c>
      <c r="D266" s="1">
        <v>45917.333333333336</v>
      </c>
      <c r="E266">
        <v>2904.8772089616623</v>
      </c>
      <c r="F266">
        <v>1493.1699369092737</v>
      </c>
      <c r="G266">
        <v>4413.5650682045807</v>
      </c>
      <c r="H266" s="1">
        <v>45900.333333333336</v>
      </c>
    </row>
    <row r="267" spans="1:8" x14ac:dyDescent="0.25">
      <c r="A267" s="7">
        <f>DATE(YEAR(m8_crossvalid[[#This Row],[cutoff]]),MONTH(m8_crossvalid[[#This Row],[cutoff]]),DAY(m8_crossvalid[[#This Row],[cutoff]]))</f>
        <v>45900</v>
      </c>
      <c r="B267" s="7">
        <f>DATE(YEAR(m8_crossvalid[[#This Row],[ds]]),MONTH(m8_crossvalid[[#This Row],[ds]]),DAY(m8_crossvalid[[#This Row],[ds]]))</f>
        <v>45918</v>
      </c>
      <c r="C267">
        <v>3129</v>
      </c>
      <c r="D267" s="1">
        <v>45918.333333333336</v>
      </c>
      <c r="E267">
        <v>2932.005257678893</v>
      </c>
      <c r="F267">
        <v>1413.8035779098443</v>
      </c>
      <c r="G267">
        <v>4478.9367273153284</v>
      </c>
      <c r="H267" s="1">
        <v>45900.333333333336</v>
      </c>
    </row>
    <row r="268" spans="1:8" x14ac:dyDescent="0.25">
      <c r="A268" s="7">
        <f>DATE(YEAR(m8_crossvalid[[#This Row],[cutoff]]),MONTH(m8_crossvalid[[#This Row],[cutoff]]),DAY(m8_crossvalid[[#This Row],[cutoff]]))</f>
        <v>45900</v>
      </c>
      <c r="B268" s="7">
        <f>DATE(YEAR(m8_crossvalid[[#This Row],[ds]]),MONTH(m8_crossvalid[[#This Row],[ds]]),DAY(m8_crossvalid[[#This Row],[ds]]))</f>
        <v>45919</v>
      </c>
      <c r="C268">
        <v>3027</v>
      </c>
      <c r="D268" s="1">
        <v>45919.333333333336</v>
      </c>
      <c r="E268">
        <v>2915.6307359006873</v>
      </c>
      <c r="F268">
        <v>1434.3305404652262</v>
      </c>
      <c r="G268">
        <v>4342.0860224922308</v>
      </c>
      <c r="H268" s="1">
        <v>45900.333333333336</v>
      </c>
    </row>
    <row r="269" spans="1:8" x14ac:dyDescent="0.25">
      <c r="A269" s="7">
        <f>DATE(YEAR(m8_crossvalid[[#This Row],[cutoff]]),MONTH(m8_crossvalid[[#This Row],[cutoff]]),DAY(m8_crossvalid[[#This Row],[cutoff]]))</f>
        <v>45900</v>
      </c>
      <c r="B269" s="7">
        <f>DATE(YEAR(m8_crossvalid[[#This Row],[ds]]),MONTH(m8_crossvalid[[#This Row],[ds]]),DAY(m8_crossvalid[[#This Row],[ds]]))</f>
        <v>45920</v>
      </c>
      <c r="C269">
        <v>525</v>
      </c>
      <c r="D269" s="1">
        <v>45920.333333333336</v>
      </c>
      <c r="E269">
        <v>771.15832692299546</v>
      </c>
      <c r="F269">
        <v>-629.38436964189293</v>
      </c>
      <c r="G269">
        <v>2072.2984691795609</v>
      </c>
      <c r="H269" s="1">
        <v>45900.333333333336</v>
      </c>
    </row>
    <row r="270" spans="1:8" x14ac:dyDescent="0.25">
      <c r="A270" s="7">
        <f>DATE(YEAR(m8_crossvalid[[#This Row],[cutoff]]),MONTH(m8_crossvalid[[#This Row],[cutoff]]),DAY(m8_crossvalid[[#This Row],[cutoff]]))</f>
        <v>45900</v>
      </c>
      <c r="B270" s="7">
        <f>DATE(YEAR(m8_crossvalid[[#This Row],[ds]]),MONTH(m8_crossvalid[[#This Row],[ds]]),DAY(m8_crossvalid[[#This Row],[ds]]))</f>
        <v>45921</v>
      </c>
      <c r="C270">
        <v>107</v>
      </c>
      <c r="D270" s="1">
        <v>45921.333333333336</v>
      </c>
      <c r="E270">
        <v>255.92131520777457</v>
      </c>
      <c r="F270">
        <v>-1148.949919149718</v>
      </c>
      <c r="G270">
        <v>1673.1209050782763</v>
      </c>
      <c r="H270" s="1">
        <v>45900.333333333336</v>
      </c>
    </row>
    <row r="271" spans="1:8" x14ac:dyDescent="0.25">
      <c r="A271" s="7">
        <f>DATE(YEAR(m8_crossvalid[[#This Row],[cutoff]]),MONTH(m8_crossvalid[[#This Row],[cutoff]]),DAY(m8_crossvalid[[#This Row],[cutoff]]))</f>
        <v>45900</v>
      </c>
      <c r="B271" s="7">
        <f>DATE(YEAR(m8_crossvalid[[#This Row],[ds]]),MONTH(m8_crossvalid[[#This Row],[ds]]),DAY(m8_crossvalid[[#This Row],[ds]]))</f>
        <v>45922</v>
      </c>
      <c r="C271">
        <v>2480</v>
      </c>
      <c r="D271" s="1">
        <v>45922.333333333336</v>
      </c>
      <c r="E271">
        <v>2862.9397664644343</v>
      </c>
      <c r="F271">
        <v>1495.0831799079374</v>
      </c>
      <c r="G271">
        <v>4240.0044966641462</v>
      </c>
      <c r="H271" s="1">
        <v>45900.333333333336</v>
      </c>
    </row>
    <row r="272" spans="1:8" x14ac:dyDescent="0.25">
      <c r="A272" s="7">
        <f>DATE(YEAR(m8_crossvalid[[#This Row],[cutoff]]),MONTH(m8_crossvalid[[#This Row],[cutoff]]),DAY(m8_crossvalid[[#This Row],[cutoff]]))</f>
        <v>45900</v>
      </c>
      <c r="B272" s="7">
        <f>DATE(YEAR(m8_crossvalid[[#This Row],[ds]]),MONTH(m8_crossvalid[[#This Row],[ds]]),DAY(m8_crossvalid[[#This Row],[ds]]))</f>
        <v>45923</v>
      </c>
      <c r="C272">
        <v>2893</v>
      </c>
      <c r="D272" s="1">
        <v>45923.333333333336</v>
      </c>
      <c r="E272">
        <v>3369.2333246439644</v>
      </c>
      <c r="F272">
        <v>1829.2864221588318</v>
      </c>
      <c r="G272">
        <v>4735.3778509099748</v>
      </c>
      <c r="H272" s="1">
        <v>45900.333333333336</v>
      </c>
    </row>
    <row r="273" spans="1:8" x14ac:dyDescent="0.25">
      <c r="A273" s="7">
        <f>DATE(YEAR(m8_crossvalid[[#This Row],[cutoff]]),MONTH(m8_crossvalid[[#This Row],[cutoff]]),DAY(m8_crossvalid[[#This Row],[cutoff]]))</f>
        <v>45900</v>
      </c>
      <c r="B273" s="7">
        <f>DATE(YEAR(m8_crossvalid[[#This Row],[ds]]),MONTH(m8_crossvalid[[#This Row],[ds]]),DAY(m8_crossvalid[[#This Row],[ds]]))</f>
        <v>45924</v>
      </c>
      <c r="C273">
        <v>3143</v>
      </c>
      <c r="D273" s="1">
        <v>45924.333333333336</v>
      </c>
      <c r="E273">
        <v>3670.2190317657805</v>
      </c>
      <c r="F273">
        <v>2150.8430582224623</v>
      </c>
      <c r="G273">
        <v>5095.6770199157763</v>
      </c>
      <c r="H273" s="1">
        <v>45900.333333333336</v>
      </c>
    </row>
    <row r="274" spans="1:8" x14ac:dyDescent="0.25">
      <c r="A274" s="7">
        <f>DATE(YEAR(m8_crossvalid[[#This Row],[cutoff]]),MONTH(m8_crossvalid[[#This Row],[cutoff]]),DAY(m8_crossvalid[[#This Row],[cutoff]]))</f>
        <v>45900</v>
      </c>
      <c r="B274" s="7">
        <f>DATE(YEAR(m8_crossvalid[[#This Row],[ds]]),MONTH(m8_crossvalid[[#This Row],[ds]]),DAY(m8_crossvalid[[#This Row],[ds]]))</f>
        <v>45925</v>
      </c>
      <c r="C274">
        <v>3361</v>
      </c>
      <c r="D274" s="1">
        <v>45925.333333333336</v>
      </c>
      <c r="E274">
        <v>3809.3722715543377</v>
      </c>
      <c r="F274">
        <v>2345.3387856837658</v>
      </c>
      <c r="G274">
        <v>5261.999153248129</v>
      </c>
      <c r="H274" s="1">
        <v>45900.333333333336</v>
      </c>
    </row>
    <row r="275" spans="1:8" x14ac:dyDescent="0.25">
      <c r="A275" s="7">
        <f>DATE(YEAR(m8_crossvalid[[#This Row],[cutoff]]),MONTH(m8_crossvalid[[#This Row],[cutoff]]),DAY(m8_crossvalid[[#This Row],[cutoff]]))</f>
        <v>45900</v>
      </c>
      <c r="B275" s="7">
        <f>DATE(YEAR(m8_crossvalid[[#This Row],[ds]]),MONTH(m8_crossvalid[[#This Row],[ds]]),DAY(m8_crossvalid[[#This Row],[ds]]))</f>
        <v>45926</v>
      </c>
      <c r="C275">
        <v>3885</v>
      </c>
      <c r="D275" s="1">
        <v>45926.333333333336</v>
      </c>
      <c r="E275">
        <v>4985.4704814214274</v>
      </c>
      <c r="F275">
        <v>3456.3158916212774</v>
      </c>
      <c r="G275">
        <v>6363.3480778496478</v>
      </c>
      <c r="H275" s="1">
        <v>45900.333333333336</v>
      </c>
    </row>
    <row r="276" spans="1:8" x14ac:dyDescent="0.25">
      <c r="A276" s="7">
        <f>DATE(YEAR(m8_crossvalid[[#This Row],[cutoff]]),MONTH(m8_crossvalid[[#This Row],[cutoff]]),DAY(m8_crossvalid[[#This Row],[cutoff]]))</f>
        <v>45900</v>
      </c>
      <c r="B276" s="7">
        <f>DATE(YEAR(m8_crossvalid[[#This Row],[ds]]),MONTH(m8_crossvalid[[#This Row],[ds]]),DAY(m8_crossvalid[[#This Row],[ds]]))</f>
        <v>45927</v>
      </c>
      <c r="C276">
        <v>1024</v>
      </c>
      <c r="D276" s="1">
        <v>45927.333333333336</v>
      </c>
      <c r="E276">
        <v>2698.0352953415572</v>
      </c>
      <c r="F276">
        <v>1220.5487622276407</v>
      </c>
      <c r="G276">
        <v>4065.9293320043967</v>
      </c>
      <c r="H276" s="1">
        <v>45900.333333333336</v>
      </c>
    </row>
    <row r="277" spans="1:8" x14ac:dyDescent="0.25">
      <c r="A277" s="7">
        <f>DATE(YEAR(m8_crossvalid[[#This Row],[cutoff]]),MONTH(m8_crossvalid[[#This Row],[cutoff]]),DAY(m8_crossvalid[[#This Row],[cutoff]]))</f>
        <v>45900</v>
      </c>
      <c r="B277" s="7">
        <f>DATE(YEAR(m8_crossvalid[[#This Row],[ds]]),MONTH(m8_crossvalid[[#This Row],[ds]]),DAY(m8_crossvalid[[#This Row],[ds]]))</f>
        <v>45928</v>
      </c>
      <c r="C277">
        <v>280</v>
      </c>
      <c r="D277" s="1">
        <v>45928.333333333336</v>
      </c>
      <c r="E277">
        <v>2334.3899493235831</v>
      </c>
      <c r="F277">
        <v>921.66936193799813</v>
      </c>
      <c r="G277">
        <v>3847.8561485339023</v>
      </c>
      <c r="H277" s="1">
        <v>45900.333333333336</v>
      </c>
    </row>
    <row r="278" spans="1:8" x14ac:dyDescent="0.25">
      <c r="A278" s="7">
        <f>DATE(YEAR(m8_crossvalid[[#This Row],[cutoff]]),MONTH(m8_crossvalid[[#This Row],[cutoff]]),DAY(m8_crossvalid[[#This Row],[cutoff]]))</f>
        <v>45900</v>
      </c>
      <c r="B278" s="7">
        <f>DATE(YEAR(m8_crossvalid[[#This Row],[ds]]),MONTH(m8_crossvalid[[#This Row],[ds]]),DAY(m8_crossvalid[[#This Row],[ds]]))</f>
        <v>45929</v>
      </c>
      <c r="C278">
        <v>8852</v>
      </c>
      <c r="D278" s="1">
        <v>45929.333333333336</v>
      </c>
      <c r="E278">
        <v>7302.7623470972012</v>
      </c>
      <c r="F278">
        <v>5774.8294406949735</v>
      </c>
      <c r="G278">
        <v>8814.5774389805429</v>
      </c>
      <c r="H278" s="1">
        <v>45900.333333333336</v>
      </c>
    </row>
    <row r="279" spans="1:8" x14ac:dyDescent="0.25">
      <c r="A279" s="7">
        <f>DATE(YEAR(m8_crossvalid[[#This Row],[cutoff]]),MONTH(m8_crossvalid[[#This Row],[cutoff]]),DAY(m8_crossvalid[[#This Row],[cutoff]]))</f>
        <v>45900</v>
      </c>
      <c r="B279" s="7">
        <f>DATE(YEAR(m8_crossvalid[[#This Row],[ds]]),MONTH(m8_crossvalid[[#This Row],[ds]]),DAY(m8_crossvalid[[#This Row],[ds]]))</f>
        <v>45930</v>
      </c>
      <c r="C279">
        <v>14458</v>
      </c>
      <c r="D279" s="1">
        <v>45930.333333333336</v>
      </c>
      <c r="E279">
        <v>9869.3790682810431</v>
      </c>
      <c r="F279">
        <v>8314.4299607700959</v>
      </c>
      <c r="G279">
        <v>11319.410949495259</v>
      </c>
      <c r="H279" s="1">
        <v>45900.333333333336</v>
      </c>
    </row>
    <row r="280" spans="1:8" x14ac:dyDescent="0.25">
      <c r="A280" s="7">
        <f>DATE(YEAR(m8_crossvalid[[#This Row],[cutoff]]),MONTH(m8_crossvalid[[#This Row],[cutoff]]),DAY(m8_crossvalid[[#This Row],[cutoff]]))</f>
        <v>45900</v>
      </c>
      <c r="B280" s="7">
        <f>DATE(YEAR(m8_crossvalid[[#This Row],[ds]]),MONTH(m8_crossvalid[[#This Row],[ds]]),DAY(m8_crossvalid[[#This Row],[ds]]))</f>
        <v>45931</v>
      </c>
      <c r="C280">
        <v>639</v>
      </c>
      <c r="D280" s="1">
        <v>45931.333333333336</v>
      </c>
      <c r="E280">
        <v>2593.986254348848</v>
      </c>
      <c r="F280">
        <v>1215.4673475275608</v>
      </c>
      <c r="G280">
        <v>4004.477732076643</v>
      </c>
      <c r="H280" s="1">
        <v>45900.333333333336</v>
      </c>
    </row>
    <row r="281" spans="1:8" x14ac:dyDescent="0.25">
      <c r="A281" s="7">
        <f>DATE(YEAR(m8_crossvalid[[#This Row],[cutoff]]),MONTH(m8_crossvalid[[#This Row],[cutoff]]),DAY(m8_crossvalid[[#This Row],[cutoff]]))</f>
        <v>45930</v>
      </c>
      <c r="B281" s="7">
        <f>DATE(YEAR(m8_crossvalid[[#This Row],[ds]]),MONTH(m8_crossvalid[[#This Row],[ds]]),DAY(m8_crossvalid[[#This Row],[ds]]))</f>
        <v>45931</v>
      </c>
      <c r="C281">
        <v>639</v>
      </c>
      <c r="D281" s="1">
        <v>45931.333333333336</v>
      </c>
      <c r="E281">
        <v>2576.2260812280219</v>
      </c>
      <c r="F281">
        <v>1105.3450769735578</v>
      </c>
      <c r="G281">
        <v>3946.5276243571061</v>
      </c>
      <c r="H281" s="1">
        <v>45930.333333333336</v>
      </c>
    </row>
    <row r="282" spans="1:8" x14ac:dyDescent="0.25">
      <c r="A282" s="7">
        <f>DATE(YEAR(m8_crossvalid[[#This Row],[cutoff]]),MONTH(m8_crossvalid[[#This Row],[cutoff]]),DAY(m8_crossvalid[[#This Row],[cutoff]]))</f>
        <v>45930</v>
      </c>
      <c r="B282" s="7">
        <f>DATE(YEAR(m8_crossvalid[[#This Row],[ds]]),MONTH(m8_crossvalid[[#This Row],[ds]]),DAY(m8_crossvalid[[#This Row],[ds]]))</f>
        <v>45932</v>
      </c>
      <c r="C282">
        <v>823</v>
      </c>
      <c r="D282" s="1">
        <v>45932.333333333336</v>
      </c>
      <c r="E282">
        <v>1681.0601056613159</v>
      </c>
      <c r="F282">
        <v>212.42761903534583</v>
      </c>
      <c r="G282">
        <v>3103.3910368314018</v>
      </c>
      <c r="H282" s="1">
        <v>45930.333333333336</v>
      </c>
    </row>
    <row r="283" spans="1:8" x14ac:dyDescent="0.25">
      <c r="A283" s="7">
        <f>DATE(YEAR(m8_crossvalid[[#This Row],[cutoff]]),MONTH(m8_crossvalid[[#This Row],[cutoff]]),DAY(m8_crossvalid[[#This Row],[cutoff]]))</f>
        <v>45930</v>
      </c>
      <c r="B283" s="7">
        <f>DATE(YEAR(m8_crossvalid[[#This Row],[ds]]),MONTH(m8_crossvalid[[#This Row],[ds]]),DAY(m8_crossvalid[[#This Row],[ds]]))</f>
        <v>45933</v>
      </c>
      <c r="C283">
        <v>996</v>
      </c>
      <c r="D283" s="1">
        <v>45933.333333333336</v>
      </c>
      <c r="E283">
        <v>1717.4402931639679</v>
      </c>
      <c r="F283">
        <v>247.04712668405068</v>
      </c>
      <c r="G283">
        <v>3136.7346636030861</v>
      </c>
      <c r="H283" s="1">
        <v>45930.333333333336</v>
      </c>
    </row>
    <row r="284" spans="1:8" x14ac:dyDescent="0.25">
      <c r="A284" s="7">
        <f>DATE(YEAR(m8_crossvalid[[#This Row],[cutoff]]),MONTH(m8_crossvalid[[#This Row],[cutoff]]),DAY(m8_crossvalid[[#This Row],[cutoff]]))</f>
        <v>45930</v>
      </c>
      <c r="B284" s="7">
        <f>DATE(YEAR(m8_crossvalid[[#This Row],[ds]]),MONTH(m8_crossvalid[[#This Row],[ds]]),DAY(m8_crossvalid[[#This Row],[ds]]))</f>
        <v>45934</v>
      </c>
      <c r="C284">
        <v>141</v>
      </c>
      <c r="D284" s="1">
        <v>45934.333333333336</v>
      </c>
      <c r="E284">
        <v>-541.91698613702056</v>
      </c>
      <c r="F284">
        <v>-1993.4853679019552</v>
      </c>
      <c r="G284">
        <v>825.35008313202081</v>
      </c>
      <c r="H284" s="1">
        <v>45930.333333333336</v>
      </c>
    </row>
    <row r="285" spans="1:8" x14ac:dyDescent="0.25">
      <c r="A285" s="7">
        <f>DATE(YEAR(m8_crossvalid[[#This Row],[cutoff]]),MONTH(m8_crossvalid[[#This Row],[cutoff]]),DAY(m8_crossvalid[[#This Row],[cutoff]]))</f>
        <v>45930</v>
      </c>
      <c r="B285" s="7">
        <f>DATE(YEAR(m8_crossvalid[[#This Row],[ds]]),MONTH(m8_crossvalid[[#This Row],[ds]]),DAY(m8_crossvalid[[#This Row],[ds]]))</f>
        <v>45935</v>
      </c>
      <c r="C285">
        <v>38</v>
      </c>
      <c r="D285" s="1">
        <v>45935.333333333336</v>
      </c>
      <c r="E285">
        <v>-1103.683778924225</v>
      </c>
      <c r="F285">
        <v>-2528.2579348759045</v>
      </c>
      <c r="G285">
        <v>329.78543760334105</v>
      </c>
      <c r="H285" s="1">
        <v>45930.333333333336</v>
      </c>
    </row>
    <row r="286" spans="1:8" x14ac:dyDescent="0.25">
      <c r="A286" s="7">
        <f>DATE(YEAR(m8_crossvalid[[#This Row],[cutoff]]),MONTH(m8_crossvalid[[#This Row],[cutoff]]),DAY(m8_crossvalid[[#This Row],[cutoff]]))</f>
        <v>45930</v>
      </c>
      <c r="B286" s="7">
        <f>DATE(YEAR(m8_crossvalid[[#This Row],[ds]]),MONTH(m8_crossvalid[[#This Row],[ds]]),DAY(m8_crossvalid[[#This Row],[ds]]))</f>
        <v>45936</v>
      </c>
      <c r="C286">
        <v>1044</v>
      </c>
      <c r="D286" s="1">
        <v>45936.333333333336</v>
      </c>
      <c r="E286">
        <v>1506.6159948969721</v>
      </c>
      <c r="F286">
        <v>6.451086369826089</v>
      </c>
      <c r="G286">
        <v>2995.7506879442299</v>
      </c>
      <c r="H286" s="1">
        <v>45930.333333333336</v>
      </c>
    </row>
    <row r="287" spans="1:8" x14ac:dyDescent="0.25">
      <c r="A287" s="7">
        <f>DATE(YEAR(m8_crossvalid[[#This Row],[cutoff]]),MONTH(m8_crossvalid[[#This Row],[cutoff]]),DAY(m8_crossvalid[[#This Row],[cutoff]]))</f>
        <v>45930</v>
      </c>
      <c r="B287" s="7">
        <f>DATE(YEAR(m8_crossvalid[[#This Row],[ds]]),MONTH(m8_crossvalid[[#This Row],[ds]]),DAY(m8_crossvalid[[#This Row],[ds]]))</f>
        <v>45937</v>
      </c>
      <c r="C287">
        <v>1351</v>
      </c>
      <c r="D287" s="1">
        <v>45937.333333333336</v>
      </c>
      <c r="E287">
        <v>1841.7104035508814</v>
      </c>
      <c r="F287">
        <v>470.69452205126277</v>
      </c>
      <c r="G287">
        <v>3265.701544946834</v>
      </c>
      <c r="H287" s="1">
        <v>45930.333333333336</v>
      </c>
    </row>
    <row r="288" spans="1:8" x14ac:dyDescent="0.25">
      <c r="A288" s="7">
        <f>DATE(YEAR(m8_crossvalid[[#This Row],[cutoff]]),MONTH(m8_crossvalid[[#This Row],[cutoff]]),DAY(m8_crossvalid[[#This Row],[cutoff]]))</f>
        <v>45930</v>
      </c>
      <c r="B288" s="7">
        <f>DATE(YEAR(m8_crossvalid[[#This Row],[ds]]),MONTH(m8_crossvalid[[#This Row],[ds]]),DAY(m8_crossvalid[[#This Row],[ds]]))</f>
        <v>45938</v>
      </c>
      <c r="C288">
        <v>1654</v>
      </c>
      <c r="D288" s="1">
        <v>45938.333333333336</v>
      </c>
      <c r="E288">
        <v>3024.810377970733</v>
      </c>
      <c r="F288">
        <v>1650.4011509121258</v>
      </c>
      <c r="G288">
        <v>4516.5508602123236</v>
      </c>
      <c r="H288" s="1">
        <v>45930.333333333336</v>
      </c>
    </row>
    <row r="289" spans="1:8" x14ac:dyDescent="0.25">
      <c r="A289" s="7">
        <f>DATE(YEAR(m8_crossvalid[[#This Row],[cutoff]]),MONTH(m8_crossvalid[[#This Row],[cutoff]]),DAY(m8_crossvalid[[#This Row],[cutoff]]))</f>
        <v>45930</v>
      </c>
      <c r="B289" s="7">
        <f>DATE(YEAR(m8_crossvalid[[#This Row],[ds]]),MONTH(m8_crossvalid[[#This Row],[ds]]),DAY(m8_crossvalid[[#This Row],[ds]]))</f>
        <v>45939</v>
      </c>
      <c r="C289">
        <v>2108</v>
      </c>
      <c r="D289" s="1">
        <v>45939.333333333336</v>
      </c>
      <c r="E289">
        <v>2674.9376238000204</v>
      </c>
      <c r="F289">
        <v>1227.169383572181</v>
      </c>
      <c r="G289">
        <v>4091.2064036744587</v>
      </c>
      <c r="H289" s="1">
        <v>45930.333333333336</v>
      </c>
    </row>
    <row r="290" spans="1:8" x14ac:dyDescent="0.25">
      <c r="A290" s="7">
        <f>DATE(YEAR(m8_crossvalid[[#This Row],[cutoff]]),MONTH(m8_crossvalid[[#This Row],[cutoff]]),DAY(m8_crossvalid[[#This Row],[cutoff]]))</f>
        <v>45930</v>
      </c>
      <c r="B290" s="7">
        <f>DATE(YEAR(m8_crossvalid[[#This Row],[ds]]),MONTH(m8_crossvalid[[#This Row],[ds]]),DAY(m8_crossvalid[[#This Row],[ds]]))</f>
        <v>45940</v>
      </c>
      <c r="C290">
        <v>2215</v>
      </c>
      <c r="D290" s="1">
        <v>45940.333333333336</v>
      </c>
      <c r="E290">
        <v>2283.1763792295947</v>
      </c>
      <c r="F290">
        <v>854.33919602884282</v>
      </c>
      <c r="G290">
        <v>3719.1509876208497</v>
      </c>
      <c r="H290" s="1">
        <v>45930.333333333336</v>
      </c>
    </row>
    <row r="291" spans="1:8" x14ac:dyDescent="0.25">
      <c r="A291" s="7">
        <f>DATE(YEAR(m8_crossvalid[[#This Row],[cutoff]]),MONTH(m8_crossvalid[[#This Row],[cutoff]]),DAY(m8_crossvalid[[#This Row],[cutoff]]))</f>
        <v>45930</v>
      </c>
      <c r="B291" s="7">
        <f>DATE(YEAR(m8_crossvalid[[#This Row],[ds]]),MONTH(m8_crossvalid[[#This Row],[ds]]),DAY(m8_crossvalid[[#This Row],[ds]]))</f>
        <v>45941</v>
      </c>
      <c r="C291">
        <v>380</v>
      </c>
      <c r="D291" s="1">
        <v>45941.333333333336</v>
      </c>
      <c r="E291">
        <v>29.650955111079838</v>
      </c>
      <c r="F291">
        <v>-1328.713517122681</v>
      </c>
      <c r="G291">
        <v>1477.9244892523029</v>
      </c>
      <c r="H291" s="1">
        <v>45930.333333333336</v>
      </c>
    </row>
    <row r="292" spans="1:8" x14ac:dyDescent="0.25">
      <c r="A292" s="7">
        <f>DATE(YEAR(m8_crossvalid[[#This Row],[cutoff]]),MONTH(m8_crossvalid[[#This Row],[cutoff]]),DAY(m8_crossvalid[[#This Row],[cutoff]]))</f>
        <v>45930</v>
      </c>
      <c r="B292" s="7">
        <f>DATE(YEAR(m8_crossvalid[[#This Row],[ds]]),MONTH(m8_crossvalid[[#This Row],[ds]]),DAY(m8_crossvalid[[#This Row],[ds]]))</f>
        <v>45942</v>
      </c>
      <c r="C292">
        <v>120</v>
      </c>
      <c r="D292" s="1">
        <v>45942.333333333336</v>
      </c>
      <c r="E292">
        <v>-321.92822127953923</v>
      </c>
      <c r="F292">
        <v>-1886.1453751493054</v>
      </c>
      <c r="G292">
        <v>1128.4066550647883</v>
      </c>
      <c r="H292" s="1">
        <v>45930.333333333336</v>
      </c>
    </row>
    <row r="293" spans="1:8" x14ac:dyDescent="0.25">
      <c r="A293" s="7">
        <f>DATE(YEAR(m8_crossvalid[[#This Row],[cutoff]]),MONTH(m8_crossvalid[[#This Row],[cutoff]]),DAY(m8_crossvalid[[#This Row],[cutoff]]))</f>
        <v>45930</v>
      </c>
      <c r="B293" s="7">
        <f>DATE(YEAR(m8_crossvalid[[#This Row],[ds]]),MONTH(m8_crossvalid[[#This Row],[ds]]),DAY(m8_crossvalid[[#This Row],[ds]]))</f>
        <v>45943</v>
      </c>
      <c r="C293">
        <v>2406</v>
      </c>
      <c r="D293" s="1">
        <v>45943.333333333336</v>
      </c>
      <c r="E293">
        <v>2303.716967096469</v>
      </c>
      <c r="F293">
        <v>797.60488234939646</v>
      </c>
      <c r="G293">
        <v>3823.5756846802806</v>
      </c>
      <c r="H293" s="1">
        <v>45930.333333333336</v>
      </c>
    </row>
    <row r="294" spans="1:8" x14ac:dyDescent="0.25">
      <c r="A294" s="7">
        <f>DATE(YEAR(m8_crossvalid[[#This Row],[cutoff]]),MONTH(m8_crossvalid[[#This Row],[cutoff]]),DAY(m8_crossvalid[[#This Row],[cutoff]]))</f>
        <v>45930</v>
      </c>
      <c r="B294" s="7">
        <f>DATE(YEAR(m8_crossvalid[[#This Row],[ds]]),MONTH(m8_crossvalid[[#This Row],[ds]]),DAY(m8_crossvalid[[#This Row],[ds]]))</f>
        <v>45944</v>
      </c>
      <c r="C294">
        <v>2958</v>
      </c>
      <c r="D294" s="1">
        <v>45944.333333333336</v>
      </c>
      <c r="E294">
        <v>2624.9484320078413</v>
      </c>
      <c r="F294">
        <v>1131.1911477382766</v>
      </c>
      <c r="G294">
        <v>4028.3136974604172</v>
      </c>
      <c r="H294" s="1">
        <v>45930.333333333336</v>
      </c>
    </row>
    <row r="295" spans="1:8" x14ac:dyDescent="0.25">
      <c r="A295" s="7">
        <f>DATE(YEAR(m8_crossvalid[[#This Row],[cutoff]]),MONTH(m8_crossvalid[[#This Row],[cutoff]]),DAY(m8_crossvalid[[#This Row],[cutoff]]))</f>
        <v>45930</v>
      </c>
      <c r="B295" s="7">
        <f>DATE(YEAR(m8_crossvalid[[#This Row],[ds]]),MONTH(m8_crossvalid[[#This Row],[ds]]),DAY(m8_crossvalid[[#This Row],[ds]]))</f>
        <v>45945</v>
      </c>
      <c r="C295">
        <v>3074</v>
      </c>
      <c r="D295" s="1">
        <v>45945.333333333336</v>
      </c>
      <c r="E295">
        <v>2718.4272020650237</v>
      </c>
      <c r="F295">
        <v>1216.9614760907818</v>
      </c>
      <c r="G295">
        <v>4289.6034019234021</v>
      </c>
      <c r="H295" s="1">
        <v>45930.333333333336</v>
      </c>
    </row>
    <row r="296" spans="1:8" x14ac:dyDescent="0.25">
      <c r="A296" s="7">
        <f>DATE(YEAR(m8_crossvalid[[#This Row],[cutoff]]),MONTH(m8_crossvalid[[#This Row],[cutoff]]),DAY(m8_crossvalid[[#This Row],[cutoff]]))</f>
        <v>45930</v>
      </c>
      <c r="B296" s="7">
        <f>DATE(YEAR(m8_crossvalid[[#This Row],[ds]]),MONTH(m8_crossvalid[[#This Row],[ds]]),DAY(m8_crossvalid[[#This Row],[ds]]))</f>
        <v>45946</v>
      </c>
      <c r="C296">
        <v>3505</v>
      </c>
      <c r="D296" s="1">
        <v>45946.333333333336</v>
      </c>
      <c r="E296">
        <v>2825.3288975252831</v>
      </c>
      <c r="F296">
        <v>1317.1344430209774</v>
      </c>
      <c r="G296">
        <v>4239.511567059385</v>
      </c>
      <c r="H296" s="1">
        <v>45930.333333333336</v>
      </c>
    </row>
    <row r="297" spans="1:8" x14ac:dyDescent="0.25">
      <c r="A297" s="7">
        <f>DATE(YEAR(m8_crossvalid[[#This Row],[cutoff]]),MONTH(m8_crossvalid[[#This Row],[cutoff]]),DAY(m8_crossvalid[[#This Row],[cutoff]]))</f>
        <v>45930</v>
      </c>
      <c r="B297" s="7">
        <f>DATE(YEAR(m8_crossvalid[[#This Row],[ds]]),MONTH(m8_crossvalid[[#This Row],[ds]]),DAY(m8_crossvalid[[#This Row],[ds]]))</f>
        <v>45947</v>
      </c>
      <c r="C297">
        <v>3630</v>
      </c>
      <c r="D297" s="1">
        <v>45947.333333333336</v>
      </c>
      <c r="E297">
        <v>2918.0270643691215</v>
      </c>
      <c r="F297">
        <v>1396.401527793076</v>
      </c>
      <c r="G297">
        <v>4407.7537964286294</v>
      </c>
      <c r="H297" s="1">
        <v>45930.333333333336</v>
      </c>
    </row>
    <row r="298" spans="1:8" x14ac:dyDescent="0.25">
      <c r="A298" s="7">
        <f>DATE(YEAR(m8_crossvalid[[#This Row],[cutoff]]),MONTH(m8_crossvalid[[#This Row],[cutoff]]),DAY(m8_crossvalid[[#This Row],[cutoff]]))</f>
        <v>45930</v>
      </c>
      <c r="B298" s="7">
        <f>DATE(YEAR(m8_crossvalid[[#This Row],[ds]]),MONTH(m8_crossvalid[[#This Row],[ds]]),DAY(m8_crossvalid[[#This Row],[ds]]))</f>
        <v>45948</v>
      </c>
      <c r="C298">
        <v>653</v>
      </c>
      <c r="D298" s="1">
        <v>45948.333333333336</v>
      </c>
      <c r="E298">
        <v>760.46654329032731</v>
      </c>
      <c r="F298">
        <v>-677.03472898921268</v>
      </c>
      <c r="G298">
        <v>2156.6573532951602</v>
      </c>
      <c r="H298" s="1">
        <v>45930.333333333336</v>
      </c>
    </row>
    <row r="299" spans="1:8" x14ac:dyDescent="0.25">
      <c r="A299" s="7">
        <f>DATE(YEAR(m8_crossvalid[[#This Row],[cutoff]]),MONTH(m8_crossvalid[[#This Row],[cutoff]]),DAY(m8_crossvalid[[#This Row],[cutoff]]))</f>
        <v>45930</v>
      </c>
      <c r="B299" s="7">
        <f>DATE(YEAR(m8_crossvalid[[#This Row],[ds]]),MONTH(m8_crossvalid[[#This Row],[ds]]),DAY(m8_crossvalid[[#This Row],[ds]]))</f>
        <v>45949</v>
      </c>
      <c r="C299">
        <v>180</v>
      </c>
      <c r="D299" s="1">
        <v>45949.333333333336</v>
      </c>
      <c r="E299">
        <v>231.36327954168246</v>
      </c>
      <c r="F299">
        <v>-1225.8214439066553</v>
      </c>
      <c r="G299">
        <v>1773.265418498389</v>
      </c>
      <c r="H299" s="1">
        <v>45930.333333333336</v>
      </c>
    </row>
    <row r="300" spans="1:8" x14ac:dyDescent="0.25">
      <c r="A300" s="7">
        <f>DATE(YEAR(m8_crossvalid[[#This Row],[cutoff]]),MONTH(m8_crossvalid[[#This Row],[cutoff]]),DAY(m8_crossvalid[[#This Row],[cutoff]]))</f>
        <v>45930</v>
      </c>
      <c r="B300" s="7">
        <f>DATE(YEAR(m8_crossvalid[[#This Row],[ds]]),MONTH(m8_crossvalid[[#This Row],[ds]]),DAY(m8_crossvalid[[#This Row],[ds]]))</f>
        <v>45950</v>
      </c>
      <c r="C300">
        <v>250</v>
      </c>
      <c r="D300" s="1">
        <v>45950.333333333336</v>
      </c>
      <c r="E300">
        <v>991.66911413240314</v>
      </c>
      <c r="F300">
        <v>-602.34016153537948</v>
      </c>
      <c r="G300">
        <v>2465.3391572705482</v>
      </c>
      <c r="H300" s="1">
        <v>45930.333333333336</v>
      </c>
    </row>
    <row r="301" spans="1:8" x14ac:dyDescent="0.25">
      <c r="A301" s="7">
        <f>DATE(YEAR(m8_crossvalid[[#This Row],[cutoff]]),MONTH(m8_crossvalid[[#This Row],[cutoff]]),DAY(m8_crossvalid[[#This Row],[cutoff]]))</f>
        <v>45930</v>
      </c>
      <c r="B301" s="7">
        <f>DATE(YEAR(m8_crossvalid[[#This Row],[ds]]),MONTH(m8_crossvalid[[#This Row],[ds]]),DAY(m8_crossvalid[[#This Row],[ds]]))</f>
        <v>45951</v>
      </c>
      <c r="C301">
        <v>2797</v>
      </c>
      <c r="D301" s="1">
        <v>45951.333333333336</v>
      </c>
      <c r="E301">
        <v>3200.7658319954699</v>
      </c>
      <c r="F301">
        <v>1715.6515574416344</v>
      </c>
      <c r="G301">
        <v>4682.2794931722501</v>
      </c>
      <c r="H301" s="1">
        <v>45930.333333333336</v>
      </c>
    </row>
    <row r="302" spans="1:8" x14ac:dyDescent="0.25">
      <c r="A302" s="7">
        <f>DATE(YEAR(m8_crossvalid[[#This Row],[cutoff]]),MONTH(m8_crossvalid[[#This Row],[cutoff]]),DAY(m8_crossvalid[[#This Row],[cutoff]]))</f>
        <v>45930</v>
      </c>
      <c r="B302" s="7">
        <f>DATE(YEAR(m8_crossvalid[[#This Row],[ds]]),MONTH(m8_crossvalid[[#This Row],[ds]]),DAY(m8_crossvalid[[#This Row],[ds]]))</f>
        <v>45952</v>
      </c>
      <c r="C302">
        <v>3644</v>
      </c>
      <c r="D302" s="1">
        <v>45952.333333333336</v>
      </c>
      <c r="E302">
        <v>3264.2157207819364</v>
      </c>
      <c r="F302">
        <v>1869.9102118031144</v>
      </c>
      <c r="G302">
        <v>4597.612048935126</v>
      </c>
      <c r="H302" s="1">
        <v>45930.333333333336</v>
      </c>
    </row>
    <row r="303" spans="1:8" x14ac:dyDescent="0.25">
      <c r="A303" s="7">
        <f>DATE(YEAR(m8_crossvalid[[#This Row],[cutoff]]),MONTH(m8_crossvalid[[#This Row],[cutoff]]),DAY(m8_crossvalid[[#This Row],[cutoff]]))</f>
        <v>45930</v>
      </c>
      <c r="B303" s="7">
        <f>DATE(YEAR(m8_crossvalid[[#This Row],[ds]]),MONTH(m8_crossvalid[[#This Row],[ds]]),DAY(m8_crossvalid[[#This Row],[ds]]))</f>
        <v>45953</v>
      </c>
      <c r="C303">
        <v>4009</v>
      </c>
      <c r="D303" s="1">
        <v>45953.333333333336</v>
      </c>
      <c r="E303">
        <v>3441.7706979229997</v>
      </c>
      <c r="F303">
        <v>2110.4159257193264</v>
      </c>
      <c r="G303">
        <v>4912.4573083011292</v>
      </c>
      <c r="H303" s="1">
        <v>45930.333333333336</v>
      </c>
    </row>
    <row r="304" spans="1:8" x14ac:dyDescent="0.25">
      <c r="A304" s="7">
        <f>DATE(YEAR(m8_crossvalid[[#This Row],[cutoff]]),MONTH(m8_crossvalid[[#This Row],[cutoff]]),DAY(m8_crossvalid[[#This Row],[cutoff]]))</f>
        <v>45930</v>
      </c>
      <c r="B304" s="7">
        <f>DATE(YEAR(m8_crossvalid[[#This Row],[ds]]),MONTH(m8_crossvalid[[#This Row],[ds]]),DAY(m8_crossvalid[[#This Row],[ds]]))</f>
        <v>45954</v>
      </c>
      <c r="C304">
        <v>4008</v>
      </c>
      <c r="D304" s="1">
        <v>45954.333333333336</v>
      </c>
      <c r="E304">
        <v>3610.9476943771906</v>
      </c>
      <c r="F304">
        <v>2106.0530676557651</v>
      </c>
      <c r="G304">
        <v>5086.8825851347865</v>
      </c>
      <c r="H304" s="1">
        <v>45930.333333333336</v>
      </c>
    </row>
    <row r="305" spans="1:8" x14ac:dyDescent="0.25">
      <c r="A305" s="7">
        <f>DATE(YEAR(m8_crossvalid[[#This Row],[cutoff]]),MONTH(m8_crossvalid[[#This Row],[cutoff]]),DAY(m8_crossvalid[[#This Row],[cutoff]]))</f>
        <v>45930</v>
      </c>
      <c r="B305" s="7">
        <f>DATE(YEAR(m8_crossvalid[[#This Row],[ds]]),MONTH(m8_crossvalid[[#This Row],[ds]]),DAY(m8_crossvalid[[#This Row],[ds]]))</f>
        <v>45955</v>
      </c>
      <c r="C305">
        <v>971</v>
      </c>
      <c r="D305" s="1">
        <v>45955.333333333336</v>
      </c>
      <c r="E305">
        <v>1491.2443953590991</v>
      </c>
      <c r="F305">
        <v>44.700791827580211</v>
      </c>
      <c r="G305">
        <v>2974.9083077820915</v>
      </c>
      <c r="H305" s="1">
        <v>45930.333333333336</v>
      </c>
    </row>
    <row r="306" spans="1:8" x14ac:dyDescent="0.25">
      <c r="A306" s="7">
        <f>DATE(YEAR(m8_crossvalid[[#This Row],[cutoff]]),MONTH(m8_crossvalid[[#This Row],[cutoff]]),DAY(m8_crossvalid[[#This Row],[cutoff]]))</f>
        <v>45930</v>
      </c>
      <c r="B306" s="7">
        <f>DATE(YEAR(m8_crossvalid[[#This Row],[ds]]),MONTH(m8_crossvalid[[#This Row],[ds]]),DAY(m8_crossvalid[[#This Row],[ds]]))</f>
        <v>45956</v>
      </c>
      <c r="C306">
        <v>238</v>
      </c>
      <c r="D306" s="1">
        <v>45956.333333333336</v>
      </c>
      <c r="E306">
        <v>1076.5193721811722</v>
      </c>
      <c r="F306">
        <v>-427.32957521956007</v>
      </c>
      <c r="G306">
        <v>2506.921309480364</v>
      </c>
      <c r="H306" s="1">
        <v>45930.333333333336</v>
      </c>
    </row>
    <row r="307" spans="1:8" x14ac:dyDescent="0.25">
      <c r="A307" s="7">
        <f>DATE(YEAR(m8_crossvalid[[#This Row],[cutoff]]),MONTH(m8_crossvalid[[#This Row],[cutoff]]),DAY(m8_crossvalid[[#This Row],[cutoff]]))</f>
        <v>45930</v>
      </c>
      <c r="B307" s="7">
        <f>DATE(YEAR(m8_crossvalid[[#This Row],[ds]]),MONTH(m8_crossvalid[[#This Row],[ds]]),DAY(m8_crossvalid[[#This Row],[ds]]))</f>
        <v>45957</v>
      </c>
      <c r="C307">
        <v>4219</v>
      </c>
      <c r="D307" s="1">
        <v>45957.333333333336</v>
      </c>
      <c r="E307">
        <v>4498.1944112840456</v>
      </c>
      <c r="F307">
        <v>3062.0542821274767</v>
      </c>
      <c r="G307">
        <v>5939.8461603713986</v>
      </c>
      <c r="H307" s="1">
        <v>45930.333333333336</v>
      </c>
    </row>
    <row r="308" spans="1:8" x14ac:dyDescent="0.25">
      <c r="A308" s="7">
        <f>DATE(YEAR(m8_crossvalid[[#This Row],[cutoff]]),MONTH(m8_crossvalid[[#This Row],[cutoff]]),DAY(m8_crossvalid[[#This Row],[cutoff]]))</f>
        <v>45930</v>
      </c>
      <c r="B308" s="7">
        <f>DATE(YEAR(m8_crossvalid[[#This Row],[ds]]),MONTH(m8_crossvalid[[#This Row],[ds]]),DAY(m8_crossvalid[[#This Row],[ds]]))</f>
        <v>45958</v>
      </c>
      <c r="C308">
        <v>5659</v>
      </c>
      <c r="D308" s="1">
        <v>45958.333333333336</v>
      </c>
      <c r="E308">
        <v>4928.6301248333257</v>
      </c>
      <c r="F308">
        <v>3490.0200286271465</v>
      </c>
      <c r="G308">
        <v>6377.8650136552596</v>
      </c>
      <c r="H308" s="1">
        <v>45930.333333333336</v>
      </c>
    </row>
    <row r="309" spans="1:8" x14ac:dyDescent="0.25">
      <c r="A309" s="7">
        <f>DATE(YEAR(m8_crossvalid[[#This Row],[cutoff]]),MONTH(m8_crossvalid[[#This Row],[cutoff]]),DAY(m8_crossvalid[[#This Row],[cutoff]]))</f>
        <v>45930</v>
      </c>
      <c r="B309" s="7">
        <f>DATE(YEAR(m8_crossvalid[[#This Row],[ds]]),MONTH(m8_crossvalid[[#This Row],[ds]]),DAY(m8_crossvalid[[#This Row],[ds]]))</f>
        <v>45959</v>
      </c>
      <c r="C309">
        <v>6381</v>
      </c>
      <c r="D309" s="1">
        <v>45959.333333333336</v>
      </c>
      <c r="E309">
        <v>5442.3003600060847</v>
      </c>
      <c r="F309">
        <v>4004.1646848846781</v>
      </c>
      <c r="G309">
        <v>6841.0681242927649</v>
      </c>
      <c r="H309" s="1">
        <v>45930.333333333336</v>
      </c>
    </row>
    <row r="310" spans="1:8" x14ac:dyDescent="0.25">
      <c r="A310" s="7">
        <f>DATE(YEAR(m8_crossvalid[[#This Row],[cutoff]]),MONTH(m8_crossvalid[[#This Row],[cutoff]]),DAY(m8_crossvalid[[#This Row],[cutoff]]))</f>
        <v>45930</v>
      </c>
      <c r="B310" s="7">
        <f>DATE(YEAR(m8_crossvalid[[#This Row],[ds]]),MONTH(m8_crossvalid[[#This Row],[ds]]),DAY(m8_crossvalid[[#This Row],[ds]]))</f>
        <v>45960</v>
      </c>
      <c r="C310">
        <v>7936</v>
      </c>
      <c r="D310" s="1">
        <v>45960.333333333336</v>
      </c>
      <c r="E310">
        <v>7786.4435408231484</v>
      </c>
      <c r="F310">
        <v>6221.3465677763525</v>
      </c>
      <c r="G310">
        <v>9229.2046160780083</v>
      </c>
      <c r="H310" s="1">
        <v>45930.333333333336</v>
      </c>
    </row>
    <row r="311" spans="1:8" x14ac:dyDescent="0.25">
      <c r="A311" s="7">
        <f>DATE(YEAR(m8_crossvalid[[#This Row],[cutoff]]),MONTH(m8_crossvalid[[#This Row],[cutoff]]),DAY(m8_crossvalid[[#This Row],[cutoff]]))</f>
        <v>45930</v>
      </c>
      <c r="B311" s="7">
        <f>DATE(YEAR(m8_crossvalid[[#This Row],[ds]]),MONTH(m8_crossvalid[[#This Row],[ds]]),DAY(m8_crossvalid[[#This Row],[ds]]))</f>
        <v>45961</v>
      </c>
      <c r="C311">
        <v>13386</v>
      </c>
      <c r="D311" s="1">
        <v>45961.333333333336</v>
      </c>
      <c r="E311">
        <v>9657.8559532674481</v>
      </c>
      <c r="F311">
        <v>8228.1270097540146</v>
      </c>
      <c r="G311">
        <v>11192.640441980107</v>
      </c>
      <c r="H311" s="1">
        <v>45930.333333333336</v>
      </c>
    </row>
    <row r="312" spans="1:8" x14ac:dyDescent="0.25">
      <c r="A312" s="7">
        <f>DATE(YEAR(m8_crossvalid[[#This Row],[cutoff]]),MONTH(m8_crossvalid[[#This Row],[cutoff]]),DAY(m8_crossvalid[[#This Row],[cutoff]]))</f>
        <v>45961</v>
      </c>
      <c r="B312" s="7">
        <f>DATE(YEAR(m8_crossvalid[[#This Row],[ds]]),MONTH(m8_crossvalid[[#This Row],[ds]]),DAY(m8_crossvalid[[#This Row],[ds]]))</f>
        <v>45962</v>
      </c>
      <c r="C312">
        <v>104</v>
      </c>
      <c r="D312" s="1">
        <v>45962.333333333336</v>
      </c>
      <c r="E312">
        <v>-74.332850126225367</v>
      </c>
      <c r="F312">
        <v>-1464.0384513486388</v>
      </c>
      <c r="G312">
        <v>1367.9240176031722</v>
      </c>
      <c r="H312" s="1">
        <v>45961.333333333336</v>
      </c>
    </row>
    <row r="313" spans="1:8" x14ac:dyDescent="0.25">
      <c r="A313" s="7">
        <f>DATE(YEAR(m8_crossvalid[[#This Row],[cutoff]]),MONTH(m8_crossvalid[[#This Row],[cutoff]]),DAY(m8_crossvalid[[#This Row],[cutoff]]))</f>
        <v>45961</v>
      </c>
      <c r="B313" s="7">
        <f>DATE(YEAR(m8_crossvalid[[#This Row],[ds]]),MONTH(m8_crossvalid[[#This Row],[ds]]),DAY(m8_crossvalid[[#This Row],[ds]]))</f>
        <v>45963</v>
      </c>
      <c r="C313">
        <v>32</v>
      </c>
      <c r="D313" s="1">
        <v>45963.333333333336</v>
      </c>
      <c r="E313">
        <v>-1200.7617882916584</v>
      </c>
      <c r="F313">
        <v>-2658.2312395143576</v>
      </c>
      <c r="G313">
        <v>159.3125872447128</v>
      </c>
      <c r="H313" s="1">
        <v>45961.333333333336</v>
      </c>
    </row>
    <row r="314" spans="1:8" x14ac:dyDescent="0.25">
      <c r="A314" s="7">
        <f>DATE(YEAR(m8_crossvalid[[#This Row],[cutoff]]),MONTH(m8_crossvalid[[#This Row],[cutoff]]),DAY(m8_crossvalid[[#This Row],[cutoff]]))</f>
        <v>45961</v>
      </c>
      <c r="B314" s="7">
        <f>DATE(YEAR(m8_crossvalid[[#This Row],[ds]]),MONTH(m8_crossvalid[[#This Row],[ds]]),DAY(m8_crossvalid[[#This Row],[ds]]))</f>
        <v>45964</v>
      </c>
      <c r="C314">
        <v>607</v>
      </c>
      <c r="D314" s="1">
        <v>45964.333333333336</v>
      </c>
      <c r="E314">
        <v>1590.5214725603489</v>
      </c>
      <c r="F314">
        <v>99.23686884776086</v>
      </c>
      <c r="G314">
        <v>3008.5162627323912</v>
      </c>
      <c r="H314" s="1">
        <v>45961.333333333336</v>
      </c>
    </row>
    <row r="315" spans="1:8" x14ac:dyDescent="0.25">
      <c r="A315" s="7">
        <f>DATE(YEAR(m8_crossvalid[[#This Row],[cutoff]]),MONTH(m8_crossvalid[[#This Row],[cutoff]]),DAY(m8_crossvalid[[#This Row],[cutoff]]))</f>
        <v>45961</v>
      </c>
      <c r="B315" s="7">
        <f>DATE(YEAR(m8_crossvalid[[#This Row],[ds]]),MONTH(m8_crossvalid[[#This Row],[ds]]),DAY(m8_crossvalid[[#This Row],[ds]]))</f>
        <v>45965</v>
      </c>
      <c r="C315">
        <v>821</v>
      </c>
      <c r="D315" s="1">
        <v>45965.333333333336</v>
      </c>
      <c r="E315">
        <v>1847.2779250176004</v>
      </c>
      <c r="F315">
        <v>288.47269331611039</v>
      </c>
      <c r="G315">
        <v>3174.162721354</v>
      </c>
      <c r="H315" s="1">
        <v>45961.333333333336</v>
      </c>
    </row>
    <row r="316" spans="1:8" x14ac:dyDescent="0.25">
      <c r="A316" s="7">
        <f>DATE(YEAR(m8_crossvalid[[#This Row],[cutoff]]),MONTH(m8_crossvalid[[#This Row],[cutoff]]),DAY(m8_crossvalid[[#This Row],[cutoff]]))</f>
        <v>45961</v>
      </c>
      <c r="B316" s="7">
        <f>DATE(YEAR(m8_crossvalid[[#This Row],[ds]]),MONTH(m8_crossvalid[[#This Row],[ds]]),DAY(m8_crossvalid[[#This Row],[ds]]))</f>
        <v>45966</v>
      </c>
      <c r="C316">
        <v>1032</v>
      </c>
      <c r="D316" s="1">
        <v>45966.333333333336</v>
      </c>
      <c r="E316">
        <v>1910.7355144146948</v>
      </c>
      <c r="F316">
        <v>530.9418648342247</v>
      </c>
      <c r="G316">
        <v>3374.563381813427</v>
      </c>
      <c r="H316" s="1">
        <v>45961.333333333336</v>
      </c>
    </row>
    <row r="317" spans="1:8" x14ac:dyDescent="0.25">
      <c r="A317" s="7">
        <f>DATE(YEAR(m8_crossvalid[[#This Row],[cutoff]]),MONTH(m8_crossvalid[[#This Row],[cutoff]]),DAY(m8_crossvalid[[#This Row],[cutoff]]))</f>
        <v>45961</v>
      </c>
      <c r="B317" s="7">
        <f>DATE(YEAR(m8_crossvalid[[#This Row],[ds]]),MONTH(m8_crossvalid[[#This Row],[ds]]),DAY(m8_crossvalid[[#This Row],[ds]]))</f>
        <v>45967</v>
      </c>
      <c r="C317">
        <v>1396</v>
      </c>
      <c r="D317" s="1">
        <v>45967.333333333336</v>
      </c>
      <c r="E317">
        <v>2013.4828609875003</v>
      </c>
      <c r="F317">
        <v>659.93532125985189</v>
      </c>
      <c r="G317">
        <v>3472.0465120537165</v>
      </c>
      <c r="H317" s="1">
        <v>45961.333333333336</v>
      </c>
    </row>
    <row r="318" spans="1:8" x14ac:dyDescent="0.25">
      <c r="A318" s="7">
        <f>DATE(YEAR(m8_crossvalid[[#This Row],[cutoff]]),MONTH(m8_crossvalid[[#This Row],[cutoff]]),DAY(m8_crossvalid[[#This Row],[cutoff]]))</f>
        <v>45961</v>
      </c>
      <c r="B318" s="7">
        <f>DATE(YEAR(m8_crossvalid[[#This Row],[ds]]),MONTH(m8_crossvalid[[#This Row],[ds]]),DAY(m8_crossvalid[[#This Row],[ds]]))</f>
        <v>45968</v>
      </c>
      <c r="C318">
        <v>1612</v>
      </c>
      <c r="D318" s="1">
        <v>45968.333333333336</v>
      </c>
      <c r="E318">
        <v>1887.082425601403</v>
      </c>
      <c r="F318">
        <v>415.56928945858454</v>
      </c>
      <c r="G318">
        <v>3269.9901275184347</v>
      </c>
      <c r="H318" s="1">
        <v>45961.333333333336</v>
      </c>
    </row>
    <row r="319" spans="1:8" x14ac:dyDescent="0.25">
      <c r="A319" s="7">
        <f>DATE(YEAR(m8_crossvalid[[#This Row],[cutoff]]),MONTH(m8_crossvalid[[#This Row],[cutoff]]),DAY(m8_crossvalid[[#This Row],[cutoff]]))</f>
        <v>45961</v>
      </c>
      <c r="B319" s="7">
        <f>DATE(YEAR(m8_crossvalid[[#This Row],[ds]]),MONTH(m8_crossvalid[[#This Row],[ds]]),DAY(m8_crossvalid[[#This Row],[ds]]))</f>
        <v>45969</v>
      </c>
      <c r="C319">
        <v>206</v>
      </c>
      <c r="D319" s="1">
        <v>45969.333333333336</v>
      </c>
      <c r="E319">
        <v>601.88362153632079</v>
      </c>
      <c r="F319">
        <v>-834.33890389313876</v>
      </c>
      <c r="G319">
        <v>2068.3172554483085</v>
      </c>
      <c r="H319" s="1">
        <v>45961.333333333336</v>
      </c>
    </row>
    <row r="320" spans="1:8" x14ac:dyDescent="0.25">
      <c r="A320" s="7">
        <f>DATE(YEAR(m8_crossvalid[[#This Row],[cutoff]]),MONTH(m8_crossvalid[[#This Row],[cutoff]]),DAY(m8_crossvalid[[#This Row],[cutoff]]))</f>
        <v>45961</v>
      </c>
      <c r="B320" s="7">
        <f>DATE(YEAR(m8_crossvalid[[#This Row],[ds]]),MONTH(m8_crossvalid[[#This Row],[ds]]),DAY(m8_crossvalid[[#This Row],[ds]]))</f>
        <v>45970</v>
      </c>
      <c r="C320">
        <v>95</v>
      </c>
      <c r="D320" s="1">
        <v>45970.333333333336</v>
      </c>
      <c r="E320">
        <v>-305.05879322460123</v>
      </c>
      <c r="F320">
        <v>-1744.9470164965851</v>
      </c>
      <c r="G320">
        <v>1133.9247270550547</v>
      </c>
      <c r="H320" s="1">
        <v>45961.333333333336</v>
      </c>
    </row>
    <row r="321" spans="1:8" x14ac:dyDescent="0.25">
      <c r="A321" s="7">
        <f>DATE(YEAR(m8_crossvalid[[#This Row],[cutoff]]),MONTH(m8_crossvalid[[#This Row],[cutoff]]),DAY(m8_crossvalid[[#This Row],[cutoff]]))</f>
        <v>45961</v>
      </c>
      <c r="B321" s="7">
        <f>DATE(YEAR(m8_crossvalid[[#This Row],[ds]]),MONTH(m8_crossvalid[[#This Row],[ds]]),DAY(m8_crossvalid[[#This Row],[ds]]))</f>
        <v>45971</v>
      </c>
      <c r="C321">
        <v>1552</v>
      </c>
      <c r="D321" s="1">
        <v>45971.333333333336</v>
      </c>
      <c r="E321">
        <v>2055.6915228621469</v>
      </c>
      <c r="F321">
        <v>683.47250429632061</v>
      </c>
      <c r="G321">
        <v>3540.8432362870553</v>
      </c>
      <c r="H321" s="1">
        <v>45961.333333333336</v>
      </c>
    </row>
    <row r="322" spans="1:8" x14ac:dyDescent="0.25">
      <c r="A322" s="7">
        <f>DATE(YEAR(m8_crossvalid[[#This Row],[cutoff]]),MONTH(m8_crossvalid[[#This Row],[cutoff]]),DAY(m8_crossvalid[[#This Row],[cutoff]]))</f>
        <v>45961</v>
      </c>
      <c r="B322" s="7">
        <f>DATE(YEAR(m8_crossvalid[[#This Row],[ds]]),MONTH(m8_crossvalid[[#This Row],[ds]]),DAY(m8_crossvalid[[#This Row],[ds]]))</f>
        <v>45972</v>
      </c>
      <c r="C322">
        <v>1937</v>
      </c>
      <c r="D322" s="1">
        <v>45972.333333333336</v>
      </c>
      <c r="E322">
        <v>2490.9678061059672</v>
      </c>
      <c r="F322">
        <v>925.15910291013313</v>
      </c>
      <c r="G322">
        <v>3818.3253493621842</v>
      </c>
      <c r="H322" s="1">
        <v>45961.333333333336</v>
      </c>
    </row>
    <row r="323" spans="1:8" x14ac:dyDescent="0.25">
      <c r="A323" s="7">
        <f>DATE(YEAR(m8_crossvalid[[#This Row],[cutoff]]),MONTH(m8_crossvalid[[#This Row],[cutoff]]),DAY(m8_crossvalid[[#This Row],[cutoff]]))</f>
        <v>45961</v>
      </c>
      <c r="B323" s="7">
        <f>DATE(YEAR(m8_crossvalid[[#This Row],[ds]]),MONTH(m8_crossvalid[[#This Row],[ds]]),DAY(m8_crossvalid[[#This Row],[ds]]))</f>
        <v>45973</v>
      </c>
      <c r="C323">
        <v>2198</v>
      </c>
      <c r="D323" s="1">
        <v>45973.333333333336</v>
      </c>
      <c r="E323">
        <v>2713.9130858641524</v>
      </c>
      <c r="F323">
        <v>1319.6878755946666</v>
      </c>
      <c r="G323">
        <v>4125.8250517442348</v>
      </c>
      <c r="H323" s="1">
        <v>45961.333333333336</v>
      </c>
    </row>
    <row r="324" spans="1:8" x14ac:dyDescent="0.25">
      <c r="A324" s="7">
        <f>DATE(YEAR(m8_crossvalid[[#This Row],[cutoff]]),MONTH(m8_crossvalid[[#This Row],[cutoff]]),DAY(m8_crossvalid[[#This Row],[cutoff]]))</f>
        <v>45961</v>
      </c>
      <c r="B324" s="7">
        <f>DATE(YEAR(m8_crossvalid[[#This Row],[ds]]),MONTH(m8_crossvalid[[#This Row],[ds]]),DAY(m8_crossvalid[[#This Row],[ds]]))</f>
        <v>45974</v>
      </c>
      <c r="C324">
        <v>2401</v>
      </c>
      <c r="D324" s="1">
        <v>45974.333333333336</v>
      </c>
      <c r="E324">
        <v>2791.0699407387478</v>
      </c>
      <c r="F324">
        <v>1325.0756507481244</v>
      </c>
      <c r="G324">
        <v>4236.4334337430982</v>
      </c>
      <c r="H324" s="1">
        <v>45961.333333333336</v>
      </c>
    </row>
    <row r="325" spans="1:8" x14ac:dyDescent="0.25">
      <c r="A325" s="7">
        <f>DATE(YEAR(m8_crossvalid[[#This Row],[cutoff]]),MONTH(m8_crossvalid[[#This Row],[cutoff]]),DAY(m8_crossvalid[[#This Row],[cutoff]]))</f>
        <v>45961</v>
      </c>
      <c r="B325" s="7">
        <f>DATE(YEAR(m8_crossvalid[[#This Row],[ds]]),MONTH(m8_crossvalid[[#This Row],[ds]]),DAY(m8_crossvalid[[#This Row],[ds]]))</f>
        <v>45975</v>
      </c>
      <c r="C325">
        <v>2547</v>
      </c>
      <c r="D325" s="1">
        <v>45975.333333333336</v>
      </c>
      <c r="E325">
        <v>2764.9714464002204</v>
      </c>
      <c r="F325">
        <v>1317.844247786865</v>
      </c>
      <c r="G325">
        <v>4251.4112638744646</v>
      </c>
      <c r="H325" s="1">
        <v>45961.333333333336</v>
      </c>
    </row>
    <row r="326" spans="1:8" x14ac:dyDescent="0.25">
      <c r="A326" s="7">
        <f>DATE(YEAR(m8_crossvalid[[#This Row],[cutoff]]),MONTH(m8_crossvalid[[#This Row],[cutoff]]),DAY(m8_crossvalid[[#This Row],[cutoff]]))</f>
        <v>45961</v>
      </c>
      <c r="B326" s="7">
        <f>DATE(YEAR(m8_crossvalid[[#This Row],[ds]]),MONTH(m8_crossvalid[[#This Row],[ds]]),DAY(m8_crossvalid[[#This Row],[ds]]))</f>
        <v>45976</v>
      </c>
      <c r="C326">
        <v>773</v>
      </c>
      <c r="D326" s="1">
        <v>45976.333333333336</v>
      </c>
      <c r="E326">
        <v>543.38558473732996</v>
      </c>
      <c r="F326">
        <v>-873.76394598170839</v>
      </c>
      <c r="G326">
        <v>1944.6055162787272</v>
      </c>
      <c r="H326" s="1">
        <v>45961.333333333336</v>
      </c>
    </row>
    <row r="327" spans="1:8" x14ac:dyDescent="0.25">
      <c r="A327" s="7">
        <f>DATE(YEAR(m8_crossvalid[[#This Row],[cutoff]]),MONTH(m8_crossvalid[[#This Row],[cutoff]]),DAY(m8_crossvalid[[#This Row],[cutoff]]))</f>
        <v>45961</v>
      </c>
      <c r="B327" s="7">
        <f>DATE(YEAR(m8_crossvalid[[#This Row],[ds]]),MONTH(m8_crossvalid[[#This Row],[ds]]),DAY(m8_crossvalid[[#This Row],[ds]]))</f>
        <v>45977</v>
      </c>
      <c r="C327">
        <v>113</v>
      </c>
      <c r="D327" s="1">
        <v>45977.333333333336</v>
      </c>
      <c r="E327">
        <v>128.64837206632455</v>
      </c>
      <c r="F327">
        <v>-1362.0741370240792</v>
      </c>
      <c r="G327">
        <v>1667.4789781315949</v>
      </c>
      <c r="H327" s="1">
        <v>45961.333333333336</v>
      </c>
    </row>
    <row r="328" spans="1:8" x14ac:dyDescent="0.25">
      <c r="A328" s="7">
        <f>DATE(YEAR(m8_crossvalid[[#This Row],[cutoff]]),MONTH(m8_crossvalid[[#This Row],[cutoff]]),DAY(m8_crossvalid[[#This Row],[cutoff]]))</f>
        <v>45961</v>
      </c>
      <c r="B328" s="7">
        <f>DATE(YEAR(m8_crossvalid[[#This Row],[ds]]),MONTH(m8_crossvalid[[#This Row],[ds]]),DAY(m8_crossvalid[[#This Row],[ds]]))</f>
        <v>45978</v>
      </c>
      <c r="C328">
        <v>2849</v>
      </c>
      <c r="D328" s="1">
        <v>45978.333333333336</v>
      </c>
      <c r="E328">
        <v>2793.4230520204392</v>
      </c>
      <c r="F328">
        <v>1478.7943000162757</v>
      </c>
      <c r="G328">
        <v>4298.0945438373838</v>
      </c>
      <c r="H328" s="1">
        <v>45961.333333333336</v>
      </c>
    </row>
    <row r="329" spans="1:8" x14ac:dyDescent="0.25">
      <c r="A329" s="7">
        <f>DATE(YEAR(m8_crossvalid[[#This Row],[cutoff]]),MONTH(m8_crossvalid[[#This Row],[cutoff]]),DAY(m8_crossvalid[[#This Row],[cutoff]]))</f>
        <v>45961</v>
      </c>
      <c r="B329" s="7">
        <f>DATE(YEAR(m8_crossvalid[[#This Row],[ds]]),MONTH(m8_crossvalid[[#This Row],[ds]]),DAY(m8_crossvalid[[#This Row],[ds]]))</f>
        <v>45979</v>
      </c>
      <c r="C329">
        <v>3351</v>
      </c>
      <c r="D329" s="1">
        <v>45979.333333333336</v>
      </c>
      <c r="E329">
        <v>3114.2656771588736</v>
      </c>
      <c r="F329">
        <v>1679.7489322243509</v>
      </c>
      <c r="G329">
        <v>4531.6693419069024</v>
      </c>
      <c r="H329" s="1">
        <v>45961.333333333336</v>
      </c>
    </row>
    <row r="330" spans="1:8" x14ac:dyDescent="0.25">
      <c r="A330" s="7">
        <f>DATE(YEAR(m8_crossvalid[[#This Row],[cutoff]]),MONTH(m8_crossvalid[[#This Row],[cutoff]]),DAY(m8_crossvalid[[#This Row],[cutoff]]))</f>
        <v>45961</v>
      </c>
      <c r="B330" s="7">
        <f>DATE(YEAR(m8_crossvalid[[#This Row],[ds]]),MONTH(m8_crossvalid[[#This Row],[ds]]),DAY(m8_crossvalid[[#This Row],[ds]]))</f>
        <v>45980</v>
      </c>
      <c r="C330">
        <v>3248</v>
      </c>
      <c r="D330" s="1">
        <v>45980.333333333336</v>
      </c>
      <c r="E330">
        <v>3187.9089130506354</v>
      </c>
      <c r="F330">
        <v>1807.357036866629</v>
      </c>
      <c r="G330">
        <v>4680.4481455564701</v>
      </c>
      <c r="H330" s="1">
        <v>45961.333333333336</v>
      </c>
    </row>
    <row r="331" spans="1:8" x14ac:dyDescent="0.25">
      <c r="A331" s="7">
        <f>DATE(YEAR(m8_crossvalid[[#This Row],[cutoff]]),MONTH(m8_crossvalid[[#This Row],[cutoff]]),DAY(m8_crossvalid[[#This Row],[cutoff]]))</f>
        <v>45961</v>
      </c>
      <c r="B331" s="7">
        <f>DATE(YEAR(m8_crossvalid[[#This Row],[ds]]),MONTH(m8_crossvalid[[#This Row],[ds]]),DAY(m8_crossvalid[[#This Row],[ds]]))</f>
        <v>45981</v>
      </c>
      <c r="C331">
        <v>3581</v>
      </c>
      <c r="D331" s="1">
        <v>45981.333333333336</v>
      </c>
      <c r="E331">
        <v>3310.3662599013187</v>
      </c>
      <c r="F331">
        <v>1863.9240123704444</v>
      </c>
      <c r="G331">
        <v>4698.1975908956128</v>
      </c>
      <c r="H331" s="1">
        <v>45961.333333333336</v>
      </c>
    </row>
    <row r="332" spans="1:8" x14ac:dyDescent="0.25">
      <c r="A332" s="7">
        <f>DATE(YEAR(m8_crossvalid[[#This Row],[cutoff]]),MONTH(m8_crossvalid[[#This Row],[cutoff]]),DAY(m8_crossvalid[[#This Row],[cutoff]]))</f>
        <v>45961</v>
      </c>
      <c r="B332" s="7">
        <f>DATE(YEAR(m8_crossvalid[[#This Row],[ds]]),MONTH(m8_crossvalid[[#This Row],[ds]]),DAY(m8_crossvalid[[#This Row],[ds]]))</f>
        <v>45982</v>
      </c>
      <c r="C332">
        <v>3622</v>
      </c>
      <c r="D332" s="1">
        <v>45982.333333333336</v>
      </c>
      <c r="E332">
        <v>3281.7771857280304</v>
      </c>
      <c r="F332">
        <v>1872.8212333054976</v>
      </c>
      <c r="G332">
        <v>4820.7916626200231</v>
      </c>
      <c r="H332" s="1">
        <v>45961.333333333336</v>
      </c>
    </row>
    <row r="333" spans="1:8" x14ac:dyDescent="0.25">
      <c r="A333" s="7">
        <f>DATE(YEAR(m8_crossvalid[[#This Row],[cutoff]]),MONTH(m8_crossvalid[[#This Row],[cutoff]]),DAY(m8_crossvalid[[#This Row],[cutoff]]))</f>
        <v>45961</v>
      </c>
      <c r="B333" s="7">
        <f>DATE(YEAR(m8_crossvalid[[#This Row],[ds]]),MONTH(m8_crossvalid[[#This Row],[ds]]),DAY(m8_crossvalid[[#This Row],[ds]]))</f>
        <v>45983</v>
      </c>
      <c r="C333">
        <v>783</v>
      </c>
      <c r="D333" s="1">
        <v>45983.333333333336</v>
      </c>
      <c r="E333">
        <v>1058.7133175483316</v>
      </c>
      <c r="F333">
        <v>-458.51789181302235</v>
      </c>
      <c r="G333">
        <v>2584.9494539380198</v>
      </c>
      <c r="H333" s="1">
        <v>45961.333333333336</v>
      </c>
    </row>
    <row r="334" spans="1:8" x14ac:dyDescent="0.25">
      <c r="A334" s="7">
        <f>DATE(YEAR(m8_crossvalid[[#This Row],[cutoff]]),MONTH(m8_crossvalid[[#This Row],[cutoff]]),DAY(m8_crossvalid[[#This Row],[cutoff]]))</f>
        <v>45961</v>
      </c>
      <c r="B334" s="7">
        <f>DATE(YEAR(m8_crossvalid[[#This Row],[ds]]),MONTH(m8_crossvalid[[#This Row],[ds]]),DAY(m8_crossvalid[[#This Row],[ds]]))</f>
        <v>45984</v>
      </c>
      <c r="C334">
        <v>188</v>
      </c>
      <c r="D334" s="1">
        <v>45984.333333333336</v>
      </c>
      <c r="E334">
        <v>730.71535075911697</v>
      </c>
      <c r="F334">
        <v>-668.96469739506904</v>
      </c>
      <c r="G334">
        <v>2204.3194536936699</v>
      </c>
      <c r="H334" s="1">
        <v>45961.333333333336</v>
      </c>
    </row>
    <row r="335" spans="1:8" x14ac:dyDescent="0.25">
      <c r="A335" s="7">
        <f>DATE(YEAR(m8_crossvalid[[#This Row],[cutoff]]),MONTH(m8_crossvalid[[#This Row],[cutoff]]),DAY(m8_crossvalid[[#This Row],[cutoff]]))</f>
        <v>45961</v>
      </c>
      <c r="B335" s="7">
        <f>DATE(YEAR(m8_crossvalid[[#This Row],[ds]]),MONTH(m8_crossvalid[[#This Row],[ds]]),DAY(m8_crossvalid[[#This Row],[ds]]))</f>
        <v>45985</v>
      </c>
      <c r="C335">
        <v>3515</v>
      </c>
      <c r="D335" s="1">
        <v>45985.333333333336</v>
      </c>
      <c r="E335">
        <v>3414.9491627163302</v>
      </c>
      <c r="F335">
        <v>1946.5650163057198</v>
      </c>
      <c r="G335">
        <v>4844.4444323415046</v>
      </c>
      <c r="H335" s="1">
        <v>45961.333333333336</v>
      </c>
    </row>
    <row r="336" spans="1:8" x14ac:dyDescent="0.25">
      <c r="A336" s="7">
        <f>DATE(YEAR(m8_crossvalid[[#This Row],[cutoff]]),MONTH(m8_crossvalid[[#This Row],[cutoff]]),DAY(m8_crossvalid[[#This Row],[cutoff]]))</f>
        <v>45961</v>
      </c>
      <c r="B336" s="7">
        <f>DATE(YEAR(m8_crossvalid[[#This Row],[ds]]),MONTH(m8_crossvalid[[#This Row],[ds]]),DAY(m8_crossvalid[[#This Row],[ds]]))</f>
        <v>45986</v>
      </c>
      <c r="C336">
        <v>4824</v>
      </c>
      <c r="D336" s="1">
        <v>45986.333333333336</v>
      </c>
      <c r="E336">
        <v>3795.0915550562613</v>
      </c>
      <c r="F336">
        <v>2281.7149718052788</v>
      </c>
      <c r="G336">
        <v>5121.372574809151</v>
      </c>
      <c r="H336" s="1">
        <v>45961.333333333336</v>
      </c>
    </row>
    <row r="337" spans="1:8" x14ac:dyDescent="0.25">
      <c r="A337" s="7">
        <f>DATE(YEAR(m8_crossvalid[[#This Row],[cutoff]]),MONTH(m8_crossvalid[[#This Row],[cutoff]]),DAY(m8_crossvalid[[#This Row],[cutoff]]))</f>
        <v>45961</v>
      </c>
      <c r="B337" s="7">
        <f>DATE(YEAR(m8_crossvalid[[#This Row],[ds]]),MONTH(m8_crossvalid[[#This Row],[ds]]),DAY(m8_crossvalid[[#This Row],[ds]]))</f>
        <v>45987</v>
      </c>
      <c r="C337">
        <v>5463</v>
      </c>
      <c r="D337" s="1">
        <v>45987.333333333336</v>
      </c>
      <c r="E337">
        <v>4775.6412491327255</v>
      </c>
      <c r="F337">
        <v>3384.0975061548825</v>
      </c>
      <c r="G337">
        <v>6261.356730917867</v>
      </c>
      <c r="H337" s="1">
        <v>45961.333333333336</v>
      </c>
    </row>
    <row r="338" spans="1:8" x14ac:dyDescent="0.25">
      <c r="A338" s="7">
        <f>DATE(YEAR(m8_crossvalid[[#This Row],[cutoff]]),MONTH(m8_crossvalid[[#This Row],[cutoff]]),DAY(m8_crossvalid[[#This Row],[cutoff]]))</f>
        <v>45961</v>
      </c>
      <c r="B338" s="7">
        <f>DATE(YEAR(m8_crossvalid[[#This Row],[ds]]),MONTH(m8_crossvalid[[#This Row],[ds]]),DAY(m8_crossvalid[[#This Row],[ds]]))</f>
        <v>45988</v>
      </c>
      <c r="C338">
        <v>7236</v>
      </c>
      <c r="D338" s="1">
        <v>45988.333333333336</v>
      </c>
      <c r="E338">
        <v>4892.7033275230533</v>
      </c>
      <c r="F338">
        <v>3477.9885094729757</v>
      </c>
      <c r="G338">
        <v>6394.1927182084182</v>
      </c>
      <c r="H338" s="1">
        <v>45961.333333333336</v>
      </c>
    </row>
    <row r="339" spans="1:8" x14ac:dyDescent="0.25">
      <c r="A339" s="7">
        <f>DATE(YEAR(m8_crossvalid[[#This Row],[cutoff]]),MONTH(m8_crossvalid[[#This Row],[cutoff]]),DAY(m8_crossvalid[[#This Row],[cutoff]]))</f>
        <v>45961</v>
      </c>
      <c r="B339" s="7">
        <f>DATE(YEAR(m8_crossvalid[[#This Row],[ds]]),MONTH(m8_crossvalid[[#This Row],[ds]]),DAY(m8_crossvalid[[#This Row],[ds]]))</f>
        <v>45989</v>
      </c>
      <c r="C339">
        <v>10013</v>
      </c>
      <c r="D339" s="1">
        <v>45989.333333333336</v>
      </c>
      <c r="E339">
        <v>5114.851230451939</v>
      </c>
      <c r="F339">
        <v>3695.5481843657835</v>
      </c>
      <c r="G339">
        <v>6538.3435852648363</v>
      </c>
      <c r="H339" s="1">
        <v>45961.333333333336</v>
      </c>
    </row>
    <row r="340" spans="1:8" x14ac:dyDescent="0.25">
      <c r="A340" s="7">
        <f>DATE(YEAR(m8_crossvalid[[#This Row],[cutoff]]),MONTH(m8_crossvalid[[#This Row],[cutoff]]),DAY(m8_crossvalid[[#This Row],[cutoff]]))</f>
        <v>45961</v>
      </c>
      <c r="B340" s="7">
        <f>DATE(YEAR(m8_crossvalid[[#This Row],[ds]]),MONTH(m8_crossvalid[[#This Row],[ds]]),DAY(m8_crossvalid[[#This Row],[ds]]))</f>
        <v>45990</v>
      </c>
      <c r="C340">
        <v>8210</v>
      </c>
      <c r="D340" s="1">
        <v>45990.333333333336</v>
      </c>
      <c r="E340">
        <v>5344.8760458656006</v>
      </c>
      <c r="F340">
        <v>3971.8183898747861</v>
      </c>
      <c r="G340">
        <v>6709.0277680657155</v>
      </c>
      <c r="H340" s="1">
        <v>45961.333333333336</v>
      </c>
    </row>
    <row r="341" spans="1:8" x14ac:dyDescent="0.25">
      <c r="A341" s="7">
        <f>DATE(YEAR(m8_crossvalid[[#This Row],[cutoff]]),MONTH(m8_crossvalid[[#This Row],[cutoff]]),DAY(m8_crossvalid[[#This Row],[cutoff]]))</f>
        <v>45961</v>
      </c>
      <c r="B341" s="7">
        <f>DATE(YEAR(m8_crossvalid[[#This Row],[ds]]),MONTH(m8_crossvalid[[#This Row],[ds]]),DAY(m8_crossvalid[[#This Row],[ds]]))</f>
        <v>45991</v>
      </c>
      <c r="C341">
        <v>3567</v>
      </c>
      <c r="D341" s="1">
        <v>45991.333333333336</v>
      </c>
      <c r="E341">
        <v>7273.0310974958084</v>
      </c>
      <c r="F341">
        <v>5823.9416885031605</v>
      </c>
      <c r="G341">
        <v>8721.4574580996887</v>
      </c>
      <c r="H341" s="1">
        <v>45961.333333333336</v>
      </c>
    </row>
    <row r="342" spans="1:8" x14ac:dyDescent="0.25">
      <c r="A342" s="7">
        <f>DATE(YEAR(m8_crossvalid[[#This Row],[cutoff]]),MONTH(m8_crossvalid[[#This Row],[cutoff]]),DAY(m8_crossvalid[[#This Row],[cutoff]]))</f>
        <v>45961</v>
      </c>
      <c r="B342" s="7">
        <f>DATE(YEAR(m8_crossvalid[[#This Row],[ds]]),MONTH(m8_crossvalid[[#This Row],[ds]]),DAY(m8_crossvalid[[#This Row],[ds]]))</f>
        <v>45992</v>
      </c>
      <c r="C342">
        <v>659</v>
      </c>
      <c r="D342" s="1">
        <v>45992.333333333336</v>
      </c>
      <c r="E342">
        <v>2182.4682924035642</v>
      </c>
      <c r="F342">
        <v>781.05740654829879</v>
      </c>
      <c r="G342">
        <v>3662.3110244125414</v>
      </c>
      <c r="H342" s="1">
        <v>45961.333333333336</v>
      </c>
    </row>
    <row r="343" spans="1:8" x14ac:dyDescent="0.25">
      <c r="A343" s="7">
        <f>DATE(YEAR(m8_crossvalid[[#This Row],[cutoff]]),MONTH(m8_crossvalid[[#This Row],[cutoff]]),DAY(m8_crossvalid[[#This Row],[cutoff]]))</f>
        <v>45991</v>
      </c>
      <c r="B343" s="7">
        <f>DATE(YEAR(m8_crossvalid[[#This Row],[ds]]),MONTH(m8_crossvalid[[#This Row],[ds]]),DAY(m8_crossvalid[[#This Row],[ds]]))</f>
        <v>45992</v>
      </c>
      <c r="C343">
        <v>659</v>
      </c>
      <c r="D343" s="1">
        <v>45992.333333333336</v>
      </c>
      <c r="E343">
        <v>2269.5891417004732</v>
      </c>
      <c r="F343">
        <v>712.10325065918732</v>
      </c>
      <c r="G343">
        <v>3725.0529479263664</v>
      </c>
      <c r="H343" s="1">
        <v>45991.333333333336</v>
      </c>
    </row>
    <row r="344" spans="1:8" x14ac:dyDescent="0.25">
      <c r="A344" s="7">
        <f>DATE(YEAR(m8_crossvalid[[#This Row],[cutoff]]),MONTH(m8_crossvalid[[#This Row],[cutoff]]),DAY(m8_crossvalid[[#This Row],[cutoff]]))</f>
        <v>45991</v>
      </c>
      <c r="B344" s="7">
        <f>DATE(YEAR(m8_crossvalid[[#This Row],[ds]]),MONTH(m8_crossvalid[[#This Row],[ds]]),DAY(m8_crossvalid[[#This Row],[ds]]))</f>
        <v>45993</v>
      </c>
      <c r="C344">
        <v>963</v>
      </c>
      <c r="D344" s="1">
        <v>45993.333333333336</v>
      </c>
      <c r="E344">
        <v>1734.2226852619096</v>
      </c>
      <c r="F344">
        <v>341.01114885153316</v>
      </c>
      <c r="G344">
        <v>3225.6953375485764</v>
      </c>
      <c r="H344" s="1">
        <v>45991.333333333336</v>
      </c>
    </row>
    <row r="345" spans="1:8" x14ac:dyDescent="0.25">
      <c r="A345" s="7">
        <f>DATE(YEAR(m8_crossvalid[[#This Row],[cutoff]]),MONTH(m8_crossvalid[[#This Row],[cutoff]]),DAY(m8_crossvalid[[#This Row],[cutoff]]))</f>
        <v>45991</v>
      </c>
      <c r="B345" s="7">
        <f>DATE(YEAR(m8_crossvalid[[#This Row],[ds]]),MONTH(m8_crossvalid[[#This Row],[ds]]),DAY(m8_crossvalid[[#This Row],[ds]]))</f>
        <v>45994</v>
      </c>
      <c r="C345">
        <v>1248</v>
      </c>
      <c r="D345" s="1">
        <v>45994.333333333336</v>
      </c>
      <c r="E345">
        <v>1848.6310889420402</v>
      </c>
      <c r="F345">
        <v>396.79810517328474</v>
      </c>
      <c r="G345">
        <v>3328.9881985566503</v>
      </c>
      <c r="H345" s="1">
        <v>45991.333333333336</v>
      </c>
    </row>
    <row r="346" spans="1:8" x14ac:dyDescent="0.25">
      <c r="A346" s="7">
        <f>DATE(YEAR(m8_crossvalid[[#This Row],[cutoff]]),MONTH(m8_crossvalid[[#This Row],[cutoff]]),DAY(m8_crossvalid[[#This Row],[cutoff]]))</f>
        <v>45991</v>
      </c>
      <c r="B346" s="7">
        <f>DATE(YEAR(m8_crossvalid[[#This Row],[ds]]),MONTH(m8_crossvalid[[#This Row],[ds]]),DAY(m8_crossvalid[[#This Row],[ds]]))</f>
        <v>45995</v>
      </c>
      <c r="C346">
        <v>1462</v>
      </c>
      <c r="D346" s="1">
        <v>45995.333333333336</v>
      </c>
      <c r="E346">
        <v>1887.0292240714348</v>
      </c>
      <c r="F346">
        <v>505.77370957604478</v>
      </c>
      <c r="G346">
        <v>3467.073310005137</v>
      </c>
      <c r="H346" s="1">
        <v>45991.333333333336</v>
      </c>
    </row>
    <row r="347" spans="1:8" x14ac:dyDescent="0.25">
      <c r="A347" s="7">
        <f>DATE(YEAR(m8_crossvalid[[#This Row],[cutoff]]),MONTH(m8_crossvalid[[#This Row],[cutoff]]),DAY(m8_crossvalid[[#This Row],[cutoff]]))</f>
        <v>45991</v>
      </c>
      <c r="B347" s="7">
        <f>DATE(YEAR(m8_crossvalid[[#This Row],[ds]]),MONTH(m8_crossvalid[[#This Row],[ds]]),DAY(m8_crossvalid[[#This Row],[ds]]))</f>
        <v>45996</v>
      </c>
      <c r="C347">
        <v>1441</v>
      </c>
      <c r="D347" s="1">
        <v>45996.333333333336</v>
      </c>
      <c r="E347">
        <v>1846.9753804861443</v>
      </c>
      <c r="F347">
        <v>454.0245357656529</v>
      </c>
      <c r="G347">
        <v>3334.6663405004647</v>
      </c>
      <c r="H347" s="1">
        <v>45991.333333333336</v>
      </c>
    </row>
    <row r="348" spans="1:8" x14ac:dyDescent="0.25">
      <c r="A348" s="7">
        <f>DATE(YEAR(m8_crossvalid[[#This Row],[cutoff]]),MONTH(m8_crossvalid[[#This Row],[cutoff]]),DAY(m8_crossvalid[[#This Row],[cutoff]]))</f>
        <v>45991</v>
      </c>
      <c r="B348" s="7">
        <f>DATE(YEAR(m8_crossvalid[[#This Row],[ds]]),MONTH(m8_crossvalid[[#This Row],[ds]]),DAY(m8_crossvalid[[#This Row],[ds]]))</f>
        <v>45997</v>
      </c>
      <c r="C348">
        <v>380</v>
      </c>
      <c r="D348" s="1">
        <v>45997.333333333336</v>
      </c>
      <c r="E348">
        <v>-360.59894668102334</v>
      </c>
      <c r="F348">
        <v>-1711.411459755433</v>
      </c>
      <c r="G348">
        <v>1164.259892426179</v>
      </c>
      <c r="H348" s="1">
        <v>45991.333333333336</v>
      </c>
    </row>
    <row r="349" spans="1:8" x14ac:dyDescent="0.25">
      <c r="A349" s="7">
        <f>DATE(YEAR(m8_crossvalid[[#This Row],[cutoff]]),MONTH(m8_crossvalid[[#This Row],[cutoff]]),DAY(m8_crossvalid[[#This Row],[cutoff]]))</f>
        <v>45991</v>
      </c>
      <c r="B349" s="7">
        <f>DATE(YEAR(m8_crossvalid[[#This Row],[ds]]),MONTH(m8_crossvalid[[#This Row],[ds]]),DAY(m8_crossvalid[[#This Row],[ds]]))</f>
        <v>45998</v>
      </c>
      <c r="C349">
        <v>59</v>
      </c>
      <c r="D349" s="1">
        <v>45998.333333333336</v>
      </c>
      <c r="E349">
        <v>-896.25492275973693</v>
      </c>
      <c r="F349">
        <v>-2410.8130227159818</v>
      </c>
      <c r="G349">
        <v>523.6762466699679</v>
      </c>
      <c r="H349" s="1">
        <v>45991.333333333336</v>
      </c>
    </row>
    <row r="350" spans="1:8" x14ac:dyDescent="0.25">
      <c r="A350" s="7">
        <f>DATE(YEAR(m8_crossvalid[[#This Row],[cutoff]]),MONTH(m8_crossvalid[[#This Row],[cutoff]]),DAY(m8_crossvalid[[#This Row],[cutoff]]))</f>
        <v>45991</v>
      </c>
      <c r="B350" s="7">
        <f>DATE(YEAR(m8_crossvalid[[#This Row],[ds]]),MONTH(m8_crossvalid[[#This Row],[ds]]),DAY(m8_crossvalid[[#This Row],[ds]]))</f>
        <v>45999</v>
      </c>
      <c r="C350">
        <v>1698</v>
      </c>
      <c r="D350" s="1">
        <v>45999.333333333336</v>
      </c>
      <c r="E350">
        <v>2767.6694066622599</v>
      </c>
      <c r="F350">
        <v>1255.2610466880051</v>
      </c>
      <c r="G350">
        <v>4201.5009600262974</v>
      </c>
      <c r="H350" s="1">
        <v>45991.333333333336</v>
      </c>
    </row>
    <row r="351" spans="1:8" x14ac:dyDescent="0.25">
      <c r="A351" s="7">
        <f>DATE(YEAR(m8_crossvalid[[#This Row],[cutoff]]),MONTH(m8_crossvalid[[#This Row],[cutoff]]),DAY(m8_crossvalid[[#This Row],[cutoff]]))</f>
        <v>45991</v>
      </c>
      <c r="B351" s="7">
        <f>DATE(YEAR(m8_crossvalid[[#This Row],[ds]]),MONTH(m8_crossvalid[[#This Row],[ds]]),DAY(m8_crossvalid[[#This Row],[ds]]))</f>
        <v>46000</v>
      </c>
      <c r="C351">
        <v>1924</v>
      </c>
      <c r="D351" s="1">
        <v>46000.333333333336</v>
      </c>
      <c r="E351">
        <v>2735.7231425388231</v>
      </c>
      <c r="F351">
        <v>1266.2481891617601</v>
      </c>
      <c r="G351">
        <v>4291.6442183869476</v>
      </c>
      <c r="H351" s="1">
        <v>45991.333333333336</v>
      </c>
    </row>
    <row r="352" spans="1:8" x14ac:dyDescent="0.25">
      <c r="A352" s="7">
        <f>DATE(YEAR(m8_crossvalid[[#This Row],[cutoff]]),MONTH(m8_crossvalid[[#This Row],[cutoff]]),DAY(m8_crossvalid[[#This Row],[cutoff]]))</f>
        <v>45991</v>
      </c>
      <c r="B352" s="7">
        <f>DATE(YEAR(m8_crossvalid[[#This Row],[ds]]),MONTH(m8_crossvalid[[#This Row],[ds]]),DAY(m8_crossvalid[[#This Row],[ds]]))</f>
        <v>46001</v>
      </c>
      <c r="C352">
        <v>2624</v>
      </c>
      <c r="D352" s="1">
        <v>46001.333333333336</v>
      </c>
      <c r="E352">
        <v>2515.6061884810752</v>
      </c>
      <c r="F352">
        <v>1048.0613080445339</v>
      </c>
      <c r="G352">
        <v>4042.6324420319847</v>
      </c>
      <c r="H352" s="1">
        <v>45991.333333333336</v>
      </c>
    </row>
    <row r="353" spans="1:8" x14ac:dyDescent="0.25">
      <c r="A353" s="7">
        <f>DATE(YEAR(m8_crossvalid[[#This Row],[cutoff]]),MONTH(m8_crossvalid[[#This Row],[cutoff]]),DAY(m8_crossvalid[[#This Row],[cutoff]]))</f>
        <v>45991</v>
      </c>
      <c r="B353" s="7">
        <f>DATE(YEAR(m8_crossvalid[[#This Row],[ds]]),MONTH(m8_crossvalid[[#This Row],[ds]]),DAY(m8_crossvalid[[#This Row],[ds]]))</f>
        <v>46002</v>
      </c>
      <c r="C353">
        <v>1853</v>
      </c>
      <c r="D353" s="1">
        <v>46002.333333333336</v>
      </c>
      <c r="E353">
        <v>2591.4747695079859</v>
      </c>
      <c r="F353">
        <v>1101.2286886147699</v>
      </c>
      <c r="G353">
        <v>4054.2594142438934</v>
      </c>
      <c r="H353" s="1">
        <v>45991.333333333336</v>
      </c>
    </row>
    <row r="354" spans="1:8" x14ac:dyDescent="0.25">
      <c r="A354" s="7">
        <f>DATE(YEAR(m8_crossvalid[[#This Row],[cutoff]]),MONTH(m8_crossvalid[[#This Row],[cutoff]]),DAY(m8_crossvalid[[#This Row],[cutoff]]))</f>
        <v>45991</v>
      </c>
      <c r="B354" s="7">
        <f>DATE(YEAR(m8_crossvalid[[#This Row],[ds]]),MONTH(m8_crossvalid[[#This Row],[ds]]),DAY(m8_crossvalid[[#This Row],[ds]]))</f>
        <v>46003</v>
      </c>
      <c r="C354">
        <v>3010</v>
      </c>
      <c r="D354" s="1">
        <v>46003.333333333336</v>
      </c>
      <c r="E354">
        <v>2777.9089646138455</v>
      </c>
      <c r="F354">
        <v>1308.0551171244904</v>
      </c>
      <c r="G354">
        <v>4311.8697861150595</v>
      </c>
      <c r="H354" s="1">
        <v>45991.333333333336</v>
      </c>
    </row>
    <row r="355" spans="1:8" x14ac:dyDescent="0.25">
      <c r="A355" s="7">
        <f>DATE(YEAR(m8_crossvalid[[#This Row],[cutoff]]),MONTH(m8_crossvalid[[#This Row],[cutoff]]),DAY(m8_crossvalid[[#This Row],[cutoff]]))</f>
        <v>45991</v>
      </c>
      <c r="B355" s="7">
        <f>DATE(YEAR(m8_crossvalid[[#This Row],[ds]]),MONTH(m8_crossvalid[[#This Row],[ds]]),DAY(m8_crossvalid[[#This Row],[ds]]))</f>
        <v>46004</v>
      </c>
      <c r="C355">
        <v>552</v>
      </c>
      <c r="D355" s="1">
        <v>46004.333333333336</v>
      </c>
      <c r="E355">
        <v>641.78818763679897</v>
      </c>
      <c r="F355">
        <v>-822.77926116504057</v>
      </c>
      <c r="G355">
        <v>2115.7303390180068</v>
      </c>
      <c r="H355" s="1">
        <v>45991.333333333336</v>
      </c>
    </row>
    <row r="356" spans="1:8" x14ac:dyDescent="0.25">
      <c r="A356" s="7">
        <f>DATE(YEAR(m8_crossvalid[[#This Row],[cutoff]]),MONTH(m8_crossvalid[[#This Row],[cutoff]]),DAY(m8_crossvalid[[#This Row],[cutoff]]))</f>
        <v>45991</v>
      </c>
      <c r="B356" s="7">
        <f>DATE(YEAR(m8_crossvalid[[#This Row],[ds]]),MONTH(m8_crossvalid[[#This Row],[ds]]),DAY(m8_crossvalid[[#This Row],[ds]]))</f>
        <v>46005</v>
      </c>
      <c r="C356">
        <v>162</v>
      </c>
      <c r="D356" s="1">
        <v>46005.333333333336</v>
      </c>
      <c r="E356">
        <v>147.69870356471984</v>
      </c>
      <c r="F356">
        <v>-1351.7384277510655</v>
      </c>
      <c r="G356">
        <v>1735.158470143544</v>
      </c>
      <c r="H356" s="1">
        <v>45991.333333333336</v>
      </c>
    </row>
    <row r="357" spans="1:8" x14ac:dyDescent="0.25">
      <c r="A357" s="7">
        <f>DATE(YEAR(m8_crossvalid[[#This Row],[cutoff]]),MONTH(m8_crossvalid[[#This Row],[cutoff]]),DAY(m8_crossvalid[[#This Row],[cutoff]]))</f>
        <v>45991</v>
      </c>
      <c r="B357" s="7">
        <f>DATE(YEAR(m8_crossvalid[[#This Row],[ds]]),MONTH(m8_crossvalid[[#This Row],[ds]]),DAY(m8_crossvalid[[#This Row],[ds]]))</f>
        <v>46006</v>
      </c>
      <c r="C357">
        <v>2685</v>
      </c>
      <c r="D357" s="1">
        <v>46006.333333333336</v>
      </c>
      <c r="E357">
        <v>2755.2725386969778</v>
      </c>
      <c r="F357">
        <v>1220.3209603038799</v>
      </c>
      <c r="G357">
        <v>4331.1635254425782</v>
      </c>
      <c r="H357" s="1">
        <v>45991.333333333336</v>
      </c>
    </row>
    <row r="358" spans="1:8" x14ac:dyDescent="0.25">
      <c r="A358" s="7">
        <f>DATE(YEAR(m8_crossvalid[[#This Row],[cutoff]]),MONTH(m8_crossvalid[[#This Row],[cutoff]]),DAY(m8_crossvalid[[#This Row],[cutoff]]))</f>
        <v>45991</v>
      </c>
      <c r="B358" s="7">
        <f>DATE(YEAR(m8_crossvalid[[#This Row],[ds]]),MONTH(m8_crossvalid[[#This Row],[ds]]),DAY(m8_crossvalid[[#This Row],[ds]]))</f>
        <v>46007</v>
      </c>
      <c r="C358">
        <v>3397</v>
      </c>
      <c r="D358" s="1">
        <v>46007.333333333336</v>
      </c>
      <c r="E358">
        <v>3195.868649985618</v>
      </c>
      <c r="F358">
        <v>1766.2419373227901</v>
      </c>
      <c r="G358">
        <v>4600.6362355411256</v>
      </c>
      <c r="H358" s="1">
        <v>45991.333333333336</v>
      </c>
    </row>
    <row r="359" spans="1:8" x14ac:dyDescent="0.25">
      <c r="A359" s="7">
        <f>DATE(YEAR(m8_crossvalid[[#This Row],[cutoff]]),MONTH(m8_crossvalid[[#This Row],[cutoff]]),DAY(m8_crossvalid[[#This Row],[cutoff]]))</f>
        <v>45991</v>
      </c>
      <c r="B359" s="7">
        <f>DATE(YEAR(m8_crossvalid[[#This Row],[ds]]),MONTH(m8_crossvalid[[#This Row],[ds]]),DAY(m8_crossvalid[[#This Row],[ds]]))</f>
        <v>46008</v>
      </c>
      <c r="C359">
        <v>4029</v>
      </c>
      <c r="D359" s="1">
        <v>46008.333333333336</v>
      </c>
      <c r="E359">
        <v>3455.6121448951685</v>
      </c>
      <c r="F359">
        <v>1949.7814893484342</v>
      </c>
      <c r="G359">
        <v>4970.3698667743147</v>
      </c>
      <c r="H359" s="1">
        <v>45991.333333333336</v>
      </c>
    </row>
    <row r="360" spans="1:8" x14ac:dyDescent="0.25">
      <c r="A360" s="7">
        <f>DATE(YEAR(m8_crossvalid[[#This Row],[cutoff]]),MONTH(m8_crossvalid[[#This Row],[cutoff]]),DAY(m8_crossvalid[[#This Row],[cutoff]]))</f>
        <v>45991</v>
      </c>
      <c r="B360" s="7">
        <f>DATE(YEAR(m8_crossvalid[[#This Row],[ds]]),MONTH(m8_crossvalid[[#This Row],[ds]]),DAY(m8_crossvalid[[#This Row],[ds]]))</f>
        <v>46009</v>
      </c>
      <c r="C360">
        <v>3874</v>
      </c>
      <c r="D360" s="1">
        <v>46009.333333333336</v>
      </c>
      <c r="E360">
        <v>3628.1989231155803</v>
      </c>
      <c r="F360">
        <v>2258.2955308740907</v>
      </c>
      <c r="G360">
        <v>5077.597694815332</v>
      </c>
      <c r="H360" s="1">
        <v>45991.333333333336</v>
      </c>
    </row>
    <row r="361" spans="1:8" x14ac:dyDescent="0.25">
      <c r="A361" s="7">
        <f>DATE(YEAR(m8_crossvalid[[#This Row],[cutoff]]),MONTH(m8_crossvalid[[#This Row],[cutoff]]),DAY(m8_crossvalid[[#This Row],[cutoff]]))</f>
        <v>45991</v>
      </c>
      <c r="B361" s="7">
        <f>DATE(YEAR(m8_crossvalid[[#This Row],[ds]]),MONTH(m8_crossvalid[[#This Row],[ds]]),DAY(m8_crossvalid[[#This Row],[ds]]))</f>
        <v>46010</v>
      </c>
      <c r="C361">
        <v>4261</v>
      </c>
      <c r="D361" s="1">
        <v>46010.333333333336</v>
      </c>
      <c r="E361">
        <v>3636.8964844233624</v>
      </c>
      <c r="F361">
        <v>2167.9478680738498</v>
      </c>
      <c r="G361">
        <v>5056.1347128384878</v>
      </c>
      <c r="H361" s="1">
        <v>45991.333333333336</v>
      </c>
    </row>
    <row r="362" spans="1:8" x14ac:dyDescent="0.25">
      <c r="A362" s="7">
        <f>DATE(YEAR(m8_crossvalid[[#This Row],[cutoff]]),MONTH(m8_crossvalid[[#This Row],[cutoff]]),DAY(m8_crossvalid[[#This Row],[cutoff]]))</f>
        <v>45991</v>
      </c>
      <c r="B362" s="7">
        <f>DATE(YEAR(m8_crossvalid[[#This Row],[ds]]),MONTH(m8_crossvalid[[#This Row],[ds]]),DAY(m8_crossvalid[[#This Row],[ds]]))</f>
        <v>46011</v>
      </c>
      <c r="C362">
        <v>999</v>
      </c>
      <c r="D362" s="1">
        <v>46011.333333333336</v>
      </c>
      <c r="E362">
        <v>1458.4490031396263</v>
      </c>
      <c r="F362">
        <v>-51.447166579170911</v>
      </c>
      <c r="G362">
        <v>3021.4154410152296</v>
      </c>
      <c r="H362" s="1">
        <v>45991.333333333336</v>
      </c>
    </row>
    <row r="363" spans="1:8" x14ac:dyDescent="0.25">
      <c r="A363" s="7">
        <f>DATE(YEAR(m8_crossvalid[[#This Row],[cutoff]]),MONTH(m8_crossvalid[[#This Row],[cutoff]]),DAY(m8_crossvalid[[#This Row],[cutoff]]))</f>
        <v>45991</v>
      </c>
      <c r="B363" s="7">
        <f>DATE(YEAR(m8_crossvalid[[#This Row],[ds]]),MONTH(m8_crossvalid[[#This Row],[ds]]),DAY(m8_crossvalid[[#This Row],[ds]]))</f>
        <v>46012</v>
      </c>
      <c r="C363">
        <v>251</v>
      </c>
      <c r="D363" s="1">
        <v>46012.333333333336</v>
      </c>
      <c r="E363">
        <v>991.08562202831195</v>
      </c>
      <c r="F363">
        <v>-469.80408963515447</v>
      </c>
      <c r="G363">
        <v>2424.240638995137</v>
      </c>
      <c r="H363" s="1">
        <v>45991.333333333336</v>
      </c>
    </row>
    <row r="364" spans="1:8" x14ac:dyDescent="0.25">
      <c r="A364" s="7">
        <f>DATE(YEAR(m8_crossvalid[[#This Row],[cutoff]]),MONTH(m8_crossvalid[[#This Row],[cutoff]]),DAY(m8_crossvalid[[#This Row],[cutoff]]))</f>
        <v>45991</v>
      </c>
      <c r="B364" s="7">
        <f>DATE(YEAR(m8_crossvalid[[#This Row],[ds]]),MONTH(m8_crossvalid[[#This Row],[ds]]),DAY(m8_crossvalid[[#This Row],[ds]]))</f>
        <v>46013</v>
      </c>
      <c r="C364">
        <v>4791</v>
      </c>
      <c r="D364" s="1">
        <v>46013.333333333336</v>
      </c>
      <c r="E364">
        <v>3553.5670501601558</v>
      </c>
      <c r="F364">
        <v>2107.8276349649436</v>
      </c>
      <c r="G364">
        <v>5091.1356305503159</v>
      </c>
      <c r="H364" s="1">
        <v>45991.333333333336</v>
      </c>
    </row>
    <row r="365" spans="1:8" x14ac:dyDescent="0.25">
      <c r="A365" s="7">
        <f>DATE(YEAR(m8_crossvalid[[#This Row],[cutoff]]),MONTH(m8_crossvalid[[#This Row],[cutoff]]),DAY(m8_crossvalid[[#This Row],[cutoff]]))</f>
        <v>45991</v>
      </c>
      <c r="B365" s="7">
        <f>DATE(YEAR(m8_crossvalid[[#This Row],[ds]]),MONTH(m8_crossvalid[[#This Row],[ds]]),DAY(m8_crossvalid[[#This Row],[ds]]))</f>
        <v>46014</v>
      </c>
      <c r="C365">
        <v>5802</v>
      </c>
      <c r="D365" s="1">
        <v>46014.333333333336</v>
      </c>
      <c r="E365">
        <v>4004.7442234646933</v>
      </c>
      <c r="F365">
        <v>2493.9946333270827</v>
      </c>
      <c r="G365">
        <v>5385.0053685856383</v>
      </c>
      <c r="H365" s="1">
        <v>45991.333333333336</v>
      </c>
    </row>
    <row r="366" spans="1:8" x14ac:dyDescent="0.25">
      <c r="A366" s="7">
        <f>DATE(YEAR(m8_crossvalid[[#This Row],[cutoff]]),MONTH(m8_crossvalid[[#This Row],[cutoff]]),DAY(m8_crossvalid[[#This Row],[cutoff]]))</f>
        <v>45991</v>
      </c>
      <c r="B366" s="7">
        <f>DATE(YEAR(m8_crossvalid[[#This Row],[ds]]),MONTH(m8_crossvalid[[#This Row],[ds]]),DAY(m8_crossvalid[[#This Row],[ds]]))</f>
        <v>46015</v>
      </c>
      <c r="C366">
        <v>6117</v>
      </c>
      <c r="D366" s="1">
        <v>46015.333333333336</v>
      </c>
      <c r="E366">
        <v>4293.8427687872872</v>
      </c>
      <c r="F366">
        <v>2846.8745380117366</v>
      </c>
      <c r="G366">
        <v>5786.1291223293538</v>
      </c>
      <c r="H366" s="1">
        <v>45991.333333333336</v>
      </c>
    </row>
    <row r="367" spans="1:8" x14ac:dyDescent="0.25">
      <c r="A367" s="7">
        <f>DATE(YEAR(m8_crossvalid[[#This Row],[cutoff]]),MONTH(m8_crossvalid[[#This Row],[cutoff]]),DAY(m8_crossvalid[[#This Row],[cutoff]]))</f>
        <v>45991</v>
      </c>
      <c r="B367" s="7">
        <f>DATE(YEAR(m8_crossvalid[[#This Row],[ds]]),MONTH(m8_crossvalid[[#This Row],[ds]]),DAY(m8_crossvalid[[#This Row],[ds]]))</f>
        <v>46016</v>
      </c>
      <c r="C367">
        <v>400</v>
      </c>
      <c r="D367" s="1">
        <v>46016.333333333336</v>
      </c>
      <c r="E367">
        <v>937.24871799867174</v>
      </c>
      <c r="F367">
        <v>-560.92515822630423</v>
      </c>
      <c r="G367">
        <v>2315.1757796441102</v>
      </c>
      <c r="H367" s="1">
        <v>45991.333333333336</v>
      </c>
    </row>
    <row r="368" spans="1:8" x14ac:dyDescent="0.25">
      <c r="A368" s="7">
        <f>DATE(YEAR(m8_crossvalid[[#This Row],[cutoff]]),MONTH(m8_crossvalid[[#This Row],[cutoff]]),DAY(m8_crossvalid[[#This Row],[cutoff]]))</f>
        <v>45991</v>
      </c>
      <c r="B368" s="7">
        <f>DATE(YEAR(m8_crossvalid[[#This Row],[ds]]),MONTH(m8_crossvalid[[#This Row],[ds]]),DAY(m8_crossvalid[[#This Row],[ds]]))</f>
        <v>46017</v>
      </c>
      <c r="C368">
        <v>6559</v>
      </c>
      <c r="D368" s="1">
        <v>46017.333333333336</v>
      </c>
      <c r="E368">
        <v>4536.702311971123</v>
      </c>
      <c r="F368">
        <v>3073.4388390353497</v>
      </c>
      <c r="G368">
        <v>5897.8306067443273</v>
      </c>
      <c r="H368" s="1">
        <v>45991.333333333336</v>
      </c>
    </row>
    <row r="369" spans="1:8" x14ac:dyDescent="0.25">
      <c r="A369" s="7">
        <f>DATE(YEAR(m8_crossvalid[[#This Row],[cutoff]]),MONTH(m8_crossvalid[[#This Row],[cutoff]]),DAY(m8_crossvalid[[#This Row],[cutoff]]))</f>
        <v>45991</v>
      </c>
      <c r="B369" s="7">
        <f>DATE(YEAR(m8_crossvalid[[#This Row],[ds]]),MONTH(m8_crossvalid[[#This Row],[ds]]),DAY(m8_crossvalid[[#This Row],[ds]]))</f>
        <v>46018</v>
      </c>
      <c r="C369">
        <v>1928</v>
      </c>
      <c r="D369" s="1">
        <v>46018.333333333336</v>
      </c>
      <c r="E369">
        <v>3187.5574785754106</v>
      </c>
      <c r="F369">
        <v>1762.4057072109513</v>
      </c>
      <c r="G369">
        <v>4704.232693452579</v>
      </c>
      <c r="H369" s="1">
        <v>45991.333333333336</v>
      </c>
    </row>
    <row r="370" spans="1:8" x14ac:dyDescent="0.25">
      <c r="A370" s="7">
        <f>DATE(YEAR(m8_crossvalid[[#This Row],[cutoff]]),MONTH(m8_crossvalid[[#This Row],[cutoff]]),DAY(m8_crossvalid[[#This Row],[cutoff]]))</f>
        <v>45991</v>
      </c>
      <c r="B370" s="7">
        <f>DATE(YEAR(m8_crossvalid[[#This Row],[ds]]),MONTH(m8_crossvalid[[#This Row],[ds]]),DAY(m8_crossvalid[[#This Row],[ds]]))</f>
        <v>46019</v>
      </c>
      <c r="C370">
        <v>428</v>
      </c>
      <c r="D370" s="1">
        <v>46019.333333333336</v>
      </c>
      <c r="E370">
        <v>2778.3421025435828</v>
      </c>
      <c r="F370">
        <v>1396.9152696795177</v>
      </c>
      <c r="G370">
        <v>4241.2308187173148</v>
      </c>
      <c r="H370" s="1">
        <v>45991.333333333336</v>
      </c>
    </row>
    <row r="371" spans="1:8" x14ac:dyDescent="0.25">
      <c r="A371" s="7">
        <f>DATE(YEAR(m8_crossvalid[[#This Row],[cutoff]]),MONTH(m8_crossvalid[[#This Row],[cutoff]]),DAY(m8_crossvalid[[#This Row],[cutoff]]))</f>
        <v>45991</v>
      </c>
      <c r="B371" s="7">
        <f>DATE(YEAR(m8_crossvalid[[#This Row],[ds]]),MONTH(m8_crossvalid[[#This Row],[ds]]),DAY(m8_crossvalid[[#This Row],[ds]]))</f>
        <v>46020</v>
      </c>
      <c r="C371">
        <v>7441</v>
      </c>
      <c r="D371" s="1">
        <v>46020.333333333336</v>
      </c>
      <c r="E371">
        <v>5699.6461807693286</v>
      </c>
      <c r="F371">
        <v>4248.2559088424741</v>
      </c>
      <c r="G371">
        <v>7162.6840673890893</v>
      </c>
      <c r="H371" s="1">
        <v>45991.333333333336</v>
      </c>
    </row>
    <row r="372" spans="1:8" x14ac:dyDescent="0.25">
      <c r="A372" s="7">
        <f>DATE(YEAR(m8_crossvalid[[#This Row],[cutoff]]),MONTH(m8_crossvalid[[#This Row],[cutoff]]),DAY(m8_crossvalid[[#This Row],[cutoff]]))</f>
        <v>45991</v>
      </c>
      <c r="B372" s="7">
        <f>DATE(YEAR(m8_crossvalid[[#This Row],[ds]]),MONTH(m8_crossvalid[[#This Row],[ds]]),DAY(m8_crossvalid[[#This Row],[ds]]))</f>
        <v>46021</v>
      </c>
      <c r="C372">
        <v>10603</v>
      </c>
      <c r="D372" s="1">
        <v>46021.333333333336</v>
      </c>
      <c r="E372">
        <v>8204.1804566877599</v>
      </c>
      <c r="F372">
        <v>6694.5127962920633</v>
      </c>
      <c r="G372">
        <v>9667.271732797788</v>
      </c>
      <c r="H372" s="1">
        <v>45991.333333333336</v>
      </c>
    </row>
    <row r="373" spans="1:8" x14ac:dyDescent="0.25">
      <c r="A373" s="7">
        <f>DATE(YEAR(m8_crossvalid[[#This Row],[cutoff]]),MONTH(m8_crossvalid[[#This Row],[cutoff]]),DAY(m8_crossvalid[[#This Row],[cutoff]]))</f>
        <v>45991</v>
      </c>
      <c r="B373" s="7">
        <f>DATE(YEAR(m8_crossvalid[[#This Row],[ds]]),MONTH(m8_crossvalid[[#This Row],[ds]]),DAY(m8_crossvalid[[#This Row],[ds]]))</f>
        <v>46022</v>
      </c>
      <c r="C373">
        <v>15370</v>
      </c>
      <c r="D373" s="1">
        <v>46022.333333333336</v>
      </c>
      <c r="E373">
        <v>10050.96258372895</v>
      </c>
      <c r="F373">
        <v>8602.4649692879811</v>
      </c>
      <c r="G373">
        <v>11574.388206212003</v>
      </c>
      <c r="H373" s="1">
        <v>45991.333333333336</v>
      </c>
    </row>
    <row r="374" spans="1:8" x14ac:dyDescent="0.25">
      <c r="A374" s="7">
        <f>DATE(YEAR(m8_crossvalid[[#This Row],[cutoff]]),MONTH(m8_crossvalid[[#This Row],[cutoff]]),DAY(m8_crossvalid[[#This Row],[cutoff]]))</f>
        <v>46022</v>
      </c>
      <c r="B374" s="7">
        <f>DATE(YEAR(m8_crossvalid[[#This Row],[ds]]),MONTH(m8_crossvalid[[#This Row],[ds]]),DAY(m8_crossvalid[[#This Row],[ds]]))</f>
        <v>46023</v>
      </c>
      <c r="C374">
        <v>2584</v>
      </c>
      <c r="D374" s="1">
        <v>46023.333333333336</v>
      </c>
      <c r="E374">
        <v>788.42064332622044</v>
      </c>
      <c r="F374">
        <v>-520.89424889485622</v>
      </c>
      <c r="G374">
        <v>2245.0780582547054</v>
      </c>
      <c r="H374" s="1">
        <v>46022.333333333336</v>
      </c>
    </row>
    <row r="375" spans="1:8" x14ac:dyDescent="0.25">
      <c r="A375" s="7">
        <f>DATE(YEAR(m8_crossvalid[[#This Row],[cutoff]]),MONTH(m8_crossvalid[[#This Row],[cutoff]]),DAY(m8_crossvalid[[#This Row],[cutoff]]))</f>
        <v>46022</v>
      </c>
      <c r="B375" s="7">
        <f>DATE(YEAR(m8_crossvalid[[#This Row],[ds]]),MONTH(m8_crossvalid[[#This Row],[ds]]),DAY(m8_crossvalid[[#This Row],[ds]]))</f>
        <v>46024</v>
      </c>
      <c r="C375">
        <v>1536</v>
      </c>
      <c r="D375" s="1">
        <v>46024.333333333336</v>
      </c>
      <c r="E375">
        <v>2016.4986724826977</v>
      </c>
      <c r="F375">
        <v>648.88724332445963</v>
      </c>
      <c r="G375">
        <v>3593.4546621638369</v>
      </c>
      <c r="H375" s="1">
        <v>46022.333333333336</v>
      </c>
    </row>
    <row r="376" spans="1:8" x14ac:dyDescent="0.25">
      <c r="A376" s="7">
        <f>DATE(YEAR(m8_crossvalid[[#This Row],[cutoff]]),MONTH(m8_crossvalid[[#This Row],[cutoff]]),DAY(m8_crossvalid[[#This Row],[cutoff]]))</f>
        <v>46022</v>
      </c>
      <c r="B376" s="7">
        <f>DATE(YEAR(m8_crossvalid[[#This Row],[ds]]),MONTH(m8_crossvalid[[#This Row],[ds]]),DAY(m8_crossvalid[[#This Row],[ds]]))</f>
        <v>46025</v>
      </c>
      <c r="C376">
        <v>80</v>
      </c>
      <c r="D376" s="1">
        <v>46025.333333333336</v>
      </c>
      <c r="E376">
        <v>-176.58432963493215</v>
      </c>
      <c r="F376">
        <v>-1651.0794693541291</v>
      </c>
      <c r="G376">
        <v>1370.7283383954557</v>
      </c>
      <c r="H376" s="1">
        <v>46022.333333333336</v>
      </c>
    </row>
    <row r="377" spans="1:8" x14ac:dyDescent="0.25">
      <c r="A377" s="7">
        <f>DATE(YEAR(m8_crossvalid[[#This Row],[cutoff]]),MONTH(m8_crossvalid[[#This Row],[cutoff]]),DAY(m8_crossvalid[[#This Row],[cutoff]]))</f>
        <v>46022</v>
      </c>
      <c r="B377" s="7">
        <f>DATE(YEAR(m8_crossvalid[[#This Row],[ds]]),MONTH(m8_crossvalid[[#This Row],[ds]]),DAY(m8_crossvalid[[#This Row],[ds]]))</f>
        <v>46026</v>
      </c>
      <c r="C377">
        <v>17</v>
      </c>
      <c r="D377" s="1">
        <v>46026.333333333336</v>
      </c>
      <c r="E377">
        <v>-871.83006111903205</v>
      </c>
      <c r="F377">
        <v>-2302.0157009115605</v>
      </c>
      <c r="G377">
        <v>620.32647748828867</v>
      </c>
      <c r="H377" s="1">
        <v>46022.333333333336</v>
      </c>
    </row>
    <row r="378" spans="1:8" x14ac:dyDescent="0.25">
      <c r="A378" s="7">
        <f>DATE(YEAR(m8_crossvalid[[#This Row],[cutoff]]),MONTH(m8_crossvalid[[#This Row],[cutoff]]),DAY(m8_crossvalid[[#This Row],[cutoff]]))</f>
        <v>46022</v>
      </c>
      <c r="B378" s="7">
        <f>DATE(YEAR(m8_crossvalid[[#This Row],[ds]]),MONTH(m8_crossvalid[[#This Row],[ds]]),DAY(m8_crossvalid[[#This Row],[ds]]))</f>
        <v>46027</v>
      </c>
      <c r="C378">
        <v>340</v>
      </c>
      <c r="D378" s="1">
        <v>46027.333333333336</v>
      </c>
      <c r="E378">
        <v>1612.0423194329585</v>
      </c>
      <c r="F378">
        <v>66.729766967352688</v>
      </c>
      <c r="G378">
        <v>2985.9201781168922</v>
      </c>
      <c r="H378" s="1">
        <v>46022.333333333336</v>
      </c>
    </row>
    <row r="379" spans="1:8" x14ac:dyDescent="0.25">
      <c r="A379" s="7">
        <f>DATE(YEAR(m8_crossvalid[[#This Row],[cutoff]]),MONTH(m8_crossvalid[[#This Row],[cutoff]]),DAY(m8_crossvalid[[#This Row],[cutoff]]))</f>
        <v>46022</v>
      </c>
      <c r="B379" s="7">
        <f>DATE(YEAR(m8_crossvalid[[#This Row],[ds]]),MONTH(m8_crossvalid[[#This Row],[ds]]),DAY(m8_crossvalid[[#This Row],[ds]]))</f>
        <v>46028</v>
      </c>
      <c r="C379">
        <v>485</v>
      </c>
      <c r="D379" s="1">
        <v>46028.333333333336</v>
      </c>
      <c r="E379">
        <v>1929.0974733991261</v>
      </c>
      <c r="F379">
        <v>355.10319664175131</v>
      </c>
      <c r="G379">
        <v>3416.6316573789099</v>
      </c>
      <c r="H379" s="1">
        <v>46022.333333333336</v>
      </c>
    </row>
    <row r="380" spans="1:8" x14ac:dyDescent="0.25">
      <c r="A380" s="7">
        <f>DATE(YEAR(m8_crossvalid[[#This Row],[cutoff]]),MONTH(m8_crossvalid[[#This Row],[cutoff]]),DAY(m8_crossvalid[[#This Row],[cutoff]]))</f>
        <v>46022</v>
      </c>
      <c r="B380" s="7">
        <f>DATE(YEAR(m8_crossvalid[[#This Row],[ds]]),MONTH(m8_crossvalid[[#This Row],[ds]]),DAY(m8_crossvalid[[#This Row],[ds]]))</f>
        <v>46029</v>
      </c>
      <c r="C380">
        <v>532</v>
      </c>
      <c r="D380" s="1">
        <v>46029.333333333336</v>
      </c>
      <c r="E380">
        <v>1828.2437853857971</v>
      </c>
      <c r="F380">
        <v>350.27131606018793</v>
      </c>
      <c r="G380">
        <v>3333.7401400726976</v>
      </c>
      <c r="H380" s="1">
        <v>46022.333333333336</v>
      </c>
    </row>
    <row r="381" spans="1:8" x14ac:dyDescent="0.25">
      <c r="A381" s="7">
        <f>DATE(YEAR(m8_crossvalid[[#This Row],[cutoff]]),MONTH(m8_crossvalid[[#This Row],[cutoff]]),DAY(m8_crossvalid[[#This Row],[cutoff]]))</f>
        <v>46022</v>
      </c>
      <c r="B381" s="7">
        <f>DATE(YEAR(m8_crossvalid[[#This Row],[ds]]),MONTH(m8_crossvalid[[#This Row],[ds]]),DAY(m8_crossvalid[[#This Row],[ds]]))</f>
        <v>46030</v>
      </c>
      <c r="C381">
        <v>659</v>
      </c>
      <c r="D381" s="1">
        <v>46030.333333333336</v>
      </c>
      <c r="E381">
        <v>2702.6067340113718</v>
      </c>
      <c r="F381">
        <v>1090.5975772037252</v>
      </c>
      <c r="G381">
        <v>4132.1815350349452</v>
      </c>
      <c r="H381" s="1">
        <v>46022.333333333336</v>
      </c>
    </row>
    <row r="382" spans="1:8" x14ac:dyDescent="0.25">
      <c r="A382" s="7">
        <f>DATE(YEAR(m8_crossvalid[[#This Row],[cutoff]]),MONTH(m8_crossvalid[[#This Row],[cutoff]]),DAY(m8_crossvalid[[#This Row],[cutoff]]))</f>
        <v>46022</v>
      </c>
      <c r="B382" s="7">
        <f>DATE(YEAR(m8_crossvalid[[#This Row],[ds]]),MONTH(m8_crossvalid[[#This Row],[ds]]),DAY(m8_crossvalid[[#This Row],[ds]]))</f>
        <v>46031</v>
      </c>
      <c r="C382">
        <v>787</v>
      </c>
      <c r="D382" s="1">
        <v>46031.333333333336</v>
      </c>
      <c r="E382">
        <v>2266.9570917241113</v>
      </c>
      <c r="F382">
        <v>809.70366990805292</v>
      </c>
      <c r="G382">
        <v>3809.6315976117889</v>
      </c>
      <c r="H382" s="1">
        <v>46022.333333333336</v>
      </c>
    </row>
    <row r="383" spans="1:8" x14ac:dyDescent="0.25">
      <c r="A383" s="7">
        <f>DATE(YEAR(m8_crossvalid[[#This Row],[cutoff]]),MONTH(m8_crossvalid[[#This Row],[cutoff]]),DAY(m8_crossvalid[[#This Row],[cutoff]]))</f>
        <v>46022</v>
      </c>
      <c r="B383" s="7">
        <f>DATE(YEAR(m8_crossvalid[[#This Row],[ds]]),MONTH(m8_crossvalid[[#This Row],[ds]]),DAY(m8_crossvalid[[#This Row],[ds]]))</f>
        <v>46032</v>
      </c>
      <c r="C383">
        <v>137</v>
      </c>
      <c r="D383" s="1">
        <v>46032.333333333336</v>
      </c>
      <c r="E383">
        <v>-259.4855047147139</v>
      </c>
      <c r="F383">
        <v>-1681.2609874433269</v>
      </c>
      <c r="G383">
        <v>1120.7457387658044</v>
      </c>
      <c r="H383" s="1">
        <v>46022.333333333336</v>
      </c>
    </row>
    <row r="384" spans="1:8" x14ac:dyDescent="0.25">
      <c r="A384" s="7">
        <f>DATE(YEAR(m8_crossvalid[[#This Row],[cutoff]]),MONTH(m8_crossvalid[[#This Row],[cutoff]]),DAY(m8_crossvalid[[#This Row],[cutoff]]))</f>
        <v>46022</v>
      </c>
      <c r="B384" s="7">
        <f>DATE(YEAR(m8_crossvalid[[#This Row],[ds]]),MONTH(m8_crossvalid[[#This Row],[ds]]),DAY(m8_crossvalid[[#This Row],[ds]]))</f>
        <v>46033</v>
      </c>
      <c r="C384">
        <v>44</v>
      </c>
      <c r="D384" s="1">
        <v>46033.333333333336</v>
      </c>
      <c r="E384">
        <v>-769.50418176208541</v>
      </c>
      <c r="F384">
        <v>-2278.5580956434278</v>
      </c>
      <c r="G384">
        <v>645.83157770433149</v>
      </c>
      <c r="H384" s="1">
        <v>46022.333333333336</v>
      </c>
    </row>
    <row r="385" spans="1:8" x14ac:dyDescent="0.25">
      <c r="A385" s="7">
        <f>DATE(YEAR(m8_crossvalid[[#This Row],[cutoff]]),MONTH(m8_crossvalid[[#This Row],[cutoff]]),DAY(m8_crossvalid[[#This Row],[cutoff]]))</f>
        <v>46022</v>
      </c>
      <c r="B385" s="7">
        <f>DATE(YEAR(m8_crossvalid[[#This Row],[ds]]),MONTH(m8_crossvalid[[#This Row],[ds]]),DAY(m8_crossvalid[[#This Row],[ds]]))</f>
        <v>46034</v>
      </c>
      <c r="C385">
        <v>779</v>
      </c>
      <c r="D385" s="1">
        <v>46034.333333333336</v>
      </c>
      <c r="E385">
        <v>1887.1148379672986</v>
      </c>
      <c r="F385">
        <v>367.57075182434704</v>
      </c>
      <c r="G385">
        <v>3430.4981612633837</v>
      </c>
      <c r="H385" s="1">
        <v>46022.333333333336</v>
      </c>
    </row>
    <row r="386" spans="1:8" x14ac:dyDescent="0.25">
      <c r="A386" s="7">
        <f>DATE(YEAR(m8_crossvalid[[#This Row],[cutoff]]),MONTH(m8_crossvalid[[#This Row],[cutoff]]),DAY(m8_crossvalid[[#This Row],[cutoff]]))</f>
        <v>46022</v>
      </c>
      <c r="B386" s="7">
        <f>DATE(YEAR(m8_crossvalid[[#This Row],[ds]]),MONTH(m8_crossvalid[[#This Row],[ds]]),DAY(m8_crossvalid[[#This Row],[ds]]))</f>
        <v>46035</v>
      </c>
      <c r="C386">
        <v>1113</v>
      </c>
      <c r="D386" s="1">
        <v>46035.333333333336</v>
      </c>
      <c r="E386">
        <v>2212.5383295142933</v>
      </c>
      <c r="F386">
        <v>730.8215868821494</v>
      </c>
      <c r="G386">
        <v>3681.2354816475986</v>
      </c>
      <c r="H386" s="1">
        <v>46022.333333333336</v>
      </c>
    </row>
    <row r="387" spans="1:8" x14ac:dyDescent="0.25">
      <c r="A387" s="7">
        <f>DATE(YEAR(m8_crossvalid[[#This Row],[cutoff]]),MONTH(m8_crossvalid[[#This Row],[cutoff]]),DAY(m8_crossvalid[[#This Row],[cutoff]]))</f>
        <v>46022</v>
      </c>
      <c r="B387" s="7">
        <f>DATE(YEAR(m8_crossvalid[[#This Row],[ds]]),MONTH(m8_crossvalid[[#This Row],[ds]]),DAY(m8_crossvalid[[#This Row],[ds]]))</f>
        <v>46036</v>
      </c>
      <c r="C387">
        <v>1419</v>
      </c>
      <c r="D387" s="1">
        <v>46036.333333333336</v>
      </c>
      <c r="E387">
        <v>2266.0319008802912</v>
      </c>
      <c r="F387">
        <v>846.91338140768073</v>
      </c>
      <c r="G387">
        <v>3699.9975776217811</v>
      </c>
      <c r="H387" s="1">
        <v>46022.333333333336</v>
      </c>
    </row>
    <row r="388" spans="1:8" x14ac:dyDescent="0.25">
      <c r="A388" s="7">
        <f>DATE(YEAR(m8_crossvalid[[#This Row],[cutoff]]),MONTH(m8_crossvalid[[#This Row],[cutoff]]),DAY(m8_crossvalid[[#This Row],[cutoff]]))</f>
        <v>46022</v>
      </c>
      <c r="B388" s="7">
        <f>DATE(YEAR(m8_crossvalid[[#This Row],[ds]]),MONTH(m8_crossvalid[[#This Row],[ds]]),DAY(m8_crossvalid[[#This Row],[ds]]))</f>
        <v>46037</v>
      </c>
      <c r="C388">
        <v>1874</v>
      </c>
      <c r="D388" s="1">
        <v>46037.333333333336</v>
      </c>
      <c r="E388">
        <v>2316.0285941418961</v>
      </c>
      <c r="F388">
        <v>882.86927767474299</v>
      </c>
      <c r="G388">
        <v>3708.2077806399802</v>
      </c>
      <c r="H388" s="1">
        <v>46022.333333333336</v>
      </c>
    </row>
    <row r="389" spans="1:8" x14ac:dyDescent="0.25">
      <c r="A389" s="7">
        <f>DATE(YEAR(m8_crossvalid[[#This Row],[cutoff]]),MONTH(m8_crossvalid[[#This Row],[cutoff]]),DAY(m8_crossvalid[[#This Row],[cutoff]]))</f>
        <v>46022</v>
      </c>
      <c r="B389" s="7">
        <f>DATE(YEAR(m8_crossvalid[[#This Row],[ds]]),MONTH(m8_crossvalid[[#This Row],[ds]]),DAY(m8_crossvalid[[#This Row],[ds]]))</f>
        <v>46038</v>
      </c>
      <c r="C389">
        <v>2020</v>
      </c>
      <c r="D389" s="1">
        <v>46038.333333333336</v>
      </c>
      <c r="E389">
        <v>2427.9088138626657</v>
      </c>
      <c r="F389">
        <v>886.86156878099973</v>
      </c>
      <c r="G389">
        <v>3978.6026311437149</v>
      </c>
      <c r="H389" s="1">
        <v>46022.333333333336</v>
      </c>
    </row>
    <row r="390" spans="1:8" x14ac:dyDescent="0.25">
      <c r="A390" s="7">
        <f>DATE(YEAR(m8_crossvalid[[#This Row],[cutoff]]),MONTH(m8_crossvalid[[#This Row],[cutoff]]),DAY(m8_crossvalid[[#This Row],[cutoff]]))</f>
        <v>46022</v>
      </c>
      <c r="B390" s="7">
        <f>DATE(YEAR(m8_crossvalid[[#This Row],[ds]]),MONTH(m8_crossvalid[[#This Row],[ds]]),DAY(m8_crossvalid[[#This Row],[ds]]))</f>
        <v>46039</v>
      </c>
      <c r="C390">
        <v>451</v>
      </c>
      <c r="D390" s="1">
        <v>46039.333333333336</v>
      </c>
      <c r="E390">
        <v>253.81945061146325</v>
      </c>
      <c r="F390">
        <v>-1174.2952990291199</v>
      </c>
      <c r="G390">
        <v>1710.670889343146</v>
      </c>
      <c r="H390" s="1">
        <v>46022.333333333336</v>
      </c>
    </row>
    <row r="391" spans="1:8" x14ac:dyDescent="0.25">
      <c r="A391" s="7">
        <f>DATE(YEAR(m8_crossvalid[[#This Row],[cutoff]]),MONTH(m8_crossvalid[[#This Row],[cutoff]]),DAY(m8_crossvalid[[#This Row],[cutoff]]))</f>
        <v>46022</v>
      </c>
      <c r="B391" s="7">
        <f>DATE(YEAR(m8_crossvalid[[#This Row],[ds]]),MONTH(m8_crossvalid[[#This Row],[ds]]),DAY(m8_crossvalid[[#This Row],[ds]]))</f>
        <v>46040</v>
      </c>
      <c r="C391">
        <v>76</v>
      </c>
      <c r="D391" s="1">
        <v>46040.333333333336</v>
      </c>
      <c r="E391">
        <v>-271.57861306175118</v>
      </c>
      <c r="F391">
        <v>-1825.1614484078536</v>
      </c>
      <c r="G391">
        <v>1248.570471268134</v>
      </c>
      <c r="H391" s="1">
        <v>46022.333333333336</v>
      </c>
    </row>
    <row r="392" spans="1:8" x14ac:dyDescent="0.25">
      <c r="A392" s="7">
        <f>DATE(YEAR(m8_crossvalid[[#This Row],[cutoff]]),MONTH(m8_crossvalid[[#This Row],[cutoff]]),DAY(m8_crossvalid[[#This Row],[cutoff]]))</f>
        <v>46022</v>
      </c>
      <c r="B392" s="7">
        <f>DATE(YEAR(m8_crossvalid[[#This Row],[ds]]),MONTH(m8_crossvalid[[#This Row],[ds]]),DAY(m8_crossvalid[[#This Row],[ds]]))</f>
        <v>46041</v>
      </c>
      <c r="C392">
        <v>1963</v>
      </c>
      <c r="D392" s="1">
        <v>46041.333333333336</v>
      </c>
      <c r="E392">
        <v>2299.8518840919269</v>
      </c>
      <c r="F392">
        <v>817.98929518877571</v>
      </c>
      <c r="G392">
        <v>3787.7754076733745</v>
      </c>
      <c r="H392" s="1">
        <v>46022.333333333336</v>
      </c>
    </row>
    <row r="393" spans="1:8" x14ac:dyDescent="0.25">
      <c r="A393" s="7">
        <f>DATE(YEAR(m8_crossvalid[[#This Row],[cutoff]]),MONTH(m8_crossvalid[[#This Row],[cutoff]]),DAY(m8_crossvalid[[#This Row],[cutoff]]))</f>
        <v>46022</v>
      </c>
      <c r="B393" s="7">
        <f>DATE(YEAR(m8_crossvalid[[#This Row],[ds]]),MONTH(m8_crossvalid[[#This Row],[ds]]),DAY(m8_crossvalid[[#This Row],[ds]]))</f>
        <v>46042</v>
      </c>
      <c r="C393">
        <v>2481</v>
      </c>
      <c r="D393" s="1">
        <v>46042.333333333336</v>
      </c>
      <c r="E393">
        <v>2702.2647939985022</v>
      </c>
      <c r="F393">
        <v>1172.4000707421092</v>
      </c>
      <c r="G393">
        <v>4257.6468615167305</v>
      </c>
      <c r="H393" s="1">
        <v>46022.333333333336</v>
      </c>
    </row>
    <row r="394" spans="1:8" x14ac:dyDescent="0.25">
      <c r="A394" s="7">
        <f>DATE(YEAR(m8_crossvalid[[#This Row],[cutoff]]),MONTH(m8_crossvalid[[#This Row],[cutoff]]),DAY(m8_crossvalid[[#This Row],[cutoff]]))</f>
        <v>46022</v>
      </c>
      <c r="B394" s="7">
        <f>DATE(YEAR(m8_crossvalid[[#This Row],[ds]]),MONTH(m8_crossvalid[[#This Row],[ds]]),DAY(m8_crossvalid[[#This Row],[ds]]))</f>
        <v>46043</v>
      </c>
      <c r="C394">
        <v>2679</v>
      </c>
      <c r="D394" s="1">
        <v>46043.333333333336</v>
      </c>
      <c r="E394">
        <v>2856.3645592837593</v>
      </c>
      <c r="F394">
        <v>1377.8780550406866</v>
      </c>
      <c r="G394">
        <v>4247.5327550246666</v>
      </c>
      <c r="H394" s="1">
        <v>46022.333333333336</v>
      </c>
    </row>
    <row r="395" spans="1:8" x14ac:dyDescent="0.25">
      <c r="A395" s="7">
        <f>DATE(YEAR(m8_crossvalid[[#This Row],[cutoff]]),MONTH(m8_crossvalid[[#This Row],[cutoff]]),DAY(m8_crossvalid[[#This Row],[cutoff]]))</f>
        <v>46022</v>
      </c>
      <c r="B395" s="7">
        <f>DATE(YEAR(m8_crossvalid[[#This Row],[ds]]),MONTH(m8_crossvalid[[#This Row],[ds]]),DAY(m8_crossvalid[[#This Row],[ds]]))</f>
        <v>46044</v>
      </c>
      <c r="C395">
        <v>2830</v>
      </c>
      <c r="D395" s="1">
        <v>46044.333333333336</v>
      </c>
      <c r="E395">
        <v>2994.1394648737087</v>
      </c>
      <c r="F395">
        <v>1508.6710458304774</v>
      </c>
      <c r="G395">
        <v>4539.2003918980918</v>
      </c>
      <c r="H395" s="1">
        <v>46022.333333333336</v>
      </c>
    </row>
    <row r="396" spans="1:8" x14ac:dyDescent="0.25">
      <c r="A396" s="7">
        <f>DATE(YEAR(m8_crossvalid[[#This Row],[cutoff]]),MONTH(m8_crossvalid[[#This Row],[cutoff]]),DAY(m8_crossvalid[[#This Row],[cutoff]]))</f>
        <v>46022</v>
      </c>
      <c r="B396" s="7">
        <f>DATE(YEAR(m8_crossvalid[[#This Row],[ds]]),MONTH(m8_crossvalid[[#This Row],[ds]]),DAY(m8_crossvalid[[#This Row],[ds]]))</f>
        <v>46045</v>
      </c>
      <c r="C396">
        <v>3000</v>
      </c>
      <c r="D396" s="1">
        <v>46045.333333333336</v>
      </c>
      <c r="E396">
        <v>3215.2199141921801</v>
      </c>
      <c r="F396">
        <v>1649.7001150405035</v>
      </c>
      <c r="G396">
        <v>4722.1624098051288</v>
      </c>
      <c r="H396" s="1">
        <v>46022.333333333336</v>
      </c>
    </row>
    <row r="397" spans="1:8" x14ac:dyDescent="0.25">
      <c r="A397" s="7">
        <f>DATE(YEAR(m8_crossvalid[[#This Row],[cutoff]]),MONTH(m8_crossvalid[[#This Row],[cutoff]]),DAY(m8_crossvalid[[#This Row],[cutoff]]))</f>
        <v>46022</v>
      </c>
      <c r="B397" s="7">
        <f>DATE(YEAR(m8_crossvalid[[#This Row],[ds]]),MONTH(m8_crossvalid[[#This Row],[ds]]),DAY(m8_crossvalid[[#This Row],[ds]]))</f>
        <v>46046</v>
      </c>
      <c r="C397">
        <v>902</v>
      </c>
      <c r="D397" s="1">
        <v>46046.333333333336</v>
      </c>
      <c r="E397">
        <v>1129.2924823352275</v>
      </c>
      <c r="F397">
        <v>-297.56643349915788</v>
      </c>
      <c r="G397">
        <v>2545.3180165443887</v>
      </c>
      <c r="H397" s="1">
        <v>46022.333333333336</v>
      </c>
    </row>
    <row r="398" spans="1:8" x14ac:dyDescent="0.25">
      <c r="A398" s="7">
        <f>DATE(YEAR(m8_crossvalid[[#This Row],[cutoff]]),MONTH(m8_crossvalid[[#This Row],[cutoff]]),DAY(m8_crossvalid[[#This Row],[cutoff]]))</f>
        <v>46022</v>
      </c>
      <c r="B398" s="7">
        <f>DATE(YEAR(m8_crossvalid[[#This Row],[ds]]),MONTH(m8_crossvalid[[#This Row],[ds]]),DAY(m8_crossvalid[[#This Row],[ds]]))</f>
        <v>46047</v>
      </c>
      <c r="C398">
        <v>150</v>
      </c>
      <c r="D398" s="1">
        <v>46047.333333333336</v>
      </c>
      <c r="E398">
        <v>733.90896660009184</v>
      </c>
      <c r="F398">
        <v>-798.42399136058464</v>
      </c>
      <c r="G398">
        <v>2140.6001438758876</v>
      </c>
      <c r="H398" s="1">
        <v>46022.333333333336</v>
      </c>
    </row>
    <row r="399" spans="1:8" x14ac:dyDescent="0.25">
      <c r="A399" s="7">
        <f>DATE(YEAR(m8_crossvalid[[#This Row],[cutoff]]),MONTH(m8_crossvalid[[#This Row],[cutoff]]),DAY(m8_crossvalid[[#This Row],[cutoff]]))</f>
        <v>46022</v>
      </c>
      <c r="B399" s="7">
        <f>DATE(YEAR(m8_crossvalid[[#This Row],[ds]]),MONTH(m8_crossvalid[[#This Row],[ds]]),DAY(m8_crossvalid[[#This Row],[ds]]))</f>
        <v>46048</v>
      </c>
      <c r="C399">
        <v>3603</v>
      </c>
      <c r="D399" s="1">
        <v>46048.333333333336</v>
      </c>
      <c r="E399">
        <v>3416.6954782977523</v>
      </c>
      <c r="F399">
        <v>1893.5638705844428</v>
      </c>
      <c r="G399">
        <v>4758.1087823993512</v>
      </c>
      <c r="H399" s="1">
        <v>46022.333333333336</v>
      </c>
    </row>
    <row r="400" spans="1:8" x14ac:dyDescent="0.25">
      <c r="A400" s="7">
        <f>DATE(YEAR(m8_crossvalid[[#This Row],[cutoff]]),MONTH(m8_crossvalid[[#This Row],[cutoff]]),DAY(m8_crossvalid[[#This Row],[cutoff]]))</f>
        <v>46022</v>
      </c>
      <c r="B400" s="7">
        <f>DATE(YEAR(m8_crossvalid[[#This Row],[ds]]),MONTH(m8_crossvalid[[#This Row],[ds]]),DAY(m8_crossvalid[[#This Row],[ds]]))</f>
        <v>46049</v>
      </c>
      <c r="C400">
        <v>4548</v>
      </c>
      <c r="D400" s="1">
        <v>46049.333333333336</v>
      </c>
      <c r="E400">
        <v>4659.8495909906405</v>
      </c>
      <c r="F400">
        <v>3065.6101719184503</v>
      </c>
      <c r="G400">
        <v>6137.1442697739594</v>
      </c>
      <c r="H400" s="1">
        <v>46022.333333333336</v>
      </c>
    </row>
    <row r="401" spans="1:8" x14ac:dyDescent="0.25">
      <c r="A401" s="7">
        <f>DATE(YEAR(m8_crossvalid[[#This Row],[cutoff]]),MONTH(m8_crossvalid[[#This Row],[cutoff]]),DAY(m8_crossvalid[[#This Row],[cutoff]]))</f>
        <v>46022</v>
      </c>
      <c r="B401" s="7">
        <f>DATE(YEAR(m8_crossvalid[[#This Row],[ds]]),MONTH(m8_crossvalid[[#This Row],[ds]]),DAY(m8_crossvalid[[#This Row],[ds]]))</f>
        <v>46050</v>
      </c>
      <c r="C401">
        <v>5313</v>
      </c>
      <c r="D401" s="1">
        <v>46050.333333333336</v>
      </c>
      <c r="E401">
        <v>5130.5136113773387</v>
      </c>
      <c r="F401">
        <v>3747.8817149525162</v>
      </c>
      <c r="G401">
        <v>6662.0625425149974</v>
      </c>
      <c r="H401" s="1">
        <v>46022.333333333336</v>
      </c>
    </row>
    <row r="402" spans="1:8" x14ac:dyDescent="0.25">
      <c r="A402" s="7">
        <f>DATE(YEAR(m8_crossvalid[[#This Row],[cutoff]]),MONTH(m8_crossvalid[[#This Row],[cutoff]]),DAY(m8_crossvalid[[#This Row],[cutoff]]))</f>
        <v>46022</v>
      </c>
      <c r="B402" s="7">
        <f>DATE(YEAR(m8_crossvalid[[#This Row],[ds]]),MONTH(m8_crossvalid[[#This Row],[ds]]),DAY(m8_crossvalid[[#This Row],[ds]]))</f>
        <v>46051</v>
      </c>
      <c r="C402">
        <v>7326</v>
      </c>
      <c r="D402" s="1">
        <v>46051.333333333336</v>
      </c>
      <c r="E402">
        <v>5639.8079112997057</v>
      </c>
      <c r="F402">
        <v>4216.8561289281142</v>
      </c>
      <c r="G402">
        <v>7115.3405683709489</v>
      </c>
      <c r="H402" s="1">
        <v>46022.333333333336</v>
      </c>
    </row>
    <row r="403" spans="1:8" x14ac:dyDescent="0.25">
      <c r="A403" s="7">
        <f>DATE(YEAR(m8_crossvalid[[#This Row],[cutoff]]),MONTH(m8_crossvalid[[#This Row],[cutoff]]),DAY(m8_crossvalid[[#This Row],[cutoff]]))</f>
        <v>46022</v>
      </c>
      <c r="B403" s="7">
        <f>DATE(YEAR(m8_crossvalid[[#This Row],[ds]]),MONTH(m8_crossvalid[[#This Row],[ds]]),DAY(m8_crossvalid[[#This Row],[ds]]))</f>
        <v>46052</v>
      </c>
      <c r="C403">
        <v>10276</v>
      </c>
      <c r="D403" s="1">
        <v>46052.333333333336</v>
      </c>
      <c r="E403">
        <v>7592.6169483423055</v>
      </c>
      <c r="F403">
        <v>6065.5505014755781</v>
      </c>
      <c r="G403">
        <v>8989.3290823664884</v>
      </c>
      <c r="H403" s="1">
        <v>46022.333333333336</v>
      </c>
    </row>
    <row r="404" spans="1:8" x14ac:dyDescent="0.25">
      <c r="A404" s="7">
        <f>DATE(YEAR(m8_crossvalid[[#This Row],[cutoff]]),MONTH(m8_crossvalid[[#This Row],[cutoff]]),DAY(m8_crossvalid[[#This Row],[cutoff]]))</f>
        <v>46022</v>
      </c>
      <c r="B404" s="7">
        <f>DATE(YEAR(m8_crossvalid[[#This Row],[ds]]),MONTH(m8_crossvalid[[#This Row],[ds]]),DAY(m8_crossvalid[[#This Row],[ds]]))</f>
        <v>46053</v>
      </c>
      <c r="C404">
        <v>7991</v>
      </c>
      <c r="D404" s="1">
        <v>46053.333333333336</v>
      </c>
      <c r="E404">
        <v>6920.5434804879733</v>
      </c>
      <c r="F404">
        <v>5437.919205682646</v>
      </c>
      <c r="G404">
        <v>8395.2976409012244</v>
      </c>
      <c r="H404" s="1">
        <v>46022.333333333336</v>
      </c>
    </row>
    <row r="405" spans="1:8" x14ac:dyDescent="0.25">
      <c r="A405" s="7">
        <f>DATE(YEAR(m8_crossvalid[[#This Row],[cutoff]]),MONTH(m8_crossvalid[[#This Row],[cutoff]]),DAY(m8_crossvalid[[#This Row],[cutoff]]))</f>
        <v>46053</v>
      </c>
      <c r="B405" s="7">
        <f>DATE(YEAR(m8_crossvalid[[#This Row],[ds]]),MONTH(m8_crossvalid[[#This Row],[ds]]),DAY(m8_crossvalid[[#This Row],[ds]]))</f>
        <v>46054</v>
      </c>
      <c r="C405">
        <v>26</v>
      </c>
      <c r="D405" s="1">
        <v>46054.333333333336</v>
      </c>
      <c r="E405">
        <v>-2763.6433454308981</v>
      </c>
      <c r="F405">
        <v>-4152.8561904418502</v>
      </c>
      <c r="G405">
        <v>-1244.3638976226814</v>
      </c>
      <c r="H405" s="1">
        <v>46053.333333333336</v>
      </c>
    </row>
    <row r="406" spans="1:8" x14ac:dyDescent="0.25">
      <c r="A406" s="7">
        <f>DATE(YEAR(m8_crossvalid[[#This Row],[cutoff]]),MONTH(m8_crossvalid[[#This Row],[cutoff]]),DAY(m8_crossvalid[[#This Row],[cutoff]]))</f>
        <v>46053</v>
      </c>
      <c r="B406" s="7">
        <f>DATE(YEAR(m8_crossvalid[[#This Row],[ds]]),MONTH(m8_crossvalid[[#This Row],[ds]]),DAY(m8_crossvalid[[#This Row],[ds]]))</f>
        <v>46055</v>
      </c>
      <c r="C406">
        <v>134</v>
      </c>
      <c r="D406" s="1">
        <v>46055.333333333336</v>
      </c>
      <c r="E406">
        <v>-554.34600937441655</v>
      </c>
      <c r="F406">
        <v>-1964.4365970304525</v>
      </c>
      <c r="G406">
        <v>857.44375591611879</v>
      </c>
      <c r="H406" s="1">
        <v>46053.333333333336</v>
      </c>
    </row>
    <row r="407" spans="1:8" x14ac:dyDescent="0.25">
      <c r="A407" s="7">
        <f>DATE(YEAR(m8_crossvalid[[#This Row],[cutoff]]),MONTH(m8_crossvalid[[#This Row],[cutoff]]),DAY(m8_crossvalid[[#This Row],[cutoff]]))</f>
        <v>46053</v>
      </c>
      <c r="B407" s="7">
        <f>DATE(YEAR(m8_crossvalid[[#This Row],[ds]]),MONTH(m8_crossvalid[[#This Row],[ds]]),DAY(m8_crossvalid[[#This Row],[ds]]))</f>
        <v>46056</v>
      </c>
      <c r="C407">
        <v>521</v>
      </c>
      <c r="D407" s="1">
        <v>46056.333333333336</v>
      </c>
      <c r="E407">
        <v>7.0737031861617652</v>
      </c>
      <c r="F407">
        <v>-1378.2694620728928</v>
      </c>
      <c r="G407">
        <v>1353.4807023679693</v>
      </c>
      <c r="H407" s="1">
        <v>46053.333333333336</v>
      </c>
    </row>
    <row r="408" spans="1:8" x14ac:dyDescent="0.25">
      <c r="A408" s="7">
        <f>DATE(YEAR(m8_crossvalid[[#This Row],[cutoff]]),MONTH(m8_crossvalid[[#This Row],[cutoff]]),DAY(m8_crossvalid[[#This Row],[cutoff]]))</f>
        <v>46053</v>
      </c>
      <c r="B408" s="7">
        <f>DATE(YEAR(m8_crossvalid[[#This Row],[ds]]),MONTH(m8_crossvalid[[#This Row],[ds]]),DAY(m8_crossvalid[[#This Row],[ds]]))</f>
        <v>46057</v>
      </c>
      <c r="C408">
        <v>696</v>
      </c>
      <c r="D408" s="1">
        <v>46057.333333333336</v>
      </c>
      <c r="E408">
        <v>1865.3314754807475</v>
      </c>
      <c r="F408">
        <v>485.1823235947619</v>
      </c>
      <c r="G408">
        <v>3403.3575074773325</v>
      </c>
      <c r="H408" s="1">
        <v>46053.333333333336</v>
      </c>
    </row>
    <row r="409" spans="1:8" x14ac:dyDescent="0.25">
      <c r="A409" s="7">
        <f>DATE(YEAR(m8_crossvalid[[#This Row],[cutoff]]),MONTH(m8_crossvalid[[#This Row],[cutoff]]),DAY(m8_crossvalid[[#This Row],[cutoff]]))</f>
        <v>46053</v>
      </c>
      <c r="B409" s="7">
        <f>DATE(YEAR(m8_crossvalid[[#This Row],[ds]]),MONTH(m8_crossvalid[[#This Row],[ds]]),DAY(m8_crossvalid[[#This Row],[ds]]))</f>
        <v>46058</v>
      </c>
      <c r="C409">
        <v>1038</v>
      </c>
      <c r="D409" s="1">
        <v>46058.333333333336</v>
      </c>
      <c r="E409">
        <v>1944.7900325890696</v>
      </c>
      <c r="F409">
        <v>602.13273845889591</v>
      </c>
      <c r="G409">
        <v>3357.2594320407461</v>
      </c>
      <c r="H409" s="1">
        <v>46053.333333333336</v>
      </c>
    </row>
    <row r="410" spans="1:8" x14ac:dyDescent="0.25">
      <c r="A410" s="7">
        <f>DATE(YEAR(m8_crossvalid[[#This Row],[cutoff]]),MONTH(m8_crossvalid[[#This Row],[cutoff]]),DAY(m8_crossvalid[[#This Row],[cutoff]]))</f>
        <v>46053</v>
      </c>
      <c r="B410" s="7">
        <f>DATE(YEAR(m8_crossvalid[[#This Row],[ds]]),MONTH(m8_crossvalid[[#This Row],[ds]]),DAY(m8_crossvalid[[#This Row],[ds]]))</f>
        <v>46059</v>
      </c>
      <c r="C410">
        <v>1414</v>
      </c>
      <c r="D410" s="1">
        <v>46059.333333333336</v>
      </c>
      <c r="E410">
        <v>1949.1581497923053</v>
      </c>
      <c r="F410">
        <v>500.74384236177167</v>
      </c>
      <c r="G410">
        <v>3501.7711770971168</v>
      </c>
      <c r="H410" s="1">
        <v>46053.333333333336</v>
      </c>
    </row>
    <row r="411" spans="1:8" x14ac:dyDescent="0.25">
      <c r="A411" s="7">
        <f>DATE(YEAR(m8_crossvalid[[#This Row],[cutoff]]),MONTH(m8_crossvalid[[#This Row],[cutoff]]),DAY(m8_crossvalid[[#This Row],[cutoff]]))</f>
        <v>46053</v>
      </c>
      <c r="B411" s="7">
        <f>DATE(YEAR(m8_crossvalid[[#This Row],[ds]]),MONTH(m8_crossvalid[[#This Row],[ds]]),DAY(m8_crossvalid[[#This Row],[ds]]))</f>
        <v>46060</v>
      </c>
      <c r="C411">
        <v>286</v>
      </c>
      <c r="D411" s="1">
        <v>46060.333333333336</v>
      </c>
      <c r="E411">
        <v>-558.9356205625445</v>
      </c>
      <c r="F411">
        <v>-1995.5005786436143</v>
      </c>
      <c r="G411">
        <v>824.29708944646302</v>
      </c>
      <c r="H411" s="1">
        <v>46053.333333333336</v>
      </c>
    </row>
    <row r="412" spans="1:8" x14ac:dyDescent="0.25">
      <c r="A412" s="7">
        <f>DATE(YEAR(m8_crossvalid[[#This Row],[cutoff]]),MONTH(m8_crossvalid[[#This Row],[cutoff]]),DAY(m8_crossvalid[[#This Row],[cutoff]]))</f>
        <v>46053</v>
      </c>
      <c r="B412" s="7">
        <f>DATE(YEAR(m8_crossvalid[[#This Row],[ds]]),MONTH(m8_crossvalid[[#This Row],[ds]]),DAY(m8_crossvalid[[#This Row],[ds]]))</f>
        <v>46061</v>
      </c>
      <c r="C412">
        <v>82</v>
      </c>
      <c r="D412" s="1">
        <v>46061.333333333336</v>
      </c>
      <c r="E412">
        <v>-267.08221322806594</v>
      </c>
      <c r="F412">
        <v>-1756.9344264691404</v>
      </c>
      <c r="G412">
        <v>1185.2782798351957</v>
      </c>
      <c r="H412" s="1">
        <v>46053.333333333336</v>
      </c>
    </row>
    <row r="413" spans="1:8" x14ac:dyDescent="0.25">
      <c r="A413" s="7">
        <f>DATE(YEAR(m8_crossvalid[[#This Row],[cutoff]]),MONTH(m8_crossvalid[[#This Row],[cutoff]]),DAY(m8_crossvalid[[#This Row],[cutoff]]))</f>
        <v>46053</v>
      </c>
      <c r="B413" s="7">
        <f>DATE(YEAR(m8_crossvalid[[#This Row],[ds]]),MONTH(m8_crossvalid[[#This Row],[ds]]),DAY(m8_crossvalid[[#This Row],[ds]]))</f>
        <v>46062</v>
      </c>
      <c r="C413">
        <v>1902</v>
      </c>
      <c r="D413" s="1">
        <v>46062.333333333336</v>
      </c>
      <c r="E413">
        <v>2000.6624167297991</v>
      </c>
      <c r="F413">
        <v>456.90879355597349</v>
      </c>
      <c r="G413">
        <v>3504.3514950807357</v>
      </c>
      <c r="H413" s="1">
        <v>46053.333333333336</v>
      </c>
    </row>
    <row r="414" spans="1:8" x14ac:dyDescent="0.25">
      <c r="A414" s="7">
        <f>DATE(YEAR(m8_crossvalid[[#This Row],[cutoff]]),MONTH(m8_crossvalid[[#This Row],[cutoff]]),DAY(m8_crossvalid[[#This Row],[cutoff]]))</f>
        <v>46053</v>
      </c>
      <c r="B414" s="7">
        <f>DATE(YEAR(m8_crossvalid[[#This Row],[ds]]),MONTH(m8_crossvalid[[#This Row],[ds]]),DAY(m8_crossvalid[[#This Row],[ds]]))</f>
        <v>46063</v>
      </c>
      <c r="C414">
        <v>2288</v>
      </c>
      <c r="D414" s="1">
        <v>46063.333333333336</v>
      </c>
      <c r="E414">
        <v>2331.2446623473784</v>
      </c>
      <c r="F414">
        <v>1002.0091952392694</v>
      </c>
      <c r="G414">
        <v>3811.9955043339332</v>
      </c>
      <c r="H414" s="1">
        <v>46053.333333333336</v>
      </c>
    </row>
    <row r="415" spans="1:8" x14ac:dyDescent="0.25">
      <c r="A415" s="7">
        <f>DATE(YEAR(m8_crossvalid[[#This Row],[cutoff]]),MONTH(m8_crossvalid[[#This Row],[cutoff]]),DAY(m8_crossvalid[[#This Row],[cutoff]]))</f>
        <v>46053</v>
      </c>
      <c r="B415" s="7">
        <f>DATE(YEAR(m8_crossvalid[[#This Row],[ds]]),MONTH(m8_crossvalid[[#This Row],[ds]]),DAY(m8_crossvalid[[#This Row],[ds]]))</f>
        <v>46064</v>
      </c>
      <c r="C415">
        <v>2663</v>
      </c>
      <c r="D415" s="1">
        <v>46064.333333333336</v>
      </c>
      <c r="E415">
        <v>2548.8664401548704</v>
      </c>
      <c r="F415">
        <v>1009.6033420432015</v>
      </c>
      <c r="G415">
        <v>3996.3856869270871</v>
      </c>
      <c r="H415" s="1">
        <v>46053.333333333336</v>
      </c>
    </row>
    <row r="416" spans="1:8" x14ac:dyDescent="0.25">
      <c r="A416" s="7">
        <f>DATE(YEAR(m8_crossvalid[[#This Row],[cutoff]]),MONTH(m8_crossvalid[[#This Row],[cutoff]]),DAY(m8_crossvalid[[#This Row],[cutoff]]))</f>
        <v>46053</v>
      </c>
      <c r="B416" s="7">
        <f>DATE(YEAR(m8_crossvalid[[#This Row],[ds]]),MONTH(m8_crossvalid[[#This Row],[ds]]),DAY(m8_crossvalid[[#This Row],[ds]]))</f>
        <v>46065</v>
      </c>
      <c r="C416">
        <v>3108</v>
      </c>
      <c r="D416" s="1">
        <v>46065.333333333336</v>
      </c>
      <c r="E416">
        <v>2637.2118705669609</v>
      </c>
      <c r="F416">
        <v>1144.9289637671347</v>
      </c>
      <c r="G416">
        <v>4012.5689547979982</v>
      </c>
      <c r="H416" s="1">
        <v>46053.333333333336</v>
      </c>
    </row>
    <row r="417" spans="1:8" x14ac:dyDescent="0.25">
      <c r="A417" s="7">
        <f>DATE(YEAR(m8_crossvalid[[#This Row],[cutoff]]),MONTH(m8_crossvalid[[#This Row],[cutoff]]),DAY(m8_crossvalid[[#This Row],[cutoff]]))</f>
        <v>46053</v>
      </c>
      <c r="B417" s="7">
        <f>DATE(YEAR(m8_crossvalid[[#This Row],[ds]]),MONTH(m8_crossvalid[[#This Row],[ds]]),DAY(m8_crossvalid[[#This Row],[ds]]))</f>
        <v>46066</v>
      </c>
      <c r="C417">
        <v>3172</v>
      </c>
      <c r="D417" s="1">
        <v>46066.333333333336</v>
      </c>
      <c r="E417">
        <v>2625.2174757049956</v>
      </c>
      <c r="F417">
        <v>1089.630600423948</v>
      </c>
      <c r="G417">
        <v>4068.9489115277729</v>
      </c>
      <c r="H417" s="1">
        <v>46053.333333333336</v>
      </c>
    </row>
    <row r="418" spans="1:8" x14ac:dyDescent="0.25">
      <c r="A418" s="7">
        <f>DATE(YEAR(m8_crossvalid[[#This Row],[cutoff]]),MONTH(m8_crossvalid[[#This Row],[cutoff]]),DAY(m8_crossvalid[[#This Row],[cutoff]]))</f>
        <v>46053</v>
      </c>
      <c r="B418" s="7">
        <f>DATE(YEAR(m8_crossvalid[[#This Row],[ds]]),MONTH(m8_crossvalid[[#This Row],[ds]]),DAY(m8_crossvalid[[#This Row],[ds]]))</f>
        <v>46067</v>
      </c>
      <c r="C418">
        <v>913</v>
      </c>
      <c r="D418" s="1">
        <v>46067.333333333336</v>
      </c>
      <c r="E418">
        <v>348.34015302334865</v>
      </c>
      <c r="F418">
        <v>-1146.3533142846668</v>
      </c>
      <c r="G418">
        <v>1917.3030012646934</v>
      </c>
      <c r="H418" s="1">
        <v>46053.333333333336</v>
      </c>
    </row>
    <row r="419" spans="1:8" x14ac:dyDescent="0.25">
      <c r="A419" s="7">
        <f>DATE(YEAR(m8_crossvalid[[#This Row],[cutoff]]),MONTH(m8_crossvalid[[#This Row],[cutoff]]),DAY(m8_crossvalid[[#This Row],[cutoff]]))</f>
        <v>46053</v>
      </c>
      <c r="B419" s="7">
        <f>DATE(YEAR(m8_crossvalid[[#This Row],[ds]]),MONTH(m8_crossvalid[[#This Row],[ds]]),DAY(m8_crossvalid[[#This Row],[ds]]))</f>
        <v>46068</v>
      </c>
      <c r="C419">
        <v>208</v>
      </c>
      <c r="D419" s="1">
        <v>46068.333333333336</v>
      </c>
      <c r="E419">
        <v>-132.15544026337648</v>
      </c>
      <c r="F419">
        <v>-1740.6054652075177</v>
      </c>
      <c r="G419">
        <v>1413.7251894134383</v>
      </c>
      <c r="H419" s="1">
        <v>46053.333333333336</v>
      </c>
    </row>
    <row r="420" spans="1:8" x14ac:dyDescent="0.25">
      <c r="A420" s="7">
        <f>DATE(YEAR(m8_crossvalid[[#This Row],[cutoff]]),MONTH(m8_crossvalid[[#This Row],[cutoff]]),DAY(m8_crossvalid[[#This Row],[cutoff]]))</f>
        <v>46053</v>
      </c>
      <c r="B420" s="7">
        <f>DATE(YEAR(m8_crossvalid[[#This Row],[ds]]),MONTH(m8_crossvalid[[#This Row],[ds]]),DAY(m8_crossvalid[[#This Row],[ds]]))</f>
        <v>46069</v>
      </c>
      <c r="C420">
        <v>1728</v>
      </c>
      <c r="D420" s="1">
        <v>46069.333333333336</v>
      </c>
      <c r="E420">
        <v>2535.6666708596799</v>
      </c>
      <c r="F420">
        <v>996.17137018589392</v>
      </c>
      <c r="G420">
        <v>3969.1277482470659</v>
      </c>
      <c r="H420" s="1">
        <v>46053.333333333336</v>
      </c>
    </row>
    <row r="421" spans="1:8" x14ac:dyDescent="0.25">
      <c r="A421" s="7">
        <f>DATE(YEAR(m8_crossvalid[[#This Row],[cutoff]]),MONTH(m8_crossvalid[[#This Row],[cutoff]]),DAY(m8_crossvalid[[#This Row],[cutoff]]))</f>
        <v>46053</v>
      </c>
      <c r="B421" s="7">
        <f>DATE(YEAR(m8_crossvalid[[#This Row],[ds]]),MONTH(m8_crossvalid[[#This Row],[ds]]),DAY(m8_crossvalid[[#This Row],[ds]]))</f>
        <v>46070</v>
      </c>
      <c r="C421">
        <v>27</v>
      </c>
      <c r="D421" s="1">
        <v>46070.333333333336</v>
      </c>
      <c r="E421">
        <v>618.96254129305612</v>
      </c>
      <c r="F421">
        <v>-731.90007604533525</v>
      </c>
      <c r="G421">
        <v>1969.6220286734749</v>
      </c>
      <c r="H421" s="1">
        <v>46053.333333333336</v>
      </c>
    </row>
    <row r="422" spans="1:8" x14ac:dyDescent="0.25">
      <c r="A422" s="7">
        <f>DATE(YEAR(m8_crossvalid[[#This Row],[cutoff]]),MONTH(m8_crossvalid[[#This Row],[cutoff]]),DAY(m8_crossvalid[[#This Row],[cutoff]]))</f>
        <v>46053</v>
      </c>
      <c r="B422" s="7">
        <f>DATE(YEAR(m8_crossvalid[[#This Row],[ds]]),MONTH(m8_crossvalid[[#This Row],[ds]]),DAY(m8_crossvalid[[#This Row],[ds]]))</f>
        <v>46071</v>
      </c>
      <c r="C422">
        <v>21</v>
      </c>
      <c r="D422" s="1">
        <v>46071.333333333336</v>
      </c>
      <c r="E422">
        <v>691.77763515916831</v>
      </c>
      <c r="F422">
        <v>-709.55960758885408</v>
      </c>
      <c r="G422">
        <v>2067.083082448305</v>
      </c>
      <c r="H422" s="1">
        <v>46053.333333333336</v>
      </c>
    </row>
    <row r="423" spans="1:8" x14ac:dyDescent="0.25">
      <c r="A423" s="7">
        <f>DATE(YEAR(m8_crossvalid[[#This Row],[cutoff]]),MONTH(m8_crossvalid[[#This Row],[cutoff]]),DAY(m8_crossvalid[[#This Row],[cutoff]]))</f>
        <v>46053</v>
      </c>
      <c r="B423" s="7">
        <f>DATE(YEAR(m8_crossvalid[[#This Row],[ds]]),MONTH(m8_crossvalid[[#This Row],[ds]]),DAY(m8_crossvalid[[#This Row],[ds]]))</f>
        <v>46072</v>
      </c>
      <c r="C423">
        <v>1000</v>
      </c>
      <c r="D423" s="1">
        <v>46072.333333333336</v>
      </c>
      <c r="E423">
        <v>3057.101736001202</v>
      </c>
      <c r="F423">
        <v>1600.7882313689495</v>
      </c>
      <c r="G423">
        <v>4534.6013459801097</v>
      </c>
      <c r="H423" s="1">
        <v>46053.333333333336</v>
      </c>
    </row>
    <row r="424" spans="1:8" x14ac:dyDescent="0.25">
      <c r="A424" s="7">
        <f>DATE(YEAR(m8_crossvalid[[#This Row],[cutoff]]),MONTH(m8_crossvalid[[#This Row],[cutoff]]),DAY(m8_crossvalid[[#This Row],[cutoff]]))</f>
        <v>46053</v>
      </c>
      <c r="B424" s="7">
        <f>DATE(YEAR(m8_crossvalid[[#This Row],[ds]]),MONTH(m8_crossvalid[[#This Row],[ds]]),DAY(m8_crossvalid[[#This Row],[ds]]))</f>
        <v>46073</v>
      </c>
      <c r="C424">
        <v>1555</v>
      </c>
      <c r="D424" s="1">
        <v>46073.333333333336</v>
      </c>
      <c r="E424">
        <v>3097.3026972059706</v>
      </c>
      <c r="F424">
        <v>1639.9138520147972</v>
      </c>
      <c r="G424">
        <v>4631.4423230038765</v>
      </c>
      <c r="H424" s="1">
        <v>46053.333333333336</v>
      </c>
    </row>
    <row r="425" spans="1:8" x14ac:dyDescent="0.25">
      <c r="A425" s="7">
        <f>DATE(YEAR(m8_crossvalid[[#This Row],[cutoff]]),MONTH(m8_crossvalid[[#This Row],[cutoff]]),DAY(m8_crossvalid[[#This Row],[cutoff]]))</f>
        <v>46053</v>
      </c>
      <c r="B425" s="7">
        <f>DATE(YEAR(m8_crossvalid[[#This Row],[ds]]),MONTH(m8_crossvalid[[#This Row],[ds]]),DAY(m8_crossvalid[[#This Row],[ds]]))</f>
        <v>46074</v>
      </c>
      <c r="C425">
        <v>492</v>
      </c>
      <c r="D425" s="1">
        <v>46074.333333333336</v>
      </c>
      <c r="E425">
        <v>863.04490822439038</v>
      </c>
      <c r="F425">
        <v>-582.10384802141903</v>
      </c>
      <c r="G425">
        <v>2374.8573299638783</v>
      </c>
      <c r="H425" s="1">
        <v>46053.333333333336</v>
      </c>
    </row>
    <row r="426" spans="1:8" x14ac:dyDescent="0.25">
      <c r="A426" s="7">
        <f>DATE(YEAR(m8_crossvalid[[#This Row],[cutoff]]),MONTH(m8_crossvalid[[#This Row],[cutoff]]),DAY(m8_crossvalid[[#This Row],[cutoff]]))</f>
        <v>46053</v>
      </c>
      <c r="B426" s="7">
        <f>DATE(YEAR(m8_crossvalid[[#This Row],[ds]]),MONTH(m8_crossvalid[[#This Row],[ds]]),DAY(m8_crossvalid[[#This Row],[ds]]))</f>
        <v>46075</v>
      </c>
      <c r="C426">
        <v>159</v>
      </c>
      <c r="D426" s="1">
        <v>46075.333333333336</v>
      </c>
      <c r="E426">
        <v>454.83527346255619</v>
      </c>
      <c r="F426">
        <v>-1065.5149561969129</v>
      </c>
      <c r="G426">
        <v>1890.1109895823986</v>
      </c>
      <c r="H426" s="1">
        <v>46053.333333333336</v>
      </c>
    </row>
    <row r="427" spans="1:8" x14ac:dyDescent="0.25">
      <c r="A427" s="7">
        <f>DATE(YEAR(m8_crossvalid[[#This Row],[cutoff]]),MONTH(m8_crossvalid[[#This Row],[cutoff]]),DAY(m8_crossvalid[[#This Row],[cutoff]]))</f>
        <v>46053</v>
      </c>
      <c r="B427" s="7">
        <f>DATE(YEAR(m8_crossvalid[[#This Row],[ds]]),MONTH(m8_crossvalid[[#This Row],[ds]]),DAY(m8_crossvalid[[#This Row],[ds]]))</f>
        <v>46076</v>
      </c>
      <c r="C427">
        <v>2313</v>
      </c>
      <c r="D427" s="1">
        <v>46076.333333333336</v>
      </c>
      <c r="E427">
        <v>3178.6217514284244</v>
      </c>
      <c r="F427">
        <v>1652.0010296999278</v>
      </c>
      <c r="G427">
        <v>4603.879051227359</v>
      </c>
      <c r="H427" s="1">
        <v>46053.333333333336</v>
      </c>
    </row>
    <row r="428" spans="1:8" x14ac:dyDescent="0.25">
      <c r="A428" s="7">
        <f>DATE(YEAR(m8_crossvalid[[#This Row],[cutoff]]),MONTH(m8_crossvalid[[#This Row],[cutoff]]),DAY(m8_crossvalid[[#This Row],[cutoff]]))</f>
        <v>46053</v>
      </c>
      <c r="B428" s="7">
        <f>DATE(YEAR(m8_crossvalid[[#This Row],[ds]]),MONTH(m8_crossvalid[[#This Row],[ds]]),DAY(m8_crossvalid[[#This Row],[ds]]))</f>
        <v>46077</v>
      </c>
      <c r="C428">
        <v>3081</v>
      </c>
      <c r="D428" s="1">
        <v>46077.333333333336</v>
      </c>
      <c r="E428">
        <v>4406.0382701874132</v>
      </c>
      <c r="F428">
        <v>2911.5949539487133</v>
      </c>
      <c r="G428">
        <v>5845.6258642962348</v>
      </c>
      <c r="H428" s="1">
        <v>46053.333333333336</v>
      </c>
    </row>
    <row r="429" spans="1:8" x14ac:dyDescent="0.25">
      <c r="A429" s="7">
        <f>DATE(YEAR(m8_crossvalid[[#This Row],[cutoff]]),MONTH(m8_crossvalid[[#This Row],[cutoff]]),DAY(m8_crossvalid[[#This Row],[cutoff]]))</f>
        <v>46053</v>
      </c>
      <c r="B429" s="7">
        <f>DATE(YEAR(m8_crossvalid[[#This Row],[ds]]),MONTH(m8_crossvalid[[#This Row],[ds]]),DAY(m8_crossvalid[[#This Row],[ds]]))</f>
        <v>46078</v>
      </c>
      <c r="C429">
        <v>4066</v>
      </c>
      <c r="D429" s="1">
        <v>46078.333333333336</v>
      </c>
      <c r="E429">
        <v>4629.1268473031814</v>
      </c>
      <c r="F429">
        <v>3199.2398599602552</v>
      </c>
      <c r="G429">
        <v>6055.9657489072597</v>
      </c>
      <c r="H429" s="1">
        <v>46053.333333333336</v>
      </c>
    </row>
    <row r="430" spans="1:8" x14ac:dyDescent="0.25">
      <c r="A430" s="7">
        <f>DATE(YEAR(m8_crossvalid[[#This Row],[cutoff]]),MONTH(m8_crossvalid[[#This Row],[cutoff]]),DAY(m8_crossvalid[[#This Row],[cutoff]]))</f>
        <v>46053</v>
      </c>
      <c r="B430" s="7">
        <f>DATE(YEAR(m8_crossvalid[[#This Row],[ds]]),MONTH(m8_crossvalid[[#This Row],[ds]]),DAY(m8_crossvalid[[#This Row],[ds]]))</f>
        <v>46079</v>
      </c>
      <c r="C430">
        <v>5569</v>
      </c>
      <c r="D430" s="1">
        <v>46079.333333333336</v>
      </c>
      <c r="E430">
        <v>4760.141828413457</v>
      </c>
      <c r="F430">
        <v>3342.1727296059335</v>
      </c>
      <c r="G430">
        <v>6184.4896165086147</v>
      </c>
      <c r="H430" s="1">
        <v>46053.333333333336</v>
      </c>
    </row>
    <row r="431" spans="1:8" x14ac:dyDescent="0.25">
      <c r="A431" s="7">
        <f>DATE(YEAR(m8_crossvalid[[#This Row],[cutoff]]),MONTH(m8_crossvalid[[#This Row],[cutoff]]),DAY(m8_crossvalid[[#This Row],[cutoff]]))</f>
        <v>46053</v>
      </c>
      <c r="B431" s="7">
        <f>DATE(YEAR(m8_crossvalid[[#This Row],[ds]]),MONTH(m8_crossvalid[[#This Row],[ds]]),DAY(m8_crossvalid[[#This Row],[ds]]))</f>
        <v>46080</v>
      </c>
      <c r="C431">
        <v>8803</v>
      </c>
      <c r="D431" s="1">
        <v>46080.333333333336</v>
      </c>
      <c r="E431">
        <v>7179.3236835864263</v>
      </c>
      <c r="F431">
        <v>5808.6047321172382</v>
      </c>
      <c r="G431">
        <v>8615.4621378673673</v>
      </c>
      <c r="H431" s="1">
        <v>46053.333333333336</v>
      </c>
    </row>
    <row r="432" spans="1:8" x14ac:dyDescent="0.25">
      <c r="A432" s="7">
        <f>DATE(YEAR(m8_crossvalid[[#This Row],[cutoff]]),MONTH(m8_crossvalid[[#This Row],[cutoff]]),DAY(m8_crossvalid[[#This Row],[cutoff]]))</f>
        <v>46053</v>
      </c>
      <c r="B432" s="7">
        <f>DATE(YEAR(m8_crossvalid[[#This Row],[ds]]),MONTH(m8_crossvalid[[#This Row],[ds]]),DAY(m8_crossvalid[[#This Row],[ds]]))</f>
        <v>46081</v>
      </c>
      <c r="C432">
        <v>9425</v>
      </c>
      <c r="D432" s="1">
        <v>46081.333333333336</v>
      </c>
      <c r="E432">
        <v>7937.9465249132872</v>
      </c>
      <c r="F432">
        <v>6484.524799709091</v>
      </c>
      <c r="G432">
        <v>9414.7855724994515</v>
      </c>
      <c r="H432" s="1">
        <v>46053.333333333336</v>
      </c>
    </row>
    <row r="433" spans="1:8" x14ac:dyDescent="0.25">
      <c r="A433" s="7">
        <f>DATE(YEAR(m8_crossvalid[[#This Row],[cutoff]]),MONTH(m8_crossvalid[[#This Row],[cutoff]]),DAY(m8_crossvalid[[#This Row],[cutoff]]))</f>
        <v>46053</v>
      </c>
      <c r="B433" s="7">
        <f>DATE(YEAR(m8_crossvalid[[#This Row],[ds]]),MONTH(m8_crossvalid[[#This Row],[ds]]),DAY(m8_crossvalid[[#This Row],[ds]]))</f>
        <v>46082</v>
      </c>
      <c r="C433">
        <v>40</v>
      </c>
      <c r="D433" s="1">
        <v>46082.333333333336</v>
      </c>
      <c r="E433">
        <v>906.23399420935561</v>
      </c>
      <c r="F433">
        <v>-518.59579401221902</v>
      </c>
      <c r="G433">
        <v>2347.4481287887361</v>
      </c>
      <c r="H433" s="1">
        <v>46053.333333333336</v>
      </c>
    </row>
    <row r="434" spans="1:8" x14ac:dyDescent="0.25">
      <c r="A434" s="7">
        <f>DATE(YEAR(m8_crossvalid[[#This Row],[cutoff]]),MONTH(m8_crossvalid[[#This Row],[cutoff]]),DAY(m8_crossvalid[[#This Row],[cutoff]]))</f>
        <v>46053</v>
      </c>
      <c r="B434" s="7">
        <f>DATE(YEAR(m8_crossvalid[[#This Row],[ds]]),MONTH(m8_crossvalid[[#This Row],[ds]]),DAY(m8_crossvalid[[#This Row],[ds]]))</f>
        <v>46083</v>
      </c>
      <c r="C434">
        <v>617</v>
      </c>
      <c r="D434" s="1">
        <v>46083.333333333336</v>
      </c>
      <c r="E434">
        <v>2547.8877553262864</v>
      </c>
      <c r="F434">
        <v>1121.9278993782902</v>
      </c>
      <c r="G434">
        <v>4059.9356683652836</v>
      </c>
      <c r="H434" s="1">
        <v>46053.333333333336</v>
      </c>
    </row>
    <row r="435" spans="1:8" x14ac:dyDescent="0.25">
      <c r="A435" s="7">
        <f>DATE(YEAR(m8_crossvalid[[#This Row],[cutoff]]),MONTH(m8_crossvalid[[#This Row],[cutoff]]),DAY(m8_crossvalid[[#This Row],[cutoff]]))</f>
        <v>46053</v>
      </c>
      <c r="B435" s="7">
        <f>DATE(YEAR(m8_crossvalid[[#This Row],[ds]]),MONTH(m8_crossvalid[[#This Row],[ds]]),DAY(m8_crossvalid[[#This Row],[ds]]))</f>
        <v>46084</v>
      </c>
      <c r="C435">
        <v>799</v>
      </c>
      <c r="D435" s="1">
        <v>46084.333333333336</v>
      </c>
      <c r="E435">
        <v>2137.540383613557</v>
      </c>
      <c r="F435">
        <v>707.30625699138864</v>
      </c>
      <c r="G435">
        <v>3603.6473776470739</v>
      </c>
      <c r="H435" s="1">
        <v>46053.333333333336</v>
      </c>
    </row>
    <row r="436" spans="1:8" x14ac:dyDescent="0.25">
      <c r="A436" s="7">
        <f>DATE(YEAR(m8_crossvalid[[#This Row],[cutoff]]),MONTH(m8_crossvalid[[#This Row],[cutoff]]),DAY(m8_crossvalid[[#This Row],[cutoff]]))</f>
        <v>46081</v>
      </c>
      <c r="B436" s="7">
        <f>DATE(YEAR(m8_crossvalid[[#This Row],[ds]]),MONTH(m8_crossvalid[[#This Row],[ds]]),DAY(m8_crossvalid[[#This Row],[ds]]))</f>
        <v>46082</v>
      </c>
      <c r="C436">
        <v>40</v>
      </c>
      <c r="D436" s="1">
        <v>46082.333333333336</v>
      </c>
      <c r="E436">
        <v>990.57552807771117</v>
      </c>
      <c r="F436">
        <v>-476.22777635831295</v>
      </c>
      <c r="G436">
        <v>2445.1749954403413</v>
      </c>
      <c r="H436" s="1">
        <v>46081.333333333336</v>
      </c>
    </row>
    <row r="437" spans="1:8" x14ac:dyDescent="0.25">
      <c r="A437" s="7">
        <f>DATE(YEAR(m8_crossvalid[[#This Row],[cutoff]]),MONTH(m8_crossvalid[[#This Row],[cutoff]]),DAY(m8_crossvalid[[#This Row],[cutoff]]))</f>
        <v>46081</v>
      </c>
      <c r="B437" s="7">
        <f>DATE(YEAR(m8_crossvalid[[#This Row],[ds]]),MONTH(m8_crossvalid[[#This Row],[ds]]),DAY(m8_crossvalid[[#This Row],[ds]]))</f>
        <v>46083</v>
      </c>
      <c r="C437">
        <v>617</v>
      </c>
      <c r="D437" s="1">
        <v>46083.333333333336</v>
      </c>
      <c r="E437">
        <v>2525.6579124843793</v>
      </c>
      <c r="F437">
        <v>1047.8789761027642</v>
      </c>
      <c r="G437">
        <v>4045.3639759492744</v>
      </c>
      <c r="H437" s="1">
        <v>46081.333333333336</v>
      </c>
    </row>
    <row r="438" spans="1:8" x14ac:dyDescent="0.25">
      <c r="A438" s="7">
        <f>DATE(YEAR(m8_crossvalid[[#This Row],[cutoff]]),MONTH(m8_crossvalid[[#This Row],[cutoff]]),DAY(m8_crossvalid[[#This Row],[cutoff]]))</f>
        <v>46081</v>
      </c>
      <c r="B438" s="7">
        <f>DATE(YEAR(m8_crossvalid[[#This Row],[ds]]),MONTH(m8_crossvalid[[#This Row],[ds]]),DAY(m8_crossvalid[[#This Row],[ds]]))</f>
        <v>46084</v>
      </c>
      <c r="C438">
        <v>799</v>
      </c>
      <c r="D438" s="1">
        <v>46084.333333333336</v>
      </c>
      <c r="E438">
        <v>2107.7089330101289</v>
      </c>
      <c r="F438">
        <v>616.66545228376651</v>
      </c>
      <c r="G438">
        <v>3548.7276347219818</v>
      </c>
      <c r="H438" s="1">
        <v>46081.333333333336</v>
      </c>
    </row>
    <row r="439" spans="1:8" x14ac:dyDescent="0.25">
      <c r="A439" s="7">
        <f>DATE(YEAR(m8_crossvalid[[#This Row],[cutoff]]),MONTH(m8_crossvalid[[#This Row],[cutoff]]),DAY(m8_crossvalid[[#This Row],[cutoff]]))</f>
        <v>46081</v>
      </c>
      <c r="B439" s="7">
        <f>DATE(YEAR(m8_crossvalid[[#This Row],[ds]]),MONTH(m8_crossvalid[[#This Row],[ds]]),DAY(m8_crossvalid[[#This Row],[ds]]))</f>
        <v>46085</v>
      </c>
      <c r="C439">
        <v>995</v>
      </c>
      <c r="D439" s="1">
        <v>46085.333333333336</v>
      </c>
      <c r="E439">
        <v>1853.2121719442889</v>
      </c>
      <c r="F439">
        <v>534.67955826411367</v>
      </c>
      <c r="G439">
        <v>3268.2828009597647</v>
      </c>
      <c r="H439" s="1">
        <v>46081.333333333336</v>
      </c>
    </row>
    <row r="440" spans="1:8" x14ac:dyDescent="0.25">
      <c r="A440" s="7">
        <f>DATE(YEAR(m8_crossvalid[[#This Row],[cutoff]]),MONTH(m8_crossvalid[[#This Row],[cutoff]]),DAY(m8_crossvalid[[#This Row],[cutoff]]))</f>
        <v>46081</v>
      </c>
      <c r="B440" s="7">
        <f>DATE(YEAR(m8_crossvalid[[#This Row],[ds]]),MONTH(m8_crossvalid[[#This Row],[ds]]),DAY(m8_crossvalid[[#This Row],[ds]]))</f>
        <v>46086</v>
      </c>
      <c r="C440">
        <v>1314</v>
      </c>
      <c r="D440" s="1">
        <v>46086.333333333336</v>
      </c>
      <c r="E440">
        <v>1916.2263358038572</v>
      </c>
      <c r="F440">
        <v>453.96205597616563</v>
      </c>
      <c r="G440">
        <v>3373.9880965297825</v>
      </c>
      <c r="H440" s="1">
        <v>46081.333333333336</v>
      </c>
    </row>
    <row r="441" spans="1:8" x14ac:dyDescent="0.25">
      <c r="A441" s="7">
        <f>DATE(YEAR(m8_crossvalid[[#This Row],[cutoff]]),MONTH(m8_crossvalid[[#This Row],[cutoff]]),DAY(m8_crossvalid[[#This Row],[cutoff]]))</f>
        <v>46081</v>
      </c>
      <c r="B441" s="7">
        <f>DATE(YEAR(m8_crossvalid[[#This Row],[ds]]),MONTH(m8_crossvalid[[#This Row],[ds]]),DAY(m8_crossvalid[[#This Row],[ds]]))</f>
        <v>46087</v>
      </c>
      <c r="C441">
        <v>1617</v>
      </c>
      <c r="D441" s="1">
        <v>46087.333333333336</v>
      </c>
      <c r="E441">
        <v>1894.7465384666061</v>
      </c>
      <c r="F441">
        <v>533.11509950708489</v>
      </c>
      <c r="G441">
        <v>3358.2992482626023</v>
      </c>
      <c r="H441" s="1">
        <v>46081.333333333336</v>
      </c>
    </row>
    <row r="442" spans="1:8" x14ac:dyDescent="0.25">
      <c r="A442" s="7">
        <f>DATE(YEAR(m8_crossvalid[[#This Row],[cutoff]]),MONTH(m8_crossvalid[[#This Row],[cutoff]]),DAY(m8_crossvalid[[#This Row],[cutoff]]))</f>
        <v>46081</v>
      </c>
      <c r="B442" s="7">
        <f>DATE(YEAR(m8_crossvalid[[#This Row],[ds]]),MONTH(m8_crossvalid[[#This Row],[ds]]),DAY(m8_crossvalid[[#This Row],[ds]]))</f>
        <v>46088</v>
      </c>
      <c r="C442">
        <v>220</v>
      </c>
      <c r="D442" s="1">
        <v>46088.333333333336</v>
      </c>
      <c r="E442">
        <v>-2119.5452628613489</v>
      </c>
      <c r="F442">
        <v>-3656.4789166554738</v>
      </c>
      <c r="G442">
        <v>-723.93068288311486</v>
      </c>
      <c r="H442" s="1">
        <v>46081.333333333336</v>
      </c>
    </row>
    <row r="443" spans="1:8" x14ac:dyDescent="0.25">
      <c r="A443" s="7">
        <f>DATE(YEAR(m8_crossvalid[[#This Row],[cutoff]]),MONTH(m8_crossvalid[[#This Row],[cutoff]]),DAY(m8_crossvalid[[#This Row],[cutoff]]))</f>
        <v>46081</v>
      </c>
      <c r="B443" s="7">
        <f>DATE(YEAR(m8_crossvalid[[#This Row],[ds]]),MONTH(m8_crossvalid[[#This Row],[ds]]),DAY(m8_crossvalid[[#This Row],[ds]]))</f>
        <v>46089</v>
      </c>
      <c r="C443">
        <v>43</v>
      </c>
      <c r="D443" s="1">
        <v>46089.333333333336</v>
      </c>
      <c r="E443">
        <v>401.30594628036624</v>
      </c>
      <c r="F443">
        <v>-972.56956382923022</v>
      </c>
      <c r="G443">
        <v>1849.8417956843771</v>
      </c>
      <c r="H443" s="1">
        <v>46081.333333333336</v>
      </c>
    </row>
    <row r="444" spans="1:8" x14ac:dyDescent="0.25">
      <c r="A444" s="7">
        <f>DATE(YEAR(m8_crossvalid[[#This Row],[cutoff]]),MONTH(m8_crossvalid[[#This Row],[cutoff]]),DAY(m8_crossvalid[[#This Row],[cutoff]]))</f>
        <v>46081</v>
      </c>
      <c r="B444" s="7">
        <f>DATE(YEAR(m8_crossvalid[[#This Row],[ds]]),MONTH(m8_crossvalid[[#This Row],[ds]]),DAY(m8_crossvalid[[#This Row],[ds]]))</f>
        <v>46090</v>
      </c>
      <c r="C444">
        <v>1766</v>
      </c>
      <c r="D444" s="1">
        <v>46090.333333333336</v>
      </c>
      <c r="E444">
        <v>2868.5873927854159</v>
      </c>
      <c r="F444">
        <v>1273.4122838847463</v>
      </c>
      <c r="G444">
        <v>4252.7912135165461</v>
      </c>
      <c r="H444" s="1">
        <v>46081.333333333336</v>
      </c>
    </row>
    <row r="445" spans="1:8" x14ac:dyDescent="0.25">
      <c r="A445" s="7">
        <f>DATE(YEAR(m8_crossvalid[[#This Row],[cutoff]]),MONTH(m8_crossvalid[[#This Row],[cutoff]]),DAY(m8_crossvalid[[#This Row],[cutoff]]))</f>
        <v>46081</v>
      </c>
      <c r="B445" s="7">
        <f>DATE(YEAR(m8_crossvalid[[#This Row],[ds]]),MONTH(m8_crossvalid[[#This Row],[ds]]),DAY(m8_crossvalid[[#This Row],[ds]]))</f>
        <v>46091</v>
      </c>
      <c r="C445">
        <v>2170</v>
      </c>
      <c r="D445" s="1">
        <v>46091.333333333336</v>
      </c>
      <c r="E445">
        <v>2928.1090931067179</v>
      </c>
      <c r="F445">
        <v>1559.6342351223182</v>
      </c>
      <c r="G445">
        <v>4283.7928076253729</v>
      </c>
      <c r="H445" s="1">
        <v>46081.333333333336</v>
      </c>
    </row>
    <row r="446" spans="1:8" x14ac:dyDescent="0.25">
      <c r="A446" s="7">
        <f>DATE(YEAR(m8_crossvalid[[#This Row],[cutoff]]),MONTH(m8_crossvalid[[#This Row],[cutoff]]),DAY(m8_crossvalid[[#This Row],[cutoff]]))</f>
        <v>46081</v>
      </c>
      <c r="B446" s="7">
        <f>DATE(YEAR(m8_crossvalid[[#This Row],[ds]]),MONTH(m8_crossvalid[[#This Row],[ds]]),DAY(m8_crossvalid[[#This Row],[ds]]))</f>
        <v>46092</v>
      </c>
      <c r="C446">
        <v>2907</v>
      </c>
      <c r="D446" s="1">
        <v>46092.333333333336</v>
      </c>
      <c r="E446">
        <v>2699.489827644767</v>
      </c>
      <c r="F446">
        <v>1166.9299360088189</v>
      </c>
      <c r="G446">
        <v>4189.560208309269</v>
      </c>
      <c r="H446" s="1">
        <v>46081.333333333336</v>
      </c>
    </row>
    <row r="447" spans="1:8" x14ac:dyDescent="0.25">
      <c r="A447" s="7">
        <f>DATE(YEAR(m8_crossvalid[[#This Row],[cutoff]]),MONTH(m8_crossvalid[[#This Row],[cutoff]]),DAY(m8_crossvalid[[#This Row],[cutoff]]))</f>
        <v>46081</v>
      </c>
      <c r="B447" s="7">
        <f>DATE(YEAR(m8_crossvalid[[#This Row],[ds]]),MONTH(m8_crossvalid[[#This Row],[ds]]),DAY(m8_crossvalid[[#This Row],[ds]]))</f>
        <v>46093</v>
      </c>
      <c r="C447">
        <v>3020</v>
      </c>
      <c r="D447" s="1">
        <v>46093.333333333336</v>
      </c>
      <c r="E447">
        <v>2637.133185240622</v>
      </c>
      <c r="F447">
        <v>1264.6496203777078</v>
      </c>
      <c r="G447">
        <v>4141.1142690994893</v>
      </c>
      <c r="H447" s="1">
        <v>46081.333333333336</v>
      </c>
    </row>
    <row r="448" spans="1:8" x14ac:dyDescent="0.25">
      <c r="A448" s="7">
        <f>DATE(YEAR(m8_crossvalid[[#This Row],[cutoff]]),MONTH(m8_crossvalid[[#This Row],[cutoff]]),DAY(m8_crossvalid[[#This Row],[cutoff]]))</f>
        <v>46081</v>
      </c>
      <c r="B448" s="7">
        <f>DATE(YEAR(m8_crossvalid[[#This Row],[ds]]),MONTH(m8_crossvalid[[#This Row],[ds]]),DAY(m8_crossvalid[[#This Row],[ds]]))</f>
        <v>46094</v>
      </c>
      <c r="C448">
        <v>3551</v>
      </c>
      <c r="D448" s="1">
        <v>46094.333333333336</v>
      </c>
      <c r="E448">
        <v>2784.1502985001725</v>
      </c>
      <c r="F448">
        <v>1332.5403091137016</v>
      </c>
      <c r="G448">
        <v>4177.8346883725189</v>
      </c>
      <c r="H448" s="1">
        <v>46081.333333333336</v>
      </c>
    </row>
    <row r="449" spans="1:8" x14ac:dyDescent="0.25">
      <c r="A449" s="7">
        <f>DATE(YEAR(m8_crossvalid[[#This Row],[cutoff]]),MONTH(m8_crossvalid[[#This Row],[cutoff]]),DAY(m8_crossvalid[[#This Row],[cutoff]]))</f>
        <v>46081</v>
      </c>
      <c r="B449" s="7">
        <f>DATE(YEAR(m8_crossvalid[[#This Row],[ds]]),MONTH(m8_crossvalid[[#This Row],[ds]]),DAY(m8_crossvalid[[#This Row],[ds]]))</f>
        <v>46095</v>
      </c>
      <c r="C449">
        <v>1088</v>
      </c>
      <c r="D449" s="1">
        <v>46095.333333333336</v>
      </c>
      <c r="E449">
        <v>661.21238069237688</v>
      </c>
      <c r="F449">
        <v>-695.36038220129456</v>
      </c>
      <c r="G449">
        <v>2178.7039535610929</v>
      </c>
      <c r="H449" s="1">
        <v>46081.333333333336</v>
      </c>
    </row>
    <row r="450" spans="1:8" x14ac:dyDescent="0.25">
      <c r="A450" s="7">
        <f>DATE(YEAR(m8_crossvalid[[#This Row],[cutoff]]),MONTH(m8_crossvalid[[#This Row],[cutoff]]),DAY(m8_crossvalid[[#This Row],[cutoff]]))</f>
        <v>46081</v>
      </c>
      <c r="B450" s="7">
        <f>DATE(YEAR(m8_crossvalid[[#This Row],[ds]]),MONTH(m8_crossvalid[[#This Row],[ds]]),DAY(m8_crossvalid[[#This Row],[ds]]))</f>
        <v>46096</v>
      </c>
      <c r="C450">
        <v>228</v>
      </c>
      <c r="D450" s="1">
        <v>46096.333333333336</v>
      </c>
      <c r="E450">
        <v>160.80257937920624</v>
      </c>
      <c r="F450">
        <v>-1321.3363045820113</v>
      </c>
      <c r="G450">
        <v>1581.5551658666154</v>
      </c>
      <c r="H450" s="1">
        <v>46081.333333333336</v>
      </c>
    </row>
    <row r="451" spans="1:8" x14ac:dyDescent="0.25">
      <c r="A451" s="7">
        <f>DATE(YEAR(m8_crossvalid[[#This Row],[cutoff]]),MONTH(m8_crossvalid[[#This Row],[cutoff]]),DAY(m8_crossvalid[[#This Row],[cutoff]]))</f>
        <v>46081</v>
      </c>
      <c r="B451" s="7">
        <f>DATE(YEAR(m8_crossvalid[[#This Row],[ds]]),MONTH(m8_crossvalid[[#This Row],[ds]]),DAY(m8_crossvalid[[#This Row],[ds]]))</f>
        <v>46097</v>
      </c>
      <c r="C451">
        <v>3950</v>
      </c>
      <c r="D451" s="1">
        <v>46097.333333333336</v>
      </c>
      <c r="E451">
        <v>2701.5798858627963</v>
      </c>
      <c r="F451">
        <v>1276.1913415146341</v>
      </c>
      <c r="G451">
        <v>4267.3979386909477</v>
      </c>
      <c r="H451" s="1">
        <v>46081.333333333336</v>
      </c>
    </row>
    <row r="452" spans="1:8" x14ac:dyDescent="0.25">
      <c r="A452" s="7">
        <f>DATE(YEAR(m8_crossvalid[[#This Row],[cutoff]]),MONTH(m8_crossvalid[[#This Row],[cutoff]]),DAY(m8_crossvalid[[#This Row],[cutoff]]))</f>
        <v>46081</v>
      </c>
      <c r="B452" s="7">
        <f>DATE(YEAR(m8_crossvalid[[#This Row],[ds]]),MONTH(m8_crossvalid[[#This Row],[ds]]),DAY(m8_crossvalid[[#This Row],[ds]]))</f>
        <v>46098</v>
      </c>
      <c r="C452">
        <v>5807</v>
      </c>
      <c r="D452" s="1">
        <v>46098.333333333336</v>
      </c>
      <c r="E452">
        <v>3088.6706184996742</v>
      </c>
      <c r="F452">
        <v>1553.1124897505283</v>
      </c>
      <c r="G452">
        <v>4486.902802985679</v>
      </c>
      <c r="H452" s="1">
        <v>46081.333333333336</v>
      </c>
    </row>
    <row r="453" spans="1:8" x14ac:dyDescent="0.25">
      <c r="A453" s="7">
        <f>DATE(YEAR(m8_crossvalid[[#This Row],[cutoff]]),MONTH(m8_crossvalid[[#This Row],[cutoff]]),DAY(m8_crossvalid[[#This Row],[cutoff]]))</f>
        <v>46081</v>
      </c>
      <c r="B453" s="7">
        <f>DATE(YEAR(m8_crossvalid[[#This Row],[ds]]),MONTH(m8_crossvalid[[#This Row],[ds]]),DAY(m8_crossvalid[[#This Row],[ds]]))</f>
        <v>46099</v>
      </c>
      <c r="C453">
        <v>5295</v>
      </c>
      <c r="D453" s="1">
        <v>46099.333333333336</v>
      </c>
      <c r="E453">
        <v>3297.2877058236322</v>
      </c>
      <c r="F453">
        <v>1874.7912191307571</v>
      </c>
      <c r="G453">
        <v>4736.0710046079475</v>
      </c>
      <c r="H453" s="1">
        <v>46081.333333333336</v>
      </c>
    </row>
    <row r="454" spans="1:8" x14ac:dyDescent="0.25">
      <c r="A454" s="7">
        <f>DATE(YEAR(m8_crossvalid[[#This Row],[cutoff]]),MONTH(m8_crossvalid[[#This Row],[cutoff]]),DAY(m8_crossvalid[[#This Row],[cutoff]]))</f>
        <v>46081</v>
      </c>
      <c r="B454" s="7">
        <f>DATE(YEAR(m8_crossvalid[[#This Row],[ds]]),MONTH(m8_crossvalid[[#This Row],[ds]]),DAY(m8_crossvalid[[#This Row],[ds]]))</f>
        <v>46100</v>
      </c>
      <c r="C454">
        <v>3557</v>
      </c>
      <c r="D454" s="1">
        <v>46100.333333333336</v>
      </c>
      <c r="E454">
        <v>3461.2939730837343</v>
      </c>
      <c r="F454">
        <v>1972.2379127276527</v>
      </c>
      <c r="G454">
        <v>4846.1541872768566</v>
      </c>
      <c r="H454" s="1">
        <v>46081.333333333336</v>
      </c>
    </row>
    <row r="455" spans="1:8" x14ac:dyDescent="0.25">
      <c r="A455" s="7">
        <f>DATE(YEAR(m8_crossvalid[[#This Row],[cutoff]]),MONTH(m8_crossvalid[[#This Row],[cutoff]]),DAY(m8_crossvalid[[#This Row],[cutoff]]))</f>
        <v>46081</v>
      </c>
      <c r="B455" s="7">
        <f>DATE(YEAR(m8_crossvalid[[#This Row],[ds]]),MONTH(m8_crossvalid[[#This Row],[ds]]),DAY(m8_crossvalid[[#This Row],[ds]]))</f>
        <v>46101</v>
      </c>
      <c r="C455">
        <v>61</v>
      </c>
      <c r="D455" s="1">
        <v>46101.333333333336</v>
      </c>
      <c r="E455">
        <v>-151.12748150060361</v>
      </c>
      <c r="F455">
        <v>-1654.0704349768941</v>
      </c>
      <c r="G455">
        <v>1340.2035513683477</v>
      </c>
      <c r="H455" s="1">
        <v>46081.333333333336</v>
      </c>
    </row>
    <row r="456" spans="1:8" x14ac:dyDescent="0.25">
      <c r="A456" s="7">
        <f>DATE(YEAR(m8_crossvalid[[#This Row],[cutoff]]),MONTH(m8_crossvalid[[#This Row],[cutoff]]),DAY(m8_crossvalid[[#This Row],[cutoff]]))</f>
        <v>46081</v>
      </c>
      <c r="B456" s="7">
        <f>DATE(YEAR(m8_crossvalid[[#This Row],[ds]]),MONTH(m8_crossvalid[[#This Row],[ds]]),DAY(m8_crossvalid[[#This Row],[ds]]))</f>
        <v>46102</v>
      </c>
      <c r="C456">
        <v>3</v>
      </c>
      <c r="D456" s="1">
        <v>46102.333333333336</v>
      </c>
      <c r="E456">
        <v>-2140.7628583766491</v>
      </c>
      <c r="F456">
        <v>-3626.5355589726469</v>
      </c>
      <c r="G456">
        <v>-700.39501289757879</v>
      </c>
      <c r="H456" s="1">
        <v>46081.333333333336</v>
      </c>
    </row>
    <row r="457" spans="1:8" x14ac:dyDescent="0.25">
      <c r="A457" s="7">
        <f>DATE(YEAR(m8_crossvalid[[#This Row],[cutoff]]),MONTH(m8_crossvalid[[#This Row],[cutoff]]),DAY(m8_crossvalid[[#This Row],[cutoff]]))</f>
        <v>46081</v>
      </c>
      <c r="B457" s="7">
        <f>DATE(YEAR(m8_crossvalid[[#This Row],[ds]]),MONTH(m8_crossvalid[[#This Row],[ds]]),DAY(m8_crossvalid[[#This Row],[ds]]))</f>
        <v>46103</v>
      </c>
      <c r="C457">
        <v>6</v>
      </c>
      <c r="D457" s="1">
        <v>46103.333333333336</v>
      </c>
      <c r="E457">
        <v>-3664.9883398472907</v>
      </c>
      <c r="F457">
        <v>-5195.7633403452619</v>
      </c>
      <c r="G457">
        <v>-2215.7577699428348</v>
      </c>
      <c r="H457" s="1">
        <v>46081.333333333336</v>
      </c>
    </row>
    <row r="458" spans="1:8" x14ac:dyDescent="0.25">
      <c r="A458" s="7">
        <f>DATE(YEAR(m8_crossvalid[[#This Row],[cutoff]]),MONTH(m8_crossvalid[[#This Row],[cutoff]]),DAY(m8_crossvalid[[#This Row],[cutoff]]))</f>
        <v>46081</v>
      </c>
      <c r="B458" s="7">
        <f>DATE(YEAR(m8_crossvalid[[#This Row],[ds]]),MONTH(m8_crossvalid[[#This Row],[ds]]),DAY(m8_crossvalid[[#This Row],[ds]]))</f>
        <v>46104</v>
      </c>
      <c r="C458">
        <v>23</v>
      </c>
      <c r="D458" s="1">
        <v>46104.333333333336</v>
      </c>
      <c r="E458">
        <v>-1686.3614147020198</v>
      </c>
      <c r="F458">
        <v>-3309.2025486371108</v>
      </c>
      <c r="G458">
        <v>-281.08121899590139</v>
      </c>
      <c r="H458" s="1">
        <v>46081.333333333336</v>
      </c>
    </row>
    <row r="459" spans="1:8" x14ac:dyDescent="0.25">
      <c r="A459" s="7">
        <f>DATE(YEAR(m8_crossvalid[[#This Row],[cutoff]]),MONTH(m8_crossvalid[[#This Row],[cutoff]]),DAY(m8_crossvalid[[#This Row],[cutoff]]))</f>
        <v>46081</v>
      </c>
      <c r="B459" s="7">
        <f>DATE(YEAR(m8_crossvalid[[#This Row],[ds]]),MONTH(m8_crossvalid[[#This Row],[ds]]),DAY(m8_crossvalid[[#This Row],[ds]]))</f>
        <v>46105</v>
      </c>
      <c r="C459">
        <v>974</v>
      </c>
      <c r="D459" s="1">
        <v>46105.333333333336</v>
      </c>
      <c r="E459">
        <v>2200.6720884125975</v>
      </c>
      <c r="F459">
        <v>793.6790505394971</v>
      </c>
      <c r="G459">
        <v>3655.2996628413284</v>
      </c>
      <c r="H459" s="1">
        <v>46081.333333333336</v>
      </c>
    </row>
    <row r="460" spans="1:8" x14ac:dyDescent="0.25">
      <c r="A460" s="7">
        <f>DATE(YEAR(m8_crossvalid[[#This Row],[cutoff]]),MONTH(m8_crossvalid[[#This Row],[cutoff]]),DAY(m8_crossvalid[[#This Row],[cutoff]]))</f>
        <v>46081</v>
      </c>
      <c r="B460" s="7">
        <f>DATE(YEAR(m8_crossvalid[[#This Row],[ds]]),MONTH(m8_crossvalid[[#This Row],[ds]]),DAY(m8_crossvalid[[#This Row],[ds]]))</f>
        <v>46106</v>
      </c>
      <c r="C460">
        <v>1752</v>
      </c>
      <c r="D460" s="1">
        <v>46106.333333333336</v>
      </c>
      <c r="E460">
        <v>2296.147858855732</v>
      </c>
      <c r="F460">
        <v>796.5235251146604</v>
      </c>
      <c r="G460">
        <v>3775.0352313190315</v>
      </c>
      <c r="H460" s="1">
        <v>46081.333333333336</v>
      </c>
    </row>
    <row r="461" spans="1:8" x14ac:dyDescent="0.25">
      <c r="A461" s="7">
        <f>DATE(YEAR(m8_crossvalid[[#This Row],[cutoff]]),MONTH(m8_crossvalid[[#This Row],[cutoff]]),DAY(m8_crossvalid[[#This Row],[cutoff]]))</f>
        <v>46081</v>
      </c>
      <c r="B461" s="7">
        <f>DATE(YEAR(m8_crossvalid[[#This Row],[ds]]),MONTH(m8_crossvalid[[#This Row],[ds]]),DAY(m8_crossvalid[[#This Row],[ds]]))</f>
        <v>46107</v>
      </c>
      <c r="C461">
        <v>2884</v>
      </c>
      <c r="D461" s="1">
        <v>46107.333333333336</v>
      </c>
      <c r="E461">
        <v>3057.6543913620408</v>
      </c>
      <c r="F461">
        <v>1528.3610088825369</v>
      </c>
      <c r="G461">
        <v>4475.2989833741703</v>
      </c>
      <c r="H461" s="1">
        <v>46081.333333333336</v>
      </c>
    </row>
    <row r="462" spans="1:8" x14ac:dyDescent="0.25">
      <c r="A462" s="7">
        <f>DATE(YEAR(m8_crossvalid[[#This Row],[cutoff]]),MONTH(m8_crossvalid[[#This Row],[cutoff]]),DAY(m8_crossvalid[[#This Row],[cutoff]]))</f>
        <v>46081</v>
      </c>
      <c r="B462" s="7">
        <f>DATE(YEAR(m8_crossvalid[[#This Row],[ds]]),MONTH(m8_crossvalid[[#This Row],[ds]]),DAY(m8_crossvalid[[#This Row],[ds]]))</f>
        <v>46108</v>
      </c>
      <c r="C462">
        <v>3597</v>
      </c>
      <c r="D462" s="1">
        <v>46108.333333333336</v>
      </c>
      <c r="E462">
        <v>2650.9068916035485</v>
      </c>
      <c r="F462">
        <v>1128.3195126953356</v>
      </c>
      <c r="G462">
        <v>4149.560411485144</v>
      </c>
      <c r="H462" s="1">
        <v>46081.333333333336</v>
      </c>
    </row>
    <row r="463" spans="1:8" x14ac:dyDescent="0.25">
      <c r="A463" s="7">
        <f>DATE(YEAR(m8_crossvalid[[#This Row],[cutoff]]),MONTH(m8_crossvalid[[#This Row],[cutoff]]),DAY(m8_crossvalid[[#This Row],[cutoff]]))</f>
        <v>46081</v>
      </c>
      <c r="B463" s="7">
        <f>DATE(YEAR(m8_crossvalid[[#This Row],[ds]]),MONTH(m8_crossvalid[[#This Row],[ds]]),DAY(m8_crossvalid[[#This Row],[ds]]))</f>
        <v>46109</v>
      </c>
      <c r="C463">
        <v>1207</v>
      </c>
      <c r="D463" s="1">
        <v>46109.333333333336</v>
      </c>
      <c r="E463">
        <v>665.34928127695343</v>
      </c>
      <c r="F463">
        <v>-808.217300386077</v>
      </c>
      <c r="G463">
        <v>2053.2316920452427</v>
      </c>
      <c r="H463" s="1">
        <v>46081.333333333336</v>
      </c>
    </row>
    <row r="464" spans="1:8" x14ac:dyDescent="0.25">
      <c r="A464" s="7">
        <f>DATE(YEAR(m8_crossvalid[[#This Row],[cutoff]]),MONTH(m8_crossvalid[[#This Row],[cutoff]]),DAY(m8_crossvalid[[#This Row],[cutoff]]))</f>
        <v>46081</v>
      </c>
      <c r="B464" s="7">
        <f>DATE(YEAR(m8_crossvalid[[#This Row],[ds]]),MONTH(m8_crossvalid[[#This Row],[ds]]),DAY(m8_crossvalid[[#This Row],[ds]]))</f>
        <v>46110</v>
      </c>
      <c r="C464">
        <v>183</v>
      </c>
      <c r="D464" s="1">
        <v>46110.333333333336</v>
      </c>
      <c r="E464">
        <v>77.575777261301482</v>
      </c>
      <c r="F464">
        <v>-1388.104343106384</v>
      </c>
      <c r="G464">
        <v>1594.9396872378104</v>
      </c>
      <c r="H464" s="1">
        <v>46081.333333333336</v>
      </c>
    </row>
    <row r="465" spans="1:8" x14ac:dyDescent="0.25">
      <c r="A465" s="7">
        <f>DATE(YEAR(m8_crossvalid[[#This Row],[cutoff]]),MONTH(m8_crossvalid[[#This Row],[cutoff]]),DAY(m8_crossvalid[[#This Row],[cutoff]]))</f>
        <v>46081</v>
      </c>
      <c r="B465" s="7">
        <f>DATE(YEAR(m8_crossvalid[[#This Row],[ds]]),MONTH(m8_crossvalid[[#This Row],[ds]]),DAY(m8_crossvalid[[#This Row],[ds]]))</f>
        <v>46111</v>
      </c>
      <c r="C465">
        <v>4959</v>
      </c>
      <c r="D465" s="1">
        <v>46111.333333333336</v>
      </c>
      <c r="E465">
        <v>5650.6491876900063</v>
      </c>
      <c r="F465">
        <v>4199.0614550264991</v>
      </c>
      <c r="G465">
        <v>7114.5930688719836</v>
      </c>
      <c r="H465" s="1">
        <v>46081.333333333336</v>
      </c>
    </row>
    <row r="466" spans="1:8" x14ac:dyDescent="0.25">
      <c r="A466" s="7">
        <f>DATE(YEAR(m8_crossvalid[[#This Row],[cutoff]]),MONTH(m8_crossvalid[[#This Row],[cutoff]]),DAY(m8_crossvalid[[#This Row],[cutoff]]))</f>
        <v>46081</v>
      </c>
      <c r="B466" s="7">
        <f>DATE(YEAR(m8_crossvalid[[#This Row],[ds]]),MONTH(m8_crossvalid[[#This Row],[ds]]),DAY(m8_crossvalid[[#This Row],[ds]]))</f>
        <v>46112</v>
      </c>
      <c r="C466">
        <v>13213</v>
      </c>
      <c r="D466" s="1">
        <v>46112.333333333336</v>
      </c>
      <c r="E466">
        <v>10720.447688354228</v>
      </c>
      <c r="F466">
        <v>9307.160664165609</v>
      </c>
      <c r="G466">
        <v>12256.553708384941</v>
      </c>
      <c r="H466" s="1">
        <v>46081.333333333336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75B4A-C58A-4887-A181-3D87DBB44A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Charts</vt:lpstr>
      <vt:lpstr>Consolidated</vt:lpstr>
      <vt:lpstr>m1_cv</vt:lpstr>
      <vt:lpstr>m2_cv</vt:lpstr>
      <vt:lpstr>m3_cv</vt:lpstr>
      <vt:lpstr>m4_cv</vt:lpstr>
      <vt:lpstr>m5_cv</vt:lpstr>
      <vt:lpstr>m6_cv</vt:lpstr>
      <vt:lpstr>m7_cv</vt:lpstr>
      <vt:lpstr>m8_cv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 Naim</dc:creator>
  <cp:lastModifiedBy>Nafis Naim</cp:lastModifiedBy>
  <dcterms:created xsi:type="dcterms:W3CDTF">2026-04-16T07:29:51Z</dcterms:created>
  <dcterms:modified xsi:type="dcterms:W3CDTF">2026-04-17T14:03:57Z</dcterms:modified>
</cp:coreProperties>
</file>